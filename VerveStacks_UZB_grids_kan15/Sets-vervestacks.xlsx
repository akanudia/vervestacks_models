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ZB_grids_kan15\"/>
    </mc:Choice>
  </mc:AlternateContent>
  <xr:revisionPtr revIDLastSave="0" documentId="13_ncr:1_{C36A3E4A-CD25-49C0-ABDC-12BA6D21B4A1}" xr6:coauthVersionLast="47" xr6:coauthVersionMax="47" xr10:uidLastSave="{00000000-0000-0000-0000-000000000000}"/>
  <bookViews>
    <workbookView xWindow="-120" yWindow="-120" windowWidth="38640" windowHeight="23520" activeTab="2" xr2:uid="{00000000-000D-0000-FFFF-FFFF00000000}"/>
  </bookViews>
  <sheets>
    <sheet name="VEDA_Sets-Comm" sheetId="1" r:id="rId1"/>
    <sheet name="geo_sets" sheetId="2" r:id="rId2"/>
    <sheet name="VEDA_Sets-Pro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9" i="1"/>
  <c r="D8" i="1"/>
  <c r="D7" i="1"/>
  <c r="F47" i="3"/>
  <c r="F46" i="3"/>
  <c r="F45" i="3"/>
  <c r="F44" i="3"/>
  <c r="F43" i="3"/>
  <c r="F42" i="3"/>
  <c r="F41" i="3"/>
</calcChain>
</file>

<file path=xl/sharedStrings.xml><?xml version="1.0" encoding="utf-8"?>
<sst xmlns="http://schemas.openxmlformats.org/spreadsheetml/2006/main" count="463" uniqueCount="287">
  <si>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</si>
  <si>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</si>
  <si>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</si>
  <si>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</si>
  <si>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</si>
  <si>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</si>
  <si>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</si>
  <si>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</si>
  <si>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</si>
  <si>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</si>
  <si>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</si>
  <si>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</si>
  <si>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EP_GAS-CC*,EP_OIL-CC*,*gas_cc*,*gas_comb*,*ember</t>
  </si>
  <si>
    <t>gas,elcnga,elcgas,oil,elco</t>
  </si>
  <si>
    <t>CCGT</t>
  </si>
  <si>
    <t>Combined Cycle Gas Turbine</t>
  </si>
  <si>
    <t>Ramp ~8%/min</t>
  </si>
  <si>
    <t>EP_GAS-GT*,EP_OIL-GT*,*gas_turbine*,EN*CT*</t>
  </si>
  <si>
    <t>OCGT</t>
  </si>
  <si>
    <t>Open Cycle Gas Turbine (Peaker)</t>
  </si>
  <si>
    <t>Ramp ~15%/min</t>
  </si>
  <si>
    <t>EP_GAS-ST*,EP_OIL-ST*,*steam*</t>
  </si>
  <si>
    <t>Gas_Oil_Steam</t>
  </si>
  <si>
    <t>Gas/Oil Steam Turbine</t>
  </si>
  <si>
    <t>EP_GAS-IC*,EP_OIL-IC*,*gas_engine*,*internal_comb*</t>
  </si>
  <si>
    <t>Int_Comb</t>
  </si>
  <si>
    <t>Internal Combustion Engine</t>
  </si>
  <si>
    <t>EP_COA-ST*,EP_LIG-ST*,*-CFB*,*coal_st*,*coal_subcritical*</t>
  </si>
  <si>
    <t>coal,elcco*</t>
  </si>
  <si>
    <t>Subcrit_Coal</t>
  </si>
  <si>
    <t>Subcritical Coal</t>
  </si>
  <si>
    <t>Ramp ~3%/min</t>
  </si>
  <si>
    <t>EP_COA-SC*,EP_COA-USC*,EP_LIG-SC*,EP_LIG-USC*,*coal_sc*,*coal_usc*,*coal_supercritical*,*coal_ultrasupercritical*</t>
  </si>
  <si>
    <t>Supercrit_Coal</t>
  </si>
  <si>
    <t>Supercritical/Ultra-Supercritical Coal</t>
  </si>
  <si>
    <t>Ramp ~4%/min</t>
  </si>
  <si>
    <t>*-IGCC*,*coal_igcc*</t>
  </si>
  <si>
    <t>IGCC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</si>
  <si>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</si>
  <si>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</si>
  <si>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</si>
  <si>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</si>
  <si>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</si>
  <si>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</si>
  <si>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</si>
  <si>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bio*,elcb*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</si>
  <si>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</si>
  <si>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</si>
  <si>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</si>
  <si>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</si>
  <si>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</si>
  <si>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</si>
  <si>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</si>
  <si>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-*HP*</t>
  </si>
  <si>
    <t>elc,e[_]*</t>
  </si>
  <si>
    <t>HOP_Elec</t>
  </si>
  <si>
    <t>Electric Boiler (DH)</t>
  </si>
  <si>
    <t>*HP*</t>
  </si>
  <si>
    <t>Heat_Pump</t>
  </si>
  <si>
    <t>Large-Scale Heat Pump</t>
  </si>
  <si>
    <t>Bio_Power</t>
  </si>
  <si>
    <t>Biomass Power (ELE)</t>
  </si>
  <si>
    <t>ELE,CHP</t>
  </si>
  <si>
    <t>elcs*,solar</t>
  </si>
  <si>
    <t>Solar_Util</t>
  </si>
  <si>
    <t>Solar Utility</t>
  </si>
  <si>
    <t>elcwin,windon</t>
  </si>
  <si>
    <t>Wind_Onshore</t>
  </si>
  <si>
    <t>Wind Onshore</t>
  </si>
  <si>
    <t>windoff</t>
  </si>
  <si>
    <t>Wind_Offshore</t>
  </si>
  <si>
    <t>Wind Offshore</t>
  </si>
  <si>
    <t>elcgeo,geothermal</t>
  </si>
  <si>
    <t>Geothermal</t>
  </si>
  <si>
    <t>Geothermal Power</t>
  </si>
  <si>
    <t>-*ror*</t>
  </si>
  <si>
    <t>elchyd,hydro</t>
  </si>
  <si>
    <t>Hydro_Dam</t>
  </si>
  <si>
    <t>Hydro Dam</t>
  </si>
  <si>
    <t>And</t>
  </si>
  <si>
    <t>Or</t>
  </si>
  <si>
    <t>*HYD-ROR*,*ror*</t>
  </si>
  <si>
    <t>Hydro_RoR</t>
  </si>
  <si>
    <t>Hydro Run-of-River</t>
  </si>
  <si>
    <t>-*SMR*</t>
  </si>
  <si>
    <t>elcnuc,nuclear</t>
  </si>
  <si>
    <t>Nuclear_P</t>
  </si>
  <si>
    <t>Nuclear (Conventional)</t>
  </si>
  <si>
    <t>*SMR*</t>
  </si>
  <si>
    <t>Nuclear_SMR</t>
  </si>
  <si>
    <t>Nuclear SMR</t>
  </si>
  <si>
    <t>STG</t>
  </si>
  <si>
    <t>*HPS*,*hydro_ps*</t>
  </si>
  <si>
    <t>Hydro_PS</t>
  </si>
  <si>
    <t>Pumped Hydro Storage</t>
  </si>
  <si>
    <t>*4h*,*8h*,*12h*,-*EV*</t>
  </si>
  <si>
    <t>Batt_Util</t>
  </si>
  <si>
    <t>Utility Battery Storage</t>
  </si>
  <si>
    <t>*EV*</t>
  </si>
  <si>
    <t>Batt_EV</t>
  </si>
  <si>
    <t>EV Battery</t>
  </si>
  <si>
    <t>IRE</t>
  </si>
  <si>
    <t>g[_]*</t>
  </si>
  <si>
    <t>Grid</t>
  </si>
  <si>
    <t>DMD</t>
  </si>
  <si>
    <t>Demand</t>
  </si>
  <si>
    <t>PRE</t>
  </si>
  <si>
    <t>stepdown*</t>
  </si>
  <si>
    <t>Transformers Dn</t>
  </si>
  <si>
    <t>stepup*</t>
  </si>
  <si>
    <t>Transformers Up</t>
  </si>
  <si>
    <t>distr*</t>
  </si>
  <si>
    <t>Aggregators</t>
  </si>
  <si>
    <t>IMP*Z</t>
  </si>
  <si>
    <t>DUMMY_IMP</t>
  </si>
  <si>
    <t>distr_sol*</t>
  </si>
  <si>
    <t>distr_won*</t>
  </si>
  <si>
    <t>distr_wof*</t>
  </si>
  <si>
    <t>geothermal</t>
  </si>
  <si>
    <t>hydro</t>
  </si>
  <si>
    <t>nuclear</t>
  </si>
  <si>
    <t>coal</t>
  </si>
  <si>
    <t>~TFM_Csets</t>
  </si>
  <si>
    <t>CSET_SET</t>
  </si>
  <si>
    <t>CSET_CN</t>
  </si>
  <si>
    <t>CSET_CD</t>
  </si>
  <si>
    <t>c_Pos_AndOr</t>
  </si>
  <si>
    <t>c_Neg_AndOr</t>
  </si>
  <si>
    <t>e*spv*</t>
  </si>
  <si>
    <t>Solar elec</t>
  </si>
  <si>
    <t>e*won*,e*wof*</t>
  </si>
  <si>
    <t>Wind elec</t>
  </si>
  <si>
    <t>coal,gas,oil</t>
  </si>
  <si>
    <t>fossil</t>
  </si>
  <si>
    <t>geothermal,hydro,solar,wind</t>
  </si>
  <si>
    <t>renewable</t>
  </si>
  <si>
    <t>bioenergy</t>
  </si>
  <si>
    <t>hydrogen</t>
  </si>
  <si>
    <t>ELC,e[_]*</t>
  </si>
  <si>
    <t>Electricity</t>
  </si>
  <si>
    <t>elc_buildings</t>
  </si>
  <si>
    <t>buildings</t>
  </si>
  <si>
    <t>elc_industry</t>
  </si>
  <si>
    <t>industry</t>
  </si>
  <si>
    <t>elc_transport</t>
  </si>
  <si>
    <t>transport</t>
  </si>
  <si>
    <t>elc_roadtransport</t>
  </si>
  <si>
    <t>EVs</t>
  </si>
  <si>
    <t>co2</t>
  </si>
  <si>
    <t>co2captured,co2[_]*</t>
  </si>
  <si>
    <t>CO2Captured</t>
  </si>
  <si>
    <t>co2s[_]*</t>
  </si>
  <si>
    <t>CO2Stored</t>
  </si>
  <si>
    <t>~tfm_psets</t>
  </si>
  <si>
    <t>setname</t>
  </si>
  <si>
    <t>pset_co</t>
  </si>
  <si>
    <t>pset_ci</t>
  </si>
  <si>
    <t>t_pos_andor</t>
  </si>
  <si>
    <t>OR</t>
  </si>
  <si>
    <t>p_Navoiy_UZB</t>
  </si>
  <si>
    <t>*[_]Navoiy_UZB</t>
  </si>
  <si>
    <t>p_Andijon_UZB</t>
  </si>
  <si>
    <t>*[_]Andijon_UZB</t>
  </si>
  <si>
    <t>p_Druzhba_UZB</t>
  </si>
  <si>
    <t>*[_]Druzhba_UZB</t>
  </si>
  <si>
    <t>p_Namangan_UZB</t>
  </si>
  <si>
    <t>*[_]Namangan_UZB</t>
  </si>
  <si>
    <t>p_Bekobod_UZB</t>
  </si>
  <si>
    <t>*[_]Bekobod_UZB</t>
  </si>
  <si>
    <t>p_Tashkent_UZB</t>
  </si>
  <si>
    <t>*[_]Tashkent_UZB</t>
  </si>
  <si>
    <t>p_Guzor_UZB</t>
  </si>
  <si>
    <t>*[_]Guzor_UZB</t>
  </si>
  <si>
    <t>p_Qarshi_UZB</t>
  </si>
  <si>
    <t>*[_]Qarshi_UZB</t>
  </si>
  <si>
    <t>p_BeshkentShahri_UZB</t>
  </si>
  <si>
    <t>*[_]BeshkentShahri_UZB</t>
  </si>
  <si>
    <t>p_Nukus_UZB</t>
  </si>
  <si>
    <t>*[_]Nukus_UZB</t>
  </si>
  <si>
    <t>p_ZarafshonShahri_UZB</t>
  </si>
  <si>
    <t>*[_]ZarafshonShahri_UZB</t>
  </si>
  <si>
    <t>p_Samarkand_UZB</t>
  </si>
  <si>
    <t>*[_]Samarkand_UZB</t>
  </si>
  <si>
    <t>p_Termiz_UZB</t>
  </si>
  <si>
    <t>*[_]Termiz_UZB</t>
  </si>
  <si>
    <t>p_Denov_UZB</t>
  </si>
  <si>
    <t>*[_]Denov_UZB</t>
  </si>
  <si>
    <t>p_Bukhara_UZB</t>
  </si>
  <si>
    <t>*[_]Bukhara_UZB</t>
  </si>
  <si>
    <t>rez_spv_UZB_001</t>
  </si>
  <si>
    <t>elc_spv_UZB_001</t>
  </si>
  <si>
    <t>rez_spv_UZB_002</t>
  </si>
  <si>
    <t>elc_spv_UZB_002</t>
  </si>
  <si>
    <t>rez_spv_UZB_003</t>
  </si>
  <si>
    <t>elc_spv_UZB_003</t>
  </si>
  <si>
    <t>rez_spv_UZB_004</t>
  </si>
  <si>
    <t>elc_spv_UZB_004</t>
  </si>
  <si>
    <t>rez_spv_UZB_005</t>
  </si>
  <si>
    <t>elc_spv_UZB_005</t>
  </si>
  <si>
    <t>rez_spv_UZB_006</t>
  </si>
  <si>
    <t>elc_spv_UZB_006</t>
  </si>
  <si>
    <t>rez_spv_UZB_007</t>
  </si>
  <si>
    <t>elc_spv_UZB_007</t>
  </si>
  <si>
    <t>rez_spv_UZB_008</t>
  </si>
  <si>
    <t>elc_spv_UZB_008</t>
  </si>
  <si>
    <t>rez_spv_UZB_009</t>
  </si>
  <si>
    <t>elc_spv_UZB_009</t>
  </si>
  <si>
    <t>rez_spv_UZB_010</t>
  </si>
  <si>
    <t>elc_spv_UZB_010</t>
  </si>
  <si>
    <t>rez_spv_UZB_011</t>
  </si>
  <si>
    <t>elc_spv_UZB_011</t>
  </si>
  <si>
    <t>rez_spv_UZB_012</t>
  </si>
  <si>
    <t>elc_spv_UZB_012</t>
  </si>
  <si>
    <t>rez_spv_UZB_013</t>
  </si>
  <si>
    <t>elc_spv_UZB_013</t>
  </si>
  <si>
    <t>rez_spv_UZB_014</t>
  </si>
  <si>
    <t>elc_spv_UZB_014</t>
  </si>
  <si>
    <t>rez_spv_UZB_015</t>
  </si>
  <si>
    <t>elc_spv_UZB_015</t>
  </si>
  <si>
    <t>rez_spv_UZB_016</t>
  </si>
  <si>
    <t>elc_spv_UZB_016</t>
  </si>
  <si>
    <t>rez_spv_UZB_017</t>
  </si>
  <si>
    <t>elc_spv_UZB_017</t>
  </si>
  <si>
    <t>rez_spv_UZB_018</t>
  </si>
  <si>
    <t>elc_spv_UZB_018</t>
  </si>
  <si>
    <t>rez_spv_UZB_019</t>
  </si>
  <si>
    <t>elc_spv_UZB_019</t>
  </si>
  <si>
    <t>rez_spv_UZB_020</t>
  </si>
  <si>
    <t>elc_spv_UZB_020</t>
  </si>
  <si>
    <t>rez_spv_UZB_021</t>
  </si>
  <si>
    <t>elc_spv_UZB_021</t>
  </si>
  <si>
    <t>rez_spv_UZB_022</t>
  </si>
  <si>
    <t>elc_spv_UZB_022</t>
  </si>
  <si>
    <t>rez_spv_UZB_023</t>
  </si>
  <si>
    <t>elc_spv_UZB_023</t>
  </si>
  <si>
    <t>rez_spv_UZB_024</t>
  </si>
  <si>
    <t>elc_spv_UZB_024</t>
  </si>
  <si>
    <t>rez_spv_UZB_025</t>
  </si>
  <si>
    <t>elc_spv_UZB_025</t>
  </si>
  <si>
    <t>rez_spv_UZB_026</t>
  </si>
  <si>
    <t>elc_spv_UZB_026</t>
  </si>
  <si>
    <t>rez_won_UZB_001</t>
  </si>
  <si>
    <t>elc_won_UZB_001</t>
  </si>
  <si>
    <t>rez_won_UZB_002</t>
  </si>
  <si>
    <t>elc_won_UZB_002</t>
  </si>
  <si>
    <t>rez_won_UZB_003</t>
  </si>
  <si>
    <t>elc_won_UZB_003</t>
  </si>
  <si>
    <t>rez_won_UZB_004</t>
  </si>
  <si>
    <t>elc_won_UZB_004</t>
  </si>
  <si>
    <t>rez_won_UZB_005</t>
  </si>
  <si>
    <t>elc_won_UZB_005</t>
  </si>
  <si>
    <t>rez_won_UZB_006</t>
  </si>
  <si>
    <t>elc_won_UZB_006</t>
  </si>
  <si>
    <t>rez_won_UZB_007</t>
  </si>
  <si>
    <t>elc_won_UZB_007</t>
  </si>
  <si>
    <t>rez_won_UZB_008</t>
  </si>
  <si>
    <t>elc_won_UZB_008</t>
  </si>
  <si>
    <t>rez_won_UZB_009</t>
  </si>
  <si>
    <t>elc_won_UZB_009</t>
  </si>
  <si>
    <t>rez_won_UZB_010</t>
  </si>
  <si>
    <t>elc_won_UZB_010</t>
  </si>
  <si>
    <t>rez_won_UZB_011</t>
  </si>
  <si>
    <t>elc_won_UZB_011</t>
  </si>
  <si>
    <t>rez_won_UZB_012</t>
  </si>
  <si>
    <t>elc_won_UZB_012</t>
  </si>
  <si>
    <t>rez_won_UZB_013</t>
  </si>
  <si>
    <t>elc_won_UZB_013</t>
  </si>
  <si>
    <t>rez_won_UZB_014</t>
  </si>
  <si>
    <t>elc_won_UZB_014</t>
  </si>
  <si>
    <t>rez_won_UZB_015</t>
  </si>
  <si>
    <t>elc_won_UZB_015</t>
  </si>
  <si>
    <t>rez_won_UZB_016</t>
  </si>
  <si>
    <t>elc_won_UZB_016</t>
  </si>
  <si>
    <t>rez_won_UZB_017</t>
  </si>
  <si>
    <t>elc_won_UZB_017</t>
  </si>
  <si>
    <t>rez_won_UZB_018</t>
  </si>
  <si>
    <t>elc_won_UZB_018</t>
  </si>
  <si>
    <t>rez_won_UZB_019</t>
  </si>
  <si>
    <t>elc_won_UZB_019</t>
  </si>
  <si>
    <t>rez_won_UZB_020</t>
  </si>
  <si>
    <t>elc_won_UZB_020</t>
  </si>
  <si>
    <t>rez_won_UZB_021</t>
  </si>
  <si>
    <t>elc_won_UZB_021</t>
  </si>
  <si>
    <t>rez_won_UZB_022</t>
  </si>
  <si>
    <t>elc_won_UZB_022</t>
  </si>
  <si>
    <t>rez_won_UZB_023</t>
  </si>
  <si>
    <t>elc_won_UZB_023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</si>
</sst>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/>
    <xf numFmtId="0" fontId="2" fillId="0" borderId="2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D11" sqref="D11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11.1406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8" x14ac:dyDescent="0.25">
      <c r="A1" t="s">
        <v>122</v>
      </c>
    </row>
    <row r="2" spans="1:8" x14ac:dyDescent="0.25">
      <c r="A2" t="s">
        <v>123</v>
      </c>
      <c r="B2" t="s">
        <v>124</v>
      </c>
      <c r="C2" t="s">
        <v>125</v>
      </c>
      <c r="D2" t="s">
        <v>6</v>
      </c>
      <c r="E2" t="s">
        <v>7</v>
      </c>
      <c r="F2" t="s">
        <v>126</v>
      </c>
      <c r="G2" t="s">
        <v>127</v>
      </c>
      <c r="H2" t="s">
        <v>10</v>
      </c>
    </row>
    <row r="3" spans="1:8" x14ac:dyDescent="0.25">
      <c r="B3" t="s">
        <v>128</v>
      </c>
      <c r="D3" t="s">
        <v>129</v>
      </c>
    </row>
    <row r="4" spans="1:8" x14ac:dyDescent="0.25">
      <c r="B4" t="s">
        <v>130</v>
      </c>
      <c r="D4" t="s">
        <v>131</v>
      </c>
    </row>
    <row r="5" spans="1:8" x14ac:dyDescent="0.25">
      <c r="B5" t="s">
        <v>132</v>
      </c>
      <c r="D5" t="s">
        <v>133</v>
      </c>
    </row>
    <row r="6" spans="1:8" x14ac:dyDescent="0.25">
      <c r="B6" t="s">
        <v>134</v>
      </c>
      <c r="D6" t="s">
        <v>135</v>
      </c>
    </row>
    <row r="7" spans="1:8" x14ac:dyDescent="0.25">
      <c r="B7" t="s">
        <v>136</v>
      </c>
      <c r="D7" t="str">
        <f>B7</f>
        <v>bioenergy</v>
      </c>
    </row>
    <row r="8" spans="1:8" x14ac:dyDescent="0.25">
      <c r="B8" t="s">
        <v>137</v>
      </c>
      <c r="D8" t="str">
        <f>B8</f>
        <v>hydrogen</v>
      </c>
    </row>
    <row r="9" spans="1:8" x14ac:dyDescent="0.25">
      <c r="B9" t="s">
        <v>120</v>
      </c>
      <c r="D9" t="str">
        <f>B9</f>
        <v>nuclear</v>
      </c>
    </row>
    <row r="10" spans="1:8" x14ac:dyDescent="0.25">
      <c r="B10" t="s">
        <v>138</v>
      </c>
      <c r="D10" t="s">
        <v>139</v>
      </c>
    </row>
    <row r="11" spans="1:8" x14ac:dyDescent="0.25">
      <c r="B11" t="s">
        <v>140</v>
      </c>
      <c r="D11" t="s">
        <v>141</v>
      </c>
    </row>
    <row r="12" spans="1:8" x14ac:dyDescent="0.25">
      <c r="B12" t="s">
        <v>142</v>
      </c>
      <c r="D12" t="s">
        <v>143</v>
      </c>
    </row>
    <row r="13" spans="1:8" x14ac:dyDescent="0.25">
      <c r="B13" t="s">
        <v>144</v>
      </c>
      <c r="D13" t="s">
        <v>145</v>
      </c>
    </row>
    <row r="14" spans="1:8" x14ac:dyDescent="0.25">
      <c r="B14" t="s">
        <v>146</v>
      </c>
      <c r="D14" t="s">
        <v>147</v>
      </c>
    </row>
    <row r="15" spans="1:8" x14ac:dyDescent="0.25">
      <c r="B15" t="s">
        <v>148</v>
      </c>
      <c r="D15" t="str">
        <f>B15</f>
        <v>co2</v>
      </c>
    </row>
    <row r="16" spans="1:8" x14ac:dyDescent="0.25">
      <c r="B16" t="s">
        <v>149</v>
      </c>
      <c r="D16" t="s">
        <v>150</v>
      </c>
    </row>
    <row r="17" spans="2:4" x14ac:dyDescent="0.25">
      <c r="B17" t="s">
        <v>151</v>
      </c>
      <c r="D17" t="s">
        <v>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9:E74"/>
  <sheetViews>
    <sheetView workbookViewId="0"/>
  </sheetViews>
  <sheetFormatPr defaultRowHeight="15" x14ac:dyDescent="0.25"/>
  <sheetData>
    <row r="9" spans="2:5" x14ac:dyDescent="0.25">
      <c r="B9" t="s">
        <v>153</v>
      </c>
    </row>
    <row r="10" spans="2:5" x14ac:dyDescent="0.25">
      <c r="B10" t="s">
        <v>154</v>
      </c>
      <c r="C10" t="s">
        <v>155</v>
      </c>
      <c r="D10" t="s">
        <v>156</v>
      </c>
      <c r="E10" t="s">
        <v>157</v>
      </c>
    </row>
    <row r="11" spans="2:5" x14ac:dyDescent="0.25">
      <c r="B11" t="s">
        <v>159</v>
      </c>
      <c r="C11" t="s">
        <v>160</v>
      </c>
      <c r="D11" t="s">
        <v>160</v>
      </c>
      <c r="E11" t="s">
        <v>158</v>
      </c>
    </row>
    <row r="12" spans="2:5" x14ac:dyDescent="0.25">
      <c r="B12" t="s">
        <v>161</v>
      </c>
      <c r="C12" t="s">
        <v>162</v>
      </c>
      <c r="D12" t="s">
        <v>162</v>
      </c>
      <c r="E12" t="s">
        <v>158</v>
      </c>
    </row>
    <row r="13" spans="2:5" x14ac:dyDescent="0.25">
      <c r="B13" t="s">
        <v>163</v>
      </c>
      <c r="C13" t="s">
        <v>164</v>
      </c>
      <c r="D13" t="s">
        <v>164</v>
      </c>
      <c r="E13" t="s">
        <v>158</v>
      </c>
    </row>
    <row r="14" spans="2:5" x14ac:dyDescent="0.25">
      <c r="B14" t="s">
        <v>165</v>
      </c>
      <c r="C14" t="s">
        <v>166</v>
      </c>
      <c r="D14" t="s">
        <v>166</v>
      </c>
      <c r="E14" t="s">
        <v>158</v>
      </c>
    </row>
    <row r="15" spans="2:5" x14ac:dyDescent="0.25">
      <c r="B15" t="s">
        <v>167</v>
      </c>
      <c r="C15" t="s">
        <v>168</v>
      </c>
      <c r="D15" t="s">
        <v>168</v>
      </c>
      <c r="E15" t="s">
        <v>158</v>
      </c>
    </row>
    <row r="16" spans="2:5" x14ac:dyDescent="0.25">
      <c r="B16" t="s">
        <v>169</v>
      </c>
      <c r="C16" t="s">
        <v>170</v>
      </c>
      <c r="D16" t="s">
        <v>170</v>
      </c>
      <c r="E16" t="s">
        <v>158</v>
      </c>
    </row>
    <row r="17" spans="2:5" x14ac:dyDescent="0.25">
      <c r="B17" t="s">
        <v>171</v>
      </c>
      <c r="C17" t="s">
        <v>172</v>
      </c>
      <c r="D17" t="s">
        <v>172</v>
      </c>
      <c r="E17" t="s">
        <v>158</v>
      </c>
    </row>
    <row r="18" spans="2:5" x14ac:dyDescent="0.25">
      <c r="B18" t="s">
        <v>173</v>
      </c>
      <c r="C18" t="s">
        <v>174</v>
      </c>
      <c r="D18" t="s">
        <v>174</v>
      </c>
      <c r="E18" t="s">
        <v>158</v>
      </c>
    </row>
    <row r="19" spans="2:5" x14ac:dyDescent="0.25">
      <c r="B19" t="s">
        <v>175</v>
      </c>
      <c r="C19" t="s">
        <v>176</v>
      </c>
      <c r="D19" t="s">
        <v>176</v>
      </c>
      <c r="E19" t="s">
        <v>158</v>
      </c>
    </row>
    <row r="20" spans="2:5" x14ac:dyDescent="0.25">
      <c r="B20" t="s">
        <v>177</v>
      </c>
      <c r="C20" t="s">
        <v>178</v>
      </c>
      <c r="D20" t="s">
        <v>178</v>
      </c>
      <c r="E20" t="s">
        <v>158</v>
      </c>
    </row>
    <row r="21" spans="2:5" x14ac:dyDescent="0.25">
      <c r="B21" t="s">
        <v>179</v>
      </c>
      <c r="C21" t="s">
        <v>180</v>
      </c>
      <c r="D21" t="s">
        <v>180</v>
      </c>
      <c r="E21" t="s">
        <v>158</v>
      </c>
    </row>
    <row r="22" spans="2:5" x14ac:dyDescent="0.25">
      <c r="B22" t="s">
        <v>181</v>
      </c>
      <c r="C22" t="s">
        <v>182</v>
      </c>
      <c r="D22" t="s">
        <v>182</v>
      </c>
      <c r="E22" t="s">
        <v>158</v>
      </c>
    </row>
    <row r="23" spans="2:5" x14ac:dyDescent="0.25">
      <c r="B23" t="s">
        <v>183</v>
      </c>
      <c r="C23" t="s">
        <v>184</v>
      </c>
      <c r="D23" t="s">
        <v>184</v>
      </c>
      <c r="E23" t="s">
        <v>158</v>
      </c>
    </row>
    <row r="24" spans="2:5" x14ac:dyDescent="0.25">
      <c r="B24" t="s">
        <v>185</v>
      </c>
      <c r="C24" t="s">
        <v>186</v>
      </c>
      <c r="D24" t="s">
        <v>186</v>
      </c>
      <c r="E24" t="s">
        <v>158</v>
      </c>
    </row>
    <row r="25" spans="2:5" x14ac:dyDescent="0.25">
      <c r="B25" t="s">
        <v>187</v>
      </c>
      <c r="C25" t="s">
        <v>188</v>
      </c>
      <c r="D25" t="s">
        <v>188</v>
      </c>
      <c r="E25" t="s">
        <v>158</v>
      </c>
    </row>
    <row r="26" spans="2:5" x14ac:dyDescent="0.25">
      <c r="B26" t="s">
        <v>189</v>
      </c>
      <c r="C26" t="s">
        <v>190</v>
      </c>
      <c r="D26" t="s">
        <v>190</v>
      </c>
      <c r="E26" t="s">
        <v>158</v>
      </c>
    </row>
    <row r="27" spans="2:5" x14ac:dyDescent="0.25">
      <c r="B27" t="s">
        <v>191</v>
      </c>
      <c r="C27" t="s">
        <v>192</v>
      </c>
      <c r="D27" t="s">
        <v>192</v>
      </c>
      <c r="E27" t="s">
        <v>158</v>
      </c>
    </row>
    <row r="28" spans="2:5" x14ac:dyDescent="0.25">
      <c r="B28" t="s">
        <v>193</v>
      </c>
      <c r="C28" t="s">
        <v>194</v>
      </c>
      <c r="D28" t="s">
        <v>194</v>
      </c>
      <c r="E28" t="s">
        <v>158</v>
      </c>
    </row>
    <row r="29" spans="2:5" x14ac:dyDescent="0.25">
      <c r="B29" t="s">
        <v>195</v>
      </c>
      <c r="C29" t="s">
        <v>196</v>
      </c>
      <c r="D29" t="s">
        <v>196</v>
      </c>
      <c r="E29" t="s">
        <v>158</v>
      </c>
    </row>
    <row r="30" spans="2:5" x14ac:dyDescent="0.25">
      <c r="B30" t="s">
        <v>197</v>
      </c>
      <c r="C30" t="s">
        <v>198</v>
      </c>
      <c r="D30" t="s">
        <v>198</v>
      </c>
      <c r="E30" t="s">
        <v>158</v>
      </c>
    </row>
    <row r="31" spans="2:5" x14ac:dyDescent="0.25">
      <c r="B31" t="s">
        <v>199</v>
      </c>
      <c r="C31" t="s">
        <v>200</v>
      </c>
      <c r="D31" t="s">
        <v>200</v>
      </c>
      <c r="E31" t="s">
        <v>158</v>
      </c>
    </row>
    <row r="32" spans="2:5" x14ac:dyDescent="0.25">
      <c r="B32" t="s">
        <v>201</v>
      </c>
      <c r="C32" t="s">
        <v>202</v>
      </c>
      <c r="D32" t="s">
        <v>202</v>
      </c>
      <c r="E32" t="s">
        <v>158</v>
      </c>
    </row>
    <row r="33" spans="2:5" x14ac:dyDescent="0.25">
      <c r="B33" t="s">
        <v>203</v>
      </c>
      <c r="C33" t="s">
        <v>204</v>
      </c>
      <c r="D33" t="s">
        <v>204</v>
      </c>
      <c r="E33" t="s">
        <v>158</v>
      </c>
    </row>
    <row r="34" spans="2:5" x14ac:dyDescent="0.25">
      <c r="B34" t="s">
        <v>205</v>
      </c>
      <c r="C34" t="s">
        <v>206</v>
      </c>
      <c r="D34" t="s">
        <v>206</v>
      </c>
      <c r="E34" t="s">
        <v>158</v>
      </c>
    </row>
    <row r="35" spans="2:5" x14ac:dyDescent="0.25">
      <c r="B35" t="s">
        <v>207</v>
      </c>
      <c r="C35" t="s">
        <v>208</v>
      </c>
      <c r="D35" t="s">
        <v>208</v>
      </c>
      <c r="E35" t="s">
        <v>158</v>
      </c>
    </row>
    <row r="36" spans="2:5" x14ac:dyDescent="0.25">
      <c r="B36" t="s">
        <v>209</v>
      </c>
      <c r="C36" t="s">
        <v>210</v>
      </c>
      <c r="D36" t="s">
        <v>210</v>
      </c>
      <c r="E36" t="s">
        <v>158</v>
      </c>
    </row>
    <row r="37" spans="2:5" x14ac:dyDescent="0.25">
      <c r="B37" t="s">
        <v>211</v>
      </c>
      <c r="C37" t="s">
        <v>212</v>
      </c>
      <c r="D37" t="s">
        <v>212</v>
      </c>
      <c r="E37" t="s">
        <v>158</v>
      </c>
    </row>
    <row r="38" spans="2:5" x14ac:dyDescent="0.25">
      <c r="B38" t="s">
        <v>213</v>
      </c>
      <c r="C38" t="s">
        <v>214</v>
      </c>
      <c r="D38" t="s">
        <v>214</v>
      </c>
      <c r="E38" t="s">
        <v>158</v>
      </c>
    </row>
    <row r="39" spans="2:5" x14ac:dyDescent="0.25">
      <c r="B39" t="s">
        <v>215</v>
      </c>
      <c r="C39" t="s">
        <v>216</v>
      </c>
      <c r="D39" t="s">
        <v>216</v>
      </c>
      <c r="E39" t="s">
        <v>158</v>
      </c>
    </row>
    <row r="40" spans="2:5" x14ac:dyDescent="0.25">
      <c r="B40" t="s">
        <v>217</v>
      </c>
      <c r="C40" t="s">
        <v>218</v>
      </c>
      <c r="D40" t="s">
        <v>218</v>
      </c>
      <c r="E40" t="s">
        <v>158</v>
      </c>
    </row>
    <row r="41" spans="2:5" x14ac:dyDescent="0.25">
      <c r="B41" t="s">
        <v>219</v>
      </c>
      <c r="C41" t="s">
        <v>220</v>
      </c>
      <c r="D41" t="s">
        <v>220</v>
      </c>
      <c r="E41" t="s">
        <v>158</v>
      </c>
    </row>
    <row r="42" spans="2:5" x14ac:dyDescent="0.25">
      <c r="B42" t="s">
        <v>221</v>
      </c>
      <c r="C42" t="s">
        <v>222</v>
      </c>
      <c r="D42" t="s">
        <v>222</v>
      </c>
      <c r="E42" t="s">
        <v>158</v>
      </c>
    </row>
    <row r="43" spans="2:5" x14ac:dyDescent="0.25">
      <c r="B43" t="s">
        <v>223</v>
      </c>
      <c r="C43" t="s">
        <v>224</v>
      </c>
      <c r="D43" t="s">
        <v>224</v>
      </c>
      <c r="E43" t="s">
        <v>158</v>
      </c>
    </row>
    <row r="44" spans="2:5" x14ac:dyDescent="0.25">
      <c r="B44" t="s">
        <v>225</v>
      </c>
      <c r="C44" t="s">
        <v>226</v>
      </c>
      <c r="D44" t="s">
        <v>226</v>
      </c>
      <c r="E44" t="s">
        <v>158</v>
      </c>
    </row>
    <row r="45" spans="2:5" x14ac:dyDescent="0.25">
      <c r="B45" t="s">
        <v>227</v>
      </c>
      <c r="C45" t="s">
        <v>228</v>
      </c>
      <c r="D45" t="s">
        <v>228</v>
      </c>
      <c r="E45" t="s">
        <v>158</v>
      </c>
    </row>
    <row r="46" spans="2:5" x14ac:dyDescent="0.25">
      <c r="B46" t="s">
        <v>229</v>
      </c>
      <c r="C46" t="s">
        <v>230</v>
      </c>
      <c r="D46" t="s">
        <v>230</v>
      </c>
      <c r="E46" t="s">
        <v>158</v>
      </c>
    </row>
    <row r="47" spans="2:5" x14ac:dyDescent="0.25">
      <c r="B47" t="s">
        <v>231</v>
      </c>
      <c r="C47" t="s">
        <v>232</v>
      </c>
      <c r="D47" t="s">
        <v>232</v>
      </c>
      <c r="E47" t="s">
        <v>158</v>
      </c>
    </row>
    <row r="48" spans="2:5" x14ac:dyDescent="0.25">
      <c r="B48" t="s">
        <v>233</v>
      </c>
      <c r="C48" t="s">
        <v>234</v>
      </c>
      <c r="D48" t="s">
        <v>234</v>
      </c>
      <c r="E48" t="s">
        <v>158</v>
      </c>
    </row>
    <row r="49" spans="2:5" x14ac:dyDescent="0.25">
      <c r="B49" t="s">
        <v>235</v>
      </c>
      <c r="C49" t="s">
        <v>236</v>
      </c>
      <c r="D49" t="s">
        <v>236</v>
      </c>
      <c r="E49" t="s">
        <v>158</v>
      </c>
    </row>
    <row r="50" spans="2:5" x14ac:dyDescent="0.25">
      <c r="B50" t="s">
        <v>237</v>
      </c>
      <c r="C50" t="s">
        <v>238</v>
      </c>
      <c r="D50" t="s">
        <v>238</v>
      </c>
      <c r="E50" t="s">
        <v>158</v>
      </c>
    </row>
    <row r="51" spans="2:5" x14ac:dyDescent="0.25">
      <c r="B51" t="s">
        <v>239</v>
      </c>
      <c r="C51" t="s">
        <v>240</v>
      </c>
      <c r="D51" t="s">
        <v>240</v>
      </c>
      <c r="E51" t="s">
        <v>158</v>
      </c>
    </row>
    <row r="52" spans="2:5" x14ac:dyDescent="0.25">
      <c r="B52" t="s">
        <v>241</v>
      </c>
      <c r="C52" t="s">
        <v>242</v>
      </c>
      <c r="D52" t="s">
        <v>242</v>
      </c>
      <c r="E52" t="s">
        <v>158</v>
      </c>
    </row>
    <row r="53" spans="2:5" x14ac:dyDescent="0.25">
      <c r="B53" t="s">
        <v>243</v>
      </c>
      <c r="C53" t="s">
        <v>244</v>
      </c>
      <c r="D53" t="s">
        <v>244</v>
      </c>
      <c r="E53" t="s">
        <v>158</v>
      </c>
    </row>
    <row r="54" spans="2:5" x14ac:dyDescent="0.25">
      <c r="B54" t="s">
        <v>245</v>
      </c>
      <c r="C54" t="s">
        <v>246</v>
      </c>
      <c r="D54" t="s">
        <v>246</v>
      </c>
      <c r="E54" t="s">
        <v>158</v>
      </c>
    </row>
    <row r="55" spans="2:5" x14ac:dyDescent="0.25">
      <c r="B55" t="s">
        <v>247</v>
      </c>
      <c r="C55" t="s">
        <v>248</v>
      </c>
      <c r="D55" t="s">
        <v>248</v>
      </c>
      <c r="E55" t="s">
        <v>158</v>
      </c>
    </row>
    <row r="56" spans="2:5" x14ac:dyDescent="0.25">
      <c r="B56" t="s">
        <v>249</v>
      </c>
      <c r="C56" t="s">
        <v>250</v>
      </c>
      <c r="D56" t="s">
        <v>250</v>
      </c>
      <c r="E56" t="s">
        <v>158</v>
      </c>
    </row>
    <row r="57" spans="2:5" x14ac:dyDescent="0.25">
      <c r="B57" t="s">
        <v>251</v>
      </c>
      <c r="C57" t="s">
        <v>252</v>
      </c>
      <c r="D57" t="s">
        <v>252</v>
      </c>
      <c r="E57" t="s">
        <v>158</v>
      </c>
    </row>
    <row r="58" spans="2:5" x14ac:dyDescent="0.25">
      <c r="B58" t="s">
        <v>253</v>
      </c>
      <c r="C58" t="s">
        <v>254</v>
      </c>
      <c r="D58" t="s">
        <v>254</v>
      </c>
      <c r="E58" t="s">
        <v>158</v>
      </c>
    </row>
    <row r="59" spans="2:5" x14ac:dyDescent="0.25">
      <c r="B59" t="s">
        <v>255</v>
      </c>
      <c r="C59" t="s">
        <v>256</v>
      </c>
      <c r="D59" t="s">
        <v>256</v>
      </c>
      <c r="E59" t="s">
        <v>158</v>
      </c>
    </row>
    <row r="60" spans="2:5" x14ac:dyDescent="0.25">
      <c r="B60" t="s">
        <v>257</v>
      </c>
      <c r="C60" t="s">
        <v>258</v>
      </c>
      <c r="D60" t="s">
        <v>258</v>
      </c>
      <c r="E60" t="s">
        <v>158</v>
      </c>
    </row>
    <row r="61" spans="2:5" x14ac:dyDescent="0.25">
      <c r="B61" t="s">
        <v>259</v>
      </c>
      <c r="C61" t="s">
        <v>260</v>
      </c>
      <c r="D61" t="s">
        <v>260</v>
      </c>
      <c r="E61" t="s">
        <v>158</v>
      </c>
    </row>
    <row r="62" spans="2:5" x14ac:dyDescent="0.25">
      <c r="B62" t="s">
        <v>261</v>
      </c>
      <c r="C62" t="s">
        <v>262</v>
      </c>
      <c r="D62" t="s">
        <v>262</v>
      </c>
      <c r="E62" t="s">
        <v>158</v>
      </c>
    </row>
    <row r="63" spans="2:5" x14ac:dyDescent="0.25">
      <c r="B63" t="s">
        <v>263</v>
      </c>
      <c r="C63" t="s">
        <v>264</v>
      </c>
      <c r="D63" t="s">
        <v>264</v>
      </c>
      <c r="E63" t="s">
        <v>158</v>
      </c>
    </row>
    <row r="64" spans="2:5" x14ac:dyDescent="0.25">
      <c r="B64" t="s">
        <v>265</v>
      </c>
      <c r="C64" t="s">
        <v>266</v>
      </c>
      <c r="D64" t="s">
        <v>266</v>
      </c>
      <c r="E64" t="s">
        <v>158</v>
      </c>
    </row>
    <row r="65" spans="2:5" x14ac:dyDescent="0.25">
      <c r="B65" t="s">
        <v>267</v>
      </c>
      <c r="C65" t="s">
        <v>268</v>
      </c>
      <c r="D65" t="s">
        <v>268</v>
      </c>
      <c r="E65" t="s">
        <v>158</v>
      </c>
    </row>
    <row r="66" spans="2:5" x14ac:dyDescent="0.25">
      <c r="B66" t="s">
        <v>269</v>
      </c>
      <c r="C66" t="s">
        <v>270</v>
      </c>
      <c r="D66" t="s">
        <v>270</v>
      </c>
      <c r="E66" t="s">
        <v>158</v>
      </c>
    </row>
    <row r="67" spans="2:5" x14ac:dyDescent="0.25">
      <c r="B67" t="s">
        <v>271</v>
      </c>
      <c r="C67" t="s">
        <v>272</v>
      </c>
      <c r="D67" t="s">
        <v>272</v>
      </c>
      <c r="E67" t="s">
        <v>158</v>
      </c>
    </row>
    <row r="68" spans="2:5" x14ac:dyDescent="0.25">
      <c r="B68" t="s">
        <v>273</v>
      </c>
      <c r="C68" t="s">
        <v>274</v>
      </c>
      <c r="D68" t="s">
        <v>274</v>
      </c>
      <c r="E68" t="s">
        <v>158</v>
      </c>
    </row>
    <row r="69" spans="2:5" x14ac:dyDescent="0.25">
      <c r="B69" t="s">
        <v>275</v>
      </c>
      <c r="C69" t="s">
        <v>276</v>
      </c>
      <c r="D69" t="s">
        <v>276</v>
      </c>
      <c r="E69" t="s">
        <v>158</v>
      </c>
    </row>
    <row r="70" spans="2:5" x14ac:dyDescent="0.25">
      <c r="B70" t="s">
        <v>277</v>
      </c>
      <c r="C70" t="s">
        <v>278</v>
      </c>
      <c r="D70" t="s">
        <v>278</v>
      </c>
      <c r="E70" t="s">
        <v>158</v>
      </c>
    </row>
    <row r="71" spans="2:5" x14ac:dyDescent="0.25">
      <c r="B71" t="s">
        <v>279</v>
      </c>
      <c r="C71" t="s">
        <v>280</v>
      </c>
      <c r="D71" t="s">
        <v>280</v>
      </c>
      <c r="E71" t="s">
        <v>158</v>
      </c>
    </row>
    <row r="72" spans="2:5" x14ac:dyDescent="0.25">
      <c r="B72" t="s">
        <v>281</v>
      </c>
      <c r="C72" t="s">
        <v>282</v>
      </c>
      <c r="D72" t="s">
        <v>282</v>
      </c>
      <c r="E72" t="s">
        <v>158</v>
      </c>
    </row>
    <row r="73" spans="2:5" x14ac:dyDescent="0.25">
      <c r="B73" t="s">
        <v>283</v>
      </c>
      <c r="C73" t="s">
        <v>284</v>
      </c>
      <c r="D73" t="s">
        <v>284</v>
      </c>
      <c r="E73" t="s">
        <v>158</v>
      </c>
    </row>
    <row r="74" spans="2:5" x14ac:dyDescent="0.25">
      <c r="B74" t="s">
        <v>285</v>
      </c>
      <c r="C74" t="s">
        <v>286</v>
      </c>
      <c r="D74" t="s">
        <v>286</v>
      </c>
      <c r="E74" t="s">
        <v>158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tabSelected="1" workbookViewId="0">
      <selection activeCell="E33" sqref="E33"/>
    </sheetView>
  </sheetViews>
  <sheetFormatPr defaultRowHeight="15" x14ac:dyDescent="0.25"/>
  <cols>
    <col min="1" max="1" width="10.140625" bestFit="1" customWidth="1"/>
    <col min="2" max="2" width="50.5703125" customWidth="1"/>
    <col min="3" max="3" width="7.5703125" bestFit="1" customWidth="1"/>
    <col min="4" max="4" width="15.42578125" bestFit="1" customWidth="1"/>
    <col min="5" max="5" width="7.7109375" bestFit="1" customWidth="1"/>
    <col min="6" max="6" width="12.7109375" bestFit="1" customWidth="1"/>
    <col min="7" max="7" width="29.7109375" bestFit="1" customWidth="1"/>
    <col min="8" max="8" width="11.28515625" bestFit="1" customWidth="1"/>
    <col min="9" max="9" width="11.7109375" bestFit="1" customWidth="1"/>
    <col min="10" max="10" width="24.85546875" bestFit="1" customWidth="1"/>
  </cols>
  <sheetData>
    <row r="1" spans="1:10" ht="17.25" customHeight="1" thickBot="1" x14ac:dyDescent="0.35">
      <c r="A1" s="1" t="s">
        <v>0</v>
      </c>
    </row>
    <row r="2" spans="1:10" ht="15" customHeight="1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A3" t="s">
        <v>11</v>
      </c>
      <c r="B3" t="s">
        <v>12</v>
      </c>
      <c r="D3" t="s">
        <v>13</v>
      </c>
      <c r="F3" t="s">
        <v>14</v>
      </c>
      <c r="G3" t="s">
        <v>15</v>
      </c>
      <c r="J3" t="s">
        <v>16</v>
      </c>
    </row>
    <row r="4" spans="1:10" x14ac:dyDescent="0.25">
      <c r="A4" t="s">
        <v>11</v>
      </c>
      <c r="B4" t="s">
        <v>17</v>
      </c>
      <c r="D4" t="s">
        <v>13</v>
      </c>
      <c r="F4" t="s">
        <v>18</v>
      </c>
      <c r="G4" t="s">
        <v>19</v>
      </c>
      <c r="J4" t="s">
        <v>20</v>
      </c>
    </row>
    <row r="5" spans="1:10" x14ac:dyDescent="0.25">
      <c r="A5" t="s">
        <v>11</v>
      </c>
      <c r="B5" t="s">
        <v>21</v>
      </c>
      <c r="D5" t="s">
        <v>13</v>
      </c>
      <c r="F5" t="s">
        <v>22</v>
      </c>
      <c r="G5" t="s">
        <v>23</v>
      </c>
    </row>
    <row r="6" spans="1:10" x14ac:dyDescent="0.25">
      <c r="A6" t="s">
        <v>11</v>
      </c>
      <c r="B6" t="s">
        <v>24</v>
      </c>
      <c r="F6" t="s">
        <v>25</v>
      </c>
      <c r="G6" t="s">
        <v>26</v>
      </c>
    </row>
    <row r="7" spans="1:10" x14ac:dyDescent="0.25">
      <c r="A7" t="s">
        <v>11</v>
      </c>
      <c r="B7" t="s">
        <v>27</v>
      </c>
      <c r="D7" t="s">
        <v>28</v>
      </c>
      <c r="F7" t="s">
        <v>29</v>
      </c>
      <c r="G7" t="s">
        <v>30</v>
      </c>
      <c r="J7" t="s">
        <v>31</v>
      </c>
    </row>
    <row r="8" spans="1:10" x14ac:dyDescent="0.25">
      <c r="A8" t="s">
        <v>11</v>
      </c>
      <c r="B8" t="s">
        <v>32</v>
      </c>
      <c r="D8" t="s">
        <v>28</v>
      </c>
      <c r="F8" t="s">
        <v>33</v>
      </c>
      <c r="G8" t="s">
        <v>34</v>
      </c>
      <c r="J8" t="s">
        <v>35</v>
      </c>
    </row>
    <row r="9" spans="1:10" x14ac:dyDescent="0.25">
      <c r="A9" t="s">
        <v>11</v>
      </c>
      <c r="B9" t="s">
        <v>36</v>
      </c>
      <c r="F9" t="s">
        <v>37</v>
      </c>
      <c r="G9" t="s">
        <v>38</v>
      </c>
    </row>
    <row r="10" spans="1:10" x14ac:dyDescent="0.25">
      <c r="A10" t="s">
        <v>39</v>
      </c>
      <c r="D10" t="s">
        <v>13</v>
      </c>
      <c r="F10" t="s">
        <v>40</v>
      </c>
      <c r="G10" t="s">
        <v>41</v>
      </c>
      <c r="J10" t="s">
        <v>42</v>
      </c>
    </row>
    <row r="11" spans="1:10" x14ac:dyDescent="0.25">
      <c r="A11" t="s">
        <v>39</v>
      </c>
      <c r="D11" t="s">
        <v>28</v>
      </c>
      <c r="F11" t="s">
        <v>43</v>
      </c>
      <c r="G11" t="s">
        <v>44</v>
      </c>
    </row>
    <row r="12" spans="1:10" x14ac:dyDescent="0.25">
      <c r="A12" t="s">
        <v>39</v>
      </c>
      <c r="D12" t="s">
        <v>45</v>
      </c>
      <c r="F12" t="s">
        <v>46</v>
      </c>
      <c r="G12" t="s">
        <v>47</v>
      </c>
    </row>
    <row r="13" spans="1:10" x14ac:dyDescent="0.25">
      <c r="A13" t="s">
        <v>48</v>
      </c>
      <c r="D13" t="s">
        <v>13</v>
      </c>
      <c r="F13" t="s">
        <v>49</v>
      </c>
      <c r="G13" t="s">
        <v>50</v>
      </c>
    </row>
    <row r="14" spans="1:10" x14ac:dyDescent="0.25">
      <c r="A14" t="s">
        <v>48</v>
      </c>
      <c r="D14" t="s">
        <v>45</v>
      </c>
      <c r="F14" t="s">
        <v>51</v>
      </c>
      <c r="G14" t="s">
        <v>52</v>
      </c>
    </row>
    <row r="15" spans="1:10" x14ac:dyDescent="0.25">
      <c r="A15" t="s">
        <v>48</v>
      </c>
      <c r="B15" s="4" t="s">
        <v>53</v>
      </c>
      <c r="D15" t="s">
        <v>54</v>
      </c>
      <c r="F15" t="s">
        <v>55</v>
      </c>
      <c r="G15" t="s">
        <v>56</v>
      </c>
    </row>
    <row r="16" spans="1:10" x14ac:dyDescent="0.25">
      <c r="A16" t="s">
        <v>48</v>
      </c>
      <c r="B16" t="s">
        <v>57</v>
      </c>
      <c r="D16" t="s">
        <v>54</v>
      </c>
      <c r="F16" t="s">
        <v>58</v>
      </c>
      <c r="G16" t="s">
        <v>59</v>
      </c>
    </row>
    <row r="17" spans="1:9" x14ac:dyDescent="0.25">
      <c r="A17" t="s">
        <v>11</v>
      </c>
      <c r="D17" t="s">
        <v>45</v>
      </c>
      <c r="F17" t="s">
        <v>60</v>
      </c>
      <c r="G17" t="s">
        <v>61</v>
      </c>
    </row>
    <row r="18" spans="1:9" x14ac:dyDescent="0.25">
      <c r="A18" t="s">
        <v>62</v>
      </c>
      <c r="D18" t="s">
        <v>63</v>
      </c>
      <c r="F18" t="s">
        <v>64</v>
      </c>
      <c r="G18" t="s">
        <v>65</v>
      </c>
    </row>
    <row r="19" spans="1:9" x14ac:dyDescent="0.25">
      <c r="D19" t="s">
        <v>66</v>
      </c>
      <c r="F19" t="s">
        <v>67</v>
      </c>
      <c r="G19" t="s">
        <v>68</v>
      </c>
    </row>
    <row r="20" spans="1:9" x14ac:dyDescent="0.25">
      <c r="D20" t="s">
        <v>69</v>
      </c>
      <c r="F20" t="s">
        <v>70</v>
      </c>
      <c r="G20" t="s">
        <v>71</v>
      </c>
    </row>
    <row r="21" spans="1:9" x14ac:dyDescent="0.25">
      <c r="D21" t="s">
        <v>72</v>
      </c>
      <c r="F21" t="s">
        <v>73</v>
      </c>
      <c r="G21" t="s">
        <v>74</v>
      </c>
    </row>
    <row r="22" spans="1:9" x14ac:dyDescent="0.25">
      <c r="A22" t="s">
        <v>11</v>
      </c>
      <c r="B22" s="4" t="s">
        <v>75</v>
      </c>
      <c r="D22" t="s">
        <v>76</v>
      </c>
      <c r="F22" t="s">
        <v>77</v>
      </c>
      <c r="G22" t="s">
        <v>78</v>
      </c>
      <c r="H22" t="s">
        <v>79</v>
      </c>
      <c r="I22" t="s">
        <v>80</v>
      </c>
    </row>
    <row r="23" spans="1:9" x14ac:dyDescent="0.25">
      <c r="A23" t="s">
        <v>11</v>
      </c>
      <c r="B23" t="s">
        <v>81</v>
      </c>
      <c r="D23" t="s">
        <v>76</v>
      </c>
      <c r="F23" t="s">
        <v>82</v>
      </c>
      <c r="G23" t="s">
        <v>83</v>
      </c>
    </row>
    <row r="24" spans="1:9" x14ac:dyDescent="0.25">
      <c r="A24" t="s">
        <v>11</v>
      </c>
      <c r="B24" t="s">
        <v>84</v>
      </c>
      <c r="D24" t="s">
        <v>85</v>
      </c>
      <c r="F24" t="s">
        <v>86</v>
      </c>
      <c r="G24" t="s">
        <v>87</v>
      </c>
      <c r="H24" t="s">
        <v>79</v>
      </c>
      <c r="I24" t="s">
        <v>80</v>
      </c>
    </row>
    <row r="25" spans="1:9" x14ac:dyDescent="0.25">
      <c r="A25" t="s">
        <v>11</v>
      </c>
      <c r="B25" t="s">
        <v>88</v>
      </c>
      <c r="D25" t="s">
        <v>85</v>
      </c>
      <c r="F25" t="s">
        <v>89</v>
      </c>
      <c r="G25" t="s">
        <v>90</v>
      </c>
    </row>
    <row r="26" spans="1:9" x14ac:dyDescent="0.25">
      <c r="A26" t="s">
        <v>91</v>
      </c>
      <c r="B26" t="s">
        <v>92</v>
      </c>
      <c r="F26" t="s">
        <v>93</v>
      </c>
      <c r="G26" t="s">
        <v>94</v>
      </c>
    </row>
    <row r="27" spans="1:9" x14ac:dyDescent="0.25">
      <c r="A27" t="s">
        <v>91</v>
      </c>
      <c r="B27" t="s">
        <v>95</v>
      </c>
      <c r="F27" t="s">
        <v>96</v>
      </c>
      <c r="G27" t="s">
        <v>97</v>
      </c>
      <c r="H27" t="s">
        <v>79</v>
      </c>
      <c r="I27" t="s">
        <v>80</v>
      </c>
    </row>
    <row r="28" spans="1:9" x14ac:dyDescent="0.25">
      <c r="A28" t="s">
        <v>91</v>
      </c>
      <c r="B28" t="s">
        <v>98</v>
      </c>
      <c r="F28" t="s">
        <v>99</v>
      </c>
      <c r="G28" t="s">
        <v>100</v>
      </c>
    </row>
    <row r="33" spans="1:10" ht="17.25" customHeight="1" thickBot="1" x14ac:dyDescent="0.35">
      <c r="A33" s="1" t="s">
        <v>0</v>
      </c>
    </row>
    <row r="34" spans="1:10" ht="15" customHeight="1" thickTop="1" thickBot="1" x14ac:dyDescent="0.3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  <c r="G34" s="2" t="s">
        <v>7</v>
      </c>
      <c r="H34" s="2" t="s">
        <v>8</v>
      </c>
      <c r="I34" s="2" t="s">
        <v>9</v>
      </c>
      <c r="J34" s="2" t="s">
        <v>10</v>
      </c>
    </row>
    <row r="35" spans="1:10" x14ac:dyDescent="0.25">
      <c r="A35" t="s">
        <v>101</v>
      </c>
      <c r="B35" t="s">
        <v>102</v>
      </c>
      <c r="F35" t="s">
        <v>103</v>
      </c>
    </row>
    <row r="36" spans="1:10" x14ac:dyDescent="0.25">
      <c r="A36" t="s">
        <v>104</v>
      </c>
      <c r="F36" t="s">
        <v>105</v>
      </c>
    </row>
    <row r="37" spans="1:10" x14ac:dyDescent="0.25">
      <c r="A37" t="s">
        <v>106</v>
      </c>
      <c r="B37" t="s">
        <v>107</v>
      </c>
      <c r="F37" t="s">
        <v>108</v>
      </c>
    </row>
    <row r="38" spans="1:10" x14ac:dyDescent="0.25">
      <c r="A38" t="s">
        <v>106</v>
      </c>
      <c r="B38" t="s">
        <v>109</v>
      </c>
      <c r="F38" t="s">
        <v>110</v>
      </c>
    </row>
    <row r="39" spans="1:10" x14ac:dyDescent="0.25">
      <c r="B39" t="s">
        <v>111</v>
      </c>
      <c r="F39" t="s">
        <v>112</v>
      </c>
    </row>
    <row r="40" spans="1:10" x14ac:dyDescent="0.25">
      <c r="B40" t="s">
        <v>113</v>
      </c>
      <c r="F40" t="s">
        <v>114</v>
      </c>
    </row>
    <row r="41" spans="1:10" x14ac:dyDescent="0.25">
      <c r="B41" t="s">
        <v>115</v>
      </c>
      <c r="F41" s="3" t="str">
        <f>LEFT(B41,9)</f>
        <v>distr_sol</v>
      </c>
    </row>
    <row r="42" spans="1:10" x14ac:dyDescent="0.25">
      <c r="B42" t="s">
        <v>116</v>
      </c>
      <c r="F42" s="3" t="str">
        <f>LEFT(B42,9)</f>
        <v>distr_won</v>
      </c>
    </row>
    <row r="43" spans="1:10" x14ac:dyDescent="0.25">
      <c r="B43" t="s">
        <v>117</v>
      </c>
      <c r="F43" s="3" t="str">
        <f>LEFT(B43,9)</f>
        <v>distr_wof</v>
      </c>
    </row>
    <row r="44" spans="1:10" x14ac:dyDescent="0.25">
      <c r="D44" t="s">
        <v>118</v>
      </c>
      <c r="F44" s="3" t="str">
        <f>"hs_"&amp;D44</f>
        <v>hs_geothermal</v>
      </c>
    </row>
    <row r="45" spans="1:10" x14ac:dyDescent="0.25">
      <c r="D45" t="s">
        <v>119</v>
      </c>
      <c r="F45" s="3" t="str">
        <f>"hs_"&amp;D45</f>
        <v>hs_hydro</v>
      </c>
    </row>
    <row r="46" spans="1:10" x14ac:dyDescent="0.25">
      <c r="D46" t="s">
        <v>120</v>
      </c>
      <c r="F46" s="3" t="str">
        <f>"hs_"&amp;D46</f>
        <v>hs_nuclear</v>
      </c>
    </row>
    <row r="47" spans="1:10" x14ac:dyDescent="0.25">
      <c r="D47" t="s">
        <v>121</v>
      </c>
      <c r="F47" s="3" t="str">
        <f>"hs_"&amp;D47</f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2020-06-02T10:56:49Z</dcterms:created>
  <dcterms:modified xsi:type="dcterms:W3CDTF">2026-10-13T13:29:04Z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