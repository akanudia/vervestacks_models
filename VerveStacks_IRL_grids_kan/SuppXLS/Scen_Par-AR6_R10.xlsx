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RL_grids_kan\SuppXLS\"/>
    </mc:Choice>
  </mc:AlternateContent>
  <xr:revisionPtr revIDLastSave="0" documentId="8_{673D91BE-168D-424E-8847-CF957D0AA661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<sst xmlns="http://schemas.openxmlformats.org/spreadsheetml/2006/main" count="9250" uniqueCount="280">
  <si>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</si>
  <si>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</si>
  <si>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</si>
  <si>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</si>
  <si>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</si>
  <si>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</si>
  <si>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</si>
  <si>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</si>
  <si>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</si>
  <si>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</si>
  <si>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</si>
  <si>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</si>
  <si>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</si>
  <si>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</si>
  <si>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</si>
  <si>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</si>
  <si>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</si>
  <si>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</si>
  <si>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</si>
  <si>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</si>
  <si>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</si>
  <si>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</si>
  <si>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</si>
  <si>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</si>
  <si>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</si>
  <si>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</si>
  <si>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</si>
  <si>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</si>
  <si>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</si>
  <si>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</si>
  <si>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</si>
  <si>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</si>
  <si>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</si>
  <si>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</si>
  <si>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</si>
  <si>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</si>
  <si>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</si>
  <si>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</si>
  <si>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</si>
  <si>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</si>
  <si>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</si>
  <si>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</si>
  <si>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</si>
  <si>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</si>
  <si>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</si>
  <si>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</si>
  <si>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</si>
  <si>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</si>
  <si>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</si>
  <si>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</si>
  <si>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</si>
  <si>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</si>
  <si>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</si>
  <si>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</si>
  <si>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</si>
  <si>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</si>
  <si>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</si>
  <si>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</si>
  <si>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</si>
  <si>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</si>
  <si>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</si>
  <si>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</si>
  <si>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</si>
  <si>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</si>
  <si>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</si>
  <si>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</si>
  <si>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</si>
  <si>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</si>
  <si>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</si>
  <si>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</si>
  <si>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</si>
  <si>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</si>
  <si>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</si>
  <si>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</si>
  <si>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</si>
  <si>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</si>
  <si>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</si>
  <si>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</si>
  <si>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</si>
  <si>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</si>
  <si>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</si>
  <si>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</si>
  <si>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</si>
  <si>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</si>
  <si>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</si>
  <si>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</si>
  <si>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</si>
  <si>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</si>
  <si>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</si>
  <si>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</si>
  <si>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</si>
  <si>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</si>
  <si>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</si>
  <si>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</si>
  <si>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</si>
  <si>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</si>
  <si>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</si>
  <si>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</si>
  <si>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</si>
  <si>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</si>
  <si>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</si>
  <si>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</si>
  <si>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</si>
  <si>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</si>
  <si>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</si>
  <si>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</si>
  <si>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</si>
  <si>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</si>
  <si>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</si>
  <si>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</si>
  <si>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</si>
  <si>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</si>
  <si>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</si>
  <si>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</si>
  <si>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</si>
  <si>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</si>
  <si>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</si>
  <si>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</si>
  <si>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</si>
  <si>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</si>
  <si>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</si>
  <si>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</si>
  <si>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</si>
  <si>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</si>
  <si>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</si>
  <si>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</si>
  <si>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</si>
  <si>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</si>
  <si>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</si>
  <si>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</si>
  <si>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</si>
  <si>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</si>
  <si>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</si>
  <si>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</si>
  <si>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</si>
  <si>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</si>
  <si>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</si>
  <si>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</si>
  <si>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</si>
  <si>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</si>
  <si>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</si>
  <si>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</si>
  <si>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</si>
  <si>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IRL</t>
  </si>
  <si>
    <t>R10EUROPE</t>
  </si>
  <si>
    <t>UK gas market, limited biomass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</si>
  <si>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</si>
  <si>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</si>
  <si>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</si>
  <si>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</si>
  <si>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</si>
  <si>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</si>
  <si>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</si>
  <si>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</si>
  <si>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</si>
  <si>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</si>
  <si>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</si>
  <si>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</si>
  <si>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</si>
  <si>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</si>
  <si>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</si>
  <si>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</si>
  <si>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com_fr</t>
  </si>
  <si>
    <t>elc_spv_001</t>
  </si>
  <si>
    <t>S01aH01</t>
  </si>
  <si>
    <t>IMPNRGZ</t>
  </si>
  <si>
    <t>S01aH02</t>
  </si>
  <si>
    <t>S02aH01</t>
  </si>
  <si>
    <t>S02aH02</t>
  </si>
  <si>
    <t>S03aH01</t>
  </si>
  <si>
    <t>S03aH02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</si>
  <si>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</si>
  <si>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</si>
  <si>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</si>
  <si>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</si>
  <si>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</si>
  <si>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</si>
  <si>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</si>
  <si>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</si>
  <si>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</si>
  <si>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</si>
  <si>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</si>
  <si>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</si>
  <si>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</si>
  <si>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</si>
  <si>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</si>
  <si>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</si>
  <si>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</si>
  <si>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</si>
  <si>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</si>
  <si>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</si>
  <si>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</si>
  <si>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</si>
  <si>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</si>
  <si>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</si>
  <si>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</si>
  <si>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</si>
  <si>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</si>
  <si>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</si>
  <si>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</si>
  <si>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</si>
  <si>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</si>
  <si>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</si>
  <si>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</si>
  <si>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</si>
  <si>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</si>
  <si>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</si>
  <si>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</si>
  <si>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g_yrfr</t>
  </si>
  <si>
    <t>day_night</t>
  </si>
  <si>
    <t>D</t>
  </si>
  <si>
    <t>S03aH01,S01aH01,S02aH01</t>
  </si>
  <si>
    <t>N</t>
  </si>
  <si>
    <t>S02aH02,S01aH02,S03aH02</t>
  </si>
  <si>
    <t>com_pkflx</t>
  </si>
  <si>
    <t>ncap_afs</t>
  </si>
  <si>
    <t>pset_ci</t>
  </si>
  <si>
    <t>hydro</t>
  </si>
  <si>
    <t>S01,S02,S03,S04,S05,S06,S07</t>
  </si>
  <si>
    <t>H03</t>
  </si>
  <si>
    <t>S04</t>
  </si>
  <si>
    <t>H04</t>
  </si>
  <si>
    <t>S05</t>
  </si>
  <si>
    <t>H05</t>
  </si>
  <si>
    <t>S06</t>
  </si>
  <si>
    <t>S07</t>
  </si>
  <si>
    <t>S01aH03</t>
  </si>
  <si>
    <t>S01aH04</t>
  </si>
  <si>
    <t>S01aH05</t>
  </si>
  <si>
    <t>S02aH03</t>
  </si>
  <si>
    <t>S02aH04</t>
  </si>
  <si>
    <t>S02aH05</t>
  </si>
  <si>
    <t>S03aH03</t>
  </si>
  <si>
    <t>S03aH04</t>
  </si>
  <si>
    <t>S03aH05</t>
  </si>
  <si>
    <t>S04aH01</t>
  </si>
  <si>
    <t>S04aH02</t>
  </si>
  <si>
    <t>S04aH03</t>
  </si>
  <si>
    <t>S04aH04</t>
  </si>
  <si>
    <t>S04aH05</t>
  </si>
  <si>
    <t>S05aH01</t>
  </si>
  <si>
    <t>S05aH02</t>
  </si>
  <si>
    <t>S05aH03</t>
  </si>
  <si>
    <t>S05aH04</t>
  </si>
  <si>
    <t>S05aH05</t>
  </si>
  <si>
    <t>S06aH01</t>
  </si>
  <si>
    <t>S06aH02</t>
  </si>
  <si>
    <t>S06aH03</t>
  </si>
  <si>
    <t>S06aH04</t>
  </si>
  <si>
    <t>S06aH05</t>
  </si>
  <si>
    <t>S07aH01</t>
  </si>
  <si>
    <t>S07aH02</t>
  </si>
  <si>
    <t>S07aH03</t>
  </si>
  <si>
    <t>S07aH04</t>
  </si>
  <si>
    <t>S07aH05</t>
  </si>
  <si>
    <t>S02aH04,S01aH02,S04aH04,S03aH03,S02aH03,S07aH03,S06aH04,S03aH04,S01aH03,S05aH02,S05aH03,S04aH03,S07aH04,S03aH02,S01aH04,S07aH02,S05aH04,S06aH02,S06aH03,S04aH02,S02aH02</t>
  </si>
  <si>
    <t>S03aH05,S05aH05,S01aH05,S06aH05,S01aH01,S04aH01,S02aH05,S05aH01,S04aH05,S06aH01,S02aH01,S07aH01,S07aH05,S03aH01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</si>
  <si>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</si>
  <si>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</si>
  <si>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</si>
  <si>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</si>
  <si>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</si>
  <si>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</si>
  <si>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</si>
  <si>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</si>
  <si>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</si>
  <si>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</si>
  <si>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</si>
  <si>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</si>
  <si>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</si>
  <si>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</si>
  <si>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</si>
  <si>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</si>
  <si>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</si>
  <si>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</si>
  <si>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</si>
  <si>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</si>
  <si>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</si>
  <si>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FaP,SaP,WaD,WaP,RaD,SaD,RaP,FaD</t>
  </si>
  <si>
    <t>SaN,WaN,WaP,RaN,FaN,FaP,SaP,RaP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</si>
</sst>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33.86</c:v>
                </c:pt>
                <c:pt idx="1">
                  <c:v>35.553000000000004</c:v>
                </c:pt>
                <c:pt idx="2">
                  <c:v>39.616199999999999</c:v>
                </c:pt>
                <c:pt idx="3">
                  <c:v>44.6952</c:v>
                </c:pt>
                <c:pt idx="4">
                  <c:v>50.79</c:v>
                </c:pt>
                <c:pt idx="5">
                  <c:v>56.884799999999998</c:v>
                </c:pt>
                <c:pt idx="6">
                  <c:v>61.2866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33.86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33.86</v>
      </c>
      <c r="U14" s="8">
        <f t="shared" ref="U14:Z14" si="3">$S$12*J15</f>
        <v>35.553000000000004</v>
      </c>
      <c r="V14" s="8">
        <f t="shared" si="3"/>
        <v>39.616199999999999</v>
      </c>
      <c r="W14" s="8">
        <f t="shared" si="3"/>
        <v>44.6952</v>
      </c>
      <c r="X14" s="8">
        <f t="shared" si="3"/>
        <v>50.79</v>
      </c>
      <c r="Y14" s="8">
        <f t="shared" si="3"/>
        <v>56.884799999999998</v>
      </c>
      <c r="Z14" s="8">
        <f t="shared" si="3"/>
        <v>61.2866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0.39616200000000001</v>
      </c>
      <c r="W18" s="6">
        <f t="shared" si="7"/>
        <v>0.44695200000000002</v>
      </c>
      <c r="X18" s="6">
        <f t="shared" si="7"/>
        <v>0.50790000000000002</v>
      </c>
      <c r="Y18" s="6">
        <f t="shared" si="7"/>
        <v>1.137696</v>
      </c>
      <c r="Z18" s="6">
        <f t="shared" si="7"/>
        <v>1.838598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12.189599999999999</v>
      </c>
      <c r="U19" s="6">
        <f t="shared" si="7"/>
        <v>11.376960000000002</v>
      </c>
      <c r="V19" s="6">
        <f t="shared" si="7"/>
        <v>12.281022</v>
      </c>
      <c r="W19" s="6">
        <f t="shared" si="7"/>
        <v>12.961607999999998</v>
      </c>
      <c r="X19" s="6">
        <f t="shared" si="7"/>
        <v>14.729099999999999</v>
      </c>
      <c r="Y19" s="6">
        <f t="shared" si="7"/>
        <v>16.496592</v>
      </c>
      <c r="Z19" s="6">
        <f t="shared" si="7"/>
        <v>18.38598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20.315999999999999</v>
      </c>
      <c r="U20" s="6">
        <f t="shared" si="7"/>
        <v>21.331800000000001</v>
      </c>
      <c r="V20" s="6">
        <f t="shared" si="7"/>
        <v>23.76972</v>
      </c>
      <c r="W20" s="6">
        <f t="shared" si="7"/>
        <v>25.476263999999997</v>
      </c>
      <c r="X20" s="6">
        <f t="shared" si="7"/>
        <v>27.426600000000001</v>
      </c>
      <c r="Y20" s="6">
        <f t="shared" si="7"/>
        <v>29.580096000000001</v>
      </c>
      <c r="Z20" s="6">
        <f t="shared" si="7"/>
        <v>32.481898000000001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1.0158</v>
      </c>
      <c r="U21" s="6">
        <f t="shared" ref="U21:Z21" si="8">T21</f>
        <v>1.0158</v>
      </c>
      <c r="V21" s="6">
        <f t="shared" si="8"/>
        <v>1.0158</v>
      </c>
      <c r="W21" s="6">
        <f t="shared" si="8"/>
        <v>1.0158</v>
      </c>
      <c r="X21" s="6">
        <f t="shared" si="8"/>
        <v>1.0158</v>
      </c>
      <c r="Y21" s="6">
        <f t="shared" si="8"/>
        <v>1.0158</v>
      </c>
      <c r="Z21" s="6">
        <f t="shared" si="8"/>
        <v>1.0158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0.33859999999999957</v>
      </c>
      <c r="U22" s="6">
        <f t="shared" si="9"/>
        <v>1.8284400000000005</v>
      </c>
      <c r="V22" s="6">
        <f t="shared" si="9"/>
        <v>2.5496580000000009</v>
      </c>
      <c r="W22" s="6">
        <f t="shared" si="9"/>
        <v>5.2415280000000024</v>
      </c>
      <c r="X22" s="6">
        <f t="shared" si="9"/>
        <v>7.6185000000000045</v>
      </c>
      <c r="Y22" s="6">
        <f t="shared" si="9"/>
        <v>9.7923119999999955</v>
      </c>
      <c r="Z22" s="6">
        <f t="shared" si="9"/>
        <v>9.4029219999999967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1.58</v>
      </c>
      <c r="S28" t="s">
        <v>32</v>
      </c>
      <c r="T28" s="3">
        <f>Q28</f>
        <v>1.58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-1.33</v>
      </c>
      <c r="S29" t="s">
        <v>35</v>
      </c>
      <c r="T29" s="3">
        <f>-1*Q29</f>
        <v>1.33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33.4</v>
      </c>
      <c r="J45">
        <f t="shared" si="12"/>
        <v>35.738</v>
      </c>
      <c r="K45">
        <f t="shared" si="12"/>
        <v>41.415999999999997</v>
      </c>
      <c r="L45">
        <f t="shared" si="12"/>
        <v>38.409999999999997</v>
      </c>
      <c r="M45">
        <f t="shared" si="12"/>
        <v>41.75</v>
      </c>
      <c r="N45">
        <f t="shared" si="12"/>
        <v>39.077999999999996</v>
      </c>
      <c r="O45">
        <f t="shared" si="12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30</v>
      </c>
      <c r="O48">
        <f>VLOOKUP($E$5,$AK$9:$AM$15,3,FALSE)*I48</f>
        <v>90</v>
      </c>
      <c r="R48">
        <f>HLOOKUP($G48&amp;"_"&amp;R$44,fuel_prices!$B$10:$I$11,2,FALSE)</f>
        <v>26</v>
      </c>
      <c r="S48">
        <f>HLOOKUP($G48&amp;"_"&amp;S$44,fuel_prices!$B$10:$I$11,2,FALSE)</f>
        <v>34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148</v>
      </c>
      <c r="C84">
        <v>0.9</v>
      </c>
      <c r="D84">
        <v>3</v>
      </c>
      <c r="E84">
        <v>3</v>
      </c>
      <c r="F84" t="s">
        <v>149</v>
      </c>
    </row>
    <row r="85" spans="1:6" x14ac:dyDescent="0.45">
      <c r="A85" t="s">
        <v>32</v>
      </c>
      <c r="B85" t="s">
        <v>148</v>
      </c>
      <c r="C85">
        <v>0</v>
      </c>
      <c r="D85">
        <v>0.7</v>
      </c>
      <c r="E85">
        <v>0.7</v>
      </c>
      <c r="F85" t="s">
        <v>149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27.4</v>
      </c>
      <c r="C11">
        <v>39.4</v>
      </c>
      <c r="D11">
        <v>15.2</v>
      </c>
      <c r="E11">
        <v>18.3</v>
      </c>
      <c r="F11">
        <v>48</v>
      </c>
      <c r="G11">
        <v>58</v>
      </c>
      <c r="H11">
        <v>26</v>
      </c>
      <c r="I11">
        <v>34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11.09</v>
      </c>
      <c r="D11">
        <v>12.54</v>
      </c>
      <c r="E11">
        <v>0.03</v>
      </c>
      <c r="F11">
        <v>0</v>
      </c>
      <c r="G11">
        <v>0.17</v>
      </c>
      <c r="H11">
        <v>-7.0000000000000007E-2</v>
      </c>
      <c r="I11">
        <v>23.67</v>
      </c>
    </row>
    <row r="12" spans="1:9" x14ac:dyDescent="0.45">
      <c r="A12" t="s">
        <v>143</v>
      </c>
      <c r="B12">
        <v>2001</v>
      </c>
      <c r="C12">
        <v>10.87</v>
      </c>
      <c r="D12">
        <v>13.36</v>
      </c>
      <c r="E12">
        <v>0.03</v>
      </c>
      <c r="F12">
        <v>0</v>
      </c>
      <c r="G12">
        <v>0.04</v>
      </c>
      <c r="H12">
        <v>-0.28999999999999998</v>
      </c>
      <c r="I12">
        <v>24.63</v>
      </c>
    </row>
    <row r="13" spans="1:9" x14ac:dyDescent="0.45">
      <c r="A13" t="s">
        <v>143</v>
      </c>
      <c r="B13">
        <v>2002</v>
      </c>
      <c r="C13">
        <v>11.14</v>
      </c>
      <c r="D13">
        <v>13.93</v>
      </c>
      <c r="E13">
        <v>0.02</v>
      </c>
      <c r="F13">
        <v>0</v>
      </c>
      <c r="G13">
        <v>0.56999999999999995</v>
      </c>
      <c r="H13">
        <v>-0.06</v>
      </c>
      <c r="I13">
        <v>24.84</v>
      </c>
    </row>
    <row r="14" spans="1:9" x14ac:dyDescent="0.45">
      <c r="A14" t="s">
        <v>143</v>
      </c>
      <c r="B14">
        <v>2003</v>
      </c>
      <c r="C14">
        <v>11.24</v>
      </c>
      <c r="D14">
        <v>15.05</v>
      </c>
      <c r="E14">
        <v>0.02</v>
      </c>
      <c r="F14">
        <v>0</v>
      </c>
      <c r="G14">
        <v>1.18</v>
      </c>
      <c r="H14">
        <v>-0.01</v>
      </c>
      <c r="I14">
        <v>24.86</v>
      </c>
    </row>
    <row r="15" spans="1:9" x14ac:dyDescent="0.45">
      <c r="A15" t="s">
        <v>143</v>
      </c>
      <c r="B15">
        <v>2004</v>
      </c>
      <c r="C15">
        <v>10.72</v>
      </c>
      <c r="D15">
        <v>15.57</v>
      </c>
      <c r="E15">
        <v>0.05</v>
      </c>
      <c r="F15">
        <v>0</v>
      </c>
      <c r="G15">
        <v>1.57</v>
      </c>
      <c r="H15">
        <v>0</v>
      </c>
      <c r="I15">
        <v>25.21</v>
      </c>
    </row>
    <row r="16" spans="1:9" x14ac:dyDescent="0.45">
      <c r="A16" t="s">
        <v>143</v>
      </c>
      <c r="B16">
        <v>2005</v>
      </c>
      <c r="C16">
        <v>10.93</v>
      </c>
      <c r="D16">
        <v>16.670000000000002</v>
      </c>
      <c r="E16">
        <v>0.06</v>
      </c>
      <c r="F16">
        <v>0</v>
      </c>
      <c r="G16">
        <v>2.0499999999999998</v>
      </c>
      <c r="H16">
        <v>0</v>
      </c>
      <c r="I16">
        <v>25.63</v>
      </c>
    </row>
    <row r="17" spans="1:9" x14ac:dyDescent="0.45">
      <c r="A17" t="s">
        <v>143</v>
      </c>
      <c r="B17">
        <v>2006</v>
      </c>
      <c r="C17">
        <v>11.26</v>
      </c>
      <c r="D17">
        <v>18.11</v>
      </c>
      <c r="E17">
        <v>0.06</v>
      </c>
      <c r="F17">
        <v>0</v>
      </c>
      <c r="G17">
        <v>1.79</v>
      </c>
      <c r="H17">
        <v>-0.01</v>
      </c>
      <c r="I17">
        <v>27.12</v>
      </c>
    </row>
    <row r="18" spans="1:9" x14ac:dyDescent="0.45">
      <c r="A18" t="s">
        <v>143</v>
      </c>
      <c r="B18">
        <v>2007</v>
      </c>
      <c r="C18">
        <v>10.91</v>
      </c>
      <c r="D18">
        <v>18.440000000000001</v>
      </c>
      <c r="E18">
        <v>0.05</v>
      </c>
      <c r="F18">
        <v>0</v>
      </c>
      <c r="G18">
        <v>1.41</v>
      </c>
      <c r="H18">
        <v>-0.08</v>
      </c>
      <c r="I18">
        <v>28.36</v>
      </c>
    </row>
    <row r="19" spans="1:9" x14ac:dyDescent="0.45">
      <c r="A19" t="s">
        <v>143</v>
      </c>
      <c r="B19">
        <v>2008</v>
      </c>
      <c r="C19">
        <v>10.76</v>
      </c>
      <c r="D19">
        <v>19.48</v>
      </c>
      <c r="E19">
        <v>0.05</v>
      </c>
      <c r="F19">
        <v>0</v>
      </c>
      <c r="G19">
        <v>0.75</v>
      </c>
      <c r="H19">
        <v>-0.3</v>
      </c>
      <c r="I19">
        <v>29.92</v>
      </c>
    </row>
    <row r="20" spans="1:9" x14ac:dyDescent="0.45">
      <c r="A20" t="s">
        <v>143</v>
      </c>
      <c r="B20">
        <v>2009</v>
      </c>
      <c r="C20">
        <v>9.76</v>
      </c>
      <c r="D20">
        <v>18.84</v>
      </c>
      <c r="E20">
        <v>0.04</v>
      </c>
      <c r="F20">
        <v>0</v>
      </c>
      <c r="G20">
        <v>0.94</v>
      </c>
      <c r="H20">
        <v>-0.18</v>
      </c>
      <c r="I20">
        <v>27.97</v>
      </c>
    </row>
    <row r="21" spans="1:9" x14ac:dyDescent="0.45">
      <c r="A21" t="s">
        <v>143</v>
      </c>
      <c r="B21">
        <v>2010</v>
      </c>
      <c r="C21">
        <v>9.5299999999999994</v>
      </c>
      <c r="D21">
        <v>18.940000000000001</v>
      </c>
      <c r="E21">
        <v>0.05</v>
      </c>
      <c r="F21">
        <v>0</v>
      </c>
      <c r="G21">
        <v>0.76</v>
      </c>
      <c r="H21">
        <v>-0.28999999999999998</v>
      </c>
      <c r="I21">
        <v>28.18</v>
      </c>
    </row>
    <row r="22" spans="1:9" x14ac:dyDescent="0.45">
      <c r="A22" t="s">
        <v>143</v>
      </c>
      <c r="B22">
        <v>2011</v>
      </c>
      <c r="C22">
        <v>8.91</v>
      </c>
      <c r="D22">
        <v>18.850000000000001</v>
      </c>
      <c r="E22">
        <v>0.05</v>
      </c>
      <c r="F22">
        <v>0</v>
      </c>
      <c r="G22">
        <v>0.73</v>
      </c>
      <c r="H22">
        <v>-0.24</v>
      </c>
      <c r="I22">
        <v>27.16</v>
      </c>
    </row>
    <row r="23" spans="1:9" x14ac:dyDescent="0.45">
      <c r="A23" t="s">
        <v>143</v>
      </c>
      <c r="B23">
        <v>2012</v>
      </c>
      <c r="C23">
        <v>9.1300000000000008</v>
      </c>
      <c r="D23">
        <v>18.649999999999999</v>
      </c>
      <c r="E23">
        <v>0.04</v>
      </c>
      <c r="F23">
        <v>0</v>
      </c>
      <c r="G23">
        <v>0.78</v>
      </c>
      <c r="H23">
        <v>-0.37</v>
      </c>
      <c r="I23">
        <v>27.14</v>
      </c>
    </row>
    <row r="24" spans="1:9" x14ac:dyDescent="0.45">
      <c r="A24" t="s">
        <v>143</v>
      </c>
      <c r="B24">
        <v>2013</v>
      </c>
      <c r="C24">
        <v>9.23</v>
      </c>
      <c r="D24">
        <v>18.5</v>
      </c>
      <c r="E24">
        <v>0.04</v>
      </c>
      <c r="F24">
        <v>0</v>
      </c>
      <c r="G24">
        <v>2.63</v>
      </c>
      <c r="H24">
        <v>-0.38</v>
      </c>
      <c r="I24">
        <v>25.58</v>
      </c>
    </row>
    <row r="25" spans="1:9" x14ac:dyDescent="0.45">
      <c r="A25" t="s">
        <v>143</v>
      </c>
      <c r="B25">
        <v>2014</v>
      </c>
      <c r="C25">
        <v>9.6</v>
      </c>
      <c r="D25">
        <v>18.07</v>
      </c>
      <c r="E25">
        <v>0.04</v>
      </c>
      <c r="F25">
        <v>0</v>
      </c>
      <c r="G25">
        <v>2.85</v>
      </c>
      <c r="H25">
        <v>-0.7</v>
      </c>
      <c r="I25">
        <v>25.81</v>
      </c>
    </row>
    <row r="26" spans="1:9" x14ac:dyDescent="0.45">
      <c r="A26" t="s">
        <v>143</v>
      </c>
      <c r="B26">
        <v>2015</v>
      </c>
      <c r="C26">
        <v>9.4499999999999993</v>
      </c>
      <c r="D26">
        <v>19.2</v>
      </c>
      <c r="E26">
        <v>0.04</v>
      </c>
      <c r="F26">
        <v>0</v>
      </c>
      <c r="G26">
        <v>1.75</v>
      </c>
      <c r="H26">
        <v>-1.08</v>
      </c>
      <c r="I26">
        <v>28.1</v>
      </c>
    </row>
    <row r="27" spans="1:9" x14ac:dyDescent="0.45">
      <c r="A27" t="s">
        <v>143</v>
      </c>
      <c r="B27">
        <v>2016</v>
      </c>
      <c r="C27">
        <v>9.7799999999999994</v>
      </c>
      <c r="D27">
        <v>19.55</v>
      </c>
      <c r="E27">
        <v>0.04</v>
      </c>
      <c r="F27">
        <v>0</v>
      </c>
      <c r="G27">
        <v>0.87</v>
      </c>
      <c r="H27">
        <v>-1.58</v>
      </c>
      <c r="I27">
        <v>30.22</v>
      </c>
    </row>
    <row r="28" spans="1:9" x14ac:dyDescent="0.45">
      <c r="A28" t="s">
        <v>143</v>
      </c>
      <c r="B28">
        <v>2017</v>
      </c>
      <c r="C28">
        <v>9.75</v>
      </c>
      <c r="D28">
        <v>19.84</v>
      </c>
      <c r="E28">
        <v>0.05</v>
      </c>
      <c r="F28">
        <v>0.01</v>
      </c>
      <c r="G28">
        <v>1.1200000000000001</v>
      </c>
      <c r="H28">
        <v>-1.79</v>
      </c>
      <c r="I28">
        <v>30.67</v>
      </c>
    </row>
    <row r="29" spans="1:9" x14ac:dyDescent="0.45">
      <c r="A29" t="s">
        <v>143</v>
      </c>
      <c r="B29">
        <v>2018</v>
      </c>
      <c r="C29">
        <v>9.5500000000000007</v>
      </c>
      <c r="D29">
        <v>21.33</v>
      </c>
      <c r="E29">
        <v>0.05</v>
      </c>
      <c r="F29">
        <v>0.02</v>
      </c>
      <c r="G29">
        <v>1.62</v>
      </c>
      <c r="H29">
        <v>-1.65</v>
      </c>
      <c r="I29">
        <v>30.9</v>
      </c>
    </row>
    <row r="30" spans="1:9" x14ac:dyDescent="0.45">
      <c r="A30" t="s">
        <v>143</v>
      </c>
      <c r="B30">
        <v>2019</v>
      </c>
      <c r="C30">
        <v>9.48</v>
      </c>
      <c r="D30">
        <v>21.88</v>
      </c>
      <c r="E30">
        <v>0.05</v>
      </c>
      <c r="F30">
        <v>0.03</v>
      </c>
      <c r="G30">
        <v>2.1800000000000002</v>
      </c>
      <c r="H30">
        <v>-1.54</v>
      </c>
      <c r="I30">
        <v>30.71</v>
      </c>
    </row>
    <row r="31" spans="1:9" x14ac:dyDescent="0.45">
      <c r="A31" t="s">
        <v>143</v>
      </c>
      <c r="B31">
        <v>2020</v>
      </c>
      <c r="C31">
        <v>10.029999999999999</v>
      </c>
      <c r="D31">
        <v>21.66</v>
      </c>
      <c r="E31">
        <v>0.05</v>
      </c>
      <c r="F31">
        <v>0.05</v>
      </c>
      <c r="G31">
        <v>1.76</v>
      </c>
      <c r="H31">
        <v>-1.91</v>
      </c>
      <c r="I31">
        <v>31.98</v>
      </c>
    </row>
    <row r="32" spans="1:9" x14ac:dyDescent="0.45">
      <c r="A32" t="s">
        <v>143</v>
      </c>
      <c r="B32">
        <v>2021</v>
      </c>
      <c r="C32">
        <v>10.16</v>
      </c>
      <c r="D32">
        <v>23.02</v>
      </c>
      <c r="E32">
        <v>0.05</v>
      </c>
      <c r="F32">
        <v>0.1</v>
      </c>
      <c r="G32">
        <v>2.4500000000000002</v>
      </c>
      <c r="H32">
        <v>-0.86</v>
      </c>
      <c r="I32">
        <v>31.58</v>
      </c>
    </row>
    <row r="33" spans="1:9" x14ac:dyDescent="0.45">
      <c r="A33" t="s">
        <v>143</v>
      </c>
      <c r="B33">
        <v>2022</v>
      </c>
      <c r="C33">
        <v>10.18</v>
      </c>
      <c r="D33">
        <v>23.71</v>
      </c>
      <c r="E33">
        <v>0.05</v>
      </c>
      <c r="F33">
        <v>0.15</v>
      </c>
      <c r="G33">
        <v>1.58</v>
      </c>
      <c r="H33">
        <v>-1.33</v>
      </c>
      <c r="I33">
        <v>33.61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209</v>
      </c>
      <c r="D10" t="s">
        <v>124</v>
      </c>
      <c r="F10" t="s">
        <v>209</v>
      </c>
      <c r="G10" t="s">
        <v>126</v>
      </c>
      <c r="I10" t="s">
        <v>209</v>
      </c>
      <c r="J10" t="s">
        <v>106</v>
      </c>
      <c r="L10" t="s">
        <v>209</v>
      </c>
      <c r="M10" t="s">
        <v>131</v>
      </c>
    </row>
    <row r="11" spans="1:13" x14ac:dyDescent="0.45">
      <c r="B11" s="15"/>
      <c r="C11" s="15" t="s">
        <v>210</v>
      </c>
      <c r="D11" t="s">
        <v>211</v>
      </c>
      <c r="F11" t="s">
        <v>210</v>
      </c>
      <c r="G11" t="s">
        <v>255</v>
      </c>
      <c r="I11" t="s">
        <v>210</v>
      </c>
      <c r="J11" t="s">
        <v>259</v>
      </c>
      <c r="L11" t="s">
        <v>210</v>
      </c>
      <c r="M11" t="s">
        <v>278</v>
      </c>
    </row>
    <row r="12" spans="1:13" x14ac:dyDescent="0.45">
      <c r="B12" s="15"/>
      <c r="C12" s="15" t="s">
        <v>212</v>
      </c>
      <c r="D12" t="s">
        <v>213</v>
      </c>
      <c r="F12" t="s">
        <v>212</v>
      </c>
      <c r="G12" t="s">
        <v>256</v>
      </c>
      <c r="I12" t="s">
        <v>212</v>
      </c>
      <c r="J12" t="s">
        <v>259</v>
      </c>
      <c r="L12" t="s">
        <v>212</v>
      </c>
      <c r="M12" t="s">
        <v>279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8AB9B-4248-45EA-87C0-3CF27371BD41}">
  <dimension ref="A9:AN1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162</v>
      </c>
      <c r="L10" t="s">
        <v>30</v>
      </c>
      <c r="N10" t="s">
        <v>13</v>
      </c>
      <c r="O10" t="s">
        <v>121</v>
      </c>
      <c r="P10" t="s">
        <v>162</v>
      </c>
      <c r="Q10" t="s">
        <v>30</v>
      </c>
      <c r="S10" t="s">
        <v>13</v>
      </c>
      <c r="T10" t="s">
        <v>121</v>
      </c>
      <c r="U10" t="s">
        <v>162</v>
      </c>
      <c r="V10" t="s">
        <v>30</v>
      </c>
      <c r="X10" t="s">
        <v>208</v>
      </c>
      <c r="Y10" t="s">
        <v>162</v>
      </c>
      <c r="Z10" t="s">
        <v>121</v>
      </c>
      <c r="AA10" t="s">
        <v>13</v>
      </c>
      <c r="AC10" t="s">
        <v>13</v>
      </c>
      <c r="AD10" t="s">
        <v>121</v>
      </c>
      <c r="AE10" t="s">
        <v>162</v>
      </c>
      <c r="AG10" t="s">
        <v>13</v>
      </c>
      <c r="AH10" t="s">
        <v>121</v>
      </c>
      <c r="AI10" t="s">
        <v>214</v>
      </c>
      <c r="AK10" t="s">
        <v>47</v>
      </c>
      <c r="AL10" t="s">
        <v>121</v>
      </c>
      <c r="AM10" t="s">
        <v>215</v>
      </c>
      <c r="AN10" t="s">
        <v>216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156</v>
      </c>
      <c r="I11" t="s">
        <v>163</v>
      </c>
      <c r="J11" t="s">
        <v>164</v>
      </c>
      <c r="K11">
        <v>0.1322886918995847</v>
      </c>
      <c r="L11" t="s">
        <v>165</v>
      </c>
      <c r="N11" t="s">
        <v>180</v>
      </c>
      <c r="O11" t="s">
        <v>164</v>
      </c>
      <c r="P11">
        <v>0.19021056572560441</v>
      </c>
      <c r="Q11" t="s">
        <v>165</v>
      </c>
      <c r="S11" t="s">
        <v>190</v>
      </c>
      <c r="T11" t="s">
        <v>164</v>
      </c>
      <c r="U11">
        <v>0.19996487630594026</v>
      </c>
      <c r="V11" t="s">
        <v>165</v>
      </c>
      <c r="X11">
        <v>0.16438356164383561</v>
      </c>
      <c r="Y11">
        <v>0.15230092235785497</v>
      </c>
      <c r="Z11" t="s">
        <v>164</v>
      </c>
      <c r="AA11" t="s">
        <v>25</v>
      </c>
      <c r="AC11" t="s">
        <v>22</v>
      </c>
      <c r="AD11" t="s">
        <v>164</v>
      </c>
      <c r="AE11">
        <v>0.18051561810549274</v>
      </c>
      <c r="AG11" t="s">
        <v>96</v>
      </c>
      <c r="AH11" t="s">
        <v>164</v>
      </c>
      <c r="AI11">
        <v>0.2669673198109821</v>
      </c>
      <c r="AK11">
        <v>2020</v>
      </c>
      <c r="AL11" t="s">
        <v>155</v>
      </c>
      <c r="AM11">
        <v>0.65015655254809879</v>
      </c>
      <c r="AN11" t="s">
        <v>217</v>
      </c>
    </row>
    <row r="12" spans="1:40" x14ac:dyDescent="0.45">
      <c r="C12" t="s">
        <v>159</v>
      </c>
      <c r="E12" t="s">
        <v>160</v>
      </c>
      <c r="G12" t="s">
        <v>156</v>
      </c>
      <c r="I12" t="s">
        <v>163</v>
      </c>
      <c r="J12" t="s">
        <v>166</v>
      </c>
      <c r="K12">
        <v>1.5674829004544161E-2</v>
      </c>
      <c r="L12" t="s">
        <v>165</v>
      </c>
      <c r="N12" t="s">
        <v>180</v>
      </c>
      <c r="O12" t="s">
        <v>166</v>
      </c>
      <c r="P12">
        <v>9.4428295775623644E-2</v>
      </c>
      <c r="Q12" t="s">
        <v>165</v>
      </c>
      <c r="S12" t="s">
        <v>190</v>
      </c>
      <c r="T12" t="s">
        <v>166</v>
      </c>
      <c r="U12">
        <v>0.10091039262541782</v>
      </c>
      <c r="V12" t="s">
        <v>165</v>
      </c>
      <c r="X12">
        <v>8.2191780821917804E-2</v>
      </c>
      <c r="Y12">
        <v>9.4274420107898479E-2</v>
      </c>
      <c r="Z12" t="s">
        <v>166</v>
      </c>
      <c r="AA12" t="s">
        <v>25</v>
      </c>
      <c r="AC12" t="s">
        <v>22</v>
      </c>
      <c r="AD12" t="s">
        <v>166</v>
      </c>
      <c r="AE12">
        <v>0.10214165300469999</v>
      </c>
      <c r="AG12" t="s">
        <v>96</v>
      </c>
      <c r="AH12" t="s">
        <v>166</v>
      </c>
      <c r="AI12">
        <v>0.14729865722894342</v>
      </c>
      <c r="AK12">
        <v>2020</v>
      </c>
      <c r="AL12" t="s">
        <v>159</v>
      </c>
      <c r="AM12">
        <v>0.31362007168458783</v>
      </c>
      <c r="AN12" t="s">
        <v>217</v>
      </c>
    </row>
    <row r="13" spans="1:40" x14ac:dyDescent="0.45">
      <c r="C13" t="s">
        <v>161</v>
      </c>
      <c r="I13" t="s">
        <v>163</v>
      </c>
      <c r="J13" t="s">
        <v>167</v>
      </c>
      <c r="K13">
        <v>0.67923169095412994</v>
      </c>
      <c r="L13" t="s">
        <v>165</v>
      </c>
      <c r="N13" t="s">
        <v>180</v>
      </c>
      <c r="O13" t="s">
        <v>167</v>
      </c>
      <c r="P13">
        <v>0.39360479887575922</v>
      </c>
      <c r="Q13" t="s">
        <v>165</v>
      </c>
      <c r="S13" t="s">
        <v>190</v>
      </c>
      <c r="T13" t="s">
        <v>167</v>
      </c>
      <c r="U13">
        <v>0.39691535499978964</v>
      </c>
      <c r="V13" t="s">
        <v>165</v>
      </c>
      <c r="X13">
        <v>0.44566210045662102</v>
      </c>
      <c r="Y13">
        <v>0.41290472283685131</v>
      </c>
      <c r="Z13" t="s">
        <v>167</v>
      </c>
      <c r="AA13" t="s">
        <v>25</v>
      </c>
      <c r="AC13" t="s">
        <v>22</v>
      </c>
      <c r="AD13" t="s">
        <v>167</v>
      </c>
      <c r="AE13">
        <v>0.39828169487230358</v>
      </c>
      <c r="AG13" t="s">
        <v>96</v>
      </c>
      <c r="AH13" t="s">
        <v>167</v>
      </c>
      <c r="AI13">
        <v>0.39835243117254016</v>
      </c>
      <c r="AK13">
        <v>2020</v>
      </c>
      <c r="AL13" t="s">
        <v>161</v>
      </c>
      <c r="AM13">
        <v>0.7840501792114698</v>
      </c>
      <c r="AN13" t="s">
        <v>217</v>
      </c>
    </row>
    <row r="14" spans="1:40" x14ac:dyDescent="0.45">
      <c r="I14" t="s">
        <v>163</v>
      </c>
      <c r="J14" t="s">
        <v>168</v>
      </c>
      <c r="K14">
        <v>0.14965908371186809</v>
      </c>
      <c r="L14" t="s">
        <v>165</v>
      </c>
      <c r="N14" t="s">
        <v>180</v>
      </c>
      <c r="O14" t="s">
        <v>168</v>
      </c>
      <c r="P14">
        <v>0.18564783536774374</v>
      </c>
      <c r="Q14" t="s">
        <v>165</v>
      </c>
      <c r="S14" t="s">
        <v>190</v>
      </c>
      <c r="T14" t="s">
        <v>168</v>
      </c>
      <c r="U14">
        <v>0.19921053451866494</v>
      </c>
      <c r="V14" t="s">
        <v>165</v>
      </c>
      <c r="X14">
        <v>0.22283105022831051</v>
      </c>
      <c r="Y14">
        <v>0.25558842784808034</v>
      </c>
      <c r="Z14" t="s">
        <v>168</v>
      </c>
      <c r="AA14" t="s">
        <v>25</v>
      </c>
      <c r="AC14" t="s">
        <v>22</v>
      </c>
      <c r="AD14" t="s">
        <v>168</v>
      </c>
      <c r="AE14">
        <v>0.22722786531960926</v>
      </c>
      <c r="AG14" t="s">
        <v>96</v>
      </c>
      <c r="AH14" t="s">
        <v>168</v>
      </c>
      <c r="AI14">
        <v>0.27820862518722045</v>
      </c>
      <c r="AK14">
        <v>2021</v>
      </c>
      <c r="AL14" t="s">
        <v>155</v>
      </c>
      <c r="AM14">
        <v>0.65870882403140474</v>
      </c>
      <c r="AN14" t="s">
        <v>217</v>
      </c>
    </row>
    <row r="15" spans="1:40" x14ac:dyDescent="0.45">
      <c r="I15" t="s">
        <v>163</v>
      </c>
      <c r="J15" t="s">
        <v>169</v>
      </c>
      <c r="K15">
        <v>2.3145704429876929E-2</v>
      </c>
      <c r="L15" t="s">
        <v>165</v>
      </c>
      <c r="N15" t="s">
        <v>180</v>
      </c>
      <c r="O15" t="s">
        <v>169</v>
      </c>
      <c r="P15">
        <v>8.8861084407834495E-2</v>
      </c>
      <c r="Q15" t="s">
        <v>165</v>
      </c>
      <c r="S15" t="s">
        <v>190</v>
      </c>
      <c r="T15" t="s">
        <v>169</v>
      </c>
      <c r="U15">
        <v>6.7326769973601888E-2</v>
      </c>
      <c r="V15" t="s">
        <v>165</v>
      </c>
      <c r="X15">
        <v>5.6621004566210047E-2</v>
      </c>
      <c r="Y15">
        <v>5.245920658992783E-2</v>
      </c>
      <c r="Z15" t="s">
        <v>169</v>
      </c>
      <c r="AA15" t="s">
        <v>25</v>
      </c>
      <c r="AC15" t="s">
        <v>22</v>
      </c>
      <c r="AD15" t="s">
        <v>169</v>
      </c>
      <c r="AE15">
        <v>5.828040331977348E-2</v>
      </c>
      <c r="AG15" t="s">
        <v>96</v>
      </c>
      <c r="AH15" t="s">
        <v>169</v>
      </c>
      <c r="AI15">
        <v>0.26197726246609565</v>
      </c>
      <c r="AK15">
        <v>2021</v>
      </c>
      <c r="AL15" t="s">
        <v>159</v>
      </c>
      <c r="AM15">
        <v>0.2132803166069295</v>
      </c>
      <c r="AN15" t="s">
        <v>217</v>
      </c>
    </row>
    <row r="16" spans="1:40" x14ac:dyDescent="0.45">
      <c r="I16" t="s">
        <v>163</v>
      </c>
      <c r="J16" t="s">
        <v>170</v>
      </c>
      <c r="K16">
        <v>0</v>
      </c>
      <c r="L16" t="s">
        <v>165</v>
      </c>
      <c r="N16" t="s">
        <v>180</v>
      </c>
      <c r="O16" t="s">
        <v>170</v>
      </c>
      <c r="P16">
        <v>4.7247419847431207E-2</v>
      </c>
      <c r="Q16" t="s">
        <v>165</v>
      </c>
      <c r="S16" t="s">
        <v>190</v>
      </c>
      <c r="T16" t="s">
        <v>170</v>
      </c>
      <c r="U16">
        <v>3.5672071576585702E-2</v>
      </c>
      <c r="V16" t="s">
        <v>165</v>
      </c>
      <c r="X16">
        <v>2.8310502283105023E-2</v>
      </c>
      <c r="Y16">
        <v>3.2472300259387257E-2</v>
      </c>
      <c r="Z16" t="s">
        <v>170</v>
      </c>
      <c r="AA16" t="s">
        <v>25</v>
      </c>
      <c r="AC16" t="s">
        <v>22</v>
      </c>
      <c r="AD16" t="s">
        <v>170</v>
      </c>
      <c r="AE16">
        <v>3.355276537812095E-2</v>
      </c>
      <c r="AG16" t="s">
        <v>96</v>
      </c>
      <c r="AH16" t="s">
        <v>170</v>
      </c>
      <c r="AI16">
        <v>0.13894005700965084</v>
      </c>
      <c r="AK16">
        <v>2021</v>
      </c>
      <c r="AL16" t="s">
        <v>161</v>
      </c>
      <c r="AM16">
        <v>0.5600358422939069</v>
      </c>
      <c r="AN16" t="s">
        <v>217</v>
      </c>
    </row>
    <row r="17" spans="9:40" x14ac:dyDescent="0.45">
      <c r="I17" t="s">
        <v>171</v>
      </c>
      <c r="J17" t="s">
        <v>164</v>
      </c>
      <c r="K17">
        <v>0.14258170328649561</v>
      </c>
      <c r="L17" t="s">
        <v>165</v>
      </c>
      <c r="N17" t="s">
        <v>181</v>
      </c>
      <c r="O17" t="s">
        <v>164</v>
      </c>
      <c r="P17">
        <v>0.19409729560459241</v>
      </c>
      <c r="Q17" t="s">
        <v>165</v>
      </c>
      <c r="S17" t="s">
        <v>191</v>
      </c>
      <c r="T17" t="s">
        <v>164</v>
      </c>
      <c r="U17">
        <v>0.20196392098322524</v>
      </c>
      <c r="V17" t="s">
        <v>165</v>
      </c>
      <c r="AC17" t="s">
        <v>19</v>
      </c>
      <c r="AD17" t="s">
        <v>164</v>
      </c>
      <c r="AE17">
        <v>0.16394614515472461</v>
      </c>
      <c r="AK17">
        <v>2022</v>
      </c>
      <c r="AL17" t="s">
        <v>155</v>
      </c>
      <c r="AM17">
        <v>0.54270139955623842</v>
      </c>
      <c r="AN17" t="s">
        <v>217</v>
      </c>
    </row>
    <row r="18" spans="9:40" x14ac:dyDescent="0.45">
      <c r="I18" t="s">
        <v>171</v>
      </c>
      <c r="J18" t="s">
        <v>166</v>
      </c>
      <c r="K18">
        <v>2.0076197710564757E-2</v>
      </c>
      <c r="L18" t="s">
        <v>165</v>
      </c>
      <c r="N18" t="s">
        <v>181</v>
      </c>
      <c r="O18" t="s">
        <v>166</v>
      </c>
      <c r="P18">
        <v>9.7381367859088214E-2</v>
      </c>
      <c r="Q18" t="s">
        <v>165</v>
      </c>
      <c r="S18" t="s">
        <v>191</v>
      </c>
      <c r="T18" t="s">
        <v>166</v>
      </c>
      <c r="U18">
        <v>0.10401258780941738</v>
      </c>
      <c r="V18" t="s">
        <v>165</v>
      </c>
      <c r="AC18" t="s">
        <v>19</v>
      </c>
      <c r="AD18" t="s">
        <v>166</v>
      </c>
      <c r="AE18">
        <v>8.2906725858551578E-2</v>
      </c>
      <c r="AK18">
        <v>2022</v>
      </c>
      <c r="AL18" t="s">
        <v>159</v>
      </c>
      <c r="AM18">
        <v>0.22121415770609321</v>
      </c>
      <c r="AN18" t="s">
        <v>217</v>
      </c>
    </row>
    <row r="19" spans="9:40" x14ac:dyDescent="0.45">
      <c r="I19" t="s">
        <v>171</v>
      </c>
      <c r="J19" t="s">
        <v>167</v>
      </c>
      <c r="K19">
        <v>0.66482105301564343</v>
      </c>
      <c r="L19" t="s">
        <v>165</v>
      </c>
      <c r="N19" t="s">
        <v>181</v>
      </c>
      <c r="O19" t="s">
        <v>167</v>
      </c>
      <c r="P19">
        <v>0.39499710388747789</v>
      </c>
      <c r="Q19" t="s">
        <v>165</v>
      </c>
      <c r="S19" t="s">
        <v>191</v>
      </c>
      <c r="T19" t="s">
        <v>167</v>
      </c>
      <c r="U19">
        <v>0.3927889735169624</v>
      </c>
      <c r="V19" t="s">
        <v>165</v>
      </c>
      <c r="AC19" t="s">
        <v>19</v>
      </c>
      <c r="AD19" t="s">
        <v>167</v>
      </c>
      <c r="AE19">
        <v>0.44397058851780846</v>
      </c>
      <c r="AK19">
        <v>2022</v>
      </c>
      <c r="AL19" t="s">
        <v>161</v>
      </c>
      <c r="AM19">
        <v>0.50403225806451624</v>
      </c>
      <c r="AN19" t="s">
        <v>217</v>
      </c>
    </row>
    <row r="20" spans="9:40" x14ac:dyDescent="0.45">
      <c r="I20" t="s">
        <v>171</v>
      </c>
      <c r="J20" t="s">
        <v>168</v>
      </c>
      <c r="K20">
        <v>0.15304187305869835</v>
      </c>
      <c r="L20" t="s">
        <v>165</v>
      </c>
      <c r="N20" t="s">
        <v>181</v>
      </c>
      <c r="O20" t="s">
        <v>168</v>
      </c>
      <c r="P20">
        <v>0.18907681637679141</v>
      </c>
      <c r="Q20" t="s">
        <v>165</v>
      </c>
      <c r="S20" t="s">
        <v>191</v>
      </c>
      <c r="T20" t="s">
        <v>168</v>
      </c>
      <c r="U20">
        <v>0.19732729451003223</v>
      </c>
      <c r="V20" t="s">
        <v>165</v>
      </c>
      <c r="AC20" t="s">
        <v>19</v>
      </c>
      <c r="AD20" t="s">
        <v>168</v>
      </c>
      <c r="AE20">
        <v>0.22419194864714206</v>
      </c>
      <c r="AK20">
        <v>2025</v>
      </c>
      <c r="AL20" t="s">
        <v>155</v>
      </c>
      <c r="AM20">
        <v>0.61833333333333329</v>
      </c>
      <c r="AN20" t="s">
        <v>217</v>
      </c>
    </row>
    <row r="21" spans="9:40" x14ac:dyDescent="0.45">
      <c r="I21" t="s">
        <v>171</v>
      </c>
      <c r="J21" t="s">
        <v>169</v>
      </c>
      <c r="K21">
        <v>1.9479172928596057E-2</v>
      </c>
      <c r="L21" t="s">
        <v>165</v>
      </c>
      <c r="N21" t="s">
        <v>181</v>
      </c>
      <c r="O21" t="s">
        <v>169</v>
      </c>
      <c r="P21">
        <v>8.1835293190862746E-2</v>
      </c>
      <c r="Q21" t="s">
        <v>165</v>
      </c>
      <c r="S21" t="s">
        <v>191</v>
      </c>
      <c r="T21" t="s">
        <v>169</v>
      </c>
      <c r="U21">
        <v>6.9306288730420967E-2</v>
      </c>
      <c r="V21" t="s">
        <v>165</v>
      </c>
      <c r="AC21" t="s">
        <v>19</v>
      </c>
      <c r="AD21" t="s">
        <v>169</v>
      </c>
      <c r="AE21">
        <v>5.6425279396295609E-2</v>
      </c>
      <c r="AK21">
        <v>2025</v>
      </c>
      <c r="AL21" t="s">
        <v>159</v>
      </c>
      <c r="AM21">
        <v>0.28917499999999996</v>
      </c>
      <c r="AN21" t="s">
        <v>217</v>
      </c>
    </row>
    <row r="22" spans="9:40" x14ac:dyDescent="0.45">
      <c r="I22" t="s">
        <v>171</v>
      </c>
      <c r="J22" t="s">
        <v>170</v>
      </c>
      <c r="K22">
        <v>0</v>
      </c>
      <c r="L22" t="s">
        <v>165</v>
      </c>
      <c r="N22" t="s">
        <v>181</v>
      </c>
      <c r="O22" t="s">
        <v>170</v>
      </c>
      <c r="P22">
        <v>4.2612123081188308E-2</v>
      </c>
      <c r="Q22" t="s">
        <v>165</v>
      </c>
      <c r="S22" t="s">
        <v>191</v>
      </c>
      <c r="T22" t="s">
        <v>170</v>
      </c>
      <c r="U22">
        <v>3.4600934449939828E-2</v>
      </c>
      <c r="V22" t="s">
        <v>165</v>
      </c>
      <c r="AC22" t="s">
        <v>19</v>
      </c>
      <c r="AD22" t="s">
        <v>170</v>
      </c>
      <c r="AE22">
        <v>2.8559312425477663E-2</v>
      </c>
      <c r="AK22">
        <v>2025</v>
      </c>
      <c r="AL22" t="s">
        <v>161</v>
      </c>
      <c r="AM22">
        <v>0.67630000000000001</v>
      </c>
      <c r="AN22" t="s">
        <v>217</v>
      </c>
    </row>
    <row r="23" spans="9:40" x14ac:dyDescent="0.45">
      <c r="I23" t="s">
        <v>172</v>
      </c>
      <c r="J23" t="s">
        <v>164</v>
      </c>
      <c r="K23">
        <v>0.1392542571303941</v>
      </c>
      <c r="L23" t="s">
        <v>165</v>
      </c>
      <c r="N23" t="s">
        <v>182</v>
      </c>
      <c r="O23" t="s">
        <v>164</v>
      </c>
      <c r="P23">
        <v>0.18616549227263565</v>
      </c>
      <c r="Q23" t="s">
        <v>165</v>
      </c>
      <c r="S23" t="s">
        <v>192</v>
      </c>
      <c r="T23" t="s">
        <v>164</v>
      </c>
      <c r="U23">
        <v>0.19664346694859439</v>
      </c>
      <c r="V23" t="s">
        <v>165</v>
      </c>
      <c r="AK23">
        <v>2026</v>
      </c>
      <c r="AL23" t="s">
        <v>155</v>
      </c>
      <c r="AM23">
        <v>0.5994666666666667</v>
      </c>
      <c r="AN23" t="s">
        <v>217</v>
      </c>
    </row>
    <row r="24" spans="9:40" x14ac:dyDescent="0.45">
      <c r="I24" t="s">
        <v>172</v>
      </c>
      <c r="J24" t="s">
        <v>166</v>
      </c>
      <c r="K24">
        <v>1.8453181278600527E-2</v>
      </c>
      <c r="L24" t="s">
        <v>165</v>
      </c>
      <c r="N24" t="s">
        <v>182</v>
      </c>
      <c r="O24" t="s">
        <v>166</v>
      </c>
      <c r="P24">
        <v>9.3102133036316606E-2</v>
      </c>
      <c r="Q24" t="s">
        <v>165</v>
      </c>
      <c r="S24" t="s">
        <v>192</v>
      </c>
      <c r="T24" t="s">
        <v>166</v>
      </c>
      <c r="U24">
        <v>0.10027627481875331</v>
      </c>
      <c r="V24" t="s">
        <v>165</v>
      </c>
      <c r="AK24">
        <v>2026</v>
      </c>
      <c r="AL24" t="s">
        <v>159</v>
      </c>
      <c r="AM24">
        <v>0.29403750000000001</v>
      </c>
      <c r="AN24" t="s">
        <v>217</v>
      </c>
    </row>
    <row r="25" spans="9:40" x14ac:dyDescent="0.45">
      <c r="I25" t="s">
        <v>172</v>
      </c>
      <c r="J25" t="s">
        <v>167</v>
      </c>
      <c r="K25">
        <v>0.66953828589600983</v>
      </c>
      <c r="L25" t="s">
        <v>165</v>
      </c>
      <c r="N25" t="s">
        <v>182</v>
      </c>
      <c r="O25" t="s">
        <v>167</v>
      </c>
      <c r="P25">
        <v>0.40280033975442781</v>
      </c>
      <c r="Q25" t="s">
        <v>165</v>
      </c>
      <c r="S25" t="s">
        <v>192</v>
      </c>
      <c r="T25" t="s">
        <v>167</v>
      </c>
      <c r="U25">
        <v>0.3938057672288035</v>
      </c>
      <c r="V25" t="s">
        <v>165</v>
      </c>
      <c r="AK25">
        <v>2026</v>
      </c>
      <c r="AL25" t="s">
        <v>161</v>
      </c>
      <c r="AM25">
        <v>0.59330000000000005</v>
      </c>
      <c r="AN25" t="s">
        <v>217</v>
      </c>
    </row>
    <row r="26" spans="9:40" x14ac:dyDescent="0.45">
      <c r="I26" t="s">
        <v>172</v>
      </c>
      <c r="J26" t="s">
        <v>168</v>
      </c>
      <c r="K26">
        <v>0.15062802410175988</v>
      </c>
      <c r="L26" t="s">
        <v>165</v>
      </c>
      <c r="N26" t="s">
        <v>182</v>
      </c>
      <c r="O26" t="s">
        <v>168</v>
      </c>
      <c r="P26">
        <v>0.20434815202027865</v>
      </c>
      <c r="Q26" t="s">
        <v>165</v>
      </c>
      <c r="S26" t="s">
        <v>192</v>
      </c>
      <c r="T26" t="s">
        <v>168</v>
      </c>
      <c r="U26">
        <v>0.19907944003285372</v>
      </c>
      <c r="V26" t="s">
        <v>165</v>
      </c>
      <c r="AK26">
        <v>2027</v>
      </c>
      <c r="AL26" t="s">
        <v>155</v>
      </c>
      <c r="AM26">
        <v>0.51806666666666679</v>
      </c>
      <c r="AN26" t="s">
        <v>217</v>
      </c>
    </row>
    <row r="27" spans="9:40" x14ac:dyDescent="0.45">
      <c r="I27" t="s">
        <v>172</v>
      </c>
      <c r="J27" t="s">
        <v>169</v>
      </c>
      <c r="K27">
        <v>2.2126251593234995E-2</v>
      </c>
      <c r="L27" t="s">
        <v>165</v>
      </c>
      <c r="N27" t="s">
        <v>182</v>
      </c>
      <c r="O27" t="s">
        <v>169</v>
      </c>
      <c r="P27">
        <v>7.4079791761680197E-2</v>
      </c>
      <c r="Q27" t="s">
        <v>165</v>
      </c>
      <c r="S27" t="s">
        <v>192</v>
      </c>
      <c r="T27" t="s">
        <v>169</v>
      </c>
      <c r="U27">
        <v>7.2965799075802751E-2</v>
      </c>
      <c r="V27" t="s">
        <v>165</v>
      </c>
      <c r="AK27">
        <v>2027</v>
      </c>
      <c r="AL27" t="s">
        <v>159</v>
      </c>
      <c r="AM27">
        <v>0.24688750000000001</v>
      </c>
      <c r="AN27" t="s">
        <v>217</v>
      </c>
    </row>
    <row r="28" spans="9:40" x14ac:dyDescent="0.45">
      <c r="I28" t="s">
        <v>172</v>
      </c>
      <c r="J28" t="s">
        <v>170</v>
      </c>
      <c r="K28">
        <v>0</v>
      </c>
      <c r="L28" t="s">
        <v>165</v>
      </c>
      <c r="N28" t="s">
        <v>182</v>
      </c>
      <c r="O28" t="s">
        <v>170</v>
      </c>
      <c r="P28">
        <v>3.9504091154658617E-2</v>
      </c>
      <c r="Q28" t="s">
        <v>165</v>
      </c>
      <c r="S28" t="s">
        <v>192</v>
      </c>
      <c r="T28" t="s">
        <v>170</v>
      </c>
      <c r="U28">
        <v>3.7229251895189615E-2</v>
      </c>
      <c r="V28" t="s">
        <v>165</v>
      </c>
      <c r="AK28">
        <v>2027</v>
      </c>
      <c r="AL28" t="s">
        <v>161</v>
      </c>
      <c r="AM28">
        <v>0.59670000000000001</v>
      </c>
      <c r="AN28" t="s">
        <v>217</v>
      </c>
    </row>
    <row r="29" spans="9:40" x14ac:dyDescent="0.45">
      <c r="I29" t="s">
        <v>173</v>
      </c>
      <c r="J29" t="s">
        <v>164</v>
      </c>
      <c r="K29">
        <v>0.13723403308347715</v>
      </c>
      <c r="L29" t="s">
        <v>165</v>
      </c>
      <c r="N29" t="s">
        <v>183</v>
      </c>
      <c r="O29" t="s">
        <v>164</v>
      </c>
      <c r="P29">
        <v>0.18420423753510196</v>
      </c>
      <c r="Q29" t="s">
        <v>165</v>
      </c>
      <c r="S29" t="s">
        <v>193</v>
      </c>
      <c r="T29" t="s">
        <v>164</v>
      </c>
      <c r="U29">
        <v>0.19141920700228299</v>
      </c>
      <c r="V29" t="s">
        <v>165</v>
      </c>
      <c r="AK29">
        <v>2028</v>
      </c>
      <c r="AL29" t="s">
        <v>155</v>
      </c>
      <c r="AM29">
        <v>0.54633333333333334</v>
      </c>
      <c r="AN29" t="s">
        <v>217</v>
      </c>
    </row>
    <row r="30" spans="9:40" x14ac:dyDescent="0.45">
      <c r="I30" t="s">
        <v>173</v>
      </c>
      <c r="J30" t="s">
        <v>166</v>
      </c>
      <c r="K30">
        <v>1.7721610735003113E-2</v>
      </c>
      <c r="L30" t="s">
        <v>165</v>
      </c>
      <c r="N30" t="s">
        <v>183</v>
      </c>
      <c r="O30" t="s">
        <v>166</v>
      </c>
      <c r="P30">
        <v>9.0810336414691814E-2</v>
      </c>
      <c r="Q30" t="s">
        <v>165</v>
      </c>
      <c r="S30" t="s">
        <v>193</v>
      </c>
      <c r="T30" t="s">
        <v>166</v>
      </c>
      <c r="U30">
        <v>9.8367794696525748E-2</v>
      </c>
      <c r="V30" t="s">
        <v>165</v>
      </c>
      <c r="AK30">
        <v>2028</v>
      </c>
      <c r="AL30" t="s">
        <v>159</v>
      </c>
      <c r="AM30">
        <v>0.241475</v>
      </c>
      <c r="AN30" t="s">
        <v>217</v>
      </c>
    </row>
    <row r="31" spans="9:40" x14ac:dyDescent="0.45">
      <c r="I31" t="s">
        <v>173</v>
      </c>
      <c r="J31" t="s">
        <v>167</v>
      </c>
      <c r="K31">
        <v>0.67796773763567053</v>
      </c>
      <c r="L31" t="s">
        <v>165</v>
      </c>
      <c r="N31" t="s">
        <v>183</v>
      </c>
      <c r="O31" t="s">
        <v>167</v>
      </c>
      <c r="P31">
        <v>0.39826500770050022</v>
      </c>
      <c r="Q31" t="s">
        <v>165</v>
      </c>
      <c r="S31" t="s">
        <v>193</v>
      </c>
      <c r="T31" t="s">
        <v>167</v>
      </c>
      <c r="U31">
        <v>0.40066888004814494</v>
      </c>
      <c r="V31" t="s">
        <v>165</v>
      </c>
      <c r="AK31">
        <v>2028</v>
      </c>
      <c r="AL31" t="s">
        <v>161</v>
      </c>
      <c r="AM31">
        <v>0.5544</v>
      </c>
      <c r="AN31" t="s">
        <v>217</v>
      </c>
    </row>
    <row r="32" spans="9:40" x14ac:dyDescent="0.45">
      <c r="I32" t="s">
        <v>173</v>
      </c>
      <c r="J32" t="s">
        <v>168</v>
      </c>
      <c r="K32">
        <v>0.14475019233452985</v>
      </c>
      <c r="L32" t="s">
        <v>165</v>
      </c>
      <c r="N32" t="s">
        <v>183</v>
      </c>
      <c r="O32" t="s">
        <v>168</v>
      </c>
      <c r="P32">
        <v>0.19184822227714468</v>
      </c>
      <c r="Q32" t="s">
        <v>165</v>
      </c>
      <c r="S32" t="s">
        <v>193</v>
      </c>
      <c r="T32" t="s">
        <v>168</v>
      </c>
      <c r="U32">
        <v>0.20513968949210004</v>
      </c>
      <c r="V32" t="s">
        <v>165</v>
      </c>
      <c r="AK32">
        <v>2029</v>
      </c>
      <c r="AL32" t="s">
        <v>155</v>
      </c>
      <c r="AM32">
        <v>0.54949999999999999</v>
      </c>
      <c r="AN32" t="s">
        <v>217</v>
      </c>
    </row>
    <row r="33" spans="9:40" x14ac:dyDescent="0.45">
      <c r="I33" t="s">
        <v>173</v>
      </c>
      <c r="J33" t="s">
        <v>169</v>
      </c>
      <c r="K33">
        <v>2.2326426211318844E-2</v>
      </c>
      <c r="L33" t="s">
        <v>165</v>
      </c>
      <c r="N33" t="s">
        <v>183</v>
      </c>
      <c r="O33" t="s">
        <v>169</v>
      </c>
      <c r="P33">
        <v>8.7467736168058613E-2</v>
      </c>
      <c r="Q33" t="s">
        <v>165</v>
      </c>
      <c r="S33" t="s">
        <v>193</v>
      </c>
      <c r="T33" t="s">
        <v>169</v>
      </c>
      <c r="U33">
        <v>6.8064633885791065E-2</v>
      </c>
      <c r="V33" t="s">
        <v>165</v>
      </c>
      <c r="AK33">
        <v>2029</v>
      </c>
      <c r="AL33" t="s">
        <v>159</v>
      </c>
      <c r="AM33">
        <v>0.24903750000000002</v>
      </c>
      <c r="AN33" t="s">
        <v>217</v>
      </c>
    </row>
    <row r="34" spans="9:40" x14ac:dyDescent="0.45">
      <c r="I34" t="s">
        <v>173</v>
      </c>
      <c r="J34" t="s">
        <v>170</v>
      </c>
      <c r="K34">
        <v>0</v>
      </c>
      <c r="L34" t="s">
        <v>165</v>
      </c>
      <c r="N34" t="s">
        <v>183</v>
      </c>
      <c r="O34" t="s">
        <v>170</v>
      </c>
      <c r="P34">
        <v>4.740445990450548E-2</v>
      </c>
      <c r="Q34" t="s">
        <v>165</v>
      </c>
      <c r="S34" t="s">
        <v>193</v>
      </c>
      <c r="T34" t="s">
        <v>170</v>
      </c>
      <c r="U34">
        <v>3.6339794875153167E-2</v>
      </c>
      <c r="V34" t="s">
        <v>165</v>
      </c>
      <c r="AK34">
        <v>2029</v>
      </c>
      <c r="AL34" t="s">
        <v>161</v>
      </c>
      <c r="AM34">
        <v>0.56379999999999997</v>
      </c>
      <c r="AN34" t="s">
        <v>217</v>
      </c>
    </row>
    <row r="35" spans="9:40" x14ac:dyDescent="0.45">
      <c r="I35" t="s">
        <v>174</v>
      </c>
      <c r="J35" t="s">
        <v>164</v>
      </c>
      <c r="K35">
        <v>0.13592789945763878</v>
      </c>
      <c r="L35" t="s">
        <v>165</v>
      </c>
      <c r="N35" t="s">
        <v>184</v>
      </c>
      <c r="O35" t="s">
        <v>164</v>
      </c>
      <c r="P35">
        <v>0.18444940843894717</v>
      </c>
      <c r="Q35" t="s">
        <v>165</v>
      </c>
      <c r="S35" t="s">
        <v>194</v>
      </c>
      <c r="T35" t="s">
        <v>164</v>
      </c>
      <c r="U35">
        <v>0.19040398435933459</v>
      </c>
      <c r="V35" t="s">
        <v>165</v>
      </c>
      <c r="AK35">
        <v>2030</v>
      </c>
      <c r="AL35" t="s">
        <v>155</v>
      </c>
      <c r="AM35">
        <v>0.52200000000000002</v>
      </c>
      <c r="AN35" t="s">
        <v>217</v>
      </c>
    </row>
    <row r="36" spans="9:40" x14ac:dyDescent="0.45">
      <c r="I36" t="s">
        <v>174</v>
      </c>
      <c r="J36" t="s">
        <v>166</v>
      </c>
      <c r="K36">
        <v>1.6539640239902471E-2</v>
      </c>
      <c r="L36" t="s">
        <v>165</v>
      </c>
      <c r="N36" t="s">
        <v>184</v>
      </c>
      <c r="O36" t="s">
        <v>166</v>
      </c>
      <c r="P36">
        <v>9.2748784361019021E-2</v>
      </c>
      <c r="Q36" t="s">
        <v>165</v>
      </c>
      <c r="S36" t="s">
        <v>194</v>
      </c>
      <c r="T36" t="s">
        <v>166</v>
      </c>
      <c r="U36">
        <v>9.760010728207201E-2</v>
      </c>
      <c r="V36" t="s">
        <v>165</v>
      </c>
      <c r="AK36">
        <v>2030</v>
      </c>
      <c r="AL36" t="s">
        <v>159</v>
      </c>
      <c r="AM36">
        <v>0.23902500000000002</v>
      </c>
      <c r="AN36" t="s">
        <v>217</v>
      </c>
    </row>
    <row r="37" spans="9:40" x14ac:dyDescent="0.45">
      <c r="I37" t="s">
        <v>174</v>
      </c>
      <c r="J37" t="s">
        <v>167</v>
      </c>
      <c r="K37">
        <v>0.68127314870108702</v>
      </c>
      <c r="L37" t="s">
        <v>165</v>
      </c>
      <c r="N37" t="s">
        <v>184</v>
      </c>
      <c r="O37" t="s">
        <v>167</v>
      </c>
      <c r="P37">
        <v>0.39311638497012807</v>
      </c>
      <c r="Q37" t="s">
        <v>165</v>
      </c>
      <c r="S37" t="s">
        <v>194</v>
      </c>
      <c r="T37" t="s">
        <v>167</v>
      </c>
      <c r="U37">
        <v>0.39716796654337294</v>
      </c>
      <c r="V37" t="s">
        <v>165</v>
      </c>
      <c r="AK37">
        <v>2030</v>
      </c>
      <c r="AL37" t="s">
        <v>161</v>
      </c>
      <c r="AM37">
        <v>0.51680000000000004</v>
      </c>
      <c r="AN37" t="s">
        <v>217</v>
      </c>
    </row>
    <row r="38" spans="9:40" x14ac:dyDescent="0.45">
      <c r="I38" t="s">
        <v>174</v>
      </c>
      <c r="J38" t="s">
        <v>168</v>
      </c>
      <c r="K38">
        <v>0.14384708648881503</v>
      </c>
      <c r="L38" t="s">
        <v>165</v>
      </c>
      <c r="N38" t="s">
        <v>184</v>
      </c>
      <c r="O38" t="s">
        <v>168</v>
      </c>
      <c r="P38">
        <v>0.18174356612091078</v>
      </c>
      <c r="Q38" t="s">
        <v>165</v>
      </c>
      <c r="S38" t="s">
        <v>194</v>
      </c>
      <c r="T38" t="s">
        <v>168</v>
      </c>
      <c r="U38">
        <v>0.19977877343838601</v>
      </c>
      <c r="V38" t="s">
        <v>165</v>
      </c>
      <c r="AK38">
        <v>2031</v>
      </c>
      <c r="AL38" t="s">
        <v>155</v>
      </c>
      <c r="AM38">
        <v>0.51233333333333331</v>
      </c>
      <c r="AN38" t="s">
        <v>217</v>
      </c>
    </row>
    <row r="39" spans="9:40" x14ac:dyDescent="0.45">
      <c r="I39" t="s">
        <v>174</v>
      </c>
      <c r="J39" t="s">
        <v>169</v>
      </c>
      <c r="K39">
        <v>2.2412225112557221E-2</v>
      </c>
      <c r="L39" t="s">
        <v>165</v>
      </c>
      <c r="N39" t="s">
        <v>184</v>
      </c>
      <c r="O39" t="s">
        <v>169</v>
      </c>
      <c r="P39">
        <v>9.5265503658316333E-2</v>
      </c>
      <c r="Q39" t="s">
        <v>165</v>
      </c>
      <c r="S39" t="s">
        <v>194</v>
      </c>
      <c r="T39" t="s">
        <v>169</v>
      </c>
      <c r="U39">
        <v>7.4920206866825573E-2</v>
      </c>
      <c r="V39" t="s">
        <v>165</v>
      </c>
      <c r="AK39">
        <v>2031</v>
      </c>
      <c r="AL39" t="s">
        <v>159</v>
      </c>
      <c r="AM39">
        <v>0.24395</v>
      </c>
      <c r="AN39" t="s">
        <v>217</v>
      </c>
    </row>
    <row r="40" spans="9:40" x14ac:dyDescent="0.45">
      <c r="I40" t="s">
        <v>174</v>
      </c>
      <c r="J40" t="s">
        <v>170</v>
      </c>
      <c r="K40">
        <v>0</v>
      </c>
      <c r="L40" t="s">
        <v>165</v>
      </c>
      <c r="N40" t="s">
        <v>184</v>
      </c>
      <c r="O40" t="s">
        <v>170</v>
      </c>
      <c r="P40">
        <v>5.2676352450677762E-2</v>
      </c>
      <c r="Q40" t="s">
        <v>165</v>
      </c>
      <c r="S40" t="s">
        <v>194</v>
      </c>
      <c r="T40" t="s">
        <v>170</v>
      </c>
      <c r="U40">
        <v>4.012896151001312E-2</v>
      </c>
      <c r="V40" t="s">
        <v>165</v>
      </c>
      <c r="AK40">
        <v>2031</v>
      </c>
      <c r="AL40" t="s">
        <v>161</v>
      </c>
      <c r="AM40">
        <v>0.61670000000000003</v>
      </c>
      <c r="AN40" t="s">
        <v>217</v>
      </c>
    </row>
    <row r="41" spans="9:40" x14ac:dyDescent="0.45">
      <c r="I41" t="s">
        <v>175</v>
      </c>
      <c r="J41" t="s">
        <v>164</v>
      </c>
      <c r="K41">
        <v>0.14020577438700996</v>
      </c>
      <c r="L41" t="s">
        <v>165</v>
      </c>
      <c r="N41" t="s">
        <v>185</v>
      </c>
      <c r="O41" t="s">
        <v>164</v>
      </c>
      <c r="P41">
        <v>0.18262009773254578</v>
      </c>
      <c r="Q41" t="s">
        <v>165</v>
      </c>
      <c r="S41" t="s">
        <v>195</v>
      </c>
      <c r="T41" t="s">
        <v>164</v>
      </c>
      <c r="U41">
        <v>0.19733871448002138</v>
      </c>
      <c r="V41" t="s">
        <v>165</v>
      </c>
      <c r="AK41">
        <v>2032</v>
      </c>
      <c r="AL41" t="s">
        <v>155</v>
      </c>
      <c r="AM41">
        <v>0.52223333333333333</v>
      </c>
      <c r="AN41" t="s">
        <v>217</v>
      </c>
    </row>
    <row r="42" spans="9:40" x14ac:dyDescent="0.45">
      <c r="I42" t="s">
        <v>175</v>
      </c>
      <c r="J42" t="s">
        <v>166</v>
      </c>
      <c r="K42">
        <v>1.9208231896530002E-2</v>
      </c>
      <c r="L42" t="s">
        <v>165</v>
      </c>
      <c r="N42" t="s">
        <v>185</v>
      </c>
      <c r="O42" t="s">
        <v>166</v>
      </c>
      <c r="P42">
        <v>9.0807426115896261E-2</v>
      </c>
      <c r="Q42" t="s">
        <v>165</v>
      </c>
      <c r="S42" t="s">
        <v>195</v>
      </c>
      <c r="T42" t="s">
        <v>166</v>
      </c>
      <c r="U42">
        <v>9.7231132696856126E-2</v>
      </c>
      <c r="V42" t="s">
        <v>165</v>
      </c>
      <c r="AK42">
        <v>2032</v>
      </c>
      <c r="AL42" t="s">
        <v>159</v>
      </c>
      <c r="AM42">
        <v>0.24285000000000001</v>
      </c>
      <c r="AN42" t="s">
        <v>217</v>
      </c>
    </row>
    <row r="43" spans="9:40" x14ac:dyDescent="0.45">
      <c r="I43" t="s">
        <v>175</v>
      </c>
      <c r="J43" t="s">
        <v>167</v>
      </c>
      <c r="K43">
        <v>0.67664741265416539</v>
      </c>
      <c r="L43" t="s">
        <v>165</v>
      </c>
      <c r="N43" t="s">
        <v>185</v>
      </c>
      <c r="O43" t="s">
        <v>167</v>
      </c>
      <c r="P43">
        <v>0.39451432533234593</v>
      </c>
      <c r="Q43" t="s">
        <v>165</v>
      </c>
      <c r="S43" t="s">
        <v>195</v>
      </c>
      <c r="T43" t="s">
        <v>167</v>
      </c>
      <c r="U43">
        <v>0.38517306362401832</v>
      </c>
      <c r="V43" t="s">
        <v>165</v>
      </c>
      <c r="AK43">
        <v>2032</v>
      </c>
      <c r="AL43" t="s">
        <v>161</v>
      </c>
      <c r="AM43">
        <v>0.53700000000000003</v>
      </c>
      <c r="AN43" t="s">
        <v>217</v>
      </c>
    </row>
    <row r="44" spans="9:40" x14ac:dyDescent="0.45">
      <c r="I44" t="s">
        <v>175</v>
      </c>
      <c r="J44" t="s">
        <v>168</v>
      </c>
      <c r="K44">
        <v>0.14270388261010239</v>
      </c>
      <c r="L44" t="s">
        <v>165</v>
      </c>
      <c r="N44" t="s">
        <v>185</v>
      </c>
      <c r="O44" t="s">
        <v>168</v>
      </c>
      <c r="P44">
        <v>0.1857374692449594</v>
      </c>
      <c r="Q44" t="s">
        <v>165</v>
      </c>
      <c r="S44" t="s">
        <v>195</v>
      </c>
      <c r="T44" t="s">
        <v>168</v>
      </c>
      <c r="U44">
        <v>0.1808118900296064</v>
      </c>
      <c r="V44" t="s">
        <v>165</v>
      </c>
      <c r="AK44">
        <v>2033</v>
      </c>
      <c r="AL44" t="s">
        <v>155</v>
      </c>
      <c r="AM44">
        <v>0.56096666666666672</v>
      </c>
      <c r="AN44" t="s">
        <v>217</v>
      </c>
    </row>
    <row r="45" spans="9:40" x14ac:dyDescent="0.45">
      <c r="I45" t="s">
        <v>175</v>
      </c>
      <c r="J45" t="s">
        <v>169</v>
      </c>
      <c r="K45">
        <v>2.1234698452194212E-2</v>
      </c>
      <c r="L45" t="s">
        <v>165</v>
      </c>
      <c r="N45" t="s">
        <v>185</v>
      </c>
      <c r="O45" t="s">
        <v>169</v>
      </c>
      <c r="P45">
        <v>9.4031528870936326E-2</v>
      </c>
      <c r="Q45" t="s">
        <v>165</v>
      </c>
      <c r="S45" t="s">
        <v>195</v>
      </c>
      <c r="T45" t="s">
        <v>169</v>
      </c>
      <c r="U45">
        <v>9.2082173715986093E-2</v>
      </c>
      <c r="V45" t="s">
        <v>165</v>
      </c>
      <c r="AK45">
        <v>2033</v>
      </c>
      <c r="AL45" t="s">
        <v>159</v>
      </c>
      <c r="AM45">
        <v>0.249975</v>
      </c>
      <c r="AN45" t="s">
        <v>217</v>
      </c>
    </row>
    <row r="46" spans="9:40" x14ac:dyDescent="0.45">
      <c r="I46" t="s">
        <v>175</v>
      </c>
      <c r="J46" t="s">
        <v>170</v>
      </c>
      <c r="K46">
        <v>0</v>
      </c>
      <c r="L46" t="s">
        <v>165</v>
      </c>
      <c r="N46" t="s">
        <v>185</v>
      </c>
      <c r="O46" t="s">
        <v>170</v>
      </c>
      <c r="P46">
        <v>5.2289152703315557E-2</v>
      </c>
      <c r="Q46" t="s">
        <v>165</v>
      </c>
      <c r="S46" t="s">
        <v>195</v>
      </c>
      <c r="T46" t="s">
        <v>170</v>
      </c>
      <c r="U46">
        <v>4.736302545351876E-2</v>
      </c>
      <c r="V46" t="s">
        <v>165</v>
      </c>
      <c r="AK46">
        <v>2033</v>
      </c>
      <c r="AL46" t="s">
        <v>161</v>
      </c>
      <c r="AM46">
        <v>0.60450000000000004</v>
      </c>
      <c r="AN46" t="s">
        <v>217</v>
      </c>
    </row>
    <row r="47" spans="9:40" x14ac:dyDescent="0.45">
      <c r="I47" t="s">
        <v>176</v>
      </c>
      <c r="J47" t="s">
        <v>164</v>
      </c>
      <c r="K47">
        <v>0.14323772645321944</v>
      </c>
      <c r="L47" t="s">
        <v>165</v>
      </c>
      <c r="N47" t="s">
        <v>186</v>
      </c>
      <c r="O47" t="s">
        <v>164</v>
      </c>
      <c r="P47">
        <v>0.18566059935181781</v>
      </c>
      <c r="Q47" t="s">
        <v>165</v>
      </c>
      <c r="S47" t="s">
        <v>196</v>
      </c>
      <c r="T47" t="s">
        <v>164</v>
      </c>
      <c r="U47">
        <v>0.18476653026482975</v>
      </c>
      <c r="V47" t="s">
        <v>165</v>
      </c>
      <c r="AK47">
        <v>2034</v>
      </c>
      <c r="AL47" t="s">
        <v>155</v>
      </c>
      <c r="AM47">
        <v>0.52586666666666659</v>
      </c>
      <c r="AN47" t="s">
        <v>217</v>
      </c>
    </row>
    <row r="48" spans="9:40" x14ac:dyDescent="0.45">
      <c r="I48" t="s">
        <v>176</v>
      </c>
      <c r="J48" t="s">
        <v>166</v>
      </c>
      <c r="K48">
        <v>1.9736721141500026E-2</v>
      </c>
      <c r="L48" t="s">
        <v>165</v>
      </c>
      <c r="N48" t="s">
        <v>186</v>
      </c>
      <c r="O48" t="s">
        <v>166</v>
      </c>
      <c r="P48">
        <v>9.3060050507152325E-2</v>
      </c>
      <c r="Q48" t="s">
        <v>165</v>
      </c>
      <c r="S48" t="s">
        <v>196</v>
      </c>
      <c r="T48" t="s">
        <v>166</v>
      </c>
      <c r="U48">
        <v>9.2879615984125433E-2</v>
      </c>
      <c r="V48" t="s">
        <v>165</v>
      </c>
      <c r="AK48">
        <v>2034</v>
      </c>
      <c r="AL48" t="s">
        <v>159</v>
      </c>
      <c r="AM48">
        <v>0.25382500000000002</v>
      </c>
      <c r="AN48" t="s">
        <v>217</v>
      </c>
    </row>
    <row r="49" spans="9:40" x14ac:dyDescent="0.45">
      <c r="I49" t="s">
        <v>176</v>
      </c>
      <c r="J49" t="s">
        <v>167</v>
      </c>
      <c r="K49">
        <v>0.66696369259223243</v>
      </c>
      <c r="L49" t="s">
        <v>165</v>
      </c>
      <c r="N49" t="s">
        <v>186</v>
      </c>
      <c r="O49" t="s">
        <v>167</v>
      </c>
      <c r="P49">
        <v>0.39592175501269772</v>
      </c>
      <c r="Q49" t="s">
        <v>165</v>
      </c>
      <c r="S49" t="s">
        <v>196</v>
      </c>
      <c r="T49" t="s">
        <v>167</v>
      </c>
      <c r="U49">
        <v>0.40058940997628789</v>
      </c>
      <c r="V49" t="s">
        <v>165</v>
      </c>
      <c r="AK49">
        <v>2034</v>
      </c>
      <c r="AL49" t="s">
        <v>161</v>
      </c>
      <c r="AM49">
        <v>0.53810000000000002</v>
      </c>
      <c r="AN49" t="s">
        <v>217</v>
      </c>
    </row>
    <row r="50" spans="9:40" x14ac:dyDescent="0.45">
      <c r="I50" t="s">
        <v>176</v>
      </c>
      <c r="J50" t="s">
        <v>168</v>
      </c>
      <c r="K50">
        <v>0.15331377048523651</v>
      </c>
      <c r="L50" t="s">
        <v>165</v>
      </c>
      <c r="N50" t="s">
        <v>186</v>
      </c>
      <c r="O50" t="s">
        <v>168</v>
      </c>
      <c r="P50">
        <v>0.18580571233602639</v>
      </c>
      <c r="Q50" t="s">
        <v>165</v>
      </c>
      <c r="S50" t="s">
        <v>196</v>
      </c>
      <c r="T50" t="s">
        <v>168</v>
      </c>
      <c r="U50">
        <v>0.20714731900334871</v>
      </c>
      <c r="V50" t="s">
        <v>165</v>
      </c>
      <c r="AK50">
        <v>2035</v>
      </c>
      <c r="AL50" t="s">
        <v>155</v>
      </c>
      <c r="AM50">
        <v>0.55036666666666667</v>
      </c>
      <c r="AN50" t="s">
        <v>217</v>
      </c>
    </row>
    <row r="51" spans="9:40" x14ac:dyDescent="0.45">
      <c r="I51" t="s">
        <v>176</v>
      </c>
      <c r="J51" t="s">
        <v>169</v>
      </c>
      <c r="K51">
        <v>1.6748089327807868E-2</v>
      </c>
      <c r="L51" t="s">
        <v>165</v>
      </c>
      <c r="N51" t="s">
        <v>186</v>
      </c>
      <c r="O51" t="s">
        <v>169</v>
      </c>
      <c r="P51">
        <v>9.1099245776412957E-2</v>
      </c>
      <c r="Q51" t="s">
        <v>165</v>
      </c>
      <c r="S51" t="s">
        <v>196</v>
      </c>
      <c r="T51" t="s">
        <v>169</v>
      </c>
      <c r="U51">
        <v>7.4782035581877487E-2</v>
      </c>
      <c r="V51" t="s">
        <v>165</v>
      </c>
      <c r="AK51">
        <v>2035</v>
      </c>
      <c r="AL51" t="s">
        <v>159</v>
      </c>
      <c r="AM51">
        <v>0.23961250000000001</v>
      </c>
      <c r="AN51" t="s">
        <v>217</v>
      </c>
    </row>
    <row r="52" spans="9:40" x14ac:dyDescent="0.45">
      <c r="I52" t="s">
        <v>176</v>
      </c>
      <c r="J52" t="s">
        <v>170</v>
      </c>
      <c r="K52">
        <v>0</v>
      </c>
      <c r="L52" t="s">
        <v>165</v>
      </c>
      <c r="N52" t="s">
        <v>186</v>
      </c>
      <c r="O52" t="s">
        <v>170</v>
      </c>
      <c r="P52">
        <v>4.8452637015894966E-2</v>
      </c>
      <c r="Q52" t="s">
        <v>165</v>
      </c>
      <c r="S52" t="s">
        <v>196</v>
      </c>
      <c r="T52" t="s">
        <v>170</v>
      </c>
      <c r="U52">
        <v>3.9835089189531554E-2</v>
      </c>
      <c r="V52" t="s">
        <v>165</v>
      </c>
      <c r="AK52">
        <v>2035</v>
      </c>
      <c r="AL52" t="s">
        <v>161</v>
      </c>
      <c r="AM52">
        <v>0.61939999999999995</v>
      </c>
      <c r="AN52" t="s">
        <v>217</v>
      </c>
    </row>
    <row r="53" spans="9:40" x14ac:dyDescent="0.45">
      <c r="I53" t="s">
        <v>177</v>
      </c>
      <c r="J53" t="s">
        <v>164</v>
      </c>
      <c r="K53">
        <v>0.14482906896069048</v>
      </c>
      <c r="L53" t="s">
        <v>165</v>
      </c>
      <c r="N53" t="s">
        <v>187</v>
      </c>
      <c r="O53" t="s">
        <v>164</v>
      </c>
      <c r="P53">
        <v>0.17968624341388759</v>
      </c>
      <c r="Q53" t="s">
        <v>165</v>
      </c>
      <c r="S53" t="s">
        <v>197</v>
      </c>
      <c r="T53" t="s">
        <v>164</v>
      </c>
      <c r="U53">
        <v>0.18416761330313691</v>
      </c>
      <c r="V53" t="s">
        <v>165</v>
      </c>
      <c r="AK53">
        <v>2036</v>
      </c>
      <c r="AL53" t="s">
        <v>155</v>
      </c>
      <c r="AM53">
        <v>0.4507666666666667</v>
      </c>
      <c r="AN53" t="s">
        <v>217</v>
      </c>
    </row>
    <row r="54" spans="9:40" x14ac:dyDescent="0.45">
      <c r="I54" t="s">
        <v>177</v>
      </c>
      <c r="J54" t="s">
        <v>166</v>
      </c>
      <c r="K54">
        <v>2.0487115854317516E-2</v>
      </c>
      <c r="L54" t="s">
        <v>165</v>
      </c>
      <c r="N54" t="s">
        <v>187</v>
      </c>
      <c r="O54" t="s">
        <v>166</v>
      </c>
      <c r="P54">
        <v>9.1360625414734747E-2</v>
      </c>
      <c r="Q54" t="s">
        <v>165</v>
      </c>
      <c r="S54" t="s">
        <v>197</v>
      </c>
      <c r="T54" t="s">
        <v>166</v>
      </c>
      <c r="U54">
        <v>9.2545839000606714E-2</v>
      </c>
      <c r="V54" t="s">
        <v>165</v>
      </c>
      <c r="AK54">
        <v>2036</v>
      </c>
      <c r="AL54" t="s">
        <v>159</v>
      </c>
      <c r="AM54">
        <v>0.22211250000000002</v>
      </c>
      <c r="AN54" t="s">
        <v>217</v>
      </c>
    </row>
    <row r="55" spans="9:40" x14ac:dyDescent="0.45">
      <c r="I55" t="s">
        <v>177</v>
      </c>
      <c r="J55" t="s">
        <v>167</v>
      </c>
      <c r="K55">
        <v>0.66892842883634107</v>
      </c>
      <c r="L55" t="s">
        <v>165</v>
      </c>
      <c r="N55" t="s">
        <v>187</v>
      </c>
      <c r="O55" t="s">
        <v>167</v>
      </c>
      <c r="P55">
        <v>0.40371769285543513</v>
      </c>
      <c r="Q55" t="s">
        <v>165</v>
      </c>
      <c r="S55" t="s">
        <v>197</v>
      </c>
      <c r="T55" t="s">
        <v>167</v>
      </c>
      <c r="U55">
        <v>0.39118742111932925</v>
      </c>
      <c r="V55" t="s">
        <v>165</v>
      </c>
      <c r="AK55">
        <v>2036</v>
      </c>
      <c r="AL55" t="s">
        <v>161</v>
      </c>
      <c r="AM55">
        <v>0.4501</v>
      </c>
      <c r="AN55" t="s">
        <v>217</v>
      </c>
    </row>
    <row r="56" spans="9:40" x14ac:dyDescent="0.45">
      <c r="I56" t="s">
        <v>177</v>
      </c>
      <c r="J56" t="s">
        <v>168</v>
      </c>
      <c r="K56">
        <v>0.14668636986618896</v>
      </c>
      <c r="L56" t="s">
        <v>165</v>
      </c>
      <c r="N56" t="s">
        <v>187</v>
      </c>
      <c r="O56" t="s">
        <v>168</v>
      </c>
      <c r="P56">
        <v>0.19751389125554691</v>
      </c>
      <c r="Q56" t="s">
        <v>165</v>
      </c>
      <c r="S56" t="s">
        <v>197</v>
      </c>
      <c r="T56" t="s">
        <v>168</v>
      </c>
      <c r="U56">
        <v>0.19902220257865491</v>
      </c>
      <c r="V56" t="s">
        <v>165</v>
      </c>
      <c r="AK56">
        <v>2037</v>
      </c>
      <c r="AL56" t="s">
        <v>155</v>
      </c>
      <c r="AM56">
        <v>0.4467666666666667</v>
      </c>
      <c r="AN56" t="s">
        <v>217</v>
      </c>
    </row>
    <row r="57" spans="9:40" x14ac:dyDescent="0.45">
      <c r="I57" t="s">
        <v>177</v>
      </c>
      <c r="J57" t="s">
        <v>169</v>
      </c>
      <c r="K57">
        <v>1.9069016482463726E-2</v>
      </c>
      <c r="L57" t="s">
        <v>165</v>
      </c>
      <c r="N57" t="s">
        <v>187</v>
      </c>
      <c r="O57" t="s">
        <v>169</v>
      </c>
      <c r="P57">
        <v>8.3820877293573168E-2</v>
      </c>
      <c r="Q57" t="s">
        <v>165</v>
      </c>
      <c r="S57" t="s">
        <v>197</v>
      </c>
      <c r="T57" t="s">
        <v>169</v>
      </c>
      <c r="U57">
        <v>8.6512039023166162E-2</v>
      </c>
      <c r="V57" t="s">
        <v>165</v>
      </c>
      <c r="AK57">
        <v>2037</v>
      </c>
      <c r="AL57" t="s">
        <v>159</v>
      </c>
      <c r="AM57">
        <v>0.2068875</v>
      </c>
      <c r="AN57" t="s">
        <v>217</v>
      </c>
    </row>
    <row r="58" spans="9:40" x14ac:dyDescent="0.45">
      <c r="I58" t="s">
        <v>177</v>
      </c>
      <c r="J58" t="s">
        <v>170</v>
      </c>
      <c r="K58">
        <v>0</v>
      </c>
      <c r="L58" t="s">
        <v>165</v>
      </c>
      <c r="N58" t="s">
        <v>187</v>
      </c>
      <c r="O58" t="s">
        <v>170</v>
      </c>
      <c r="P58">
        <v>4.390066976682077E-2</v>
      </c>
      <c r="Q58" t="s">
        <v>165</v>
      </c>
      <c r="S58" t="s">
        <v>197</v>
      </c>
      <c r="T58" t="s">
        <v>170</v>
      </c>
      <c r="U58">
        <v>4.6564884975106781E-2</v>
      </c>
      <c r="V58" t="s">
        <v>165</v>
      </c>
      <c r="AK58">
        <v>2037</v>
      </c>
      <c r="AL58" t="s">
        <v>161</v>
      </c>
      <c r="AM58">
        <v>0.4466</v>
      </c>
      <c r="AN58" t="s">
        <v>217</v>
      </c>
    </row>
    <row r="59" spans="9:40" x14ac:dyDescent="0.45">
      <c r="I59" t="s">
        <v>178</v>
      </c>
      <c r="J59" t="s">
        <v>164</v>
      </c>
      <c r="K59">
        <v>0.14291600119176295</v>
      </c>
      <c r="L59" t="s">
        <v>165</v>
      </c>
      <c r="N59" t="s">
        <v>188</v>
      </c>
      <c r="O59" t="s">
        <v>164</v>
      </c>
      <c r="P59">
        <v>0.18179760830326697</v>
      </c>
      <c r="Q59" t="s">
        <v>165</v>
      </c>
      <c r="S59" t="s">
        <v>198</v>
      </c>
      <c r="T59" t="s">
        <v>164</v>
      </c>
      <c r="U59">
        <v>0.18472578108697266</v>
      </c>
      <c r="V59" t="s">
        <v>165</v>
      </c>
      <c r="AK59">
        <v>2038</v>
      </c>
      <c r="AL59" t="s">
        <v>155</v>
      </c>
      <c r="AM59">
        <v>0.45753333333333335</v>
      </c>
      <c r="AN59" t="s">
        <v>217</v>
      </c>
    </row>
    <row r="60" spans="9:40" x14ac:dyDescent="0.45">
      <c r="I60" t="s">
        <v>178</v>
      </c>
      <c r="J60" t="s">
        <v>166</v>
      </c>
      <c r="K60">
        <v>2.1091915894945863E-2</v>
      </c>
      <c r="L60" t="s">
        <v>165</v>
      </c>
      <c r="N60" t="s">
        <v>188</v>
      </c>
      <c r="O60" t="s">
        <v>166</v>
      </c>
      <c r="P60">
        <v>9.2683606817500347E-2</v>
      </c>
      <c r="Q60" t="s">
        <v>165</v>
      </c>
      <c r="S60" t="s">
        <v>198</v>
      </c>
      <c r="T60" t="s">
        <v>166</v>
      </c>
      <c r="U60">
        <v>9.1775535167849212E-2</v>
      </c>
      <c r="V60" t="s">
        <v>165</v>
      </c>
      <c r="AK60">
        <v>2038</v>
      </c>
      <c r="AL60" t="s">
        <v>159</v>
      </c>
      <c r="AM60">
        <v>0.21098749999999999</v>
      </c>
      <c r="AN60" t="s">
        <v>217</v>
      </c>
    </row>
    <row r="61" spans="9:40" x14ac:dyDescent="0.45">
      <c r="I61" t="s">
        <v>178</v>
      </c>
      <c r="J61" t="s">
        <v>167</v>
      </c>
      <c r="K61">
        <v>0.66924289656124425</v>
      </c>
      <c r="L61" t="s">
        <v>165</v>
      </c>
      <c r="N61" t="s">
        <v>188</v>
      </c>
      <c r="O61" t="s">
        <v>167</v>
      </c>
      <c r="P61">
        <v>0.41049706873940994</v>
      </c>
      <c r="Q61" t="s">
        <v>165</v>
      </c>
      <c r="S61" t="s">
        <v>198</v>
      </c>
      <c r="T61" t="s">
        <v>167</v>
      </c>
      <c r="U61">
        <v>0.38747421139674632</v>
      </c>
      <c r="V61" t="s">
        <v>165</v>
      </c>
      <c r="AK61">
        <v>2038</v>
      </c>
      <c r="AL61" t="s">
        <v>161</v>
      </c>
      <c r="AM61">
        <v>0.44190000000000002</v>
      </c>
      <c r="AN61" t="s">
        <v>217</v>
      </c>
    </row>
    <row r="62" spans="9:40" x14ac:dyDescent="0.45">
      <c r="I62" t="s">
        <v>178</v>
      </c>
      <c r="J62" t="s">
        <v>168</v>
      </c>
      <c r="K62">
        <v>0.14919945652792455</v>
      </c>
      <c r="L62" t="s">
        <v>165</v>
      </c>
      <c r="N62" t="s">
        <v>188</v>
      </c>
      <c r="O62" t="s">
        <v>168</v>
      </c>
      <c r="P62">
        <v>0.19894124716931663</v>
      </c>
      <c r="Q62" t="s">
        <v>165</v>
      </c>
      <c r="S62" t="s">
        <v>198</v>
      </c>
      <c r="T62" t="s">
        <v>168</v>
      </c>
      <c r="U62">
        <v>0.1774313506727398</v>
      </c>
      <c r="V62" t="s">
        <v>165</v>
      </c>
      <c r="AK62">
        <v>2039</v>
      </c>
      <c r="AL62" t="s">
        <v>155</v>
      </c>
      <c r="AM62">
        <v>0.52439999999999998</v>
      </c>
      <c r="AN62" t="s">
        <v>217</v>
      </c>
    </row>
    <row r="63" spans="9:40" x14ac:dyDescent="0.45">
      <c r="I63" t="s">
        <v>178</v>
      </c>
      <c r="J63" t="s">
        <v>169</v>
      </c>
      <c r="K63">
        <v>1.754972982412439E-2</v>
      </c>
      <c r="L63" t="s">
        <v>165</v>
      </c>
      <c r="N63" t="s">
        <v>188</v>
      </c>
      <c r="O63" t="s">
        <v>169</v>
      </c>
      <c r="P63">
        <v>7.7016221838363486E-2</v>
      </c>
      <c r="Q63" t="s">
        <v>165</v>
      </c>
      <c r="S63" t="s">
        <v>198</v>
      </c>
      <c r="T63" t="s">
        <v>169</v>
      </c>
      <c r="U63">
        <v>0.10207388696827704</v>
      </c>
      <c r="V63" t="s">
        <v>165</v>
      </c>
      <c r="AK63">
        <v>2039</v>
      </c>
      <c r="AL63" t="s">
        <v>159</v>
      </c>
      <c r="AM63">
        <v>0.2522625</v>
      </c>
      <c r="AN63" t="s">
        <v>217</v>
      </c>
    </row>
    <row r="64" spans="9:40" x14ac:dyDescent="0.45">
      <c r="I64" t="s">
        <v>178</v>
      </c>
      <c r="J64" t="s">
        <v>170</v>
      </c>
      <c r="K64">
        <v>0</v>
      </c>
      <c r="L64" t="s">
        <v>165</v>
      </c>
      <c r="N64" t="s">
        <v>188</v>
      </c>
      <c r="O64" t="s">
        <v>170</v>
      </c>
      <c r="P64">
        <v>3.9064247132141933E-2</v>
      </c>
      <c r="Q64" t="s">
        <v>165</v>
      </c>
      <c r="S64" t="s">
        <v>198</v>
      </c>
      <c r="T64" t="s">
        <v>170</v>
      </c>
      <c r="U64">
        <v>5.6519234707418022E-2</v>
      </c>
      <c r="V64" t="s">
        <v>165</v>
      </c>
      <c r="AK64">
        <v>2039</v>
      </c>
      <c r="AL64" t="s">
        <v>161</v>
      </c>
      <c r="AM64">
        <v>0.56710000000000005</v>
      </c>
      <c r="AN64" t="s">
        <v>217</v>
      </c>
    </row>
    <row r="65" spans="9:40" x14ac:dyDescent="0.45">
      <c r="I65" t="s">
        <v>179</v>
      </c>
      <c r="J65" t="s">
        <v>164</v>
      </c>
      <c r="K65">
        <v>0.1420574231910027</v>
      </c>
      <c r="L65" t="s">
        <v>165</v>
      </c>
      <c r="N65" t="s">
        <v>189</v>
      </c>
      <c r="O65" t="s">
        <v>164</v>
      </c>
      <c r="P65">
        <v>0.18616442830925453</v>
      </c>
      <c r="Q65" t="s">
        <v>165</v>
      </c>
      <c r="S65" t="s">
        <v>199</v>
      </c>
      <c r="T65" t="s">
        <v>164</v>
      </c>
      <c r="U65">
        <v>0.18585926400749703</v>
      </c>
      <c r="V65" t="s">
        <v>165</v>
      </c>
      <c r="AK65">
        <v>2040</v>
      </c>
      <c r="AL65" t="s">
        <v>155</v>
      </c>
      <c r="AM65">
        <v>0.50706666666666667</v>
      </c>
      <c r="AN65" t="s">
        <v>217</v>
      </c>
    </row>
    <row r="66" spans="9:40" x14ac:dyDescent="0.45">
      <c r="I66" t="s">
        <v>179</v>
      </c>
      <c r="J66" t="s">
        <v>166</v>
      </c>
      <c r="K66">
        <v>2.0951120542631367E-2</v>
      </c>
      <c r="L66" t="s">
        <v>165</v>
      </c>
      <c r="N66" t="s">
        <v>189</v>
      </c>
      <c r="O66" t="s">
        <v>166</v>
      </c>
      <c r="P66">
        <v>9.3465656666292335E-2</v>
      </c>
      <c r="Q66" t="s">
        <v>165</v>
      </c>
      <c r="S66" t="s">
        <v>199</v>
      </c>
      <c r="T66" t="s">
        <v>166</v>
      </c>
      <c r="U66">
        <v>9.3415372404027364E-2</v>
      </c>
      <c r="V66" t="s">
        <v>165</v>
      </c>
      <c r="AK66">
        <v>2040</v>
      </c>
      <c r="AL66" t="s">
        <v>159</v>
      </c>
      <c r="AM66">
        <v>0.25446249999999998</v>
      </c>
      <c r="AN66" t="s">
        <v>217</v>
      </c>
    </row>
    <row r="67" spans="9:40" x14ac:dyDescent="0.45">
      <c r="I67" t="s">
        <v>179</v>
      </c>
      <c r="J67" t="s">
        <v>167</v>
      </c>
      <c r="K67">
        <v>0.66437989481485293</v>
      </c>
      <c r="L67" t="s">
        <v>165</v>
      </c>
      <c r="N67" t="s">
        <v>189</v>
      </c>
      <c r="O67" t="s">
        <v>167</v>
      </c>
      <c r="P67">
        <v>0.40251164722026911</v>
      </c>
      <c r="Q67" t="s">
        <v>165</v>
      </c>
      <c r="S67" t="s">
        <v>199</v>
      </c>
      <c r="T67" t="s">
        <v>167</v>
      </c>
      <c r="U67">
        <v>0.40186310453845125</v>
      </c>
      <c r="V67" t="s">
        <v>165</v>
      </c>
      <c r="AK67">
        <v>2040</v>
      </c>
      <c r="AL67" t="s">
        <v>161</v>
      </c>
      <c r="AM67">
        <v>0.53959999999999997</v>
      </c>
      <c r="AN67" t="s">
        <v>217</v>
      </c>
    </row>
    <row r="68" spans="9:40" x14ac:dyDescent="0.45">
      <c r="I68" t="s">
        <v>179</v>
      </c>
      <c r="J68" t="s">
        <v>168</v>
      </c>
      <c r="K68">
        <v>0.15589220348087027</v>
      </c>
      <c r="L68" t="s">
        <v>165</v>
      </c>
      <c r="N68" t="s">
        <v>189</v>
      </c>
      <c r="O68" t="s">
        <v>168</v>
      </c>
      <c r="P68">
        <v>0.19481955426413602</v>
      </c>
      <c r="Q68" t="s">
        <v>165</v>
      </c>
      <c r="S68" t="s">
        <v>199</v>
      </c>
      <c r="T68" t="s">
        <v>168</v>
      </c>
      <c r="U68">
        <v>0.19822333061041436</v>
      </c>
      <c r="V68" t="s">
        <v>165</v>
      </c>
      <c r="AK68">
        <v>2041</v>
      </c>
      <c r="AL68" t="s">
        <v>155</v>
      </c>
      <c r="AM68">
        <v>0.5111</v>
      </c>
      <c r="AN68" t="s">
        <v>217</v>
      </c>
    </row>
    <row r="69" spans="9:40" x14ac:dyDescent="0.45">
      <c r="I69" t="s">
        <v>179</v>
      </c>
      <c r="J69" t="s">
        <v>169</v>
      </c>
      <c r="K69">
        <v>1.6719357970641488E-2</v>
      </c>
      <c r="L69" t="s">
        <v>165</v>
      </c>
      <c r="N69" t="s">
        <v>189</v>
      </c>
      <c r="O69" t="s">
        <v>169</v>
      </c>
      <c r="P69">
        <v>8.1500178122050806E-2</v>
      </c>
      <c r="Q69" t="s">
        <v>165</v>
      </c>
      <c r="S69" t="s">
        <v>199</v>
      </c>
      <c r="T69" t="s">
        <v>169</v>
      </c>
      <c r="U69">
        <v>8.0255205882467595E-2</v>
      </c>
      <c r="V69" t="s">
        <v>165</v>
      </c>
      <c r="AK69">
        <v>2041</v>
      </c>
      <c r="AL69" t="s">
        <v>159</v>
      </c>
      <c r="AM69">
        <v>0.25482499999999997</v>
      </c>
      <c r="AN69" t="s">
        <v>217</v>
      </c>
    </row>
    <row r="70" spans="9:40" x14ac:dyDescent="0.45">
      <c r="I70" t="s">
        <v>179</v>
      </c>
      <c r="J70" t="s">
        <v>170</v>
      </c>
      <c r="K70">
        <v>0</v>
      </c>
      <c r="L70" t="s">
        <v>165</v>
      </c>
      <c r="N70" t="s">
        <v>189</v>
      </c>
      <c r="O70" t="s">
        <v>170</v>
      </c>
      <c r="P70">
        <v>4.1538535417996368E-2</v>
      </c>
      <c r="Q70" t="s">
        <v>165</v>
      </c>
      <c r="S70" t="s">
        <v>199</v>
      </c>
      <c r="T70" t="s">
        <v>170</v>
      </c>
      <c r="U70">
        <v>4.0383722557141323E-2</v>
      </c>
      <c r="V70" t="s">
        <v>165</v>
      </c>
      <c r="AK70">
        <v>2041</v>
      </c>
      <c r="AL70" t="s">
        <v>161</v>
      </c>
      <c r="AM70">
        <v>0.56679999999999997</v>
      </c>
      <c r="AN70" t="s">
        <v>217</v>
      </c>
    </row>
    <row r="71" spans="9:40" x14ac:dyDescent="0.45">
      <c r="S71" t="s">
        <v>200</v>
      </c>
      <c r="T71" t="s">
        <v>164</v>
      </c>
      <c r="U71">
        <v>0.18653914272126346</v>
      </c>
      <c r="V71" t="s">
        <v>165</v>
      </c>
      <c r="AK71">
        <v>2042</v>
      </c>
      <c r="AL71" t="s">
        <v>155</v>
      </c>
      <c r="AM71">
        <v>0.53036666666666665</v>
      </c>
      <c r="AN71" t="s">
        <v>217</v>
      </c>
    </row>
    <row r="72" spans="9:40" x14ac:dyDescent="0.45">
      <c r="S72" t="s">
        <v>200</v>
      </c>
      <c r="T72" t="s">
        <v>166</v>
      </c>
      <c r="U72">
        <v>9.2884652416074645E-2</v>
      </c>
      <c r="V72" t="s">
        <v>165</v>
      </c>
      <c r="AK72">
        <v>2042</v>
      </c>
      <c r="AL72" t="s">
        <v>159</v>
      </c>
      <c r="AM72">
        <v>0.23963750000000003</v>
      </c>
      <c r="AN72" t="s">
        <v>217</v>
      </c>
    </row>
    <row r="73" spans="9:40" x14ac:dyDescent="0.45">
      <c r="S73" t="s">
        <v>200</v>
      </c>
      <c r="T73" t="s">
        <v>167</v>
      </c>
      <c r="U73">
        <v>0.40248180106161457</v>
      </c>
      <c r="V73" t="s">
        <v>165</v>
      </c>
      <c r="AK73">
        <v>2042</v>
      </c>
      <c r="AL73" t="s">
        <v>161</v>
      </c>
      <c r="AM73">
        <v>0.53779999999999994</v>
      </c>
      <c r="AN73" t="s">
        <v>217</v>
      </c>
    </row>
    <row r="74" spans="9:40" x14ac:dyDescent="0.45">
      <c r="S74" t="s">
        <v>200</v>
      </c>
      <c r="T74" t="s">
        <v>168</v>
      </c>
      <c r="U74">
        <v>0.20194539431863048</v>
      </c>
      <c r="V74" t="s">
        <v>165</v>
      </c>
      <c r="AK74">
        <v>2043</v>
      </c>
      <c r="AL74" t="s">
        <v>155</v>
      </c>
      <c r="AM74">
        <v>0.505</v>
      </c>
      <c r="AN74" t="s">
        <v>217</v>
      </c>
    </row>
    <row r="75" spans="9:40" x14ac:dyDescent="0.45">
      <c r="S75" t="s">
        <v>200</v>
      </c>
      <c r="T75" t="s">
        <v>169</v>
      </c>
      <c r="U75">
        <v>7.6646074977834919E-2</v>
      </c>
      <c r="V75" t="s">
        <v>165</v>
      </c>
      <c r="AK75">
        <v>2043</v>
      </c>
      <c r="AL75" t="s">
        <v>159</v>
      </c>
      <c r="AM75">
        <v>0.24242500000000003</v>
      </c>
      <c r="AN75" t="s">
        <v>217</v>
      </c>
    </row>
    <row r="76" spans="9:40" x14ac:dyDescent="0.45">
      <c r="S76" t="s">
        <v>200</v>
      </c>
      <c r="T76" t="s">
        <v>170</v>
      </c>
      <c r="U76">
        <v>3.9502934504583809E-2</v>
      </c>
      <c r="V76" t="s">
        <v>165</v>
      </c>
      <c r="AK76">
        <v>2043</v>
      </c>
      <c r="AL76" t="s">
        <v>161</v>
      </c>
      <c r="AM76">
        <v>0.59179999999999999</v>
      </c>
      <c r="AN76" t="s">
        <v>217</v>
      </c>
    </row>
    <row r="77" spans="9:40" x14ac:dyDescent="0.45">
      <c r="S77" t="s">
        <v>201</v>
      </c>
      <c r="T77" t="s">
        <v>164</v>
      </c>
      <c r="U77">
        <v>0.18300461606410368</v>
      </c>
      <c r="V77" t="s">
        <v>165</v>
      </c>
      <c r="AK77">
        <v>2044</v>
      </c>
      <c r="AL77" t="s">
        <v>155</v>
      </c>
      <c r="AM77">
        <v>0.51440000000000008</v>
      </c>
      <c r="AN77" t="s">
        <v>217</v>
      </c>
    </row>
    <row r="78" spans="9:40" x14ac:dyDescent="0.45">
      <c r="S78" t="s">
        <v>201</v>
      </c>
      <c r="T78" t="s">
        <v>166</v>
      </c>
      <c r="U78">
        <v>9.2742648518275447E-2</v>
      </c>
      <c r="V78" t="s">
        <v>165</v>
      </c>
      <c r="AK78">
        <v>2044</v>
      </c>
      <c r="AL78" t="s">
        <v>159</v>
      </c>
      <c r="AM78">
        <v>0.25414999999999999</v>
      </c>
      <c r="AN78" t="s">
        <v>217</v>
      </c>
    </row>
    <row r="79" spans="9:40" x14ac:dyDescent="0.45">
      <c r="S79" t="s">
        <v>201</v>
      </c>
      <c r="T79" t="s">
        <v>167</v>
      </c>
      <c r="U79">
        <v>0.39759776296070115</v>
      </c>
      <c r="V79" t="s">
        <v>165</v>
      </c>
      <c r="AK79">
        <v>2044</v>
      </c>
      <c r="AL79" t="s">
        <v>161</v>
      </c>
      <c r="AM79">
        <v>0.62170000000000003</v>
      </c>
      <c r="AN79" t="s">
        <v>217</v>
      </c>
    </row>
    <row r="80" spans="9:40" x14ac:dyDescent="0.45">
      <c r="S80" t="s">
        <v>201</v>
      </c>
      <c r="T80" t="s">
        <v>168</v>
      </c>
      <c r="U80">
        <v>0.19828332213148345</v>
      </c>
      <c r="V80" t="s">
        <v>165</v>
      </c>
      <c r="AK80">
        <v>2045</v>
      </c>
      <c r="AL80" t="s">
        <v>155</v>
      </c>
      <c r="AM80">
        <v>0.52513333333333334</v>
      </c>
      <c r="AN80" t="s">
        <v>217</v>
      </c>
    </row>
    <row r="81" spans="19:40" x14ac:dyDescent="0.45">
      <c r="S81" t="s">
        <v>201</v>
      </c>
      <c r="T81" t="s">
        <v>169</v>
      </c>
      <c r="U81">
        <v>8.4428848494792069E-2</v>
      </c>
      <c r="V81" t="s">
        <v>165</v>
      </c>
      <c r="AK81">
        <v>2045</v>
      </c>
      <c r="AL81" t="s">
        <v>159</v>
      </c>
      <c r="AM81">
        <v>0.25611249999999997</v>
      </c>
      <c r="AN81" t="s">
        <v>217</v>
      </c>
    </row>
    <row r="82" spans="19:40" x14ac:dyDescent="0.45">
      <c r="S82" t="s">
        <v>201</v>
      </c>
      <c r="T82" t="s">
        <v>170</v>
      </c>
      <c r="U82">
        <v>4.3942801830645077E-2</v>
      </c>
      <c r="V82" t="s">
        <v>165</v>
      </c>
      <c r="AK82">
        <v>2045</v>
      </c>
      <c r="AL82" t="s">
        <v>161</v>
      </c>
      <c r="AM82">
        <v>0.61129999999999995</v>
      </c>
      <c r="AN82" t="s">
        <v>217</v>
      </c>
    </row>
    <row r="83" spans="19:40" x14ac:dyDescent="0.45">
      <c r="S83" t="s">
        <v>202</v>
      </c>
      <c r="T83" t="s">
        <v>164</v>
      </c>
      <c r="U83">
        <v>0.18670680896772973</v>
      </c>
      <c r="V83" t="s">
        <v>165</v>
      </c>
      <c r="AK83">
        <v>2046</v>
      </c>
      <c r="AL83" t="s">
        <v>155</v>
      </c>
      <c r="AM83">
        <v>0.52436666666666676</v>
      </c>
      <c r="AN83" t="s">
        <v>217</v>
      </c>
    </row>
    <row r="84" spans="19:40" x14ac:dyDescent="0.45">
      <c r="S84" t="s">
        <v>202</v>
      </c>
      <c r="T84" t="s">
        <v>166</v>
      </c>
      <c r="U84">
        <v>9.0623741235637073E-2</v>
      </c>
      <c r="V84" t="s">
        <v>165</v>
      </c>
      <c r="AK84">
        <v>2046</v>
      </c>
      <c r="AL84" t="s">
        <v>159</v>
      </c>
      <c r="AM84">
        <v>0.24808749999999999</v>
      </c>
      <c r="AN84" t="s">
        <v>217</v>
      </c>
    </row>
    <row r="85" spans="19:40" x14ac:dyDescent="0.45">
      <c r="S85" t="s">
        <v>202</v>
      </c>
      <c r="T85" t="s">
        <v>167</v>
      </c>
      <c r="U85">
        <v>0.41298793263954303</v>
      </c>
      <c r="V85" t="s">
        <v>165</v>
      </c>
      <c r="AK85">
        <v>2046</v>
      </c>
      <c r="AL85" t="s">
        <v>161</v>
      </c>
      <c r="AM85">
        <v>0.5988</v>
      </c>
      <c r="AN85" t="s">
        <v>217</v>
      </c>
    </row>
    <row r="86" spans="19:40" x14ac:dyDescent="0.45">
      <c r="S86" t="s">
        <v>202</v>
      </c>
      <c r="T86" t="s">
        <v>168</v>
      </c>
      <c r="U86">
        <v>0.20347383407753064</v>
      </c>
      <c r="V86" t="s">
        <v>165</v>
      </c>
      <c r="AK86">
        <v>2047</v>
      </c>
      <c r="AL86" t="s">
        <v>155</v>
      </c>
      <c r="AM86">
        <v>0.53436666666666677</v>
      </c>
      <c r="AN86" t="s">
        <v>217</v>
      </c>
    </row>
    <row r="87" spans="19:40" x14ac:dyDescent="0.45">
      <c r="S87" t="s">
        <v>202</v>
      </c>
      <c r="T87" t="s">
        <v>169</v>
      </c>
      <c r="U87">
        <v>7.0006239346267429E-2</v>
      </c>
      <c r="V87" t="s">
        <v>165</v>
      </c>
      <c r="AK87">
        <v>2047</v>
      </c>
      <c r="AL87" t="s">
        <v>159</v>
      </c>
      <c r="AM87">
        <v>0.25412499999999999</v>
      </c>
      <c r="AN87" t="s">
        <v>217</v>
      </c>
    </row>
    <row r="88" spans="19:40" x14ac:dyDescent="0.45">
      <c r="S88" t="s">
        <v>202</v>
      </c>
      <c r="T88" t="s">
        <v>170</v>
      </c>
      <c r="U88">
        <v>3.6201443733291969E-2</v>
      </c>
      <c r="V88" t="s">
        <v>165</v>
      </c>
      <c r="AK88">
        <v>2047</v>
      </c>
      <c r="AL88" t="s">
        <v>161</v>
      </c>
      <c r="AM88">
        <v>0.5524</v>
      </c>
      <c r="AN88" t="s">
        <v>217</v>
      </c>
    </row>
    <row r="89" spans="19:40" x14ac:dyDescent="0.45">
      <c r="S89" t="s">
        <v>203</v>
      </c>
      <c r="T89" t="s">
        <v>164</v>
      </c>
      <c r="U89">
        <v>0.18682976060681616</v>
      </c>
      <c r="V89" t="s">
        <v>165</v>
      </c>
      <c r="AK89">
        <v>2048</v>
      </c>
      <c r="AL89" t="s">
        <v>155</v>
      </c>
      <c r="AM89">
        <v>0.53956666666666664</v>
      </c>
      <c r="AN89" t="s">
        <v>217</v>
      </c>
    </row>
    <row r="90" spans="19:40" x14ac:dyDescent="0.45">
      <c r="S90" t="s">
        <v>203</v>
      </c>
      <c r="T90" t="s">
        <v>166</v>
      </c>
      <c r="U90">
        <v>9.3979159618389776E-2</v>
      </c>
      <c r="V90" t="s">
        <v>165</v>
      </c>
      <c r="AK90">
        <v>2048</v>
      </c>
      <c r="AL90" t="s">
        <v>159</v>
      </c>
      <c r="AM90">
        <v>0.254575</v>
      </c>
      <c r="AN90" t="s">
        <v>217</v>
      </c>
    </row>
    <row r="91" spans="19:40" x14ac:dyDescent="0.45">
      <c r="S91" t="s">
        <v>203</v>
      </c>
      <c r="T91" t="s">
        <v>167</v>
      </c>
      <c r="U91">
        <v>0.40342662454761208</v>
      </c>
      <c r="V91" t="s">
        <v>165</v>
      </c>
      <c r="AK91">
        <v>2048</v>
      </c>
      <c r="AL91" t="s">
        <v>161</v>
      </c>
      <c r="AM91">
        <v>0.58509999999999995</v>
      </c>
      <c r="AN91" t="s">
        <v>217</v>
      </c>
    </row>
    <row r="92" spans="19:40" x14ac:dyDescent="0.45">
      <c r="S92" t="s">
        <v>203</v>
      </c>
      <c r="T92" t="s">
        <v>168</v>
      </c>
      <c r="U92">
        <v>0.19646052215770599</v>
      </c>
      <c r="V92" t="s">
        <v>165</v>
      </c>
      <c r="AK92">
        <v>2049</v>
      </c>
      <c r="AL92" t="s">
        <v>155</v>
      </c>
      <c r="AM92">
        <v>0.51149999999999995</v>
      </c>
      <c r="AN92" t="s">
        <v>217</v>
      </c>
    </row>
    <row r="93" spans="19:40" x14ac:dyDescent="0.45">
      <c r="S93" t="s">
        <v>203</v>
      </c>
      <c r="T93" t="s">
        <v>169</v>
      </c>
      <c r="U93">
        <v>7.8856502195441755E-2</v>
      </c>
      <c r="V93" t="s">
        <v>165</v>
      </c>
      <c r="AK93">
        <v>2049</v>
      </c>
      <c r="AL93" t="s">
        <v>159</v>
      </c>
      <c r="AM93">
        <v>0.2512625</v>
      </c>
      <c r="AN93" t="s">
        <v>217</v>
      </c>
    </row>
    <row r="94" spans="19:40" x14ac:dyDescent="0.45">
      <c r="S94" t="s">
        <v>203</v>
      </c>
      <c r="T94" t="s">
        <v>170</v>
      </c>
      <c r="U94">
        <v>4.0447430874032443E-2</v>
      </c>
      <c r="V94" t="s">
        <v>165</v>
      </c>
      <c r="AK94">
        <v>2049</v>
      </c>
      <c r="AL94" t="s">
        <v>161</v>
      </c>
      <c r="AM94">
        <v>0.5645</v>
      </c>
      <c r="AN94" t="s">
        <v>217</v>
      </c>
    </row>
    <row r="95" spans="19:40" x14ac:dyDescent="0.45">
      <c r="S95" t="s">
        <v>204</v>
      </c>
      <c r="T95" t="s">
        <v>164</v>
      </c>
      <c r="U95">
        <v>0.19013861440319393</v>
      </c>
      <c r="V95" t="s">
        <v>165</v>
      </c>
      <c r="AK95">
        <v>2050</v>
      </c>
      <c r="AL95" t="s">
        <v>155</v>
      </c>
      <c r="AM95">
        <v>0.52283333333333326</v>
      </c>
      <c r="AN95" t="s">
        <v>217</v>
      </c>
    </row>
    <row r="96" spans="19:40" x14ac:dyDescent="0.45">
      <c r="S96" t="s">
        <v>204</v>
      </c>
      <c r="T96" t="s">
        <v>166</v>
      </c>
      <c r="U96">
        <v>9.4668959761418772E-2</v>
      </c>
      <c r="V96" t="s">
        <v>165</v>
      </c>
      <c r="AK96">
        <v>2050</v>
      </c>
      <c r="AL96" t="s">
        <v>159</v>
      </c>
      <c r="AM96">
        <v>0.25592500000000001</v>
      </c>
      <c r="AN96" t="s">
        <v>217</v>
      </c>
    </row>
    <row r="97" spans="19:40" x14ac:dyDescent="0.45">
      <c r="S97" t="s">
        <v>204</v>
      </c>
      <c r="T97" t="s">
        <v>167</v>
      </c>
      <c r="U97">
        <v>0.39814539896189721</v>
      </c>
      <c r="V97" t="s">
        <v>165</v>
      </c>
      <c r="AK97">
        <v>2050</v>
      </c>
      <c r="AL97" t="s">
        <v>161</v>
      </c>
      <c r="AM97">
        <v>0.52890000000000004</v>
      </c>
      <c r="AN97" t="s">
        <v>217</v>
      </c>
    </row>
    <row r="98" spans="19:40" x14ac:dyDescent="0.45">
      <c r="S98" t="s">
        <v>204</v>
      </c>
      <c r="T98" t="s">
        <v>168</v>
      </c>
      <c r="U98">
        <v>0.19600234987812012</v>
      </c>
      <c r="V98" t="s">
        <v>165</v>
      </c>
    </row>
    <row r="99" spans="19:40" x14ac:dyDescent="0.45">
      <c r="S99" t="s">
        <v>204</v>
      </c>
      <c r="T99" t="s">
        <v>169</v>
      </c>
      <c r="U99">
        <v>8.0148881154721019E-2</v>
      </c>
      <c r="V99" t="s">
        <v>165</v>
      </c>
    </row>
    <row r="100" spans="19:40" x14ac:dyDescent="0.45">
      <c r="S100" t="s">
        <v>204</v>
      </c>
      <c r="T100" t="s">
        <v>170</v>
      </c>
      <c r="U100">
        <v>4.0895795840647495E-2</v>
      </c>
      <c r="V100" t="s">
        <v>165</v>
      </c>
    </row>
    <row r="101" spans="19:40" x14ac:dyDescent="0.45">
      <c r="S101" t="s">
        <v>205</v>
      </c>
      <c r="T101" t="s">
        <v>164</v>
      </c>
      <c r="U101">
        <v>0.19031483618400344</v>
      </c>
      <c r="V101" t="s">
        <v>165</v>
      </c>
    </row>
    <row r="102" spans="19:40" x14ac:dyDescent="0.45">
      <c r="S102" t="s">
        <v>205</v>
      </c>
      <c r="T102" t="s">
        <v>166</v>
      </c>
      <c r="U102">
        <v>9.3188209754157342E-2</v>
      </c>
      <c r="V102" t="s">
        <v>165</v>
      </c>
    </row>
    <row r="103" spans="19:40" x14ac:dyDescent="0.45">
      <c r="S103" t="s">
        <v>205</v>
      </c>
      <c r="T103" t="s">
        <v>167</v>
      </c>
      <c r="U103">
        <v>0.4029119733964201</v>
      </c>
      <c r="V103" t="s">
        <v>165</v>
      </c>
    </row>
    <row r="104" spans="19:40" x14ac:dyDescent="0.45">
      <c r="S104" t="s">
        <v>205</v>
      </c>
      <c r="T104" t="s">
        <v>168</v>
      </c>
      <c r="U104">
        <v>0.1980031368519678</v>
      </c>
      <c r="V104" t="s">
        <v>165</v>
      </c>
    </row>
    <row r="105" spans="19:40" x14ac:dyDescent="0.45">
      <c r="S105" t="s">
        <v>205</v>
      </c>
      <c r="T105" t="s">
        <v>169</v>
      </c>
      <c r="U105">
        <v>7.5630811711462256E-2</v>
      </c>
      <c r="V105" t="s">
        <v>165</v>
      </c>
    </row>
    <row r="106" spans="19:40" x14ac:dyDescent="0.45">
      <c r="S106" t="s">
        <v>205</v>
      </c>
      <c r="T106" t="s">
        <v>170</v>
      </c>
      <c r="U106">
        <v>3.9951032101989928E-2</v>
      </c>
      <c r="V106" t="s">
        <v>165</v>
      </c>
    </row>
    <row r="107" spans="19:40" x14ac:dyDescent="0.45">
      <c r="S107" t="s">
        <v>206</v>
      </c>
      <c r="T107" t="s">
        <v>164</v>
      </c>
      <c r="U107">
        <v>0.19253505403305324</v>
      </c>
      <c r="V107" t="s">
        <v>165</v>
      </c>
    </row>
    <row r="108" spans="19:40" x14ac:dyDescent="0.45">
      <c r="S108" t="s">
        <v>206</v>
      </c>
      <c r="T108" t="s">
        <v>166</v>
      </c>
      <c r="U108">
        <v>9.5644519262727837E-2</v>
      </c>
      <c r="V108" t="s">
        <v>165</v>
      </c>
    </row>
    <row r="109" spans="19:40" x14ac:dyDescent="0.45">
      <c r="S109" t="s">
        <v>206</v>
      </c>
      <c r="T109" t="s">
        <v>167</v>
      </c>
      <c r="U109">
        <v>0.40205784583348814</v>
      </c>
      <c r="V109" t="s">
        <v>165</v>
      </c>
    </row>
    <row r="110" spans="19:40" x14ac:dyDescent="0.45">
      <c r="S110" t="s">
        <v>206</v>
      </c>
      <c r="T110" t="s">
        <v>168</v>
      </c>
      <c r="U110">
        <v>0.19796343171654632</v>
      </c>
      <c r="V110" t="s">
        <v>165</v>
      </c>
    </row>
    <row r="111" spans="19:40" x14ac:dyDescent="0.45">
      <c r="S111" t="s">
        <v>206</v>
      </c>
      <c r="T111" t="s">
        <v>169</v>
      </c>
      <c r="U111">
        <v>7.3422115419642053E-2</v>
      </c>
      <c r="V111" t="s">
        <v>165</v>
      </c>
    </row>
    <row r="112" spans="19:40" x14ac:dyDescent="0.45">
      <c r="S112" t="s">
        <v>206</v>
      </c>
      <c r="T112" t="s">
        <v>170</v>
      </c>
      <c r="U112">
        <v>3.8377033734540413E-2</v>
      </c>
      <c r="V112" t="s">
        <v>165</v>
      </c>
    </row>
    <row r="113" spans="19:22" x14ac:dyDescent="0.45">
      <c r="S113" t="s">
        <v>207</v>
      </c>
      <c r="T113" t="s">
        <v>164</v>
      </c>
      <c r="U113">
        <v>0.1967924763831522</v>
      </c>
      <c r="V113" t="s">
        <v>165</v>
      </c>
    </row>
    <row r="114" spans="19:22" x14ac:dyDescent="0.45">
      <c r="S114" t="s">
        <v>207</v>
      </c>
      <c r="T114" t="s">
        <v>166</v>
      </c>
      <c r="U114">
        <v>9.9283417632468132E-2</v>
      </c>
      <c r="V114" t="s">
        <v>165</v>
      </c>
    </row>
    <row r="115" spans="19:22" x14ac:dyDescent="0.45">
      <c r="S115" t="s">
        <v>207</v>
      </c>
      <c r="T115" t="s">
        <v>167</v>
      </c>
      <c r="U115">
        <v>0.39683544551821037</v>
      </c>
      <c r="V115" t="s">
        <v>165</v>
      </c>
    </row>
    <row r="116" spans="19:22" x14ac:dyDescent="0.45">
      <c r="S116" t="s">
        <v>207</v>
      </c>
      <c r="T116" t="s">
        <v>168</v>
      </c>
      <c r="U116">
        <v>0.19794437019997843</v>
      </c>
      <c r="V116" t="s">
        <v>165</v>
      </c>
    </row>
    <row r="117" spans="19:22" x14ac:dyDescent="0.45">
      <c r="S117" t="s">
        <v>207</v>
      </c>
      <c r="T117" t="s">
        <v>169</v>
      </c>
      <c r="U117">
        <v>7.1621897218724709E-2</v>
      </c>
      <c r="V117" t="s">
        <v>165</v>
      </c>
    </row>
    <row r="118" spans="19:22" x14ac:dyDescent="0.45">
      <c r="S118" t="s">
        <v>207</v>
      </c>
      <c r="T118" t="s">
        <v>170</v>
      </c>
      <c r="U118">
        <v>3.752239304746352E-2</v>
      </c>
      <c r="V118" t="s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E4EEF-1CD5-4C5C-9222-792310363118}">
  <dimension ref="A9:AN64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162</v>
      </c>
      <c r="L10" t="s">
        <v>30</v>
      </c>
      <c r="N10" t="s">
        <v>13</v>
      </c>
      <c r="O10" t="s">
        <v>121</v>
      </c>
      <c r="P10" t="s">
        <v>162</v>
      </c>
      <c r="Q10" t="s">
        <v>30</v>
      </c>
      <c r="S10" t="s">
        <v>13</v>
      </c>
      <c r="T10" t="s">
        <v>121</v>
      </c>
      <c r="U10" t="s">
        <v>162</v>
      </c>
      <c r="V10" t="s">
        <v>30</v>
      </c>
      <c r="X10" t="s">
        <v>208</v>
      </c>
      <c r="Y10" t="s">
        <v>162</v>
      </c>
      <c r="Z10" t="s">
        <v>121</v>
      </c>
      <c r="AA10" t="s">
        <v>13</v>
      </c>
      <c r="AC10" t="s">
        <v>13</v>
      </c>
      <c r="AD10" t="s">
        <v>121</v>
      </c>
      <c r="AE10" t="s">
        <v>162</v>
      </c>
      <c r="AG10" t="s">
        <v>13</v>
      </c>
      <c r="AH10" t="s">
        <v>121</v>
      </c>
      <c r="AI10" t="s">
        <v>214</v>
      </c>
      <c r="AK10" t="s">
        <v>47</v>
      </c>
      <c r="AL10" t="s">
        <v>121</v>
      </c>
      <c r="AM10" t="s">
        <v>215</v>
      </c>
      <c r="AN10" t="s">
        <v>216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218</v>
      </c>
      <c r="G11" t="s">
        <v>156</v>
      </c>
      <c r="I11" t="s">
        <v>163</v>
      </c>
      <c r="J11" t="s">
        <v>164</v>
      </c>
      <c r="K11">
        <v>0</v>
      </c>
      <c r="L11" t="s">
        <v>165</v>
      </c>
      <c r="N11" t="s">
        <v>180</v>
      </c>
      <c r="O11" t="s">
        <v>164</v>
      </c>
      <c r="P11">
        <v>3.0106108076127229E-2</v>
      </c>
      <c r="Q11" t="s">
        <v>165</v>
      </c>
      <c r="S11" t="s">
        <v>190</v>
      </c>
      <c r="T11" t="s">
        <v>164</v>
      </c>
      <c r="U11">
        <v>3.3751828032695518E-2</v>
      </c>
      <c r="V11" t="s">
        <v>165</v>
      </c>
      <c r="X11">
        <v>2.8310502283105023E-2</v>
      </c>
      <c r="Y11">
        <v>1.5691519777241876E-2</v>
      </c>
      <c r="Z11" t="s">
        <v>164</v>
      </c>
      <c r="AA11" t="s">
        <v>25</v>
      </c>
      <c r="AC11" t="s">
        <v>22</v>
      </c>
      <c r="AD11" t="s">
        <v>164</v>
      </c>
      <c r="AE11">
        <v>2.5113902094144266E-2</v>
      </c>
      <c r="AG11" t="s">
        <v>96</v>
      </c>
      <c r="AH11" t="s">
        <v>164</v>
      </c>
      <c r="AI11">
        <v>0.3238686553505723</v>
      </c>
      <c r="AK11">
        <v>2020</v>
      </c>
      <c r="AL11" t="s">
        <v>155</v>
      </c>
      <c r="AM11">
        <v>0.5600358422939069</v>
      </c>
      <c r="AN11" t="s">
        <v>217</v>
      </c>
    </row>
    <row r="12" spans="1:40" x14ac:dyDescent="0.45">
      <c r="C12" t="s">
        <v>159</v>
      </c>
      <c r="E12" t="s">
        <v>160</v>
      </c>
      <c r="G12" t="s">
        <v>156</v>
      </c>
      <c r="I12" t="s">
        <v>163</v>
      </c>
      <c r="J12" t="s">
        <v>166</v>
      </c>
      <c r="K12">
        <v>2.4201635628619916E-2</v>
      </c>
      <c r="L12" t="s">
        <v>165</v>
      </c>
      <c r="N12" t="s">
        <v>180</v>
      </c>
      <c r="O12" t="s">
        <v>166</v>
      </c>
      <c r="P12">
        <v>3.5622569892122556E-2</v>
      </c>
      <c r="Q12" t="s">
        <v>165</v>
      </c>
      <c r="S12" t="s">
        <v>190</v>
      </c>
      <c r="T12" t="s">
        <v>166</v>
      </c>
      <c r="U12">
        <v>3.4309518494186071E-2</v>
      </c>
      <c r="V12" t="s">
        <v>165</v>
      </c>
      <c r="X12">
        <v>2.8310502283105023E-2</v>
      </c>
      <c r="Y12">
        <v>3.6767686812685947E-2</v>
      </c>
      <c r="Z12" t="s">
        <v>166</v>
      </c>
      <c r="AA12" t="s">
        <v>25</v>
      </c>
      <c r="AC12" t="s">
        <v>22</v>
      </c>
      <c r="AD12" t="s">
        <v>166</v>
      </c>
      <c r="AE12">
        <v>3.4759344789069536E-2</v>
      </c>
      <c r="AG12" t="s">
        <v>96</v>
      </c>
      <c r="AH12" t="s">
        <v>166</v>
      </c>
      <c r="AI12">
        <v>0.1042073383900477</v>
      </c>
      <c r="AK12">
        <v>2020</v>
      </c>
      <c r="AL12" t="s">
        <v>159</v>
      </c>
      <c r="AM12">
        <v>0.71839080459770122</v>
      </c>
      <c r="AN12" t="s">
        <v>217</v>
      </c>
    </row>
    <row r="13" spans="1:40" x14ac:dyDescent="0.45">
      <c r="C13" t="s">
        <v>161</v>
      </c>
      <c r="E13" t="s">
        <v>219</v>
      </c>
      <c r="G13" t="s">
        <v>156</v>
      </c>
      <c r="I13" t="s">
        <v>163</v>
      </c>
      <c r="J13" t="s">
        <v>226</v>
      </c>
      <c r="K13">
        <v>9.7669248839341982E-4</v>
      </c>
      <c r="L13" t="s">
        <v>165</v>
      </c>
      <c r="N13" t="s">
        <v>180</v>
      </c>
      <c r="O13" t="s">
        <v>226</v>
      </c>
      <c r="P13">
        <v>4.0568238034465864E-3</v>
      </c>
      <c r="Q13" t="s">
        <v>165</v>
      </c>
      <c r="S13" t="s">
        <v>190</v>
      </c>
      <c r="T13" t="s">
        <v>226</v>
      </c>
      <c r="U13">
        <v>4.2433410889802219E-3</v>
      </c>
      <c r="V13" t="s">
        <v>165</v>
      </c>
      <c r="X13">
        <v>3.5388127853881279E-3</v>
      </c>
      <c r="Y13">
        <v>6.8849497385409693E-3</v>
      </c>
      <c r="Z13" t="s">
        <v>226</v>
      </c>
      <c r="AA13" t="s">
        <v>25</v>
      </c>
      <c r="AC13" t="s">
        <v>22</v>
      </c>
      <c r="AD13" t="s">
        <v>226</v>
      </c>
      <c r="AE13">
        <v>4.3882647050236343E-3</v>
      </c>
      <c r="AG13" t="s">
        <v>96</v>
      </c>
      <c r="AH13" t="s">
        <v>226</v>
      </c>
      <c r="AI13">
        <v>8.6074962986051551E-2</v>
      </c>
      <c r="AK13">
        <v>2020</v>
      </c>
      <c r="AL13" t="s">
        <v>161</v>
      </c>
      <c r="AM13">
        <v>0.67204301075268824</v>
      </c>
      <c r="AN13" t="s">
        <v>217</v>
      </c>
    </row>
    <row r="14" spans="1:40" x14ac:dyDescent="0.45">
      <c r="C14" t="s">
        <v>220</v>
      </c>
      <c r="E14" t="s">
        <v>221</v>
      </c>
      <c r="G14" t="s">
        <v>156</v>
      </c>
      <c r="I14" t="s">
        <v>163</v>
      </c>
      <c r="J14" t="s">
        <v>227</v>
      </c>
      <c r="K14">
        <v>0</v>
      </c>
      <c r="L14" t="s">
        <v>165</v>
      </c>
      <c r="N14" t="s">
        <v>180</v>
      </c>
      <c r="O14" t="s">
        <v>227</v>
      </c>
      <c r="P14">
        <v>4.0651040706633544E-3</v>
      </c>
      <c r="Q14" t="s">
        <v>165</v>
      </c>
      <c r="S14" t="s">
        <v>190</v>
      </c>
      <c r="T14" t="s">
        <v>227</v>
      </c>
      <c r="U14">
        <v>4.2017016699263943E-3</v>
      </c>
      <c r="V14" t="s">
        <v>165</v>
      </c>
      <c r="X14">
        <v>3.5388127853881279E-3</v>
      </c>
      <c r="Y14">
        <v>6.8849497385409693E-3</v>
      </c>
      <c r="Z14" t="s">
        <v>227</v>
      </c>
      <c r="AA14" t="s">
        <v>25</v>
      </c>
      <c r="AC14" t="s">
        <v>22</v>
      </c>
      <c r="AD14" t="s">
        <v>227</v>
      </c>
      <c r="AE14">
        <v>4.4807069150950259E-3</v>
      </c>
      <c r="AG14" t="s">
        <v>96</v>
      </c>
      <c r="AH14" t="s">
        <v>227</v>
      </c>
      <c r="AI14">
        <v>7.7587725681544928E-2</v>
      </c>
      <c r="AK14">
        <v>2020</v>
      </c>
      <c r="AL14" t="s">
        <v>220</v>
      </c>
      <c r="AM14">
        <v>0.11480734767025086</v>
      </c>
      <c r="AN14" t="s">
        <v>217</v>
      </c>
    </row>
    <row r="15" spans="1:40" x14ac:dyDescent="0.45">
      <c r="C15" t="s">
        <v>222</v>
      </c>
      <c r="E15" t="s">
        <v>223</v>
      </c>
      <c r="G15" t="s">
        <v>156</v>
      </c>
      <c r="I15" t="s">
        <v>163</v>
      </c>
      <c r="J15" t="s">
        <v>228</v>
      </c>
      <c r="K15">
        <v>0</v>
      </c>
      <c r="L15" t="s">
        <v>165</v>
      </c>
      <c r="N15" t="s">
        <v>180</v>
      </c>
      <c r="O15" t="s">
        <v>228</v>
      </c>
      <c r="P15">
        <v>2.5212858792402964E-2</v>
      </c>
      <c r="Q15" t="s">
        <v>165</v>
      </c>
      <c r="S15" t="s">
        <v>190</v>
      </c>
      <c r="T15" t="s">
        <v>228</v>
      </c>
      <c r="U15">
        <v>2.4648451301426202E-2</v>
      </c>
      <c r="V15" t="s">
        <v>165</v>
      </c>
      <c r="X15">
        <v>2.1232876712328767E-2</v>
      </c>
      <c r="Y15">
        <v>1.8702400782305319E-2</v>
      </c>
      <c r="Z15" t="s">
        <v>228</v>
      </c>
      <c r="AA15" t="s">
        <v>25</v>
      </c>
      <c r="AC15" t="s">
        <v>22</v>
      </c>
      <c r="AD15" t="s">
        <v>228</v>
      </c>
      <c r="AE15">
        <v>2.4901170700205873E-2</v>
      </c>
      <c r="AG15" t="s">
        <v>96</v>
      </c>
      <c r="AH15" t="s">
        <v>228</v>
      </c>
      <c r="AI15">
        <v>0.14731164672172592</v>
      </c>
      <c r="AK15">
        <v>2020</v>
      </c>
      <c r="AL15" t="s">
        <v>222</v>
      </c>
      <c r="AM15">
        <v>0.29383213859020313</v>
      </c>
      <c r="AN15" t="s">
        <v>217</v>
      </c>
    </row>
    <row r="16" spans="1:40" x14ac:dyDescent="0.45">
      <c r="C16" t="s">
        <v>224</v>
      </c>
      <c r="I16" t="s">
        <v>163</v>
      </c>
      <c r="J16" t="s">
        <v>167</v>
      </c>
      <c r="K16">
        <v>7.9500562752382841E-6</v>
      </c>
      <c r="L16" t="s">
        <v>165</v>
      </c>
      <c r="N16" t="s">
        <v>180</v>
      </c>
      <c r="O16" t="s">
        <v>167</v>
      </c>
      <c r="P16">
        <v>2.8603565811024891E-2</v>
      </c>
      <c r="Q16" t="s">
        <v>165</v>
      </c>
      <c r="S16" t="s">
        <v>190</v>
      </c>
      <c r="T16" t="s">
        <v>167</v>
      </c>
      <c r="U16">
        <v>3.0649554756514041E-2</v>
      </c>
      <c r="V16" t="s">
        <v>165</v>
      </c>
      <c r="X16">
        <v>2.5570776255707764E-2</v>
      </c>
      <c r="Y16">
        <v>1.4172985605250727E-2</v>
      </c>
      <c r="Z16" t="s">
        <v>167</v>
      </c>
      <c r="AA16" t="s">
        <v>25</v>
      </c>
      <c r="AC16" t="s">
        <v>22</v>
      </c>
      <c r="AD16" t="s">
        <v>167</v>
      </c>
      <c r="AE16">
        <v>2.328363077162211E-2</v>
      </c>
      <c r="AG16" t="s">
        <v>96</v>
      </c>
      <c r="AH16" t="s">
        <v>167</v>
      </c>
      <c r="AI16">
        <v>0.3301559863812209</v>
      </c>
      <c r="AK16">
        <v>2020</v>
      </c>
      <c r="AL16" t="s">
        <v>224</v>
      </c>
      <c r="AM16">
        <v>0.81018518518518534</v>
      </c>
      <c r="AN16" t="s">
        <v>217</v>
      </c>
    </row>
    <row r="17" spans="3:40" x14ac:dyDescent="0.45">
      <c r="C17" t="s">
        <v>225</v>
      </c>
      <c r="I17" t="s">
        <v>163</v>
      </c>
      <c r="J17" t="s">
        <v>168</v>
      </c>
      <c r="K17">
        <v>4.1627341316335754E-2</v>
      </c>
      <c r="L17" t="s">
        <v>165</v>
      </c>
      <c r="N17" t="s">
        <v>180</v>
      </c>
      <c r="O17" t="s">
        <v>168</v>
      </c>
      <c r="P17">
        <v>3.1065658819248717E-2</v>
      </c>
      <c r="Q17" t="s">
        <v>165</v>
      </c>
      <c r="S17" t="s">
        <v>190</v>
      </c>
      <c r="T17" t="s">
        <v>168</v>
      </c>
      <c r="U17">
        <v>3.1489377962051333E-2</v>
      </c>
      <c r="V17" t="s">
        <v>165</v>
      </c>
      <c r="X17">
        <v>2.5570776255707764E-2</v>
      </c>
      <c r="Y17">
        <v>3.3209523572748596E-2</v>
      </c>
      <c r="Z17" t="s">
        <v>168</v>
      </c>
      <c r="AA17" t="s">
        <v>25</v>
      </c>
      <c r="AC17" t="s">
        <v>22</v>
      </c>
      <c r="AD17" t="s">
        <v>168</v>
      </c>
      <c r="AE17">
        <v>3.3435776756812516E-2</v>
      </c>
      <c r="AG17" t="s">
        <v>96</v>
      </c>
      <c r="AH17" t="s">
        <v>168</v>
      </c>
      <c r="AI17">
        <v>7.5120765959908686E-2</v>
      </c>
      <c r="AK17">
        <v>2020</v>
      </c>
      <c r="AL17" t="s">
        <v>225</v>
      </c>
      <c r="AM17">
        <v>0.7840501792114698</v>
      </c>
      <c r="AN17" t="s">
        <v>217</v>
      </c>
    </row>
    <row r="18" spans="3:40" x14ac:dyDescent="0.45">
      <c r="I18" t="s">
        <v>163</v>
      </c>
      <c r="J18" t="s">
        <v>229</v>
      </c>
      <c r="K18">
        <v>3.4469788129281721E-3</v>
      </c>
      <c r="L18" t="s">
        <v>165</v>
      </c>
      <c r="N18" t="s">
        <v>180</v>
      </c>
      <c r="O18" t="s">
        <v>229</v>
      </c>
      <c r="P18">
        <v>3.782498765143368E-3</v>
      </c>
      <c r="Q18" t="s">
        <v>165</v>
      </c>
      <c r="S18" t="s">
        <v>190</v>
      </c>
      <c r="T18" t="s">
        <v>229</v>
      </c>
      <c r="U18">
        <v>3.8246317163323717E-3</v>
      </c>
      <c r="V18" t="s">
        <v>165</v>
      </c>
      <c r="X18">
        <v>3.1963470319634705E-3</v>
      </c>
      <c r="Y18">
        <v>6.2186642799724884E-3</v>
      </c>
      <c r="Z18" t="s">
        <v>229</v>
      </c>
      <c r="AA18" t="s">
        <v>25</v>
      </c>
      <c r="AC18" t="s">
        <v>22</v>
      </c>
      <c r="AD18" t="s">
        <v>229</v>
      </c>
      <c r="AE18">
        <v>4.2163198344880651E-3</v>
      </c>
      <c r="AG18" t="s">
        <v>96</v>
      </c>
      <c r="AH18" t="s">
        <v>229</v>
      </c>
      <c r="AI18">
        <v>7.1913228259888662E-2</v>
      </c>
      <c r="AK18">
        <v>2021</v>
      </c>
      <c r="AL18" t="s">
        <v>155</v>
      </c>
      <c r="AM18">
        <v>0.72804659498207902</v>
      </c>
      <c r="AN18" t="s">
        <v>217</v>
      </c>
    </row>
    <row r="19" spans="3:40" x14ac:dyDescent="0.45">
      <c r="I19" t="s">
        <v>163</v>
      </c>
      <c r="J19" t="s">
        <v>230</v>
      </c>
      <c r="K19">
        <v>1.1516533230168647E-3</v>
      </c>
      <c r="L19" t="s">
        <v>165</v>
      </c>
      <c r="N19" t="s">
        <v>180</v>
      </c>
      <c r="O19" t="s">
        <v>230</v>
      </c>
      <c r="P19">
        <v>3.6751780338210019E-3</v>
      </c>
      <c r="Q19" t="s">
        <v>165</v>
      </c>
      <c r="S19" t="s">
        <v>190</v>
      </c>
      <c r="T19" t="s">
        <v>230</v>
      </c>
      <c r="U19">
        <v>3.8285920250579353E-3</v>
      </c>
      <c r="V19" t="s">
        <v>165</v>
      </c>
      <c r="X19">
        <v>3.1963470319634705E-3</v>
      </c>
      <c r="Y19">
        <v>6.2186642799724884E-3</v>
      </c>
      <c r="Z19" t="s">
        <v>230</v>
      </c>
      <c r="AA19" t="s">
        <v>25</v>
      </c>
      <c r="AC19" t="s">
        <v>22</v>
      </c>
      <c r="AD19" t="s">
        <v>230</v>
      </c>
      <c r="AE19">
        <v>4.3107200363906211E-3</v>
      </c>
      <c r="AG19" t="s">
        <v>96</v>
      </c>
      <c r="AH19" t="s">
        <v>230</v>
      </c>
      <c r="AI19">
        <v>6.0693199300840162E-2</v>
      </c>
      <c r="AK19">
        <v>2021</v>
      </c>
      <c r="AL19" t="s">
        <v>159</v>
      </c>
      <c r="AM19">
        <v>0.74404761904761907</v>
      </c>
      <c r="AN19" t="s">
        <v>217</v>
      </c>
    </row>
    <row r="20" spans="3:40" x14ac:dyDescent="0.45">
      <c r="I20" t="s">
        <v>163</v>
      </c>
      <c r="J20" t="s">
        <v>231</v>
      </c>
      <c r="K20">
        <v>0</v>
      </c>
      <c r="L20" t="s">
        <v>165</v>
      </c>
      <c r="N20" t="s">
        <v>180</v>
      </c>
      <c r="O20" t="s">
        <v>231</v>
      </c>
      <c r="P20">
        <v>2.2680426816449776E-2</v>
      </c>
      <c r="Q20" t="s">
        <v>165</v>
      </c>
      <c r="S20" t="s">
        <v>190</v>
      </c>
      <c r="T20" t="s">
        <v>231</v>
      </c>
      <c r="U20">
        <v>2.2677095763757361E-2</v>
      </c>
      <c r="V20" t="s">
        <v>165</v>
      </c>
      <c r="X20">
        <v>1.9178082191780823E-2</v>
      </c>
      <c r="Y20">
        <v>1.6892491029178995E-2</v>
      </c>
      <c r="Z20" t="s">
        <v>231</v>
      </c>
      <c r="AA20" t="s">
        <v>25</v>
      </c>
      <c r="AC20" t="s">
        <v>22</v>
      </c>
      <c r="AD20" t="s">
        <v>231</v>
      </c>
      <c r="AE20">
        <v>2.3834549239836123E-2</v>
      </c>
      <c r="AG20" t="s">
        <v>96</v>
      </c>
      <c r="AH20" t="s">
        <v>231</v>
      </c>
      <c r="AI20">
        <v>0.13444541642786034</v>
      </c>
      <c r="AK20">
        <v>2021</v>
      </c>
      <c r="AL20" t="s">
        <v>161</v>
      </c>
      <c r="AM20">
        <v>0.50403225806451624</v>
      </c>
      <c r="AN20" t="s">
        <v>217</v>
      </c>
    </row>
    <row r="21" spans="3:40" x14ac:dyDescent="0.45">
      <c r="I21" t="s">
        <v>163</v>
      </c>
      <c r="J21" t="s">
        <v>169</v>
      </c>
      <c r="K21">
        <v>4.462154034574204E-3</v>
      </c>
      <c r="L21" t="s">
        <v>165</v>
      </c>
      <c r="N21" t="s">
        <v>180</v>
      </c>
      <c r="O21" t="s">
        <v>169</v>
      </c>
      <c r="P21">
        <v>3.1000840778668555E-2</v>
      </c>
      <c r="Q21" t="s">
        <v>165</v>
      </c>
      <c r="S21" t="s">
        <v>190</v>
      </c>
      <c r="T21" t="s">
        <v>169</v>
      </c>
      <c r="U21">
        <v>3.5217714737265322E-2</v>
      </c>
      <c r="V21" t="s">
        <v>165</v>
      </c>
      <c r="X21">
        <v>2.8310502283105023E-2</v>
      </c>
      <c r="Y21">
        <v>1.5691519777241876E-2</v>
      </c>
      <c r="Z21" t="s">
        <v>169</v>
      </c>
      <c r="AA21" t="s">
        <v>25</v>
      </c>
      <c r="AC21" t="s">
        <v>22</v>
      </c>
      <c r="AD21" t="s">
        <v>169</v>
      </c>
      <c r="AE21">
        <v>2.6619392751392797E-2</v>
      </c>
      <c r="AG21" t="s">
        <v>96</v>
      </c>
      <c r="AH21" t="s">
        <v>169</v>
      </c>
      <c r="AI21">
        <v>0.35667693191234107</v>
      </c>
      <c r="AK21">
        <v>2021</v>
      </c>
      <c r="AL21" t="s">
        <v>220</v>
      </c>
      <c r="AM21">
        <v>0.22774790919952209</v>
      </c>
      <c r="AN21" t="s">
        <v>217</v>
      </c>
    </row>
    <row r="22" spans="3:40" x14ac:dyDescent="0.45">
      <c r="I22" t="s">
        <v>163</v>
      </c>
      <c r="J22" t="s">
        <v>170</v>
      </c>
      <c r="K22">
        <v>6.1989610863779583E-2</v>
      </c>
      <c r="L22" t="s">
        <v>165</v>
      </c>
      <c r="N22" t="s">
        <v>180</v>
      </c>
      <c r="O22" t="s">
        <v>170</v>
      </c>
      <c r="P22">
        <v>3.3811822348412471E-2</v>
      </c>
      <c r="Q22" t="s">
        <v>165</v>
      </c>
      <c r="S22" t="s">
        <v>190</v>
      </c>
      <c r="T22" t="s">
        <v>170</v>
      </c>
      <c r="U22">
        <v>3.4546882323227966E-2</v>
      </c>
      <c r="V22" t="s">
        <v>165</v>
      </c>
      <c r="X22">
        <v>2.8310502283105023E-2</v>
      </c>
      <c r="Y22">
        <v>3.6767686812685947E-2</v>
      </c>
      <c r="Z22" t="s">
        <v>170</v>
      </c>
      <c r="AA22" t="s">
        <v>25</v>
      </c>
      <c r="AC22" t="s">
        <v>22</v>
      </c>
      <c r="AD22" t="s">
        <v>170</v>
      </c>
      <c r="AE22">
        <v>3.7303570942451493E-2</v>
      </c>
      <c r="AG22" t="s">
        <v>96</v>
      </c>
      <c r="AH22" t="s">
        <v>170</v>
      </c>
      <c r="AI22">
        <v>9.219795016748078E-2</v>
      </c>
      <c r="AK22">
        <v>2021</v>
      </c>
      <c r="AL22" t="s">
        <v>222</v>
      </c>
      <c r="AM22">
        <v>0.16913082437275984</v>
      </c>
      <c r="AN22" t="s">
        <v>217</v>
      </c>
    </row>
    <row r="23" spans="3:40" x14ac:dyDescent="0.45">
      <c r="I23" t="s">
        <v>163</v>
      </c>
      <c r="J23" t="s">
        <v>232</v>
      </c>
      <c r="K23">
        <v>5.603302064324858E-3</v>
      </c>
      <c r="L23" t="s">
        <v>165</v>
      </c>
      <c r="N23" t="s">
        <v>180</v>
      </c>
      <c r="O23" t="s">
        <v>232</v>
      </c>
      <c r="P23">
        <v>4.0481414986176436E-3</v>
      </c>
      <c r="Q23" t="s">
        <v>165</v>
      </c>
      <c r="S23" t="s">
        <v>190</v>
      </c>
      <c r="T23" t="s">
        <v>232</v>
      </c>
      <c r="U23">
        <v>4.339923046310752E-3</v>
      </c>
      <c r="V23" t="s">
        <v>165</v>
      </c>
      <c r="X23">
        <v>3.5388127853881279E-3</v>
      </c>
      <c r="Y23">
        <v>6.8849497385409693E-3</v>
      </c>
      <c r="Z23" t="s">
        <v>232</v>
      </c>
      <c r="AA23" t="s">
        <v>25</v>
      </c>
      <c r="AC23" t="s">
        <v>22</v>
      </c>
      <c r="AD23" t="s">
        <v>232</v>
      </c>
      <c r="AE23">
        <v>4.7191240696006099E-3</v>
      </c>
      <c r="AG23" t="s">
        <v>96</v>
      </c>
      <c r="AH23" t="s">
        <v>232</v>
      </c>
      <c r="AI23">
        <v>7.6142206552078706E-2</v>
      </c>
      <c r="AK23">
        <v>2021</v>
      </c>
      <c r="AL23" t="s">
        <v>224</v>
      </c>
      <c r="AM23">
        <v>0.40509259259259262</v>
      </c>
      <c r="AN23" t="s">
        <v>217</v>
      </c>
    </row>
    <row r="24" spans="3:40" x14ac:dyDescent="0.45">
      <c r="I24" t="s">
        <v>163</v>
      </c>
      <c r="J24" t="s">
        <v>233</v>
      </c>
      <c r="K24">
        <v>3.7566860297686857E-3</v>
      </c>
      <c r="L24" t="s">
        <v>165</v>
      </c>
      <c r="N24" t="s">
        <v>180</v>
      </c>
      <c r="O24" t="s">
        <v>233</v>
      </c>
      <c r="P24">
        <v>3.8143248180591174E-3</v>
      </c>
      <c r="Q24" t="s">
        <v>165</v>
      </c>
      <c r="S24" t="s">
        <v>190</v>
      </c>
      <c r="T24" t="s">
        <v>233</v>
      </c>
      <c r="U24">
        <v>4.5294101372213205E-3</v>
      </c>
      <c r="V24" t="s">
        <v>165</v>
      </c>
      <c r="X24">
        <v>3.5388127853881279E-3</v>
      </c>
      <c r="Y24">
        <v>6.8849497385409693E-3</v>
      </c>
      <c r="Z24" t="s">
        <v>233</v>
      </c>
      <c r="AA24" t="s">
        <v>25</v>
      </c>
      <c r="AC24" t="s">
        <v>22</v>
      </c>
      <c r="AD24" t="s">
        <v>233</v>
      </c>
      <c r="AE24">
        <v>4.8230226148543495E-3</v>
      </c>
      <c r="AG24" t="s">
        <v>96</v>
      </c>
      <c r="AH24" t="s">
        <v>233</v>
      </c>
      <c r="AI24">
        <v>6.3267308163942548E-2</v>
      </c>
      <c r="AK24">
        <v>2021</v>
      </c>
      <c r="AL24" t="s">
        <v>225</v>
      </c>
      <c r="AM24">
        <v>0.5600358422939069</v>
      </c>
      <c r="AN24" t="s">
        <v>217</v>
      </c>
    </row>
    <row r="25" spans="3:40" x14ac:dyDescent="0.45">
      <c r="I25" t="s">
        <v>163</v>
      </c>
      <c r="J25" t="s">
        <v>234</v>
      </c>
      <c r="K25">
        <v>7.3951628611216235E-4</v>
      </c>
      <c r="L25" t="s">
        <v>165</v>
      </c>
      <c r="N25" t="s">
        <v>180</v>
      </c>
      <c r="O25" t="s">
        <v>234</v>
      </c>
      <c r="P25">
        <v>2.3092939177019836E-2</v>
      </c>
      <c r="Q25" t="s">
        <v>165</v>
      </c>
      <c r="S25" t="s">
        <v>190</v>
      </c>
      <c r="T25" t="s">
        <v>234</v>
      </c>
      <c r="U25">
        <v>2.8617245876405264E-2</v>
      </c>
      <c r="V25" t="s">
        <v>165</v>
      </c>
      <c r="X25">
        <v>2.1232876712328767E-2</v>
      </c>
      <c r="Y25">
        <v>1.8702400782305319E-2</v>
      </c>
      <c r="Z25" t="s">
        <v>234</v>
      </c>
      <c r="AA25" t="s">
        <v>25</v>
      </c>
      <c r="AC25" t="s">
        <v>22</v>
      </c>
      <c r="AD25" t="s">
        <v>234</v>
      </c>
      <c r="AE25">
        <v>2.6467774889205677E-2</v>
      </c>
      <c r="AG25" t="s">
        <v>96</v>
      </c>
      <c r="AH25" t="s">
        <v>234</v>
      </c>
      <c r="AI25">
        <v>0.14488579361945875</v>
      </c>
      <c r="AK25">
        <v>2022</v>
      </c>
      <c r="AL25" t="s">
        <v>155</v>
      </c>
      <c r="AM25">
        <v>0.50403225806451624</v>
      </c>
      <c r="AN25" t="s">
        <v>217</v>
      </c>
    </row>
    <row r="26" spans="3:40" x14ac:dyDescent="0.45">
      <c r="I26" t="s">
        <v>163</v>
      </c>
      <c r="J26" t="s">
        <v>235</v>
      </c>
      <c r="K26">
        <v>2.8984712932656059E-2</v>
      </c>
      <c r="L26" t="s">
        <v>165</v>
      </c>
      <c r="N26" t="s">
        <v>180</v>
      </c>
      <c r="O26" t="s">
        <v>235</v>
      </c>
      <c r="P26">
        <v>6.1629239240159464E-2</v>
      </c>
      <c r="Q26" t="s">
        <v>165</v>
      </c>
      <c r="S26" t="s">
        <v>190</v>
      </c>
      <c r="T26" t="s">
        <v>235</v>
      </c>
      <c r="U26">
        <v>6.1879404309592073E-2</v>
      </c>
      <c r="V26" t="s">
        <v>165</v>
      </c>
      <c r="X26">
        <v>5.5707762557077628E-2</v>
      </c>
      <c r="Y26">
        <v>3.0876861497153366E-2</v>
      </c>
      <c r="Z26" t="s">
        <v>235</v>
      </c>
      <c r="AA26" t="s">
        <v>25</v>
      </c>
      <c r="AC26" t="s">
        <v>22</v>
      </c>
      <c r="AD26" t="s">
        <v>235</v>
      </c>
      <c r="AE26">
        <v>4.4342292729315239E-2</v>
      </c>
      <c r="AG26" t="s">
        <v>96</v>
      </c>
      <c r="AH26" t="s">
        <v>235</v>
      </c>
      <c r="AI26">
        <v>0.4049838481219592</v>
      </c>
      <c r="AK26">
        <v>2022</v>
      </c>
      <c r="AL26" t="s">
        <v>159</v>
      </c>
      <c r="AM26">
        <v>0.62003968253968267</v>
      </c>
      <c r="AN26" t="s">
        <v>217</v>
      </c>
    </row>
    <row r="27" spans="3:40" x14ac:dyDescent="0.45">
      <c r="I27" t="s">
        <v>163</v>
      </c>
      <c r="J27" t="s">
        <v>236</v>
      </c>
      <c r="K27">
        <v>0.18069444297603107</v>
      </c>
      <c r="L27" t="s">
        <v>165</v>
      </c>
      <c r="N27" t="s">
        <v>180</v>
      </c>
      <c r="O27" t="s">
        <v>236</v>
      </c>
      <c r="P27">
        <v>7.3039058411002292E-2</v>
      </c>
      <c r="Q27" t="s">
        <v>165</v>
      </c>
      <c r="S27" t="s">
        <v>190</v>
      </c>
      <c r="T27" t="s">
        <v>236</v>
      </c>
      <c r="U27">
        <v>5.9453618670569891E-2</v>
      </c>
      <c r="V27" t="s">
        <v>165</v>
      </c>
      <c r="X27">
        <v>5.5707762557077628E-2</v>
      </c>
      <c r="Y27">
        <v>7.2349319212059449E-2</v>
      </c>
      <c r="Z27" t="s">
        <v>236</v>
      </c>
      <c r="AA27" t="s">
        <v>25</v>
      </c>
      <c r="AC27" t="s">
        <v>22</v>
      </c>
      <c r="AD27" t="s">
        <v>236</v>
      </c>
      <c r="AE27">
        <v>6.406539440104532E-2</v>
      </c>
      <c r="AG27" t="s">
        <v>96</v>
      </c>
      <c r="AH27" t="s">
        <v>236</v>
      </c>
      <c r="AI27">
        <v>0.13741732036777221</v>
      </c>
      <c r="AK27">
        <v>2022</v>
      </c>
      <c r="AL27" t="s">
        <v>161</v>
      </c>
      <c r="AM27">
        <v>0.50403225806451624</v>
      </c>
      <c r="AN27" t="s">
        <v>217</v>
      </c>
    </row>
    <row r="28" spans="3:40" x14ac:dyDescent="0.45">
      <c r="I28" t="s">
        <v>163</v>
      </c>
      <c r="J28" t="s">
        <v>237</v>
      </c>
      <c r="K28">
        <v>1.9867714983521707E-2</v>
      </c>
      <c r="L28" t="s">
        <v>165</v>
      </c>
      <c r="N28" t="s">
        <v>180</v>
      </c>
      <c r="O28" t="s">
        <v>237</v>
      </c>
      <c r="P28">
        <v>9.1606656095294323E-3</v>
      </c>
      <c r="Q28" t="s">
        <v>165</v>
      </c>
      <c r="S28" t="s">
        <v>190</v>
      </c>
      <c r="T28" t="s">
        <v>237</v>
      </c>
      <c r="U28">
        <v>7.7397228558260091E-3</v>
      </c>
      <c r="V28" t="s">
        <v>165</v>
      </c>
      <c r="X28">
        <v>6.9634703196347035E-3</v>
      </c>
      <c r="Y28">
        <v>1.354780432422577E-2</v>
      </c>
      <c r="Z28" t="s">
        <v>237</v>
      </c>
      <c r="AA28" t="s">
        <v>25</v>
      </c>
      <c r="AC28" t="s">
        <v>22</v>
      </c>
      <c r="AD28" t="s">
        <v>237</v>
      </c>
      <c r="AE28">
        <v>8.0199795327935679E-3</v>
      </c>
      <c r="AG28" t="s">
        <v>96</v>
      </c>
      <c r="AH28" t="s">
        <v>237</v>
      </c>
      <c r="AI28">
        <v>0.13734459005376332</v>
      </c>
      <c r="AK28">
        <v>2022</v>
      </c>
      <c r="AL28" t="s">
        <v>220</v>
      </c>
      <c r="AM28">
        <v>0.14280913978494619</v>
      </c>
      <c r="AN28" t="s">
        <v>217</v>
      </c>
    </row>
    <row r="29" spans="3:40" x14ac:dyDescent="0.45">
      <c r="I29" t="s">
        <v>163</v>
      </c>
      <c r="J29" t="s">
        <v>238</v>
      </c>
      <c r="K29">
        <v>1.5896774840702545E-2</v>
      </c>
      <c r="L29" t="s">
        <v>165</v>
      </c>
      <c r="N29" t="s">
        <v>180</v>
      </c>
      <c r="O29" t="s">
        <v>238</v>
      </c>
      <c r="P29">
        <v>8.8323534136282231E-3</v>
      </c>
      <c r="Q29" t="s">
        <v>165</v>
      </c>
      <c r="S29" t="s">
        <v>190</v>
      </c>
      <c r="T29" t="s">
        <v>238</v>
      </c>
      <c r="U29">
        <v>7.7351568988366978E-3</v>
      </c>
      <c r="V29" t="s">
        <v>165</v>
      </c>
      <c r="X29">
        <v>6.9634703196347035E-3</v>
      </c>
      <c r="Y29">
        <v>1.354780432422577E-2</v>
      </c>
      <c r="Z29" t="s">
        <v>238</v>
      </c>
      <c r="AA29" t="s">
        <v>25</v>
      </c>
      <c r="AC29" t="s">
        <v>22</v>
      </c>
      <c r="AD29" t="s">
        <v>238</v>
      </c>
      <c r="AE29">
        <v>8.0369765682641071E-3</v>
      </c>
      <c r="AG29" t="s">
        <v>96</v>
      </c>
      <c r="AH29" t="s">
        <v>238</v>
      </c>
      <c r="AI29">
        <v>0.13539884606353358</v>
      </c>
      <c r="AK29">
        <v>2022</v>
      </c>
      <c r="AL29" t="s">
        <v>222</v>
      </c>
      <c r="AM29">
        <v>0.15793010752688172</v>
      </c>
      <c r="AN29" t="s">
        <v>217</v>
      </c>
    </row>
    <row r="30" spans="3:40" x14ac:dyDescent="0.45">
      <c r="I30" t="s">
        <v>163</v>
      </c>
      <c r="J30" t="s">
        <v>239</v>
      </c>
      <c r="K30">
        <v>1.4407038659786899E-2</v>
      </c>
      <c r="L30" t="s">
        <v>165</v>
      </c>
      <c r="N30" t="s">
        <v>180</v>
      </c>
      <c r="O30" t="s">
        <v>239</v>
      </c>
      <c r="P30">
        <v>4.7435643632067585E-2</v>
      </c>
      <c r="Q30" t="s">
        <v>165</v>
      </c>
      <c r="S30" t="s">
        <v>190</v>
      </c>
      <c r="T30" t="s">
        <v>239</v>
      </c>
      <c r="U30">
        <v>4.6821605074647034E-2</v>
      </c>
      <c r="V30" t="s">
        <v>165</v>
      </c>
      <c r="X30">
        <v>4.1780821917808221E-2</v>
      </c>
      <c r="Y30">
        <v>3.6801498313568527E-2</v>
      </c>
      <c r="Z30" t="s">
        <v>239</v>
      </c>
      <c r="AA30" t="s">
        <v>25</v>
      </c>
      <c r="AC30" t="s">
        <v>22</v>
      </c>
      <c r="AD30" t="s">
        <v>239</v>
      </c>
      <c r="AE30">
        <v>4.4456016227244197E-2</v>
      </c>
      <c r="AG30" t="s">
        <v>96</v>
      </c>
      <c r="AH30" t="s">
        <v>239</v>
      </c>
      <c r="AI30">
        <v>0.21005093500192462</v>
      </c>
      <c r="AK30">
        <v>2022</v>
      </c>
      <c r="AL30" t="s">
        <v>224</v>
      </c>
      <c r="AM30">
        <v>0.69444444444444453</v>
      </c>
      <c r="AN30" t="s">
        <v>217</v>
      </c>
    </row>
    <row r="31" spans="3:40" x14ac:dyDescent="0.45">
      <c r="I31" t="s">
        <v>163</v>
      </c>
      <c r="J31" t="s">
        <v>240</v>
      </c>
      <c r="K31">
        <v>5.7667713312948052E-2</v>
      </c>
      <c r="L31" t="s">
        <v>165</v>
      </c>
      <c r="N31" t="s">
        <v>180</v>
      </c>
      <c r="O31" t="s">
        <v>240</v>
      </c>
      <c r="P31">
        <v>9.1833013234299835E-2</v>
      </c>
      <c r="Q31" t="s">
        <v>165</v>
      </c>
      <c r="S31" t="s">
        <v>190</v>
      </c>
      <c r="T31" t="s">
        <v>240</v>
      </c>
      <c r="U31">
        <v>0.11604797249914627</v>
      </c>
      <c r="V31" t="s">
        <v>165</v>
      </c>
      <c r="X31">
        <v>0.13972602739726028</v>
      </c>
      <c r="Y31">
        <v>7.7445242771548628E-2</v>
      </c>
      <c r="Z31" t="s">
        <v>240</v>
      </c>
      <c r="AA31" t="s">
        <v>25</v>
      </c>
      <c r="AC31" t="s">
        <v>22</v>
      </c>
      <c r="AD31" t="s">
        <v>240</v>
      </c>
      <c r="AE31">
        <v>9.4325957128542415E-2</v>
      </c>
      <c r="AG31" t="s">
        <v>96</v>
      </c>
      <c r="AH31" t="s">
        <v>240</v>
      </c>
      <c r="AI31">
        <v>0.311199570876034</v>
      </c>
      <c r="AK31">
        <v>2022</v>
      </c>
      <c r="AL31" t="s">
        <v>225</v>
      </c>
      <c r="AM31">
        <v>0.50403225806451624</v>
      </c>
      <c r="AN31" t="s">
        <v>217</v>
      </c>
    </row>
    <row r="32" spans="3:40" x14ac:dyDescent="0.45">
      <c r="I32" t="s">
        <v>163</v>
      </c>
      <c r="J32" t="s">
        <v>241</v>
      </c>
      <c r="K32">
        <v>0.37335946010516663</v>
      </c>
      <c r="L32" t="s">
        <v>165</v>
      </c>
      <c r="N32" t="s">
        <v>180</v>
      </c>
      <c r="O32" t="s">
        <v>241</v>
      </c>
      <c r="P32">
        <v>0.12082944104510793</v>
      </c>
      <c r="Q32" t="s">
        <v>165</v>
      </c>
      <c r="S32" t="s">
        <v>190</v>
      </c>
      <c r="T32" t="s">
        <v>241</v>
      </c>
      <c r="U32">
        <v>0.10968547260010554</v>
      </c>
      <c r="V32" t="s">
        <v>165</v>
      </c>
      <c r="X32">
        <v>0.13972602739726028</v>
      </c>
      <c r="Y32">
        <v>0.18146632523680481</v>
      </c>
      <c r="Z32" t="s">
        <v>241</v>
      </c>
      <c r="AA32" t="s">
        <v>25</v>
      </c>
      <c r="AC32" t="s">
        <v>22</v>
      </c>
      <c r="AD32" t="s">
        <v>241</v>
      </c>
      <c r="AE32">
        <v>0.13932594181200139</v>
      </c>
      <c r="AG32" t="s">
        <v>96</v>
      </c>
      <c r="AH32" t="s">
        <v>241</v>
      </c>
      <c r="AI32">
        <v>0.1198764408710431</v>
      </c>
      <c r="AK32">
        <v>2025</v>
      </c>
      <c r="AL32" t="s">
        <v>155</v>
      </c>
      <c r="AM32">
        <v>0.68789999999999996</v>
      </c>
      <c r="AN32" t="s">
        <v>217</v>
      </c>
    </row>
    <row r="33" spans="9:40" x14ac:dyDescent="0.45">
      <c r="I33" t="s">
        <v>163</v>
      </c>
      <c r="J33" t="s">
        <v>242</v>
      </c>
      <c r="K33">
        <v>3.8284293844022363E-2</v>
      </c>
      <c r="L33" t="s">
        <v>165</v>
      </c>
      <c r="N33" t="s">
        <v>180</v>
      </c>
      <c r="O33" t="s">
        <v>242</v>
      </c>
      <c r="P33">
        <v>1.4526172782061133E-2</v>
      </c>
      <c r="Q33" t="s">
        <v>165</v>
      </c>
      <c r="S33" t="s">
        <v>190</v>
      </c>
      <c r="T33" t="s">
        <v>242</v>
      </c>
      <c r="U33">
        <v>1.4045549623942324E-2</v>
      </c>
      <c r="V33" t="s">
        <v>165</v>
      </c>
      <c r="X33">
        <v>1.7465753424657535E-2</v>
      </c>
      <c r="Y33">
        <v>3.3980558386992522E-2</v>
      </c>
      <c r="Z33" t="s">
        <v>242</v>
      </c>
      <c r="AA33" t="s">
        <v>25</v>
      </c>
      <c r="AC33" t="s">
        <v>22</v>
      </c>
      <c r="AD33" t="s">
        <v>242</v>
      </c>
      <c r="AE33">
        <v>1.7258697200850503E-2</v>
      </c>
      <c r="AG33" t="s">
        <v>96</v>
      </c>
      <c r="AH33" t="s">
        <v>242</v>
      </c>
      <c r="AI33">
        <v>0.10329595650696555</v>
      </c>
      <c r="AK33">
        <v>2025</v>
      </c>
      <c r="AL33" t="s">
        <v>159</v>
      </c>
      <c r="AM33">
        <v>0.62480000000000002</v>
      </c>
      <c r="AN33" t="s">
        <v>217</v>
      </c>
    </row>
    <row r="34" spans="9:40" x14ac:dyDescent="0.45">
      <c r="I34" t="s">
        <v>163</v>
      </c>
      <c r="J34" t="s">
        <v>243</v>
      </c>
      <c r="K34">
        <v>2.9383207835404712E-2</v>
      </c>
      <c r="L34" t="s">
        <v>165</v>
      </c>
      <c r="N34" t="s">
        <v>180</v>
      </c>
      <c r="O34" t="s">
        <v>243</v>
      </c>
      <c r="P34">
        <v>1.351120810842232E-2</v>
      </c>
      <c r="Q34" t="s">
        <v>165</v>
      </c>
      <c r="S34" t="s">
        <v>190</v>
      </c>
      <c r="T34" t="s">
        <v>243</v>
      </c>
      <c r="U34">
        <v>1.3823447131096135E-2</v>
      </c>
      <c r="V34" t="s">
        <v>165</v>
      </c>
      <c r="X34">
        <v>1.7465753424657535E-2</v>
      </c>
      <c r="Y34">
        <v>3.3980558386992522E-2</v>
      </c>
      <c r="Z34" t="s">
        <v>243</v>
      </c>
      <c r="AA34" t="s">
        <v>25</v>
      </c>
      <c r="AC34" t="s">
        <v>22</v>
      </c>
      <c r="AD34" t="s">
        <v>243</v>
      </c>
      <c r="AE34">
        <v>1.721724609719073E-2</v>
      </c>
      <c r="AG34" t="s">
        <v>96</v>
      </c>
      <c r="AH34" t="s">
        <v>243</v>
      </c>
      <c r="AI34">
        <v>9.9584866050742793E-2</v>
      </c>
      <c r="AK34">
        <v>2025</v>
      </c>
      <c r="AL34" t="s">
        <v>161</v>
      </c>
      <c r="AM34">
        <v>0.5423</v>
      </c>
      <c r="AN34" t="s">
        <v>217</v>
      </c>
    </row>
    <row r="35" spans="9:40" x14ac:dyDescent="0.45">
      <c r="I35" t="s">
        <v>163</v>
      </c>
      <c r="J35" t="s">
        <v>244</v>
      </c>
      <c r="K35">
        <v>3.1123112866691623E-2</v>
      </c>
      <c r="L35" t="s">
        <v>165</v>
      </c>
      <c r="N35" t="s">
        <v>180</v>
      </c>
      <c r="O35" t="s">
        <v>244</v>
      </c>
      <c r="P35">
        <v>7.0565177066362908E-2</v>
      </c>
      <c r="Q35" t="s">
        <v>165</v>
      </c>
      <c r="S35" t="s">
        <v>190</v>
      </c>
      <c r="T35" t="s">
        <v>244</v>
      </c>
      <c r="U35">
        <v>8.2404147530073621E-2</v>
      </c>
      <c r="V35" t="s">
        <v>165</v>
      </c>
      <c r="X35">
        <v>0.10479452054794521</v>
      </c>
      <c r="Y35">
        <v>9.2305397409442366E-2</v>
      </c>
      <c r="Z35" t="s">
        <v>244</v>
      </c>
      <c r="AA35" t="s">
        <v>25</v>
      </c>
      <c r="AC35" t="s">
        <v>22</v>
      </c>
      <c r="AD35" t="s">
        <v>244</v>
      </c>
      <c r="AE35">
        <v>9.989932031736086E-2</v>
      </c>
      <c r="AG35" t="s">
        <v>96</v>
      </c>
      <c r="AH35" t="s">
        <v>244</v>
      </c>
      <c r="AI35">
        <v>0.14261559307819827</v>
      </c>
      <c r="AK35">
        <v>2025</v>
      </c>
      <c r="AL35" t="s">
        <v>220</v>
      </c>
      <c r="AM35">
        <v>0.2475</v>
      </c>
      <c r="AN35" t="s">
        <v>217</v>
      </c>
    </row>
    <row r="36" spans="9:40" x14ac:dyDescent="0.45">
      <c r="I36" t="s">
        <v>163</v>
      </c>
      <c r="J36" t="s">
        <v>245</v>
      </c>
      <c r="K36">
        <v>0</v>
      </c>
      <c r="L36" t="s">
        <v>165</v>
      </c>
      <c r="N36" t="s">
        <v>180</v>
      </c>
      <c r="O36" t="s">
        <v>245</v>
      </c>
      <c r="P36">
        <v>2.4177633866781276E-2</v>
      </c>
      <c r="Q36" t="s">
        <v>165</v>
      </c>
      <c r="S36" t="s">
        <v>190</v>
      </c>
      <c r="T36" t="s">
        <v>245</v>
      </c>
      <c r="U36">
        <v>2.4034666968380903E-2</v>
      </c>
      <c r="V36" t="s">
        <v>165</v>
      </c>
      <c r="X36">
        <v>2.7397260273972601E-2</v>
      </c>
      <c r="Y36">
        <v>1.5185341719911493E-2</v>
      </c>
      <c r="Z36" t="s">
        <v>245</v>
      </c>
      <c r="AA36" t="s">
        <v>25</v>
      </c>
      <c r="AC36" t="s">
        <v>22</v>
      </c>
      <c r="AD36" t="s">
        <v>245</v>
      </c>
      <c r="AE36">
        <v>2.3230051551709301E-2</v>
      </c>
      <c r="AG36" t="s">
        <v>96</v>
      </c>
      <c r="AH36" t="s">
        <v>245</v>
      </c>
      <c r="AI36">
        <v>0.31547589123029662</v>
      </c>
      <c r="AK36">
        <v>2025</v>
      </c>
      <c r="AL36" t="s">
        <v>222</v>
      </c>
      <c r="AM36">
        <v>0.23633999999999999</v>
      </c>
      <c r="AN36" t="s">
        <v>217</v>
      </c>
    </row>
    <row r="37" spans="9:40" x14ac:dyDescent="0.45">
      <c r="I37" t="s">
        <v>163</v>
      </c>
      <c r="J37" t="s">
        <v>246</v>
      </c>
      <c r="K37">
        <v>3.8525361627328114E-2</v>
      </c>
      <c r="L37" t="s">
        <v>165</v>
      </c>
      <c r="N37" t="s">
        <v>180</v>
      </c>
      <c r="O37" t="s">
        <v>246</v>
      </c>
      <c r="P37">
        <v>2.2096413078408386E-2</v>
      </c>
      <c r="Q37" t="s">
        <v>165</v>
      </c>
      <c r="S37" t="s">
        <v>190</v>
      </c>
      <c r="T37" t="s">
        <v>246</v>
      </c>
      <c r="U37">
        <v>2.5814219951994961E-2</v>
      </c>
      <c r="V37" t="s">
        <v>165</v>
      </c>
      <c r="X37">
        <v>2.7397260273972601E-2</v>
      </c>
      <c r="Y37">
        <v>3.5581632399373495E-2</v>
      </c>
      <c r="Z37" t="s">
        <v>246</v>
      </c>
      <c r="AA37" t="s">
        <v>25</v>
      </c>
      <c r="AC37" t="s">
        <v>22</v>
      </c>
      <c r="AD37" t="s">
        <v>246</v>
      </c>
      <c r="AE37">
        <v>3.2992057249689899E-2</v>
      </c>
      <c r="AG37" t="s">
        <v>96</v>
      </c>
      <c r="AH37" t="s">
        <v>246</v>
      </c>
      <c r="AI37">
        <v>0.1068673181449975</v>
      </c>
      <c r="AK37">
        <v>2025</v>
      </c>
      <c r="AL37" t="s">
        <v>224</v>
      </c>
      <c r="AM37">
        <v>0.63670000000000004</v>
      </c>
      <c r="AN37" t="s">
        <v>217</v>
      </c>
    </row>
    <row r="38" spans="9:40" x14ac:dyDescent="0.45">
      <c r="I38" t="s">
        <v>163</v>
      </c>
      <c r="J38" t="s">
        <v>247</v>
      </c>
      <c r="K38">
        <v>6.9694068173822561E-4</v>
      </c>
      <c r="L38" t="s">
        <v>165</v>
      </c>
      <c r="N38" t="s">
        <v>180</v>
      </c>
      <c r="O38" t="s">
        <v>247</v>
      </c>
      <c r="P38">
        <v>2.7448705420264003E-3</v>
      </c>
      <c r="Q38" t="s">
        <v>165</v>
      </c>
      <c r="S38" t="s">
        <v>190</v>
      </c>
      <c r="T38" t="s">
        <v>247</v>
      </c>
      <c r="U38">
        <v>3.4953410915180955E-3</v>
      </c>
      <c r="V38" t="s">
        <v>165</v>
      </c>
      <c r="X38">
        <v>3.4246575342465752E-3</v>
      </c>
      <c r="Y38">
        <v>6.662854585684809E-3</v>
      </c>
      <c r="Z38" t="s">
        <v>247</v>
      </c>
      <c r="AA38" t="s">
        <v>25</v>
      </c>
      <c r="AC38" t="s">
        <v>22</v>
      </c>
      <c r="AD38" t="s">
        <v>247</v>
      </c>
      <c r="AE38">
        <v>4.1569076678849102E-3</v>
      </c>
      <c r="AG38" t="s">
        <v>96</v>
      </c>
      <c r="AH38" t="s">
        <v>247</v>
      </c>
      <c r="AI38">
        <v>7.8081226756663735E-2</v>
      </c>
      <c r="AK38">
        <v>2025</v>
      </c>
      <c r="AL38" t="s">
        <v>225</v>
      </c>
      <c r="AM38">
        <v>0.67630000000000001</v>
      </c>
      <c r="AN38" t="s">
        <v>217</v>
      </c>
    </row>
    <row r="39" spans="9:40" x14ac:dyDescent="0.45">
      <c r="I39" t="s">
        <v>163</v>
      </c>
      <c r="J39" t="s">
        <v>248</v>
      </c>
      <c r="K39">
        <v>0</v>
      </c>
      <c r="L39" t="s">
        <v>165</v>
      </c>
      <c r="N39" t="s">
        <v>180</v>
      </c>
      <c r="O39" t="s">
        <v>248</v>
      </c>
      <c r="P39">
        <v>2.7103804014404023E-3</v>
      </c>
      <c r="Q39" t="s">
        <v>165</v>
      </c>
      <c r="S39" t="s">
        <v>190</v>
      </c>
      <c r="T39" t="s">
        <v>248</v>
      </c>
      <c r="U39">
        <v>3.5437958882769166E-3</v>
      </c>
      <c r="V39" t="s">
        <v>165</v>
      </c>
      <c r="X39">
        <v>3.4246575342465752E-3</v>
      </c>
      <c r="Y39">
        <v>6.662854585684809E-3</v>
      </c>
      <c r="Z39" t="s">
        <v>248</v>
      </c>
      <c r="AA39" t="s">
        <v>25</v>
      </c>
      <c r="AC39" t="s">
        <v>22</v>
      </c>
      <c r="AD39" t="s">
        <v>248</v>
      </c>
      <c r="AE39">
        <v>4.2701379188871819E-3</v>
      </c>
      <c r="AG39" t="s">
        <v>96</v>
      </c>
      <c r="AH39" t="s">
        <v>248</v>
      </c>
      <c r="AI39">
        <v>8.1044264239238384E-2</v>
      </c>
      <c r="AK39">
        <v>2026</v>
      </c>
      <c r="AL39" t="s">
        <v>155</v>
      </c>
      <c r="AM39">
        <v>0.64990000000000003</v>
      </c>
      <c r="AN39" t="s">
        <v>217</v>
      </c>
    </row>
    <row r="40" spans="9:40" x14ac:dyDescent="0.45">
      <c r="I40" t="s">
        <v>163</v>
      </c>
      <c r="J40" t="s">
        <v>249</v>
      </c>
      <c r="K40">
        <v>0</v>
      </c>
      <c r="L40" t="s">
        <v>165</v>
      </c>
      <c r="N40" t="s">
        <v>180</v>
      </c>
      <c r="O40" t="s">
        <v>249</v>
      </c>
      <c r="P40">
        <v>1.6161363812205315E-2</v>
      </c>
      <c r="Q40" t="s">
        <v>165</v>
      </c>
      <c r="S40" t="s">
        <v>190</v>
      </c>
      <c r="T40" t="s">
        <v>249</v>
      </c>
      <c r="U40">
        <v>1.9601768424448097E-2</v>
      </c>
      <c r="V40" t="s">
        <v>165</v>
      </c>
      <c r="X40">
        <v>2.0547945205479451E-2</v>
      </c>
      <c r="Y40">
        <v>1.8099097531263209E-2</v>
      </c>
      <c r="Z40" t="s">
        <v>249</v>
      </c>
      <c r="AA40" t="s">
        <v>25</v>
      </c>
      <c r="AC40" t="s">
        <v>22</v>
      </c>
      <c r="AD40" t="s">
        <v>249</v>
      </c>
      <c r="AE40">
        <v>2.3912583789133194E-2</v>
      </c>
      <c r="AG40" t="s">
        <v>96</v>
      </c>
      <c r="AH40" t="s">
        <v>249</v>
      </c>
      <c r="AI40">
        <v>0.15257618636536385</v>
      </c>
      <c r="AK40">
        <v>2026</v>
      </c>
      <c r="AL40" t="s">
        <v>159</v>
      </c>
      <c r="AM40">
        <v>0.63219999999999998</v>
      </c>
      <c r="AN40" t="s">
        <v>217</v>
      </c>
    </row>
    <row r="41" spans="9:40" x14ac:dyDescent="0.45">
      <c r="I41" t="s">
        <v>163</v>
      </c>
      <c r="J41" t="s">
        <v>250</v>
      </c>
      <c r="K41">
        <v>0</v>
      </c>
      <c r="L41" t="s">
        <v>165</v>
      </c>
      <c r="N41" t="s">
        <v>180</v>
      </c>
      <c r="O41" t="s">
        <v>250</v>
      </c>
      <c r="P41">
        <v>4.244670702653764E-2</v>
      </c>
      <c r="Q41" t="s">
        <v>165</v>
      </c>
      <c r="S41" t="s">
        <v>190</v>
      </c>
      <c r="T41" t="s">
        <v>250</v>
      </c>
      <c r="U41">
        <v>3.2043635256838308E-2</v>
      </c>
      <c r="V41" t="s">
        <v>165</v>
      </c>
      <c r="X41">
        <v>2.8310502283105023E-2</v>
      </c>
      <c r="Y41">
        <v>1.5691519777241876E-2</v>
      </c>
      <c r="Z41" t="s">
        <v>250</v>
      </c>
      <c r="AA41" t="s">
        <v>25</v>
      </c>
      <c r="AC41" t="s">
        <v>22</v>
      </c>
      <c r="AD41" t="s">
        <v>250</v>
      </c>
      <c r="AE41">
        <v>2.3994182533578216E-2</v>
      </c>
      <c r="AG41" t="s">
        <v>96</v>
      </c>
      <c r="AH41" t="s">
        <v>250</v>
      </c>
      <c r="AI41">
        <v>0.30946802927082095</v>
      </c>
      <c r="AK41">
        <v>2026</v>
      </c>
      <c r="AL41" t="s">
        <v>161</v>
      </c>
      <c r="AM41">
        <v>0.51629999999999998</v>
      </c>
      <c r="AN41" t="s">
        <v>217</v>
      </c>
    </row>
    <row r="42" spans="9:40" x14ac:dyDescent="0.45">
      <c r="I42" t="s">
        <v>163</v>
      </c>
      <c r="J42" t="s">
        <v>251</v>
      </c>
      <c r="K42">
        <v>2.3145704429876929E-2</v>
      </c>
      <c r="L42" t="s">
        <v>165</v>
      </c>
      <c r="N42" t="s">
        <v>180</v>
      </c>
      <c r="O42" t="s">
        <v>251</v>
      </c>
      <c r="P42">
        <v>4.6414377381296862E-2</v>
      </c>
      <c r="Q42" t="s">
        <v>165</v>
      </c>
      <c r="S42" t="s">
        <v>190</v>
      </c>
      <c r="T42" t="s">
        <v>251</v>
      </c>
      <c r="U42">
        <v>3.528313471676358E-2</v>
      </c>
      <c r="V42" t="s">
        <v>165</v>
      </c>
      <c r="X42">
        <v>2.8310502283105023E-2</v>
      </c>
      <c r="Y42">
        <v>3.6767686812685947E-2</v>
      </c>
      <c r="Z42" t="s">
        <v>251</v>
      </c>
      <c r="AA42" t="s">
        <v>25</v>
      </c>
      <c r="AC42" t="s">
        <v>22</v>
      </c>
      <c r="AD42" t="s">
        <v>251</v>
      </c>
      <c r="AE42">
        <v>3.4286220786195268E-2</v>
      </c>
      <c r="AG42" t="s">
        <v>96</v>
      </c>
      <c r="AH42" t="s">
        <v>251</v>
      </c>
      <c r="AI42">
        <v>0.10721430252079145</v>
      </c>
      <c r="AK42">
        <v>2026</v>
      </c>
      <c r="AL42" t="s">
        <v>220</v>
      </c>
      <c r="AM42">
        <v>0.26655000000000001</v>
      </c>
      <c r="AN42" t="s">
        <v>217</v>
      </c>
    </row>
    <row r="43" spans="9:40" x14ac:dyDescent="0.45">
      <c r="I43" t="s">
        <v>163</v>
      </c>
      <c r="J43" t="s">
        <v>252</v>
      </c>
      <c r="K43">
        <v>0</v>
      </c>
      <c r="L43" t="s">
        <v>165</v>
      </c>
      <c r="N43" t="s">
        <v>180</v>
      </c>
      <c r="O43" t="s">
        <v>252</v>
      </c>
      <c r="P43">
        <v>5.8736320697797845E-3</v>
      </c>
      <c r="Q43" t="s">
        <v>165</v>
      </c>
      <c r="S43" t="s">
        <v>190</v>
      </c>
      <c r="T43" t="s">
        <v>252</v>
      </c>
      <c r="U43">
        <v>4.6221832545480851E-3</v>
      </c>
      <c r="V43" t="s">
        <v>165</v>
      </c>
      <c r="X43">
        <v>3.5388127853881279E-3</v>
      </c>
      <c r="Y43">
        <v>6.8849497385409693E-3</v>
      </c>
      <c r="Z43" t="s">
        <v>252</v>
      </c>
      <c r="AA43" t="s">
        <v>25</v>
      </c>
      <c r="AC43" t="s">
        <v>22</v>
      </c>
      <c r="AD43" t="s">
        <v>252</v>
      </c>
      <c r="AE43">
        <v>4.348521863098101E-3</v>
      </c>
      <c r="AG43" t="s">
        <v>96</v>
      </c>
      <c r="AH43" t="s">
        <v>252</v>
      </c>
      <c r="AI43">
        <v>8.9503508248701014E-2</v>
      </c>
      <c r="AK43">
        <v>2026</v>
      </c>
      <c r="AL43" t="s">
        <v>222</v>
      </c>
      <c r="AM43">
        <v>0.23393999999999998</v>
      </c>
      <c r="AN43" t="s">
        <v>217</v>
      </c>
    </row>
    <row r="44" spans="9:40" x14ac:dyDescent="0.45">
      <c r="I44" t="s">
        <v>163</v>
      </c>
      <c r="J44" t="s">
        <v>253</v>
      </c>
      <c r="K44">
        <v>0</v>
      </c>
      <c r="L44" t="s">
        <v>165</v>
      </c>
      <c r="N44" t="s">
        <v>180</v>
      </c>
      <c r="O44" t="s">
        <v>253</v>
      </c>
      <c r="P44">
        <v>5.9227910471403265E-3</v>
      </c>
      <c r="Q44" t="s">
        <v>165</v>
      </c>
      <c r="S44" t="s">
        <v>190</v>
      </c>
      <c r="T44" t="s">
        <v>253</v>
      </c>
      <c r="U44">
        <v>4.6147793029283103E-3</v>
      </c>
      <c r="V44" t="s">
        <v>165</v>
      </c>
      <c r="X44">
        <v>3.5388127853881279E-3</v>
      </c>
      <c r="Y44">
        <v>6.8849497385409693E-3</v>
      </c>
      <c r="Z44" t="s">
        <v>253</v>
      </c>
      <c r="AA44" t="s">
        <v>25</v>
      </c>
      <c r="AC44" t="s">
        <v>22</v>
      </c>
      <c r="AD44" t="s">
        <v>253</v>
      </c>
      <c r="AE44">
        <v>4.4354233728813005E-3</v>
      </c>
      <c r="AG44" t="s">
        <v>96</v>
      </c>
      <c r="AH44" t="s">
        <v>253</v>
      </c>
      <c r="AI44">
        <v>8.2725868725868734E-2</v>
      </c>
      <c r="AK44">
        <v>2026</v>
      </c>
      <c r="AL44" t="s">
        <v>224</v>
      </c>
      <c r="AM44">
        <v>0.64949999999999997</v>
      </c>
      <c r="AN44" t="s">
        <v>217</v>
      </c>
    </row>
    <row r="45" spans="9:40" x14ac:dyDescent="0.45">
      <c r="I45" t="s">
        <v>163</v>
      </c>
      <c r="J45" t="s">
        <v>254</v>
      </c>
      <c r="K45">
        <v>0</v>
      </c>
      <c r="L45" t="s">
        <v>165</v>
      </c>
      <c r="N45" t="s">
        <v>180</v>
      </c>
      <c r="O45" t="s">
        <v>254</v>
      </c>
      <c r="P45">
        <v>3.5450996730511095E-2</v>
      </c>
      <c r="Q45" t="s">
        <v>165</v>
      </c>
      <c r="S45" t="s">
        <v>190</v>
      </c>
      <c r="T45" t="s">
        <v>254</v>
      </c>
      <c r="U45">
        <v>2.6435109019109306E-2</v>
      </c>
      <c r="V45" t="s">
        <v>165</v>
      </c>
      <c r="X45">
        <v>2.1232876712328767E-2</v>
      </c>
      <c r="Y45">
        <v>1.8702400782305319E-2</v>
      </c>
      <c r="Z45" t="s">
        <v>254</v>
      </c>
      <c r="AA45" t="s">
        <v>25</v>
      </c>
      <c r="AC45" t="s">
        <v>22</v>
      </c>
      <c r="AD45" t="s">
        <v>254</v>
      </c>
      <c r="AE45">
        <v>2.4768820142141549E-2</v>
      </c>
      <c r="AG45" t="s">
        <v>96</v>
      </c>
      <c r="AH45" t="s">
        <v>254</v>
      </c>
      <c r="AI45">
        <v>0.15370600606215268</v>
      </c>
      <c r="AK45">
        <v>2026</v>
      </c>
      <c r="AL45" t="s">
        <v>225</v>
      </c>
      <c r="AM45">
        <v>0.59330000000000005</v>
      </c>
      <c r="AN45" t="s">
        <v>217</v>
      </c>
    </row>
    <row r="46" spans="9:40" x14ac:dyDescent="0.45">
      <c r="I46" t="s">
        <v>171</v>
      </c>
      <c r="J46" t="s">
        <v>164</v>
      </c>
      <c r="K46">
        <v>0</v>
      </c>
      <c r="L46" t="s">
        <v>165</v>
      </c>
      <c r="N46" t="s">
        <v>181</v>
      </c>
      <c r="O46" t="s">
        <v>164</v>
      </c>
      <c r="P46">
        <v>2.9927466215855524E-2</v>
      </c>
      <c r="Q46" t="s">
        <v>165</v>
      </c>
      <c r="S46" t="s">
        <v>191</v>
      </c>
      <c r="T46" t="s">
        <v>164</v>
      </c>
      <c r="U46">
        <v>3.5072955113122993E-2</v>
      </c>
      <c r="V46" t="s">
        <v>165</v>
      </c>
      <c r="AC46" t="s">
        <v>19</v>
      </c>
      <c r="AD46" t="s">
        <v>164</v>
      </c>
      <c r="AE46">
        <v>2.7853548349884159E-2</v>
      </c>
      <c r="AK46">
        <v>2027</v>
      </c>
      <c r="AL46" t="s">
        <v>155</v>
      </c>
      <c r="AM46">
        <v>0.59689999999999999</v>
      </c>
      <c r="AN46" t="s">
        <v>217</v>
      </c>
    </row>
    <row r="47" spans="9:40" x14ac:dyDescent="0.45">
      <c r="I47" t="s">
        <v>171</v>
      </c>
      <c r="J47" t="s">
        <v>166</v>
      </c>
      <c r="K47">
        <v>2.3048064053534476E-2</v>
      </c>
      <c r="L47" t="s">
        <v>165</v>
      </c>
      <c r="N47" t="s">
        <v>181</v>
      </c>
      <c r="O47" t="s">
        <v>166</v>
      </c>
      <c r="P47">
        <v>3.4846714983166049E-2</v>
      </c>
      <c r="Q47" t="s">
        <v>165</v>
      </c>
      <c r="S47" t="s">
        <v>191</v>
      </c>
      <c r="T47" t="s">
        <v>166</v>
      </c>
      <c r="U47">
        <v>3.4566537116634009E-2</v>
      </c>
      <c r="V47" t="s">
        <v>165</v>
      </c>
      <c r="AC47" t="s">
        <v>19</v>
      </c>
      <c r="AD47" t="s">
        <v>166</v>
      </c>
      <c r="AE47">
        <v>2.8611341809395195E-2</v>
      </c>
      <c r="AK47">
        <v>2027</v>
      </c>
      <c r="AL47" t="s">
        <v>159</v>
      </c>
      <c r="AM47">
        <v>0.50890000000000002</v>
      </c>
      <c r="AN47" t="s">
        <v>217</v>
      </c>
    </row>
    <row r="48" spans="9:40" x14ac:dyDescent="0.45">
      <c r="I48" t="s">
        <v>171</v>
      </c>
      <c r="J48" t="s">
        <v>226</v>
      </c>
      <c r="K48">
        <v>1.2499059794531097E-3</v>
      </c>
      <c r="L48" t="s">
        <v>165</v>
      </c>
      <c r="N48" t="s">
        <v>181</v>
      </c>
      <c r="O48" t="s">
        <v>226</v>
      </c>
      <c r="P48">
        <v>4.1218921702177161E-3</v>
      </c>
      <c r="Q48" t="s">
        <v>165</v>
      </c>
      <c r="S48" t="s">
        <v>191</v>
      </c>
      <c r="T48" t="s">
        <v>226</v>
      </c>
      <c r="U48">
        <v>4.5132117364563729E-3</v>
      </c>
      <c r="V48" t="s">
        <v>165</v>
      </c>
      <c r="AC48" t="s">
        <v>19</v>
      </c>
      <c r="AD48" t="s">
        <v>226</v>
      </c>
      <c r="AE48">
        <v>3.5798232489537298E-3</v>
      </c>
      <c r="AK48">
        <v>2027</v>
      </c>
      <c r="AL48" t="s">
        <v>161</v>
      </c>
      <c r="AM48">
        <v>0.44840000000000002</v>
      </c>
      <c r="AN48" t="s">
        <v>217</v>
      </c>
    </row>
    <row r="49" spans="9:40" x14ac:dyDescent="0.45">
      <c r="I49" t="s">
        <v>171</v>
      </c>
      <c r="J49" t="s">
        <v>227</v>
      </c>
      <c r="K49">
        <v>0</v>
      </c>
      <c r="L49" t="s">
        <v>165</v>
      </c>
      <c r="N49" t="s">
        <v>181</v>
      </c>
      <c r="O49" t="s">
        <v>227</v>
      </c>
      <c r="P49">
        <v>4.1135303970532321E-3</v>
      </c>
      <c r="Q49" t="s">
        <v>165</v>
      </c>
      <c r="S49" t="s">
        <v>191</v>
      </c>
      <c r="T49" t="s">
        <v>227</v>
      </c>
      <c r="U49">
        <v>4.4144570262401204E-3</v>
      </c>
      <c r="V49" t="s">
        <v>165</v>
      </c>
      <c r="AC49" t="s">
        <v>19</v>
      </c>
      <c r="AD49" t="s">
        <v>227</v>
      </c>
      <c r="AE49">
        <v>3.5870859640400685E-3</v>
      </c>
      <c r="AK49">
        <v>2027</v>
      </c>
      <c r="AL49" t="s">
        <v>220</v>
      </c>
      <c r="AM49">
        <v>0.20989999999999998</v>
      </c>
      <c r="AN49" t="s">
        <v>217</v>
      </c>
    </row>
    <row r="50" spans="9:40" x14ac:dyDescent="0.45">
      <c r="I50" t="s">
        <v>171</v>
      </c>
      <c r="J50" t="s">
        <v>228</v>
      </c>
      <c r="K50">
        <v>0</v>
      </c>
      <c r="L50" t="s">
        <v>165</v>
      </c>
      <c r="N50" t="s">
        <v>181</v>
      </c>
      <c r="O50" t="s">
        <v>228</v>
      </c>
      <c r="P50">
        <v>2.4422589293553284E-2</v>
      </c>
      <c r="Q50" t="s">
        <v>165</v>
      </c>
      <c r="S50" t="s">
        <v>191</v>
      </c>
      <c r="T50" t="s">
        <v>228</v>
      </c>
      <c r="U50">
        <v>2.599741640218637E-2</v>
      </c>
      <c r="V50" t="s">
        <v>165</v>
      </c>
      <c r="AC50" t="s">
        <v>19</v>
      </c>
      <c r="AD50" t="s">
        <v>228</v>
      </c>
      <c r="AE50">
        <v>2.136671598093267E-2</v>
      </c>
      <c r="AK50">
        <v>2027</v>
      </c>
      <c r="AL50" t="s">
        <v>222</v>
      </c>
      <c r="AM50">
        <v>0.21069999999999997</v>
      </c>
      <c r="AN50" t="s">
        <v>217</v>
      </c>
    </row>
    <row r="51" spans="9:40" x14ac:dyDescent="0.45">
      <c r="I51" t="s">
        <v>171</v>
      </c>
      <c r="J51" t="s">
        <v>167</v>
      </c>
      <c r="K51">
        <v>0</v>
      </c>
      <c r="L51" t="s">
        <v>165</v>
      </c>
      <c r="N51" t="s">
        <v>181</v>
      </c>
      <c r="O51" t="s">
        <v>167</v>
      </c>
      <c r="P51">
        <v>2.9068030912582338E-2</v>
      </c>
      <c r="Q51" t="s">
        <v>165</v>
      </c>
      <c r="S51" t="s">
        <v>191</v>
      </c>
      <c r="T51" t="s">
        <v>167</v>
      </c>
      <c r="U51">
        <v>3.0428141602264216E-2</v>
      </c>
      <c r="V51" t="s">
        <v>165</v>
      </c>
      <c r="AC51" t="s">
        <v>19</v>
      </c>
      <c r="AD51" t="s">
        <v>167</v>
      </c>
      <c r="AE51">
        <v>2.5098884074256918E-2</v>
      </c>
      <c r="AK51">
        <v>2027</v>
      </c>
      <c r="AL51" t="s">
        <v>224</v>
      </c>
      <c r="AM51">
        <v>0.50180000000000002</v>
      </c>
      <c r="AN51" t="s">
        <v>217</v>
      </c>
    </row>
    <row r="52" spans="9:40" x14ac:dyDescent="0.45">
      <c r="I52" t="s">
        <v>171</v>
      </c>
      <c r="J52" t="s">
        <v>168</v>
      </c>
      <c r="K52">
        <v>4.4643390820694892E-2</v>
      </c>
      <c r="L52" t="s">
        <v>165</v>
      </c>
      <c r="N52" t="s">
        <v>181</v>
      </c>
      <c r="O52" t="s">
        <v>168</v>
      </c>
      <c r="P52">
        <v>3.1744916240407858E-2</v>
      </c>
      <c r="Q52" t="s">
        <v>165</v>
      </c>
      <c r="S52" t="s">
        <v>191</v>
      </c>
      <c r="T52" t="s">
        <v>168</v>
      </c>
      <c r="U52">
        <v>3.175244321391555E-2</v>
      </c>
      <c r="V52" t="s">
        <v>165</v>
      </c>
      <c r="AC52" t="s">
        <v>19</v>
      </c>
      <c r="AD52" t="s">
        <v>168</v>
      </c>
      <c r="AE52">
        <v>2.5896486638587748E-2</v>
      </c>
      <c r="AK52">
        <v>2027</v>
      </c>
      <c r="AL52" t="s">
        <v>225</v>
      </c>
      <c r="AM52">
        <v>0.59670000000000001</v>
      </c>
      <c r="AN52" t="s">
        <v>217</v>
      </c>
    </row>
    <row r="53" spans="9:40" x14ac:dyDescent="0.45">
      <c r="I53" t="s">
        <v>171</v>
      </c>
      <c r="J53" t="s">
        <v>229</v>
      </c>
      <c r="K53">
        <v>4.1614109115043615E-3</v>
      </c>
      <c r="L53" t="s">
        <v>165</v>
      </c>
      <c r="N53" t="s">
        <v>181</v>
      </c>
      <c r="O53" t="s">
        <v>229</v>
      </c>
      <c r="P53">
        <v>3.8797116498995024E-3</v>
      </c>
      <c r="Q53" t="s">
        <v>165</v>
      </c>
      <c r="S53" t="s">
        <v>191</v>
      </c>
      <c r="T53" t="s">
        <v>229</v>
      </c>
      <c r="U53">
        <v>3.9210106875563287E-3</v>
      </c>
      <c r="V53" t="s">
        <v>165</v>
      </c>
      <c r="AC53" t="s">
        <v>19</v>
      </c>
      <c r="AD53" t="s">
        <v>229</v>
      </c>
      <c r="AE53">
        <v>3.2399557696584694E-3</v>
      </c>
      <c r="AK53">
        <v>2028</v>
      </c>
      <c r="AL53" t="s">
        <v>155</v>
      </c>
      <c r="AM53">
        <v>0.64039999999999997</v>
      </c>
      <c r="AN53" t="s">
        <v>217</v>
      </c>
    </row>
    <row r="54" spans="9:40" x14ac:dyDescent="0.45">
      <c r="I54" t="s">
        <v>171</v>
      </c>
      <c r="J54" t="s">
        <v>230</v>
      </c>
      <c r="K54">
        <v>1.7939245463108905E-3</v>
      </c>
      <c r="L54" t="s">
        <v>165</v>
      </c>
      <c r="N54" t="s">
        <v>181</v>
      </c>
      <c r="O54" t="s">
        <v>230</v>
      </c>
      <c r="P54">
        <v>3.7772767431314492E-3</v>
      </c>
      <c r="Q54" t="s">
        <v>165</v>
      </c>
      <c r="S54" t="s">
        <v>191</v>
      </c>
      <c r="T54" t="s">
        <v>230</v>
      </c>
      <c r="U54">
        <v>3.9199629250595055E-3</v>
      </c>
      <c r="V54" t="s">
        <v>165</v>
      </c>
      <c r="AC54" t="s">
        <v>19</v>
      </c>
      <c r="AD54" t="s">
        <v>230</v>
      </c>
      <c r="AE54">
        <v>3.2473723142216245E-3</v>
      </c>
      <c r="AK54">
        <v>2028</v>
      </c>
      <c r="AL54" t="s">
        <v>159</v>
      </c>
      <c r="AM54">
        <v>0.58889999999999998</v>
      </c>
      <c r="AN54" t="s">
        <v>217</v>
      </c>
    </row>
    <row r="55" spans="9:40" x14ac:dyDescent="0.45">
      <c r="I55" t="s">
        <v>171</v>
      </c>
      <c r="J55" t="s">
        <v>231</v>
      </c>
      <c r="K55">
        <v>0</v>
      </c>
      <c r="L55" t="s">
        <v>165</v>
      </c>
      <c r="N55" t="s">
        <v>181</v>
      </c>
      <c r="O55" t="s">
        <v>231</v>
      </c>
      <c r="P55">
        <v>2.2939490053864177E-2</v>
      </c>
      <c r="Q55" t="s">
        <v>165</v>
      </c>
      <c r="S55" t="s">
        <v>191</v>
      </c>
      <c r="T55" t="s">
        <v>231</v>
      </c>
      <c r="U55">
        <v>2.2899809591368715E-2</v>
      </c>
      <c r="V55" t="s">
        <v>165</v>
      </c>
      <c r="AC55" t="s">
        <v>19</v>
      </c>
      <c r="AD55" t="s">
        <v>231</v>
      </c>
      <c r="AE55">
        <v>1.9324765085351536E-2</v>
      </c>
      <c r="AK55">
        <v>2028</v>
      </c>
      <c r="AL55" t="s">
        <v>161</v>
      </c>
      <c r="AM55">
        <v>0.40970000000000001</v>
      </c>
      <c r="AN55" t="s">
        <v>217</v>
      </c>
    </row>
    <row r="56" spans="9:40" x14ac:dyDescent="0.45">
      <c r="I56" t="s">
        <v>171</v>
      </c>
      <c r="J56" t="s">
        <v>169</v>
      </c>
      <c r="K56">
        <v>4.0395845408300914E-3</v>
      </c>
      <c r="L56" t="s">
        <v>165</v>
      </c>
      <c r="N56" t="s">
        <v>181</v>
      </c>
      <c r="O56" t="s">
        <v>169</v>
      </c>
      <c r="P56">
        <v>3.337120939432793E-2</v>
      </c>
      <c r="Q56" t="s">
        <v>165</v>
      </c>
      <c r="S56" t="s">
        <v>191</v>
      </c>
      <c r="T56" t="s">
        <v>169</v>
      </c>
      <c r="U56">
        <v>3.4825707597560547E-2</v>
      </c>
      <c r="V56" t="s">
        <v>165</v>
      </c>
      <c r="AC56" t="s">
        <v>19</v>
      </c>
      <c r="AD56" t="s">
        <v>169</v>
      </c>
      <c r="AE56">
        <v>2.7823241324577048E-2</v>
      </c>
      <c r="AK56">
        <v>2028</v>
      </c>
      <c r="AL56" t="s">
        <v>220</v>
      </c>
      <c r="AM56">
        <v>0.21055000000000001</v>
      </c>
      <c r="AN56" t="s">
        <v>217</v>
      </c>
    </row>
    <row r="57" spans="9:40" x14ac:dyDescent="0.45">
      <c r="I57" t="s">
        <v>171</v>
      </c>
      <c r="J57" t="s">
        <v>170</v>
      </c>
      <c r="K57">
        <v>7.0850663871436154E-2</v>
      </c>
      <c r="L57" t="s">
        <v>165</v>
      </c>
      <c r="N57" t="s">
        <v>181</v>
      </c>
      <c r="O57" t="s">
        <v>170</v>
      </c>
      <c r="P57">
        <v>3.5138957858252717E-2</v>
      </c>
      <c r="Q57" t="s">
        <v>165</v>
      </c>
      <c r="S57" t="s">
        <v>191</v>
      </c>
      <c r="T57" t="s">
        <v>170</v>
      </c>
      <c r="U57">
        <v>3.5318136339727926E-2</v>
      </c>
      <c r="V57" t="s">
        <v>165</v>
      </c>
      <c r="AC57" t="s">
        <v>19</v>
      </c>
      <c r="AD57" t="s">
        <v>170</v>
      </c>
      <c r="AE57">
        <v>2.8662642958023531E-2</v>
      </c>
      <c r="AK57">
        <v>2028</v>
      </c>
      <c r="AL57" t="s">
        <v>222</v>
      </c>
      <c r="AM57">
        <v>0.20263999999999999</v>
      </c>
      <c r="AN57" t="s">
        <v>217</v>
      </c>
    </row>
    <row r="58" spans="9:40" x14ac:dyDescent="0.45">
      <c r="I58" t="s">
        <v>171</v>
      </c>
      <c r="J58" t="s">
        <v>232</v>
      </c>
      <c r="K58">
        <v>6.5967940949262583E-3</v>
      </c>
      <c r="L58" t="s">
        <v>165</v>
      </c>
      <c r="N58" t="s">
        <v>181</v>
      </c>
      <c r="O58" t="s">
        <v>232</v>
      </c>
      <c r="P58">
        <v>4.3159865301036536E-3</v>
      </c>
      <c r="Q58" t="s">
        <v>165</v>
      </c>
      <c r="S58" t="s">
        <v>191</v>
      </c>
      <c r="T58" t="s">
        <v>232</v>
      </c>
      <c r="U58">
        <v>4.5605121236649325E-3</v>
      </c>
      <c r="V58" t="s">
        <v>165</v>
      </c>
      <c r="AC58" t="s">
        <v>19</v>
      </c>
      <c r="AD58" t="s">
        <v>232</v>
      </c>
      <c r="AE58">
        <v>3.5872439665505652E-3</v>
      </c>
      <c r="AK58">
        <v>2028</v>
      </c>
      <c r="AL58" t="s">
        <v>224</v>
      </c>
      <c r="AM58">
        <v>0.4975</v>
      </c>
      <c r="AN58" t="s">
        <v>217</v>
      </c>
    </row>
    <row r="59" spans="9:40" x14ac:dyDescent="0.45">
      <c r="I59" t="s">
        <v>171</v>
      </c>
      <c r="J59" t="s">
        <v>233</v>
      </c>
      <c r="K59">
        <v>4.424927844554406E-3</v>
      </c>
      <c r="L59" t="s">
        <v>165</v>
      </c>
      <c r="N59" t="s">
        <v>181</v>
      </c>
      <c r="O59" t="s">
        <v>233</v>
      </c>
      <c r="P59">
        <v>4.1894990319385041E-3</v>
      </c>
      <c r="Q59" t="s">
        <v>165</v>
      </c>
      <c r="S59" t="s">
        <v>191</v>
      </c>
      <c r="T59" t="s">
        <v>233</v>
      </c>
      <c r="U59">
        <v>4.6897968395107573E-3</v>
      </c>
      <c r="V59" t="s">
        <v>165</v>
      </c>
      <c r="AC59" t="s">
        <v>19</v>
      </c>
      <c r="AD59" t="s">
        <v>233</v>
      </c>
      <c r="AE59">
        <v>3.5954067477246654E-3</v>
      </c>
      <c r="AK59">
        <v>2028</v>
      </c>
      <c r="AL59" t="s">
        <v>225</v>
      </c>
      <c r="AM59">
        <v>0.5544</v>
      </c>
      <c r="AN59" t="s">
        <v>217</v>
      </c>
    </row>
    <row r="60" spans="9:40" x14ac:dyDescent="0.45">
      <c r="I60" t="s">
        <v>171</v>
      </c>
      <c r="J60" t="s">
        <v>234</v>
      </c>
      <c r="K60">
        <v>1.8492343338157324E-3</v>
      </c>
      <c r="L60" t="s">
        <v>165</v>
      </c>
      <c r="N60" t="s">
        <v>181</v>
      </c>
      <c r="O60" t="s">
        <v>234</v>
      </c>
      <c r="P60">
        <v>2.5621391989326694E-2</v>
      </c>
      <c r="Q60" t="s">
        <v>165</v>
      </c>
      <c r="S60" t="s">
        <v>191</v>
      </c>
      <c r="T60" t="s">
        <v>234</v>
      </c>
      <c r="U60">
        <v>2.9096410477374282E-2</v>
      </c>
      <c r="V60" t="s">
        <v>165</v>
      </c>
      <c r="AC60" t="s">
        <v>19</v>
      </c>
      <c r="AD60" t="s">
        <v>234</v>
      </c>
      <c r="AE60">
        <v>2.1378356781118258E-2</v>
      </c>
      <c r="AK60">
        <v>2029</v>
      </c>
      <c r="AL60" t="s">
        <v>155</v>
      </c>
      <c r="AM60">
        <v>0.59460000000000002</v>
      </c>
      <c r="AN60" t="s">
        <v>217</v>
      </c>
    </row>
    <row r="61" spans="9:40" x14ac:dyDescent="0.45">
      <c r="I61" t="s">
        <v>171</v>
      </c>
      <c r="J61" t="s">
        <v>235</v>
      </c>
      <c r="K61">
        <v>2.5327511055877432E-2</v>
      </c>
      <c r="L61" t="s">
        <v>165</v>
      </c>
      <c r="N61" t="s">
        <v>181</v>
      </c>
      <c r="O61" t="s">
        <v>235</v>
      </c>
      <c r="P61">
        <v>6.1779631506263442E-2</v>
      </c>
      <c r="Q61" t="s">
        <v>165</v>
      </c>
      <c r="S61" t="s">
        <v>191</v>
      </c>
      <c r="T61" t="s">
        <v>235</v>
      </c>
      <c r="U61">
        <v>6.2557779973383729E-2</v>
      </c>
      <c r="V61" t="s">
        <v>165</v>
      </c>
      <c r="AC61" t="s">
        <v>19</v>
      </c>
      <c r="AD61" t="s">
        <v>235</v>
      </c>
      <c r="AE61">
        <v>5.477237340835675E-2</v>
      </c>
      <c r="AK61">
        <v>2029</v>
      </c>
      <c r="AL61" t="s">
        <v>159</v>
      </c>
      <c r="AM61">
        <v>0.56999999999999995</v>
      </c>
      <c r="AN61" t="s">
        <v>217</v>
      </c>
    </row>
    <row r="62" spans="9:40" x14ac:dyDescent="0.45">
      <c r="I62" t="s">
        <v>171</v>
      </c>
      <c r="J62" t="s">
        <v>236</v>
      </c>
      <c r="K62">
        <v>0.18475110889799887</v>
      </c>
      <c r="L62" t="s">
        <v>165</v>
      </c>
      <c r="N62" t="s">
        <v>181</v>
      </c>
      <c r="O62" t="s">
        <v>236</v>
      </c>
      <c r="P62">
        <v>7.0852237316176722E-2</v>
      </c>
      <c r="Q62" t="s">
        <v>165</v>
      </c>
      <c r="S62" t="s">
        <v>191</v>
      </c>
      <c r="T62" t="s">
        <v>236</v>
      </c>
      <c r="U62">
        <v>6.0053301713115084E-2</v>
      </c>
      <c r="V62" t="s">
        <v>165</v>
      </c>
      <c r="AC62" t="s">
        <v>19</v>
      </c>
      <c r="AD62" t="s">
        <v>236</v>
      </c>
      <c r="AE62">
        <v>5.6321917366144371E-2</v>
      </c>
      <c r="AK62">
        <v>2029</v>
      </c>
      <c r="AL62" t="s">
        <v>161</v>
      </c>
      <c r="AM62">
        <v>0.4839</v>
      </c>
      <c r="AN62" t="s">
        <v>217</v>
      </c>
    </row>
    <row r="63" spans="9:40" x14ac:dyDescent="0.45">
      <c r="I63" t="s">
        <v>171</v>
      </c>
      <c r="J63" t="s">
        <v>237</v>
      </c>
      <c r="K63">
        <v>1.9539606596182802E-2</v>
      </c>
      <c r="L63" t="s">
        <v>165</v>
      </c>
      <c r="N63" t="s">
        <v>181</v>
      </c>
      <c r="O63" t="s">
        <v>237</v>
      </c>
      <c r="P63">
        <v>9.1210025162605981E-3</v>
      </c>
      <c r="Q63" t="s">
        <v>165</v>
      </c>
      <c r="S63" t="s">
        <v>191</v>
      </c>
      <c r="T63" t="s">
        <v>237</v>
      </c>
      <c r="U63">
        <v>7.8954884852618697E-3</v>
      </c>
      <c r="V63" t="s">
        <v>165</v>
      </c>
      <c r="AC63" t="s">
        <v>19</v>
      </c>
      <c r="AD63" t="s">
        <v>237</v>
      </c>
      <c r="AE63">
        <v>7.0411671479593896E-3</v>
      </c>
      <c r="AK63">
        <v>2029</v>
      </c>
      <c r="AL63" t="s">
        <v>220</v>
      </c>
      <c r="AM63">
        <v>0.21179999999999999</v>
      </c>
      <c r="AN63" t="s">
        <v>217</v>
      </c>
    </row>
    <row r="64" spans="9:40" x14ac:dyDescent="0.45">
      <c r="I64" t="s">
        <v>171</v>
      </c>
      <c r="J64" t="s">
        <v>238</v>
      </c>
      <c r="K64">
        <v>1.5304669880233256E-2</v>
      </c>
      <c r="L64" t="s">
        <v>165</v>
      </c>
      <c r="N64" t="s">
        <v>181</v>
      </c>
      <c r="O64" t="s">
        <v>238</v>
      </c>
      <c r="P64">
        <v>8.8498793146022763E-3</v>
      </c>
      <c r="Q64" t="s">
        <v>165</v>
      </c>
      <c r="S64" t="s">
        <v>191</v>
      </c>
      <c r="T64" t="s">
        <v>238</v>
      </c>
      <c r="U64">
        <v>8.0167949068044864E-3</v>
      </c>
      <c r="V64" t="s">
        <v>165</v>
      </c>
      <c r="AC64" t="s">
        <v>19</v>
      </c>
      <c r="AD64" t="s">
        <v>238</v>
      </c>
      <c r="AE64">
        <v>7.0425025187368694E-3</v>
      </c>
      <c r="AK64">
        <v>2029</v>
      </c>
      <c r="AL64" t="s">
        <v>222</v>
      </c>
      <c r="AM64">
        <v>0.21747999999999998</v>
      </c>
      <c r="AN64" t="s">
        <v>217</v>
      </c>
    </row>
    <row r="65" spans="9:40" x14ac:dyDescent="0.45">
      <c r="I65" t="s">
        <v>171</v>
      </c>
      <c r="J65" t="s">
        <v>239</v>
      </c>
      <c r="K65">
        <v>1.4886387775505959E-2</v>
      </c>
      <c r="L65" t="s">
        <v>165</v>
      </c>
      <c r="N65" t="s">
        <v>181</v>
      </c>
      <c r="O65" t="s">
        <v>239</v>
      </c>
      <c r="P65">
        <v>4.7673779770989362E-2</v>
      </c>
      <c r="Q65" t="s">
        <v>165</v>
      </c>
      <c r="S65" t="s">
        <v>191</v>
      </c>
      <c r="T65" t="s">
        <v>239</v>
      </c>
      <c r="U65">
        <v>4.800800347965966E-2</v>
      </c>
      <c r="V65" t="s">
        <v>165</v>
      </c>
      <c r="AC65" t="s">
        <v>19</v>
      </c>
      <c r="AD65" t="s">
        <v>239</v>
      </c>
      <c r="AE65">
        <v>4.1959151933987401E-2</v>
      </c>
      <c r="AK65">
        <v>2029</v>
      </c>
      <c r="AL65" t="s">
        <v>224</v>
      </c>
      <c r="AM65">
        <v>0.48130000000000001</v>
      </c>
      <c r="AN65" t="s">
        <v>217</v>
      </c>
    </row>
    <row r="66" spans="9:40" x14ac:dyDescent="0.45">
      <c r="I66" t="s">
        <v>171</v>
      </c>
      <c r="J66" t="s">
        <v>240</v>
      </c>
      <c r="K66">
        <v>4.5642156941769201E-2</v>
      </c>
      <c r="L66" t="s">
        <v>165</v>
      </c>
      <c r="N66" t="s">
        <v>181</v>
      </c>
      <c r="O66" t="s">
        <v>240</v>
      </c>
      <c r="P66">
        <v>9.7283689707601539E-2</v>
      </c>
      <c r="Q66" t="s">
        <v>165</v>
      </c>
      <c r="S66" t="s">
        <v>191</v>
      </c>
      <c r="T66" t="s">
        <v>240</v>
      </c>
      <c r="U66">
        <v>0.11298850168075197</v>
      </c>
      <c r="V66" t="s">
        <v>165</v>
      </c>
      <c r="AC66" t="s">
        <v>19</v>
      </c>
      <c r="AD66" t="s">
        <v>240</v>
      </c>
      <c r="AE66">
        <v>0.13736758589357353</v>
      </c>
      <c r="AK66">
        <v>2029</v>
      </c>
      <c r="AL66" t="s">
        <v>225</v>
      </c>
      <c r="AM66">
        <v>0.56379999999999997</v>
      </c>
      <c r="AN66" t="s">
        <v>217</v>
      </c>
    </row>
    <row r="67" spans="9:40" x14ac:dyDescent="0.45">
      <c r="I67" t="s">
        <v>171</v>
      </c>
      <c r="J67" t="s">
        <v>241</v>
      </c>
      <c r="K67">
        <v>0.37897433093654848</v>
      </c>
      <c r="L67" t="s">
        <v>165</v>
      </c>
      <c r="N67" t="s">
        <v>181</v>
      </c>
      <c r="O67" t="s">
        <v>241</v>
      </c>
      <c r="P67">
        <v>0.1209947115061193</v>
      </c>
      <c r="Q67" t="s">
        <v>165</v>
      </c>
      <c r="S67" t="s">
        <v>191</v>
      </c>
      <c r="T67" t="s">
        <v>241</v>
      </c>
      <c r="U67">
        <v>0.1074327031863635</v>
      </c>
      <c r="V67" t="s">
        <v>165</v>
      </c>
      <c r="AC67" t="s">
        <v>19</v>
      </c>
      <c r="AD67" t="s">
        <v>241</v>
      </c>
      <c r="AE67">
        <v>0.14090300621069005</v>
      </c>
      <c r="AK67">
        <v>2030</v>
      </c>
      <c r="AL67" t="s">
        <v>155</v>
      </c>
      <c r="AM67">
        <v>0.5524</v>
      </c>
      <c r="AN67" t="s">
        <v>217</v>
      </c>
    </row>
    <row r="68" spans="9:40" x14ac:dyDescent="0.45">
      <c r="I68" t="s">
        <v>171</v>
      </c>
      <c r="J68" t="s">
        <v>242</v>
      </c>
      <c r="K68">
        <v>3.9508892875692259E-2</v>
      </c>
      <c r="L68" t="s">
        <v>165</v>
      </c>
      <c r="N68" t="s">
        <v>181</v>
      </c>
      <c r="O68" t="s">
        <v>242</v>
      </c>
      <c r="P68">
        <v>1.5044325086010448E-2</v>
      </c>
      <c r="Q68" t="s">
        <v>165</v>
      </c>
      <c r="S68" t="s">
        <v>191</v>
      </c>
      <c r="T68" t="s">
        <v>242</v>
      </c>
      <c r="U68">
        <v>1.3603353386861885E-2</v>
      </c>
      <c r="V68" t="s">
        <v>165</v>
      </c>
      <c r="AC68" t="s">
        <v>19</v>
      </c>
      <c r="AD68" t="s">
        <v>242</v>
      </c>
      <c r="AE68">
        <v>1.7600537506756841E-2</v>
      </c>
      <c r="AK68">
        <v>2030</v>
      </c>
      <c r="AL68" t="s">
        <v>159</v>
      </c>
      <c r="AM68">
        <v>0.55479999999999996</v>
      </c>
      <c r="AN68" t="s">
        <v>217</v>
      </c>
    </row>
    <row r="69" spans="9:40" x14ac:dyDescent="0.45">
      <c r="I69" t="s">
        <v>171</v>
      </c>
      <c r="J69" t="s">
        <v>243</v>
      </c>
      <c r="K69">
        <v>3.035352729602776E-2</v>
      </c>
      <c r="L69" t="s">
        <v>165</v>
      </c>
      <c r="N69" t="s">
        <v>181</v>
      </c>
      <c r="O69" t="s">
        <v>243</v>
      </c>
      <c r="P69">
        <v>1.4171188156512544E-2</v>
      </c>
      <c r="Q69" t="s">
        <v>165</v>
      </c>
      <c r="S69" t="s">
        <v>191</v>
      </c>
      <c r="T69" t="s">
        <v>243</v>
      </c>
      <c r="U69">
        <v>1.3499736642725364E-2</v>
      </c>
      <c r="V69" t="s">
        <v>165</v>
      </c>
      <c r="AC69" t="s">
        <v>19</v>
      </c>
      <c r="AD69" t="s">
        <v>243</v>
      </c>
      <c r="AE69">
        <v>1.7597280904002938E-2</v>
      </c>
      <c r="AK69">
        <v>2030</v>
      </c>
      <c r="AL69" t="s">
        <v>161</v>
      </c>
      <c r="AM69">
        <v>0.45879999999999999</v>
      </c>
      <c r="AN69" t="s">
        <v>217</v>
      </c>
    </row>
    <row r="70" spans="9:40" x14ac:dyDescent="0.45">
      <c r="I70" t="s">
        <v>171</v>
      </c>
      <c r="J70" t="s">
        <v>244</v>
      </c>
      <c r="K70">
        <v>3.2480155028647241E-2</v>
      </c>
      <c r="L70" t="s">
        <v>165</v>
      </c>
      <c r="N70" t="s">
        <v>181</v>
      </c>
      <c r="O70" t="s">
        <v>244</v>
      </c>
      <c r="P70">
        <v>7.3415740870831581E-2</v>
      </c>
      <c r="Q70" t="s">
        <v>165</v>
      </c>
      <c r="S70" t="s">
        <v>191</v>
      </c>
      <c r="T70" t="s">
        <v>244</v>
      </c>
      <c r="U70">
        <v>8.273305875341426E-2</v>
      </c>
      <c r="V70" t="s">
        <v>165</v>
      </c>
      <c r="AC70" t="s">
        <v>19</v>
      </c>
      <c r="AD70" t="s">
        <v>244</v>
      </c>
      <c r="AE70">
        <v>0.10531623815021635</v>
      </c>
      <c r="AK70">
        <v>2030</v>
      </c>
      <c r="AL70" t="s">
        <v>220</v>
      </c>
      <c r="AM70">
        <v>0.20115</v>
      </c>
      <c r="AN70" t="s">
        <v>217</v>
      </c>
    </row>
    <row r="71" spans="9:40" x14ac:dyDescent="0.45">
      <c r="I71" t="s">
        <v>171</v>
      </c>
      <c r="J71" t="s">
        <v>245</v>
      </c>
      <c r="K71">
        <v>0</v>
      </c>
      <c r="L71" t="s">
        <v>165</v>
      </c>
      <c r="N71" t="s">
        <v>181</v>
      </c>
      <c r="O71" t="s">
        <v>245</v>
      </c>
      <c r="P71">
        <v>2.2621430849996793E-2</v>
      </c>
      <c r="Q71" t="s">
        <v>165</v>
      </c>
      <c r="S71" t="s">
        <v>191</v>
      </c>
      <c r="T71" t="s">
        <v>245</v>
      </c>
      <c r="U71">
        <v>2.4359839585053309E-2</v>
      </c>
      <c r="V71" t="s">
        <v>165</v>
      </c>
      <c r="AC71" t="s">
        <v>19</v>
      </c>
      <c r="AD71" t="s">
        <v>245</v>
      </c>
      <c r="AE71">
        <v>2.6919377208105343E-2</v>
      </c>
      <c r="AK71">
        <v>2030</v>
      </c>
      <c r="AL71" t="s">
        <v>222</v>
      </c>
      <c r="AM71">
        <v>0.20073999999999997</v>
      </c>
      <c r="AN71" t="s">
        <v>217</v>
      </c>
    </row>
    <row r="72" spans="9:40" x14ac:dyDescent="0.45">
      <c r="I72" t="s">
        <v>171</v>
      </c>
      <c r="J72" t="s">
        <v>246</v>
      </c>
      <c r="K72">
        <v>3.0125945183449462E-2</v>
      </c>
      <c r="L72" t="s">
        <v>165</v>
      </c>
      <c r="N72" t="s">
        <v>181</v>
      </c>
      <c r="O72" t="s">
        <v>246</v>
      </c>
      <c r="P72">
        <v>2.1465403001320115E-2</v>
      </c>
      <c r="Q72" t="s">
        <v>165</v>
      </c>
      <c r="S72" t="s">
        <v>191</v>
      </c>
      <c r="T72" t="s">
        <v>246</v>
      </c>
      <c r="U72">
        <v>2.5396847378294819E-2</v>
      </c>
      <c r="V72" t="s">
        <v>165</v>
      </c>
      <c r="AC72" t="s">
        <v>19</v>
      </c>
      <c r="AD72" t="s">
        <v>246</v>
      </c>
      <c r="AE72">
        <v>2.7686328430938406E-2</v>
      </c>
      <c r="AK72">
        <v>2030</v>
      </c>
      <c r="AL72" t="s">
        <v>224</v>
      </c>
      <c r="AM72">
        <v>0.50619999999999998</v>
      </c>
      <c r="AN72" t="s">
        <v>217</v>
      </c>
    </row>
    <row r="73" spans="9:40" x14ac:dyDescent="0.45">
      <c r="I73" t="s">
        <v>171</v>
      </c>
      <c r="J73" t="s">
        <v>247</v>
      </c>
      <c r="K73">
        <v>9.6863360640906749E-4</v>
      </c>
      <c r="L73" t="s">
        <v>165</v>
      </c>
      <c r="N73" t="s">
        <v>181</v>
      </c>
      <c r="O73" t="s">
        <v>247</v>
      </c>
      <c r="P73">
        <v>2.7204459156973536E-3</v>
      </c>
      <c r="Q73" t="s">
        <v>165</v>
      </c>
      <c r="S73" t="s">
        <v>191</v>
      </c>
      <c r="T73" t="s">
        <v>247</v>
      </c>
      <c r="U73">
        <v>3.1232848216953143E-3</v>
      </c>
      <c r="V73" t="s">
        <v>165</v>
      </c>
      <c r="AC73" t="s">
        <v>19</v>
      </c>
      <c r="AD73" t="s">
        <v>247</v>
      </c>
      <c r="AE73">
        <v>3.4633758800229723E-3</v>
      </c>
      <c r="AK73">
        <v>2030</v>
      </c>
      <c r="AL73" t="s">
        <v>225</v>
      </c>
      <c r="AM73">
        <v>0.51680000000000004</v>
      </c>
      <c r="AN73" t="s">
        <v>217</v>
      </c>
    </row>
    <row r="74" spans="9:40" x14ac:dyDescent="0.45">
      <c r="I74" t="s">
        <v>171</v>
      </c>
      <c r="J74" t="s">
        <v>248</v>
      </c>
      <c r="K74">
        <v>0</v>
      </c>
      <c r="L74" t="s">
        <v>165</v>
      </c>
      <c r="N74" t="s">
        <v>181</v>
      </c>
      <c r="O74" t="s">
        <v>248</v>
      </c>
      <c r="P74">
        <v>2.6896645156169545E-3</v>
      </c>
      <c r="Q74" t="s">
        <v>165</v>
      </c>
      <c r="S74" t="s">
        <v>191</v>
      </c>
      <c r="T74" t="s">
        <v>248</v>
      </c>
      <c r="U74">
        <v>3.0935933937338385E-3</v>
      </c>
      <c r="V74" t="s">
        <v>165</v>
      </c>
      <c r="AC74" t="s">
        <v>19</v>
      </c>
      <c r="AD74" t="s">
        <v>248</v>
      </c>
      <c r="AE74">
        <v>3.4722718059376489E-3</v>
      </c>
      <c r="AK74">
        <v>2031</v>
      </c>
      <c r="AL74" t="s">
        <v>155</v>
      </c>
      <c r="AM74">
        <v>0.59219999999999995</v>
      </c>
      <c r="AN74" t="s">
        <v>217</v>
      </c>
    </row>
    <row r="75" spans="9:40" x14ac:dyDescent="0.45">
      <c r="I75" t="s">
        <v>171</v>
      </c>
      <c r="J75" t="s">
        <v>249</v>
      </c>
      <c r="K75">
        <v>0</v>
      </c>
      <c r="L75" t="s">
        <v>165</v>
      </c>
      <c r="N75" t="s">
        <v>181</v>
      </c>
      <c r="O75" t="s">
        <v>249</v>
      </c>
      <c r="P75">
        <v>1.5390790230270315E-2</v>
      </c>
      <c r="Q75" t="s">
        <v>165</v>
      </c>
      <c r="S75" t="s">
        <v>191</v>
      </c>
      <c r="T75" t="s">
        <v>249</v>
      </c>
      <c r="U75">
        <v>1.7353980639875546E-2</v>
      </c>
      <c r="V75" t="s">
        <v>165</v>
      </c>
      <c r="AC75" t="s">
        <v>19</v>
      </c>
      <c r="AD75" t="s">
        <v>249</v>
      </c>
      <c r="AE75">
        <v>2.0699422799521656E-2</v>
      </c>
      <c r="AK75">
        <v>2031</v>
      </c>
      <c r="AL75" t="s">
        <v>159</v>
      </c>
      <c r="AM75">
        <v>0.53129999999999999</v>
      </c>
      <c r="AN75" t="s">
        <v>217</v>
      </c>
    </row>
    <row r="76" spans="9:40" x14ac:dyDescent="0.45">
      <c r="I76" t="s">
        <v>171</v>
      </c>
      <c r="J76" t="s">
        <v>250</v>
      </c>
      <c r="K76">
        <v>0</v>
      </c>
      <c r="L76" t="s">
        <v>165</v>
      </c>
      <c r="N76" t="s">
        <v>181</v>
      </c>
      <c r="O76" t="s">
        <v>250</v>
      </c>
      <c r="P76">
        <v>3.8891902276922227E-2</v>
      </c>
      <c r="Q76" t="s">
        <v>165</v>
      </c>
      <c r="S76" t="s">
        <v>191</v>
      </c>
      <c r="T76" t="s">
        <v>250</v>
      </c>
      <c r="U76">
        <v>3.3350623383199968E-2</v>
      </c>
      <c r="V76" t="s">
        <v>165</v>
      </c>
      <c r="AC76" t="s">
        <v>19</v>
      </c>
      <c r="AD76" t="s">
        <v>250</v>
      </c>
      <c r="AE76">
        <v>2.7808343103395656E-2</v>
      </c>
      <c r="AK76">
        <v>2031</v>
      </c>
      <c r="AL76" t="s">
        <v>161</v>
      </c>
      <c r="AM76">
        <v>0.41349999999999998</v>
      </c>
      <c r="AN76" t="s">
        <v>217</v>
      </c>
    </row>
    <row r="77" spans="9:40" x14ac:dyDescent="0.45">
      <c r="I77" t="s">
        <v>171</v>
      </c>
      <c r="J77" t="s">
        <v>251</v>
      </c>
      <c r="K77">
        <v>1.9479172928596057E-2</v>
      </c>
      <c r="L77" t="s">
        <v>165</v>
      </c>
      <c r="N77" t="s">
        <v>181</v>
      </c>
      <c r="O77" t="s">
        <v>251</v>
      </c>
      <c r="P77">
        <v>4.2943390913940511E-2</v>
      </c>
      <c r="Q77" t="s">
        <v>165</v>
      </c>
      <c r="S77" t="s">
        <v>191</v>
      </c>
      <c r="T77" t="s">
        <v>251</v>
      </c>
      <c r="U77">
        <v>3.5955665347220993E-2</v>
      </c>
      <c r="V77" t="s">
        <v>165</v>
      </c>
      <c r="AC77" t="s">
        <v>19</v>
      </c>
      <c r="AD77" t="s">
        <v>251</v>
      </c>
      <c r="AE77">
        <v>2.8616936292899957E-2</v>
      </c>
      <c r="AK77">
        <v>2031</v>
      </c>
      <c r="AL77" t="s">
        <v>220</v>
      </c>
      <c r="AM77">
        <v>0.21405000000000002</v>
      </c>
      <c r="AN77" t="s">
        <v>217</v>
      </c>
    </row>
    <row r="78" spans="9:40" x14ac:dyDescent="0.45">
      <c r="I78" t="s">
        <v>171</v>
      </c>
      <c r="J78" t="s">
        <v>252</v>
      </c>
      <c r="K78">
        <v>0</v>
      </c>
      <c r="L78" t="s">
        <v>165</v>
      </c>
      <c r="N78" t="s">
        <v>181</v>
      </c>
      <c r="O78" t="s">
        <v>252</v>
      </c>
      <c r="P78">
        <v>5.4801170760365768E-3</v>
      </c>
      <c r="Q78" t="s">
        <v>165</v>
      </c>
      <c r="S78" t="s">
        <v>191</v>
      </c>
      <c r="T78" t="s">
        <v>252</v>
      </c>
      <c r="U78">
        <v>4.5758687360677886E-3</v>
      </c>
      <c r="V78" t="s">
        <v>165</v>
      </c>
      <c r="AC78" t="s">
        <v>19</v>
      </c>
      <c r="AD78" t="s">
        <v>252</v>
      </c>
      <c r="AE78">
        <v>3.5820465349267858E-3</v>
      </c>
      <c r="AK78">
        <v>2031</v>
      </c>
      <c r="AL78" t="s">
        <v>222</v>
      </c>
      <c r="AM78">
        <v>0.20220000000000002</v>
      </c>
      <c r="AN78" t="s">
        <v>217</v>
      </c>
    </row>
    <row r="79" spans="9:40" x14ac:dyDescent="0.45">
      <c r="I79" t="s">
        <v>171</v>
      </c>
      <c r="J79" t="s">
        <v>253</v>
      </c>
      <c r="K79">
        <v>0</v>
      </c>
      <c r="L79" t="s">
        <v>165</v>
      </c>
      <c r="N79" t="s">
        <v>181</v>
      </c>
      <c r="O79" t="s">
        <v>253</v>
      </c>
      <c r="P79">
        <v>5.4958762220881823E-3</v>
      </c>
      <c r="Q79" t="s">
        <v>165</v>
      </c>
      <c r="S79" t="s">
        <v>191</v>
      </c>
      <c r="T79" t="s">
        <v>253</v>
      </c>
      <c r="U79">
        <v>4.4634370228180727E-3</v>
      </c>
      <c r="V79" t="s">
        <v>165</v>
      </c>
      <c r="AC79" t="s">
        <v>19</v>
      </c>
      <c r="AD79" t="s">
        <v>253</v>
      </c>
      <c r="AE79">
        <v>3.5888739453234066E-3</v>
      </c>
      <c r="AK79">
        <v>2031</v>
      </c>
      <c r="AL79" t="s">
        <v>224</v>
      </c>
      <c r="AM79">
        <v>0.51249999999999996</v>
      </c>
      <c r="AN79" t="s">
        <v>217</v>
      </c>
    </row>
    <row r="80" spans="9:40" x14ac:dyDescent="0.45">
      <c r="I80" t="s">
        <v>171</v>
      </c>
      <c r="J80" t="s">
        <v>254</v>
      </c>
      <c r="K80">
        <v>0</v>
      </c>
      <c r="L80" t="s">
        <v>165</v>
      </c>
      <c r="N80" t="s">
        <v>181</v>
      </c>
      <c r="O80" t="s">
        <v>254</v>
      </c>
      <c r="P80">
        <v>3.163612978306355E-2</v>
      </c>
      <c r="Q80" t="s">
        <v>165</v>
      </c>
      <c r="S80" t="s">
        <v>191</v>
      </c>
      <c r="T80" t="s">
        <v>254</v>
      </c>
      <c r="U80">
        <v>2.5561628691053967E-2</v>
      </c>
      <c r="V80" t="s">
        <v>165</v>
      </c>
      <c r="AC80" t="s">
        <v>19</v>
      </c>
      <c r="AD80" t="s">
        <v>254</v>
      </c>
      <c r="AE80">
        <v>2.1388391945227469E-2</v>
      </c>
      <c r="AK80">
        <v>2031</v>
      </c>
      <c r="AL80" t="s">
        <v>225</v>
      </c>
      <c r="AM80">
        <v>0.61670000000000003</v>
      </c>
      <c r="AN80" t="s">
        <v>217</v>
      </c>
    </row>
    <row r="81" spans="9:40" x14ac:dyDescent="0.45">
      <c r="I81" t="s">
        <v>172</v>
      </c>
      <c r="J81" t="s">
        <v>164</v>
      </c>
      <c r="K81">
        <v>0</v>
      </c>
      <c r="L81" t="s">
        <v>165</v>
      </c>
      <c r="N81" t="s">
        <v>182</v>
      </c>
      <c r="O81" t="s">
        <v>164</v>
      </c>
      <c r="P81">
        <v>3.0983629228045366E-2</v>
      </c>
      <c r="Q81" t="s">
        <v>165</v>
      </c>
      <c r="S81" t="s">
        <v>192</v>
      </c>
      <c r="T81" t="s">
        <v>164</v>
      </c>
      <c r="U81">
        <v>3.2438082539320956E-2</v>
      </c>
      <c r="V81" t="s">
        <v>165</v>
      </c>
      <c r="AK81">
        <v>2032</v>
      </c>
      <c r="AL81" t="s">
        <v>155</v>
      </c>
      <c r="AM81">
        <v>0.6119</v>
      </c>
      <c r="AN81" t="s">
        <v>217</v>
      </c>
    </row>
    <row r="82" spans="9:40" x14ac:dyDescent="0.45">
      <c r="I82" t="s">
        <v>172</v>
      </c>
      <c r="J82" t="s">
        <v>166</v>
      </c>
      <c r="K82">
        <v>2.3580772696228155E-2</v>
      </c>
      <c r="L82" t="s">
        <v>165</v>
      </c>
      <c r="N82" t="s">
        <v>182</v>
      </c>
      <c r="O82" t="s">
        <v>166</v>
      </c>
      <c r="P82">
        <v>3.2111982602058546E-2</v>
      </c>
      <c r="Q82" t="s">
        <v>165</v>
      </c>
      <c r="S82" t="s">
        <v>192</v>
      </c>
      <c r="T82" t="s">
        <v>166</v>
      </c>
      <c r="U82">
        <v>3.3549213125246211E-2</v>
      </c>
      <c r="V82" t="s">
        <v>165</v>
      </c>
      <c r="AK82">
        <v>2032</v>
      </c>
      <c r="AL82" t="s">
        <v>159</v>
      </c>
      <c r="AM82">
        <v>0.52149999999999996</v>
      </c>
      <c r="AN82" t="s">
        <v>217</v>
      </c>
    </row>
    <row r="83" spans="9:40" x14ac:dyDescent="0.45">
      <c r="I83" t="s">
        <v>172</v>
      </c>
      <c r="J83" t="s">
        <v>226</v>
      </c>
      <c r="K83">
        <v>1.353031519597987E-3</v>
      </c>
      <c r="L83" t="s">
        <v>165</v>
      </c>
      <c r="N83" t="s">
        <v>182</v>
      </c>
      <c r="O83" t="s">
        <v>226</v>
      </c>
      <c r="P83">
        <v>4.0828933196625262E-3</v>
      </c>
      <c r="Q83" t="s">
        <v>165</v>
      </c>
      <c r="S83" t="s">
        <v>192</v>
      </c>
      <c r="T83" t="s">
        <v>226</v>
      </c>
      <c r="U83">
        <v>4.2329927110523963E-3</v>
      </c>
      <c r="V83" t="s">
        <v>165</v>
      </c>
      <c r="AK83">
        <v>2032</v>
      </c>
      <c r="AL83" t="s">
        <v>161</v>
      </c>
      <c r="AM83">
        <v>0.43330000000000002</v>
      </c>
      <c r="AN83" t="s">
        <v>217</v>
      </c>
    </row>
    <row r="84" spans="9:40" x14ac:dyDescent="0.45">
      <c r="I84" t="s">
        <v>172</v>
      </c>
      <c r="J84" t="s">
        <v>227</v>
      </c>
      <c r="K84">
        <v>0</v>
      </c>
      <c r="L84" t="s">
        <v>165</v>
      </c>
      <c r="N84" t="s">
        <v>182</v>
      </c>
      <c r="O84" t="s">
        <v>227</v>
      </c>
      <c r="P84">
        <v>4.0862550688907191E-3</v>
      </c>
      <c r="Q84" t="s">
        <v>165</v>
      </c>
      <c r="S84" t="s">
        <v>192</v>
      </c>
      <c r="T84" t="s">
        <v>227</v>
      </c>
      <c r="U84">
        <v>4.1838412505645897E-3</v>
      </c>
      <c r="V84" t="s">
        <v>165</v>
      </c>
      <c r="AK84">
        <v>2032</v>
      </c>
      <c r="AL84" t="s">
        <v>220</v>
      </c>
      <c r="AM84">
        <v>0.21315000000000001</v>
      </c>
      <c r="AN84" t="s">
        <v>217</v>
      </c>
    </row>
    <row r="85" spans="9:40" x14ac:dyDescent="0.45">
      <c r="I85" t="s">
        <v>172</v>
      </c>
      <c r="J85" t="s">
        <v>228</v>
      </c>
      <c r="K85">
        <v>0</v>
      </c>
      <c r="L85" t="s">
        <v>165</v>
      </c>
      <c r="N85" t="s">
        <v>182</v>
      </c>
      <c r="O85" t="s">
        <v>228</v>
      </c>
      <c r="P85">
        <v>2.4460405856092729E-2</v>
      </c>
      <c r="Q85" t="s">
        <v>165</v>
      </c>
      <c r="S85" t="s">
        <v>192</v>
      </c>
      <c r="T85" t="s">
        <v>228</v>
      </c>
      <c r="U85">
        <v>2.4117018646506533E-2</v>
      </c>
      <c r="V85" t="s">
        <v>165</v>
      </c>
      <c r="AK85">
        <v>2032</v>
      </c>
      <c r="AL85" t="s">
        <v>222</v>
      </c>
      <c r="AM85">
        <v>0.20612</v>
      </c>
      <c r="AN85" t="s">
        <v>217</v>
      </c>
    </row>
    <row r="86" spans="9:40" x14ac:dyDescent="0.45">
      <c r="I86" t="s">
        <v>172</v>
      </c>
      <c r="J86" t="s">
        <v>167</v>
      </c>
      <c r="K86">
        <v>0</v>
      </c>
      <c r="L86" t="s">
        <v>165</v>
      </c>
      <c r="N86" t="s">
        <v>182</v>
      </c>
      <c r="O86" t="s">
        <v>167</v>
      </c>
      <c r="P86">
        <v>2.8364312853843332E-2</v>
      </c>
      <c r="Q86" t="s">
        <v>165</v>
      </c>
      <c r="S86" t="s">
        <v>192</v>
      </c>
      <c r="T86" t="s">
        <v>167</v>
      </c>
      <c r="U86">
        <v>3.0159036605903366E-2</v>
      </c>
      <c r="V86" t="s">
        <v>165</v>
      </c>
      <c r="AK86">
        <v>2032</v>
      </c>
      <c r="AL86" t="s">
        <v>224</v>
      </c>
      <c r="AM86">
        <v>0.4859</v>
      </c>
      <c r="AN86" t="s">
        <v>217</v>
      </c>
    </row>
    <row r="87" spans="9:40" x14ac:dyDescent="0.45">
      <c r="I87" t="s">
        <v>172</v>
      </c>
      <c r="J87" t="s">
        <v>168</v>
      </c>
      <c r="K87">
        <v>4.3822425481880957E-2</v>
      </c>
      <c r="L87" t="s">
        <v>165</v>
      </c>
      <c r="N87" t="s">
        <v>182</v>
      </c>
      <c r="O87" t="s">
        <v>168</v>
      </c>
      <c r="P87">
        <v>2.8592511439797543E-2</v>
      </c>
      <c r="Q87" t="s">
        <v>165</v>
      </c>
      <c r="S87" t="s">
        <v>192</v>
      </c>
      <c r="T87" t="s">
        <v>168</v>
      </c>
      <c r="U87">
        <v>3.1102883069860542E-2</v>
      </c>
      <c r="V87" t="s">
        <v>165</v>
      </c>
      <c r="AK87">
        <v>2032</v>
      </c>
      <c r="AL87" t="s">
        <v>225</v>
      </c>
      <c r="AM87">
        <v>0.53700000000000003</v>
      </c>
      <c r="AN87" t="s">
        <v>217</v>
      </c>
    </row>
    <row r="88" spans="9:40" x14ac:dyDescent="0.45">
      <c r="I88" t="s">
        <v>172</v>
      </c>
      <c r="J88" t="s">
        <v>229</v>
      </c>
      <c r="K88">
        <v>3.8885733937334458E-3</v>
      </c>
      <c r="L88" t="s">
        <v>165</v>
      </c>
      <c r="N88" t="s">
        <v>182</v>
      </c>
      <c r="O88" t="s">
        <v>229</v>
      </c>
      <c r="P88">
        <v>3.3836405612540921E-3</v>
      </c>
      <c r="Q88" t="s">
        <v>165</v>
      </c>
      <c r="S88" t="s">
        <v>192</v>
      </c>
      <c r="T88" t="s">
        <v>229</v>
      </c>
      <c r="U88">
        <v>3.8671363223534271E-3</v>
      </c>
      <c r="V88" t="s">
        <v>165</v>
      </c>
      <c r="AK88">
        <v>2033</v>
      </c>
      <c r="AL88" t="s">
        <v>155</v>
      </c>
      <c r="AM88">
        <v>0.64019999999999999</v>
      </c>
      <c r="AN88" t="s">
        <v>217</v>
      </c>
    </row>
    <row r="89" spans="9:40" x14ac:dyDescent="0.45">
      <c r="I89" t="s">
        <v>172</v>
      </c>
      <c r="J89" t="s">
        <v>230</v>
      </c>
      <c r="K89">
        <v>1.3601926134437818E-3</v>
      </c>
      <c r="L89" t="s">
        <v>165</v>
      </c>
      <c r="N89" t="s">
        <v>182</v>
      </c>
      <c r="O89" t="s">
        <v>230</v>
      </c>
      <c r="P89">
        <v>3.3944935216128572E-3</v>
      </c>
      <c r="Q89" t="s">
        <v>165</v>
      </c>
      <c r="S89" t="s">
        <v>192</v>
      </c>
      <c r="T89" t="s">
        <v>230</v>
      </c>
      <c r="U89">
        <v>3.8472155977843695E-3</v>
      </c>
      <c r="V89" t="s">
        <v>165</v>
      </c>
      <c r="AK89">
        <v>2033</v>
      </c>
      <c r="AL89" t="s">
        <v>159</v>
      </c>
      <c r="AM89">
        <v>0.56179999999999997</v>
      </c>
      <c r="AN89" t="s">
        <v>217</v>
      </c>
    </row>
    <row r="90" spans="9:40" x14ac:dyDescent="0.45">
      <c r="I90" t="s">
        <v>172</v>
      </c>
      <c r="J90" t="s">
        <v>231</v>
      </c>
      <c r="K90">
        <v>0</v>
      </c>
      <c r="L90" t="s">
        <v>165</v>
      </c>
      <c r="N90" t="s">
        <v>182</v>
      </c>
      <c r="O90" t="s">
        <v>231</v>
      </c>
      <c r="P90">
        <v>2.1082955350132895E-2</v>
      </c>
      <c r="Q90" t="s">
        <v>165</v>
      </c>
      <c r="S90" t="s">
        <v>192</v>
      </c>
      <c r="T90" t="s">
        <v>231</v>
      </c>
      <c r="U90">
        <v>2.2575372314793205E-2</v>
      </c>
      <c r="V90" t="s">
        <v>165</v>
      </c>
      <c r="AK90">
        <v>2033</v>
      </c>
      <c r="AL90" t="s">
        <v>161</v>
      </c>
      <c r="AM90">
        <v>0.48089999999999999</v>
      </c>
      <c r="AN90" t="s">
        <v>217</v>
      </c>
    </row>
    <row r="91" spans="9:40" x14ac:dyDescent="0.45">
      <c r="I91" t="s">
        <v>172</v>
      </c>
      <c r="J91" t="s">
        <v>169</v>
      </c>
      <c r="K91">
        <v>4.2626443832639591E-3</v>
      </c>
      <c r="L91" t="s">
        <v>165</v>
      </c>
      <c r="N91" t="s">
        <v>182</v>
      </c>
      <c r="O91" t="s">
        <v>169</v>
      </c>
      <c r="P91">
        <v>3.3889774702010239E-2</v>
      </c>
      <c r="Q91" t="s">
        <v>165</v>
      </c>
      <c r="S91" t="s">
        <v>192</v>
      </c>
      <c r="T91" t="s">
        <v>169</v>
      </c>
      <c r="U91">
        <v>3.4765439035324447E-2</v>
      </c>
      <c r="V91" t="s">
        <v>165</v>
      </c>
      <c r="AK91">
        <v>2033</v>
      </c>
      <c r="AL91" t="s">
        <v>220</v>
      </c>
      <c r="AM91">
        <v>0.2024</v>
      </c>
      <c r="AN91" t="s">
        <v>217</v>
      </c>
    </row>
    <row r="92" spans="9:40" x14ac:dyDescent="0.45">
      <c r="I92" t="s">
        <v>172</v>
      </c>
      <c r="J92" t="s">
        <v>170</v>
      </c>
      <c r="K92">
        <v>6.7588414569021038E-2</v>
      </c>
      <c r="L92" t="s">
        <v>165</v>
      </c>
      <c r="N92" t="s">
        <v>182</v>
      </c>
      <c r="O92" t="s">
        <v>170</v>
      </c>
      <c r="P92">
        <v>3.2223281446880615E-2</v>
      </c>
      <c r="Q92" t="s">
        <v>165</v>
      </c>
      <c r="S92" t="s">
        <v>192</v>
      </c>
      <c r="T92" t="s">
        <v>170</v>
      </c>
      <c r="U92">
        <v>3.4628812572938858E-2</v>
      </c>
      <c r="V92" t="s">
        <v>165</v>
      </c>
      <c r="AK92">
        <v>2033</v>
      </c>
      <c r="AL92" t="s">
        <v>222</v>
      </c>
      <c r="AM92">
        <v>0.20939999999999998</v>
      </c>
      <c r="AN92" t="s">
        <v>217</v>
      </c>
    </row>
    <row r="93" spans="9:40" x14ac:dyDescent="0.45">
      <c r="I93" t="s">
        <v>172</v>
      </c>
      <c r="J93" t="s">
        <v>232</v>
      </c>
      <c r="K93">
        <v>5.9819683760951332E-3</v>
      </c>
      <c r="L93" t="s">
        <v>165</v>
      </c>
      <c r="N93" t="s">
        <v>182</v>
      </c>
      <c r="O93" t="s">
        <v>232</v>
      </c>
      <c r="P93">
        <v>3.9025239446716735E-3</v>
      </c>
      <c r="Q93" t="s">
        <v>165</v>
      </c>
      <c r="S93" t="s">
        <v>192</v>
      </c>
      <c r="T93" t="s">
        <v>232</v>
      </c>
      <c r="U93">
        <v>4.5173346218777295E-3</v>
      </c>
      <c r="V93" t="s">
        <v>165</v>
      </c>
      <c r="AK93">
        <v>2033</v>
      </c>
      <c r="AL93" t="s">
        <v>224</v>
      </c>
      <c r="AM93">
        <v>0.54800000000000004</v>
      </c>
      <c r="AN93" t="s">
        <v>217</v>
      </c>
    </row>
    <row r="94" spans="9:40" x14ac:dyDescent="0.45">
      <c r="I94" t="s">
        <v>172</v>
      </c>
      <c r="J94" t="s">
        <v>233</v>
      </c>
      <c r="K94">
        <v>4.2482310014493587E-3</v>
      </c>
      <c r="L94" t="s">
        <v>165</v>
      </c>
      <c r="N94" t="s">
        <v>182</v>
      </c>
      <c r="O94" t="s">
        <v>233</v>
      </c>
      <c r="P94">
        <v>3.9132978665662177E-3</v>
      </c>
      <c r="Q94" t="s">
        <v>165</v>
      </c>
      <c r="S94" t="s">
        <v>192</v>
      </c>
      <c r="T94" t="s">
        <v>233</v>
      </c>
      <c r="U94">
        <v>4.6438845964710783E-3</v>
      </c>
      <c r="V94" t="s">
        <v>165</v>
      </c>
      <c r="AK94">
        <v>2033</v>
      </c>
      <c r="AL94" t="s">
        <v>225</v>
      </c>
      <c r="AM94">
        <v>0.60450000000000004</v>
      </c>
      <c r="AN94" t="s">
        <v>217</v>
      </c>
    </row>
    <row r="95" spans="9:40" x14ac:dyDescent="0.45">
      <c r="I95" t="s">
        <v>172</v>
      </c>
      <c r="J95" t="s">
        <v>234</v>
      </c>
      <c r="K95">
        <v>1.6211843742808228E-3</v>
      </c>
      <c r="L95" t="s">
        <v>165</v>
      </c>
      <c r="N95" t="s">
        <v>182</v>
      </c>
      <c r="O95" t="s">
        <v>234</v>
      </c>
      <c r="P95">
        <v>2.4795667547432898E-2</v>
      </c>
      <c r="Q95" t="s">
        <v>165</v>
      </c>
      <c r="S95" t="s">
        <v>192</v>
      </c>
      <c r="T95" t="s">
        <v>234</v>
      </c>
      <c r="U95">
        <v>2.8291478757349976E-2</v>
      </c>
      <c r="V95" t="s">
        <v>165</v>
      </c>
      <c r="AK95">
        <v>2034</v>
      </c>
      <c r="AL95" t="s">
        <v>155</v>
      </c>
      <c r="AM95">
        <v>0.54730000000000001</v>
      </c>
      <c r="AN95" t="s">
        <v>217</v>
      </c>
    </row>
    <row r="96" spans="9:40" x14ac:dyDescent="0.45">
      <c r="I96" t="s">
        <v>172</v>
      </c>
      <c r="J96" t="s">
        <v>235</v>
      </c>
      <c r="K96">
        <v>2.8402463154035759E-2</v>
      </c>
      <c r="L96" t="s">
        <v>165</v>
      </c>
      <c r="N96" t="s">
        <v>182</v>
      </c>
      <c r="O96" t="s">
        <v>235</v>
      </c>
      <c r="P96">
        <v>6.3304246853452262E-2</v>
      </c>
      <c r="Q96" t="s">
        <v>165</v>
      </c>
      <c r="S96" t="s">
        <v>192</v>
      </c>
      <c r="T96" t="s">
        <v>235</v>
      </c>
      <c r="U96">
        <v>6.302799727739819E-2</v>
      </c>
      <c r="V96" t="s">
        <v>165</v>
      </c>
      <c r="AK96">
        <v>2034</v>
      </c>
      <c r="AL96" t="s">
        <v>159</v>
      </c>
      <c r="AM96">
        <v>0.59319999999999995</v>
      </c>
      <c r="AN96" t="s">
        <v>217</v>
      </c>
    </row>
    <row r="97" spans="9:40" x14ac:dyDescent="0.45">
      <c r="I97" t="s">
        <v>172</v>
      </c>
      <c r="J97" t="s">
        <v>236</v>
      </c>
      <c r="K97">
        <v>0.18337610742513946</v>
      </c>
      <c r="L97" t="s">
        <v>165</v>
      </c>
      <c r="N97" t="s">
        <v>182</v>
      </c>
      <c r="O97" t="s">
        <v>236</v>
      </c>
      <c r="P97">
        <v>6.1918296551608493E-2</v>
      </c>
      <c r="Q97" t="s">
        <v>165</v>
      </c>
      <c r="S97" t="s">
        <v>192</v>
      </c>
      <c r="T97" t="s">
        <v>236</v>
      </c>
      <c r="U97">
        <v>6.2442620453878855E-2</v>
      </c>
      <c r="V97" t="s">
        <v>165</v>
      </c>
      <c r="AK97">
        <v>2034</v>
      </c>
      <c r="AL97" t="s">
        <v>161</v>
      </c>
      <c r="AM97">
        <v>0.43709999999999999</v>
      </c>
      <c r="AN97" t="s">
        <v>217</v>
      </c>
    </row>
    <row r="98" spans="9:40" x14ac:dyDescent="0.45">
      <c r="I98" t="s">
        <v>172</v>
      </c>
      <c r="J98" t="s">
        <v>237</v>
      </c>
      <c r="K98">
        <v>1.8795987210532116E-2</v>
      </c>
      <c r="L98" t="s">
        <v>165</v>
      </c>
      <c r="N98" t="s">
        <v>182</v>
      </c>
      <c r="O98" t="s">
        <v>237</v>
      </c>
      <c r="P98">
        <v>7.518119541739505E-3</v>
      </c>
      <c r="Q98" t="s">
        <v>165</v>
      </c>
      <c r="S98" t="s">
        <v>192</v>
      </c>
      <c r="T98" t="s">
        <v>237</v>
      </c>
      <c r="U98">
        <v>8.0218548743333177E-3</v>
      </c>
      <c r="V98" t="s">
        <v>165</v>
      </c>
      <c r="AK98">
        <v>2034</v>
      </c>
      <c r="AL98" t="s">
        <v>220</v>
      </c>
      <c r="AM98">
        <v>0.2054</v>
      </c>
      <c r="AN98" t="s">
        <v>217</v>
      </c>
    </row>
    <row r="99" spans="9:40" x14ac:dyDescent="0.45">
      <c r="I99" t="s">
        <v>172</v>
      </c>
      <c r="J99" t="s">
        <v>238</v>
      </c>
      <c r="K99">
        <v>1.5167988145224388E-2</v>
      </c>
      <c r="L99" t="s">
        <v>165</v>
      </c>
      <c r="N99" t="s">
        <v>182</v>
      </c>
      <c r="O99" t="s">
        <v>238</v>
      </c>
      <c r="P99">
        <v>7.3711750715384494E-3</v>
      </c>
      <c r="Q99" t="s">
        <v>165</v>
      </c>
      <c r="S99" t="s">
        <v>192</v>
      </c>
      <c r="T99" t="s">
        <v>238</v>
      </c>
      <c r="U99">
        <v>8.0797997302119329E-3</v>
      </c>
      <c r="V99" t="s">
        <v>165</v>
      </c>
      <c r="AK99">
        <v>2034</v>
      </c>
      <c r="AL99" t="s">
        <v>222</v>
      </c>
      <c r="AM99">
        <v>0.21132000000000001</v>
      </c>
      <c r="AN99" t="s">
        <v>217</v>
      </c>
    </row>
    <row r="100" spans="9:40" x14ac:dyDescent="0.45">
      <c r="I100" t="s">
        <v>172</v>
      </c>
      <c r="J100" t="s">
        <v>239</v>
      </c>
      <c r="K100">
        <v>1.447914426250844E-2</v>
      </c>
      <c r="L100" t="s">
        <v>165</v>
      </c>
      <c r="N100" t="s">
        <v>182</v>
      </c>
      <c r="O100" t="s">
        <v>239</v>
      </c>
      <c r="P100">
        <v>4.545891999146915E-2</v>
      </c>
      <c r="Q100" t="s">
        <v>165</v>
      </c>
      <c r="S100" t="s">
        <v>192</v>
      </c>
      <c r="T100" t="s">
        <v>239</v>
      </c>
      <c r="U100">
        <v>4.8021694721004267E-2</v>
      </c>
      <c r="V100" t="s">
        <v>165</v>
      </c>
      <c r="AK100">
        <v>2034</v>
      </c>
      <c r="AL100" t="s">
        <v>224</v>
      </c>
      <c r="AM100">
        <v>0.56320000000000003</v>
      </c>
      <c r="AN100" t="s">
        <v>217</v>
      </c>
    </row>
    <row r="101" spans="9:40" x14ac:dyDescent="0.45">
      <c r="I101" t="s">
        <v>172</v>
      </c>
      <c r="J101" t="s">
        <v>240</v>
      </c>
      <c r="K101">
        <v>5.1870014691682523E-2</v>
      </c>
      <c r="L101" t="s">
        <v>165</v>
      </c>
      <c r="N101" t="s">
        <v>182</v>
      </c>
      <c r="O101" t="s">
        <v>240</v>
      </c>
      <c r="P101">
        <v>0.10977067110184005</v>
      </c>
      <c r="Q101" t="s">
        <v>165</v>
      </c>
      <c r="S101" t="s">
        <v>192</v>
      </c>
      <c r="T101" t="s">
        <v>240</v>
      </c>
      <c r="U101">
        <v>0.11030894952161487</v>
      </c>
      <c r="V101" t="s">
        <v>165</v>
      </c>
      <c r="AK101">
        <v>2034</v>
      </c>
      <c r="AL101" t="s">
        <v>225</v>
      </c>
      <c r="AM101">
        <v>0.53810000000000002</v>
      </c>
      <c r="AN101" t="s">
        <v>217</v>
      </c>
    </row>
    <row r="102" spans="9:40" x14ac:dyDescent="0.45">
      <c r="I102" t="s">
        <v>172</v>
      </c>
      <c r="J102" t="s">
        <v>241</v>
      </c>
      <c r="K102">
        <v>0.37080072666588776</v>
      </c>
      <c r="L102" t="s">
        <v>165</v>
      </c>
      <c r="N102" t="s">
        <v>182</v>
      </c>
      <c r="O102" t="s">
        <v>241</v>
      </c>
      <c r="P102">
        <v>0.119675449909317</v>
      </c>
      <c r="Q102" t="s">
        <v>165</v>
      </c>
      <c r="S102" t="s">
        <v>192</v>
      </c>
      <c r="T102" t="s">
        <v>241</v>
      </c>
      <c r="U102">
        <v>0.11259775859147189</v>
      </c>
      <c r="V102" t="s">
        <v>165</v>
      </c>
      <c r="AK102">
        <v>2035</v>
      </c>
      <c r="AL102" t="s">
        <v>155</v>
      </c>
      <c r="AM102">
        <v>0.56379999999999997</v>
      </c>
      <c r="AN102" t="s">
        <v>217</v>
      </c>
    </row>
    <row r="103" spans="9:40" x14ac:dyDescent="0.45">
      <c r="I103" t="s">
        <v>172</v>
      </c>
      <c r="J103" t="s">
        <v>242</v>
      </c>
      <c r="K103">
        <v>3.8689946369805384E-2</v>
      </c>
      <c r="L103" t="s">
        <v>165</v>
      </c>
      <c r="N103" t="s">
        <v>182</v>
      </c>
      <c r="O103" t="s">
        <v>242</v>
      </c>
      <c r="P103">
        <v>1.6098351923472091E-2</v>
      </c>
      <c r="Q103" t="s">
        <v>165</v>
      </c>
      <c r="S103" t="s">
        <v>192</v>
      </c>
      <c r="T103" t="s">
        <v>242</v>
      </c>
      <c r="U103">
        <v>1.4567296921989062E-2</v>
      </c>
      <c r="V103" t="s">
        <v>165</v>
      </c>
      <c r="AK103">
        <v>2035</v>
      </c>
      <c r="AL103" t="s">
        <v>159</v>
      </c>
      <c r="AM103">
        <v>0.60060000000000002</v>
      </c>
      <c r="AN103" t="s">
        <v>217</v>
      </c>
    </row>
    <row r="104" spans="9:40" x14ac:dyDescent="0.45">
      <c r="I104" t="s">
        <v>172</v>
      </c>
      <c r="J104" t="s">
        <v>243</v>
      </c>
      <c r="K104">
        <v>2.9955260548534479E-2</v>
      </c>
      <c r="L104" t="s">
        <v>165</v>
      </c>
      <c r="N104" t="s">
        <v>182</v>
      </c>
      <c r="O104" t="s">
        <v>243</v>
      </c>
      <c r="P104">
        <v>1.5851687772847074E-2</v>
      </c>
      <c r="Q104" t="s">
        <v>165</v>
      </c>
      <c r="S104" t="s">
        <v>192</v>
      </c>
      <c r="T104" t="s">
        <v>243</v>
      </c>
      <c r="U104">
        <v>1.4341502751406034E-2</v>
      </c>
      <c r="V104" t="s">
        <v>165</v>
      </c>
      <c r="AK104">
        <v>2035</v>
      </c>
      <c r="AL104" t="s">
        <v>161</v>
      </c>
      <c r="AM104">
        <v>0.48670000000000002</v>
      </c>
      <c r="AN104" t="s">
        <v>217</v>
      </c>
    </row>
    <row r="105" spans="9:40" x14ac:dyDescent="0.45">
      <c r="I105" t="s">
        <v>172</v>
      </c>
      <c r="J105" t="s">
        <v>244</v>
      </c>
      <c r="K105">
        <v>3.2693305478725593E-2</v>
      </c>
      <c r="L105" t="s">
        <v>165</v>
      </c>
      <c r="N105" t="s">
        <v>182</v>
      </c>
      <c r="O105" t="s">
        <v>244</v>
      </c>
      <c r="P105">
        <v>8.7640868602529606E-2</v>
      </c>
      <c r="Q105" t="s">
        <v>165</v>
      </c>
      <c r="S105" t="s">
        <v>192</v>
      </c>
      <c r="T105" t="s">
        <v>244</v>
      </c>
      <c r="U105">
        <v>8.319737565239621E-2</v>
      </c>
      <c r="V105" t="s">
        <v>165</v>
      </c>
      <c r="AK105">
        <v>2035</v>
      </c>
      <c r="AL105" t="s">
        <v>220</v>
      </c>
      <c r="AM105">
        <v>0.19719999999999999</v>
      </c>
      <c r="AN105" t="s">
        <v>217</v>
      </c>
    </row>
    <row r="106" spans="9:40" x14ac:dyDescent="0.45">
      <c r="I106" t="s">
        <v>172</v>
      </c>
      <c r="J106" t="s">
        <v>245</v>
      </c>
      <c r="K106">
        <v>0</v>
      </c>
      <c r="L106" t="s">
        <v>165</v>
      </c>
      <c r="N106" t="s">
        <v>182</v>
      </c>
      <c r="O106" t="s">
        <v>245</v>
      </c>
      <c r="P106">
        <v>2.5344732186063323E-2</v>
      </c>
      <c r="Q106" t="s">
        <v>165</v>
      </c>
      <c r="S106" t="s">
        <v>192</v>
      </c>
      <c r="T106" t="s">
        <v>245</v>
      </c>
      <c r="U106">
        <v>2.2447505058733427E-2</v>
      </c>
      <c r="V106" t="s">
        <v>165</v>
      </c>
      <c r="AK106">
        <v>2035</v>
      </c>
      <c r="AL106" t="s">
        <v>222</v>
      </c>
      <c r="AM106">
        <v>0.19904000000000002</v>
      </c>
      <c r="AN106" t="s">
        <v>217</v>
      </c>
    </row>
    <row r="107" spans="9:40" x14ac:dyDescent="0.45">
      <c r="I107" t="s">
        <v>172</v>
      </c>
      <c r="J107" t="s">
        <v>246</v>
      </c>
      <c r="K107">
        <v>3.50889739592644E-2</v>
      </c>
      <c r="L107" t="s">
        <v>165</v>
      </c>
      <c r="N107" t="s">
        <v>182</v>
      </c>
      <c r="O107" t="s">
        <v>246</v>
      </c>
      <c r="P107">
        <v>2.2786943152146653E-2</v>
      </c>
      <c r="Q107" t="s">
        <v>165</v>
      </c>
      <c r="S107" t="s">
        <v>192</v>
      </c>
      <c r="T107" t="s">
        <v>246</v>
      </c>
      <c r="U107">
        <v>2.2980936325706285E-2</v>
      </c>
      <c r="V107" t="s">
        <v>165</v>
      </c>
      <c r="AK107">
        <v>2035</v>
      </c>
      <c r="AL107" t="s">
        <v>224</v>
      </c>
      <c r="AM107">
        <v>0.52729999999999999</v>
      </c>
      <c r="AN107" t="s">
        <v>217</v>
      </c>
    </row>
    <row r="108" spans="9:40" x14ac:dyDescent="0.45">
      <c r="I108" t="s">
        <v>172</v>
      </c>
      <c r="J108" t="s">
        <v>247</v>
      </c>
      <c r="K108">
        <v>8.4639208642947443E-4</v>
      </c>
      <c r="L108" t="s">
        <v>165</v>
      </c>
      <c r="N108" t="s">
        <v>182</v>
      </c>
      <c r="O108" t="s">
        <v>247</v>
      </c>
      <c r="P108">
        <v>2.9355082125575018E-3</v>
      </c>
      <c r="Q108" t="s">
        <v>165</v>
      </c>
      <c r="S108" t="s">
        <v>192</v>
      </c>
      <c r="T108" t="s">
        <v>247</v>
      </c>
      <c r="U108">
        <v>3.104431393516354E-3</v>
      </c>
      <c r="V108" t="s">
        <v>165</v>
      </c>
      <c r="AK108">
        <v>2035</v>
      </c>
      <c r="AL108" t="s">
        <v>225</v>
      </c>
      <c r="AM108">
        <v>0.61939999999999995</v>
      </c>
      <c r="AN108" t="s">
        <v>217</v>
      </c>
    </row>
    <row r="109" spans="9:40" x14ac:dyDescent="0.45">
      <c r="I109" t="s">
        <v>172</v>
      </c>
      <c r="J109" t="s">
        <v>248</v>
      </c>
      <c r="K109">
        <v>0</v>
      </c>
      <c r="L109" t="s">
        <v>165</v>
      </c>
      <c r="N109" t="s">
        <v>182</v>
      </c>
      <c r="O109" t="s">
        <v>248</v>
      </c>
      <c r="P109">
        <v>2.9765075301573032E-3</v>
      </c>
      <c r="Q109" t="s">
        <v>165</v>
      </c>
      <c r="S109" t="s">
        <v>192</v>
      </c>
      <c r="T109" t="s">
        <v>248</v>
      </c>
      <c r="U109">
        <v>3.0004809967198579E-3</v>
      </c>
      <c r="V109" t="s">
        <v>165</v>
      </c>
      <c r="AK109">
        <v>2036</v>
      </c>
      <c r="AL109" t="s">
        <v>155</v>
      </c>
      <c r="AM109">
        <v>0.45639999999999997</v>
      </c>
      <c r="AN109" t="s">
        <v>217</v>
      </c>
    </row>
    <row r="110" spans="9:40" x14ac:dyDescent="0.45">
      <c r="I110" t="s">
        <v>172</v>
      </c>
      <c r="J110" t="s">
        <v>249</v>
      </c>
      <c r="K110">
        <v>0</v>
      </c>
      <c r="L110" t="s">
        <v>165</v>
      </c>
      <c r="N110" t="s">
        <v>182</v>
      </c>
      <c r="O110" t="s">
        <v>249</v>
      </c>
      <c r="P110">
        <v>1.8497013373967957E-2</v>
      </c>
      <c r="Q110" t="s">
        <v>165</v>
      </c>
      <c r="S110" t="s">
        <v>192</v>
      </c>
      <c r="T110" t="s">
        <v>249</v>
      </c>
      <c r="U110">
        <v>1.6745002991276667E-2</v>
      </c>
      <c r="V110" t="s">
        <v>165</v>
      </c>
      <c r="AK110">
        <v>2036</v>
      </c>
      <c r="AL110" t="s">
        <v>159</v>
      </c>
      <c r="AM110">
        <v>0.51770000000000005</v>
      </c>
      <c r="AN110" t="s">
        <v>217</v>
      </c>
    </row>
    <row r="111" spans="9:40" x14ac:dyDescent="0.45">
      <c r="I111" t="s">
        <v>172</v>
      </c>
      <c r="J111" t="s">
        <v>250</v>
      </c>
      <c r="K111">
        <v>0</v>
      </c>
      <c r="L111" t="s">
        <v>165</v>
      </c>
      <c r="N111" t="s">
        <v>182</v>
      </c>
      <c r="O111" t="s">
        <v>250</v>
      </c>
      <c r="P111">
        <v>3.6334523956930119E-2</v>
      </c>
      <c r="Q111" t="s">
        <v>165</v>
      </c>
      <c r="S111" t="s">
        <v>192</v>
      </c>
      <c r="T111" t="s">
        <v>250</v>
      </c>
      <c r="U111">
        <v>3.5538604473393957E-2</v>
      </c>
      <c r="V111" t="s">
        <v>165</v>
      </c>
      <c r="AK111">
        <v>2036</v>
      </c>
      <c r="AL111" t="s">
        <v>161</v>
      </c>
      <c r="AM111">
        <v>0.37819999999999998</v>
      </c>
      <c r="AN111" t="s">
        <v>217</v>
      </c>
    </row>
    <row r="112" spans="9:40" x14ac:dyDescent="0.45">
      <c r="I112" t="s">
        <v>172</v>
      </c>
      <c r="J112" t="s">
        <v>251</v>
      </c>
      <c r="K112">
        <v>2.2126251593234995E-2</v>
      </c>
      <c r="L112" t="s">
        <v>165</v>
      </c>
      <c r="N112" t="s">
        <v>182</v>
      </c>
      <c r="O112" t="s">
        <v>251</v>
      </c>
      <c r="P112">
        <v>3.7745267804750071E-2</v>
      </c>
      <c r="Q112" t="s">
        <v>165</v>
      </c>
      <c r="S112" t="s">
        <v>192</v>
      </c>
      <c r="T112" t="s">
        <v>251</v>
      </c>
      <c r="U112">
        <v>3.74271946024088E-2</v>
      </c>
      <c r="V112" t="s">
        <v>165</v>
      </c>
      <c r="AK112">
        <v>2036</v>
      </c>
      <c r="AL112" t="s">
        <v>220</v>
      </c>
      <c r="AM112">
        <v>0.18754999999999999</v>
      </c>
      <c r="AN112" t="s">
        <v>217</v>
      </c>
    </row>
    <row r="113" spans="9:40" x14ac:dyDescent="0.45">
      <c r="I113" t="s">
        <v>172</v>
      </c>
      <c r="J113" t="s">
        <v>252</v>
      </c>
      <c r="K113">
        <v>0</v>
      </c>
      <c r="L113" t="s">
        <v>165</v>
      </c>
      <c r="N113" t="s">
        <v>182</v>
      </c>
      <c r="O113" t="s">
        <v>252</v>
      </c>
      <c r="P113">
        <v>4.9438426229582349E-3</v>
      </c>
      <c r="Q113" t="s">
        <v>165</v>
      </c>
      <c r="S113" t="s">
        <v>192</v>
      </c>
      <c r="T113" t="s">
        <v>252</v>
      </c>
      <c r="U113">
        <v>4.9272741758999436E-3</v>
      </c>
      <c r="V113" t="s">
        <v>165</v>
      </c>
      <c r="AK113">
        <v>2036</v>
      </c>
      <c r="AL113" t="s">
        <v>222</v>
      </c>
      <c r="AM113">
        <v>0.18462000000000001</v>
      </c>
      <c r="AN113" t="s">
        <v>217</v>
      </c>
    </row>
    <row r="114" spans="9:40" x14ac:dyDescent="0.45">
      <c r="I114" t="s">
        <v>172</v>
      </c>
      <c r="J114" t="s">
        <v>253</v>
      </c>
      <c r="K114">
        <v>0</v>
      </c>
      <c r="L114" t="s">
        <v>165</v>
      </c>
      <c r="N114" t="s">
        <v>182</v>
      </c>
      <c r="O114" t="s">
        <v>253</v>
      </c>
      <c r="P114">
        <v>4.9179374706759243E-3</v>
      </c>
      <c r="Q114" t="s">
        <v>165</v>
      </c>
      <c r="S114" t="s">
        <v>192</v>
      </c>
      <c r="T114" t="s">
        <v>253</v>
      </c>
      <c r="U114">
        <v>4.8091216387080781E-3</v>
      </c>
      <c r="V114" t="s">
        <v>165</v>
      </c>
      <c r="AK114">
        <v>2036</v>
      </c>
      <c r="AL114" t="s">
        <v>224</v>
      </c>
      <c r="AM114">
        <v>0.47870000000000001</v>
      </c>
      <c r="AN114" t="s">
        <v>217</v>
      </c>
    </row>
    <row r="115" spans="9:40" x14ac:dyDescent="0.45">
      <c r="I115" t="s">
        <v>172</v>
      </c>
      <c r="J115" t="s">
        <v>254</v>
      </c>
      <c r="K115">
        <v>0</v>
      </c>
      <c r="L115" t="s">
        <v>165</v>
      </c>
      <c r="N115" t="s">
        <v>182</v>
      </c>
      <c r="O115" t="s">
        <v>254</v>
      </c>
      <c r="P115">
        <v>2.9642311061024461E-2</v>
      </c>
      <c r="Q115" t="s">
        <v>165</v>
      </c>
      <c r="S115" t="s">
        <v>192</v>
      </c>
      <c r="T115" t="s">
        <v>254</v>
      </c>
      <c r="U115">
        <v>2.7492856080581593E-2</v>
      </c>
      <c r="V115" t="s">
        <v>165</v>
      </c>
      <c r="AK115">
        <v>2036</v>
      </c>
      <c r="AL115" t="s">
        <v>225</v>
      </c>
      <c r="AM115">
        <v>0.4501</v>
      </c>
      <c r="AN115" t="s">
        <v>217</v>
      </c>
    </row>
    <row r="116" spans="9:40" x14ac:dyDescent="0.45">
      <c r="I116" t="s">
        <v>173</v>
      </c>
      <c r="J116" t="s">
        <v>164</v>
      </c>
      <c r="K116">
        <v>0</v>
      </c>
      <c r="L116" t="s">
        <v>165</v>
      </c>
      <c r="N116" t="s">
        <v>183</v>
      </c>
      <c r="O116" t="s">
        <v>164</v>
      </c>
      <c r="P116">
        <v>3.056368085593485E-2</v>
      </c>
      <c r="Q116" t="s">
        <v>165</v>
      </c>
      <c r="S116" t="s">
        <v>193</v>
      </c>
      <c r="T116" t="s">
        <v>164</v>
      </c>
      <c r="U116">
        <v>3.0949744574792822E-2</v>
      </c>
      <c r="V116" t="s">
        <v>165</v>
      </c>
      <c r="AK116">
        <v>2037</v>
      </c>
      <c r="AL116" t="s">
        <v>155</v>
      </c>
      <c r="AM116">
        <v>0.47970000000000002</v>
      </c>
      <c r="AN116" t="s">
        <v>217</v>
      </c>
    </row>
    <row r="117" spans="9:40" x14ac:dyDescent="0.45">
      <c r="I117" t="s">
        <v>173</v>
      </c>
      <c r="J117" t="s">
        <v>166</v>
      </c>
      <c r="K117">
        <v>2.085508720905304E-2</v>
      </c>
      <c r="L117" t="s">
        <v>165</v>
      </c>
      <c r="N117" t="s">
        <v>183</v>
      </c>
      <c r="O117" t="s">
        <v>166</v>
      </c>
      <c r="P117">
        <v>3.3947213555933144E-2</v>
      </c>
      <c r="Q117" t="s">
        <v>165</v>
      </c>
      <c r="S117" t="s">
        <v>193</v>
      </c>
      <c r="T117" t="s">
        <v>166</v>
      </c>
      <c r="U117">
        <v>3.3378854884485762E-2</v>
      </c>
      <c r="V117" t="s">
        <v>165</v>
      </c>
      <c r="AK117">
        <v>2037</v>
      </c>
      <c r="AL117" t="s">
        <v>159</v>
      </c>
      <c r="AM117">
        <v>0.4879</v>
      </c>
      <c r="AN117" t="s">
        <v>217</v>
      </c>
    </row>
    <row r="118" spans="9:40" x14ac:dyDescent="0.45">
      <c r="I118" t="s">
        <v>173</v>
      </c>
      <c r="J118" t="s">
        <v>226</v>
      </c>
      <c r="K118">
        <v>9.2924612818019682E-4</v>
      </c>
      <c r="L118" t="s">
        <v>165</v>
      </c>
      <c r="N118" t="s">
        <v>183</v>
      </c>
      <c r="O118" t="s">
        <v>226</v>
      </c>
      <c r="P118">
        <v>4.0958355672813399E-3</v>
      </c>
      <c r="Q118" t="s">
        <v>165</v>
      </c>
      <c r="S118" t="s">
        <v>193</v>
      </c>
      <c r="T118" t="s">
        <v>226</v>
      </c>
      <c r="U118">
        <v>4.2652111974638071E-3</v>
      </c>
      <c r="V118" t="s">
        <v>165</v>
      </c>
      <c r="AK118">
        <v>2037</v>
      </c>
      <c r="AL118" t="s">
        <v>161</v>
      </c>
      <c r="AM118">
        <v>0.37269999999999998</v>
      </c>
      <c r="AN118" t="s">
        <v>217</v>
      </c>
    </row>
    <row r="119" spans="9:40" x14ac:dyDescent="0.45">
      <c r="I119" t="s">
        <v>173</v>
      </c>
      <c r="J119" t="s">
        <v>227</v>
      </c>
      <c r="K119">
        <v>0</v>
      </c>
      <c r="L119" t="s">
        <v>165</v>
      </c>
      <c r="N119" t="s">
        <v>183</v>
      </c>
      <c r="O119" t="s">
        <v>227</v>
      </c>
      <c r="P119">
        <v>3.9842865523505239E-3</v>
      </c>
      <c r="Q119" t="s">
        <v>165</v>
      </c>
      <c r="S119" t="s">
        <v>193</v>
      </c>
      <c r="T119" t="s">
        <v>227</v>
      </c>
      <c r="U119">
        <v>4.2111814671750248E-3</v>
      </c>
      <c r="V119" t="s">
        <v>165</v>
      </c>
      <c r="AK119">
        <v>2037</v>
      </c>
      <c r="AL119" t="s">
        <v>220</v>
      </c>
      <c r="AM119">
        <v>0.17635000000000001</v>
      </c>
      <c r="AN119" t="s">
        <v>217</v>
      </c>
    </row>
    <row r="120" spans="9:40" x14ac:dyDescent="0.45">
      <c r="I120" t="s">
        <v>173</v>
      </c>
      <c r="J120" t="s">
        <v>228</v>
      </c>
      <c r="K120">
        <v>0</v>
      </c>
      <c r="L120" t="s">
        <v>165</v>
      </c>
      <c r="N120" t="s">
        <v>183</v>
      </c>
      <c r="O120" t="s">
        <v>228</v>
      </c>
      <c r="P120">
        <v>2.4908367438147942E-2</v>
      </c>
      <c r="Q120" t="s">
        <v>165</v>
      </c>
      <c r="S120" t="s">
        <v>193</v>
      </c>
      <c r="T120" t="s">
        <v>228</v>
      </c>
      <c r="U120">
        <v>2.328319387617395E-2</v>
      </c>
      <c r="V120" t="s">
        <v>165</v>
      </c>
      <c r="AK120">
        <v>2037</v>
      </c>
      <c r="AL120" t="s">
        <v>222</v>
      </c>
      <c r="AM120">
        <v>0.17324000000000001</v>
      </c>
      <c r="AN120" t="s">
        <v>217</v>
      </c>
    </row>
    <row r="121" spans="9:40" x14ac:dyDescent="0.45">
      <c r="I121" t="s">
        <v>173</v>
      </c>
      <c r="J121" t="s">
        <v>167</v>
      </c>
      <c r="K121">
        <v>1.0090629377743739E-5</v>
      </c>
      <c r="L121" t="s">
        <v>165</v>
      </c>
      <c r="N121" t="s">
        <v>183</v>
      </c>
      <c r="O121" t="s">
        <v>167</v>
      </c>
      <c r="P121">
        <v>2.8064204567655942E-2</v>
      </c>
      <c r="Q121" t="s">
        <v>165</v>
      </c>
      <c r="S121" t="s">
        <v>193</v>
      </c>
      <c r="T121" t="s">
        <v>167</v>
      </c>
      <c r="U121">
        <v>2.9540281298737318E-2</v>
      </c>
      <c r="V121" t="s">
        <v>165</v>
      </c>
      <c r="AK121">
        <v>2037</v>
      </c>
      <c r="AL121" t="s">
        <v>224</v>
      </c>
      <c r="AM121">
        <v>0.43619999999999998</v>
      </c>
      <c r="AN121" t="s">
        <v>217</v>
      </c>
    </row>
    <row r="122" spans="9:40" x14ac:dyDescent="0.45">
      <c r="I122" t="s">
        <v>173</v>
      </c>
      <c r="J122" t="s">
        <v>168</v>
      </c>
      <c r="K122">
        <v>4.5218731885729356E-2</v>
      </c>
      <c r="L122" t="s">
        <v>165</v>
      </c>
      <c r="N122" t="s">
        <v>183</v>
      </c>
      <c r="O122" t="s">
        <v>168</v>
      </c>
      <c r="P122">
        <v>2.8992289932746083E-2</v>
      </c>
      <c r="Q122" t="s">
        <v>165</v>
      </c>
      <c r="S122" t="s">
        <v>193</v>
      </c>
      <c r="T122" t="s">
        <v>168</v>
      </c>
      <c r="U122">
        <v>3.1255616310435587E-2</v>
      </c>
      <c r="V122" t="s">
        <v>165</v>
      </c>
      <c r="AK122">
        <v>2037</v>
      </c>
      <c r="AL122" t="s">
        <v>225</v>
      </c>
      <c r="AM122">
        <v>0.4466</v>
      </c>
      <c r="AN122" t="s">
        <v>217</v>
      </c>
    </row>
    <row r="123" spans="9:40" x14ac:dyDescent="0.45">
      <c r="I123" t="s">
        <v>173</v>
      </c>
      <c r="J123" t="s">
        <v>229</v>
      </c>
      <c r="K123">
        <v>3.9464522551872017E-3</v>
      </c>
      <c r="L123" t="s">
        <v>165</v>
      </c>
      <c r="N123" t="s">
        <v>183</v>
      </c>
      <c r="O123" t="s">
        <v>229</v>
      </c>
      <c r="P123">
        <v>3.4758448154024952E-3</v>
      </c>
      <c r="Q123" t="s">
        <v>165</v>
      </c>
      <c r="S123" t="s">
        <v>193</v>
      </c>
      <c r="T123" t="s">
        <v>229</v>
      </c>
      <c r="U123">
        <v>3.8918248456736161E-3</v>
      </c>
      <c r="V123" t="s">
        <v>165</v>
      </c>
      <c r="AK123">
        <v>2038</v>
      </c>
      <c r="AL123" t="s">
        <v>155</v>
      </c>
      <c r="AM123">
        <v>0.5171</v>
      </c>
      <c r="AN123" t="s">
        <v>217</v>
      </c>
    </row>
    <row r="124" spans="9:40" x14ac:dyDescent="0.45">
      <c r="I124" t="s">
        <v>173</v>
      </c>
      <c r="J124" t="s">
        <v>230</v>
      </c>
      <c r="K124">
        <v>1.4992092036211421E-3</v>
      </c>
      <c r="L124" t="s">
        <v>165</v>
      </c>
      <c r="N124" t="s">
        <v>183</v>
      </c>
      <c r="O124" t="s">
        <v>230</v>
      </c>
      <c r="P124">
        <v>3.4848053611410438E-3</v>
      </c>
      <c r="Q124" t="s">
        <v>165</v>
      </c>
      <c r="S124" t="s">
        <v>193</v>
      </c>
      <c r="T124" t="s">
        <v>230</v>
      </c>
      <c r="U124">
        <v>3.8838277148262944E-3</v>
      </c>
      <c r="V124" t="s">
        <v>165</v>
      </c>
      <c r="AK124">
        <v>2038</v>
      </c>
      <c r="AL124" t="s">
        <v>159</v>
      </c>
      <c r="AM124">
        <v>0.46100000000000002</v>
      </c>
      <c r="AN124" t="s">
        <v>217</v>
      </c>
    </row>
    <row r="125" spans="9:40" x14ac:dyDescent="0.45">
      <c r="I125" t="s">
        <v>173</v>
      </c>
      <c r="J125" t="s">
        <v>231</v>
      </c>
      <c r="K125">
        <v>0</v>
      </c>
      <c r="L125" t="s">
        <v>165</v>
      </c>
      <c r="N125" t="s">
        <v>183</v>
      </c>
      <c r="O125" t="s">
        <v>231</v>
      </c>
      <c r="P125">
        <v>2.0980427714215235E-2</v>
      </c>
      <c r="Q125" t="s">
        <v>165</v>
      </c>
      <c r="S125" t="s">
        <v>193</v>
      </c>
      <c r="T125" t="s">
        <v>231</v>
      </c>
      <c r="U125">
        <v>2.3048575744241576E-2</v>
      </c>
      <c r="V125" t="s">
        <v>165</v>
      </c>
      <c r="AK125">
        <v>2038</v>
      </c>
      <c r="AL125" t="s">
        <v>161</v>
      </c>
      <c r="AM125">
        <v>0.39450000000000002</v>
      </c>
      <c r="AN125" t="s">
        <v>217</v>
      </c>
    </row>
    <row r="126" spans="9:40" x14ac:dyDescent="0.45">
      <c r="I126" t="s">
        <v>173</v>
      </c>
      <c r="J126" t="s">
        <v>169</v>
      </c>
      <c r="K126">
        <v>5.6369225506707138E-3</v>
      </c>
      <c r="L126" t="s">
        <v>165</v>
      </c>
      <c r="N126" t="s">
        <v>183</v>
      </c>
      <c r="O126" t="s">
        <v>169</v>
      </c>
      <c r="P126">
        <v>3.0640605115136995E-2</v>
      </c>
      <c r="Q126" t="s">
        <v>165</v>
      </c>
      <c r="S126" t="s">
        <v>193</v>
      </c>
      <c r="T126" t="s">
        <v>169</v>
      </c>
      <c r="U126">
        <v>3.3980890727706291E-2</v>
      </c>
      <c r="V126" t="s">
        <v>165</v>
      </c>
      <c r="AK126">
        <v>2038</v>
      </c>
      <c r="AL126" t="s">
        <v>220</v>
      </c>
      <c r="AM126">
        <v>0.17935000000000001</v>
      </c>
      <c r="AN126" t="s">
        <v>217</v>
      </c>
    </row>
    <row r="127" spans="9:40" x14ac:dyDescent="0.45">
      <c r="I127" t="s">
        <v>173</v>
      </c>
      <c r="J127" t="s">
        <v>170</v>
      </c>
      <c r="K127">
        <v>6.5513200808646296E-2</v>
      </c>
      <c r="L127" t="s">
        <v>165</v>
      </c>
      <c r="N127" t="s">
        <v>183</v>
      </c>
      <c r="O127" t="s">
        <v>170</v>
      </c>
      <c r="P127">
        <v>3.1996243507694942E-2</v>
      </c>
      <c r="Q127" t="s">
        <v>165</v>
      </c>
      <c r="S127" t="s">
        <v>193</v>
      </c>
      <c r="T127" t="s">
        <v>170</v>
      </c>
      <c r="U127">
        <v>3.2313819206125222E-2</v>
      </c>
      <c r="V127" t="s">
        <v>165</v>
      </c>
      <c r="AK127">
        <v>2038</v>
      </c>
      <c r="AL127" t="s">
        <v>222</v>
      </c>
      <c r="AM127">
        <v>0.17204000000000003</v>
      </c>
      <c r="AN127" t="s">
        <v>217</v>
      </c>
    </row>
    <row r="128" spans="9:40" x14ac:dyDescent="0.45">
      <c r="I128" t="s">
        <v>173</v>
      </c>
      <c r="J128" t="s">
        <v>232</v>
      </c>
      <c r="K128">
        <v>5.9003784031327741E-3</v>
      </c>
      <c r="L128" t="s">
        <v>165</v>
      </c>
      <c r="N128" t="s">
        <v>183</v>
      </c>
      <c r="O128" t="s">
        <v>232</v>
      </c>
      <c r="P128">
        <v>3.7517572373719139E-3</v>
      </c>
      <c r="Q128" t="s">
        <v>165</v>
      </c>
      <c r="S128" t="s">
        <v>193</v>
      </c>
      <c r="T128" t="s">
        <v>232</v>
      </c>
      <c r="U128">
        <v>4.1093246342148951E-3</v>
      </c>
      <c r="V128" t="s">
        <v>165</v>
      </c>
      <c r="AK128">
        <v>2038</v>
      </c>
      <c r="AL128" t="s">
        <v>224</v>
      </c>
      <c r="AM128">
        <v>0.46899999999999997</v>
      </c>
      <c r="AN128" t="s">
        <v>217</v>
      </c>
    </row>
    <row r="129" spans="9:40" x14ac:dyDescent="0.45">
      <c r="I129" t="s">
        <v>173</v>
      </c>
      <c r="J129" t="s">
        <v>233</v>
      </c>
      <c r="K129">
        <v>4.3326698749200513E-3</v>
      </c>
      <c r="L129" t="s">
        <v>165</v>
      </c>
      <c r="N129" t="s">
        <v>183</v>
      </c>
      <c r="O129" t="s">
        <v>233</v>
      </c>
      <c r="P129">
        <v>3.5926579680253153E-3</v>
      </c>
      <c r="Q129" t="s">
        <v>165</v>
      </c>
      <c r="S129" t="s">
        <v>193</v>
      </c>
      <c r="T129" t="s">
        <v>233</v>
      </c>
      <c r="U129">
        <v>4.3192971429779894E-3</v>
      </c>
      <c r="V129" t="s">
        <v>165</v>
      </c>
      <c r="AK129">
        <v>2038</v>
      </c>
      <c r="AL129" t="s">
        <v>225</v>
      </c>
      <c r="AM129">
        <v>0.44190000000000002</v>
      </c>
      <c r="AN129" t="s">
        <v>217</v>
      </c>
    </row>
    <row r="130" spans="9:40" x14ac:dyDescent="0.45">
      <c r="I130" t="s">
        <v>173</v>
      </c>
      <c r="J130" t="s">
        <v>234</v>
      </c>
      <c r="K130">
        <v>1.113654869961746E-3</v>
      </c>
      <c r="L130" t="s">
        <v>165</v>
      </c>
      <c r="N130" t="s">
        <v>183</v>
      </c>
      <c r="O130" t="s">
        <v>234</v>
      </c>
      <c r="P130">
        <v>2.2536353760756009E-2</v>
      </c>
      <c r="Q130" t="s">
        <v>165</v>
      </c>
      <c r="S130" t="s">
        <v>193</v>
      </c>
      <c r="T130" t="s">
        <v>234</v>
      </c>
      <c r="U130">
        <v>2.7355358073778591E-2</v>
      </c>
      <c r="V130" t="s">
        <v>165</v>
      </c>
      <c r="AK130">
        <v>2039</v>
      </c>
      <c r="AL130" t="s">
        <v>155</v>
      </c>
      <c r="AM130">
        <v>0.54769999999999996</v>
      </c>
      <c r="AN130" t="s">
        <v>217</v>
      </c>
    </row>
    <row r="131" spans="9:40" x14ac:dyDescent="0.45">
      <c r="I131" t="s">
        <v>173</v>
      </c>
      <c r="J131" t="s">
        <v>235</v>
      </c>
      <c r="K131">
        <v>3.0721798992712008E-2</v>
      </c>
      <c r="L131" t="s">
        <v>165</v>
      </c>
      <c r="N131" t="s">
        <v>183</v>
      </c>
      <c r="O131" t="s">
        <v>235</v>
      </c>
      <c r="P131">
        <v>6.3320421270121316E-2</v>
      </c>
      <c r="Q131" t="s">
        <v>165</v>
      </c>
      <c r="S131" t="s">
        <v>193</v>
      </c>
      <c r="T131" t="s">
        <v>235</v>
      </c>
      <c r="U131">
        <v>6.4043307494432253E-2</v>
      </c>
      <c r="V131" t="s">
        <v>165</v>
      </c>
      <c r="AK131">
        <v>2039</v>
      </c>
      <c r="AL131" t="s">
        <v>159</v>
      </c>
      <c r="AM131">
        <v>0.60629999999999995</v>
      </c>
      <c r="AN131" t="s">
        <v>217</v>
      </c>
    </row>
    <row r="132" spans="9:40" x14ac:dyDescent="0.45">
      <c r="I132" t="s">
        <v>173</v>
      </c>
      <c r="J132" t="s">
        <v>236</v>
      </c>
      <c r="K132">
        <v>0.18089719630991546</v>
      </c>
      <c r="L132" t="s">
        <v>165</v>
      </c>
      <c r="N132" t="s">
        <v>183</v>
      </c>
      <c r="O132" t="s">
        <v>236</v>
      </c>
      <c r="P132">
        <v>6.9717323424649466E-2</v>
      </c>
      <c r="Q132" t="s">
        <v>165</v>
      </c>
      <c r="S132" t="s">
        <v>193</v>
      </c>
      <c r="T132" t="s">
        <v>236</v>
      </c>
      <c r="U132">
        <v>5.8797064378652536E-2</v>
      </c>
      <c r="V132" t="s">
        <v>165</v>
      </c>
      <c r="AK132">
        <v>2039</v>
      </c>
      <c r="AL132" t="s">
        <v>161</v>
      </c>
      <c r="AM132">
        <v>0.41920000000000002</v>
      </c>
      <c r="AN132" t="s">
        <v>217</v>
      </c>
    </row>
    <row r="133" spans="9:40" x14ac:dyDescent="0.45">
      <c r="I133" t="s">
        <v>173</v>
      </c>
      <c r="J133" t="s">
        <v>237</v>
      </c>
      <c r="K133">
        <v>1.9061478536258974E-2</v>
      </c>
      <c r="L133" t="s">
        <v>165</v>
      </c>
      <c r="N133" t="s">
        <v>183</v>
      </c>
      <c r="O133" t="s">
        <v>237</v>
      </c>
      <c r="P133">
        <v>8.4571158609336311E-3</v>
      </c>
      <c r="Q133" t="s">
        <v>165</v>
      </c>
      <c r="S133" t="s">
        <v>193</v>
      </c>
      <c r="T133" t="s">
        <v>237</v>
      </c>
      <c r="U133">
        <v>7.305915607751361E-3</v>
      </c>
      <c r="V133" t="s">
        <v>165</v>
      </c>
      <c r="AK133">
        <v>2039</v>
      </c>
      <c r="AL133" t="s">
        <v>220</v>
      </c>
      <c r="AM133">
        <v>0.22320000000000001</v>
      </c>
      <c r="AN133" t="s">
        <v>217</v>
      </c>
    </row>
    <row r="134" spans="9:40" x14ac:dyDescent="0.45">
      <c r="I134" t="s">
        <v>173</v>
      </c>
      <c r="J134" t="s">
        <v>238</v>
      </c>
      <c r="K134">
        <v>1.5956903094963251E-2</v>
      </c>
      <c r="L134" t="s">
        <v>165</v>
      </c>
      <c r="N134" t="s">
        <v>183</v>
      </c>
      <c r="O134" t="s">
        <v>238</v>
      </c>
      <c r="P134">
        <v>7.8113286622269844E-3</v>
      </c>
      <c r="Q134" t="s">
        <v>165</v>
      </c>
      <c r="S134" t="s">
        <v>193</v>
      </c>
      <c r="T134" t="s">
        <v>238</v>
      </c>
      <c r="U134">
        <v>7.3792798870439859E-3</v>
      </c>
      <c r="V134" t="s">
        <v>165</v>
      </c>
      <c r="AK134">
        <v>2039</v>
      </c>
      <c r="AL134" t="s">
        <v>222</v>
      </c>
      <c r="AM134">
        <v>0.21568000000000001</v>
      </c>
      <c r="AN134" t="s">
        <v>217</v>
      </c>
    </row>
    <row r="135" spans="9:40" x14ac:dyDescent="0.45">
      <c r="I135" t="s">
        <v>173</v>
      </c>
      <c r="J135" t="s">
        <v>239</v>
      </c>
      <c r="K135">
        <v>1.5136382681495433E-2</v>
      </c>
      <c r="L135" t="s">
        <v>165</v>
      </c>
      <c r="N135" t="s">
        <v>183</v>
      </c>
      <c r="O135" t="s">
        <v>239</v>
      </c>
      <c r="P135">
        <v>4.6444398607095767E-2</v>
      </c>
      <c r="Q135" t="s">
        <v>165</v>
      </c>
      <c r="S135" t="s">
        <v>193</v>
      </c>
      <c r="T135" t="s">
        <v>239</v>
      </c>
      <c r="U135">
        <v>4.7002748632293499E-2</v>
      </c>
      <c r="V135" t="s">
        <v>165</v>
      </c>
      <c r="AK135">
        <v>2039</v>
      </c>
      <c r="AL135" t="s">
        <v>224</v>
      </c>
      <c r="AM135">
        <v>0.49330000000000002</v>
      </c>
      <c r="AN135" t="s">
        <v>217</v>
      </c>
    </row>
    <row r="136" spans="9:40" x14ac:dyDescent="0.45">
      <c r="I136" t="s">
        <v>173</v>
      </c>
      <c r="J136" t="s">
        <v>240</v>
      </c>
      <c r="K136">
        <v>6.1175277625226246E-2</v>
      </c>
      <c r="L136" t="s">
        <v>165</v>
      </c>
      <c r="N136" t="s">
        <v>183</v>
      </c>
      <c r="O136" t="s">
        <v>240</v>
      </c>
      <c r="P136">
        <v>9.550095200632E-2</v>
      </c>
      <c r="Q136" t="s">
        <v>165</v>
      </c>
      <c r="S136" t="s">
        <v>193</v>
      </c>
      <c r="T136" t="s">
        <v>240</v>
      </c>
      <c r="U136">
        <v>0.11545301727139272</v>
      </c>
      <c r="V136" t="s">
        <v>165</v>
      </c>
      <c r="AK136">
        <v>2039</v>
      </c>
      <c r="AL136" t="s">
        <v>225</v>
      </c>
      <c r="AM136">
        <v>0.56710000000000005</v>
      </c>
      <c r="AN136" t="s">
        <v>217</v>
      </c>
    </row>
    <row r="137" spans="9:40" x14ac:dyDescent="0.45">
      <c r="I137" t="s">
        <v>173</v>
      </c>
      <c r="J137" t="s">
        <v>241</v>
      </c>
      <c r="K137">
        <v>0.36372130480099274</v>
      </c>
      <c r="L137" t="s">
        <v>165</v>
      </c>
      <c r="N137" t="s">
        <v>183</v>
      </c>
      <c r="O137" t="s">
        <v>241</v>
      </c>
      <c r="P137">
        <v>0.11930493307341032</v>
      </c>
      <c r="Q137" t="s">
        <v>165</v>
      </c>
      <c r="S137" t="s">
        <v>193</v>
      </c>
      <c r="T137" t="s">
        <v>241</v>
      </c>
      <c r="U137">
        <v>0.11539236027043562</v>
      </c>
      <c r="V137" t="s">
        <v>165</v>
      </c>
      <c r="AK137">
        <v>2040</v>
      </c>
      <c r="AL137" t="s">
        <v>155</v>
      </c>
      <c r="AM137">
        <v>0.53600000000000003</v>
      </c>
      <c r="AN137" t="s">
        <v>217</v>
      </c>
    </row>
    <row r="138" spans="9:40" x14ac:dyDescent="0.45">
      <c r="I138" t="s">
        <v>173</v>
      </c>
      <c r="J138" t="s">
        <v>242</v>
      </c>
      <c r="K138">
        <v>3.6824270332088252E-2</v>
      </c>
      <c r="L138" t="s">
        <v>165</v>
      </c>
      <c r="N138" t="s">
        <v>183</v>
      </c>
      <c r="O138" t="s">
        <v>242</v>
      </c>
      <c r="P138">
        <v>1.4944604625639573E-2</v>
      </c>
      <c r="Q138" t="s">
        <v>165</v>
      </c>
      <c r="S138" t="s">
        <v>193</v>
      </c>
      <c r="T138" t="s">
        <v>242</v>
      </c>
      <c r="U138">
        <v>1.5468377030642135E-2</v>
      </c>
      <c r="V138" t="s">
        <v>165</v>
      </c>
      <c r="AK138">
        <v>2040</v>
      </c>
      <c r="AL138" t="s">
        <v>159</v>
      </c>
      <c r="AM138">
        <v>0.58289999999999997</v>
      </c>
      <c r="AN138" t="s">
        <v>217</v>
      </c>
    </row>
    <row r="139" spans="9:40" x14ac:dyDescent="0.45">
      <c r="I139" t="s">
        <v>173</v>
      </c>
      <c r="J139" t="s">
        <v>243</v>
      </c>
      <c r="K139">
        <v>2.769329567990091E-2</v>
      </c>
      <c r="L139" t="s">
        <v>165</v>
      </c>
      <c r="N139" t="s">
        <v>183</v>
      </c>
      <c r="O139" t="s">
        <v>243</v>
      </c>
      <c r="P139">
        <v>1.4108721717398385E-2</v>
      </c>
      <c r="Q139" t="s">
        <v>165</v>
      </c>
      <c r="S139" t="s">
        <v>193</v>
      </c>
      <c r="T139" t="s">
        <v>243</v>
      </c>
      <c r="U139">
        <v>1.5241222839471071E-2</v>
      </c>
      <c r="V139" t="s">
        <v>165</v>
      </c>
      <c r="AK139">
        <v>2040</v>
      </c>
      <c r="AL139" t="s">
        <v>161</v>
      </c>
      <c r="AM139">
        <v>0.40229999999999999</v>
      </c>
      <c r="AN139" t="s">
        <v>217</v>
      </c>
    </row>
    <row r="140" spans="9:40" x14ac:dyDescent="0.45">
      <c r="I140" t="s">
        <v>173</v>
      </c>
      <c r="J140" t="s">
        <v>244</v>
      </c>
      <c r="K140">
        <v>2.9607161422839767E-2</v>
      </c>
      <c r="L140" t="s">
        <v>165</v>
      </c>
      <c r="N140" t="s">
        <v>183</v>
      </c>
      <c r="O140" t="s">
        <v>244</v>
      </c>
      <c r="P140">
        <v>7.5625607469291367E-2</v>
      </c>
      <c r="Q140" t="s">
        <v>165</v>
      </c>
      <c r="S140" t="s">
        <v>193</v>
      </c>
      <c r="T140" t="s">
        <v>244</v>
      </c>
      <c r="U140">
        <v>8.7723890015470679E-2</v>
      </c>
      <c r="V140" t="s">
        <v>165</v>
      </c>
      <c r="AK140">
        <v>2040</v>
      </c>
      <c r="AL140" t="s">
        <v>220</v>
      </c>
      <c r="AM140">
        <v>0.2329</v>
      </c>
      <c r="AN140" t="s">
        <v>217</v>
      </c>
    </row>
    <row r="141" spans="9:40" x14ac:dyDescent="0.45">
      <c r="I141" t="s">
        <v>173</v>
      </c>
      <c r="J141" t="s">
        <v>245</v>
      </c>
      <c r="K141">
        <v>0</v>
      </c>
      <c r="L141" t="s">
        <v>165</v>
      </c>
      <c r="N141" t="s">
        <v>183</v>
      </c>
      <c r="O141" t="s">
        <v>245</v>
      </c>
      <c r="P141">
        <v>2.677636320663955E-2</v>
      </c>
      <c r="Q141" t="s">
        <v>165</v>
      </c>
      <c r="S141" t="s">
        <v>193</v>
      </c>
      <c r="T141" t="s">
        <v>245</v>
      </c>
      <c r="U141">
        <v>2.2737442132963786E-2</v>
      </c>
      <c r="V141" t="s">
        <v>165</v>
      </c>
      <c r="AK141">
        <v>2040</v>
      </c>
      <c r="AL141" t="s">
        <v>222</v>
      </c>
      <c r="AM141">
        <v>0.21272000000000002</v>
      </c>
      <c r="AN141" t="s">
        <v>217</v>
      </c>
    </row>
    <row r="142" spans="9:40" x14ac:dyDescent="0.45">
      <c r="I142" t="s">
        <v>173</v>
      </c>
      <c r="J142" t="s">
        <v>246</v>
      </c>
      <c r="K142">
        <v>4.145215990682409E-2</v>
      </c>
      <c r="L142" t="s">
        <v>165</v>
      </c>
      <c r="N142" t="s">
        <v>183</v>
      </c>
      <c r="O142" t="s">
        <v>246</v>
      </c>
      <c r="P142">
        <v>2.364501471935956E-2</v>
      </c>
      <c r="Q142" t="s">
        <v>165</v>
      </c>
      <c r="S142" t="s">
        <v>193</v>
      </c>
      <c r="T142" t="s">
        <v>246</v>
      </c>
      <c r="U142">
        <v>2.4245688500267995E-2</v>
      </c>
      <c r="V142" t="s">
        <v>165</v>
      </c>
      <c r="AK142">
        <v>2040</v>
      </c>
      <c r="AL142" t="s">
        <v>224</v>
      </c>
      <c r="AM142">
        <v>0.50629999999999997</v>
      </c>
      <c r="AN142" t="s">
        <v>217</v>
      </c>
    </row>
    <row r="143" spans="9:40" x14ac:dyDescent="0.45">
      <c r="I143" t="s">
        <v>173</v>
      </c>
      <c r="J143" t="s">
        <v>247</v>
      </c>
      <c r="K143">
        <v>4.7070058698325622E-4</v>
      </c>
      <c r="L143" t="s">
        <v>165</v>
      </c>
      <c r="N143" t="s">
        <v>183</v>
      </c>
      <c r="O143" t="s">
        <v>247</v>
      </c>
      <c r="P143">
        <v>2.8250718376474611E-3</v>
      </c>
      <c r="Q143" t="s">
        <v>165</v>
      </c>
      <c r="S143" t="s">
        <v>193</v>
      </c>
      <c r="T143" t="s">
        <v>247</v>
      </c>
      <c r="U143">
        <v>3.3019051533603886E-3</v>
      </c>
      <c r="V143" t="s">
        <v>165</v>
      </c>
      <c r="AK143">
        <v>2040</v>
      </c>
      <c r="AL143" t="s">
        <v>225</v>
      </c>
      <c r="AM143">
        <v>0.53959999999999997</v>
      </c>
      <c r="AN143" t="s">
        <v>217</v>
      </c>
    </row>
    <row r="144" spans="9:40" x14ac:dyDescent="0.45">
      <c r="I144" t="s">
        <v>173</v>
      </c>
      <c r="J144" t="s">
        <v>248</v>
      </c>
      <c r="K144">
        <v>0</v>
      </c>
      <c r="L144" t="s">
        <v>165</v>
      </c>
      <c r="N144" t="s">
        <v>183</v>
      </c>
      <c r="O144" t="s">
        <v>248</v>
      </c>
      <c r="P144">
        <v>2.88007398445912E-3</v>
      </c>
      <c r="Q144" t="s">
        <v>165</v>
      </c>
      <c r="S144" t="s">
        <v>193</v>
      </c>
      <c r="T144" t="s">
        <v>248</v>
      </c>
      <c r="U144">
        <v>3.3584070866796972E-3</v>
      </c>
      <c r="V144" t="s">
        <v>165</v>
      </c>
      <c r="AK144">
        <v>2041</v>
      </c>
      <c r="AL144" t="s">
        <v>155</v>
      </c>
      <c r="AM144">
        <v>0.56240000000000001</v>
      </c>
      <c r="AN144" t="s">
        <v>217</v>
      </c>
    </row>
    <row r="145" spans="9:40" x14ac:dyDescent="0.45">
      <c r="I145" t="s">
        <v>173</v>
      </c>
      <c r="J145" t="s">
        <v>249</v>
      </c>
      <c r="K145">
        <v>0</v>
      </c>
      <c r="L145" t="s">
        <v>165</v>
      </c>
      <c r="N145" t="s">
        <v>183</v>
      </c>
      <c r="O145" t="s">
        <v>249</v>
      </c>
      <c r="P145">
        <v>1.8751299512452389E-2</v>
      </c>
      <c r="Q145" t="s">
        <v>165</v>
      </c>
      <c r="S145" t="s">
        <v>193</v>
      </c>
      <c r="T145" t="s">
        <v>249</v>
      </c>
      <c r="U145">
        <v>1.8357943239387223E-2</v>
      </c>
      <c r="V145" t="s">
        <v>165</v>
      </c>
      <c r="AK145">
        <v>2041</v>
      </c>
      <c r="AL145" t="s">
        <v>159</v>
      </c>
      <c r="AM145">
        <v>0.5141</v>
      </c>
      <c r="AN145" t="s">
        <v>217</v>
      </c>
    </row>
    <row r="146" spans="9:40" x14ac:dyDescent="0.45">
      <c r="I146" t="s">
        <v>173</v>
      </c>
      <c r="J146" t="s">
        <v>250</v>
      </c>
      <c r="K146">
        <v>0</v>
      </c>
      <c r="L146" t="s">
        <v>165</v>
      </c>
      <c r="N146" t="s">
        <v>183</v>
      </c>
      <c r="O146" t="s">
        <v>250</v>
      </c>
      <c r="P146">
        <v>4.2833959914761445E-2</v>
      </c>
      <c r="Q146" t="s">
        <v>165</v>
      </c>
      <c r="S146" t="s">
        <v>193</v>
      </c>
      <c r="T146" t="s">
        <v>250</v>
      </c>
      <c r="U146">
        <v>3.3099305763973089E-2</v>
      </c>
      <c r="V146" t="s">
        <v>165</v>
      </c>
      <c r="AK146">
        <v>2041</v>
      </c>
      <c r="AL146" t="s">
        <v>161</v>
      </c>
      <c r="AM146">
        <v>0.45679999999999998</v>
      </c>
      <c r="AN146" t="s">
        <v>217</v>
      </c>
    </row>
    <row r="147" spans="9:40" x14ac:dyDescent="0.45">
      <c r="I147" t="s">
        <v>173</v>
      </c>
      <c r="J147" t="s">
        <v>251</v>
      </c>
      <c r="K147">
        <v>2.2326426211318844E-2</v>
      </c>
      <c r="L147" t="s">
        <v>165</v>
      </c>
      <c r="N147" t="s">
        <v>183</v>
      </c>
      <c r="O147" t="s">
        <v>251</v>
      </c>
      <c r="P147">
        <v>4.4633776253297175E-2</v>
      </c>
      <c r="Q147" t="s">
        <v>165</v>
      </c>
      <c r="S147" t="s">
        <v>193</v>
      </c>
      <c r="T147" t="s">
        <v>251</v>
      </c>
      <c r="U147">
        <v>3.4965328121817976E-2</v>
      </c>
      <c r="V147" t="s">
        <v>165</v>
      </c>
      <c r="AK147">
        <v>2041</v>
      </c>
      <c r="AL147" t="s">
        <v>220</v>
      </c>
      <c r="AM147">
        <v>0.2223</v>
      </c>
      <c r="AN147" t="s">
        <v>217</v>
      </c>
    </row>
    <row r="148" spans="9:40" x14ac:dyDescent="0.45">
      <c r="I148" t="s">
        <v>173</v>
      </c>
      <c r="J148" t="s">
        <v>252</v>
      </c>
      <c r="K148">
        <v>0</v>
      </c>
      <c r="L148" t="s">
        <v>165</v>
      </c>
      <c r="N148" t="s">
        <v>183</v>
      </c>
      <c r="O148" t="s">
        <v>252</v>
      </c>
      <c r="P148">
        <v>5.7116934968386478E-3</v>
      </c>
      <c r="Q148" t="s">
        <v>165</v>
      </c>
      <c r="S148" t="s">
        <v>193</v>
      </c>
      <c r="T148" t="s">
        <v>252</v>
      </c>
      <c r="U148">
        <v>4.5856711585033723E-3</v>
      </c>
      <c r="V148" t="s">
        <v>165</v>
      </c>
      <c r="AK148">
        <v>2041</v>
      </c>
      <c r="AL148" t="s">
        <v>222</v>
      </c>
      <c r="AM148">
        <v>0.21395999999999998</v>
      </c>
      <c r="AN148" t="s">
        <v>217</v>
      </c>
    </row>
    <row r="149" spans="9:40" x14ac:dyDescent="0.45">
      <c r="I149" t="s">
        <v>173</v>
      </c>
      <c r="J149" t="s">
        <v>253</v>
      </c>
      <c r="K149">
        <v>0</v>
      </c>
      <c r="L149" t="s">
        <v>165</v>
      </c>
      <c r="N149" t="s">
        <v>183</v>
      </c>
      <c r="O149" t="s">
        <v>253</v>
      </c>
      <c r="P149">
        <v>5.8120289826450594E-3</v>
      </c>
      <c r="Q149" t="s">
        <v>165</v>
      </c>
      <c r="S149" t="s">
        <v>193</v>
      </c>
      <c r="T149" t="s">
        <v>253</v>
      </c>
      <c r="U149">
        <v>4.5967590609163203E-3</v>
      </c>
      <c r="V149" t="s">
        <v>165</v>
      </c>
      <c r="AK149">
        <v>2041</v>
      </c>
      <c r="AL149" t="s">
        <v>224</v>
      </c>
      <c r="AM149">
        <v>0.5242</v>
      </c>
      <c r="AN149" t="s">
        <v>217</v>
      </c>
    </row>
    <row r="150" spans="9:40" x14ac:dyDescent="0.45">
      <c r="I150" t="s">
        <v>173</v>
      </c>
      <c r="J150" t="s">
        <v>254</v>
      </c>
      <c r="K150">
        <v>0</v>
      </c>
      <c r="L150" t="s">
        <v>165</v>
      </c>
      <c r="N150" t="s">
        <v>183</v>
      </c>
      <c r="O150" t="s">
        <v>254</v>
      </c>
      <c r="P150">
        <v>3.5880737425021771E-2</v>
      </c>
      <c r="Q150" t="s">
        <v>165</v>
      </c>
      <c r="S150" t="s">
        <v>193</v>
      </c>
      <c r="T150" t="s">
        <v>254</v>
      </c>
      <c r="U150">
        <v>2.7157364655733474E-2</v>
      </c>
      <c r="V150" t="s">
        <v>165</v>
      </c>
      <c r="AK150">
        <v>2041</v>
      </c>
      <c r="AL150" t="s">
        <v>225</v>
      </c>
      <c r="AM150">
        <v>0.56679999999999997</v>
      </c>
      <c r="AN150" t="s">
        <v>217</v>
      </c>
    </row>
    <row r="151" spans="9:40" x14ac:dyDescent="0.45">
      <c r="I151" t="s">
        <v>174</v>
      </c>
      <c r="J151" t="s">
        <v>164</v>
      </c>
      <c r="K151">
        <v>0</v>
      </c>
      <c r="L151" t="s">
        <v>165</v>
      </c>
      <c r="N151" t="s">
        <v>184</v>
      </c>
      <c r="O151" t="s">
        <v>164</v>
      </c>
      <c r="P151">
        <v>3.3316464190536202E-2</v>
      </c>
      <c r="Q151" t="s">
        <v>165</v>
      </c>
      <c r="S151" t="s">
        <v>194</v>
      </c>
      <c r="T151" t="s">
        <v>164</v>
      </c>
      <c r="U151">
        <v>3.0012961178973216E-2</v>
      </c>
      <c r="V151" t="s">
        <v>165</v>
      </c>
      <c r="AK151">
        <v>2042</v>
      </c>
      <c r="AL151" t="s">
        <v>155</v>
      </c>
      <c r="AM151">
        <v>0.62139999999999995</v>
      </c>
      <c r="AN151" t="s">
        <v>217</v>
      </c>
    </row>
    <row r="152" spans="9:40" x14ac:dyDescent="0.45">
      <c r="I152" t="s">
        <v>174</v>
      </c>
      <c r="J152" t="s">
        <v>166</v>
      </c>
      <c r="K152">
        <v>2.251928706146834E-2</v>
      </c>
      <c r="L152" t="s">
        <v>165</v>
      </c>
      <c r="N152" t="s">
        <v>184</v>
      </c>
      <c r="O152" t="s">
        <v>166</v>
      </c>
      <c r="P152">
        <v>3.5455166481334004E-2</v>
      </c>
      <c r="Q152" t="s">
        <v>165</v>
      </c>
      <c r="S152" t="s">
        <v>194</v>
      </c>
      <c r="T152" t="s">
        <v>166</v>
      </c>
      <c r="U152">
        <v>3.3545078517706446E-2</v>
      </c>
      <c r="V152" t="s">
        <v>165</v>
      </c>
      <c r="AK152">
        <v>2042</v>
      </c>
      <c r="AL152" t="s">
        <v>159</v>
      </c>
      <c r="AM152">
        <v>0.5222</v>
      </c>
      <c r="AN152" t="s">
        <v>217</v>
      </c>
    </row>
    <row r="153" spans="9:40" x14ac:dyDescent="0.45">
      <c r="I153" t="s">
        <v>174</v>
      </c>
      <c r="J153" t="s">
        <v>226</v>
      </c>
      <c r="K153">
        <v>9.2491134320555474E-4</v>
      </c>
      <c r="L153" t="s">
        <v>165</v>
      </c>
      <c r="N153" t="s">
        <v>184</v>
      </c>
      <c r="O153" t="s">
        <v>226</v>
      </c>
      <c r="P153">
        <v>4.3619330514426879E-3</v>
      </c>
      <c r="Q153" t="s">
        <v>165</v>
      </c>
      <c r="S153" t="s">
        <v>194</v>
      </c>
      <c r="T153" t="s">
        <v>226</v>
      </c>
      <c r="U153">
        <v>4.2846378294737293E-3</v>
      </c>
      <c r="V153" t="s">
        <v>165</v>
      </c>
      <c r="AK153">
        <v>2042</v>
      </c>
      <c r="AL153" t="s">
        <v>161</v>
      </c>
      <c r="AM153">
        <v>0.44750000000000001</v>
      </c>
      <c r="AN153" t="s">
        <v>217</v>
      </c>
    </row>
    <row r="154" spans="9:40" x14ac:dyDescent="0.45">
      <c r="I154" t="s">
        <v>174</v>
      </c>
      <c r="J154" t="s">
        <v>227</v>
      </c>
      <c r="K154">
        <v>0</v>
      </c>
      <c r="L154" t="s">
        <v>165</v>
      </c>
      <c r="N154" t="s">
        <v>184</v>
      </c>
      <c r="O154" t="s">
        <v>227</v>
      </c>
      <c r="P154">
        <v>4.2994468198424979E-3</v>
      </c>
      <c r="Q154" t="s">
        <v>165</v>
      </c>
      <c r="S154" t="s">
        <v>194</v>
      </c>
      <c r="T154" t="s">
        <v>227</v>
      </c>
      <c r="U154">
        <v>4.2520219282974701E-3</v>
      </c>
      <c r="V154" t="s">
        <v>165</v>
      </c>
      <c r="AK154">
        <v>2042</v>
      </c>
      <c r="AL154" t="s">
        <v>220</v>
      </c>
      <c r="AM154">
        <v>0.20465</v>
      </c>
      <c r="AN154" t="s">
        <v>217</v>
      </c>
    </row>
    <row r="155" spans="9:40" x14ac:dyDescent="0.45">
      <c r="I155" t="s">
        <v>174</v>
      </c>
      <c r="J155" t="s">
        <v>228</v>
      </c>
      <c r="K155">
        <v>0</v>
      </c>
      <c r="L155" t="s">
        <v>165</v>
      </c>
      <c r="N155" t="s">
        <v>184</v>
      </c>
      <c r="O155" t="s">
        <v>228</v>
      </c>
      <c r="P155">
        <v>2.5635691746302793E-2</v>
      </c>
      <c r="Q155" t="s">
        <v>165</v>
      </c>
      <c r="S155" t="s">
        <v>194</v>
      </c>
      <c r="T155" t="s">
        <v>228</v>
      </c>
      <c r="U155">
        <v>2.4609631641236258E-2</v>
      </c>
      <c r="V155" t="s">
        <v>165</v>
      </c>
      <c r="AK155">
        <v>2042</v>
      </c>
      <c r="AL155" t="s">
        <v>222</v>
      </c>
      <c r="AM155">
        <v>0.20112000000000002</v>
      </c>
      <c r="AN155" t="s">
        <v>217</v>
      </c>
    </row>
    <row r="156" spans="9:40" x14ac:dyDescent="0.45">
      <c r="I156" t="s">
        <v>174</v>
      </c>
      <c r="J156" t="s">
        <v>167</v>
      </c>
      <c r="K156">
        <v>3.9967662826374074E-5</v>
      </c>
      <c r="L156" t="s">
        <v>165</v>
      </c>
      <c r="N156" t="s">
        <v>184</v>
      </c>
      <c r="O156" t="s">
        <v>167</v>
      </c>
      <c r="P156">
        <v>2.5992921867168596E-2</v>
      </c>
      <c r="Q156" t="s">
        <v>165</v>
      </c>
      <c r="S156" t="s">
        <v>194</v>
      </c>
      <c r="T156" t="s">
        <v>167</v>
      </c>
      <c r="U156">
        <v>2.8506624003864944E-2</v>
      </c>
      <c r="V156" t="s">
        <v>165</v>
      </c>
      <c r="AK156">
        <v>2042</v>
      </c>
      <c r="AL156" t="s">
        <v>224</v>
      </c>
      <c r="AM156">
        <v>0.50219999999999998</v>
      </c>
      <c r="AN156" t="s">
        <v>217</v>
      </c>
    </row>
    <row r="157" spans="9:40" x14ac:dyDescent="0.45">
      <c r="I157" t="s">
        <v>174</v>
      </c>
      <c r="J157" t="s">
        <v>168</v>
      </c>
      <c r="K157">
        <v>4.3334978040981832E-2</v>
      </c>
      <c r="L157" t="s">
        <v>165</v>
      </c>
      <c r="N157" t="s">
        <v>184</v>
      </c>
      <c r="O157" t="s">
        <v>168</v>
      </c>
      <c r="P157">
        <v>2.5192105456668258E-2</v>
      </c>
      <c r="Q157" t="s">
        <v>165</v>
      </c>
      <c r="S157" t="s">
        <v>194</v>
      </c>
      <c r="T157" t="s">
        <v>168</v>
      </c>
      <c r="U157">
        <v>3.0215145803001105E-2</v>
      </c>
      <c r="V157" t="s">
        <v>165</v>
      </c>
      <c r="AK157">
        <v>2042</v>
      </c>
      <c r="AL157" t="s">
        <v>225</v>
      </c>
      <c r="AM157">
        <v>0.53779999999999994</v>
      </c>
      <c r="AN157" t="s">
        <v>217</v>
      </c>
    </row>
    <row r="158" spans="9:40" x14ac:dyDescent="0.45">
      <c r="I158" t="s">
        <v>174</v>
      </c>
      <c r="J158" t="s">
        <v>229</v>
      </c>
      <c r="K158">
        <v>3.5171301610605059E-3</v>
      </c>
      <c r="L158" t="s">
        <v>165</v>
      </c>
      <c r="N158" t="s">
        <v>184</v>
      </c>
      <c r="O158" t="s">
        <v>229</v>
      </c>
      <c r="P158">
        <v>3.1284842239227774E-3</v>
      </c>
      <c r="Q158" t="s">
        <v>165</v>
      </c>
      <c r="S158" t="s">
        <v>194</v>
      </c>
      <c r="T158" t="s">
        <v>229</v>
      </c>
      <c r="U158">
        <v>3.715234921229848E-3</v>
      </c>
      <c r="V158" t="s">
        <v>165</v>
      </c>
      <c r="AK158">
        <v>2043</v>
      </c>
      <c r="AL158" t="s">
        <v>155</v>
      </c>
      <c r="AM158">
        <v>0.54749999999999999</v>
      </c>
      <c r="AN158" t="s">
        <v>217</v>
      </c>
    </row>
    <row r="159" spans="9:40" x14ac:dyDescent="0.45">
      <c r="I159" t="s">
        <v>174</v>
      </c>
      <c r="J159" t="s">
        <v>230</v>
      </c>
      <c r="K159">
        <v>1.2547089227741041E-3</v>
      </c>
      <c r="L159" t="s">
        <v>165</v>
      </c>
      <c r="N159" t="s">
        <v>184</v>
      </c>
      <c r="O159" t="s">
        <v>230</v>
      </c>
      <c r="P159">
        <v>3.1925286927024666E-3</v>
      </c>
      <c r="Q159" t="s">
        <v>165</v>
      </c>
      <c r="S159" t="s">
        <v>194</v>
      </c>
      <c r="T159" t="s">
        <v>230</v>
      </c>
      <c r="U159">
        <v>3.6420006730524118E-3</v>
      </c>
      <c r="V159" t="s">
        <v>165</v>
      </c>
      <c r="AK159">
        <v>2043</v>
      </c>
      <c r="AL159" t="s">
        <v>159</v>
      </c>
      <c r="AM159">
        <v>0.50539999999999996</v>
      </c>
      <c r="AN159" t="s">
        <v>217</v>
      </c>
    </row>
    <row r="160" spans="9:40" x14ac:dyDescent="0.45">
      <c r="I160" t="s">
        <v>174</v>
      </c>
      <c r="J160" t="s">
        <v>231</v>
      </c>
      <c r="K160">
        <v>0</v>
      </c>
      <c r="L160" t="s">
        <v>165</v>
      </c>
      <c r="N160" t="s">
        <v>184</v>
      </c>
      <c r="O160" t="s">
        <v>231</v>
      </c>
      <c r="P160">
        <v>2.0112661506648158E-2</v>
      </c>
      <c r="Q160" t="s">
        <v>165</v>
      </c>
      <c r="S160" t="s">
        <v>194</v>
      </c>
      <c r="T160" t="s">
        <v>231</v>
      </c>
      <c r="U160">
        <v>2.2361322494314353E-2</v>
      </c>
      <c r="V160" t="s">
        <v>165</v>
      </c>
      <c r="AK160">
        <v>2043</v>
      </c>
      <c r="AL160" t="s">
        <v>161</v>
      </c>
      <c r="AM160">
        <v>0.46210000000000001</v>
      </c>
      <c r="AN160" t="s">
        <v>217</v>
      </c>
    </row>
    <row r="161" spans="9:40" x14ac:dyDescent="0.45">
      <c r="I161" t="s">
        <v>174</v>
      </c>
      <c r="J161" t="s">
        <v>169</v>
      </c>
      <c r="K161">
        <v>5.2949183760039337E-3</v>
      </c>
      <c r="L161" t="s">
        <v>165</v>
      </c>
      <c r="N161" t="s">
        <v>184</v>
      </c>
      <c r="O161" t="s">
        <v>169</v>
      </c>
      <c r="P161">
        <v>2.9868283800521433E-2</v>
      </c>
      <c r="Q161" t="s">
        <v>165</v>
      </c>
      <c r="S161" t="s">
        <v>194</v>
      </c>
      <c r="T161" t="s">
        <v>169</v>
      </c>
      <c r="U161">
        <v>3.4496354216038062E-2</v>
      </c>
      <c r="V161" t="s">
        <v>165</v>
      </c>
      <c r="AK161">
        <v>2043</v>
      </c>
      <c r="AL161" t="s">
        <v>220</v>
      </c>
      <c r="AM161">
        <v>0.20205000000000001</v>
      </c>
      <c r="AN161" t="s">
        <v>217</v>
      </c>
    </row>
    <row r="162" spans="9:40" x14ac:dyDescent="0.45">
      <c r="I162" t="s">
        <v>174</v>
      </c>
      <c r="J162" t="s">
        <v>170</v>
      </c>
      <c r="K162">
        <v>6.4738748316358286E-2</v>
      </c>
      <c r="L162" t="s">
        <v>165</v>
      </c>
      <c r="N162" t="s">
        <v>184</v>
      </c>
      <c r="O162" t="s">
        <v>170</v>
      </c>
      <c r="P162">
        <v>3.462446664271867E-2</v>
      </c>
      <c r="Q162" t="s">
        <v>165</v>
      </c>
      <c r="S162" t="s">
        <v>194</v>
      </c>
      <c r="T162" t="s">
        <v>170</v>
      </c>
      <c r="U162">
        <v>3.3627820639750824E-2</v>
      </c>
      <c r="V162" t="s">
        <v>165</v>
      </c>
      <c r="AK162">
        <v>2043</v>
      </c>
      <c r="AL162" t="s">
        <v>222</v>
      </c>
      <c r="AM162">
        <v>0.20062000000000002</v>
      </c>
      <c r="AN162" t="s">
        <v>217</v>
      </c>
    </row>
    <row r="163" spans="9:40" x14ac:dyDescent="0.45">
      <c r="I163" t="s">
        <v>174</v>
      </c>
      <c r="J163" t="s">
        <v>232</v>
      </c>
      <c r="K163">
        <v>6.1518252923495227E-3</v>
      </c>
      <c r="L163" t="s">
        <v>165</v>
      </c>
      <c r="N163" t="s">
        <v>184</v>
      </c>
      <c r="O163" t="s">
        <v>232</v>
      </c>
      <c r="P163">
        <v>4.1737306768221197E-3</v>
      </c>
      <c r="Q163" t="s">
        <v>165</v>
      </c>
      <c r="S163" t="s">
        <v>194</v>
      </c>
      <c r="T163" t="s">
        <v>232</v>
      </c>
      <c r="U163">
        <v>4.0825800946416744E-3</v>
      </c>
      <c r="V163" t="s">
        <v>165</v>
      </c>
      <c r="AK163">
        <v>2043</v>
      </c>
      <c r="AL163" t="s">
        <v>224</v>
      </c>
      <c r="AM163">
        <v>0.53220000000000001</v>
      </c>
      <c r="AN163" t="s">
        <v>217</v>
      </c>
    </row>
    <row r="164" spans="9:40" x14ac:dyDescent="0.45">
      <c r="I164" t="s">
        <v>174</v>
      </c>
      <c r="J164" t="s">
        <v>233</v>
      </c>
      <c r="K164">
        <v>4.0837953868520125E-3</v>
      </c>
      <c r="L164" t="s">
        <v>165</v>
      </c>
      <c r="N164" t="s">
        <v>184</v>
      </c>
      <c r="O164" t="s">
        <v>233</v>
      </c>
      <c r="P164">
        <v>3.9406702486642726E-3</v>
      </c>
      <c r="Q164" t="s">
        <v>165</v>
      </c>
      <c r="S164" t="s">
        <v>194</v>
      </c>
      <c r="T164" t="s">
        <v>233</v>
      </c>
      <c r="U164">
        <v>4.2074225770186175E-3</v>
      </c>
      <c r="V164" t="s">
        <v>165</v>
      </c>
      <c r="AK164">
        <v>2043</v>
      </c>
      <c r="AL164" t="s">
        <v>225</v>
      </c>
      <c r="AM164">
        <v>0.59179999999999999</v>
      </c>
      <c r="AN164" t="s">
        <v>217</v>
      </c>
    </row>
    <row r="165" spans="9:40" x14ac:dyDescent="0.45">
      <c r="I165" t="s">
        <v>174</v>
      </c>
      <c r="J165" t="s">
        <v>234</v>
      </c>
      <c r="K165">
        <v>6.0726913366077105E-4</v>
      </c>
      <c r="L165" t="s">
        <v>165</v>
      </c>
      <c r="N165" t="s">
        <v>184</v>
      </c>
      <c r="O165" t="s">
        <v>234</v>
      </c>
      <c r="P165">
        <v>2.3903637394671245E-2</v>
      </c>
      <c r="Q165" t="s">
        <v>165</v>
      </c>
      <c r="S165" t="s">
        <v>194</v>
      </c>
      <c r="T165" t="s">
        <v>234</v>
      </c>
      <c r="U165">
        <v>2.6445255122807654E-2</v>
      </c>
      <c r="V165" t="s">
        <v>165</v>
      </c>
      <c r="AK165">
        <v>2044</v>
      </c>
      <c r="AL165" t="s">
        <v>155</v>
      </c>
      <c r="AM165">
        <v>0.58979999999999999</v>
      </c>
      <c r="AN165" t="s">
        <v>217</v>
      </c>
    </row>
    <row r="166" spans="9:40" x14ac:dyDescent="0.45">
      <c r="I166" t="s">
        <v>174</v>
      </c>
      <c r="J166" t="s">
        <v>235</v>
      </c>
      <c r="K166">
        <v>3.1175037442841474E-2</v>
      </c>
      <c r="L166" t="s">
        <v>165</v>
      </c>
      <c r="N166" t="s">
        <v>184</v>
      </c>
      <c r="O166" t="s">
        <v>235</v>
      </c>
      <c r="P166">
        <v>6.0933793699817357E-2</v>
      </c>
      <c r="Q166" t="s">
        <v>165</v>
      </c>
      <c r="S166" t="s">
        <v>194</v>
      </c>
      <c r="T166" t="s">
        <v>235</v>
      </c>
      <c r="U166">
        <v>6.3678771096650905E-2</v>
      </c>
      <c r="V166" t="s">
        <v>165</v>
      </c>
      <c r="AK166">
        <v>2044</v>
      </c>
      <c r="AL166" t="s">
        <v>159</v>
      </c>
      <c r="AM166">
        <v>0.52569999999999995</v>
      </c>
      <c r="AN166" t="s">
        <v>217</v>
      </c>
    </row>
    <row r="167" spans="9:40" x14ac:dyDescent="0.45">
      <c r="I167" t="s">
        <v>174</v>
      </c>
      <c r="J167" t="s">
        <v>236</v>
      </c>
      <c r="K167">
        <v>0.18148475022810945</v>
      </c>
      <c r="L167" t="s">
        <v>165</v>
      </c>
      <c r="N167" t="s">
        <v>184</v>
      </c>
      <c r="O167" t="s">
        <v>236</v>
      </c>
      <c r="P167">
        <v>6.7233543545491936E-2</v>
      </c>
      <c r="Q167" t="s">
        <v>165</v>
      </c>
      <c r="S167" t="s">
        <v>194</v>
      </c>
      <c r="T167" t="s">
        <v>236</v>
      </c>
      <c r="U167">
        <v>6.1327991424565659E-2</v>
      </c>
      <c r="V167" t="s">
        <v>165</v>
      </c>
      <c r="AK167">
        <v>2044</v>
      </c>
      <c r="AL167" t="s">
        <v>161</v>
      </c>
      <c r="AM167">
        <v>0.42770000000000002</v>
      </c>
      <c r="AN167" t="s">
        <v>217</v>
      </c>
    </row>
    <row r="168" spans="9:40" x14ac:dyDescent="0.45">
      <c r="I168" t="s">
        <v>174</v>
      </c>
      <c r="J168" t="s">
        <v>237</v>
      </c>
      <c r="K168">
        <v>1.8961292440435658E-2</v>
      </c>
      <c r="L168" t="s">
        <v>165</v>
      </c>
      <c r="N168" t="s">
        <v>184</v>
      </c>
      <c r="O168" t="s">
        <v>237</v>
      </c>
      <c r="P168">
        <v>8.212590915074312E-3</v>
      </c>
      <c r="Q168" t="s">
        <v>165</v>
      </c>
      <c r="S168" t="s">
        <v>194</v>
      </c>
      <c r="T168" t="s">
        <v>237</v>
      </c>
      <c r="U168">
        <v>7.5588690063465979E-3</v>
      </c>
      <c r="V168" t="s">
        <v>165</v>
      </c>
      <c r="AK168">
        <v>2044</v>
      </c>
      <c r="AL168" t="s">
        <v>220</v>
      </c>
      <c r="AM168">
        <v>0.22044999999999998</v>
      </c>
      <c r="AN168" t="s">
        <v>217</v>
      </c>
    </row>
    <row r="169" spans="9:40" x14ac:dyDescent="0.45">
      <c r="I169" t="s">
        <v>174</v>
      </c>
      <c r="J169" t="s">
        <v>238</v>
      </c>
      <c r="K169">
        <v>1.5507484282718267E-2</v>
      </c>
      <c r="L169" t="s">
        <v>165</v>
      </c>
      <c r="N169" t="s">
        <v>184</v>
      </c>
      <c r="O169" t="s">
        <v>238</v>
      </c>
      <c r="P169">
        <v>7.8334249059982333E-3</v>
      </c>
      <c r="Q169" t="s">
        <v>165</v>
      </c>
      <c r="S169" t="s">
        <v>194</v>
      </c>
      <c r="T169" t="s">
        <v>238</v>
      </c>
      <c r="U169">
        <v>7.5770343509634422E-3</v>
      </c>
      <c r="V169" t="s">
        <v>165</v>
      </c>
      <c r="AK169">
        <v>2044</v>
      </c>
      <c r="AL169" t="s">
        <v>222</v>
      </c>
      <c r="AM169">
        <v>0.20926</v>
      </c>
      <c r="AN169" t="s">
        <v>217</v>
      </c>
    </row>
    <row r="170" spans="9:40" x14ac:dyDescent="0.45">
      <c r="I170" t="s">
        <v>174</v>
      </c>
      <c r="J170" t="s">
        <v>239</v>
      </c>
      <c r="K170">
        <v>1.4141292744160067E-2</v>
      </c>
      <c r="L170" t="s">
        <v>165</v>
      </c>
      <c r="N170" t="s">
        <v>184</v>
      </c>
      <c r="O170" t="s">
        <v>239</v>
      </c>
      <c r="P170">
        <v>4.3305074413461556E-2</v>
      </c>
      <c r="Q170" t="s">
        <v>165</v>
      </c>
      <c r="S170" t="s">
        <v>194</v>
      </c>
      <c r="T170" t="s">
        <v>239</v>
      </c>
      <c r="U170">
        <v>4.6816659042002759E-2</v>
      </c>
      <c r="V170" t="s">
        <v>165</v>
      </c>
      <c r="AK170">
        <v>2044</v>
      </c>
      <c r="AL170" t="s">
        <v>224</v>
      </c>
      <c r="AM170">
        <v>0.54600000000000004</v>
      </c>
      <c r="AN170" t="s">
        <v>217</v>
      </c>
    </row>
    <row r="171" spans="9:40" x14ac:dyDescent="0.45">
      <c r="I171" t="s">
        <v>174</v>
      </c>
      <c r="J171" t="s">
        <v>240</v>
      </c>
      <c r="K171">
        <v>6.0731631866756362E-2</v>
      </c>
      <c r="L171" t="s">
        <v>165</v>
      </c>
      <c r="N171" t="s">
        <v>184</v>
      </c>
      <c r="O171" t="s">
        <v>240</v>
      </c>
      <c r="P171">
        <v>9.7069718847490064E-2</v>
      </c>
      <c r="Q171" t="s">
        <v>165</v>
      </c>
      <c r="S171" t="s">
        <v>194</v>
      </c>
      <c r="T171" t="s">
        <v>240</v>
      </c>
      <c r="U171">
        <v>0.1085718138654177</v>
      </c>
      <c r="V171" t="s">
        <v>165</v>
      </c>
      <c r="AK171">
        <v>2044</v>
      </c>
      <c r="AL171" t="s">
        <v>225</v>
      </c>
      <c r="AM171">
        <v>0.62170000000000003</v>
      </c>
      <c r="AN171" t="s">
        <v>217</v>
      </c>
    </row>
    <row r="172" spans="9:40" x14ac:dyDescent="0.45">
      <c r="I172" t="s">
        <v>174</v>
      </c>
      <c r="J172" t="s">
        <v>241</v>
      </c>
      <c r="K172">
        <v>0.3670846236994974</v>
      </c>
      <c r="L172" t="s">
        <v>165</v>
      </c>
      <c r="N172" t="s">
        <v>184</v>
      </c>
      <c r="O172" t="s">
        <v>241</v>
      </c>
      <c r="P172">
        <v>0.11507921541733404</v>
      </c>
      <c r="Q172" t="s">
        <v>165</v>
      </c>
      <c r="S172" t="s">
        <v>194</v>
      </c>
      <c r="T172" t="s">
        <v>241</v>
      </c>
      <c r="U172">
        <v>0.11911711632245631</v>
      </c>
      <c r="V172" t="s">
        <v>165</v>
      </c>
      <c r="AK172">
        <v>2045</v>
      </c>
      <c r="AL172" t="s">
        <v>155</v>
      </c>
      <c r="AM172">
        <v>0.6099</v>
      </c>
      <c r="AN172" t="s">
        <v>217</v>
      </c>
    </row>
    <row r="173" spans="9:40" x14ac:dyDescent="0.45">
      <c r="I173" t="s">
        <v>174</v>
      </c>
      <c r="J173" t="s">
        <v>242</v>
      </c>
      <c r="K173">
        <v>3.6261461011855164E-2</v>
      </c>
      <c r="L173" t="s">
        <v>165</v>
      </c>
      <c r="N173" t="s">
        <v>184</v>
      </c>
      <c r="O173" t="s">
        <v>242</v>
      </c>
      <c r="P173">
        <v>1.3192305986954022E-2</v>
      </c>
      <c r="Q173" t="s">
        <v>165</v>
      </c>
      <c r="S173" t="s">
        <v>194</v>
      </c>
      <c r="T173" t="s">
        <v>242</v>
      </c>
      <c r="U173">
        <v>1.5926962721581624E-2</v>
      </c>
      <c r="V173" t="s">
        <v>165</v>
      </c>
      <c r="AK173">
        <v>2045</v>
      </c>
      <c r="AL173" t="s">
        <v>159</v>
      </c>
      <c r="AM173">
        <v>0.50319999999999998</v>
      </c>
      <c r="AN173" t="s">
        <v>217</v>
      </c>
    </row>
    <row r="174" spans="9:40" x14ac:dyDescent="0.45">
      <c r="I174" t="s">
        <v>174</v>
      </c>
      <c r="J174" t="s">
        <v>243</v>
      </c>
      <c r="K174">
        <v>2.837198319025843E-2</v>
      </c>
      <c r="L174" t="s">
        <v>165</v>
      </c>
      <c r="N174" t="s">
        <v>184</v>
      </c>
      <c r="O174" t="s">
        <v>243</v>
      </c>
      <c r="P174">
        <v>1.2524836604253752E-2</v>
      </c>
      <c r="Q174" t="s">
        <v>165</v>
      </c>
      <c r="S174" t="s">
        <v>194</v>
      </c>
      <c r="T174" t="s">
        <v>243</v>
      </c>
      <c r="U174">
        <v>1.5589261078197331E-2</v>
      </c>
      <c r="V174" t="s">
        <v>165</v>
      </c>
      <c r="AK174">
        <v>2045</v>
      </c>
      <c r="AL174" t="s">
        <v>161</v>
      </c>
      <c r="AM174">
        <v>0.46229999999999999</v>
      </c>
      <c r="AN174" t="s">
        <v>217</v>
      </c>
    </row>
    <row r="175" spans="9:40" x14ac:dyDescent="0.45">
      <c r="I175" t="s">
        <v>174</v>
      </c>
      <c r="J175" t="s">
        <v>244</v>
      </c>
      <c r="K175">
        <v>3.0056965923028828E-2</v>
      </c>
      <c r="L175" t="s">
        <v>165</v>
      </c>
      <c r="N175" t="s">
        <v>184</v>
      </c>
      <c r="O175" t="s">
        <v>244</v>
      </c>
      <c r="P175">
        <v>7.1390319819528647E-2</v>
      </c>
      <c r="Q175" t="s">
        <v>165</v>
      </c>
      <c r="S175" t="s">
        <v>194</v>
      </c>
      <c r="T175" t="s">
        <v>244</v>
      </c>
      <c r="U175">
        <v>8.3946618841882106E-2</v>
      </c>
      <c r="V175" t="s">
        <v>165</v>
      </c>
      <c r="AK175">
        <v>2045</v>
      </c>
      <c r="AL175" t="s">
        <v>220</v>
      </c>
      <c r="AM175">
        <v>0.21224999999999999</v>
      </c>
      <c r="AN175" t="s">
        <v>217</v>
      </c>
    </row>
    <row r="176" spans="9:40" x14ac:dyDescent="0.45">
      <c r="I176" t="s">
        <v>174</v>
      </c>
      <c r="J176" t="s">
        <v>245</v>
      </c>
      <c r="K176">
        <v>0</v>
      </c>
      <c r="L176" t="s">
        <v>165</v>
      </c>
      <c r="N176" t="s">
        <v>184</v>
      </c>
      <c r="O176" t="s">
        <v>245</v>
      </c>
      <c r="P176">
        <v>2.760764350999162E-2</v>
      </c>
      <c r="Q176" t="s">
        <v>165</v>
      </c>
      <c r="S176" t="s">
        <v>194</v>
      </c>
      <c r="T176" t="s">
        <v>245</v>
      </c>
      <c r="U176">
        <v>2.2294807720763705E-2</v>
      </c>
      <c r="V176" t="s">
        <v>165</v>
      </c>
      <c r="AK176">
        <v>2045</v>
      </c>
      <c r="AL176" t="s">
        <v>222</v>
      </c>
      <c r="AM176">
        <v>0.21013999999999999</v>
      </c>
      <c r="AN176" t="s">
        <v>217</v>
      </c>
    </row>
    <row r="177" spans="9:40" x14ac:dyDescent="0.45">
      <c r="I177" t="s">
        <v>174</v>
      </c>
      <c r="J177" t="s">
        <v>246</v>
      </c>
      <c r="K177">
        <v>4.079710546388237E-2</v>
      </c>
      <c r="L177" t="s">
        <v>165</v>
      </c>
      <c r="N177" t="s">
        <v>184</v>
      </c>
      <c r="O177" t="s">
        <v>246</v>
      </c>
      <c r="P177">
        <v>2.5192469950003054E-2</v>
      </c>
      <c r="Q177" t="s">
        <v>165</v>
      </c>
      <c r="S177" t="s">
        <v>194</v>
      </c>
      <c r="T177" t="s">
        <v>246</v>
      </c>
      <c r="U177">
        <v>2.2177466113518667E-2</v>
      </c>
      <c r="V177" t="s">
        <v>165</v>
      </c>
      <c r="AK177">
        <v>2045</v>
      </c>
      <c r="AL177" t="s">
        <v>224</v>
      </c>
      <c r="AM177">
        <v>0.57369999999999999</v>
      </c>
      <c r="AN177" t="s">
        <v>217</v>
      </c>
    </row>
    <row r="178" spans="9:40" x14ac:dyDescent="0.45">
      <c r="I178" t="s">
        <v>174</v>
      </c>
      <c r="J178" t="s">
        <v>247</v>
      </c>
      <c r="K178">
        <v>5.466068963586165E-4</v>
      </c>
      <c r="L178" t="s">
        <v>165</v>
      </c>
      <c r="N178" t="s">
        <v>184</v>
      </c>
      <c r="O178" t="s">
        <v>247</v>
      </c>
      <c r="P178">
        <v>3.0599925076341488E-3</v>
      </c>
      <c r="Q178" t="s">
        <v>165</v>
      </c>
      <c r="S178" t="s">
        <v>194</v>
      </c>
      <c r="T178" t="s">
        <v>247</v>
      </c>
      <c r="U178">
        <v>2.9118721745520267E-3</v>
      </c>
      <c r="V178" t="s">
        <v>165</v>
      </c>
      <c r="AK178">
        <v>2045</v>
      </c>
      <c r="AL178" t="s">
        <v>225</v>
      </c>
      <c r="AM178">
        <v>0.61129999999999995</v>
      </c>
      <c r="AN178" t="s">
        <v>217</v>
      </c>
    </row>
    <row r="179" spans="9:40" x14ac:dyDescent="0.45">
      <c r="I179" t="s">
        <v>174</v>
      </c>
      <c r="J179" t="s">
        <v>248</v>
      </c>
      <c r="K179">
        <v>0</v>
      </c>
      <c r="L179" t="s">
        <v>165</v>
      </c>
      <c r="N179" t="s">
        <v>184</v>
      </c>
      <c r="O179" t="s">
        <v>248</v>
      </c>
      <c r="P179">
        <v>3.0927403942344282E-3</v>
      </c>
      <c r="Q179" t="s">
        <v>165</v>
      </c>
      <c r="S179" t="s">
        <v>194</v>
      </c>
      <c r="T179" t="s">
        <v>248</v>
      </c>
      <c r="U179">
        <v>2.9500484223251335E-3</v>
      </c>
      <c r="V179" t="s">
        <v>165</v>
      </c>
      <c r="AK179">
        <v>2046</v>
      </c>
      <c r="AL179" t="s">
        <v>155</v>
      </c>
      <c r="AM179">
        <v>0.55020000000000002</v>
      </c>
      <c r="AN179" t="s">
        <v>217</v>
      </c>
    </row>
    <row r="180" spans="9:40" x14ac:dyDescent="0.45">
      <c r="I180" t="s">
        <v>174</v>
      </c>
      <c r="J180" t="s">
        <v>249</v>
      </c>
      <c r="K180">
        <v>0</v>
      </c>
      <c r="L180" t="s">
        <v>165</v>
      </c>
      <c r="N180" t="s">
        <v>184</v>
      </c>
      <c r="O180" t="s">
        <v>249</v>
      </c>
      <c r="P180">
        <v>1.9132280573771674E-2</v>
      </c>
      <c r="Q180" t="s">
        <v>165</v>
      </c>
      <c r="S180" t="s">
        <v>194</v>
      </c>
      <c r="T180" t="s">
        <v>249</v>
      </c>
      <c r="U180">
        <v>1.6501447800534991E-2</v>
      </c>
      <c r="V180" t="s">
        <v>165</v>
      </c>
      <c r="AK180">
        <v>2046</v>
      </c>
      <c r="AL180" t="s">
        <v>159</v>
      </c>
      <c r="AM180">
        <v>0.56169999999999998</v>
      </c>
      <c r="AN180" t="s">
        <v>217</v>
      </c>
    </row>
    <row r="181" spans="9:40" x14ac:dyDescent="0.45">
      <c r="I181" t="s">
        <v>174</v>
      </c>
      <c r="J181" t="s">
        <v>250</v>
      </c>
      <c r="K181">
        <v>0</v>
      </c>
      <c r="L181" t="s">
        <v>165</v>
      </c>
      <c r="N181" t="s">
        <v>184</v>
      </c>
      <c r="O181" t="s">
        <v>250</v>
      </c>
      <c r="P181">
        <v>4.6970762856613939E-2</v>
      </c>
      <c r="Q181" t="s">
        <v>165</v>
      </c>
      <c r="S181" t="s">
        <v>194</v>
      </c>
      <c r="T181" t="s">
        <v>250</v>
      </c>
      <c r="U181">
        <v>3.597379479073462E-2</v>
      </c>
      <c r="V181" t="s">
        <v>165</v>
      </c>
      <c r="AK181">
        <v>2046</v>
      </c>
      <c r="AL181" t="s">
        <v>161</v>
      </c>
      <c r="AM181">
        <v>0.4612</v>
      </c>
      <c r="AN181" t="s">
        <v>217</v>
      </c>
    </row>
    <row r="182" spans="9:40" x14ac:dyDescent="0.45">
      <c r="I182" t="s">
        <v>174</v>
      </c>
      <c r="J182" t="s">
        <v>251</v>
      </c>
      <c r="K182">
        <v>2.2412225112557221E-2</v>
      </c>
      <c r="L182" t="s">
        <v>165</v>
      </c>
      <c r="N182" t="s">
        <v>184</v>
      </c>
      <c r="O182" t="s">
        <v>251</v>
      </c>
      <c r="P182">
        <v>4.8294740801702402E-2</v>
      </c>
      <c r="Q182" t="s">
        <v>165</v>
      </c>
      <c r="S182" t="s">
        <v>194</v>
      </c>
      <c r="T182" t="s">
        <v>251</v>
      </c>
      <c r="U182">
        <v>3.8946412076090946E-2</v>
      </c>
      <c r="V182" t="s">
        <v>165</v>
      </c>
      <c r="AK182">
        <v>2046</v>
      </c>
      <c r="AL182" t="s">
        <v>220</v>
      </c>
      <c r="AM182">
        <v>0.2306</v>
      </c>
      <c r="AN182" t="s">
        <v>217</v>
      </c>
    </row>
    <row r="183" spans="9:40" x14ac:dyDescent="0.45">
      <c r="I183" t="s">
        <v>174</v>
      </c>
      <c r="J183" t="s">
        <v>252</v>
      </c>
      <c r="K183">
        <v>0</v>
      </c>
      <c r="L183" t="s">
        <v>165</v>
      </c>
      <c r="N183" t="s">
        <v>184</v>
      </c>
      <c r="O183" t="s">
        <v>252</v>
      </c>
      <c r="P183">
        <v>6.4010454360047273E-3</v>
      </c>
      <c r="Q183" t="s">
        <v>165</v>
      </c>
      <c r="S183" t="s">
        <v>194</v>
      </c>
      <c r="T183" t="s">
        <v>252</v>
      </c>
      <c r="U183">
        <v>5.1124737440505471E-3</v>
      </c>
      <c r="V183" t="s">
        <v>165</v>
      </c>
      <c r="AK183">
        <v>2046</v>
      </c>
      <c r="AL183" t="s">
        <v>222</v>
      </c>
      <c r="AM183">
        <v>0.20065999999999998</v>
      </c>
      <c r="AN183" t="s">
        <v>217</v>
      </c>
    </row>
    <row r="184" spans="9:40" x14ac:dyDescent="0.45">
      <c r="I184" t="s">
        <v>174</v>
      </c>
      <c r="J184" t="s">
        <v>253</v>
      </c>
      <c r="K184">
        <v>0</v>
      </c>
      <c r="L184" t="s">
        <v>165</v>
      </c>
      <c r="N184" t="s">
        <v>184</v>
      </c>
      <c r="O184" t="s">
        <v>253</v>
      </c>
      <c r="P184">
        <v>6.411024248708699E-3</v>
      </c>
      <c r="Q184" t="s">
        <v>165</v>
      </c>
      <c r="S184" t="s">
        <v>194</v>
      </c>
      <c r="T184" t="s">
        <v>253</v>
      </c>
      <c r="U184">
        <v>5.0542592045743949E-3</v>
      </c>
      <c r="V184" t="s">
        <v>165</v>
      </c>
      <c r="AK184">
        <v>2046</v>
      </c>
      <c r="AL184" t="s">
        <v>224</v>
      </c>
      <c r="AM184">
        <v>0.5202</v>
      </c>
      <c r="AN184" t="s">
        <v>217</v>
      </c>
    </row>
    <row r="185" spans="9:40" x14ac:dyDescent="0.45">
      <c r="I185" t="s">
        <v>174</v>
      </c>
      <c r="J185" t="s">
        <v>254</v>
      </c>
      <c r="K185">
        <v>0</v>
      </c>
      <c r="L185" t="s">
        <v>165</v>
      </c>
      <c r="N185" t="s">
        <v>184</v>
      </c>
      <c r="O185" t="s">
        <v>254</v>
      </c>
      <c r="P185">
        <v>3.9864282765964335E-2</v>
      </c>
      <c r="Q185" t="s">
        <v>165</v>
      </c>
      <c r="S185" t="s">
        <v>194</v>
      </c>
      <c r="T185" t="s">
        <v>254</v>
      </c>
      <c r="U185">
        <v>2.9962228561388179E-2</v>
      </c>
      <c r="V185" t="s">
        <v>165</v>
      </c>
      <c r="AK185">
        <v>2046</v>
      </c>
      <c r="AL185" t="s">
        <v>225</v>
      </c>
      <c r="AM185">
        <v>0.5988</v>
      </c>
      <c r="AN185" t="s">
        <v>217</v>
      </c>
    </row>
    <row r="186" spans="9:40" x14ac:dyDescent="0.45">
      <c r="I186" t="s">
        <v>175</v>
      </c>
      <c r="J186" t="s">
        <v>164</v>
      </c>
      <c r="K186">
        <v>0</v>
      </c>
      <c r="L186" t="s">
        <v>165</v>
      </c>
      <c r="N186" t="s">
        <v>185</v>
      </c>
      <c r="O186" t="s">
        <v>164</v>
      </c>
      <c r="P186">
        <v>3.1434401644683266E-2</v>
      </c>
      <c r="Q186" t="s">
        <v>165</v>
      </c>
      <c r="S186" t="s">
        <v>195</v>
      </c>
      <c r="T186" t="s">
        <v>164</v>
      </c>
      <c r="U186">
        <v>3.0622708715581339E-2</v>
      </c>
      <c r="V186" t="s">
        <v>165</v>
      </c>
      <c r="AK186">
        <v>2047</v>
      </c>
      <c r="AL186" t="s">
        <v>155</v>
      </c>
      <c r="AM186">
        <v>0.60440000000000005</v>
      </c>
      <c r="AN186" t="s">
        <v>217</v>
      </c>
    </row>
    <row r="187" spans="9:40" x14ac:dyDescent="0.45">
      <c r="I187" t="s">
        <v>175</v>
      </c>
      <c r="J187" t="s">
        <v>166</v>
      </c>
      <c r="K187">
        <v>2.1360589852548996E-2</v>
      </c>
      <c r="L187" t="s">
        <v>165</v>
      </c>
      <c r="N187" t="s">
        <v>185</v>
      </c>
      <c r="O187" t="s">
        <v>166</v>
      </c>
      <c r="P187">
        <v>3.427035969183323E-2</v>
      </c>
      <c r="Q187" t="s">
        <v>165</v>
      </c>
      <c r="S187" t="s">
        <v>195</v>
      </c>
      <c r="T187" t="s">
        <v>166</v>
      </c>
      <c r="U187">
        <v>3.6237888493435032E-2</v>
      </c>
      <c r="V187" t="s">
        <v>165</v>
      </c>
      <c r="AK187">
        <v>2047</v>
      </c>
      <c r="AL187" t="s">
        <v>159</v>
      </c>
      <c r="AM187">
        <v>0.53420000000000001</v>
      </c>
      <c r="AN187" t="s">
        <v>217</v>
      </c>
    </row>
    <row r="188" spans="9:40" x14ac:dyDescent="0.45">
      <c r="I188" t="s">
        <v>175</v>
      </c>
      <c r="J188" t="s">
        <v>226</v>
      </c>
      <c r="K188">
        <v>1.013253219711661E-3</v>
      </c>
      <c r="L188" t="s">
        <v>165</v>
      </c>
      <c r="N188" t="s">
        <v>185</v>
      </c>
      <c r="O188" t="s">
        <v>226</v>
      </c>
      <c r="P188">
        <v>4.0392459006820753E-3</v>
      </c>
      <c r="Q188" t="s">
        <v>165</v>
      </c>
      <c r="S188" t="s">
        <v>195</v>
      </c>
      <c r="T188" t="s">
        <v>226</v>
      </c>
      <c r="U188">
        <v>4.1307598020784977E-3</v>
      </c>
      <c r="V188" t="s">
        <v>165</v>
      </c>
      <c r="AK188">
        <v>2047</v>
      </c>
      <c r="AL188" t="s">
        <v>161</v>
      </c>
      <c r="AM188">
        <v>0.46450000000000002</v>
      </c>
      <c r="AN188" t="s">
        <v>217</v>
      </c>
    </row>
    <row r="189" spans="9:40" x14ac:dyDescent="0.45">
      <c r="I189" t="s">
        <v>175</v>
      </c>
      <c r="J189" t="s">
        <v>227</v>
      </c>
      <c r="K189">
        <v>0</v>
      </c>
      <c r="L189" t="s">
        <v>165</v>
      </c>
      <c r="N189" t="s">
        <v>185</v>
      </c>
      <c r="O189" t="s">
        <v>227</v>
      </c>
      <c r="P189">
        <v>4.0111631493299224E-3</v>
      </c>
      <c r="Q189" t="s">
        <v>165</v>
      </c>
      <c r="S189" t="s">
        <v>195</v>
      </c>
      <c r="T189" t="s">
        <v>227</v>
      </c>
      <c r="U189">
        <v>4.1085131301356551E-3</v>
      </c>
      <c r="V189" t="s">
        <v>165</v>
      </c>
      <c r="AK189">
        <v>2047</v>
      </c>
      <c r="AL189" t="s">
        <v>220</v>
      </c>
      <c r="AM189">
        <v>0.22700000000000001</v>
      </c>
      <c r="AN189" t="s">
        <v>217</v>
      </c>
    </row>
    <row r="190" spans="9:40" x14ac:dyDescent="0.45">
      <c r="I190" t="s">
        <v>175</v>
      </c>
      <c r="J190" t="s">
        <v>228</v>
      </c>
      <c r="K190">
        <v>0</v>
      </c>
      <c r="L190" t="s">
        <v>165</v>
      </c>
      <c r="N190" t="s">
        <v>185</v>
      </c>
      <c r="O190" t="s">
        <v>228</v>
      </c>
      <c r="P190">
        <v>2.5100897443009022E-2</v>
      </c>
      <c r="Q190" t="s">
        <v>165</v>
      </c>
      <c r="S190" t="s">
        <v>195</v>
      </c>
      <c r="T190" t="s">
        <v>228</v>
      </c>
      <c r="U190">
        <v>2.4512636168013552E-2</v>
      </c>
      <c r="V190" t="s">
        <v>165</v>
      </c>
      <c r="AK190">
        <v>2047</v>
      </c>
      <c r="AL190" t="s">
        <v>222</v>
      </c>
      <c r="AM190">
        <v>0.20594000000000001</v>
      </c>
      <c r="AN190" t="s">
        <v>217</v>
      </c>
    </row>
    <row r="191" spans="9:40" x14ac:dyDescent="0.45">
      <c r="I191" t="s">
        <v>175</v>
      </c>
      <c r="J191" t="s">
        <v>167</v>
      </c>
      <c r="K191">
        <v>0</v>
      </c>
      <c r="L191" t="s">
        <v>165</v>
      </c>
      <c r="N191" t="s">
        <v>185</v>
      </c>
      <c r="O191" t="s">
        <v>167</v>
      </c>
      <c r="P191">
        <v>2.6406851303329412E-2</v>
      </c>
      <c r="Q191" t="s">
        <v>165</v>
      </c>
      <c r="S191" t="s">
        <v>195</v>
      </c>
      <c r="T191" t="s">
        <v>167</v>
      </c>
      <c r="U191">
        <v>2.9861095417914457E-2</v>
      </c>
      <c r="V191" t="s">
        <v>165</v>
      </c>
      <c r="AK191">
        <v>2047</v>
      </c>
      <c r="AL191" t="s">
        <v>224</v>
      </c>
      <c r="AM191">
        <v>0.54930000000000001</v>
      </c>
      <c r="AN191" t="s">
        <v>217</v>
      </c>
    </row>
    <row r="192" spans="9:40" x14ac:dyDescent="0.45">
      <c r="I192" t="s">
        <v>175</v>
      </c>
      <c r="J192" t="s">
        <v>168</v>
      </c>
      <c r="K192">
        <v>4.681214995217884E-2</v>
      </c>
      <c r="L192" t="s">
        <v>165</v>
      </c>
      <c r="N192" t="s">
        <v>185</v>
      </c>
      <c r="O192" t="s">
        <v>168</v>
      </c>
      <c r="P192">
        <v>2.718261685476198E-2</v>
      </c>
      <c r="Q192" t="s">
        <v>165</v>
      </c>
      <c r="S192" t="s">
        <v>195</v>
      </c>
      <c r="T192" t="s">
        <v>168</v>
      </c>
      <c r="U192">
        <v>3.347943401628066E-2</v>
      </c>
      <c r="V192" t="s">
        <v>165</v>
      </c>
      <c r="AK192">
        <v>2047</v>
      </c>
      <c r="AL192" t="s">
        <v>225</v>
      </c>
      <c r="AM192">
        <v>0.5524</v>
      </c>
      <c r="AN192" t="s">
        <v>217</v>
      </c>
    </row>
    <row r="193" spans="9:40" x14ac:dyDescent="0.45">
      <c r="I193" t="s">
        <v>175</v>
      </c>
      <c r="J193" t="s">
        <v>229</v>
      </c>
      <c r="K193">
        <v>4.5356789087208334E-3</v>
      </c>
      <c r="L193" t="s">
        <v>165</v>
      </c>
      <c r="N193" t="s">
        <v>185</v>
      </c>
      <c r="O193" t="s">
        <v>229</v>
      </c>
      <c r="P193">
        <v>3.2533079202049634E-3</v>
      </c>
      <c r="Q193" t="s">
        <v>165</v>
      </c>
      <c r="S193" t="s">
        <v>195</v>
      </c>
      <c r="T193" t="s">
        <v>229</v>
      </c>
      <c r="U193">
        <v>4.1582408849504121E-3</v>
      </c>
      <c r="V193" t="s">
        <v>165</v>
      </c>
      <c r="AK193">
        <v>2048</v>
      </c>
      <c r="AL193" t="s">
        <v>155</v>
      </c>
      <c r="AM193">
        <v>0.56640000000000001</v>
      </c>
      <c r="AN193" t="s">
        <v>217</v>
      </c>
    </row>
    <row r="194" spans="9:40" x14ac:dyDescent="0.45">
      <c r="I194" t="s">
        <v>175</v>
      </c>
      <c r="J194" t="s">
        <v>230</v>
      </c>
      <c r="K194">
        <v>1.7266519130488746E-3</v>
      </c>
      <c r="L194" t="s">
        <v>165</v>
      </c>
      <c r="N194" t="s">
        <v>185</v>
      </c>
      <c r="O194" t="s">
        <v>230</v>
      </c>
      <c r="P194">
        <v>3.2532467137469821E-3</v>
      </c>
      <c r="Q194" t="s">
        <v>165</v>
      </c>
      <c r="S194" t="s">
        <v>195</v>
      </c>
      <c r="T194" t="s">
        <v>230</v>
      </c>
      <c r="U194">
        <v>4.0189814836382671E-3</v>
      </c>
      <c r="V194" t="s">
        <v>165</v>
      </c>
      <c r="AK194">
        <v>2048</v>
      </c>
      <c r="AL194" t="s">
        <v>159</v>
      </c>
      <c r="AM194">
        <v>0.59650000000000003</v>
      </c>
      <c r="AN194" t="s">
        <v>217</v>
      </c>
    </row>
    <row r="195" spans="9:40" x14ac:dyDescent="0.45">
      <c r="I195" t="s">
        <v>175</v>
      </c>
      <c r="J195" t="s">
        <v>231</v>
      </c>
      <c r="K195">
        <v>0</v>
      </c>
      <c r="L195" t="s">
        <v>165</v>
      </c>
      <c r="N195" t="s">
        <v>185</v>
      </c>
      <c r="O195" t="s">
        <v>231</v>
      </c>
      <c r="P195">
        <v>2.0193210542979109E-2</v>
      </c>
      <c r="Q195" t="s">
        <v>165</v>
      </c>
      <c r="S195" t="s">
        <v>195</v>
      </c>
      <c r="T195" t="s">
        <v>231</v>
      </c>
      <c r="U195">
        <v>2.3794979727149761E-2</v>
      </c>
      <c r="V195" t="s">
        <v>165</v>
      </c>
      <c r="AK195">
        <v>2048</v>
      </c>
      <c r="AL195" t="s">
        <v>161</v>
      </c>
      <c r="AM195">
        <v>0.45579999999999998</v>
      </c>
      <c r="AN195" t="s">
        <v>217</v>
      </c>
    </row>
    <row r="196" spans="9:40" x14ac:dyDescent="0.45">
      <c r="I196" t="s">
        <v>175</v>
      </c>
      <c r="J196" t="s">
        <v>169</v>
      </c>
      <c r="K196">
        <v>5.3079706960694091E-3</v>
      </c>
      <c r="L196" t="s">
        <v>165</v>
      </c>
      <c r="N196" t="s">
        <v>185</v>
      </c>
      <c r="O196" t="s">
        <v>169</v>
      </c>
      <c r="P196">
        <v>2.9696075231585493E-2</v>
      </c>
      <c r="Q196" t="s">
        <v>165</v>
      </c>
      <c r="S196" t="s">
        <v>195</v>
      </c>
      <c r="T196" t="s">
        <v>169</v>
      </c>
      <c r="U196">
        <v>3.2195111561833183E-2</v>
      </c>
      <c r="V196" t="s">
        <v>165</v>
      </c>
      <c r="AK196">
        <v>2048</v>
      </c>
      <c r="AL196" t="s">
        <v>220</v>
      </c>
      <c r="AM196">
        <v>0.23185</v>
      </c>
      <c r="AN196" t="s">
        <v>217</v>
      </c>
    </row>
    <row r="197" spans="9:40" x14ac:dyDescent="0.45">
      <c r="I197" t="s">
        <v>175</v>
      </c>
      <c r="J197" t="s">
        <v>170</v>
      </c>
      <c r="K197">
        <v>6.6725063886212715E-2</v>
      </c>
      <c r="L197" t="s">
        <v>165</v>
      </c>
      <c r="N197" t="s">
        <v>185</v>
      </c>
      <c r="O197" t="s">
        <v>170</v>
      </c>
      <c r="P197">
        <v>3.362979300635241E-2</v>
      </c>
      <c r="Q197" t="s">
        <v>165</v>
      </c>
      <c r="S197" t="s">
        <v>195</v>
      </c>
      <c r="T197" t="s">
        <v>170</v>
      </c>
      <c r="U197">
        <v>3.4942476274976694E-2</v>
      </c>
      <c r="V197" t="s">
        <v>165</v>
      </c>
      <c r="AK197">
        <v>2048</v>
      </c>
      <c r="AL197" t="s">
        <v>222</v>
      </c>
      <c r="AM197">
        <v>0.21259999999999998</v>
      </c>
      <c r="AN197" t="s">
        <v>217</v>
      </c>
    </row>
    <row r="198" spans="9:40" x14ac:dyDescent="0.45">
      <c r="I198" t="s">
        <v>175</v>
      </c>
      <c r="J198" t="s">
        <v>232</v>
      </c>
      <c r="K198">
        <v>6.1430111048889546E-3</v>
      </c>
      <c r="L198" t="s">
        <v>165</v>
      </c>
      <c r="N198" t="s">
        <v>185</v>
      </c>
      <c r="O198" t="s">
        <v>232</v>
      </c>
      <c r="P198">
        <v>3.9839862970194023E-3</v>
      </c>
      <c r="Q198" t="s">
        <v>165</v>
      </c>
      <c r="S198" t="s">
        <v>195</v>
      </c>
      <c r="T198" t="s">
        <v>232</v>
      </c>
      <c r="U198">
        <v>4.1180650952627124E-3</v>
      </c>
      <c r="V198" t="s">
        <v>165</v>
      </c>
      <c r="AK198">
        <v>2048</v>
      </c>
      <c r="AL198" t="s">
        <v>224</v>
      </c>
      <c r="AM198">
        <v>0.50990000000000002</v>
      </c>
      <c r="AN198" t="s">
        <v>217</v>
      </c>
    </row>
    <row r="199" spans="9:40" x14ac:dyDescent="0.45">
      <c r="I199" t="s">
        <v>175</v>
      </c>
      <c r="J199" t="s">
        <v>233</v>
      </c>
      <c r="K199">
        <v>4.5874115762975093E-3</v>
      </c>
      <c r="L199" t="s">
        <v>165</v>
      </c>
      <c r="N199" t="s">
        <v>185</v>
      </c>
      <c r="O199" t="s">
        <v>233</v>
      </c>
      <c r="P199">
        <v>3.7781373888729534E-3</v>
      </c>
      <c r="Q199" t="s">
        <v>165</v>
      </c>
      <c r="S199" t="s">
        <v>195</v>
      </c>
      <c r="T199" t="s">
        <v>233</v>
      </c>
      <c r="U199">
        <v>3.9229461976662472E-3</v>
      </c>
      <c r="V199" t="s">
        <v>165</v>
      </c>
      <c r="AK199">
        <v>2048</v>
      </c>
      <c r="AL199" t="s">
        <v>225</v>
      </c>
      <c r="AM199">
        <v>0.58509999999999995</v>
      </c>
      <c r="AN199" t="s">
        <v>217</v>
      </c>
    </row>
    <row r="200" spans="9:40" x14ac:dyDescent="0.45">
      <c r="I200" t="s">
        <v>175</v>
      </c>
      <c r="J200" t="s">
        <v>234</v>
      </c>
      <c r="K200">
        <v>1.2022251738621696E-3</v>
      </c>
      <c r="L200" t="s">
        <v>165</v>
      </c>
      <c r="N200" t="s">
        <v>185</v>
      </c>
      <c r="O200" t="s">
        <v>234</v>
      </c>
      <c r="P200">
        <v>2.319423076005183E-2</v>
      </c>
      <c r="Q200" t="s">
        <v>165</v>
      </c>
      <c r="S200" t="s">
        <v>195</v>
      </c>
      <c r="T200" t="s">
        <v>234</v>
      </c>
      <c r="U200">
        <v>2.446601020796102E-2</v>
      </c>
      <c r="V200" t="s">
        <v>165</v>
      </c>
      <c r="AK200">
        <v>2049</v>
      </c>
      <c r="AL200" t="s">
        <v>155</v>
      </c>
      <c r="AM200">
        <v>0.60660000000000003</v>
      </c>
      <c r="AN200" t="s">
        <v>217</v>
      </c>
    </row>
    <row r="201" spans="9:40" x14ac:dyDescent="0.45">
      <c r="I201" t="s">
        <v>175</v>
      </c>
      <c r="J201" t="s">
        <v>235</v>
      </c>
      <c r="K201">
        <v>2.9726632609327973E-2</v>
      </c>
      <c r="L201" t="s">
        <v>165</v>
      </c>
      <c r="N201" t="s">
        <v>185</v>
      </c>
      <c r="O201" t="s">
        <v>235</v>
      </c>
      <c r="P201">
        <v>6.2100126051384603E-2</v>
      </c>
      <c r="Q201" t="s">
        <v>165</v>
      </c>
      <c r="S201" t="s">
        <v>195</v>
      </c>
      <c r="T201" t="s">
        <v>235</v>
      </c>
      <c r="U201">
        <v>6.018076489483809E-2</v>
      </c>
      <c r="V201" t="s">
        <v>165</v>
      </c>
      <c r="AK201">
        <v>2049</v>
      </c>
      <c r="AL201" t="s">
        <v>159</v>
      </c>
      <c r="AM201">
        <v>0.51559999999999995</v>
      </c>
      <c r="AN201" t="s">
        <v>217</v>
      </c>
    </row>
    <row r="202" spans="9:40" x14ac:dyDescent="0.45">
      <c r="I202" t="s">
        <v>175</v>
      </c>
      <c r="J202" t="s">
        <v>236</v>
      </c>
      <c r="K202">
        <v>0.18599825991765401</v>
      </c>
      <c r="L202" t="s">
        <v>165</v>
      </c>
      <c r="N202" t="s">
        <v>185</v>
      </c>
      <c r="O202" t="s">
        <v>236</v>
      </c>
      <c r="P202">
        <v>6.9937827261078903E-2</v>
      </c>
      <c r="Q202" t="s">
        <v>165</v>
      </c>
      <c r="S202" t="s">
        <v>195</v>
      </c>
      <c r="T202" t="s">
        <v>236</v>
      </c>
      <c r="U202">
        <v>7.3164546693833155E-2</v>
      </c>
      <c r="V202" t="s">
        <v>165</v>
      </c>
      <c r="AK202">
        <v>2049</v>
      </c>
      <c r="AL202" t="s">
        <v>161</v>
      </c>
      <c r="AM202">
        <v>0.4123</v>
      </c>
      <c r="AN202" t="s">
        <v>217</v>
      </c>
    </row>
    <row r="203" spans="9:40" x14ac:dyDescent="0.45">
      <c r="I203" t="s">
        <v>175</v>
      </c>
      <c r="J203" t="s">
        <v>237</v>
      </c>
      <c r="K203">
        <v>1.9399279232030595E-2</v>
      </c>
      <c r="L203" t="s">
        <v>165</v>
      </c>
      <c r="N203" t="s">
        <v>185</v>
      </c>
      <c r="O203" t="s">
        <v>237</v>
      </c>
      <c r="P203">
        <v>8.5216851064949181E-3</v>
      </c>
      <c r="Q203" t="s">
        <v>165</v>
      </c>
      <c r="S203" t="s">
        <v>195</v>
      </c>
      <c r="T203" t="s">
        <v>237</v>
      </c>
      <c r="U203">
        <v>9.4634197343844879E-3</v>
      </c>
      <c r="V203" t="s">
        <v>165</v>
      </c>
      <c r="AK203">
        <v>2049</v>
      </c>
      <c r="AL203" t="s">
        <v>220</v>
      </c>
      <c r="AM203">
        <v>0.2112</v>
      </c>
      <c r="AN203" t="s">
        <v>217</v>
      </c>
    </row>
    <row r="204" spans="9:40" x14ac:dyDescent="0.45">
      <c r="I204" t="s">
        <v>175</v>
      </c>
      <c r="J204" t="s">
        <v>238</v>
      </c>
      <c r="K204">
        <v>1.5567989732316998E-2</v>
      </c>
      <c r="L204" t="s">
        <v>165</v>
      </c>
      <c r="N204" t="s">
        <v>185</v>
      </c>
      <c r="O204" t="s">
        <v>238</v>
      </c>
      <c r="P204">
        <v>7.9408364577457837E-3</v>
      </c>
      <c r="Q204" t="s">
        <v>165</v>
      </c>
      <c r="S204" t="s">
        <v>195</v>
      </c>
      <c r="T204" t="s">
        <v>238</v>
      </c>
      <c r="U204">
        <v>9.0526063012596209E-3</v>
      </c>
      <c r="V204" t="s">
        <v>165</v>
      </c>
      <c r="AK204">
        <v>2049</v>
      </c>
      <c r="AL204" t="s">
        <v>222</v>
      </c>
      <c r="AM204">
        <v>0.21387999999999999</v>
      </c>
      <c r="AN204" t="s">
        <v>217</v>
      </c>
    </row>
    <row r="205" spans="9:40" x14ac:dyDescent="0.45">
      <c r="I205" t="s">
        <v>175</v>
      </c>
      <c r="J205" t="s">
        <v>239</v>
      </c>
      <c r="K205">
        <v>1.4991189394019343E-2</v>
      </c>
      <c r="L205" t="s">
        <v>165</v>
      </c>
      <c r="N205" t="s">
        <v>185</v>
      </c>
      <c r="O205" t="s">
        <v>239</v>
      </c>
      <c r="P205">
        <v>4.4605895381160401E-2</v>
      </c>
      <c r="Q205" t="s">
        <v>165</v>
      </c>
      <c r="S205" t="s">
        <v>195</v>
      </c>
      <c r="T205" t="s">
        <v>239</v>
      </c>
      <c r="U205">
        <v>4.6868879455346332E-2</v>
      </c>
      <c r="V205" t="s">
        <v>165</v>
      </c>
      <c r="AK205">
        <v>2049</v>
      </c>
      <c r="AL205" t="s">
        <v>224</v>
      </c>
      <c r="AM205">
        <v>0.51829999999999998</v>
      </c>
      <c r="AN205" t="s">
        <v>217</v>
      </c>
    </row>
    <row r="206" spans="9:40" x14ac:dyDescent="0.45">
      <c r="I206" t="s">
        <v>175</v>
      </c>
      <c r="J206" t="s">
        <v>240</v>
      </c>
      <c r="K206">
        <v>5.771136570061676E-2</v>
      </c>
      <c r="L206" t="s">
        <v>165</v>
      </c>
      <c r="N206" t="s">
        <v>185</v>
      </c>
      <c r="O206" t="s">
        <v>240</v>
      </c>
      <c r="P206">
        <v>9.5672623797480399E-2</v>
      </c>
      <c r="Q206" t="s">
        <v>165</v>
      </c>
      <c r="S206" t="s">
        <v>195</v>
      </c>
      <c r="T206" t="s">
        <v>240</v>
      </c>
      <c r="U206">
        <v>9.0133192194788617E-2</v>
      </c>
      <c r="V206" t="s">
        <v>165</v>
      </c>
      <c r="AK206">
        <v>2049</v>
      </c>
      <c r="AL206" t="s">
        <v>225</v>
      </c>
      <c r="AM206">
        <v>0.5645</v>
      </c>
      <c r="AN206" t="s">
        <v>217</v>
      </c>
    </row>
    <row r="207" spans="9:40" x14ac:dyDescent="0.45">
      <c r="I207" t="s">
        <v>175</v>
      </c>
      <c r="J207" t="s">
        <v>241</v>
      </c>
      <c r="K207">
        <v>0.36443834061116276</v>
      </c>
      <c r="L207" t="s">
        <v>165</v>
      </c>
      <c r="N207" t="s">
        <v>185</v>
      </c>
      <c r="O207" t="s">
        <v>241</v>
      </c>
      <c r="P207">
        <v>0.11646686047126097</v>
      </c>
      <c r="Q207" t="s">
        <v>165</v>
      </c>
      <c r="S207" t="s">
        <v>195</v>
      </c>
      <c r="T207" t="s">
        <v>241</v>
      </c>
      <c r="U207">
        <v>0.11671691348203175</v>
      </c>
      <c r="V207" t="s">
        <v>165</v>
      </c>
      <c r="AK207">
        <v>2050</v>
      </c>
      <c r="AL207" t="s">
        <v>155</v>
      </c>
      <c r="AM207">
        <v>0.55389999999999995</v>
      </c>
      <c r="AN207" t="s">
        <v>217</v>
      </c>
    </row>
    <row r="208" spans="9:40" x14ac:dyDescent="0.45">
      <c r="I208" t="s">
        <v>175</v>
      </c>
      <c r="J208" t="s">
        <v>242</v>
      </c>
      <c r="K208">
        <v>3.5240809949823398E-2</v>
      </c>
      <c r="L208" t="s">
        <v>165</v>
      </c>
      <c r="N208" t="s">
        <v>185</v>
      </c>
      <c r="O208" t="s">
        <v>242</v>
      </c>
      <c r="P208">
        <v>1.3836136253763912E-2</v>
      </c>
      <c r="Q208" t="s">
        <v>165</v>
      </c>
      <c r="S208" t="s">
        <v>195</v>
      </c>
      <c r="T208" t="s">
        <v>242</v>
      </c>
      <c r="U208">
        <v>1.4313987337732172E-2</v>
      </c>
      <c r="V208" t="s">
        <v>165</v>
      </c>
      <c r="AK208">
        <v>2050</v>
      </c>
      <c r="AL208" t="s">
        <v>159</v>
      </c>
      <c r="AM208">
        <v>0.56579999999999997</v>
      </c>
      <c r="AN208" t="s">
        <v>217</v>
      </c>
    </row>
    <row r="209" spans="9:40" x14ac:dyDescent="0.45">
      <c r="I209" t="s">
        <v>175</v>
      </c>
      <c r="J209" t="s">
        <v>243</v>
      </c>
      <c r="K209">
        <v>2.7180152772359134E-2</v>
      </c>
      <c r="L209" t="s">
        <v>165</v>
      </c>
      <c r="N209" t="s">
        <v>185</v>
      </c>
      <c r="O209" t="s">
        <v>243</v>
      </c>
      <c r="P209">
        <v>1.3052628953875772E-2</v>
      </c>
      <c r="Q209" t="s">
        <v>165</v>
      </c>
      <c r="S209" t="s">
        <v>195</v>
      </c>
      <c r="T209" t="s">
        <v>243</v>
      </c>
      <c r="U209">
        <v>1.3287315823045379E-2</v>
      </c>
      <c r="V209" t="s">
        <v>165</v>
      </c>
      <c r="AK209">
        <v>2050</v>
      </c>
      <c r="AL209" t="s">
        <v>161</v>
      </c>
      <c r="AM209">
        <v>0.44879999999999998</v>
      </c>
      <c r="AN209" t="s">
        <v>217</v>
      </c>
    </row>
    <row r="210" spans="9:40" x14ac:dyDescent="0.45">
      <c r="I210" t="s">
        <v>175</v>
      </c>
      <c r="J210" t="s">
        <v>244</v>
      </c>
      <c r="K210">
        <v>2.9625035355481999E-2</v>
      </c>
      <c r="L210" t="s">
        <v>165</v>
      </c>
      <c r="N210" t="s">
        <v>185</v>
      </c>
      <c r="O210" t="s">
        <v>244</v>
      </c>
      <c r="P210">
        <v>7.344087448396043E-2</v>
      </c>
      <c r="Q210" t="s">
        <v>165</v>
      </c>
      <c r="S210" t="s">
        <v>195</v>
      </c>
      <c r="T210" t="s">
        <v>244</v>
      </c>
      <c r="U210">
        <v>6.7391840588794688E-2</v>
      </c>
      <c r="V210" t="s">
        <v>165</v>
      </c>
      <c r="AK210">
        <v>2050</v>
      </c>
      <c r="AL210" t="s">
        <v>220</v>
      </c>
      <c r="AM210">
        <v>0.21594999999999998</v>
      </c>
      <c r="AN210" t="s">
        <v>217</v>
      </c>
    </row>
    <row r="211" spans="9:40" x14ac:dyDescent="0.45">
      <c r="I211" t="s">
        <v>175</v>
      </c>
      <c r="J211" t="s">
        <v>245</v>
      </c>
      <c r="K211">
        <v>0</v>
      </c>
      <c r="L211" t="s">
        <v>165</v>
      </c>
      <c r="N211" t="s">
        <v>185</v>
      </c>
      <c r="O211" t="s">
        <v>245</v>
      </c>
      <c r="P211">
        <v>2.7129939644668883E-2</v>
      </c>
      <c r="Q211" t="s">
        <v>165</v>
      </c>
      <c r="S211" t="s">
        <v>195</v>
      </c>
      <c r="T211" t="s">
        <v>245</v>
      </c>
      <c r="U211">
        <v>2.3096218542976232E-2</v>
      </c>
      <c r="V211" t="s">
        <v>165</v>
      </c>
      <c r="AK211">
        <v>2050</v>
      </c>
      <c r="AL211" t="s">
        <v>222</v>
      </c>
      <c r="AM211">
        <v>0.20841999999999999</v>
      </c>
      <c r="AN211" t="s">
        <v>217</v>
      </c>
    </row>
    <row r="212" spans="9:40" x14ac:dyDescent="0.45">
      <c r="I212" t="s">
        <v>175</v>
      </c>
      <c r="J212" t="s">
        <v>246</v>
      </c>
      <c r="K212">
        <v>3.8772813815403866E-2</v>
      </c>
      <c r="L212" t="s">
        <v>165</v>
      </c>
      <c r="N212" t="s">
        <v>185</v>
      </c>
      <c r="O212" t="s">
        <v>246</v>
      </c>
      <c r="P212">
        <v>2.320694810647219E-2</v>
      </c>
      <c r="Q212" t="s">
        <v>165</v>
      </c>
      <c r="S212" t="s">
        <v>195</v>
      </c>
      <c r="T212" t="s">
        <v>246</v>
      </c>
      <c r="U212">
        <v>2.1881427815550497E-2</v>
      </c>
      <c r="V212" t="s">
        <v>165</v>
      </c>
      <c r="AK212">
        <v>2050</v>
      </c>
      <c r="AL212" t="s">
        <v>224</v>
      </c>
      <c r="AM212">
        <v>0.57340000000000002</v>
      </c>
      <c r="AN212" t="s">
        <v>217</v>
      </c>
    </row>
    <row r="213" spans="9:40" x14ac:dyDescent="0.45">
      <c r="I213" t="s">
        <v>175</v>
      </c>
      <c r="J213" t="s">
        <v>247</v>
      </c>
      <c r="K213">
        <v>6.9942617407091887E-4</v>
      </c>
      <c r="L213" t="s">
        <v>165</v>
      </c>
      <c r="N213" t="s">
        <v>185</v>
      </c>
      <c r="O213" t="s">
        <v>247</v>
      </c>
      <c r="P213">
        <v>2.8576922554331462E-3</v>
      </c>
      <c r="Q213" t="s">
        <v>165</v>
      </c>
      <c r="S213" t="s">
        <v>195</v>
      </c>
      <c r="T213" t="s">
        <v>247</v>
      </c>
      <c r="U213">
        <v>2.7420515578880588E-3</v>
      </c>
      <c r="V213" t="s">
        <v>165</v>
      </c>
      <c r="AK213">
        <v>2050</v>
      </c>
      <c r="AL213" t="s">
        <v>225</v>
      </c>
      <c r="AM213">
        <v>0.52890000000000004</v>
      </c>
      <c r="AN213" t="s">
        <v>217</v>
      </c>
    </row>
    <row r="214" spans="9:40" x14ac:dyDescent="0.45">
      <c r="I214" t="s">
        <v>175</v>
      </c>
      <c r="J214" t="s">
        <v>248</v>
      </c>
      <c r="K214">
        <v>0</v>
      </c>
      <c r="L214" t="s">
        <v>165</v>
      </c>
      <c r="N214" t="s">
        <v>185</v>
      </c>
      <c r="O214" t="s">
        <v>248</v>
      </c>
      <c r="P214">
        <v>2.8727475570824333E-3</v>
      </c>
      <c r="Q214" t="s">
        <v>165</v>
      </c>
      <c r="S214" t="s">
        <v>195</v>
      </c>
      <c r="T214" t="s">
        <v>248</v>
      </c>
      <c r="U214">
        <v>2.6689884055191787E-3</v>
      </c>
      <c r="V214" t="s">
        <v>165</v>
      </c>
    </row>
    <row r="215" spans="9:40" x14ac:dyDescent="0.45">
      <c r="I215" t="s">
        <v>175</v>
      </c>
      <c r="J215" t="s">
        <v>249</v>
      </c>
      <c r="K215">
        <v>0</v>
      </c>
      <c r="L215" t="s">
        <v>165</v>
      </c>
      <c r="N215" t="s">
        <v>185</v>
      </c>
      <c r="O215" t="s">
        <v>249</v>
      </c>
      <c r="P215">
        <v>1.8608972795442616E-2</v>
      </c>
      <c r="Q215" t="s">
        <v>165</v>
      </c>
      <c r="S215" t="s">
        <v>195</v>
      </c>
      <c r="T215" t="s">
        <v>249</v>
      </c>
      <c r="U215">
        <v>1.5022800825636477E-2</v>
      </c>
      <c r="V215" t="s">
        <v>165</v>
      </c>
    </row>
    <row r="216" spans="9:40" x14ac:dyDescent="0.45">
      <c r="I216" t="s">
        <v>175</v>
      </c>
      <c r="J216" t="s">
        <v>250</v>
      </c>
      <c r="K216">
        <v>0</v>
      </c>
      <c r="L216" t="s">
        <v>165</v>
      </c>
      <c r="N216" t="s">
        <v>185</v>
      </c>
      <c r="O216" t="s">
        <v>250</v>
      </c>
      <c r="P216">
        <v>4.5785885316899075E-2</v>
      </c>
      <c r="Q216" t="s">
        <v>165</v>
      </c>
      <c r="S216" t="s">
        <v>195</v>
      </c>
      <c r="T216" t="s">
        <v>250</v>
      </c>
      <c r="U216">
        <v>4.2796986186135297E-2</v>
      </c>
      <c r="V216" t="s">
        <v>165</v>
      </c>
    </row>
    <row r="217" spans="9:40" x14ac:dyDescent="0.45">
      <c r="I217" t="s">
        <v>175</v>
      </c>
      <c r="J217" t="s">
        <v>251</v>
      </c>
      <c r="K217">
        <v>2.1234698452194212E-2</v>
      </c>
      <c r="L217" t="s">
        <v>165</v>
      </c>
      <c r="N217" t="s">
        <v>185</v>
      </c>
      <c r="O217" t="s">
        <v>251</v>
      </c>
      <c r="P217">
        <v>4.8245643554037258E-2</v>
      </c>
      <c r="Q217" t="s">
        <v>165</v>
      </c>
      <c r="S217" t="s">
        <v>195</v>
      </c>
      <c r="T217" t="s">
        <v>251</v>
      </c>
      <c r="U217">
        <v>4.9285187529850796E-2</v>
      </c>
      <c r="V217" t="s">
        <v>165</v>
      </c>
    </row>
    <row r="218" spans="9:40" x14ac:dyDescent="0.45">
      <c r="I218" t="s">
        <v>175</v>
      </c>
      <c r="J218" t="s">
        <v>252</v>
      </c>
      <c r="K218">
        <v>0</v>
      </c>
      <c r="L218" t="s">
        <v>165</v>
      </c>
      <c r="N218" t="s">
        <v>185</v>
      </c>
      <c r="O218" t="s">
        <v>252</v>
      </c>
      <c r="P218">
        <v>6.2377520395433244E-3</v>
      </c>
      <c r="Q218" t="s">
        <v>165</v>
      </c>
      <c r="S218" t="s">
        <v>195</v>
      </c>
      <c r="T218" t="s">
        <v>252</v>
      </c>
      <c r="U218">
        <v>6.0659517057914348E-3</v>
      </c>
      <c r="V218" t="s">
        <v>165</v>
      </c>
    </row>
    <row r="219" spans="9:40" x14ac:dyDescent="0.45">
      <c r="I219" t="s">
        <v>175</v>
      </c>
      <c r="J219" t="s">
        <v>253</v>
      </c>
      <c r="K219">
        <v>0</v>
      </c>
      <c r="L219" t="s">
        <v>165</v>
      </c>
      <c r="N219" t="s">
        <v>185</v>
      </c>
      <c r="O219" t="s">
        <v>253</v>
      </c>
      <c r="P219">
        <v>6.3694774318795956E-3</v>
      </c>
      <c r="Q219" t="s">
        <v>165</v>
      </c>
      <c r="S219" t="s">
        <v>195</v>
      </c>
      <c r="T219" t="s">
        <v>253</v>
      </c>
      <c r="U219">
        <v>6.1529132727858541E-3</v>
      </c>
      <c r="V219" t="s">
        <v>165</v>
      </c>
    </row>
    <row r="220" spans="9:40" x14ac:dyDescent="0.45">
      <c r="I220" t="s">
        <v>175</v>
      </c>
      <c r="J220" t="s">
        <v>254</v>
      </c>
      <c r="K220">
        <v>0</v>
      </c>
      <c r="L220" t="s">
        <v>165</v>
      </c>
      <c r="N220" t="s">
        <v>185</v>
      </c>
      <c r="O220" t="s">
        <v>254</v>
      </c>
      <c r="P220">
        <v>3.9681923231892638E-2</v>
      </c>
      <c r="Q220" t="s">
        <v>165</v>
      </c>
      <c r="S220" t="s">
        <v>195</v>
      </c>
      <c r="T220" t="s">
        <v>254</v>
      </c>
      <c r="U220">
        <v>3.5144160474941476E-2</v>
      </c>
      <c r="V220" t="s">
        <v>165</v>
      </c>
    </row>
    <row r="221" spans="9:40" x14ac:dyDescent="0.45">
      <c r="I221" t="s">
        <v>176</v>
      </c>
      <c r="J221" t="s">
        <v>164</v>
      </c>
      <c r="K221">
        <v>0</v>
      </c>
      <c r="L221" t="s">
        <v>165</v>
      </c>
      <c r="N221" t="s">
        <v>186</v>
      </c>
      <c r="O221" t="s">
        <v>164</v>
      </c>
      <c r="P221">
        <v>3.3159465385958306E-2</v>
      </c>
      <c r="Q221" t="s">
        <v>165</v>
      </c>
      <c r="S221" t="s">
        <v>196</v>
      </c>
      <c r="T221" t="s">
        <v>164</v>
      </c>
      <c r="U221">
        <v>3.222629899851398E-2</v>
      </c>
      <c r="V221" t="s">
        <v>165</v>
      </c>
    </row>
    <row r="222" spans="9:40" x14ac:dyDescent="0.45">
      <c r="I222" t="s">
        <v>176</v>
      </c>
      <c r="J222" t="s">
        <v>166</v>
      </c>
      <c r="K222">
        <v>1.9452224695631251E-2</v>
      </c>
      <c r="L222" t="s">
        <v>165</v>
      </c>
      <c r="N222" t="s">
        <v>186</v>
      </c>
      <c r="O222" t="s">
        <v>166</v>
      </c>
      <c r="P222">
        <v>3.5837540806514988E-2</v>
      </c>
      <c r="Q222" t="s">
        <v>165</v>
      </c>
      <c r="S222" t="s">
        <v>196</v>
      </c>
      <c r="T222" t="s">
        <v>166</v>
      </c>
      <c r="U222">
        <v>3.2971852941372955E-2</v>
      </c>
      <c r="V222" t="s">
        <v>165</v>
      </c>
    </row>
    <row r="223" spans="9:40" x14ac:dyDescent="0.45">
      <c r="I223" t="s">
        <v>176</v>
      </c>
      <c r="J223" t="s">
        <v>226</v>
      </c>
      <c r="K223">
        <v>8.1113489991442101E-4</v>
      </c>
      <c r="L223" t="s">
        <v>165</v>
      </c>
      <c r="N223" t="s">
        <v>186</v>
      </c>
      <c r="O223" t="s">
        <v>226</v>
      </c>
      <c r="P223">
        <v>4.1582313819169747E-3</v>
      </c>
      <c r="Q223" t="s">
        <v>165</v>
      </c>
      <c r="S223" t="s">
        <v>196</v>
      </c>
      <c r="T223" t="s">
        <v>226</v>
      </c>
      <c r="U223">
        <v>4.1857686343717403E-3</v>
      </c>
      <c r="V223" t="s">
        <v>165</v>
      </c>
    </row>
    <row r="224" spans="9:40" x14ac:dyDescent="0.45">
      <c r="I224" t="s">
        <v>176</v>
      </c>
      <c r="J224" t="s">
        <v>227</v>
      </c>
      <c r="K224">
        <v>0</v>
      </c>
      <c r="L224" t="s">
        <v>165</v>
      </c>
      <c r="N224" t="s">
        <v>186</v>
      </c>
      <c r="O224" t="s">
        <v>227</v>
      </c>
      <c r="P224">
        <v>4.1386615697211766E-3</v>
      </c>
      <c r="Q224" t="s">
        <v>165</v>
      </c>
      <c r="S224" t="s">
        <v>196</v>
      </c>
      <c r="T224" t="s">
        <v>227</v>
      </c>
      <c r="U224">
        <v>4.2045403896108996E-3</v>
      </c>
      <c r="V224" t="s">
        <v>165</v>
      </c>
    </row>
    <row r="225" spans="9:22" x14ac:dyDescent="0.45">
      <c r="I225" t="s">
        <v>176</v>
      </c>
      <c r="J225" t="s">
        <v>228</v>
      </c>
      <c r="K225">
        <v>0</v>
      </c>
      <c r="L225" t="s">
        <v>165</v>
      </c>
      <c r="N225" t="s">
        <v>186</v>
      </c>
      <c r="O225" t="s">
        <v>228</v>
      </c>
      <c r="P225">
        <v>2.5036211395734503E-2</v>
      </c>
      <c r="Q225" t="s">
        <v>165</v>
      </c>
      <c r="S225" t="s">
        <v>196</v>
      </c>
      <c r="T225" t="s">
        <v>228</v>
      </c>
      <c r="U225">
        <v>2.5307369954279724E-2</v>
      </c>
      <c r="V225" t="s">
        <v>165</v>
      </c>
    </row>
    <row r="226" spans="9:22" x14ac:dyDescent="0.45">
      <c r="I226" t="s">
        <v>176</v>
      </c>
      <c r="J226" t="s">
        <v>167</v>
      </c>
      <c r="K226">
        <v>0</v>
      </c>
      <c r="L226" t="s">
        <v>165</v>
      </c>
      <c r="N226" t="s">
        <v>186</v>
      </c>
      <c r="O226" t="s">
        <v>167</v>
      </c>
      <c r="P226">
        <v>2.5898944608104189E-2</v>
      </c>
      <c r="Q226" t="s">
        <v>165</v>
      </c>
      <c r="S226" t="s">
        <v>196</v>
      </c>
      <c r="T226" t="s">
        <v>167</v>
      </c>
      <c r="U226">
        <v>2.8490280631632964E-2</v>
      </c>
      <c r="V226" t="s">
        <v>165</v>
      </c>
    </row>
    <row r="227" spans="9:22" x14ac:dyDescent="0.45">
      <c r="I227" t="s">
        <v>176</v>
      </c>
      <c r="J227" t="s">
        <v>168</v>
      </c>
      <c r="K227">
        <v>4.8678579752964329E-2</v>
      </c>
      <c r="L227" t="s">
        <v>165</v>
      </c>
      <c r="N227" t="s">
        <v>186</v>
      </c>
      <c r="O227" t="s">
        <v>168</v>
      </c>
      <c r="P227">
        <v>2.7706449118431779E-2</v>
      </c>
      <c r="Q227" t="s">
        <v>165</v>
      </c>
      <c r="S227" t="s">
        <v>196</v>
      </c>
      <c r="T227" t="s">
        <v>168</v>
      </c>
      <c r="U227">
        <v>2.8629593126859545E-2</v>
      </c>
      <c r="V227" t="s">
        <v>165</v>
      </c>
    </row>
    <row r="228" spans="9:22" x14ac:dyDescent="0.45">
      <c r="I228" t="s">
        <v>176</v>
      </c>
      <c r="J228" t="s">
        <v>229</v>
      </c>
      <c r="K228">
        <v>4.6842202231339239E-3</v>
      </c>
      <c r="L228" t="s">
        <v>165</v>
      </c>
      <c r="N228" t="s">
        <v>186</v>
      </c>
      <c r="O228" t="s">
        <v>229</v>
      </c>
      <c r="P228">
        <v>3.3244360366810233E-3</v>
      </c>
      <c r="Q228" t="s">
        <v>165</v>
      </c>
      <c r="S228" t="s">
        <v>196</v>
      </c>
      <c r="T228" t="s">
        <v>229</v>
      </c>
      <c r="U228">
        <v>3.4927150380482789E-3</v>
      </c>
      <c r="V228" t="s">
        <v>165</v>
      </c>
    </row>
    <row r="229" spans="9:22" x14ac:dyDescent="0.45">
      <c r="I229" t="s">
        <v>176</v>
      </c>
      <c r="J229" t="s">
        <v>230</v>
      </c>
      <c r="K229">
        <v>1.925971669982916E-3</v>
      </c>
      <c r="L229" t="s">
        <v>165</v>
      </c>
      <c r="N229" t="s">
        <v>186</v>
      </c>
      <c r="O229" t="s">
        <v>230</v>
      </c>
      <c r="P229">
        <v>3.3482426331581123E-3</v>
      </c>
      <c r="Q229" t="s">
        <v>165</v>
      </c>
      <c r="S229" t="s">
        <v>196</v>
      </c>
      <c r="T229" t="s">
        <v>230</v>
      </c>
      <c r="U229">
        <v>3.4869020948859819E-3</v>
      </c>
      <c r="V229" t="s">
        <v>165</v>
      </c>
    </row>
    <row r="230" spans="9:22" x14ac:dyDescent="0.45">
      <c r="I230" t="s">
        <v>176</v>
      </c>
      <c r="J230" t="s">
        <v>231</v>
      </c>
      <c r="K230">
        <v>0</v>
      </c>
      <c r="L230" t="s">
        <v>165</v>
      </c>
      <c r="N230" t="s">
        <v>186</v>
      </c>
      <c r="O230" t="s">
        <v>231</v>
      </c>
      <c r="P230">
        <v>2.1752233943774901E-2</v>
      </c>
      <c r="Q230" t="s">
        <v>165</v>
      </c>
      <c r="S230" t="s">
        <v>196</v>
      </c>
      <c r="T230" t="s">
        <v>231</v>
      </c>
      <c r="U230">
        <v>2.1039063881407985E-2</v>
      </c>
      <c r="V230" t="s">
        <v>165</v>
      </c>
    </row>
    <row r="231" spans="9:22" x14ac:dyDescent="0.45">
      <c r="I231" t="s">
        <v>176</v>
      </c>
      <c r="J231" t="s">
        <v>169</v>
      </c>
      <c r="K231">
        <v>5.1598471062933721E-3</v>
      </c>
      <c r="L231" t="s">
        <v>165</v>
      </c>
      <c r="N231" t="s">
        <v>186</v>
      </c>
      <c r="O231" t="s">
        <v>169</v>
      </c>
      <c r="P231">
        <v>2.9643944425438457E-2</v>
      </c>
      <c r="Q231" t="s">
        <v>165</v>
      </c>
      <c r="S231" t="s">
        <v>196</v>
      </c>
      <c r="T231" t="s">
        <v>169</v>
      </c>
      <c r="U231">
        <v>3.2618969523088355E-2</v>
      </c>
      <c r="V231" t="s">
        <v>165</v>
      </c>
    </row>
    <row r="232" spans="9:22" x14ac:dyDescent="0.45">
      <c r="I232" t="s">
        <v>176</v>
      </c>
      <c r="J232" t="s">
        <v>170</v>
      </c>
      <c r="K232">
        <v>6.9947074898330491E-2</v>
      </c>
      <c r="L232" t="s">
        <v>165</v>
      </c>
      <c r="N232" t="s">
        <v>186</v>
      </c>
      <c r="O232" t="s">
        <v>170</v>
      </c>
      <c r="P232">
        <v>3.3414255007370094E-2</v>
      </c>
      <c r="Q232" t="s">
        <v>165</v>
      </c>
      <c r="S232" t="s">
        <v>196</v>
      </c>
      <c r="T232" t="s">
        <v>170</v>
      </c>
      <c r="U232">
        <v>2.9829535043361936E-2</v>
      </c>
      <c r="V232" t="s">
        <v>165</v>
      </c>
    </row>
    <row r="233" spans="9:22" x14ac:dyDescent="0.45">
      <c r="I233" t="s">
        <v>176</v>
      </c>
      <c r="J233" t="s">
        <v>232</v>
      </c>
      <c r="K233">
        <v>6.2783401655525069E-3</v>
      </c>
      <c r="L233" t="s">
        <v>165</v>
      </c>
      <c r="N233" t="s">
        <v>186</v>
      </c>
      <c r="O233" t="s">
        <v>232</v>
      </c>
      <c r="P233">
        <v>4.1537231406741926E-3</v>
      </c>
      <c r="Q233" t="s">
        <v>165</v>
      </c>
      <c r="S233" t="s">
        <v>196</v>
      </c>
      <c r="T233" t="s">
        <v>232</v>
      </c>
      <c r="U233">
        <v>3.6257984518763245E-3</v>
      </c>
      <c r="V233" t="s">
        <v>165</v>
      </c>
    </row>
    <row r="234" spans="9:22" x14ac:dyDescent="0.45">
      <c r="I234" t="s">
        <v>176</v>
      </c>
      <c r="J234" t="s">
        <v>233</v>
      </c>
      <c r="K234">
        <v>4.4245611569731936E-3</v>
      </c>
      <c r="L234" t="s">
        <v>165</v>
      </c>
      <c r="N234" t="s">
        <v>186</v>
      </c>
      <c r="O234" t="s">
        <v>233</v>
      </c>
      <c r="P234">
        <v>3.9348870723507068E-3</v>
      </c>
      <c r="Q234" t="s">
        <v>165</v>
      </c>
      <c r="S234" t="s">
        <v>196</v>
      </c>
      <c r="T234" t="s">
        <v>233</v>
      </c>
      <c r="U234">
        <v>3.6870728281919148E-3</v>
      </c>
      <c r="V234" t="s">
        <v>165</v>
      </c>
    </row>
    <row r="235" spans="9:22" x14ac:dyDescent="0.45">
      <c r="I235" t="s">
        <v>176</v>
      </c>
      <c r="J235" t="s">
        <v>234</v>
      </c>
      <c r="K235">
        <v>1.6124930259430667E-3</v>
      </c>
      <c r="L235" t="s">
        <v>165</v>
      </c>
      <c r="N235" t="s">
        <v>186</v>
      </c>
      <c r="O235" t="s">
        <v>234</v>
      </c>
      <c r="P235">
        <v>2.3213423333140738E-2</v>
      </c>
      <c r="Q235" t="s">
        <v>165</v>
      </c>
      <c r="S235" t="s">
        <v>196</v>
      </c>
      <c r="T235" t="s">
        <v>234</v>
      </c>
      <c r="U235">
        <v>2.3850384711452587E-2</v>
      </c>
      <c r="V235" t="s">
        <v>165</v>
      </c>
    </row>
    <row r="236" spans="9:22" x14ac:dyDescent="0.45">
      <c r="I236" t="s">
        <v>176</v>
      </c>
      <c r="J236" t="s">
        <v>235</v>
      </c>
      <c r="K236">
        <v>2.786082152303657E-2</v>
      </c>
      <c r="L236" t="s">
        <v>165</v>
      </c>
      <c r="N236" t="s">
        <v>186</v>
      </c>
      <c r="O236" t="s">
        <v>235</v>
      </c>
      <c r="P236">
        <v>6.020927262427201E-2</v>
      </c>
      <c r="Q236" t="s">
        <v>165</v>
      </c>
      <c r="S236" t="s">
        <v>196</v>
      </c>
      <c r="T236" t="s">
        <v>235</v>
      </c>
      <c r="U236">
        <v>6.3187481996387046E-2</v>
      </c>
      <c r="V236" t="s">
        <v>165</v>
      </c>
    </row>
    <row r="237" spans="9:22" x14ac:dyDescent="0.45">
      <c r="I237" t="s">
        <v>176</v>
      </c>
      <c r="J237" t="s">
        <v>236</v>
      </c>
      <c r="K237">
        <v>0.18341968937904848</v>
      </c>
      <c r="L237" t="s">
        <v>165</v>
      </c>
      <c r="N237" t="s">
        <v>186</v>
      </c>
      <c r="O237" t="s">
        <v>236</v>
      </c>
      <c r="P237">
        <v>6.9798626313094567E-2</v>
      </c>
      <c r="Q237" t="s">
        <v>165</v>
      </c>
      <c r="S237" t="s">
        <v>196</v>
      </c>
      <c r="T237" t="s">
        <v>236</v>
      </c>
      <c r="U237">
        <v>6.0349049314035286E-2</v>
      </c>
      <c r="V237" t="s">
        <v>165</v>
      </c>
    </row>
    <row r="238" spans="9:22" x14ac:dyDescent="0.45">
      <c r="I238" t="s">
        <v>176</v>
      </c>
      <c r="J238" t="s">
        <v>237</v>
      </c>
      <c r="K238">
        <v>2.1144359706717294E-2</v>
      </c>
      <c r="L238" t="s">
        <v>165</v>
      </c>
      <c r="N238" t="s">
        <v>186</v>
      </c>
      <c r="O238" t="s">
        <v>237</v>
      </c>
      <c r="P238">
        <v>8.7003098666265932E-3</v>
      </c>
      <c r="Q238" t="s">
        <v>165</v>
      </c>
      <c r="S238" t="s">
        <v>196</v>
      </c>
      <c r="T238" t="s">
        <v>237</v>
      </c>
      <c r="U238">
        <v>7.2061897768514087E-3</v>
      </c>
      <c r="V238" t="s">
        <v>165</v>
      </c>
    </row>
    <row r="239" spans="9:22" x14ac:dyDescent="0.45">
      <c r="I239" t="s">
        <v>176</v>
      </c>
      <c r="J239" t="s">
        <v>238</v>
      </c>
      <c r="K239">
        <v>1.6789544484737899E-2</v>
      </c>
      <c r="L239" t="s">
        <v>165</v>
      </c>
      <c r="N239" t="s">
        <v>186</v>
      </c>
      <c r="O239" t="s">
        <v>238</v>
      </c>
      <c r="P239">
        <v>8.3411718826099327E-3</v>
      </c>
      <c r="Q239" t="s">
        <v>165</v>
      </c>
      <c r="S239" t="s">
        <v>196</v>
      </c>
      <c r="T239" t="s">
        <v>238</v>
      </c>
      <c r="U239">
        <v>7.124726578824527E-3</v>
      </c>
      <c r="V239" t="s">
        <v>165</v>
      </c>
    </row>
    <row r="240" spans="9:22" x14ac:dyDescent="0.45">
      <c r="I240" t="s">
        <v>176</v>
      </c>
      <c r="J240" t="s">
        <v>239</v>
      </c>
      <c r="K240">
        <v>1.6577849792274245E-2</v>
      </c>
      <c r="L240" t="s">
        <v>165</v>
      </c>
      <c r="N240" t="s">
        <v>186</v>
      </c>
      <c r="O240" t="s">
        <v>239</v>
      </c>
      <c r="P240">
        <v>4.3694233272250964E-2</v>
      </c>
      <c r="Q240" t="s">
        <v>165</v>
      </c>
      <c r="S240" t="s">
        <v>196</v>
      </c>
      <c r="T240" t="s">
        <v>239</v>
      </c>
      <c r="U240">
        <v>4.410890091712541E-2</v>
      </c>
      <c r="V240" t="s">
        <v>165</v>
      </c>
    </row>
    <row r="241" spans="9:22" x14ac:dyDescent="0.45">
      <c r="I241" t="s">
        <v>176</v>
      </c>
      <c r="J241" t="s">
        <v>240</v>
      </c>
      <c r="K241">
        <v>5.3591631762137895E-2</v>
      </c>
      <c r="L241" t="s">
        <v>165</v>
      </c>
      <c r="N241" t="s">
        <v>186</v>
      </c>
      <c r="O241" t="s">
        <v>240</v>
      </c>
      <c r="P241">
        <v>9.8595484861829549E-2</v>
      </c>
      <c r="Q241" t="s">
        <v>165</v>
      </c>
      <c r="S241" t="s">
        <v>196</v>
      </c>
      <c r="T241" t="s">
        <v>240</v>
      </c>
      <c r="U241">
        <v>0.11049126183863936</v>
      </c>
      <c r="V241" t="s">
        <v>165</v>
      </c>
    </row>
    <row r="242" spans="9:22" x14ac:dyDescent="0.45">
      <c r="I242" t="s">
        <v>176</v>
      </c>
      <c r="J242" t="s">
        <v>241</v>
      </c>
      <c r="K242">
        <v>0.36869837904320696</v>
      </c>
      <c r="L242" t="s">
        <v>165</v>
      </c>
      <c r="N242" t="s">
        <v>186</v>
      </c>
      <c r="O242" t="s">
        <v>241</v>
      </c>
      <c r="P242">
        <v>0.11747782695802358</v>
      </c>
      <c r="Q242" t="s">
        <v>165</v>
      </c>
      <c r="S242" t="s">
        <v>196</v>
      </c>
      <c r="T242" t="s">
        <v>241</v>
      </c>
      <c r="U242">
        <v>0.11716733905777765</v>
      </c>
      <c r="V242" t="s">
        <v>165</v>
      </c>
    </row>
    <row r="243" spans="9:22" x14ac:dyDescent="0.45">
      <c r="I243" t="s">
        <v>176</v>
      </c>
      <c r="J243" t="s">
        <v>242</v>
      </c>
      <c r="K243">
        <v>3.7951883724001718E-2</v>
      </c>
      <c r="L243" t="s">
        <v>165</v>
      </c>
      <c r="N243" t="s">
        <v>186</v>
      </c>
      <c r="O243" t="s">
        <v>242</v>
      </c>
      <c r="P243">
        <v>1.4270706485232373E-2</v>
      </c>
      <c r="Q243" t="s">
        <v>165</v>
      </c>
      <c r="S243" t="s">
        <v>196</v>
      </c>
      <c r="T243" t="s">
        <v>242</v>
      </c>
      <c r="U243">
        <v>1.6177054648520421E-2</v>
      </c>
      <c r="V243" t="s">
        <v>165</v>
      </c>
    </row>
    <row r="244" spans="9:22" x14ac:dyDescent="0.45">
      <c r="I244" t="s">
        <v>176</v>
      </c>
      <c r="J244" t="s">
        <v>243</v>
      </c>
      <c r="K244">
        <v>2.8612642380915949E-2</v>
      </c>
      <c r="L244" t="s">
        <v>165</v>
      </c>
      <c r="N244" t="s">
        <v>186</v>
      </c>
      <c r="O244" t="s">
        <v>243</v>
      </c>
      <c r="P244">
        <v>1.3517902293517597E-2</v>
      </c>
      <c r="Q244" t="s">
        <v>165</v>
      </c>
      <c r="S244" t="s">
        <v>196</v>
      </c>
      <c r="T244" t="s">
        <v>243</v>
      </c>
      <c r="U244">
        <v>1.620214041733075E-2</v>
      </c>
      <c r="V244" t="s">
        <v>165</v>
      </c>
    </row>
    <row r="245" spans="9:22" x14ac:dyDescent="0.45">
      <c r="I245" t="s">
        <v>176</v>
      </c>
      <c r="J245" t="s">
        <v>244</v>
      </c>
      <c r="K245">
        <v>3.1633462185027092E-2</v>
      </c>
      <c r="L245" t="s">
        <v>165</v>
      </c>
      <c r="N245" t="s">
        <v>186</v>
      </c>
      <c r="O245" t="s">
        <v>244</v>
      </c>
      <c r="P245">
        <v>7.4403516235335851E-2</v>
      </c>
      <c r="Q245" t="s">
        <v>165</v>
      </c>
      <c r="S245" t="s">
        <v>196</v>
      </c>
      <c r="T245" t="s">
        <v>244</v>
      </c>
      <c r="U245">
        <v>9.1147378244030866E-2</v>
      </c>
      <c r="V245" t="s">
        <v>165</v>
      </c>
    </row>
    <row r="246" spans="9:22" x14ac:dyDescent="0.45">
      <c r="I246" t="s">
        <v>176</v>
      </c>
      <c r="J246" t="s">
        <v>245</v>
      </c>
      <c r="K246">
        <v>0</v>
      </c>
      <c r="L246" t="s">
        <v>165</v>
      </c>
      <c r="N246" t="s">
        <v>186</v>
      </c>
      <c r="O246" t="s">
        <v>245</v>
      </c>
      <c r="P246">
        <v>2.6147664620839634E-2</v>
      </c>
      <c r="Q246" t="s">
        <v>165</v>
      </c>
      <c r="S246" t="s">
        <v>196</v>
      </c>
      <c r="T246" t="s">
        <v>245</v>
      </c>
      <c r="U246">
        <v>2.5288902390361669E-2</v>
      </c>
      <c r="V246" t="s">
        <v>165</v>
      </c>
    </row>
    <row r="247" spans="9:22" x14ac:dyDescent="0.45">
      <c r="I247" t="s">
        <v>176</v>
      </c>
      <c r="J247" t="s">
        <v>246</v>
      </c>
      <c r="K247">
        <v>3.3393170884802502E-2</v>
      </c>
      <c r="L247" t="s">
        <v>165</v>
      </c>
      <c r="N247" t="s">
        <v>186</v>
      </c>
      <c r="O247" t="s">
        <v>246</v>
      </c>
      <c r="P247">
        <v>2.3692879634638352E-2</v>
      </c>
      <c r="Q247" t="s">
        <v>165</v>
      </c>
      <c r="S247" t="s">
        <v>196</v>
      </c>
      <c r="T247" t="s">
        <v>246</v>
      </c>
      <c r="U247">
        <v>2.4105375379086878E-2</v>
      </c>
      <c r="V247" t="s">
        <v>165</v>
      </c>
    </row>
    <row r="248" spans="9:22" x14ac:dyDescent="0.45">
      <c r="I248" t="s">
        <v>176</v>
      </c>
      <c r="J248" t="s">
        <v>247</v>
      </c>
      <c r="K248">
        <v>6.0402821156230592E-4</v>
      </c>
      <c r="L248" t="s">
        <v>165</v>
      </c>
      <c r="N248" t="s">
        <v>186</v>
      </c>
      <c r="O248" t="s">
        <v>247</v>
      </c>
      <c r="P248">
        <v>2.9473002296015291E-3</v>
      </c>
      <c r="Q248" t="s">
        <v>165</v>
      </c>
      <c r="S248" t="s">
        <v>196</v>
      </c>
      <c r="T248" t="s">
        <v>247</v>
      </c>
      <c r="U248">
        <v>3.1301115499073862E-3</v>
      </c>
      <c r="V248" t="s">
        <v>165</v>
      </c>
    </row>
    <row r="249" spans="9:22" x14ac:dyDescent="0.45">
      <c r="I249" t="s">
        <v>176</v>
      </c>
      <c r="J249" t="s">
        <v>248</v>
      </c>
      <c r="K249">
        <v>0</v>
      </c>
      <c r="L249" t="s">
        <v>165</v>
      </c>
      <c r="N249" t="s">
        <v>186</v>
      </c>
      <c r="O249" t="s">
        <v>248</v>
      </c>
      <c r="P249">
        <v>2.8730816559800168E-3</v>
      </c>
      <c r="Q249" t="s">
        <v>165</v>
      </c>
      <c r="S249" t="s">
        <v>196</v>
      </c>
      <c r="T249" t="s">
        <v>248</v>
      </c>
      <c r="U249">
        <v>3.1272777367610067E-3</v>
      </c>
      <c r="V249" t="s">
        <v>165</v>
      </c>
    </row>
    <row r="250" spans="9:22" x14ac:dyDescent="0.45">
      <c r="I250" t="s">
        <v>176</v>
      </c>
      <c r="J250" t="s">
        <v>249</v>
      </c>
      <c r="K250">
        <v>0</v>
      </c>
      <c r="L250" t="s">
        <v>165</v>
      </c>
      <c r="N250" t="s">
        <v>186</v>
      </c>
      <c r="O250" t="s">
        <v>249</v>
      </c>
      <c r="P250">
        <v>1.7057490414871528E-2</v>
      </c>
      <c r="Q250" t="s">
        <v>165</v>
      </c>
      <c r="S250" t="s">
        <v>196</v>
      </c>
      <c r="T250" t="s">
        <v>249</v>
      </c>
      <c r="U250">
        <v>1.8923539133996935E-2</v>
      </c>
      <c r="V250" t="s">
        <v>165</v>
      </c>
    </row>
    <row r="251" spans="9:22" x14ac:dyDescent="0.45">
      <c r="I251" t="s">
        <v>176</v>
      </c>
      <c r="J251" t="s">
        <v>250</v>
      </c>
      <c r="K251">
        <v>0</v>
      </c>
      <c r="L251" t="s">
        <v>165</v>
      </c>
      <c r="N251" t="s">
        <v>186</v>
      </c>
      <c r="O251" t="s">
        <v>250</v>
      </c>
      <c r="P251">
        <v>4.3194797142783715E-2</v>
      </c>
      <c r="Q251" t="s">
        <v>165</v>
      </c>
      <c r="S251" t="s">
        <v>196</v>
      </c>
      <c r="T251" t="s">
        <v>250</v>
      </c>
      <c r="U251">
        <v>3.6871839317473183E-2</v>
      </c>
      <c r="V251" t="s">
        <v>165</v>
      </c>
    </row>
    <row r="252" spans="9:22" x14ac:dyDescent="0.45">
      <c r="I252" t="s">
        <v>176</v>
      </c>
      <c r="J252" t="s">
        <v>251</v>
      </c>
      <c r="K252">
        <v>1.6748089327807868E-2</v>
      </c>
      <c r="L252" t="s">
        <v>165</v>
      </c>
      <c r="N252" t="s">
        <v>186</v>
      </c>
      <c r="O252" t="s">
        <v>251</v>
      </c>
      <c r="P252">
        <v>4.7904448633629242E-2</v>
      </c>
      <c r="Q252" t="s">
        <v>165</v>
      </c>
      <c r="S252" t="s">
        <v>196</v>
      </c>
      <c r="T252" t="s">
        <v>251</v>
      </c>
      <c r="U252">
        <v>3.7910196264404304E-2</v>
      </c>
      <c r="V252" t="s">
        <v>165</v>
      </c>
    </row>
    <row r="253" spans="9:22" x14ac:dyDescent="0.45">
      <c r="I253" t="s">
        <v>176</v>
      </c>
      <c r="J253" t="s">
        <v>252</v>
      </c>
      <c r="K253">
        <v>0</v>
      </c>
      <c r="L253" t="s">
        <v>165</v>
      </c>
      <c r="N253" t="s">
        <v>186</v>
      </c>
      <c r="O253" t="s">
        <v>252</v>
      </c>
      <c r="P253">
        <v>6.0306185202252853E-3</v>
      </c>
      <c r="Q253" t="s">
        <v>165</v>
      </c>
      <c r="S253" t="s">
        <v>196</v>
      </c>
      <c r="T253" t="s">
        <v>252</v>
      </c>
      <c r="U253">
        <v>4.9396814536871499E-3</v>
      </c>
      <c r="V253" t="s">
        <v>165</v>
      </c>
    </row>
    <row r="254" spans="9:22" x14ac:dyDescent="0.45">
      <c r="I254" t="s">
        <v>176</v>
      </c>
      <c r="J254" t="s">
        <v>253</v>
      </c>
      <c r="K254">
        <v>0</v>
      </c>
      <c r="L254" t="s">
        <v>165</v>
      </c>
      <c r="N254" t="s">
        <v>186</v>
      </c>
      <c r="O254" t="s">
        <v>253</v>
      </c>
      <c r="P254">
        <v>6.0962154065586846E-3</v>
      </c>
      <c r="Q254" t="s">
        <v>165</v>
      </c>
      <c r="S254" t="s">
        <v>196</v>
      </c>
      <c r="T254" t="s">
        <v>253</v>
      </c>
      <c r="U254">
        <v>5.0074298930930404E-3</v>
      </c>
      <c r="V254" t="s">
        <v>165</v>
      </c>
    </row>
    <row r="255" spans="9:22" x14ac:dyDescent="0.45">
      <c r="I255" t="s">
        <v>176</v>
      </c>
      <c r="J255" t="s">
        <v>254</v>
      </c>
      <c r="K255">
        <v>0</v>
      </c>
      <c r="L255" t="s">
        <v>165</v>
      </c>
      <c r="N255" t="s">
        <v>186</v>
      </c>
      <c r="O255" t="s">
        <v>254</v>
      </c>
      <c r="P255">
        <v>3.6325803089110993E-2</v>
      </c>
      <c r="Q255" t="s">
        <v>165</v>
      </c>
      <c r="S255" t="s">
        <v>196</v>
      </c>
      <c r="T255" t="s">
        <v>254</v>
      </c>
      <c r="U255">
        <v>2.9887977842751361E-2</v>
      </c>
      <c r="V255" t="s">
        <v>165</v>
      </c>
    </row>
    <row r="256" spans="9:22" x14ac:dyDescent="0.45">
      <c r="I256" t="s">
        <v>177</v>
      </c>
      <c r="J256" t="s">
        <v>164</v>
      </c>
      <c r="K256">
        <v>0</v>
      </c>
      <c r="L256" t="s">
        <v>165</v>
      </c>
      <c r="N256" t="s">
        <v>187</v>
      </c>
      <c r="O256" t="s">
        <v>164</v>
      </c>
      <c r="P256">
        <v>3.5416534181958316E-2</v>
      </c>
      <c r="Q256" t="s">
        <v>165</v>
      </c>
      <c r="S256" t="s">
        <v>197</v>
      </c>
      <c r="T256" t="s">
        <v>164</v>
      </c>
      <c r="U256">
        <v>3.3556399521848364E-2</v>
      </c>
      <c r="V256" t="s">
        <v>165</v>
      </c>
    </row>
    <row r="257" spans="9:22" x14ac:dyDescent="0.45">
      <c r="I257" t="s">
        <v>177</v>
      </c>
      <c r="J257" t="s">
        <v>166</v>
      </c>
      <c r="K257">
        <v>2.1748481402569998E-2</v>
      </c>
      <c r="L257" t="s">
        <v>165</v>
      </c>
      <c r="N257" t="s">
        <v>187</v>
      </c>
      <c r="O257" t="s">
        <v>166</v>
      </c>
      <c r="P257">
        <v>3.6917489736195935E-2</v>
      </c>
      <c r="Q257" t="s">
        <v>165</v>
      </c>
      <c r="S257" t="s">
        <v>197</v>
      </c>
      <c r="T257" t="s">
        <v>166</v>
      </c>
      <c r="U257">
        <v>3.5578005592614842E-2</v>
      </c>
      <c r="V257" t="s">
        <v>165</v>
      </c>
    </row>
    <row r="258" spans="9:22" x14ac:dyDescent="0.45">
      <c r="I258" t="s">
        <v>177</v>
      </c>
      <c r="J258" t="s">
        <v>226</v>
      </c>
      <c r="K258">
        <v>1.1225048161752202E-3</v>
      </c>
      <c r="L258" t="s">
        <v>165</v>
      </c>
      <c r="N258" t="s">
        <v>187</v>
      </c>
      <c r="O258" t="s">
        <v>226</v>
      </c>
      <c r="P258">
        <v>4.4080316453772401E-3</v>
      </c>
      <c r="Q258" t="s">
        <v>165</v>
      </c>
      <c r="S258" t="s">
        <v>197</v>
      </c>
      <c r="T258" t="s">
        <v>226</v>
      </c>
      <c r="U258">
        <v>4.5156725937793313E-3</v>
      </c>
      <c r="V258" t="s">
        <v>165</v>
      </c>
    </row>
    <row r="259" spans="9:22" x14ac:dyDescent="0.45">
      <c r="I259" t="s">
        <v>177</v>
      </c>
      <c r="J259" t="s">
        <v>227</v>
      </c>
      <c r="K259">
        <v>0</v>
      </c>
      <c r="L259" t="s">
        <v>165</v>
      </c>
      <c r="N259" t="s">
        <v>187</v>
      </c>
      <c r="O259" t="s">
        <v>227</v>
      </c>
      <c r="P259">
        <v>4.3978249398345494E-3</v>
      </c>
      <c r="Q259" t="s">
        <v>165</v>
      </c>
      <c r="S259" t="s">
        <v>197</v>
      </c>
      <c r="T259" t="s">
        <v>227</v>
      </c>
      <c r="U259">
        <v>4.5284029931824859E-3</v>
      </c>
      <c r="V259" t="s">
        <v>165</v>
      </c>
    </row>
    <row r="260" spans="9:22" x14ac:dyDescent="0.45">
      <c r="I260" t="s">
        <v>177</v>
      </c>
      <c r="J260" t="s">
        <v>228</v>
      </c>
      <c r="K260">
        <v>0</v>
      </c>
      <c r="L260" t="s">
        <v>165</v>
      </c>
      <c r="N260" t="s">
        <v>187</v>
      </c>
      <c r="O260" t="s">
        <v>228</v>
      </c>
      <c r="P260">
        <v>2.505309860710106E-2</v>
      </c>
      <c r="Q260" t="s">
        <v>165</v>
      </c>
      <c r="S260" t="s">
        <v>197</v>
      </c>
      <c r="T260" t="s">
        <v>228</v>
      </c>
      <c r="U260">
        <v>2.7145485675589318E-2</v>
      </c>
      <c r="V260" t="s">
        <v>165</v>
      </c>
    </row>
    <row r="261" spans="9:22" x14ac:dyDescent="0.45">
      <c r="I261" t="s">
        <v>177</v>
      </c>
      <c r="J261" t="s">
        <v>167</v>
      </c>
      <c r="K261">
        <v>0</v>
      </c>
      <c r="L261" t="s">
        <v>165</v>
      </c>
      <c r="N261" t="s">
        <v>187</v>
      </c>
      <c r="O261" t="s">
        <v>167</v>
      </c>
      <c r="P261">
        <v>2.5123411776463985E-2</v>
      </c>
      <c r="Q261" t="s">
        <v>165</v>
      </c>
      <c r="S261" t="s">
        <v>197</v>
      </c>
      <c r="T261" t="s">
        <v>167</v>
      </c>
      <c r="U261">
        <v>2.7886506776256592E-2</v>
      </c>
      <c r="V261" t="s">
        <v>165</v>
      </c>
    </row>
    <row r="262" spans="9:22" x14ac:dyDescent="0.45">
      <c r="I262" t="s">
        <v>177</v>
      </c>
      <c r="J262" t="s">
        <v>168</v>
      </c>
      <c r="K262">
        <v>4.6938985511584395E-2</v>
      </c>
      <c r="L262" t="s">
        <v>165</v>
      </c>
      <c r="N262" t="s">
        <v>187</v>
      </c>
      <c r="O262" t="s">
        <v>168</v>
      </c>
      <c r="P262">
        <v>2.4052816190608426E-2</v>
      </c>
      <c r="Q262" t="s">
        <v>165</v>
      </c>
      <c r="S262" t="s">
        <v>197</v>
      </c>
      <c r="T262" t="s">
        <v>168</v>
      </c>
      <c r="U262">
        <v>2.5727694610475242E-2</v>
      </c>
      <c r="V262" t="s">
        <v>165</v>
      </c>
    </row>
    <row r="263" spans="9:22" x14ac:dyDescent="0.45">
      <c r="I263" t="s">
        <v>177</v>
      </c>
      <c r="J263" t="s">
        <v>229</v>
      </c>
      <c r="K263">
        <v>4.6880366975425103E-3</v>
      </c>
      <c r="L263" t="s">
        <v>165</v>
      </c>
      <c r="N263" t="s">
        <v>187</v>
      </c>
      <c r="O263" t="s">
        <v>229</v>
      </c>
      <c r="P263">
        <v>3.1305728876403474E-3</v>
      </c>
      <c r="Q263" t="s">
        <v>165</v>
      </c>
      <c r="S263" t="s">
        <v>197</v>
      </c>
      <c r="T263" t="s">
        <v>229</v>
      </c>
      <c r="U263">
        <v>3.0476574440228047E-3</v>
      </c>
      <c r="V263" t="s">
        <v>165</v>
      </c>
    </row>
    <row r="264" spans="9:22" x14ac:dyDescent="0.45">
      <c r="I264" t="s">
        <v>177</v>
      </c>
      <c r="J264" t="s">
        <v>230</v>
      </c>
      <c r="K264">
        <v>1.7889560939567176E-3</v>
      </c>
      <c r="L264" t="s">
        <v>165</v>
      </c>
      <c r="N264" t="s">
        <v>187</v>
      </c>
      <c r="O264" t="s">
        <v>230</v>
      </c>
      <c r="P264">
        <v>3.2055738312121345E-3</v>
      </c>
      <c r="Q264" t="s">
        <v>165</v>
      </c>
      <c r="S264" t="s">
        <v>197</v>
      </c>
      <c r="T264" t="s">
        <v>230</v>
      </c>
      <c r="U264">
        <v>3.1661823746540747E-3</v>
      </c>
      <c r="V264" t="s">
        <v>165</v>
      </c>
    </row>
    <row r="265" spans="9:22" x14ac:dyDescent="0.45">
      <c r="I265" t="s">
        <v>177</v>
      </c>
      <c r="J265" t="s">
        <v>231</v>
      </c>
      <c r="K265">
        <v>0</v>
      </c>
      <c r="L265" t="s">
        <v>165</v>
      </c>
      <c r="N265" t="s">
        <v>187</v>
      </c>
      <c r="O265" t="s">
        <v>231</v>
      </c>
      <c r="P265">
        <v>2.0739110517563542E-2</v>
      </c>
      <c r="Q265" t="s">
        <v>165</v>
      </c>
      <c r="S265" t="s">
        <v>197</v>
      </c>
      <c r="T265" t="s">
        <v>231</v>
      </c>
      <c r="U265">
        <v>1.9906422574701706E-2</v>
      </c>
      <c r="V265" t="s">
        <v>165</v>
      </c>
    </row>
    <row r="266" spans="9:22" x14ac:dyDescent="0.45">
      <c r="I266" t="s">
        <v>177</v>
      </c>
      <c r="J266" t="s">
        <v>169</v>
      </c>
      <c r="K266">
        <v>4.9776354532652866E-3</v>
      </c>
      <c r="L266" t="s">
        <v>165</v>
      </c>
      <c r="N266" t="s">
        <v>187</v>
      </c>
      <c r="O266" t="s">
        <v>169</v>
      </c>
      <c r="P266">
        <v>2.7940527481701512E-2</v>
      </c>
      <c r="Q266" t="s">
        <v>165</v>
      </c>
      <c r="S266" t="s">
        <v>197</v>
      </c>
      <c r="T266" t="s">
        <v>169</v>
      </c>
      <c r="U266">
        <v>3.1408849337002165E-2</v>
      </c>
      <c r="V266" t="s">
        <v>165</v>
      </c>
    </row>
    <row r="267" spans="9:22" x14ac:dyDescent="0.45">
      <c r="I267" t="s">
        <v>177</v>
      </c>
      <c r="J267" t="s">
        <v>170</v>
      </c>
      <c r="K267">
        <v>7.1163966593270789E-2</v>
      </c>
      <c r="L267" t="s">
        <v>165</v>
      </c>
      <c r="N267" t="s">
        <v>187</v>
      </c>
      <c r="O267" t="s">
        <v>170</v>
      </c>
      <c r="P267">
        <v>3.0235464046959409E-2</v>
      </c>
      <c r="Q267" t="s">
        <v>165</v>
      </c>
      <c r="S267" t="s">
        <v>197</v>
      </c>
      <c r="T267" t="s">
        <v>170</v>
      </c>
      <c r="U267">
        <v>3.001015746493969E-2</v>
      </c>
      <c r="V267" t="s">
        <v>165</v>
      </c>
    </row>
    <row r="268" spans="9:22" x14ac:dyDescent="0.45">
      <c r="I268" t="s">
        <v>177</v>
      </c>
      <c r="J268" t="s">
        <v>232</v>
      </c>
      <c r="K268">
        <v>6.37315715894342E-3</v>
      </c>
      <c r="L268" t="s">
        <v>165</v>
      </c>
      <c r="N268" t="s">
        <v>187</v>
      </c>
      <c r="O268" t="s">
        <v>232</v>
      </c>
      <c r="P268">
        <v>3.9473839884641027E-3</v>
      </c>
      <c r="Q268" t="s">
        <v>165</v>
      </c>
      <c r="S268" t="s">
        <v>197</v>
      </c>
      <c r="T268" t="s">
        <v>232</v>
      </c>
      <c r="U268">
        <v>3.551974707406336E-3</v>
      </c>
      <c r="V268" t="s">
        <v>165</v>
      </c>
    </row>
    <row r="269" spans="9:22" x14ac:dyDescent="0.45">
      <c r="I269" t="s">
        <v>177</v>
      </c>
      <c r="J269" t="s">
        <v>233</v>
      </c>
      <c r="K269">
        <v>4.6748742978471817E-3</v>
      </c>
      <c r="L269" t="s">
        <v>165</v>
      </c>
      <c r="N269" t="s">
        <v>187</v>
      </c>
      <c r="O269" t="s">
        <v>233</v>
      </c>
      <c r="P269">
        <v>3.9305678663798848E-3</v>
      </c>
      <c r="Q269" t="s">
        <v>165</v>
      </c>
      <c r="S269" t="s">
        <v>197</v>
      </c>
      <c r="T269" t="s">
        <v>233</v>
      </c>
      <c r="U269">
        <v>3.5577990482857872E-3</v>
      </c>
      <c r="V269" t="s">
        <v>165</v>
      </c>
    </row>
    <row r="270" spans="9:22" x14ac:dyDescent="0.45">
      <c r="I270" t="s">
        <v>177</v>
      </c>
      <c r="J270" t="s">
        <v>234</v>
      </c>
      <c r="K270">
        <v>1.8395867898524671E-3</v>
      </c>
      <c r="L270" t="s">
        <v>165</v>
      </c>
      <c r="N270" t="s">
        <v>187</v>
      </c>
      <c r="O270" t="s">
        <v>234</v>
      </c>
      <c r="P270">
        <v>2.2548461131161882E-2</v>
      </c>
      <c r="Q270" t="s">
        <v>165</v>
      </c>
      <c r="S270" t="s">
        <v>197</v>
      </c>
      <c r="T270" t="s">
        <v>234</v>
      </c>
      <c r="U270">
        <v>2.3126241588984867E-2</v>
      </c>
      <c r="V270" t="s">
        <v>165</v>
      </c>
    </row>
    <row r="271" spans="9:22" x14ac:dyDescent="0.45">
      <c r="I271" t="s">
        <v>177</v>
      </c>
      <c r="J271" t="s">
        <v>235</v>
      </c>
      <c r="K271">
        <v>2.8204750195877655E-2</v>
      </c>
      <c r="L271" t="s">
        <v>165</v>
      </c>
      <c r="N271" t="s">
        <v>187</v>
      </c>
      <c r="O271" t="s">
        <v>235</v>
      </c>
      <c r="P271">
        <v>5.8678295924358317E-2</v>
      </c>
      <c r="Q271" t="s">
        <v>165</v>
      </c>
      <c r="S271" t="s">
        <v>197</v>
      </c>
      <c r="T271" t="s">
        <v>235</v>
      </c>
      <c r="U271">
        <v>6.2560583046045656E-2</v>
      </c>
      <c r="V271" t="s">
        <v>165</v>
      </c>
    </row>
    <row r="272" spans="9:22" x14ac:dyDescent="0.45">
      <c r="I272" t="s">
        <v>177</v>
      </c>
      <c r="J272" t="s">
        <v>236</v>
      </c>
      <c r="K272">
        <v>0.18952494004834364</v>
      </c>
      <c r="L272" t="s">
        <v>165</v>
      </c>
      <c r="N272" t="s">
        <v>187</v>
      </c>
      <c r="O272" t="s">
        <v>236</v>
      </c>
      <c r="P272">
        <v>6.0134303660354452E-2</v>
      </c>
      <c r="Q272" t="s">
        <v>165</v>
      </c>
      <c r="S272" t="s">
        <v>197</v>
      </c>
      <c r="T272" t="s">
        <v>236</v>
      </c>
      <c r="U272">
        <v>6.2572436785432672E-2</v>
      </c>
      <c r="V272" t="s">
        <v>165</v>
      </c>
    </row>
    <row r="273" spans="9:22" x14ac:dyDescent="0.45">
      <c r="I273" t="s">
        <v>177</v>
      </c>
      <c r="J273" t="s">
        <v>237</v>
      </c>
      <c r="K273">
        <v>1.9304319062921252E-2</v>
      </c>
      <c r="L273" t="s">
        <v>165</v>
      </c>
      <c r="N273" t="s">
        <v>187</v>
      </c>
      <c r="O273" t="s">
        <v>237</v>
      </c>
      <c r="P273">
        <v>7.6409642381054209E-3</v>
      </c>
      <c r="Q273" t="s">
        <v>165</v>
      </c>
      <c r="S273" t="s">
        <v>197</v>
      </c>
      <c r="T273" t="s">
        <v>237</v>
      </c>
      <c r="U273">
        <v>7.4523971393409064E-3</v>
      </c>
      <c r="V273" t="s">
        <v>165</v>
      </c>
    </row>
    <row r="274" spans="9:22" x14ac:dyDescent="0.45">
      <c r="I274" t="s">
        <v>177</v>
      </c>
      <c r="J274" t="s">
        <v>238</v>
      </c>
      <c r="K274">
        <v>1.5639417650917833E-2</v>
      </c>
      <c r="L274" t="s">
        <v>165</v>
      </c>
      <c r="N274" t="s">
        <v>187</v>
      </c>
      <c r="O274" t="s">
        <v>238</v>
      </c>
      <c r="P274">
        <v>7.6465064478638406E-3</v>
      </c>
      <c r="Q274" t="s">
        <v>165</v>
      </c>
      <c r="S274" t="s">
        <v>197</v>
      </c>
      <c r="T274" t="s">
        <v>238</v>
      </c>
      <c r="U274">
        <v>7.296612042551727E-3</v>
      </c>
      <c r="V274" t="s">
        <v>165</v>
      </c>
    </row>
    <row r="275" spans="9:22" x14ac:dyDescent="0.45">
      <c r="I275" t="s">
        <v>177</v>
      </c>
      <c r="J275" t="s">
        <v>239</v>
      </c>
      <c r="K275">
        <v>1.4990728344686529E-2</v>
      </c>
      <c r="L275" t="s">
        <v>165</v>
      </c>
      <c r="N275" t="s">
        <v>187</v>
      </c>
      <c r="O275" t="s">
        <v>239</v>
      </c>
      <c r="P275">
        <v>4.3011480652463692E-2</v>
      </c>
      <c r="Q275" t="s">
        <v>165</v>
      </c>
      <c r="S275" t="s">
        <v>197</v>
      </c>
      <c r="T275" t="s">
        <v>239</v>
      </c>
      <c r="U275">
        <v>4.5643549832021263E-2</v>
      </c>
      <c r="V275" t="s">
        <v>165</v>
      </c>
    </row>
    <row r="276" spans="9:22" x14ac:dyDescent="0.45">
      <c r="I276" t="s">
        <v>177</v>
      </c>
      <c r="J276" t="s">
        <v>240</v>
      </c>
      <c r="K276">
        <v>5.0976639941478108E-2</v>
      </c>
      <c r="L276" t="s">
        <v>165</v>
      </c>
      <c r="N276" t="s">
        <v>187</v>
      </c>
      <c r="O276" t="s">
        <v>240</v>
      </c>
      <c r="P276">
        <v>0.11302083116581571</v>
      </c>
      <c r="Q276" t="s">
        <v>165</v>
      </c>
      <c r="S276" t="s">
        <v>197</v>
      </c>
      <c r="T276" t="s">
        <v>240</v>
      </c>
      <c r="U276">
        <v>0.10076885244432102</v>
      </c>
      <c r="V276" t="s">
        <v>165</v>
      </c>
    </row>
    <row r="277" spans="9:22" x14ac:dyDescent="0.45">
      <c r="I277" t="s">
        <v>177</v>
      </c>
      <c r="J277" t="s">
        <v>241</v>
      </c>
      <c r="K277">
        <v>0.36730587502211148</v>
      </c>
      <c r="L277" t="s">
        <v>165</v>
      </c>
      <c r="N277" t="s">
        <v>187</v>
      </c>
      <c r="O277" t="s">
        <v>241</v>
      </c>
      <c r="P277">
        <v>0.11440885762177122</v>
      </c>
      <c r="Q277" t="s">
        <v>165</v>
      </c>
      <c r="S277" t="s">
        <v>197</v>
      </c>
      <c r="T277" t="s">
        <v>241</v>
      </c>
      <c r="U277">
        <v>0.1115382258644024</v>
      </c>
      <c r="V277" t="s">
        <v>165</v>
      </c>
    </row>
    <row r="278" spans="9:22" x14ac:dyDescent="0.45">
      <c r="I278" t="s">
        <v>177</v>
      </c>
      <c r="J278" t="s">
        <v>242</v>
      </c>
      <c r="K278">
        <v>3.6898050191872041E-2</v>
      </c>
      <c r="L278" t="s">
        <v>165</v>
      </c>
      <c r="N278" t="s">
        <v>187</v>
      </c>
      <c r="O278" t="s">
        <v>242</v>
      </c>
      <c r="P278">
        <v>1.4283884287643794E-2</v>
      </c>
      <c r="Q278" t="s">
        <v>165</v>
      </c>
      <c r="S278" t="s">
        <v>197</v>
      </c>
      <c r="T278" t="s">
        <v>242</v>
      </c>
      <c r="U278">
        <v>1.46370484792692E-2</v>
      </c>
      <c r="V278" t="s">
        <v>165</v>
      </c>
    </row>
    <row r="279" spans="9:22" x14ac:dyDescent="0.45">
      <c r="I279" t="s">
        <v>177</v>
      </c>
      <c r="J279" t="s">
        <v>243</v>
      </c>
      <c r="K279">
        <v>2.8295748023993442E-2</v>
      </c>
      <c r="L279" t="s">
        <v>165</v>
      </c>
      <c r="N279" t="s">
        <v>187</v>
      </c>
      <c r="O279" t="s">
        <v>243</v>
      </c>
      <c r="P279">
        <v>1.4226222586823786E-2</v>
      </c>
      <c r="Q279" t="s">
        <v>165</v>
      </c>
      <c r="S279" t="s">
        <v>197</v>
      </c>
      <c r="T279" t="s">
        <v>243</v>
      </c>
      <c r="U279">
        <v>1.4554298264382306E-2</v>
      </c>
      <c r="V279" t="s">
        <v>165</v>
      </c>
    </row>
    <row r="280" spans="9:22" x14ac:dyDescent="0.45">
      <c r="I280" t="s">
        <v>177</v>
      </c>
      <c r="J280" t="s">
        <v>244</v>
      </c>
      <c r="K280">
        <v>3.0830763002432034E-2</v>
      </c>
      <c r="L280" t="s">
        <v>165</v>
      </c>
      <c r="N280" t="s">
        <v>187</v>
      </c>
      <c r="O280" t="s">
        <v>244</v>
      </c>
      <c r="P280">
        <v>8.2969288367555571E-2</v>
      </c>
      <c r="Q280" t="s">
        <v>165</v>
      </c>
      <c r="S280" t="s">
        <v>197</v>
      </c>
      <c r="T280" t="s">
        <v>244</v>
      </c>
      <c r="U280">
        <v>8.3628079086606702E-2</v>
      </c>
      <c r="V280" t="s">
        <v>165</v>
      </c>
    </row>
    <row r="281" spans="9:22" x14ac:dyDescent="0.45">
      <c r="I281" t="s">
        <v>177</v>
      </c>
      <c r="J281" t="s">
        <v>245</v>
      </c>
      <c r="K281">
        <v>0</v>
      </c>
      <c r="L281" t="s">
        <v>165</v>
      </c>
      <c r="N281" t="s">
        <v>187</v>
      </c>
      <c r="O281" t="s">
        <v>245</v>
      </c>
      <c r="P281">
        <v>2.9391499028545261E-2</v>
      </c>
      <c r="Q281" t="s">
        <v>165</v>
      </c>
      <c r="S281" t="s">
        <v>197</v>
      </c>
      <c r="T281" t="s">
        <v>245</v>
      </c>
      <c r="U281">
        <v>2.7792338068602485E-2</v>
      </c>
      <c r="V281" t="s">
        <v>165</v>
      </c>
    </row>
    <row r="282" spans="9:22" x14ac:dyDescent="0.45">
      <c r="I282" t="s">
        <v>177</v>
      </c>
      <c r="J282" t="s">
        <v>246</v>
      </c>
      <c r="K282">
        <v>3.2916223628530236E-2</v>
      </c>
      <c r="L282" t="s">
        <v>165</v>
      </c>
      <c r="N282" t="s">
        <v>187</v>
      </c>
      <c r="O282" t="s">
        <v>246</v>
      </c>
      <c r="P282">
        <v>2.8083905454590177E-2</v>
      </c>
      <c r="Q282" t="s">
        <v>165</v>
      </c>
      <c r="S282" t="s">
        <v>197</v>
      </c>
      <c r="T282" t="s">
        <v>246</v>
      </c>
      <c r="U282">
        <v>2.5954984910525027E-2</v>
      </c>
      <c r="V282" t="s">
        <v>165</v>
      </c>
    </row>
    <row r="283" spans="9:22" x14ac:dyDescent="0.45">
      <c r="I283" t="s">
        <v>177</v>
      </c>
      <c r="J283" t="s">
        <v>247</v>
      </c>
      <c r="K283">
        <v>7.2734358936583866E-4</v>
      </c>
      <c r="L283" t="s">
        <v>165</v>
      </c>
      <c r="N283" t="s">
        <v>187</v>
      </c>
      <c r="O283" t="s">
        <v>247</v>
      </c>
      <c r="P283">
        <v>3.5848011966449749E-3</v>
      </c>
      <c r="Q283" t="s">
        <v>165</v>
      </c>
      <c r="S283" t="s">
        <v>197</v>
      </c>
      <c r="T283" t="s">
        <v>247</v>
      </c>
      <c r="U283">
        <v>2.9397883314854312E-3</v>
      </c>
      <c r="V283" t="s">
        <v>165</v>
      </c>
    </row>
    <row r="284" spans="9:22" x14ac:dyDescent="0.45">
      <c r="I284" t="s">
        <v>177</v>
      </c>
      <c r="J284" t="s">
        <v>248</v>
      </c>
      <c r="K284">
        <v>0</v>
      </c>
      <c r="L284" t="s">
        <v>165</v>
      </c>
      <c r="N284" t="s">
        <v>187</v>
      </c>
      <c r="O284" t="s">
        <v>248</v>
      </c>
      <c r="P284">
        <v>3.495214682572381E-3</v>
      </c>
      <c r="Q284" t="s">
        <v>165</v>
      </c>
      <c r="S284" t="s">
        <v>197</v>
      </c>
      <c r="T284" t="s">
        <v>248</v>
      </c>
      <c r="U284">
        <v>2.9850569203705352E-3</v>
      </c>
      <c r="V284" t="s">
        <v>165</v>
      </c>
    </row>
    <row r="285" spans="9:22" x14ac:dyDescent="0.45">
      <c r="I285" t="s">
        <v>177</v>
      </c>
      <c r="J285" t="s">
        <v>249</v>
      </c>
      <c r="K285">
        <v>0</v>
      </c>
      <c r="L285" t="s">
        <v>165</v>
      </c>
      <c r="N285" t="s">
        <v>187</v>
      </c>
      <c r="O285" t="s">
        <v>249</v>
      </c>
      <c r="P285">
        <v>2.0655528795873446E-2</v>
      </c>
      <c r="Q285" t="s">
        <v>165</v>
      </c>
      <c r="S285" t="s">
        <v>197</v>
      </c>
      <c r="T285" t="s">
        <v>249</v>
      </c>
      <c r="U285">
        <v>1.9885372482626826E-2</v>
      </c>
      <c r="V285" t="s">
        <v>165</v>
      </c>
    </row>
    <row r="286" spans="9:22" x14ac:dyDescent="0.45">
      <c r="I286" t="s">
        <v>177</v>
      </c>
      <c r="J286" t="s">
        <v>250</v>
      </c>
      <c r="K286">
        <v>0</v>
      </c>
      <c r="L286" t="s">
        <v>165</v>
      </c>
      <c r="N286" t="s">
        <v>187</v>
      </c>
      <c r="O286" t="s">
        <v>250</v>
      </c>
      <c r="P286">
        <v>4.0675248362568833E-2</v>
      </c>
      <c r="Q286" t="s">
        <v>165</v>
      </c>
      <c r="S286" t="s">
        <v>197</v>
      </c>
      <c r="T286" t="s">
        <v>250</v>
      </c>
      <c r="U286">
        <v>4.3044894552762739E-2</v>
      </c>
      <c r="V286" t="s">
        <v>165</v>
      </c>
    </row>
    <row r="287" spans="9:22" x14ac:dyDescent="0.45">
      <c r="I287" t="s">
        <v>177</v>
      </c>
      <c r="J287" t="s">
        <v>251</v>
      </c>
      <c r="K287">
        <v>1.9069016482463726E-2</v>
      </c>
      <c r="L287" t="s">
        <v>165</v>
      </c>
      <c r="N287" t="s">
        <v>187</v>
      </c>
      <c r="O287" t="s">
        <v>251</v>
      </c>
      <c r="P287">
        <v>4.3145628931004334E-2</v>
      </c>
      <c r="Q287" t="s">
        <v>165</v>
      </c>
      <c r="S287" t="s">
        <v>197</v>
      </c>
      <c r="T287" t="s">
        <v>251</v>
      </c>
      <c r="U287">
        <v>4.3467144470403424E-2</v>
      </c>
      <c r="V287" t="s">
        <v>165</v>
      </c>
    </row>
    <row r="288" spans="9:22" x14ac:dyDescent="0.45">
      <c r="I288" t="s">
        <v>177</v>
      </c>
      <c r="J288" t="s">
        <v>252</v>
      </c>
      <c r="K288">
        <v>0</v>
      </c>
      <c r="L288" t="s">
        <v>165</v>
      </c>
      <c r="N288" t="s">
        <v>187</v>
      </c>
      <c r="O288" t="s">
        <v>252</v>
      </c>
      <c r="P288">
        <v>5.6347917915652258E-3</v>
      </c>
      <c r="Q288" t="s">
        <v>165</v>
      </c>
      <c r="S288" t="s">
        <v>197</v>
      </c>
      <c r="T288" t="s">
        <v>252</v>
      </c>
      <c r="U288">
        <v>5.6560022549864411E-3</v>
      </c>
      <c r="V288" t="s">
        <v>165</v>
      </c>
    </row>
    <row r="289" spans="9:22" x14ac:dyDescent="0.45">
      <c r="I289" t="s">
        <v>177</v>
      </c>
      <c r="J289" t="s">
        <v>253</v>
      </c>
      <c r="K289">
        <v>0</v>
      </c>
      <c r="L289" t="s">
        <v>165</v>
      </c>
      <c r="N289" t="s">
        <v>187</v>
      </c>
      <c r="O289" t="s">
        <v>253</v>
      </c>
      <c r="P289">
        <v>5.6478818503708115E-3</v>
      </c>
      <c r="Q289" t="s">
        <v>165</v>
      </c>
      <c r="S289" t="s">
        <v>197</v>
      </c>
      <c r="T289" t="s">
        <v>253</v>
      </c>
      <c r="U289">
        <v>5.7549165386207258E-3</v>
      </c>
      <c r="V289" t="s">
        <v>165</v>
      </c>
    </row>
    <row r="290" spans="9:22" x14ac:dyDescent="0.45">
      <c r="I290" t="s">
        <v>177</v>
      </c>
      <c r="J290" t="s">
        <v>254</v>
      </c>
      <c r="K290">
        <v>0</v>
      </c>
      <c r="L290" t="s">
        <v>165</v>
      </c>
      <c r="N290" t="s">
        <v>187</v>
      </c>
      <c r="O290" t="s">
        <v>254</v>
      </c>
      <c r="P290">
        <v>3.2617996124884738E-2</v>
      </c>
      <c r="Q290" t="s">
        <v>165</v>
      </c>
      <c r="S290" t="s">
        <v>197</v>
      </c>
      <c r="T290" t="s">
        <v>254</v>
      </c>
      <c r="U290">
        <v>3.5153966181499616E-2</v>
      </c>
      <c r="V290" t="s">
        <v>165</v>
      </c>
    </row>
    <row r="291" spans="9:22" x14ac:dyDescent="0.45">
      <c r="I291" t="s">
        <v>178</v>
      </c>
      <c r="J291" t="s">
        <v>164</v>
      </c>
      <c r="K291">
        <v>0</v>
      </c>
      <c r="L291" t="s">
        <v>165</v>
      </c>
      <c r="N291" t="s">
        <v>188</v>
      </c>
      <c r="O291" t="s">
        <v>164</v>
      </c>
      <c r="P291">
        <v>3.2260329106214486E-2</v>
      </c>
      <c r="Q291" t="s">
        <v>165</v>
      </c>
      <c r="S291" t="s">
        <v>198</v>
      </c>
      <c r="T291" t="s">
        <v>164</v>
      </c>
      <c r="U291">
        <v>3.4579099789408603E-2</v>
      </c>
      <c r="V291" t="s">
        <v>165</v>
      </c>
    </row>
    <row r="292" spans="9:22" x14ac:dyDescent="0.45">
      <c r="I292" t="s">
        <v>178</v>
      </c>
      <c r="J292" t="s">
        <v>166</v>
      </c>
      <c r="K292">
        <v>2.0958230320462769E-2</v>
      </c>
      <c r="L292" t="s">
        <v>165</v>
      </c>
      <c r="N292" t="s">
        <v>188</v>
      </c>
      <c r="O292" t="s">
        <v>166</v>
      </c>
      <c r="P292">
        <v>3.3730739731306671E-2</v>
      </c>
      <c r="Q292" t="s">
        <v>165</v>
      </c>
      <c r="S292" t="s">
        <v>198</v>
      </c>
      <c r="T292" t="s">
        <v>166</v>
      </c>
      <c r="U292">
        <v>3.7426105431624675E-2</v>
      </c>
      <c r="V292" t="s">
        <v>165</v>
      </c>
    </row>
    <row r="293" spans="9:22" x14ac:dyDescent="0.45">
      <c r="I293" t="s">
        <v>178</v>
      </c>
      <c r="J293" t="s">
        <v>226</v>
      </c>
      <c r="K293">
        <v>9.2837754755056433E-4</v>
      </c>
      <c r="L293" t="s">
        <v>165</v>
      </c>
      <c r="N293" t="s">
        <v>188</v>
      </c>
      <c r="O293" t="s">
        <v>226</v>
      </c>
      <c r="P293">
        <v>4.0974240990006858E-3</v>
      </c>
      <c r="Q293" t="s">
        <v>165</v>
      </c>
      <c r="S293" t="s">
        <v>198</v>
      </c>
      <c r="T293" t="s">
        <v>226</v>
      </c>
      <c r="U293">
        <v>4.5117989765491948E-3</v>
      </c>
      <c r="V293" t="s">
        <v>165</v>
      </c>
    </row>
    <row r="294" spans="9:22" x14ac:dyDescent="0.45">
      <c r="I294" t="s">
        <v>178</v>
      </c>
      <c r="J294" t="s">
        <v>227</v>
      </c>
      <c r="K294">
        <v>0</v>
      </c>
      <c r="L294" t="s">
        <v>165</v>
      </c>
      <c r="N294" t="s">
        <v>188</v>
      </c>
      <c r="O294" t="s">
        <v>227</v>
      </c>
      <c r="P294">
        <v>4.1175312616409734E-3</v>
      </c>
      <c r="Q294" t="s">
        <v>165</v>
      </c>
      <c r="S294" t="s">
        <v>198</v>
      </c>
      <c r="T294" t="s">
        <v>227</v>
      </c>
      <c r="U294">
        <v>4.5420972523985059E-3</v>
      </c>
      <c r="V294" t="s">
        <v>165</v>
      </c>
    </row>
    <row r="295" spans="9:22" x14ac:dyDescent="0.45">
      <c r="I295" t="s">
        <v>178</v>
      </c>
      <c r="J295" t="s">
        <v>228</v>
      </c>
      <c r="K295">
        <v>0</v>
      </c>
      <c r="L295" t="s">
        <v>165</v>
      </c>
      <c r="N295" t="s">
        <v>188</v>
      </c>
      <c r="O295" t="s">
        <v>228</v>
      </c>
      <c r="P295">
        <v>2.4510944362587498E-2</v>
      </c>
      <c r="Q295" t="s">
        <v>165</v>
      </c>
      <c r="S295" t="s">
        <v>198</v>
      </c>
      <c r="T295" t="s">
        <v>228</v>
      </c>
      <c r="U295">
        <v>2.5496259775303717E-2</v>
      </c>
      <c r="V295" t="s">
        <v>165</v>
      </c>
    </row>
    <row r="296" spans="9:22" x14ac:dyDescent="0.45">
      <c r="I296" t="s">
        <v>178</v>
      </c>
      <c r="J296" t="s">
        <v>167</v>
      </c>
      <c r="K296">
        <v>0</v>
      </c>
      <c r="L296" t="s">
        <v>165</v>
      </c>
      <c r="N296" t="s">
        <v>188</v>
      </c>
      <c r="O296" t="s">
        <v>167</v>
      </c>
      <c r="P296">
        <v>2.7971966003566984E-2</v>
      </c>
      <c r="Q296" t="s">
        <v>165</v>
      </c>
      <c r="S296" t="s">
        <v>198</v>
      </c>
      <c r="T296" t="s">
        <v>167</v>
      </c>
      <c r="U296">
        <v>2.6197266932463034E-2</v>
      </c>
      <c r="V296" t="s">
        <v>165</v>
      </c>
    </row>
    <row r="297" spans="9:22" x14ac:dyDescent="0.45">
      <c r="I297" t="s">
        <v>178</v>
      </c>
      <c r="J297" t="s">
        <v>168</v>
      </c>
      <c r="K297">
        <v>4.7999624944193443E-2</v>
      </c>
      <c r="L297" t="s">
        <v>165</v>
      </c>
      <c r="N297" t="s">
        <v>188</v>
      </c>
      <c r="O297" t="s">
        <v>168</v>
      </c>
      <c r="P297">
        <v>2.7349784010185018E-2</v>
      </c>
      <c r="Q297" t="s">
        <v>165</v>
      </c>
      <c r="S297" t="s">
        <v>198</v>
      </c>
      <c r="T297" t="s">
        <v>168</v>
      </c>
      <c r="U297">
        <v>2.5760083693053517E-2</v>
      </c>
      <c r="V297" t="s">
        <v>165</v>
      </c>
    </row>
    <row r="298" spans="9:22" x14ac:dyDescent="0.45">
      <c r="I298" t="s">
        <v>178</v>
      </c>
      <c r="J298" t="s">
        <v>229</v>
      </c>
      <c r="K298">
        <v>5.2788355766555627E-3</v>
      </c>
      <c r="L298" t="s">
        <v>165</v>
      </c>
      <c r="N298" t="s">
        <v>188</v>
      </c>
      <c r="O298" t="s">
        <v>229</v>
      </c>
      <c r="P298">
        <v>3.4698131543354537E-3</v>
      </c>
      <c r="Q298" t="s">
        <v>165</v>
      </c>
      <c r="S298" t="s">
        <v>198</v>
      </c>
      <c r="T298" t="s">
        <v>229</v>
      </c>
      <c r="U298">
        <v>3.2595024356368483E-3</v>
      </c>
      <c r="V298" t="s">
        <v>165</v>
      </c>
    </row>
    <row r="299" spans="9:22" x14ac:dyDescent="0.45">
      <c r="I299" t="s">
        <v>178</v>
      </c>
      <c r="J299" t="s">
        <v>230</v>
      </c>
      <c r="K299">
        <v>2.1567391338392773E-3</v>
      </c>
      <c r="L299" t="s">
        <v>165</v>
      </c>
      <c r="N299" t="s">
        <v>188</v>
      </c>
      <c r="O299" t="s">
        <v>230</v>
      </c>
      <c r="P299">
        <v>3.5473555524718919E-3</v>
      </c>
      <c r="Q299" t="s">
        <v>165</v>
      </c>
      <c r="S299" t="s">
        <v>198</v>
      </c>
      <c r="T299" t="s">
        <v>230</v>
      </c>
      <c r="U299">
        <v>3.3063108940211972E-3</v>
      </c>
      <c r="V299" t="s">
        <v>165</v>
      </c>
    </row>
    <row r="300" spans="9:22" x14ac:dyDescent="0.45">
      <c r="I300" t="s">
        <v>178</v>
      </c>
      <c r="J300" t="s">
        <v>231</v>
      </c>
      <c r="K300">
        <v>0</v>
      </c>
      <c r="L300" t="s">
        <v>165</v>
      </c>
      <c r="N300" t="s">
        <v>188</v>
      </c>
      <c r="O300" t="s">
        <v>231</v>
      </c>
      <c r="P300">
        <v>2.1590703322891223E-2</v>
      </c>
      <c r="Q300" t="s">
        <v>165</v>
      </c>
      <c r="S300" t="s">
        <v>198</v>
      </c>
      <c r="T300" t="s">
        <v>231</v>
      </c>
      <c r="U300">
        <v>2.0982277412120547E-2</v>
      </c>
      <c r="V300" t="s">
        <v>165</v>
      </c>
    </row>
    <row r="301" spans="9:22" x14ac:dyDescent="0.45">
      <c r="I301" t="s">
        <v>178</v>
      </c>
      <c r="J301" t="s">
        <v>169</v>
      </c>
      <c r="K301">
        <v>4.5549614848010098E-3</v>
      </c>
      <c r="L301" t="s">
        <v>165</v>
      </c>
      <c r="N301" t="s">
        <v>188</v>
      </c>
      <c r="O301" t="s">
        <v>169</v>
      </c>
      <c r="P301">
        <v>3.0131409930785703E-2</v>
      </c>
      <c r="Q301" t="s">
        <v>165</v>
      </c>
      <c r="S301" t="s">
        <v>198</v>
      </c>
      <c r="T301" t="s">
        <v>169</v>
      </c>
      <c r="U301">
        <v>2.7404088341619524E-2</v>
      </c>
      <c r="V301" t="s">
        <v>165</v>
      </c>
    </row>
    <row r="302" spans="9:22" x14ac:dyDescent="0.45">
      <c r="I302" t="s">
        <v>178</v>
      </c>
      <c r="J302" t="s">
        <v>170</v>
      </c>
      <c r="K302">
        <v>6.940318444230574E-2</v>
      </c>
      <c r="L302" t="s">
        <v>165</v>
      </c>
      <c r="N302" t="s">
        <v>188</v>
      </c>
      <c r="O302" t="s">
        <v>170</v>
      </c>
      <c r="P302">
        <v>3.0353379521208097E-2</v>
      </c>
      <c r="Q302" t="s">
        <v>165</v>
      </c>
      <c r="S302" t="s">
        <v>198</v>
      </c>
      <c r="T302" t="s">
        <v>170</v>
      </c>
      <c r="U302">
        <v>3.3359136898803307E-2</v>
      </c>
      <c r="V302" t="s">
        <v>165</v>
      </c>
    </row>
    <row r="303" spans="9:22" x14ac:dyDescent="0.45">
      <c r="I303" t="s">
        <v>178</v>
      </c>
      <c r="J303" t="s">
        <v>232</v>
      </c>
      <c r="K303">
        <v>6.4229079935842429E-3</v>
      </c>
      <c r="L303" t="s">
        <v>165</v>
      </c>
      <c r="N303" t="s">
        <v>188</v>
      </c>
      <c r="O303" t="s">
        <v>232</v>
      </c>
      <c r="P303">
        <v>3.9140258396080686E-3</v>
      </c>
      <c r="Q303" t="s">
        <v>165</v>
      </c>
      <c r="S303" t="s">
        <v>198</v>
      </c>
      <c r="T303" t="s">
        <v>232</v>
      </c>
      <c r="U303">
        <v>3.9511620737904341E-3</v>
      </c>
      <c r="V303" t="s">
        <v>165</v>
      </c>
    </row>
    <row r="304" spans="9:22" x14ac:dyDescent="0.45">
      <c r="I304" t="s">
        <v>178</v>
      </c>
      <c r="J304" t="s">
        <v>233</v>
      </c>
      <c r="K304">
        <v>4.6927767307015783E-3</v>
      </c>
      <c r="L304" t="s">
        <v>165</v>
      </c>
      <c r="N304" t="s">
        <v>188</v>
      </c>
      <c r="O304" t="s">
        <v>233</v>
      </c>
      <c r="P304">
        <v>3.9031636327165943E-3</v>
      </c>
      <c r="Q304" t="s">
        <v>165</v>
      </c>
      <c r="S304" t="s">
        <v>198</v>
      </c>
      <c r="T304" t="s">
        <v>233</v>
      </c>
      <c r="U304">
        <v>3.7623559259402752E-3</v>
      </c>
      <c r="V304" t="s">
        <v>165</v>
      </c>
    </row>
    <row r="305" spans="9:22" x14ac:dyDescent="0.45">
      <c r="I305" t="s">
        <v>178</v>
      </c>
      <c r="J305" t="s">
        <v>234</v>
      </c>
      <c r="K305">
        <v>1.6122789126146386E-3</v>
      </c>
      <c r="L305" t="s">
        <v>165</v>
      </c>
      <c r="N305" t="s">
        <v>188</v>
      </c>
      <c r="O305" t="s">
        <v>234</v>
      </c>
      <c r="P305">
        <v>2.353264559224796E-2</v>
      </c>
      <c r="Q305" t="s">
        <v>165</v>
      </c>
      <c r="S305" t="s">
        <v>198</v>
      </c>
      <c r="T305" t="s">
        <v>234</v>
      </c>
      <c r="U305">
        <v>2.1963770422088497E-2</v>
      </c>
      <c r="V305" t="s">
        <v>165</v>
      </c>
    </row>
    <row r="306" spans="9:22" x14ac:dyDescent="0.45">
      <c r="I306" t="s">
        <v>178</v>
      </c>
      <c r="J306" t="s">
        <v>235</v>
      </c>
      <c r="K306">
        <v>2.7302413838786201E-2</v>
      </c>
      <c r="L306" t="s">
        <v>165</v>
      </c>
      <c r="N306" t="s">
        <v>188</v>
      </c>
      <c r="O306" t="s">
        <v>235</v>
      </c>
      <c r="P306">
        <v>6.2271175105791172E-2</v>
      </c>
      <c r="Q306" t="s">
        <v>165</v>
      </c>
      <c r="S306" t="s">
        <v>198</v>
      </c>
      <c r="T306" t="s">
        <v>235</v>
      </c>
      <c r="U306">
        <v>5.6435025319387454E-2</v>
      </c>
      <c r="V306" t="s">
        <v>165</v>
      </c>
    </row>
    <row r="307" spans="9:22" x14ac:dyDescent="0.45">
      <c r="I307" t="s">
        <v>178</v>
      </c>
      <c r="J307" t="s">
        <v>236</v>
      </c>
      <c r="K307">
        <v>0.18707500335799748</v>
      </c>
      <c r="L307" t="s">
        <v>165</v>
      </c>
      <c r="N307" t="s">
        <v>188</v>
      </c>
      <c r="O307" t="s">
        <v>236</v>
      </c>
      <c r="P307">
        <v>6.2545087337424449E-2</v>
      </c>
      <c r="Q307" t="s">
        <v>165</v>
      </c>
      <c r="S307" t="s">
        <v>198</v>
      </c>
      <c r="T307" t="s">
        <v>236</v>
      </c>
      <c r="U307">
        <v>6.6669474385910241E-2</v>
      </c>
      <c r="V307" t="s">
        <v>165</v>
      </c>
    </row>
    <row r="308" spans="9:22" x14ac:dyDescent="0.45">
      <c r="I308" t="s">
        <v>178</v>
      </c>
      <c r="J308" t="s">
        <v>237</v>
      </c>
      <c r="K308">
        <v>2.0485218956092691E-2</v>
      </c>
      <c r="L308" t="s">
        <v>165</v>
      </c>
      <c r="N308" t="s">
        <v>188</v>
      </c>
      <c r="O308" t="s">
        <v>237</v>
      </c>
      <c r="P308">
        <v>7.6790713015547482E-3</v>
      </c>
      <c r="Q308" t="s">
        <v>165</v>
      </c>
      <c r="S308" t="s">
        <v>198</v>
      </c>
      <c r="T308" t="s">
        <v>237</v>
      </c>
      <c r="U308">
        <v>8.3584927589321744E-3</v>
      </c>
      <c r="V308" t="s">
        <v>165</v>
      </c>
    </row>
    <row r="309" spans="9:22" x14ac:dyDescent="0.45">
      <c r="I309" t="s">
        <v>178</v>
      </c>
      <c r="J309" t="s">
        <v>238</v>
      </c>
      <c r="K309">
        <v>1.6122237788137483E-2</v>
      </c>
      <c r="L309" t="s">
        <v>165</v>
      </c>
      <c r="N309" t="s">
        <v>188</v>
      </c>
      <c r="O309" t="s">
        <v>238</v>
      </c>
      <c r="P309">
        <v>7.5935563138214398E-3</v>
      </c>
      <c r="Q309" t="s">
        <v>165</v>
      </c>
      <c r="S309" t="s">
        <v>198</v>
      </c>
      <c r="T309" t="s">
        <v>238</v>
      </c>
      <c r="U309">
        <v>8.2022111176899767E-3</v>
      </c>
      <c r="V309" t="s">
        <v>165</v>
      </c>
    </row>
    <row r="310" spans="9:22" x14ac:dyDescent="0.45">
      <c r="I310" t="s">
        <v>178</v>
      </c>
      <c r="J310" t="s">
        <v>239</v>
      </c>
      <c r="K310">
        <v>1.5802866450987257E-2</v>
      </c>
      <c r="L310" t="s">
        <v>165</v>
      </c>
      <c r="N310" t="s">
        <v>188</v>
      </c>
      <c r="O310" t="s">
        <v>239</v>
      </c>
      <c r="P310">
        <v>4.4679928321165137E-2</v>
      </c>
      <c r="Q310" t="s">
        <v>165</v>
      </c>
      <c r="S310" t="s">
        <v>198</v>
      </c>
      <c r="T310" t="s">
        <v>239</v>
      </c>
      <c r="U310">
        <v>4.1518293209882075E-2</v>
      </c>
      <c r="V310" t="s">
        <v>165</v>
      </c>
    </row>
    <row r="311" spans="9:22" x14ac:dyDescent="0.45">
      <c r="I311" t="s">
        <v>178</v>
      </c>
      <c r="J311" t="s">
        <v>240</v>
      </c>
      <c r="K311">
        <v>5.2423627981955039E-2</v>
      </c>
      <c r="L311" t="s">
        <v>165</v>
      </c>
      <c r="N311" t="s">
        <v>188</v>
      </c>
      <c r="O311" t="s">
        <v>240</v>
      </c>
      <c r="P311">
        <v>0.11468626866412729</v>
      </c>
      <c r="Q311" t="s">
        <v>165</v>
      </c>
      <c r="S311" t="s">
        <v>198</v>
      </c>
      <c r="T311" t="s">
        <v>240</v>
      </c>
      <c r="U311">
        <v>9.6228985052748739E-2</v>
      </c>
      <c r="V311" t="s">
        <v>165</v>
      </c>
    </row>
    <row r="312" spans="9:22" x14ac:dyDescent="0.45">
      <c r="I312" t="s">
        <v>178</v>
      </c>
      <c r="J312" t="s">
        <v>241</v>
      </c>
      <c r="K312">
        <v>0.37080052503238986</v>
      </c>
      <c r="L312" t="s">
        <v>165</v>
      </c>
      <c r="N312" t="s">
        <v>188</v>
      </c>
      <c r="O312" t="s">
        <v>241</v>
      </c>
      <c r="P312">
        <v>0.11745041491392107</v>
      </c>
      <c r="Q312" t="s">
        <v>165</v>
      </c>
      <c r="S312" t="s">
        <v>198</v>
      </c>
      <c r="T312" t="s">
        <v>241</v>
      </c>
      <c r="U312">
        <v>0.11337644024448208</v>
      </c>
      <c r="V312" t="s">
        <v>165</v>
      </c>
    </row>
    <row r="313" spans="9:22" x14ac:dyDescent="0.45">
      <c r="I313" t="s">
        <v>178</v>
      </c>
      <c r="J313" t="s">
        <v>242</v>
      </c>
      <c r="K313">
        <v>3.720623462457389E-2</v>
      </c>
      <c r="L313" t="s">
        <v>165</v>
      </c>
      <c r="N313" t="s">
        <v>188</v>
      </c>
      <c r="O313" t="s">
        <v>242</v>
      </c>
      <c r="P313">
        <v>1.4519973359824809E-2</v>
      </c>
      <c r="Q313" t="s">
        <v>165</v>
      </c>
      <c r="S313" t="s">
        <v>198</v>
      </c>
      <c r="T313" t="s">
        <v>242</v>
      </c>
      <c r="U313">
        <v>1.2752294128532904E-2</v>
      </c>
      <c r="V313" t="s">
        <v>165</v>
      </c>
    </row>
    <row r="314" spans="9:22" x14ac:dyDescent="0.45">
      <c r="I314" t="s">
        <v>178</v>
      </c>
      <c r="J314" t="s">
        <v>243</v>
      </c>
      <c r="K314">
        <v>2.8342932780650358E-2</v>
      </c>
      <c r="L314" t="s">
        <v>165</v>
      </c>
      <c r="N314" t="s">
        <v>188</v>
      </c>
      <c r="O314" t="s">
        <v>243</v>
      </c>
      <c r="P314">
        <v>1.4373721411995034E-2</v>
      </c>
      <c r="Q314" t="s">
        <v>165</v>
      </c>
      <c r="S314" t="s">
        <v>198</v>
      </c>
      <c r="T314" t="s">
        <v>243</v>
      </c>
      <c r="U314">
        <v>1.2193098010712578E-2</v>
      </c>
      <c r="V314" t="s">
        <v>165</v>
      </c>
    </row>
    <row r="315" spans="9:22" x14ac:dyDescent="0.45">
      <c r="I315" t="s">
        <v>178</v>
      </c>
      <c r="J315" t="s">
        <v>244</v>
      </c>
      <c r="K315">
        <v>3.0387872693270621E-2</v>
      </c>
      <c r="L315" t="s">
        <v>165</v>
      </c>
      <c r="N315" t="s">
        <v>188</v>
      </c>
      <c r="O315" t="s">
        <v>244</v>
      </c>
      <c r="P315">
        <v>8.5394756366744873E-2</v>
      </c>
      <c r="Q315" t="s">
        <v>165</v>
      </c>
      <c r="S315" t="s">
        <v>198</v>
      </c>
      <c r="T315" t="s">
        <v>244</v>
      </c>
      <c r="U315">
        <v>6.7455780664352843E-2</v>
      </c>
      <c r="V315" t="s">
        <v>165</v>
      </c>
    </row>
    <row r="316" spans="9:22" x14ac:dyDescent="0.45">
      <c r="I316" t="s">
        <v>178</v>
      </c>
      <c r="J316" t="s">
        <v>245</v>
      </c>
      <c r="K316">
        <v>0</v>
      </c>
      <c r="L316" t="s">
        <v>165</v>
      </c>
      <c r="N316" t="s">
        <v>188</v>
      </c>
      <c r="O316" t="s">
        <v>245</v>
      </c>
      <c r="P316">
        <v>2.7785765288689888E-2</v>
      </c>
      <c r="Q316" t="s">
        <v>165</v>
      </c>
      <c r="S316" t="s">
        <v>198</v>
      </c>
      <c r="T316" t="s">
        <v>245</v>
      </c>
      <c r="U316">
        <v>2.7481737270483253E-2</v>
      </c>
      <c r="V316" t="s">
        <v>165</v>
      </c>
    </row>
    <row r="317" spans="9:22" x14ac:dyDescent="0.45">
      <c r="I317" t="s">
        <v>178</v>
      </c>
      <c r="J317" t="s">
        <v>246</v>
      </c>
      <c r="K317">
        <v>3.1641326350115614E-2</v>
      </c>
      <c r="L317" t="s">
        <v>165</v>
      </c>
      <c r="N317" t="s">
        <v>188</v>
      </c>
      <c r="O317" t="s">
        <v>246</v>
      </c>
      <c r="P317">
        <v>2.5758357429456095E-2</v>
      </c>
      <c r="Q317" t="s">
        <v>165</v>
      </c>
      <c r="S317" t="s">
        <v>198</v>
      </c>
      <c r="T317" t="s">
        <v>246</v>
      </c>
      <c r="U317">
        <v>2.728254912373454E-2</v>
      </c>
      <c r="V317" t="s">
        <v>165</v>
      </c>
    </row>
    <row r="318" spans="9:22" x14ac:dyDescent="0.45">
      <c r="I318" t="s">
        <v>178</v>
      </c>
      <c r="J318" t="s">
        <v>247</v>
      </c>
      <c r="K318">
        <v>8.520932342122575E-4</v>
      </c>
      <c r="L318" t="s">
        <v>165</v>
      </c>
      <c r="N318" t="s">
        <v>188</v>
      </c>
      <c r="O318" t="s">
        <v>247</v>
      </c>
      <c r="P318">
        <v>3.2705965647364657E-3</v>
      </c>
      <c r="Q318" t="s">
        <v>165</v>
      </c>
      <c r="S318" t="s">
        <v>198</v>
      </c>
      <c r="T318" t="s">
        <v>247</v>
      </c>
      <c r="U318">
        <v>3.5129283149571626E-3</v>
      </c>
      <c r="V318" t="s">
        <v>165</v>
      </c>
    </row>
    <row r="319" spans="9:22" x14ac:dyDescent="0.45">
      <c r="I319" t="s">
        <v>178</v>
      </c>
      <c r="J319" t="s">
        <v>248</v>
      </c>
      <c r="K319">
        <v>0</v>
      </c>
      <c r="L319" t="s">
        <v>165</v>
      </c>
      <c r="N319" t="s">
        <v>188</v>
      </c>
      <c r="O319" t="s">
        <v>248</v>
      </c>
      <c r="P319">
        <v>3.109396969601089E-3</v>
      </c>
      <c r="Q319" t="s">
        <v>165</v>
      </c>
      <c r="S319" t="s">
        <v>198</v>
      </c>
      <c r="T319" t="s">
        <v>248</v>
      </c>
      <c r="U319">
        <v>3.4416350219157493E-3</v>
      </c>
      <c r="V319" t="s">
        <v>165</v>
      </c>
    </row>
    <row r="320" spans="9:22" x14ac:dyDescent="0.45">
      <c r="I320" t="s">
        <v>178</v>
      </c>
      <c r="J320" t="s">
        <v>249</v>
      </c>
      <c r="K320">
        <v>0</v>
      </c>
      <c r="L320" t="s">
        <v>165</v>
      </c>
      <c r="N320" t="s">
        <v>188</v>
      </c>
      <c r="O320" t="s">
        <v>249</v>
      </c>
      <c r="P320">
        <v>1.8320246559873032E-2</v>
      </c>
      <c r="Q320" t="s">
        <v>165</v>
      </c>
      <c r="S320" t="s">
        <v>198</v>
      </c>
      <c r="T320" t="s">
        <v>249</v>
      </c>
      <c r="U320">
        <v>1.9996617445764336E-2</v>
      </c>
      <c r="V320" t="s">
        <v>165</v>
      </c>
    </row>
    <row r="321" spans="9:22" x14ac:dyDescent="0.45">
      <c r="I321" t="s">
        <v>178</v>
      </c>
      <c r="J321" t="s">
        <v>250</v>
      </c>
      <c r="K321">
        <v>0</v>
      </c>
      <c r="L321" t="s">
        <v>165</v>
      </c>
      <c r="N321" t="s">
        <v>188</v>
      </c>
      <c r="O321" t="s">
        <v>250</v>
      </c>
      <c r="P321">
        <v>3.714073122004808E-2</v>
      </c>
      <c r="Q321" t="s">
        <v>165</v>
      </c>
      <c r="S321" t="s">
        <v>198</v>
      </c>
      <c r="T321" t="s">
        <v>250</v>
      </c>
      <c r="U321">
        <v>4.8805498383496772E-2</v>
      </c>
      <c r="V321" t="s">
        <v>165</v>
      </c>
    </row>
    <row r="322" spans="9:22" x14ac:dyDescent="0.45">
      <c r="I322" t="s">
        <v>178</v>
      </c>
      <c r="J322" t="s">
        <v>251</v>
      </c>
      <c r="K322">
        <v>1.754972982412439E-2</v>
      </c>
      <c r="L322" t="s">
        <v>165</v>
      </c>
      <c r="N322" t="s">
        <v>188</v>
      </c>
      <c r="O322" t="s">
        <v>251</v>
      </c>
      <c r="P322">
        <v>3.9875490618315412E-2</v>
      </c>
      <c r="Q322" t="s">
        <v>165</v>
      </c>
      <c r="S322" t="s">
        <v>198</v>
      </c>
      <c r="T322" t="s">
        <v>251</v>
      </c>
      <c r="U322">
        <v>5.326838858478028E-2</v>
      </c>
      <c r="V322" t="s">
        <v>165</v>
      </c>
    </row>
    <row r="323" spans="9:22" x14ac:dyDescent="0.45">
      <c r="I323" t="s">
        <v>178</v>
      </c>
      <c r="J323" t="s">
        <v>252</v>
      </c>
      <c r="K323">
        <v>0</v>
      </c>
      <c r="L323" t="s">
        <v>165</v>
      </c>
      <c r="N323" t="s">
        <v>188</v>
      </c>
      <c r="O323" t="s">
        <v>252</v>
      </c>
      <c r="P323">
        <v>4.9455415984927757E-3</v>
      </c>
      <c r="Q323" t="s">
        <v>165</v>
      </c>
      <c r="S323" t="s">
        <v>198</v>
      </c>
      <c r="T323" t="s">
        <v>252</v>
      </c>
      <c r="U323">
        <v>7.0378425613197067E-3</v>
      </c>
      <c r="V323" t="s">
        <v>165</v>
      </c>
    </row>
    <row r="324" spans="9:22" x14ac:dyDescent="0.45">
      <c r="I324" t="s">
        <v>178</v>
      </c>
      <c r="J324" t="s">
        <v>253</v>
      </c>
      <c r="K324">
        <v>0</v>
      </c>
      <c r="L324" t="s">
        <v>165</v>
      </c>
      <c r="N324" t="s">
        <v>188</v>
      </c>
      <c r="O324" t="s">
        <v>253</v>
      </c>
      <c r="P324">
        <v>4.920859760664884E-3</v>
      </c>
      <c r="Q324" t="s">
        <v>165</v>
      </c>
      <c r="S324" t="s">
        <v>198</v>
      </c>
      <c r="T324" t="s">
        <v>253</v>
      </c>
      <c r="U324">
        <v>7.0185468188044562E-3</v>
      </c>
      <c r="V324" t="s">
        <v>165</v>
      </c>
    </row>
    <row r="325" spans="9:22" x14ac:dyDescent="0.45">
      <c r="I325" t="s">
        <v>178</v>
      </c>
      <c r="J325" t="s">
        <v>254</v>
      </c>
      <c r="K325">
        <v>0</v>
      </c>
      <c r="L325" t="s">
        <v>165</v>
      </c>
      <c r="N325" t="s">
        <v>188</v>
      </c>
      <c r="O325" t="s">
        <v>254</v>
      </c>
      <c r="P325">
        <v>2.9197845772984277E-2</v>
      </c>
      <c r="Q325" t="s">
        <v>165</v>
      </c>
      <c r="S325" t="s">
        <v>198</v>
      </c>
      <c r="T325" t="s">
        <v>254</v>
      </c>
      <c r="U325">
        <v>4.2462845327293858E-2</v>
      </c>
      <c r="V325" t="s">
        <v>165</v>
      </c>
    </row>
    <row r="326" spans="9:22" x14ac:dyDescent="0.45">
      <c r="I326" t="s">
        <v>179</v>
      </c>
      <c r="J326" t="s">
        <v>164</v>
      </c>
      <c r="K326">
        <v>0</v>
      </c>
      <c r="L326" t="s">
        <v>165</v>
      </c>
      <c r="N326" t="s">
        <v>189</v>
      </c>
      <c r="O326" t="s">
        <v>164</v>
      </c>
      <c r="P326">
        <v>3.1445567219186787E-2</v>
      </c>
      <c r="Q326" t="s">
        <v>165</v>
      </c>
      <c r="S326" t="s">
        <v>199</v>
      </c>
      <c r="T326" t="s">
        <v>164</v>
      </c>
      <c r="U326">
        <v>3.4707808538997013E-2</v>
      </c>
      <c r="V326" t="s">
        <v>165</v>
      </c>
    </row>
    <row r="327" spans="9:22" x14ac:dyDescent="0.45">
      <c r="I327" t="s">
        <v>179</v>
      </c>
      <c r="J327" t="s">
        <v>166</v>
      </c>
      <c r="K327">
        <v>2.2049209774412073E-2</v>
      </c>
      <c r="L327" t="s">
        <v>165</v>
      </c>
      <c r="N327" t="s">
        <v>189</v>
      </c>
      <c r="O327" t="s">
        <v>166</v>
      </c>
      <c r="P327">
        <v>3.4587057057883994E-2</v>
      </c>
      <c r="Q327" t="s">
        <v>165</v>
      </c>
      <c r="S327" t="s">
        <v>199</v>
      </c>
      <c r="T327" t="s">
        <v>166</v>
      </c>
      <c r="U327">
        <v>3.600095298331004E-2</v>
      </c>
      <c r="V327" t="s">
        <v>165</v>
      </c>
    </row>
    <row r="328" spans="9:22" x14ac:dyDescent="0.45">
      <c r="I328" t="s">
        <v>179</v>
      </c>
      <c r="J328" t="s">
        <v>226</v>
      </c>
      <c r="K328">
        <v>1.2182468071164517E-3</v>
      </c>
      <c r="L328" t="s">
        <v>165</v>
      </c>
      <c r="N328" t="s">
        <v>189</v>
      </c>
      <c r="O328" t="s">
        <v>226</v>
      </c>
      <c r="P328">
        <v>4.1434258604649684E-3</v>
      </c>
      <c r="Q328" t="s">
        <v>165</v>
      </c>
      <c r="S328" t="s">
        <v>199</v>
      </c>
      <c r="T328" t="s">
        <v>226</v>
      </c>
      <c r="U328">
        <v>4.3101503408159627E-3</v>
      </c>
      <c r="V328" t="s">
        <v>165</v>
      </c>
    </row>
    <row r="329" spans="9:22" x14ac:dyDescent="0.45">
      <c r="I329" t="s">
        <v>179</v>
      </c>
      <c r="J329" t="s">
        <v>227</v>
      </c>
      <c r="K329">
        <v>0</v>
      </c>
      <c r="L329" t="s">
        <v>165</v>
      </c>
      <c r="N329" t="s">
        <v>189</v>
      </c>
      <c r="O329" t="s">
        <v>227</v>
      </c>
      <c r="P329">
        <v>4.0610930767522547E-3</v>
      </c>
      <c r="Q329" t="s">
        <v>165</v>
      </c>
      <c r="S329" t="s">
        <v>199</v>
      </c>
      <c r="T329" t="s">
        <v>227</v>
      </c>
      <c r="U329">
        <v>4.1868441281150675E-3</v>
      </c>
      <c r="V329" t="s">
        <v>165</v>
      </c>
    </row>
    <row r="330" spans="9:22" x14ac:dyDescent="0.45">
      <c r="I330" t="s">
        <v>179</v>
      </c>
      <c r="J330" t="s">
        <v>228</v>
      </c>
      <c r="K330">
        <v>0</v>
      </c>
      <c r="L330" t="s">
        <v>165</v>
      </c>
      <c r="N330" t="s">
        <v>189</v>
      </c>
      <c r="O330" t="s">
        <v>228</v>
      </c>
      <c r="P330">
        <v>2.3907258739760427E-2</v>
      </c>
      <c r="Q330" t="s">
        <v>165</v>
      </c>
      <c r="S330" t="s">
        <v>199</v>
      </c>
      <c r="T330" t="s">
        <v>228</v>
      </c>
      <c r="U330">
        <v>2.4910825164706447E-2</v>
      </c>
      <c r="V330" t="s">
        <v>165</v>
      </c>
    </row>
    <row r="331" spans="9:22" x14ac:dyDescent="0.45">
      <c r="I331" t="s">
        <v>179</v>
      </c>
      <c r="J331" t="s">
        <v>167</v>
      </c>
      <c r="K331">
        <v>0</v>
      </c>
      <c r="L331" t="s">
        <v>165</v>
      </c>
      <c r="N331" t="s">
        <v>189</v>
      </c>
      <c r="O331" t="s">
        <v>167</v>
      </c>
      <c r="P331">
        <v>2.8602730928752044E-2</v>
      </c>
      <c r="Q331" t="s">
        <v>165</v>
      </c>
      <c r="S331" t="s">
        <v>199</v>
      </c>
      <c r="T331" t="s">
        <v>167</v>
      </c>
      <c r="U331">
        <v>2.7126656274898221E-2</v>
      </c>
      <c r="V331" t="s">
        <v>165</v>
      </c>
    </row>
    <row r="332" spans="9:22" x14ac:dyDescent="0.45">
      <c r="I332" t="s">
        <v>179</v>
      </c>
      <c r="J332" t="s">
        <v>168</v>
      </c>
      <c r="K332">
        <v>4.5705852924360066E-2</v>
      </c>
      <c r="L332" t="s">
        <v>165</v>
      </c>
      <c r="N332" t="s">
        <v>189</v>
      </c>
      <c r="O332" t="s">
        <v>168</v>
      </c>
      <c r="P332">
        <v>2.9049455380049421E-2</v>
      </c>
      <c r="Q332" t="s">
        <v>165</v>
      </c>
      <c r="S332" t="s">
        <v>199</v>
      </c>
      <c r="T332" t="s">
        <v>168</v>
      </c>
      <c r="U332">
        <v>2.7429979741280988E-2</v>
      </c>
      <c r="V332" t="s">
        <v>165</v>
      </c>
    </row>
    <row r="333" spans="9:22" x14ac:dyDescent="0.45">
      <c r="I333" t="s">
        <v>179</v>
      </c>
      <c r="J333" t="s">
        <v>229</v>
      </c>
      <c r="K333">
        <v>4.5618978407124628E-3</v>
      </c>
      <c r="L333" t="s">
        <v>165</v>
      </c>
      <c r="N333" t="s">
        <v>189</v>
      </c>
      <c r="O333" t="s">
        <v>229</v>
      </c>
      <c r="P333">
        <v>3.649467475085219E-3</v>
      </c>
      <c r="Q333" t="s">
        <v>165</v>
      </c>
      <c r="S333" t="s">
        <v>199</v>
      </c>
      <c r="T333" t="s">
        <v>229</v>
      </c>
      <c r="U333">
        <v>3.4914641799044834E-3</v>
      </c>
      <c r="V333" t="s">
        <v>165</v>
      </c>
    </row>
    <row r="334" spans="9:22" x14ac:dyDescent="0.45">
      <c r="I334" t="s">
        <v>179</v>
      </c>
      <c r="J334" t="s">
        <v>230</v>
      </c>
      <c r="K334">
        <v>1.9965104576634375E-3</v>
      </c>
      <c r="L334" t="s">
        <v>165</v>
      </c>
      <c r="N334" t="s">
        <v>189</v>
      </c>
      <c r="O334" t="s">
        <v>230</v>
      </c>
      <c r="P334">
        <v>3.6581635355462999E-3</v>
      </c>
      <c r="Q334" t="s">
        <v>165</v>
      </c>
      <c r="S334" t="s">
        <v>199</v>
      </c>
      <c r="T334" t="s">
        <v>230</v>
      </c>
      <c r="U334">
        <v>3.5360253644191142E-3</v>
      </c>
      <c r="V334" t="s">
        <v>165</v>
      </c>
    </row>
    <row r="335" spans="9:22" x14ac:dyDescent="0.45">
      <c r="I335" t="s">
        <v>179</v>
      </c>
      <c r="J335" t="s">
        <v>231</v>
      </c>
      <c r="K335">
        <v>0</v>
      </c>
      <c r="L335" t="s">
        <v>165</v>
      </c>
      <c r="N335" t="s">
        <v>189</v>
      </c>
      <c r="O335" t="s">
        <v>231</v>
      </c>
      <c r="P335">
        <v>2.2098806417278943E-2</v>
      </c>
      <c r="Q335" t="s">
        <v>165</v>
      </c>
      <c r="S335" t="s">
        <v>199</v>
      </c>
      <c r="T335" t="s">
        <v>231</v>
      </c>
      <c r="U335">
        <v>2.1736053503464404E-2</v>
      </c>
      <c r="V335" t="s">
        <v>165</v>
      </c>
    </row>
    <row r="336" spans="9:22" x14ac:dyDescent="0.45">
      <c r="I336" t="s">
        <v>179</v>
      </c>
      <c r="J336" t="s">
        <v>169</v>
      </c>
      <c r="K336">
        <v>3.7632938894233796E-3</v>
      </c>
      <c r="L336" t="s">
        <v>165</v>
      </c>
      <c r="N336" t="s">
        <v>189</v>
      </c>
      <c r="O336" t="s">
        <v>169</v>
      </c>
      <c r="P336">
        <v>3.0516638779905597E-2</v>
      </c>
      <c r="Q336" t="s">
        <v>165</v>
      </c>
      <c r="S336" t="s">
        <v>199</v>
      </c>
      <c r="T336" t="s">
        <v>169</v>
      </c>
      <c r="U336">
        <v>2.9669655885577711E-2</v>
      </c>
      <c r="V336" t="s">
        <v>165</v>
      </c>
    </row>
    <row r="337" spans="9:22" x14ac:dyDescent="0.45">
      <c r="I337" t="s">
        <v>179</v>
      </c>
      <c r="J337" t="s">
        <v>170</v>
      </c>
      <c r="K337">
        <v>7.0539066602807191E-2</v>
      </c>
      <c r="L337" t="s">
        <v>165</v>
      </c>
      <c r="N337" t="s">
        <v>189</v>
      </c>
      <c r="O337" t="s">
        <v>170</v>
      </c>
      <c r="P337">
        <v>3.1962978943476675E-2</v>
      </c>
      <c r="Q337" t="s">
        <v>165</v>
      </c>
      <c r="S337" t="s">
        <v>199</v>
      </c>
      <c r="T337" t="s">
        <v>170</v>
      </c>
      <c r="U337">
        <v>3.0924210583433049E-2</v>
      </c>
      <c r="V337" t="s">
        <v>165</v>
      </c>
    </row>
    <row r="338" spans="9:22" x14ac:dyDescent="0.45">
      <c r="I338" t="s">
        <v>179</v>
      </c>
      <c r="J338" t="s">
        <v>232</v>
      </c>
      <c r="K338">
        <v>6.7597305594565091E-3</v>
      </c>
      <c r="L338" t="s">
        <v>165</v>
      </c>
      <c r="N338" t="s">
        <v>189</v>
      </c>
      <c r="O338" t="s">
        <v>232</v>
      </c>
      <c r="P338">
        <v>4.0522903460321006E-3</v>
      </c>
      <c r="Q338" t="s">
        <v>165</v>
      </c>
      <c r="S338" t="s">
        <v>199</v>
      </c>
      <c r="T338" t="s">
        <v>232</v>
      </c>
      <c r="U338">
        <v>3.9576817312678867E-3</v>
      </c>
      <c r="V338" t="s">
        <v>165</v>
      </c>
    </row>
    <row r="339" spans="9:22" x14ac:dyDescent="0.45">
      <c r="I339" t="s">
        <v>179</v>
      </c>
      <c r="J339" t="s">
        <v>233</v>
      </c>
      <c r="K339">
        <v>4.6593693404768542E-3</v>
      </c>
      <c r="L339" t="s">
        <v>165</v>
      </c>
      <c r="N339" t="s">
        <v>189</v>
      </c>
      <c r="O339" t="s">
        <v>233</v>
      </c>
      <c r="P339">
        <v>3.9129692979705828E-3</v>
      </c>
      <c r="Q339" t="s">
        <v>165</v>
      </c>
      <c r="S339" t="s">
        <v>199</v>
      </c>
      <c r="T339" t="s">
        <v>233</v>
      </c>
      <c r="U339">
        <v>3.9720284395202586E-3</v>
      </c>
      <c r="V339" t="s">
        <v>165</v>
      </c>
    </row>
    <row r="340" spans="9:22" x14ac:dyDescent="0.45">
      <c r="I340" t="s">
        <v>179</v>
      </c>
      <c r="J340" t="s">
        <v>234</v>
      </c>
      <c r="K340">
        <v>1.7553655372056528E-3</v>
      </c>
      <c r="L340" t="s">
        <v>165</v>
      </c>
      <c r="N340" t="s">
        <v>189</v>
      </c>
      <c r="O340" t="s">
        <v>234</v>
      </c>
      <c r="P340">
        <v>2.3982181917401542E-2</v>
      </c>
      <c r="Q340" t="s">
        <v>165</v>
      </c>
      <c r="S340" t="s">
        <v>199</v>
      </c>
      <c r="T340" t="s">
        <v>234</v>
      </c>
      <c r="U340">
        <v>2.3314299551813748E-2</v>
      </c>
      <c r="V340" t="s">
        <v>165</v>
      </c>
    </row>
    <row r="341" spans="9:22" x14ac:dyDescent="0.45">
      <c r="I341" t="s">
        <v>179</v>
      </c>
      <c r="J341" t="s">
        <v>235</v>
      </c>
      <c r="K341">
        <v>2.5083468764008798E-2</v>
      </c>
      <c r="L341" t="s">
        <v>165</v>
      </c>
      <c r="N341" t="s">
        <v>189</v>
      </c>
      <c r="O341" t="s">
        <v>235</v>
      </c>
      <c r="P341">
        <v>6.1963230149396871E-2</v>
      </c>
      <c r="Q341" t="s">
        <v>165</v>
      </c>
      <c r="S341" t="s">
        <v>199</v>
      </c>
      <c r="T341" t="s">
        <v>235</v>
      </c>
      <c r="U341">
        <v>5.9913913137098651E-2</v>
      </c>
      <c r="V341" t="s">
        <v>165</v>
      </c>
    </row>
    <row r="342" spans="9:22" x14ac:dyDescent="0.45">
      <c r="I342" t="s">
        <v>179</v>
      </c>
      <c r="J342" t="s">
        <v>236</v>
      </c>
      <c r="K342">
        <v>0.18653967373544242</v>
      </c>
      <c r="L342" t="s">
        <v>165</v>
      </c>
      <c r="N342" t="s">
        <v>189</v>
      </c>
      <c r="O342" t="s">
        <v>236</v>
      </c>
      <c r="P342">
        <v>6.8183196464966372E-2</v>
      </c>
      <c r="Q342" t="s">
        <v>165</v>
      </c>
      <c r="S342" t="s">
        <v>199</v>
      </c>
      <c r="T342" t="s">
        <v>236</v>
      </c>
      <c r="U342">
        <v>5.7419147736457225E-2</v>
      </c>
      <c r="V342" t="s">
        <v>165</v>
      </c>
    </row>
    <row r="343" spans="9:22" x14ac:dyDescent="0.45">
      <c r="I343" t="s">
        <v>179</v>
      </c>
      <c r="J343" t="s">
        <v>237</v>
      </c>
      <c r="K343">
        <v>2.0039477884446252E-2</v>
      </c>
      <c r="L343" t="s">
        <v>165</v>
      </c>
      <c r="N343" t="s">
        <v>189</v>
      </c>
      <c r="O343" t="s">
        <v>237</v>
      </c>
      <c r="P343">
        <v>8.6784324996887589E-3</v>
      </c>
      <c r="Q343" t="s">
        <v>165</v>
      </c>
      <c r="S343" t="s">
        <v>199</v>
      </c>
      <c r="T343" t="s">
        <v>237</v>
      </c>
      <c r="U343">
        <v>7.3033772749190829E-3</v>
      </c>
      <c r="V343" t="s">
        <v>165</v>
      </c>
    </row>
    <row r="344" spans="9:22" x14ac:dyDescent="0.45">
      <c r="I344" t="s">
        <v>179</v>
      </c>
      <c r="J344" t="s">
        <v>238</v>
      </c>
      <c r="K344">
        <v>1.5798384387223492E-2</v>
      </c>
      <c r="L344" t="s">
        <v>165</v>
      </c>
      <c r="N344" t="s">
        <v>189</v>
      </c>
      <c r="O344" t="s">
        <v>238</v>
      </c>
      <c r="P344">
        <v>8.443031701322587E-3</v>
      </c>
      <c r="Q344" t="s">
        <v>165</v>
      </c>
      <c r="S344" t="s">
        <v>199</v>
      </c>
      <c r="T344" t="s">
        <v>238</v>
      </c>
      <c r="U344">
        <v>7.2646982576500463E-3</v>
      </c>
      <c r="V344" t="s">
        <v>165</v>
      </c>
    </row>
    <row r="345" spans="9:22" x14ac:dyDescent="0.45">
      <c r="I345" t="s">
        <v>179</v>
      </c>
      <c r="J345" t="s">
        <v>239</v>
      </c>
      <c r="K345">
        <v>1.5278061464410714E-2</v>
      </c>
      <c r="L345" t="s">
        <v>165</v>
      </c>
      <c r="N345" t="s">
        <v>189</v>
      </c>
      <c r="O345" t="s">
        <v>239</v>
      </c>
      <c r="P345">
        <v>4.6208374388263737E-2</v>
      </c>
      <c r="Q345" t="s">
        <v>165</v>
      </c>
      <c r="S345" t="s">
        <v>199</v>
      </c>
      <c r="T345" t="s">
        <v>239</v>
      </c>
      <c r="U345">
        <v>4.3689415657996687E-2</v>
      </c>
      <c r="V345" t="s">
        <v>165</v>
      </c>
    </row>
    <row r="346" spans="9:22" x14ac:dyDescent="0.45">
      <c r="I346" t="s">
        <v>179</v>
      </c>
      <c r="J346" t="s">
        <v>240</v>
      </c>
      <c r="K346">
        <v>4.5332723104967027E-2</v>
      </c>
      <c r="L346" t="s">
        <v>165</v>
      </c>
      <c r="N346" t="s">
        <v>189</v>
      </c>
      <c r="O346" t="s">
        <v>240</v>
      </c>
      <c r="P346">
        <v>0.10457917367886664</v>
      </c>
      <c r="Q346" t="s">
        <v>165</v>
      </c>
      <c r="S346" t="s">
        <v>199</v>
      </c>
      <c r="T346" t="s">
        <v>240</v>
      </c>
      <c r="U346">
        <v>0.11413286007475297</v>
      </c>
      <c r="V346" t="s">
        <v>165</v>
      </c>
    </row>
    <row r="347" spans="9:22" x14ac:dyDescent="0.45">
      <c r="I347" t="s">
        <v>179</v>
      </c>
      <c r="J347" t="s">
        <v>241</v>
      </c>
      <c r="K347">
        <v>0.3798372065197676</v>
      </c>
      <c r="L347" t="s">
        <v>165</v>
      </c>
      <c r="N347" t="s">
        <v>189</v>
      </c>
      <c r="O347" t="s">
        <v>241</v>
      </c>
      <c r="P347">
        <v>0.11822266089842008</v>
      </c>
      <c r="Q347" t="s">
        <v>165</v>
      </c>
      <c r="S347" t="s">
        <v>199</v>
      </c>
      <c r="T347" t="s">
        <v>241</v>
      </c>
      <c r="U347">
        <v>0.11273990192434186</v>
      </c>
      <c r="V347" t="s">
        <v>165</v>
      </c>
    </row>
    <row r="348" spans="9:22" x14ac:dyDescent="0.45">
      <c r="I348" t="s">
        <v>179</v>
      </c>
      <c r="J348" t="s">
        <v>242</v>
      </c>
      <c r="K348">
        <v>4.063051439686978E-2</v>
      </c>
      <c r="L348" t="s">
        <v>165</v>
      </c>
      <c r="N348" t="s">
        <v>189</v>
      </c>
      <c r="O348" t="s">
        <v>242</v>
      </c>
      <c r="P348">
        <v>1.4816470433935174E-2</v>
      </c>
      <c r="Q348" t="s">
        <v>165</v>
      </c>
      <c r="S348" t="s">
        <v>199</v>
      </c>
      <c r="T348" t="s">
        <v>242</v>
      </c>
      <c r="U348">
        <v>1.4090026879450178E-2</v>
      </c>
      <c r="V348" t="s">
        <v>165</v>
      </c>
    </row>
    <row r="349" spans="9:22" x14ac:dyDescent="0.45">
      <c r="I349" t="s">
        <v>179</v>
      </c>
      <c r="J349" t="s">
        <v>243</v>
      </c>
      <c r="K349">
        <v>3.0308585450678209E-2</v>
      </c>
      <c r="L349" t="s">
        <v>165</v>
      </c>
      <c r="N349" t="s">
        <v>189</v>
      </c>
      <c r="O349" t="s">
        <v>243</v>
      </c>
      <c r="P349">
        <v>1.4296578647706599E-2</v>
      </c>
      <c r="Q349" t="s">
        <v>165</v>
      </c>
      <c r="S349" t="s">
        <v>199</v>
      </c>
      <c r="T349" t="s">
        <v>243</v>
      </c>
      <c r="U349">
        <v>1.4103676507886942E-2</v>
      </c>
      <c r="V349" t="s">
        <v>165</v>
      </c>
    </row>
    <row r="350" spans="9:22" x14ac:dyDescent="0.45">
      <c r="I350" t="s">
        <v>179</v>
      </c>
      <c r="J350" t="s">
        <v>244</v>
      </c>
      <c r="K350">
        <v>3.2984646142997294E-2</v>
      </c>
      <c r="L350" t="s">
        <v>165</v>
      </c>
      <c r="N350" t="s">
        <v>189</v>
      </c>
      <c r="O350" t="s">
        <v>244</v>
      </c>
      <c r="P350">
        <v>7.9033793351260609E-2</v>
      </c>
      <c r="Q350" t="s">
        <v>165</v>
      </c>
      <c r="S350" t="s">
        <v>199</v>
      </c>
      <c r="T350" t="s">
        <v>244</v>
      </c>
      <c r="U350">
        <v>8.4550788601103363E-2</v>
      </c>
      <c r="V350" t="s">
        <v>165</v>
      </c>
    </row>
    <row r="351" spans="9:22" x14ac:dyDescent="0.45">
      <c r="I351" t="s">
        <v>179</v>
      </c>
      <c r="J351" t="s">
        <v>245</v>
      </c>
      <c r="K351">
        <v>0</v>
      </c>
      <c r="L351" t="s">
        <v>165</v>
      </c>
      <c r="N351" t="s">
        <v>189</v>
      </c>
      <c r="O351" t="s">
        <v>245</v>
      </c>
      <c r="P351">
        <v>2.5526071732916447E-2</v>
      </c>
      <c r="Q351" t="s">
        <v>165</v>
      </c>
      <c r="S351" t="s">
        <v>199</v>
      </c>
      <c r="T351" t="s">
        <v>245</v>
      </c>
      <c r="U351">
        <v>2.9587737660875274E-2</v>
      </c>
      <c r="V351" t="s">
        <v>165</v>
      </c>
    </row>
    <row r="352" spans="9:22" x14ac:dyDescent="0.45">
      <c r="I352" t="s">
        <v>179</v>
      </c>
      <c r="J352" t="s">
        <v>246</v>
      </c>
      <c r="K352">
        <v>2.758682269066708E-2</v>
      </c>
      <c r="L352" t="s">
        <v>165</v>
      </c>
      <c r="N352" t="s">
        <v>189</v>
      </c>
      <c r="O352" t="s">
        <v>246</v>
      </c>
      <c r="P352">
        <v>2.4037314295702706E-2</v>
      </c>
      <c r="Q352" t="s">
        <v>165</v>
      </c>
      <c r="S352" t="s">
        <v>199</v>
      </c>
      <c r="T352" t="s">
        <v>246</v>
      </c>
      <c r="U352">
        <v>2.8069544004925274E-2</v>
      </c>
      <c r="V352" t="s">
        <v>165</v>
      </c>
    </row>
    <row r="353" spans="9:22" x14ac:dyDescent="0.45">
      <c r="I353" t="s">
        <v>179</v>
      </c>
      <c r="J353" t="s">
        <v>247</v>
      </c>
      <c r="K353">
        <v>8.5253375424452712E-4</v>
      </c>
      <c r="L353" t="s">
        <v>165</v>
      </c>
      <c r="N353" t="s">
        <v>189</v>
      </c>
      <c r="O353" t="s">
        <v>247</v>
      </c>
      <c r="P353">
        <v>3.1159769152513594E-3</v>
      </c>
      <c r="Q353" t="s">
        <v>165</v>
      </c>
      <c r="S353" t="s">
        <v>199</v>
      </c>
      <c r="T353" t="s">
        <v>247</v>
      </c>
      <c r="U353">
        <v>3.4577933649579413E-3</v>
      </c>
      <c r="V353" t="s">
        <v>165</v>
      </c>
    </row>
    <row r="354" spans="9:22" x14ac:dyDescent="0.45">
      <c r="I354" t="s">
        <v>179</v>
      </c>
      <c r="J354" t="s">
        <v>248</v>
      </c>
      <c r="K354">
        <v>0</v>
      </c>
      <c r="L354" t="s">
        <v>165</v>
      </c>
      <c r="N354" t="s">
        <v>189</v>
      </c>
      <c r="O354" t="s">
        <v>248</v>
      </c>
      <c r="P354">
        <v>2.9656807797950814E-3</v>
      </c>
      <c r="Q354" t="s">
        <v>165</v>
      </c>
      <c r="S354" t="s">
        <v>199</v>
      </c>
      <c r="T354" t="s">
        <v>248</v>
      </c>
      <c r="U354">
        <v>3.3940755704100624E-3</v>
      </c>
      <c r="V354" t="s">
        <v>165</v>
      </c>
    </row>
    <row r="355" spans="9:22" x14ac:dyDescent="0.45">
      <c r="I355" t="s">
        <v>179</v>
      </c>
      <c r="J355" t="s">
        <v>249</v>
      </c>
      <c r="K355">
        <v>0</v>
      </c>
      <c r="L355" t="s">
        <v>165</v>
      </c>
      <c r="N355" t="s">
        <v>189</v>
      </c>
      <c r="O355" t="s">
        <v>249</v>
      </c>
      <c r="P355">
        <v>1.7261215546912123E-2</v>
      </c>
      <c r="Q355" t="s">
        <v>165</v>
      </c>
      <c r="S355" t="s">
        <v>199</v>
      </c>
      <c r="T355" t="s">
        <v>249</v>
      </c>
      <c r="U355">
        <v>2.0369478496040067E-2</v>
      </c>
      <c r="V355" t="s">
        <v>165</v>
      </c>
    </row>
    <row r="356" spans="9:22" x14ac:dyDescent="0.45">
      <c r="I356" t="s">
        <v>179</v>
      </c>
      <c r="J356" t="s">
        <v>250</v>
      </c>
      <c r="K356">
        <v>0</v>
      </c>
      <c r="L356" t="s">
        <v>165</v>
      </c>
      <c r="N356" t="s">
        <v>189</v>
      </c>
      <c r="O356" t="s">
        <v>250</v>
      </c>
      <c r="P356">
        <v>3.8852347766200009E-2</v>
      </c>
      <c r="Q356" t="s">
        <v>165</v>
      </c>
      <c r="S356" t="s">
        <v>199</v>
      </c>
      <c r="T356" t="s">
        <v>250</v>
      </c>
      <c r="U356">
        <v>3.8891110615738217E-2</v>
      </c>
      <c r="V356" t="s">
        <v>165</v>
      </c>
    </row>
    <row r="357" spans="9:22" x14ac:dyDescent="0.45">
      <c r="I357" t="s">
        <v>179</v>
      </c>
      <c r="J357" t="s">
        <v>251</v>
      </c>
      <c r="K357">
        <v>1.6719357970641488E-2</v>
      </c>
      <c r="L357" t="s">
        <v>165</v>
      </c>
      <c r="N357" t="s">
        <v>189</v>
      </c>
      <c r="O357" t="s">
        <v>251</v>
      </c>
      <c r="P357">
        <v>4.2647830355850805E-2</v>
      </c>
      <c r="Q357" t="s">
        <v>165</v>
      </c>
      <c r="S357" t="s">
        <v>199</v>
      </c>
      <c r="T357" t="s">
        <v>251</v>
      </c>
      <c r="U357">
        <v>4.1364095266729378E-2</v>
      </c>
      <c r="V357" t="s">
        <v>165</v>
      </c>
    </row>
    <row r="358" spans="9:22" x14ac:dyDescent="0.45">
      <c r="I358" t="s">
        <v>179</v>
      </c>
      <c r="J358" t="s">
        <v>252</v>
      </c>
      <c r="K358">
        <v>0</v>
      </c>
      <c r="L358" t="s">
        <v>165</v>
      </c>
      <c r="N358" t="s">
        <v>189</v>
      </c>
      <c r="O358" t="s">
        <v>252</v>
      </c>
      <c r="P358">
        <v>5.3579499198905039E-3</v>
      </c>
      <c r="Q358" t="s">
        <v>165</v>
      </c>
      <c r="S358" t="s">
        <v>199</v>
      </c>
      <c r="T358" t="s">
        <v>252</v>
      </c>
      <c r="U358">
        <v>5.1156830206222298E-3</v>
      </c>
      <c r="V358" t="s">
        <v>165</v>
      </c>
    </row>
    <row r="359" spans="9:22" x14ac:dyDescent="0.45">
      <c r="I359" t="s">
        <v>179</v>
      </c>
      <c r="J359" t="s">
        <v>253</v>
      </c>
      <c r="K359">
        <v>0</v>
      </c>
      <c r="L359" t="s">
        <v>165</v>
      </c>
      <c r="N359" t="s">
        <v>189</v>
      </c>
      <c r="O359" t="s">
        <v>253</v>
      </c>
      <c r="P359">
        <v>5.4138709658578263E-3</v>
      </c>
      <c r="Q359" t="s">
        <v>165</v>
      </c>
      <c r="S359" t="s">
        <v>199</v>
      </c>
      <c r="T359" t="s">
        <v>253</v>
      </c>
      <c r="U359">
        <v>5.015282935308122E-3</v>
      </c>
      <c r="V359" t="s">
        <v>165</v>
      </c>
    </row>
    <row r="360" spans="9:22" x14ac:dyDescent="0.45">
      <c r="I360" t="s">
        <v>179</v>
      </c>
      <c r="J360" t="s">
        <v>254</v>
      </c>
      <c r="K360">
        <v>0</v>
      </c>
      <c r="L360" t="s">
        <v>165</v>
      </c>
      <c r="N360" t="s">
        <v>189</v>
      </c>
      <c r="O360" t="s">
        <v>254</v>
      </c>
      <c r="P360">
        <v>3.0766714532248038E-2</v>
      </c>
      <c r="Q360" t="s">
        <v>165</v>
      </c>
      <c r="S360" t="s">
        <v>199</v>
      </c>
      <c r="T360" t="s">
        <v>254</v>
      </c>
      <c r="U360">
        <v>3.0252756601210969E-2</v>
      </c>
      <c r="V360" t="s">
        <v>165</v>
      </c>
    </row>
    <row r="361" spans="9:22" x14ac:dyDescent="0.45">
      <c r="S361" t="s">
        <v>200</v>
      </c>
      <c r="T361" t="s">
        <v>164</v>
      </c>
      <c r="U361">
        <v>3.6812865835861353E-2</v>
      </c>
      <c r="V361" t="s">
        <v>165</v>
      </c>
    </row>
    <row r="362" spans="9:22" x14ac:dyDescent="0.45">
      <c r="S362" t="s">
        <v>200</v>
      </c>
      <c r="T362" t="s">
        <v>166</v>
      </c>
      <c r="U362">
        <v>3.8346873076748576E-2</v>
      </c>
      <c r="V362" t="s">
        <v>165</v>
      </c>
    </row>
    <row r="363" spans="9:22" x14ac:dyDescent="0.45">
      <c r="S363" t="s">
        <v>200</v>
      </c>
      <c r="T363" t="s">
        <v>226</v>
      </c>
      <c r="U363">
        <v>4.5557533282275485E-3</v>
      </c>
      <c r="V363" t="s">
        <v>165</v>
      </c>
    </row>
    <row r="364" spans="9:22" x14ac:dyDescent="0.45">
      <c r="S364" t="s">
        <v>200</v>
      </c>
      <c r="T364" t="s">
        <v>227</v>
      </c>
      <c r="U364">
        <v>4.4910160839116446E-3</v>
      </c>
      <c r="V364" t="s">
        <v>165</v>
      </c>
    </row>
    <row r="365" spans="9:22" x14ac:dyDescent="0.45">
      <c r="S365" t="s">
        <v>200</v>
      </c>
      <c r="T365" t="s">
        <v>228</v>
      </c>
      <c r="U365">
        <v>2.535120706328968E-2</v>
      </c>
      <c r="V365" t="s">
        <v>165</v>
      </c>
    </row>
    <row r="366" spans="9:22" x14ac:dyDescent="0.45">
      <c r="S366" t="s">
        <v>200</v>
      </c>
      <c r="T366" t="s">
        <v>167</v>
      </c>
      <c r="U366">
        <v>2.5618864676847271E-2</v>
      </c>
      <c r="V366" t="s">
        <v>165</v>
      </c>
    </row>
    <row r="367" spans="9:22" x14ac:dyDescent="0.45">
      <c r="S367" t="s">
        <v>200</v>
      </c>
      <c r="T367" t="s">
        <v>168</v>
      </c>
      <c r="U367">
        <v>2.5209480019540615E-2</v>
      </c>
      <c r="V367" t="s">
        <v>165</v>
      </c>
    </row>
    <row r="368" spans="9:22" x14ac:dyDescent="0.45">
      <c r="S368" t="s">
        <v>200</v>
      </c>
      <c r="T368" t="s">
        <v>229</v>
      </c>
      <c r="U368">
        <v>3.3426286447139045E-3</v>
      </c>
      <c r="V368" t="s">
        <v>165</v>
      </c>
    </row>
    <row r="369" spans="19:22" x14ac:dyDescent="0.45">
      <c r="S369" t="s">
        <v>200</v>
      </c>
      <c r="T369" t="s">
        <v>230</v>
      </c>
      <c r="U369">
        <v>3.4105332010306872E-3</v>
      </c>
      <c r="V369" t="s">
        <v>165</v>
      </c>
    </row>
    <row r="370" spans="19:22" x14ac:dyDescent="0.45">
      <c r="S370" t="s">
        <v>200</v>
      </c>
      <c r="T370" t="s">
        <v>231</v>
      </c>
      <c r="U370">
        <v>2.0859923294242792E-2</v>
      </c>
      <c r="V370" t="s">
        <v>165</v>
      </c>
    </row>
    <row r="371" spans="19:22" x14ac:dyDescent="0.45">
      <c r="S371" t="s">
        <v>200</v>
      </c>
      <c r="T371" t="s">
        <v>169</v>
      </c>
      <c r="U371">
        <v>2.9632808135200365E-2</v>
      </c>
      <c r="V371" t="s">
        <v>165</v>
      </c>
    </row>
    <row r="372" spans="19:22" x14ac:dyDescent="0.45">
      <c r="S372" t="s">
        <v>200</v>
      </c>
      <c r="T372" t="s">
        <v>170</v>
      </c>
      <c r="U372">
        <v>3.0918250977065288E-2</v>
      </c>
      <c r="V372" t="s">
        <v>165</v>
      </c>
    </row>
    <row r="373" spans="19:22" x14ac:dyDescent="0.45">
      <c r="S373" t="s">
        <v>200</v>
      </c>
      <c r="T373" t="s">
        <v>232</v>
      </c>
      <c r="U373">
        <v>3.875254972601389E-3</v>
      </c>
      <c r="V373" t="s">
        <v>165</v>
      </c>
    </row>
    <row r="374" spans="19:22" x14ac:dyDescent="0.45">
      <c r="S374" t="s">
        <v>200</v>
      </c>
      <c r="T374" t="s">
        <v>233</v>
      </c>
      <c r="U374">
        <v>3.8028061305142749E-3</v>
      </c>
      <c r="V374" t="s">
        <v>165</v>
      </c>
    </row>
    <row r="375" spans="19:22" x14ac:dyDescent="0.45">
      <c r="S375" t="s">
        <v>200</v>
      </c>
      <c r="T375" t="s">
        <v>234</v>
      </c>
      <c r="U375">
        <v>2.3195529697542728E-2</v>
      </c>
      <c r="V375" t="s">
        <v>165</v>
      </c>
    </row>
    <row r="376" spans="19:22" x14ac:dyDescent="0.45">
      <c r="S376" t="s">
        <v>200</v>
      </c>
      <c r="T376" t="s">
        <v>235</v>
      </c>
      <c r="U376">
        <v>5.6083172654611095E-2</v>
      </c>
      <c r="V376" t="s">
        <v>165</v>
      </c>
    </row>
    <row r="377" spans="19:22" x14ac:dyDescent="0.45">
      <c r="S377" t="s">
        <v>200</v>
      </c>
      <c r="T377" t="s">
        <v>236</v>
      </c>
      <c r="U377">
        <v>5.7254662006351952E-2</v>
      </c>
      <c r="V377" t="s">
        <v>165</v>
      </c>
    </row>
    <row r="378" spans="19:22" x14ac:dyDescent="0.45">
      <c r="S378" t="s">
        <v>200</v>
      </c>
      <c r="T378" t="s">
        <v>237</v>
      </c>
      <c r="U378">
        <v>7.3700655388827859E-3</v>
      </c>
      <c r="V378" t="s">
        <v>165</v>
      </c>
    </row>
    <row r="379" spans="19:22" x14ac:dyDescent="0.45">
      <c r="S379" t="s">
        <v>200</v>
      </c>
      <c r="T379" t="s">
        <v>238</v>
      </c>
      <c r="U379">
        <v>7.3791760724999352E-3</v>
      </c>
      <c r="V379" t="s">
        <v>165</v>
      </c>
    </row>
    <row r="380" spans="19:22" x14ac:dyDescent="0.45">
      <c r="S380" t="s">
        <v>200</v>
      </c>
      <c r="T380" t="s">
        <v>239</v>
      </c>
      <c r="U380">
        <v>4.2161750513798939E-2</v>
      </c>
      <c r="V380" t="s">
        <v>165</v>
      </c>
    </row>
    <row r="381" spans="19:22" x14ac:dyDescent="0.45">
      <c r="S381" t="s">
        <v>200</v>
      </c>
      <c r="T381" t="s">
        <v>240</v>
      </c>
      <c r="U381">
        <v>0.11665264485721349</v>
      </c>
      <c r="V381" t="s">
        <v>165</v>
      </c>
    </row>
    <row r="382" spans="19:22" x14ac:dyDescent="0.45">
      <c r="S382" t="s">
        <v>200</v>
      </c>
      <c r="T382" t="s">
        <v>241</v>
      </c>
      <c r="U382">
        <v>0.11263971867020145</v>
      </c>
      <c r="V382" t="s">
        <v>165</v>
      </c>
    </row>
    <row r="383" spans="19:22" x14ac:dyDescent="0.45">
      <c r="S383" t="s">
        <v>200</v>
      </c>
      <c r="T383" t="s">
        <v>242</v>
      </c>
      <c r="U383">
        <v>1.4370729426866997E-2</v>
      </c>
      <c r="V383" t="s">
        <v>165</v>
      </c>
    </row>
    <row r="384" spans="19:22" x14ac:dyDescent="0.45">
      <c r="S384" t="s">
        <v>200</v>
      </c>
      <c r="T384" t="s">
        <v>243</v>
      </c>
      <c r="U384">
        <v>1.4489619085699634E-2</v>
      </c>
      <c r="V384" t="s">
        <v>165</v>
      </c>
    </row>
    <row r="385" spans="19:22" x14ac:dyDescent="0.45">
      <c r="S385" t="s">
        <v>200</v>
      </c>
      <c r="T385" t="s">
        <v>244</v>
      </c>
      <c r="U385">
        <v>8.7016404062751934E-2</v>
      </c>
      <c r="V385" t="s">
        <v>165</v>
      </c>
    </row>
    <row r="386" spans="19:22" x14ac:dyDescent="0.45">
      <c r="S386" t="s">
        <v>200</v>
      </c>
      <c r="T386" t="s">
        <v>245</v>
      </c>
      <c r="U386">
        <v>3.0012906751128041E-2</v>
      </c>
      <c r="V386" t="s">
        <v>165</v>
      </c>
    </row>
    <row r="387" spans="19:22" x14ac:dyDescent="0.45">
      <c r="S387" t="s">
        <v>200</v>
      </c>
      <c r="T387" t="s">
        <v>246</v>
      </c>
      <c r="U387">
        <v>2.9838696122108543E-2</v>
      </c>
      <c r="V387" t="s">
        <v>165</v>
      </c>
    </row>
    <row r="388" spans="19:22" x14ac:dyDescent="0.45">
      <c r="S388" t="s">
        <v>200</v>
      </c>
      <c r="T388" t="s">
        <v>247</v>
      </c>
      <c r="U388">
        <v>3.806673792936437E-3</v>
      </c>
      <c r="V388" t="s">
        <v>165</v>
      </c>
    </row>
    <row r="389" spans="19:22" x14ac:dyDescent="0.45">
      <c r="S389" t="s">
        <v>200</v>
      </c>
      <c r="T389" t="s">
        <v>248</v>
      </c>
      <c r="U389">
        <v>3.7253400846199262E-3</v>
      </c>
      <c r="V389" t="s">
        <v>165</v>
      </c>
    </row>
    <row r="390" spans="19:22" x14ac:dyDescent="0.45">
      <c r="S390" t="s">
        <v>200</v>
      </c>
      <c r="T390" t="s">
        <v>249</v>
      </c>
      <c r="U390">
        <v>2.1625635740573902E-2</v>
      </c>
      <c r="V390" t="s">
        <v>165</v>
      </c>
    </row>
    <row r="391" spans="19:22" x14ac:dyDescent="0.45">
      <c r="S391" t="s">
        <v>200</v>
      </c>
      <c r="T391" t="s">
        <v>250</v>
      </c>
      <c r="U391">
        <v>3.8050156706974148E-2</v>
      </c>
      <c r="V391" t="s">
        <v>165</v>
      </c>
    </row>
    <row r="392" spans="19:22" x14ac:dyDescent="0.45">
      <c r="S392" t="s">
        <v>200</v>
      </c>
      <c r="T392" t="s">
        <v>251</v>
      </c>
      <c r="U392">
        <v>3.8595918270860764E-2</v>
      </c>
      <c r="V392" t="s">
        <v>165</v>
      </c>
    </row>
    <row r="393" spans="19:22" x14ac:dyDescent="0.45">
      <c r="S393" t="s">
        <v>200</v>
      </c>
      <c r="T393" t="s">
        <v>252</v>
      </c>
      <c r="U393">
        <v>4.9046051990999815E-3</v>
      </c>
      <c r="V393" t="s">
        <v>165</v>
      </c>
    </row>
    <row r="394" spans="19:22" x14ac:dyDescent="0.45">
      <c r="S394" t="s">
        <v>200</v>
      </c>
      <c r="T394" t="s">
        <v>253</v>
      </c>
      <c r="U394">
        <v>5.0347902274772011E-3</v>
      </c>
      <c r="V394" t="s">
        <v>165</v>
      </c>
    </row>
    <row r="395" spans="19:22" x14ac:dyDescent="0.45">
      <c r="S395" t="s">
        <v>200</v>
      </c>
      <c r="T395" t="s">
        <v>254</v>
      </c>
      <c r="U395">
        <v>2.9563539078006629E-2</v>
      </c>
      <c r="V395" t="s">
        <v>165</v>
      </c>
    </row>
    <row r="396" spans="19:22" x14ac:dyDescent="0.45">
      <c r="S396" t="s">
        <v>201</v>
      </c>
      <c r="T396" t="s">
        <v>164</v>
      </c>
      <c r="U396">
        <v>3.5916751792786743E-2</v>
      </c>
      <c r="V396" t="s">
        <v>165</v>
      </c>
    </row>
    <row r="397" spans="19:22" x14ac:dyDescent="0.45">
      <c r="S397" t="s">
        <v>201</v>
      </c>
      <c r="T397" t="s">
        <v>166</v>
      </c>
      <c r="U397">
        <v>3.7742286718740435E-2</v>
      </c>
      <c r="V397" t="s">
        <v>165</v>
      </c>
    </row>
    <row r="398" spans="19:22" x14ac:dyDescent="0.45">
      <c r="S398" t="s">
        <v>201</v>
      </c>
      <c r="T398" t="s">
        <v>226</v>
      </c>
      <c r="U398">
        <v>4.4455768215746396E-3</v>
      </c>
      <c r="V398" t="s">
        <v>165</v>
      </c>
    </row>
    <row r="399" spans="19:22" x14ac:dyDescent="0.45">
      <c r="S399" t="s">
        <v>201</v>
      </c>
      <c r="T399" t="s">
        <v>227</v>
      </c>
      <c r="U399">
        <v>4.4819635294641395E-3</v>
      </c>
      <c r="V399" t="s">
        <v>165</v>
      </c>
    </row>
    <row r="400" spans="19:22" x14ac:dyDescent="0.45">
      <c r="S400" t="s">
        <v>201</v>
      </c>
      <c r="T400" t="s">
        <v>228</v>
      </c>
      <c r="U400">
        <v>2.5692849174532961E-2</v>
      </c>
      <c r="V400" t="s">
        <v>165</v>
      </c>
    </row>
    <row r="401" spans="19:22" x14ac:dyDescent="0.45">
      <c r="S401" t="s">
        <v>201</v>
      </c>
      <c r="T401" t="s">
        <v>167</v>
      </c>
      <c r="U401">
        <v>2.5496883949728887E-2</v>
      </c>
      <c r="V401" t="s">
        <v>165</v>
      </c>
    </row>
    <row r="402" spans="19:22" x14ac:dyDescent="0.45">
      <c r="S402" t="s">
        <v>201</v>
      </c>
      <c r="T402" t="s">
        <v>168</v>
      </c>
      <c r="U402">
        <v>2.3990240658837425E-2</v>
      </c>
      <c r="V402" t="s">
        <v>165</v>
      </c>
    </row>
    <row r="403" spans="19:22" x14ac:dyDescent="0.45">
      <c r="S403" t="s">
        <v>201</v>
      </c>
      <c r="T403" t="s">
        <v>229</v>
      </c>
      <c r="U403">
        <v>3.149709609151063E-3</v>
      </c>
      <c r="V403" t="s">
        <v>165</v>
      </c>
    </row>
    <row r="404" spans="19:22" x14ac:dyDescent="0.45">
      <c r="S404" t="s">
        <v>201</v>
      </c>
      <c r="T404" t="s">
        <v>230</v>
      </c>
      <c r="U404">
        <v>3.252804104660435E-3</v>
      </c>
      <c r="V404" t="s">
        <v>165</v>
      </c>
    </row>
    <row r="405" spans="19:22" x14ac:dyDescent="0.45">
      <c r="S405" t="s">
        <v>201</v>
      </c>
      <c r="T405" t="s">
        <v>231</v>
      </c>
      <c r="U405">
        <v>2.0678667499851464E-2</v>
      </c>
      <c r="V405" t="s">
        <v>165</v>
      </c>
    </row>
    <row r="406" spans="19:22" x14ac:dyDescent="0.45">
      <c r="S406" t="s">
        <v>201</v>
      </c>
      <c r="T406" t="s">
        <v>169</v>
      </c>
      <c r="U406">
        <v>2.9280274710819044E-2</v>
      </c>
      <c r="V406" t="s">
        <v>165</v>
      </c>
    </row>
    <row r="407" spans="19:22" x14ac:dyDescent="0.45">
      <c r="S407" t="s">
        <v>201</v>
      </c>
      <c r="T407" t="s">
        <v>170</v>
      </c>
      <c r="U407">
        <v>3.0578178233191151E-2</v>
      </c>
      <c r="V407" t="s">
        <v>165</v>
      </c>
    </row>
    <row r="408" spans="19:22" x14ac:dyDescent="0.45">
      <c r="S408" t="s">
        <v>201</v>
      </c>
      <c r="T408" t="s">
        <v>232</v>
      </c>
      <c r="U408">
        <v>3.8972987159839024E-3</v>
      </c>
      <c r="V408" t="s">
        <v>165</v>
      </c>
    </row>
    <row r="409" spans="19:22" x14ac:dyDescent="0.45">
      <c r="S409" t="s">
        <v>201</v>
      </c>
      <c r="T409" t="s">
        <v>233</v>
      </c>
      <c r="U409">
        <v>3.9127716730069529E-3</v>
      </c>
      <c r="V409" t="s">
        <v>165</v>
      </c>
    </row>
    <row r="410" spans="19:22" x14ac:dyDescent="0.45">
      <c r="S410" t="s">
        <v>201</v>
      </c>
      <c r="T410" t="s">
        <v>234</v>
      </c>
      <c r="U410">
        <v>2.3231007390049886E-2</v>
      </c>
      <c r="V410" t="s">
        <v>165</v>
      </c>
    </row>
    <row r="411" spans="19:22" x14ac:dyDescent="0.45">
      <c r="S411" t="s">
        <v>201</v>
      </c>
      <c r="T411" t="s">
        <v>235</v>
      </c>
      <c r="U411">
        <v>5.7314627959767724E-2</v>
      </c>
      <c r="V411" t="s">
        <v>165</v>
      </c>
    </row>
    <row r="412" spans="19:22" x14ac:dyDescent="0.45">
      <c r="S412" t="s">
        <v>201</v>
      </c>
      <c r="T412" t="s">
        <v>236</v>
      </c>
      <c r="U412">
        <v>5.8212095553734605E-2</v>
      </c>
      <c r="V412" t="s">
        <v>165</v>
      </c>
    </row>
    <row r="413" spans="19:22" x14ac:dyDescent="0.45">
      <c r="S413" t="s">
        <v>201</v>
      </c>
      <c r="T413" t="s">
        <v>237</v>
      </c>
      <c r="U413">
        <v>7.5203031625348605E-3</v>
      </c>
      <c r="V413" t="s">
        <v>165</v>
      </c>
    </row>
    <row r="414" spans="19:22" x14ac:dyDescent="0.45">
      <c r="S414" t="s">
        <v>201</v>
      </c>
      <c r="T414" t="s">
        <v>238</v>
      </c>
      <c r="U414">
        <v>7.5995778473979337E-3</v>
      </c>
      <c r="V414" t="s">
        <v>165</v>
      </c>
    </row>
    <row r="415" spans="19:22" x14ac:dyDescent="0.45">
      <c r="S415" t="s">
        <v>201</v>
      </c>
      <c r="T415" t="s">
        <v>239</v>
      </c>
      <c r="U415">
        <v>4.3462389981651993E-2</v>
      </c>
      <c r="V415" t="s">
        <v>165</v>
      </c>
    </row>
    <row r="416" spans="19:22" x14ac:dyDescent="0.45">
      <c r="S416" t="s">
        <v>201</v>
      </c>
      <c r="T416" t="s">
        <v>240</v>
      </c>
      <c r="U416">
        <v>0.11210833080388871</v>
      </c>
      <c r="V416" t="s">
        <v>165</v>
      </c>
    </row>
    <row r="417" spans="19:22" x14ac:dyDescent="0.45">
      <c r="S417" t="s">
        <v>201</v>
      </c>
      <c r="T417" t="s">
        <v>241</v>
      </c>
      <c r="U417">
        <v>0.11071967442344956</v>
      </c>
      <c r="V417" t="s">
        <v>165</v>
      </c>
    </row>
    <row r="418" spans="19:22" x14ac:dyDescent="0.45">
      <c r="S418" t="s">
        <v>201</v>
      </c>
      <c r="T418" t="s">
        <v>242</v>
      </c>
      <c r="U418">
        <v>1.3904712861719652E-2</v>
      </c>
      <c r="V418" t="s">
        <v>165</v>
      </c>
    </row>
    <row r="419" spans="19:22" x14ac:dyDescent="0.45">
      <c r="S419" t="s">
        <v>201</v>
      </c>
      <c r="T419" t="s">
        <v>243</v>
      </c>
      <c r="U419">
        <v>1.401534229704292E-2</v>
      </c>
      <c r="V419" t="s">
        <v>165</v>
      </c>
    </row>
    <row r="420" spans="19:22" x14ac:dyDescent="0.45">
      <c r="S420" t="s">
        <v>201</v>
      </c>
      <c r="T420" t="s">
        <v>244</v>
      </c>
      <c r="U420">
        <v>8.3021940657594356E-2</v>
      </c>
      <c r="V420" t="s">
        <v>165</v>
      </c>
    </row>
    <row r="421" spans="19:22" x14ac:dyDescent="0.45">
      <c r="S421" t="s">
        <v>201</v>
      </c>
      <c r="T421" t="s">
        <v>245</v>
      </c>
      <c r="U421">
        <v>3.0119408528088573E-2</v>
      </c>
      <c r="V421" t="s">
        <v>165</v>
      </c>
    </row>
    <row r="422" spans="19:22" x14ac:dyDescent="0.45">
      <c r="S422" t="s">
        <v>201</v>
      </c>
      <c r="T422" t="s">
        <v>246</v>
      </c>
      <c r="U422">
        <v>2.9123625691771984E-2</v>
      </c>
      <c r="V422" t="s">
        <v>165</v>
      </c>
    </row>
    <row r="423" spans="19:22" x14ac:dyDescent="0.45">
      <c r="S423" t="s">
        <v>201</v>
      </c>
      <c r="T423" t="s">
        <v>247</v>
      </c>
      <c r="U423">
        <v>3.7210525978061773E-3</v>
      </c>
      <c r="V423" t="s">
        <v>165</v>
      </c>
    </row>
    <row r="424" spans="19:22" x14ac:dyDescent="0.45">
      <c r="S424" t="s">
        <v>201</v>
      </c>
      <c r="T424" t="s">
        <v>248</v>
      </c>
      <c r="U424">
        <v>3.6288144483951641E-3</v>
      </c>
      <c r="V424" t="s">
        <v>165</v>
      </c>
    </row>
    <row r="425" spans="19:22" x14ac:dyDescent="0.45">
      <c r="S425" t="s">
        <v>201</v>
      </c>
      <c r="T425" t="s">
        <v>249</v>
      </c>
      <c r="U425">
        <v>2.1409188277340379E-2</v>
      </c>
      <c r="V425" t="s">
        <v>165</v>
      </c>
    </row>
    <row r="426" spans="19:22" x14ac:dyDescent="0.45">
      <c r="S426" t="s">
        <v>201</v>
      </c>
      <c r="T426" t="s">
        <v>250</v>
      </c>
      <c r="U426">
        <v>4.1349714923935431E-2</v>
      </c>
      <c r="V426" t="s">
        <v>165</v>
      </c>
    </row>
    <row r="427" spans="19:22" x14ac:dyDescent="0.45">
      <c r="S427" t="s">
        <v>201</v>
      </c>
      <c r="T427" t="s">
        <v>251</v>
      </c>
      <c r="U427">
        <v>4.3079133570856638E-2</v>
      </c>
      <c r="V427" t="s">
        <v>165</v>
      </c>
    </row>
    <row r="428" spans="19:22" x14ac:dyDescent="0.45">
      <c r="S428" t="s">
        <v>201</v>
      </c>
      <c r="T428" t="s">
        <v>252</v>
      </c>
      <c r="U428">
        <v>5.5773440401922425E-3</v>
      </c>
      <c r="V428" t="s">
        <v>165</v>
      </c>
    </row>
    <row r="429" spans="19:22" x14ac:dyDescent="0.45">
      <c r="S429" t="s">
        <v>201</v>
      </c>
      <c r="T429" t="s">
        <v>253</v>
      </c>
      <c r="U429">
        <v>5.5662465124811118E-3</v>
      </c>
      <c r="V429" t="s">
        <v>165</v>
      </c>
    </row>
    <row r="430" spans="19:22" x14ac:dyDescent="0.45">
      <c r="S430" t="s">
        <v>201</v>
      </c>
      <c r="T430" t="s">
        <v>254</v>
      </c>
      <c r="U430">
        <v>3.2799211277971724E-2</v>
      </c>
      <c r="V430" t="s">
        <v>165</v>
      </c>
    </row>
    <row r="431" spans="19:22" x14ac:dyDescent="0.45">
      <c r="S431" t="s">
        <v>202</v>
      </c>
      <c r="T431" t="s">
        <v>164</v>
      </c>
      <c r="U431">
        <v>3.0327297182822986E-2</v>
      </c>
      <c r="V431" t="s">
        <v>165</v>
      </c>
    </row>
    <row r="432" spans="19:22" x14ac:dyDescent="0.45">
      <c r="S432" t="s">
        <v>202</v>
      </c>
      <c r="T432" t="s">
        <v>166</v>
      </c>
      <c r="U432">
        <v>3.1602226570357009E-2</v>
      </c>
      <c r="V432" t="s">
        <v>165</v>
      </c>
    </row>
    <row r="433" spans="19:22" x14ac:dyDescent="0.45">
      <c r="S433" t="s">
        <v>202</v>
      </c>
      <c r="T433" t="s">
        <v>226</v>
      </c>
      <c r="U433">
        <v>3.4896913428213183E-3</v>
      </c>
      <c r="V433" t="s">
        <v>165</v>
      </c>
    </row>
    <row r="434" spans="19:22" x14ac:dyDescent="0.45">
      <c r="S434" t="s">
        <v>202</v>
      </c>
      <c r="T434" t="s">
        <v>227</v>
      </c>
      <c r="U434">
        <v>3.4653740229953814E-3</v>
      </c>
      <c r="V434" t="s">
        <v>165</v>
      </c>
    </row>
    <row r="435" spans="19:22" x14ac:dyDescent="0.45">
      <c r="S435" t="s">
        <v>202</v>
      </c>
      <c r="T435" t="s">
        <v>228</v>
      </c>
      <c r="U435">
        <v>2.1015802329261372E-2</v>
      </c>
      <c r="V435" t="s">
        <v>165</v>
      </c>
    </row>
    <row r="436" spans="19:22" x14ac:dyDescent="0.45">
      <c r="S436" t="s">
        <v>202</v>
      </c>
      <c r="T436" t="s">
        <v>167</v>
      </c>
      <c r="U436">
        <v>2.8955048299836614E-2</v>
      </c>
      <c r="V436" t="s">
        <v>165</v>
      </c>
    </row>
    <row r="437" spans="19:22" x14ac:dyDescent="0.45">
      <c r="S437" t="s">
        <v>202</v>
      </c>
      <c r="T437" t="s">
        <v>168</v>
      </c>
      <c r="U437">
        <v>3.2449602012494534E-2</v>
      </c>
      <c r="V437" t="s">
        <v>165</v>
      </c>
    </row>
    <row r="438" spans="19:22" x14ac:dyDescent="0.45">
      <c r="S438" t="s">
        <v>202</v>
      </c>
      <c r="T438" t="s">
        <v>229</v>
      </c>
      <c r="U438">
        <v>4.2374531602683771E-3</v>
      </c>
      <c r="V438" t="s">
        <v>165</v>
      </c>
    </row>
    <row r="439" spans="19:22" x14ac:dyDescent="0.45">
      <c r="S439" t="s">
        <v>202</v>
      </c>
      <c r="T439" t="s">
        <v>230</v>
      </c>
      <c r="U439">
        <v>4.2215047044287506E-3</v>
      </c>
      <c r="V439" t="s">
        <v>165</v>
      </c>
    </row>
    <row r="440" spans="19:22" x14ac:dyDescent="0.45">
      <c r="S440" t="s">
        <v>202</v>
      </c>
      <c r="T440" t="s">
        <v>231</v>
      </c>
      <c r="U440">
        <v>2.3582068597424639E-2</v>
      </c>
      <c r="V440" t="s">
        <v>165</v>
      </c>
    </row>
    <row r="441" spans="19:22" x14ac:dyDescent="0.45">
      <c r="S441" t="s">
        <v>202</v>
      </c>
      <c r="T441" t="s">
        <v>169</v>
      </c>
      <c r="U441">
        <v>3.1378188902729476E-2</v>
      </c>
      <c r="V441" t="s">
        <v>165</v>
      </c>
    </row>
    <row r="442" spans="19:22" x14ac:dyDescent="0.45">
      <c r="S442" t="s">
        <v>202</v>
      </c>
      <c r="T442" t="s">
        <v>170</v>
      </c>
      <c r="U442">
        <v>3.199444599948912E-2</v>
      </c>
      <c r="V442" t="s">
        <v>165</v>
      </c>
    </row>
    <row r="443" spans="19:22" x14ac:dyDescent="0.45">
      <c r="S443" t="s">
        <v>202</v>
      </c>
      <c r="T443" t="s">
        <v>232</v>
      </c>
      <c r="U443">
        <v>3.8556159835415006E-3</v>
      </c>
      <c r="V443" t="s">
        <v>165</v>
      </c>
    </row>
    <row r="444" spans="19:22" x14ac:dyDescent="0.45">
      <c r="S444" t="s">
        <v>202</v>
      </c>
      <c r="T444" t="s">
        <v>233</v>
      </c>
      <c r="U444">
        <v>3.7314274384884966E-3</v>
      </c>
      <c r="V444" t="s">
        <v>165</v>
      </c>
    </row>
    <row r="445" spans="19:22" x14ac:dyDescent="0.45">
      <c r="S445" t="s">
        <v>202</v>
      </c>
      <c r="T445" t="s">
        <v>234</v>
      </c>
      <c r="U445">
        <v>2.3024803656407241E-2</v>
      </c>
      <c r="V445" t="s">
        <v>165</v>
      </c>
    </row>
    <row r="446" spans="19:22" x14ac:dyDescent="0.45">
      <c r="S446" t="s">
        <v>202</v>
      </c>
      <c r="T446" t="s">
        <v>235</v>
      </c>
      <c r="U446">
        <v>5.8435561582357187E-2</v>
      </c>
      <c r="V446" t="s">
        <v>165</v>
      </c>
    </row>
    <row r="447" spans="19:22" x14ac:dyDescent="0.45">
      <c r="S447" t="s">
        <v>202</v>
      </c>
      <c r="T447" t="s">
        <v>236</v>
      </c>
      <c r="U447">
        <v>5.8132765352165064E-2</v>
      </c>
      <c r="V447" t="s">
        <v>165</v>
      </c>
    </row>
    <row r="448" spans="19:22" x14ac:dyDescent="0.45">
      <c r="S448" t="s">
        <v>202</v>
      </c>
      <c r="T448" t="s">
        <v>237</v>
      </c>
      <c r="U448">
        <v>7.3692616140148687E-3</v>
      </c>
      <c r="V448" t="s">
        <v>165</v>
      </c>
    </row>
    <row r="449" spans="19:22" x14ac:dyDescent="0.45">
      <c r="S449" t="s">
        <v>202</v>
      </c>
      <c r="T449" t="s">
        <v>238</v>
      </c>
      <c r="U449">
        <v>7.29439620529828E-3</v>
      </c>
      <c r="V449" t="s">
        <v>165</v>
      </c>
    </row>
    <row r="450" spans="19:22" x14ac:dyDescent="0.45">
      <c r="S450" t="s">
        <v>202</v>
      </c>
      <c r="T450" t="s">
        <v>239</v>
      </c>
      <c r="U450">
        <v>4.2520655774602643E-2</v>
      </c>
      <c r="V450" t="s">
        <v>165</v>
      </c>
    </row>
    <row r="451" spans="19:22" x14ac:dyDescent="0.45">
      <c r="S451" t="s">
        <v>202</v>
      </c>
      <c r="T451" t="s">
        <v>240</v>
      </c>
      <c r="U451">
        <v>0.11754753970575814</v>
      </c>
      <c r="V451" t="s">
        <v>165</v>
      </c>
    </row>
    <row r="452" spans="19:22" x14ac:dyDescent="0.45">
      <c r="S452" t="s">
        <v>202</v>
      </c>
      <c r="T452" t="s">
        <v>241</v>
      </c>
      <c r="U452">
        <v>0.12082809322011487</v>
      </c>
      <c r="V452" t="s">
        <v>165</v>
      </c>
    </row>
    <row r="453" spans="19:22" x14ac:dyDescent="0.45">
      <c r="S453" t="s">
        <v>202</v>
      </c>
      <c r="T453" t="s">
        <v>242</v>
      </c>
      <c r="U453">
        <v>1.5105872580887313E-2</v>
      </c>
      <c r="V453" t="s">
        <v>165</v>
      </c>
    </row>
    <row r="454" spans="19:22" x14ac:dyDescent="0.45">
      <c r="S454" t="s">
        <v>202</v>
      </c>
      <c r="T454" t="s">
        <v>243</v>
      </c>
      <c r="U454">
        <v>1.5004880096685136E-2</v>
      </c>
      <c r="V454" t="s">
        <v>165</v>
      </c>
    </row>
    <row r="455" spans="19:22" x14ac:dyDescent="0.45">
      <c r="S455" t="s">
        <v>202</v>
      </c>
      <c r="T455" t="s">
        <v>244</v>
      </c>
      <c r="U455">
        <v>8.8837643415832904E-2</v>
      </c>
      <c r="V455" t="s">
        <v>165</v>
      </c>
    </row>
    <row r="456" spans="19:22" x14ac:dyDescent="0.45">
      <c r="S456" t="s">
        <v>202</v>
      </c>
      <c r="T456" t="s">
        <v>245</v>
      </c>
      <c r="U456">
        <v>2.8135324274938867E-2</v>
      </c>
      <c r="V456" t="s">
        <v>165</v>
      </c>
    </row>
    <row r="457" spans="19:22" x14ac:dyDescent="0.45">
      <c r="S457" t="s">
        <v>202</v>
      </c>
      <c r="T457" t="s">
        <v>246</v>
      </c>
      <c r="U457">
        <v>2.9908648504208931E-2</v>
      </c>
      <c r="V457" t="s">
        <v>165</v>
      </c>
    </row>
    <row r="458" spans="19:22" x14ac:dyDescent="0.45">
      <c r="S458" t="s">
        <v>202</v>
      </c>
      <c r="T458" t="s">
        <v>247</v>
      </c>
      <c r="U458">
        <v>3.61296842159109E-3</v>
      </c>
      <c r="V458" t="s">
        <v>165</v>
      </c>
    </row>
    <row r="459" spans="19:22" x14ac:dyDescent="0.45">
      <c r="S459" t="s">
        <v>202</v>
      </c>
      <c r="T459" t="s">
        <v>248</v>
      </c>
      <c r="U459">
        <v>3.5878759408933792E-3</v>
      </c>
      <c r="V459" t="s">
        <v>165</v>
      </c>
    </row>
    <row r="460" spans="19:22" x14ac:dyDescent="0.45">
      <c r="S460" t="s">
        <v>202</v>
      </c>
      <c r="T460" t="s">
        <v>249</v>
      </c>
      <c r="U460">
        <v>2.0140280027725017E-2</v>
      </c>
      <c r="V460" t="s">
        <v>165</v>
      </c>
    </row>
    <row r="461" spans="19:22" x14ac:dyDescent="0.45">
      <c r="S461" t="s">
        <v>202</v>
      </c>
      <c r="T461" t="s">
        <v>250</v>
      </c>
      <c r="U461">
        <v>3.378113356575823E-2</v>
      </c>
      <c r="V461" t="s">
        <v>165</v>
      </c>
    </row>
    <row r="462" spans="19:22" x14ac:dyDescent="0.45">
      <c r="S462" t="s">
        <v>202</v>
      </c>
      <c r="T462" t="s">
        <v>251</v>
      </c>
      <c r="U462">
        <v>3.6225105780509206E-2</v>
      </c>
      <c r="V462" t="s">
        <v>165</v>
      </c>
    </row>
    <row r="463" spans="19:22" x14ac:dyDescent="0.45">
      <c r="S463" t="s">
        <v>202</v>
      </c>
      <c r="T463" t="s">
        <v>252</v>
      </c>
      <c r="U463">
        <v>4.4495710655429203E-3</v>
      </c>
      <c r="V463" t="s">
        <v>165</v>
      </c>
    </row>
    <row r="464" spans="19:22" x14ac:dyDescent="0.45">
      <c r="S464" t="s">
        <v>202</v>
      </c>
      <c r="T464" t="s">
        <v>253</v>
      </c>
      <c r="U464">
        <v>4.5124644730233114E-3</v>
      </c>
      <c r="V464" t="s">
        <v>165</v>
      </c>
    </row>
    <row r="465" spans="19:22" x14ac:dyDescent="0.45">
      <c r="S465" t="s">
        <v>202</v>
      </c>
      <c r="T465" t="s">
        <v>254</v>
      </c>
      <c r="U465">
        <v>2.7239408194725739E-2</v>
      </c>
      <c r="V465" t="s">
        <v>165</v>
      </c>
    </row>
    <row r="466" spans="19:22" x14ac:dyDescent="0.45">
      <c r="S466" t="s">
        <v>203</v>
      </c>
      <c r="T466" t="s">
        <v>164</v>
      </c>
      <c r="U466">
        <v>3.2605633485026354E-2</v>
      </c>
      <c r="V466" t="s">
        <v>165</v>
      </c>
    </row>
    <row r="467" spans="19:22" x14ac:dyDescent="0.45">
      <c r="S467" t="s">
        <v>203</v>
      </c>
      <c r="T467" t="s">
        <v>166</v>
      </c>
      <c r="U467">
        <v>3.4159894007086647E-2</v>
      </c>
      <c r="V467" t="s">
        <v>165</v>
      </c>
    </row>
    <row r="468" spans="19:22" x14ac:dyDescent="0.45">
      <c r="S468" t="s">
        <v>203</v>
      </c>
      <c r="T468" t="s">
        <v>226</v>
      </c>
      <c r="U468">
        <v>4.0853027568661399E-3</v>
      </c>
      <c r="V468" t="s">
        <v>165</v>
      </c>
    </row>
    <row r="469" spans="19:22" x14ac:dyDescent="0.45">
      <c r="S469" t="s">
        <v>203</v>
      </c>
      <c r="T469" t="s">
        <v>227</v>
      </c>
      <c r="U469">
        <v>4.0581345809531377E-3</v>
      </c>
      <c r="V469" t="s">
        <v>165</v>
      </c>
    </row>
    <row r="470" spans="19:22" x14ac:dyDescent="0.45">
      <c r="S470" t="s">
        <v>203</v>
      </c>
      <c r="T470" t="s">
        <v>228</v>
      </c>
      <c r="U470">
        <v>2.4320439560242213E-2</v>
      </c>
      <c r="V470" t="s">
        <v>165</v>
      </c>
    </row>
    <row r="471" spans="19:22" x14ac:dyDescent="0.45">
      <c r="S471" t="s">
        <v>203</v>
      </c>
      <c r="T471" t="s">
        <v>167</v>
      </c>
      <c r="U471">
        <v>2.9042636134494041E-2</v>
      </c>
      <c r="V471" t="s">
        <v>165</v>
      </c>
    </row>
    <row r="472" spans="19:22" x14ac:dyDescent="0.45">
      <c r="S472" t="s">
        <v>203</v>
      </c>
      <c r="T472" t="s">
        <v>168</v>
      </c>
      <c r="U472">
        <v>2.9119829670490538E-2</v>
      </c>
      <c r="V472" t="s">
        <v>165</v>
      </c>
    </row>
    <row r="473" spans="19:22" x14ac:dyDescent="0.45">
      <c r="S473" t="s">
        <v>203</v>
      </c>
      <c r="T473" t="s">
        <v>229</v>
      </c>
      <c r="U473">
        <v>3.6995363943241495E-3</v>
      </c>
      <c r="V473" t="s">
        <v>165</v>
      </c>
    </row>
    <row r="474" spans="19:22" x14ac:dyDescent="0.45">
      <c r="S474" t="s">
        <v>203</v>
      </c>
      <c r="T474" t="s">
        <v>230</v>
      </c>
      <c r="U474">
        <v>3.7481762953433043E-3</v>
      </c>
      <c r="V474" t="s">
        <v>165</v>
      </c>
    </row>
    <row r="475" spans="19:22" x14ac:dyDescent="0.45">
      <c r="S475" t="s">
        <v>203</v>
      </c>
      <c r="T475" t="s">
        <v>231</v>
      </c>
      <c r="U475">
        <v>2.2257760167735705E-2</v>
      </c>
      <c r="V475" t="s">
        <v>165</v>
      </c>
    </row>
    <row r="476" spans="19:22" x14ac:dyDescent="0.45">
      <c r="S476" t="s">
        <v>203</v>
      </c>
      <c r="T476" t="s">
        <v>169</v>
      </c>
      <c r="U476">
        <v>3.1202782328521653E-2</v>
      </c>
      <c r="V476" t="s">
        <v>165</v>
      </c>
    </row>
    <row r="477" spans="19:22" x14ac:dyDescent="0.45">
      <c r="S477" t="s">
        <v>203</v>
      </c>
      <c r="T477" t="s">
        <v>170</v>
      </c>
      <c r="U477">
        <v>3.0698984981196942E-2</v>
      </c>
      <c r="V477" t="s">
        <v>165</v>
      </c>
    </row>
    <row r="478" spans="19:22" x14ac:dyDescent="0.45">
      <c r="S478" t="s">
        <v>203</v>
      </c>
      <c r="T478" t="s">
        <v>232</v>
      </c>
      <c r="U478">
        <v>3.9016831275988481E-3</v>
      </c>
      <c r="V478" t="s">
        <v>165</v>
      </c>
    </row>
    <row r="479" spans="19:22" x14ac:dyDescent="0.45">
      <c r="S479" t="s">
        <v>203</v>
      </c>
      <c r="T479" t="s">
        <v>233</v>
      </c>
      <c r="U479">
        <v>3.9042543967754834E-3</v>
      </c>
      <c r="V479" t="s">
        <v>165</v>
      </c>
    </row>
    <row r="480" spans="19:22" x14ac:dyDescent="0.45">
      <c r="S480" t="s">
        <v>203</v>
      </c>
      <c r="T480" t="s">
        <v>234</v>
      </c>
      <c r="U480">
        <v>2.4003872338550794E-2</v>
      </c>
      <c r="V480" t="s">
        <v>165</v>
      </c>
    </row>
    <row r="481" spans="19:22" x14ac:dyDescent="0.45">
      <c r="S481" t="s">
        <v>203</v>
      </c>
      <c r="T481" t="s">
        <v>235</v>
      </c>
      <c r="U481">
        <v>6.2248826409044639E-2</v>
      </c>
      <c r="V481" t="s">
        <v>165</v>
      </c>
    </row>
    <row r="482" spans="19:22" x14ac:dyDescent="0.45">
      <c r="S482" t="s">
        <v>203</v>
      </c>
      <c r="T482" t="s">
        <v>236</v>
      </c>
      <c r="U482">
        <v>6.2003784304920172E-2</v>
      </c>
      <c r="V482" t="s">
        <v>165</v>
      </c>
    </row>
    <row r="483" spans="19:22" x14ac:dyDescent="0.45">
      <c r="S483" t="s">
        <v>203</v>
      </c>
      <c r="T483" t="s">
        <v>237</v>
      </c>
      <c r="U483">
        <v>7.5931672926498441E-3</v>
      </c>
      <c r="V483" t="s">
        <v>165</v>
      </c>
    </row>
    <row r="484" spans="19:22" x14ac:dyDescent="0.45">
      <c r="S484" t="s">
        <v>203</v>
      </c>
      <c r="T484" t="s">
        <v>238</v>
      </c>
      <c r="U484">
        <v>7.6090602670281201E-3</v>
      </c>
      <c r="V484" t="s">
        <v>165</v>
      </c>
    </row>
    <row r="485" spans="19:22" x14ac:dyDescent="0.45">
      <c r="S485" t="s">
        <v>203</v>
      </c>
      <c r="T485" t="s">
        <v>239</v>
      </c>
      <c r="U485">
        <v>4.5764624942731313E-2</v>
      </c>
      <c r="V485" t="s">
        <v>165</v>
      </c>
    </row>
    <row r="486" spans="19:22" x14ac:dyDescent="0.45">
      <c r="S486" t="s">
        <v>203</v>
      </c>
      <c r="T486" t="s">
        <v>240</v>
      </c>
      <c r="U486">
        <v>0.11161935920938613</v>
      </c>
      <c r="V486" t="s">
        <v>165</v>
      </c>
    </row>
    <row r="487" spans="19:22" x14ac:dyDescent="0.45">
      <c r="S487" t="s">
        <v>203</v>
      </c>
      <c r="T487" t="s">
        <v>241</v>
      </c>
      <c r="U487">
        <v>0.113887051591903</v>
      </c>
      <c r="V487" t="s">
        <v>165</v>
      </c>
    </row>
    <row r="488" spans="19:22" x14ac:dyDescent="0.45">
      <c r="S488" t="s">
        <v>203</v>
      </c>
      <c r="T488" t="s">
        <v>242</v>
      </c>
      <c r="U488">
        <v>1.4021611121551996E-2</v>
      </c>
      <c r="V488" t="s">
        <v>165</v>
      </c>
    </row>
    <row r="489" spans="19:22" x14ac:dyDescent="0.45">
      <c r="S489" t="s">
        <v>203</v>
      </c>
      <c r="T489" t="s">
        <v>243</v>
      </c>
      <c r="U489">
        <v>1.3952814451254398E-2</v>
      </c>
      <c r="V489" t="s">
        <v>165</v>
      </c>
    </row>
    <row r="490" spans="19:22" x14ac:dyDescent="0.45">
      <c r="S490" t="s">
        <v>203</v>
      </c>
      <c r="T490" t="s">
        <v>244</v>
      </c>
      <c r="U490">
        <v>8.2790955450413317E-2</v>
      </c>
      <c r="V490" t="s">
        <v>165</v>
      </c>
    </row>
    <row r="491" spans="19:22" x14ac:dyDescent="0.45">
      <c r="S491" t="s">
        <v>203</v>
      </c>
      <c r="T491" t="s">
        <v>245</v>
      </c>
      <c r="U491">
        <v>2.8070187731708208E-2</v>
      </c>
      <c r="V491" t="s">
        <v>165</v>
      </c>
    </row>
    <row r="492" spans="19:22" x14ac:dyDescent="0.45">
      <c r="S492" t="s">
        <v>203</v>
      </c>
      <c r="T492" t="s">
        <v>246</v>
      </c>
      <c r="U492">
        <v>2.5597415300649923E-2</v>
      </c>
      <c r="V492" t="s">
        <v>165</v>
      </c>
    </row>
    <row r="493" spans="19:22" x14ac:dyDescent="0.45">
      <c r="S493" t="s">
        <v>203</v>
      </c>
      <c r="T493" t="s">
        <v>247</v>
      </c>
      <c r="U493">
        <v>3.2068018722855181E-3</v>
      </c>
      <c r="V493" t="s">
        <v>165</v>
      </c>
    </row>
    <row r="494" spans="19:22" x14ac:dyDescent="0.45">
      <c r="S494" t="s">
        <v>203</v>
      </c>
      <c r="T494" t="s">
        <v>248</v>
      </c>
      <c r="U494">
        <v>3.0682131259916309E-3</v>
      </c>
      <c r="V494" t="s">
        <v>165</v>
      </c>
    </row>
    <row r="495" spans="19:22" x14ac:dyDescent="0.45">
      <c r="S495" t="s">
        <v>203</v>
      </c>
      <c r="T495" t="s">
        <v>249</v>
      </c>
      <c r="U495">
        <v>1.8453273633799862E-2</v>
      </c>
      <c r="V495" t="s">
        <v>165</v>
      </c>
    </row>
    <row r="496" spans="19:22" x14ac:dyDescent="0.45">
      <c r="S496" t="s">
        <v>203</v>
      </c>
      <c r="T496" t="s">
        <v>250</v>
      </c>
      <c r="U496">
        <v>3.7854564279957002E-2</v>
      </c>
      <c r="V496" t="s">
        <v>165</v>
      </c>
    </row>
    <row r="497" spans="19:22" x14ac:dyDescent="0.45">
      <c r="S497" t="s">
        <v>203</v>
      </c>
      <c r="T497" t="s">
        <v>251</v>
      </c>
      <c r="U497">
        <v>4.1001937915484753E-2</v>
      </c>
      <c r="V497" t="s">
        <v>165</v>
      </c>
    </row>
    <row r="498" spans="19:22" x14ac:dyDescent="0.45">
      <c r="S498" t="s">
        <v>203</v>
      </c>
      <c r="T498" t="s">
        <v>252</v>
      </c>
      <c r="U498">
        <v>5.0692570754645597E-3</v>
      </c>
      <c r="V498" t="s">
        <v>165</v>
      </c>
    </row>
    <row r="499" spans="19:22" x14ac:dyDescent="0.45">
      <c r="S499" t="s">
        <v>203</v>
      </c>
      <c r="T499" t="s">
        <v>253</v>
      </c>
      <c r="U499">
        <v>5.0913330390705445E-3</v>
      </c>
      <c r="V499" t="s">
        <v>165</v>
      </c>
    </row>
    <row r="500" spans="19:22" x14ac:dyDescent="0.45">
      <c r="S500" t="s">
        <v>203</v>
      </c>
      <c r="T500" t="s">
        <v>254</v>
      </c>
      <c r="U500">
        <v>3.0286840759497339E-2</v>
      </c>
      <c r="V500" t="s">
        <v>165</v>
      </c>
    </row>
    <row r="501" spans="19:22" x14ac:dyDescent="0.45">
      <c r="S501" t="s">
        <v>204</v>
      </c>
      <c r="T501" t="s">
        <v>164</v>
      </c>
      <c r="U501">
        <v>3.2232222223500438E-2</v>
      </c>
      <c r="V501" t="s">
        <v>165</v>
      </c>
    </row>
    <row r="502" spans="19:22" x14ac:dyDescent="0.45">
      <c r="S502" t="s">
        <v>204</v>
      </c>
      <c r="T502" t="s">
        <v>166</v>
      </c>
      <c r="U502">
        <v>3.436521129697568E-2</v>
      </c>
      <c r="V502" t="s">
        <v>165</v>
      </c>
    </row>
    <row r="503" spans="19:22" x14ac:dyDescent="0.45">
      <c r="S503" t="s">
        <v>204</v>
      </c>
      <c r="T503" t="s">
        <v>226</v>
      </c>
      <c r="U503">
        <v>4.0993814383332109E-3</v>
      </c>
      <c r="V503" t="s">
        <v>165</v>
      </c>
    </row>
    <row r="504" spans="19:22" x14ac:dyDescent="0.45">
      <c r="S504" t="s">
        <v>204</v>
      </c>
      <c r="T504" t="s">
        <v>227</v>
      </c>
      <c r="U504">
        <v>3.9718995452212909E-3</v>
      </c>
      <c r="V504" t="s">
        <v>165</v>
      </c>
    </row>
    <row r="505" spans="19:22" x14ac:dyDescent="0.45">
      <c r="S505" t="s">
        <v>204</v>
      </c>
      <c r="T505" t="s">
        <v>228</v>
      </c>
      <c r="U505">
        <v>2.3579381488011256E-2</v>
      </c>
      <c r="V505" t="s">
        <v>165</v>
      </c>
    </row>
    <row r="506" spans="19:22" x14ac:dyDescent="0.45">
      <c r="S506" t="s">
        <v>204</v>
      </c>
      <c r="T506" t="s">
        <v>167</v>
      </c>
      <c r="U506">
        <v>3.0074654133089605E-2</v>
      </c>
      <c r="V506" t="s">
        <v>165</v>
      </c>
    </row>
    <row r="507" spans="19:22" x14ac:dyDescent="0.45">
      <c r="S507" t="s">
        <v>204</v>
      </c>
      <c r="T507" t="s">
        <v>168</v>
      </c>
      <c r="U507">
        <v>3.0332441711304951E-2</v>
      </c>
      <c r="V507" t="s">
        <v>165</v>
      </c>
    </row>
    <row r="508" spans="19:22" x14ac:dyDescent="0.45">
      <c r="S508" t="s">
        <v>204</v>
      </c>
      <c r="T508" t="s">
        <v>229</v>
      </c>
      <c r="U508">
        <v>3.8376487718408776E-3</v>
      </c>
      <c r="V508" t="s">
        <v>165</v>
      </c>
    </row>
    <row r="509" spans="19:22" x14ac:dyDescent="0.45">
      <c r="S509" t="s">
        <v>204</v>
      </c>
      <c r="T509" t="s">
        <v>230</v>
      </c>
      <c r="U509">
        <v>3.8114368859896775E-3</v>
      </c>
      <c r="V509" t="s">
        <v>165</v>
      </c>
    </row>
    <row r="510" spans="19:22" x14ac:dyDescent="0.45">
      <c r="S510" t="s">
        <v>204</v>
      </c>
      <c r="T510" t="s">
        <v>231</v>
      </c>
      <c r="U510">
        <v>2.2696890719323095E-2</v>
      </c>
      <c r="V510" t="s">
        <v>165</v>
      </c>
    </row>
    <row r="511" spans="19:22" x14ac:dyDescent="0.45">
      <c r="S511" t="s">
        <v>204</v>
      </c>
      <c r="T511" t="s">
        <v>169</v>
      </c>
      <c r="U511">
        <v>3.1382398707885312E-2</v>
      </c>
      <c r="V511" t="s">
        <v>165</v>
      </c>
    </row>
    <row r="512" spans="19:22" x14ac:dyDescent="0.45">
      <c r="S512" t="s">
        <v>204</v>
      </c>
      <c r="T512" t="s">
        <v>170</v>
      </c>
      <c r="U512">
        <v>3.1751686330437956E-2</v>
      </c>
      <c r="V512" t="s">
        <v>165</v>
      </c>
    </row>
    <row r="513" spans="19:22" x14ac:dyDescent="0.45">
      <c r="S513" t="s">
        <v>204</v>
      </c>
      <c r="T513" t="s">
        <v>232</v>
      </c>
      <c r="U513">
        <v>4.034223150429889E-3</v>
      </c>
      <c r="V513" t="s">
        <v>165</v>
      </c>
    </row>
    <row r="514" spans="19:22" x14ac:dyDescent="0.45">
      <c r="S514" t="s">
        <v>204</v>
      </c>
      <c r="T514" t="s">
        <v>233</v>
      </c>
      <c r="U514">
        <v>3.9804070741525886E-3</v>
      </c>
      <c r="V514" t="s">
        <v>165</v>
      </c>
    </row>
    <row r="515" spans="19:22" x14ac:dyDescent="0.45">
      <c r="S515" t="s">
        <v>204</v>
      </c>
      <c r="T515" t="s">
        <v>234</v>
      </c>
      <c r="U515">
        <v>2.4657690688116889E-2</v>
      </c>
      <c r="V515" t="s">
        <v>165</v>
      </c>
    </row>
    <row r="516" spans="19:22" x14ac:dyDescent="0.45">
      <c r="S516" t="s">
        <v>204</v>
      </c>
      <c r="T516" t="s">
        <v>235</v>
      </c>
      <c r="U516">
        <v>6.323463532947271E-2</v>
      </c>
      <c r="V516" t="s">
        <v>165</v>
      </c>
    </row>
    <row r="517" spans="19:22" x14ac:dyDescent="0.45">
      <c r="S517" t="s">
        <v>204</v>
      </c>
      <c r="T517" t="s">
        <v>236</v>
      </c>
      <c r="U517">
        <v>6.6452188079009267E-2</v>
      </c>
      <c r="V517" t="s">
        <v>165</v>
      </c>
    </row>
    <row r="518" spans="19:22" x14ac:dyDescent="0.45">
      <c r="S518" t="s">
        <v>204</v>
      </c>
      <c r="T518" t="s">
        <v>237</v>
      </c>
      <c r="U518">
        <v>8.4504140614437839E-3</v>
      </c>
      <c r="V518" t="s">
        <v>165</v>
      </c>
    </row>
    <row r="519" spans="19:22" x14ac:dyDescent="0.45">
      <c r="S519" t="s">
        <v>204</v>
      </c>
      <c r="T519" t="s">
        <v>238</v>
      </c>
      <c r="U519">
        <v>8.3935512069131836E-3</v>
      </c>
      <c r="V519" t="s">
        <v>165</v>
      </c>
    </row>
    <row r="520" spans="19:22" x14ac:dyDescent="0.45">
      <c r="S520" t="s">
        <v>204</v>
      </c>
      <c r="T520" t="s">
        <v>239</v>
      </c>
      <c r="U520">
        <v>4.738320346707562E-2</v>
      </c>
      <c r="V520" t="s">
        <v>165</v>
      </c>
    </row>
    <row r="521" spans="19:22" x14ac:dyDescent="0.45">
      <c r="S521" t="s">
        <v>204</v>
      </c>
      <c r="T521" t="s">
        <v>240</v>
      </c>
      <c r="U521">
        <v>0.10625994642491038</v>
      </c>
      <c r="V521" t="s">
        <v>165</v>
      </c>
    </row>
    <row r="522" spans="19:22" x14ac:dyDescent="0.45">
      <c r="S522" t="s">
        <v>204</v>
      </c>
      <c r="T522" t="s">
        <v>241</v>
      </c>
      <c r="U522">
        <v>0.11213146973235054</v>
      </c>
      <c r="V522" t="s">
        <v>165</v>
      </c>
    </row>
    <row r="523" spans="19:22" x14ac:dyDescent="0.45">
      <c r="S523" t="s">
        <v>204</v>
      </c>
      <c r="T523" t="s">
        <v>242</v>
      </c>
      <c r="U523">
        <v>1.4164350073804522E-2</v>
      </c>
      <c r="V523" t="s">
        <v>165</v>
      </c>
    </row>
    <row r="524" spans="19:22" x14ac:dyDescent="0.45">
      <c r="S524" t="s">
        <v>204</v>
      </c>
      <c r="T524" t="s">
        <v>243</v>
      </c>
      <c r="U524">
        <v>1.3817370147968576E-2</v>
      </c>
      <c r="V524" t="s">
        <v>165</v>
      </c>
    </row>
    <row r="525" spans="19:22" x14ac:dyDescent="0.45">
      <c r="S525" t="s">
        <v>204</v>
      </c>
      <c r="T525" t="s">
        <v>244</v>
      </c>
      <c r="U525">
        <v>7.9649593376304562E-2</v>
      </c>
      <c r="V525" t="s">
        <v>165</v>
      </c>
    </row>
    <row r="526" spans="19:22" x14ac:dyDescent="0.45">
      <c r="S526" t="s">
        <v>204</v>
      </c>
      <c r="T526" t="s">
        <v>245</v>
      </c>
      <c r="U526">
        <v>2.5739253308905325E-2</v>
      </c>
      <c r="V526" t="s">
        <v>165</v>
      </c>
    </row>
    <row r="527" spans="19:22" x14ac:dyDescent="0.45">
      <c r="S527" t="s">
        <v>204</v>
      </c>
      <c r="T527" t="s">
        <v>246</v>
      </c>
      <c r="U527">
        <v>2.4327906087249013E-2</v>
      </c>
      <c r="V527" t="s">
        <v>165</v>
      </c>
    </row>
    <row r="528" spans="19:22" x14ac:dyDescent="0.45">
      <c r="S528" t="s">
        <v>204</v>
      </c>
      <c r="T528" t="s">
        <v>247</v>
      </c>
      <c r="U528">
        <v>3.2026426798508431E-3</v>
      </c>
      <c r="V528" t="s">
        <v>165</v>
      </c>
    </row>
    <row r="529" spans="19:22" x14ac:dyDescent="0.45">
      <c r="S529" t="s">
        <v>204</v>
      </c>
      <c r="T529" t="s">
        <v>248</v>
      </c>
      <c r="U529">
        <v>3.0952105237152701E-3</v>
      </c>
      <c r="V529" t="s">
        <v>165</v>
      </c>
    </row>
    <row r="530" spans="19:22" x14ac:dyDescent="0.45">
      <c r="S530" t="s">
        <v>204</v>
      </c>
      <c r="T530" t="s">
        <v>249</v>
      </c>
      <c r="U530">
        <v>1.7846014341043773E-2</v>
      </c>
      <c r="V530" t="s">
        <v>165</v>
      </c>
    </row>
    <row r="531" spans="19:22" x14ac:dyDescent="0.45">
      <c r="S531" t="s">
        <v>204</v>
      </c>
      <c r="T531" t="s">
        <v>250</v>
      </c>
      <c r="U531">
        <v>3.853428396563207E-2</v>
      </c>
      <c r="V531" t="s">
        <v>165</v>
      </c>
    </row>
    <row r="532" spans="19:22" x14ac:dyDescent="0.45">
      <c r="S532" t="s">
        <v>204</v>
      </c>
      <c r="T532" t="s">
        <v>251</v>
      </c>
      <c r="U532">
        <v>4.1614597189088956E-2</v>
      </c>
      <c r="V532" t="s">
        <v>165</v>
      </c>
    </row>
    <row r="533" spans="19:22" x14ac:dyDescent="0.45">
      <c r="S533" t="s">
        <v>204</v>
      </c>
      <c r="T533" t="s">
        <v>252</v>
      </c>
      <c r="U533">
        <v>5.3362412637796121E-3</v>
      </c>
      <c r="V533" t="s">
        <v>165</v>
      </c>
    </row>
    <row r="534" spans="19:22" x14ac:dyDescent="0.45">
      <c r="S534" t="s">
        <v>204</v>
      </c>
      <c r="T534" t="s">
        <v>253</v>
      </c>
      <c r="U534">
        <v>5.3034956295905768E-3</v>
      </c>
      <c r="V534" t="s">
        <v>165</v>
      </c>
    </row>
    <row r="535" spans="19:22" x14ac:dyDescent="0.45">
      <c r="S535" t="s">
        <v>204</v>
      </c>
      <c r="T535" t="s">
        <v>254</v>
      </c>
      <c r="U535">
        <v>3.0256058947277308E-2</v>
      </c>
      <c r="V535" t="s">
        <v>165</v>
      </c>
    </row>
    <row r="536" spans="19:22" x14ac:dyDescent="0.45">
      <c r="S536" t="s">
        <v>205</v>
      </c>
      <c r="T536" t="s">
        <v>164</v>
      </c>
      <c r="U536">
        <v>3.2404531587917104E-2</v>
      </c>
      <c r="V536" t="s">
        <v>165</v>
      </c>
    </row>
    <row r="537" spans="19:22" x14ac:dyDescent="0.45">
      <c r="S537" t="s">
        <v>205</v>
      </c>
      <c r="T537" t="s">
        <v>166</v>
      </c>
      <c r="U537">
        <v>3.2219728067554583E-2</v>
      </c>
      <c r="V537" t="s">
        <v>165</v>
      </c>
    </row>
    <row r="538" spans="19:22" x14ac:dyDescent="0.45">
      <c r="S538" t="s">
        <v>205</v>
      </c>
      <c r="T538" t="s">
        <v>226</v>
      </c>
      <c r="U538">
        <v>3.7657313351985235E-3</v>
      </c>
      <c r="V538" t="s">
        <v>165</v>
      </c>
    </row>
    <row r="539" spans="19:22" x14ac:dyDescent="0.45">
      <c r="S539" t="s">
        <v>205</v>
      </c>
      <c r="T539" t="s">
        <v>227</v>
      </c>
      <c r="U539">
        <v>3.6497501633667969E-3</v>
      </c>
      <c r="V539" t="s">
        <v>165</v>
      </c>
    </row>
    <row r="540" spans="19:22" x14ac:dyDescent="0.45">
      <c r="S540" t="s">
        <v>205</v>
      </c>
      <c r="T540" t="s">
        <v>228</v>
      </c>
      <c r="U540">
        <v>2.241669235282601E-2</v>
      </c>
      <c r="V540" t="s">
        <v>165</v>
      </c>
    </row>
    <row r="541" spans="19:22" x14ac:dyDescent="0.45">
      <c r="S541" t="s">
        <v>205</v>
      </c>
      <c r="T541" t="s">
        <v>167</v>
      </c>
      <c r="U541">
        <v>2.9755629598147409E-2</v>
      </c>
      <c r="V541" t="s">
        <v>165</v>
      </c>
    </row>
    <row r="542" spans="19:22" x14ac:dyDescent="0.45">
      <c r="S542" t="s">
        <v>205</v>
      </c>
      <c r="T542" t="s">
        <v>168</v>
      </c>
      <c r="U542">
        <v>3.1130465871817684E-2</v>
      </c>
      <c r="V542" t="s">
        <v>165</v>
      </c>
    </row>
    <row r="543" spans="19:22" x14ac:dyDescent="0.45">
      <c r="S543" t="s">
        <v>205</v>
      </c>
      <c r="T543" t="s">
        <v>229</v>
      </c>
      <c r="U543">
        <v>3.97769785881078E-3</v>
      </c>
      <c r="V543" t="s">
        <v>165</v>
      </c>
    </row>
    <row r="544" spans="19:22" x14ac:dyDescent="0.45">
      <c r="S544" t="s">
        <v>205</v>
      </c>
      <c r="T544" t="s">
        <v>230</v>
      </c>
      <c r="U544">
        <v>3.9069133996854077E-3</v>
      </c>
      <c r="V544" t="s">
        <v>165</v>
      </c>
    </row>
    <row r="545" spans="19:22" x14ac:dyDescent="0.45">
      <c r="S545" t="s">
        <v>205</v>
      </c>
      <c r="T545" t="s">
        <v>231</v>
      </c>
      <c r="U545">
        <v>2.3227401605135752E-2</v>
      </c>
      <c r="V545" t="s">
        <v>165</v>
      </c>
    </row>
    <row r="546" spans="19:22" x14ac:dyDescent="0.45">
      <c r="S546" t="s">
        <v>205</v>
      </c>
      <c r="T546" t="s">
        <v>169</v>
      </c>
      <c r="U546">
        <v>3.2776117175830018E-2</v>
      </c>
      <c r="V546" t="s">
        <v>165</v>
      </c>
    </row>
    <row r="547" spans="19:22" x14ac:dyDescent="0.45">
      <c r="S547" t="s">
        <v>205</v>
      </c>
      <c r="T547" t="s">
        <v>170</v>
      </c>
      <c r="U547">
        <v>3.2028363882736645E-2</v>
      </c>
      <c r="V547" t="s">
        <v>165</v>
      </c>
    </row>
    <row r="548" spans="19:22" x14ac:dyDescent="0.45">
      <c r="S548" t="s">
        <v>205</v>
      </c>
      <c r="T548" t="s">
        <v>232</v>
      </c>
      <c r="U548">
        <v>3.876274750617424E-3</v>
      </c>
      <c r="V548" t="s">
        <v>165</v>
      </c>
    </row>
    <row r="549" spans="19:22" x14ac:dyDescent="0.45">
      <c r="S549" t="s">
        <v>205</v>
      </c>
      <c r="T549" t="s">
        <v>233</v>
      </c>
      <c r="U549">
        <v>3.9146304544907459E-3</v>
      </c>
      <c r="V549" t="s">
        <v>165</v>
      </c>
    </row>
    <row r="550" spans="19:22" x14ac:dyDescent="0.45">
      <c r="S550" t="s">
        <v>205</v>
      </c>
      <c r="T550" t="s">
        <v>234</v>
      </c>
      <c r="U550">
        <v>2.4453117834025897E-2</v>
      </c>
      <c r="V550" t="s">
        <v>165</v>
      </c>
    </row>
    <row r="551" spans="19:22" x14ac:dyDescent="0.45">
      <c r="S551" t="s">
        <v>205</v>
      </c>
      <c r="T551" t="s">
        <v>235</v>
      </c>
      <c r="U551">
        <v>6.0162153984832913E-2</v>
      </c>
      <c r="V551" t="s">
        <v>165</v>
      </c>
    </row>
    <row r="552" spans="19:22" x14ac:dyDescent="0.45">
      <c r="S552" t="s">
        <v>205</v>
      </c>
      <c r="T552" t="s">
        <v>236</v>
      </c>
      <c r="U552">
        <v>5.6959727585191466E-2</v>
      </c>
      <c r="V552" t="s">
        <v>165</v>
      </c>
    </row>
    <row r="553" spans="19:22" x14ac:dyDescent="0.45">
      <c r="S553" t="s">
        <v>205</v>
      </c>
      <c r="T553" t="s">
        <v>237</v>
      </c>
      <c r="U553">
        <v>7.2718830638527866E-3</v>
      </c>
      <c r="V553" t="s">
        <v>165</v>
      </c>
    </row>
    <row r="554" spans="19:22" x14ac:dyDescent="0.45">
      <c r="S554" t="s">
        <v>205</v>
      </c>
      <c r="T554" t="s">
        <v>238</v>
      </c>
      <c r="U554">
        <v>7.4503397521674605E-3</v>
      </c>
      <c r="V554" t="s">
        <v>165</v>
      </c>
    </row>
    <row r="555" spans="19:22" x14ac:dyDescent="0.45">
      <c r="S555" t="s">
        <v>205</v>
      </c>
      <c r="T555" t="s">
        <v>239</v>
      </c>
      <c r="U555">
        <v>4.5386123029379333E-2</v>
      </c>
      <c r="V555" t="s">
        <v>165</v>
      </c>
    </row>
    <row r="556" spans="19:22" x14ac:dyDescent="0.45">
      <c r="S556" t="s">
        <v>205</v>
      </c>
      <c r="T556" t="s">
        <v>240</v>
      </c>
      <c r="U556">
        <v>0.11492194905514877</v>
      </c>
      <c r="V556" t="s">
        <v>165</v>
      </c>
    </row>
    <row r="557" spans="19:22" x14ac:dyDescent="0.45">
      <c r="S557" t="s">
        <v>205</v>
      </c>
      <c r="T557" t="s">
        <v>241</v>
      </c>
      <c r="U557">
        <v>0.11685221408929398</v>
      </c>
      <c r="V557" t="s">
        <v>165</v>
      </c>
    </row>
    <row r="558" spans="19:22" x14ac:dyDescent="0.45">
      <c r="S558" t="s">
        <v>205</v>
      </c>
      <c r="T558" t="s">
        <v>242</v>
      </c>
      <c r="U558">
        <v>1.4542619200330115E-2</v>
      </c>
      <c r="V558" t="s">
        <v>165</v>
      </c>
    </row>
    <row r="559" spans="19:22" x14ac:dyDescent="0.45">
      <c r="S559" t="s">
        <v>205</v>
      </c>
      <c r="T559" t="s">
        <v>243</v>
      </c>
      <c r="U559">
        <v>1.4436232114574912E-2</v>
      </c>
      <c r="V559" t="s">
        <v>165</v>
      </c>
    </row>
    <row r="560" spans="19:22" x14ac:dyDescent="0.45">
      <c r="S560" t="s">
        <v>205</v>
      </c>
      <c r="T560" t="s">
        <v>244</v>
      </c>
      <c r="U560">
        <v>8.3630408603709808E-2</v>
      </c>
      <c r="V560" t="s">
        <v>165</v>
      </c>
    </row>
    <row r="561" spans="19:22" x14ac:dyDescent="0.45">
      <c r="S561" t="s">
        <v>205</v>
      </c>
      <c r="T561" t="s">
        <v>245</v>
      </c>
      <c r="U561">
        <v>2.7961015740797481E-2</v>
      </c>
      <c r="V561" t="s">
        <v>165</v>
      </c>
    </row>
    <row r="562" spans="19:22" x14ac:dyDescent="0.45">
      <c r="S562" t="s">
        <v>205</v>
      </c>
      <c r="T562" t="s">
        <v>246</v>
      </c>
      <c r="U562">
        <v>2.60549129411555E-2</v>
      </c>
      <c r="V562" t="s">
        <v>165</v>
      </c>
    </row>
    <row r="563" spans="19:22" x14ac:dyDescent="0.45">
      <c r="S563" t="s">
        <v>205</v>
      </c>
      <c r="T563" t="s">
        <v>247</v>
      </c>
      <c r="U563">
        <v>3.1086088085386736E-3</v>
      </c>
      <c r="V563" t="s">
        <v>165</v>
      </c>
    </row>
    <row r="564" spans="19:22" x14ac:dyDescent="0.45">
      <c r="S564" t="s">
        <v>205</v>
      </c>
      <c r="T564" t="s">
        <v>248</v>
      </c>
      <c r="U564">
        <v>3.0549911675167418E-3</v>
      </c>
      <c r="V564" t="s">
        <v>165</v>
      </c>
    </row>
    <row r="565" spans="19:22" x14ac:dyDescent="0.45">
      <c r="S565" t="s">
        <v>205</v>
      </c>
      <c r="T565" t="s">
        <v>249</v>
      </c>
      <c r="U565">
        <v>1.9121931111897972E-2</v>
      </c>
      <c r="V565" t="s">
        <v>165</v>
      </c>
    </row>
    <row r="566" spans="19:22" x14ac:dyDescent="0.45">
      <c r="S566" t="s">
        <v>205</v>
      </c>
      <c r="T566" t="s">
        <v>250</v>
      </c>
      <c r="U566">
        <v>3.6956740588549399E-2</v>
      </c>
      <c r="V566" t="s">
        <v>165</v>
      </c>
    </row>
    <row r="567" spans="19:22" x14ac:dyDescent="0.45">
      <c r="S567" t="s">
        <v>205</v>
      </c>
      <c r="T567" t="s">
        <v>251</v>
      </c>
      <c r="U567">
        <v>3.8674071122912865E-2</v>
      </c>
      <c r="V567" t="s">
        <v>165</v>
      </c>
    </row>
    <row r="568" spans="19:22" x14ac:dyDescent="0.45">
      <c r="S568" t="s">
        <v>205</v>
      </c>
      <c r="T568" t="s">
        <v>252</v>
      </c>
      <c r="U568">
        <v>4.9068846189000192E-3</v>
      </c>
      <c r="V568" t="s">
        <v>165</v>
      </c>
    </row>
    <row r="569" spans="19:22" x14ac:dyDescent="0.45">
      <c r="S569" t="s">
        <v>205</v>
      </c>
      <c r="T569" t="s">
        <v>253</v>
      </c>
      <c r="U569">
        <v>4.9060625345395837E-3</v>
      </c>
      <c r="V569" t="s">
        <v>165</v>
      </c>
    </row>
    <row r="570" spans="19:22" x14ac:dyDescent="0.45">
      <c r="S570" t="s">
        <v>205</v>
      </c>
      <c r="T570" t="s">
        <v>254</v>
      </c>
      <c r="U570">
        <v>3.0138084948550328E-2</v>
      </c>
      <c r="V570" t="s">
        <v>165</v>
      </c>
    </row>
    <row r="571" spans="19:22" x14ac:dyDescent="0.45">
      <c r="S571" t="s">
        <v>206</v>
      </c>
      <c r="T571" t="s">
        <v>164</v>
      </c>
      <c r="U571">
        <v>3.3066107283465811E-2</v>
      </c>
      <c r="V571" t="s">
        <v>165</v>
      </c>
    </row>
    <row r="572" spans="19:22" x14ac:dyDescent="0.45">
      <c r="S572" t="s">
        <v>206</v>
      </c>
      <c r="T572" t="s">
        <v>166</v>
      </c>
      <c r="U572">
        <v>3.3046544025902444E-2</v>
      </c>
      <c r="V572" t="s">
        <v>165</v>
      </c>
    </row>
    <row r="573" spans="19:22" x14ac:dyDescent="0.45">
      <c r="S573" t="s">
        <v>206</v>
      </c>
      <c r="T573" t="s">
        <v>226</v>
      </c>
      <c r="U573">
        <v>3.9386834033092611E-3</v>
      </c>
      <c r="V573" t="s">
        <v>165</v>
      </c>
    </row>
    <row r="574" spans="19:22" x14ac:dyDescent="0.45">
      <c r="S574" t="s">
        <v>206</v>
      </c>
      <c r="T574" t="s">
        <v>227</v>
      </c>
      <c r="U574">
        <v>3.8393244745976427E-3</v>
      </c>
      <c r="V574" t="s">
        <v>165</v>
      </c>
    </row>
    <row r="575" spans="19:22" x14ac:dyDescent="0.45">
      <c r="S575" t="s">
        <v>206</v>
      </c>
      <c r="T575" t="s">
        <v>228</v>
      </c>
      <c r="U575">
        <v>2.3252116024565717E-2</v>
      </c>
      <c r="V575" t="s">
        <v>165</v>
      </c>
    </row>
    <row r="576" spans="19:22" x14ac:dyDescent="0.45">
      <c r="S576" t="s">
        <v>206</v>
      </c>
      <c r="T576" t="s">
        <v>167</v>
      </c>
      <c r="U576">
        <v>3.033461704467217E-2</v>
      </c>
      <c r="V576" t="s">
        <v>165</v>
      </c>
    </row>
    <row r="577" spans="19:22" x14ac:dyDescent="0.45">
      <c r="S577" t="s">
        <v>206</v>
      </c>
      <c r="T577" t="s">
        <v>168</v>
      </c>
      <c r="U577">
        <v>3.0970818281535056E-2</v>
      </c>
      <c r="V577" t="s">
        <v>165</v>
      </c>
    </row>
    <row r="578" spans="19:22" x14ac:dyDescent="0.45">
      <c r="S578" t="s">
        <v>206</v>
      </c>
      <c r="T578" t="s">
        <v>229</v>
      </c>
      <c r="U578">
        <v>3.9032877575717662E-3</v>
      </c>
      <c r="V578" t="s">
        <v>165</v>
      </c>
    </row>
    <row r="579" spans="19:22" x14ac:dyDescent="0.45">
      <c r="S579" t="s">
        <v>206</v>
      </c>
      <c r="T579" t="s">
        <v>230</v>
      </c>
      <c r="U579">
        <v>3.862432958324277E-3</v>
      </c>
      <c r="V579" t="s">
        <v>165</v>
      </c>
    </row>
    <row r="580" spans="19:22" x14ac:dyDescent="0.45">
      <c r="S580" t="s">
        <v>206</v>
      </c>
      <c r="T580" t="s">
        <v>231</v>
      </c>
      <c r="U580">
        <v>2.3284116369023999E-2</v>
      </c>
      <c r="V580" t="s">
        <v>165</v>
      </c>
    </row>
    <row r="581" spans="19:22" x14ac:dyDescent="0.45">
      <c r="S581" t="s">
        <v>206</v>
      </c>
      <c r="T581" t="s">
        <v>169</v>
      </c>
      <c r="U581">
        <v>3.2949473599708012E-2</v>
      </c>
      <c r="V581" t="s">
        <v>165</v>
      </c>
    </row>
    <row r="582" spans="19:22" x14ac:dyDescent="0.45">
      <c r="S582" t="s">
        <v>206</v>
      </c>
      <c r="T582" t="s">
        <v>170</v>
      </c>
      <c r="U582">
        <v>3.2167493797769744E-2</v>
      </c>
      <c r="V582" t="s">
        <v>165</v>
      </c>
    </row>
    <row r="583" spans="19:22" x14ac:dyDescent="0.45">
      <c r="S583" t="s">
        <v>206</v>
      </c>
      <c r="T583" t="s">
        <v>232</v>
      </c>
      <c r="U583">
        <v>4.0770443104060144E-3</v>
      </c>
      <c r="V583" t="s">
        <v>165</v>
      </c>
    </row>
    <row r="584" spans="19:22" x14ac:dyDescent="0.45">
      <c r="S584" t="s">
        <v>206</v>
      </c>
      <c r="T584" t="s">
        <v>233</v>
      </c>
      <c r="U584">
        <v>4.0939474510779828E-3</v>
      </c>
      <c r="V584" t="s">
        <v>165</v>
      </c>
    </row>
    <row r="585" spans="19:22" x14ac:dyDescent="0.45">
      <c r="S585" t="s">
        <v>206</v>
      </c>
      <c r="T585" t="s">
        <v>234</v>
      </c>
      <c r="U585">
        <v>2.539356651385118E-2</v>
      </c>
      <c r="V585" t="s">
        <v>165</v>
      </c>
    </row>
    <row r="586" spans="19:22" x14ac:dyDescent="0.45">
      <c r="S586" t="s">
        <v>206</v>
      </c>
      <c r="T586" t="s">
        <v>235</v>
      </c>
      <c r="U586">
        <v>6.3347794412104946E-2</v>
      </c>
      <c r="V586" t="s">
        <v>165</v>
      </c>
    </row>
    <row r="587" spans="19:22" x14ac:dyDescent="0.45">
      <c r="S587" t="s">
        <v>206</v>
      </c>
      <c r="T587" t="s">
        <v>236</v>
      </c>
      <c r="U587">
        <v>6.0289549928978045E-2</v>
      </c>
      <c r="V587" t="s">
        <v>165</v>
      </c>
    </row>
    <row r="588" spans="19:22" x14ac:dyDescent="0.45">
      <c r="S588" t="s">
        <v>206</v>
      </c>
      <c r="T588" t="s">
        <v>237</v>
      </c>
      <c r="U588">
        <v>7.7505033947323741E-3</v>
      </c>
      <c r="V588" t="s">
        <v>165</v>
      </c>
    </row>
    <row r="589" spans="19:22" x14ac:dyDescent="0.45">
      <c r="S589" t="s">
        <v>206</v>
      </c>
      <c r="T589" t="s">
        <v>238</v>
      </c>
      <c r="U589">
        <v>7.7449814927159754E-3</v>
      </c>
      <c r="V589" t="s">
        <v>165</v>
      </c>
    </row>
    <row r="590" spans="19:22" x14ac:dyDescent="0.45">
      <c r="S590" t="s">
        <v>206</v>
      </c>
      <c r="T590" t="s">
        <v>239</v>
      </c>
      <c r="U590">
        <v>4.6168685361520884E-2</v>
      </c>
      <c r="V590" t="s">
        <v>165</v>
      </c>
    </row>
    <row r="591" spans="19:22" x14ac:dyDescent="0.45">
      <c r="S591" t="s">
        <v>206</v>
      </c>
      <c r="T591" t="s">
        <v>240</v>
      </c>
      <c r="U591">
        <v>0.11314659883346055</v>
      </c>
      <c r="V591" t="s">
        <v>165</v>
      </c>
    </row>
    <row r="592" spans="19:22" x14ac:dyDescent="0.45">
      <c r="S592" t="s">
        <v>206</v>
      </c>
      <c r="T592" t="s">
        <v>241</v>
      </c>
      <c r="U592">
        <v>0.1134365953914563</v>
      </c>
      <c r="V592" t="s">
        <v>165</v>
      </c>
    </row>
    <row r="593" spans="19:22" x14ac:dyDescent="0.45">
      <c r="S593" t="s">
        <v>206</v>
      </c>
      <c r="T593" t="s">
        <v>242</v>
      </c>
      <c r="U593">
        <v>1.4075397578645855E-2</v>
      </c>
      <c r="V593" t="s">
        <v>165</v>
      </c>
    </row>
    <row r="594" spans="19:22" x14ac:dyDescent="0.45">
      <c r="S594" t="s">
        <v>206</v>
      </c>
      <c r="T594" t="s">
        <v>243</v>
      </c>
      <c r="U594">
        <v>1.3925272685825097E-2</v>
      </c>
      <c r="V594" t="s">
        <v>165</v>
      </c>
    </row>
    <row r="595" spans="19:22" x14ac:dyDescent="0.45">
      <c r="S595" t="s">
        <v>206</v>
      </c>
      <c r="T595" t="s">
        <v>244</v>
      </c>
      <c r="U595">
        <v>8.3248525766366377E-2</v>
      </c>
      <c r="V595" t="s">
        <v>165</v>
      </c>
    </row>
    <row r="596" spans="19:22" x14ac:dyDescent="0.45">
      <c r="S596" t="s">
        <v>206</v>
      </c>
      <c r="T596" t="s">
        <v>245</v>
      </c>
      <c r="U596">
        <v>2.6621697541054281E-2</v>
      </c>
      <c r="V596" t="s">
        <v>165</v>
      </c>
    </row>
    <row r="597" spans="19:22" x14ac:dyDescent="0.45">
      <c r="S597" t="s">
        <v>206</v>
      </c>
      <c r="T597" t="s">
        <v>246</v>
      </c>
      <c r="U597">
        <v>2.5215609726434E-2</v>
      </c>
      <c r="V597" t="s">
        <v>165</v>
      </c>
    </row>
    <row r="598" spans="19:22" x14ac:dyDescent="0.45">
      <c r="S598" t="s">
        <v>206</v>
      </c>
      <c r="T598" t="s">
        <v>247</v>
      </c>
      <c r="U598">
        <v>3.1900349239667031E-3</v>
      </c>
      <c r="V598" t="s">
        <v>165</v>
      </c>
    </row>
    <row r="599" spans="19:22" x14ac:dyDescent="0.45">
      <c r="S599" t="s">
        <v>206</v>
      </c>
      <c r="T599" t="s">
        <v>248</v>
      </c>
      <c r="U599">
        <v>3.1032263403711373E-3</v>
      </c>
      <c r="V599" t="s">
        <v>165</v>
      </c>
    </row>
    <row r="600" spans="19:22" x14ac:dyDescent="0.45">
      <c r="S600" t="s">
        <v>206</v>
      </c>
      <c r="T600" t="s">
        <v>249</v>
      </c>
      <c r="U600">
        <v>1.8756804172401918E-2</v>
      </c>
      <c r="V600" t="s">
        <v>165</v>
      </c>
    </row>
    <row r="601" spans="19:22" x14ac:dyDescent="0.45">
      <c r="S601" t="s">
        <v>206</v>
      </c>
      <c r="T601" t="s">
        <v>250</v>
      </c>
      <c r="U601">
        <v>3.5594617778111556E-2</v>
      </c>
      <c r="V601" t="s">
        <v>165</v>
      </c>
    </row>
    <row r="602" spans="19:22" x14ac:dyDescent="0.45">
      <c r="S602" t="s">
        <v>206</v>
      </c>
      <c r="T602" t="s">
        <v>251</v>
      </c>
      <c r="U602">
        <v>3.7827497641530497E-2</v>
      </c>
      <c r="V602" t="s">
        <v>165</v>
      </c>
    </row>
    <row r="603" spans="19:22" x14ac:dyDescent="0.45">
      <c r="S603" t="s">
        <v>206</v>
      </c>
      <c r="T603" t="s">
        <v>252</v>
      </c>
      <c r="U603">
        <v>4.8583666041763568E-3</v>
      </c>
      <c r="V603" t="s">
        <v>165</v>
      </c>
    </row>
    <row r="604" spans="19:22" x14ac:dyDescent="0.45">
      <c r="S604" t="s">
        <v>206</v>
      </c>
      <c r="T604" t="s">
        <v>253</v>
      </c>
      <c r="U604">
        <v>4.7276104166269293E-3</v>
      </c>
      <c r="V604" t="s">
        <v>165</v>
      </c>
    </row>
    <row r="605" spans="19:22" x14ac:dyDescent="0.45">
      <c r="S605" t="s">
        <v>206</v>
      </c>
      <c r="T605" t="s">
        <v>254</v>
      </c>
      <c r="U605">
        <v>2.8791056713737127E-2</v>
      </c>
      <c r="V605" t="s">
        <v>165</v>
      </c>
    </row>
    <row r="606" spans="19:22" x14ac:dyDescent="0.45">
      <c r="S606" t="s">
        <v>207</v>
      </c>
      <c r="T606" t="s">
        <v>164</v>
      </c>
      <c r="U606">
        <v>3.4545528264579232E-2</v>
      </c>
      <c r="V606" t="s">
        <v>165</v>
      </c>
    </row>
    <row r="607" spans="19:22" x14ac:dyDescent="0.45">
      <c r="S607" t="s">
        <v>207</v>
      </c>
      <c r="T607" t="s">
        <v>166</v>
      </c>
      <c r="U607">
        <v>3.4089550987556956E-2</v>
      </c>
      <c r="V607" t="s">
        <v>165</v>
      </c>
    </row>
    <row r="608" spans="19:22" x14ac:dyDescent="0.45">
      <c r="S608" t="s">
        <v>207</v>
      </c>
      <c r="T608" t="s">
        <v>226</v>
      </c>
      <c r="U608">
        <v>4.117586544881046E-3</v>
      </c>
      <c r="V608" t="s">
        <v>165</v>
      </c>
    </row>
    <row r="609" spans="19:22" x14ac:dyDescent="0.45">
      <c r="S609" t="s">
        <v>207</v>
      </c>
      <c r="T609" t="s">
        <v>227</v>
      </c>
      <c r="U609">
        <v>4.1654492009235303E-3</v>
      </c>
      <c r="V609" t="s">
        <v>165</v>
      </c>
    </row>
    <row r="610" spans="19:22" x14ac:dyDescent="0.45">
      <c r="S610" t="s">
        <v>207</v>
      </c>
      <c r="T610" t="s">
        <v>228</v>
      </c>
      <c r="U610">
        <v>2.4816297518005438E-2</v>
      </c>
      <c r="V610" t="s">
        <v>165</v>
      </c>
    </row>
    <row r="611" spans="19:22" x14ac:dyDescent="0.45">
      <c r="S611" t="s">
        <v>207</v>
      </c>
      <c r="T611" t="s">
        <v>167</v>
      </c>
      <c r="U611">
        <v>3.0652228995869342E-2</v>
      </c>
      <c r="V611" t="s">
        <v>165</v>
      </c>
    </row>
    <row r="612" spans="19:22" x14ac:dyDescent="0.45">
      <c r="S612" t="s">
        <v>207</v>
      </c>
      <c r="T612" t="s">
        <v>168</v>
      </c>
      <c r="U612">
        <v>3.2050770497864249E-2</v>
      </c>
      <c r="V612" t="s">
        <v>165</v>
      </c>
    </row>
    <row r="613" spans="19:22" x14ac:dyDescent="0.45">
      <c r="S613" t="s">
        <v>207</v>
      </c>
      <c r="T613" t="s">
        <v>229</v>
      </c>
      <c r="U613">
        <v>4.016560754045502E-3</v>
      </c>
      <c r="V613" t="s">
        <v>165</v>
      </c>
    </row>
    <row r="614" spans="19:22" x14ac:dyDescent="0.45">
      <c r="S614" t="s">
        <v>207</v>
      </c>
      <c r="T614" t="s">
        <v>230</v>
      </c>
      <c r="U614">
        <v>3.9698386980827902E-3</v>
      </c>
      <c r="V614" t="s">
        <v>165</v>
      </c>
    </row>
    <row r="615" spans="19:22" x14ac:dyDescent="0.45">
      <c r="S615" t="s">
        <v>207</v>
      </c>
      <c r="T615" t="s">
        <v>231</v>
      </c>
      <c r="U615">
        <v>2.370709992141088E-2</v>
      </c>
      <c r="V615" t="s">
        <v>165</v>
      </c>
    </row>
    <row r="616" spans="19:22" x14ac:dyDescent="0.45">
      <c r="S616" t="s">
        <v>207</v>
      </c>
      <c r="T616" t="s">
        <v>169</v>
      </c>
      <c r="U616">
        <v>3.2659562923000277E-2</v>
      </c>
      <c r="V616" t="s">
        <v>165</v>
      </c>
    </row>
    <row r="617" spans="19:22" x14ac:dyDescent="0.45">
      <c r="S617" t="s">
        <v>207</v>
      </c>
      <c r="T617" t="s">
        <v>170</v>
      </c>
      <c r="U617">
        <v>3.2794834714282142E-2</v>
      </c>
      <c r="V617" t="s">
        <v>165</v>
      </c>
    </row>
    <row r="618" spans="19:22" x14ac:dyDescent="0.45">
      <c r="S618" t="s">
        <v>207</v>
      </c>
      <c r="T618" t="s">
        <v>232</v>
      </c>
      <c r="U618">
        <v>4.2006010178084821E-3</v>
      </c>
      <c r="V618" t="s">
        <v>165</v>
      </c>
    </row>
    <row r="619" spans="19:22" x14ac:dyDescent="0.45">
      <c r="S619" t="s">
        <v>207</v>
      </c>
      <c r="T619" t="s">
        <v>233</v>
      </c>
      <c r="U619">
        <v>4.2555919988217158E-3</v>
      </c>
      <c r="V619" t="s">
        <v>165</v>
      </c>
    </row>
    <row r="620" spans="19:22" x14ac:dyDescent="0.45">
      <c r="S620" t="s">
        <v>207</v>
      </c>
      <c r="T620" t="s">
        <v>234</v>
      </c>
      <c r="U620">
        <v>2.6034391978488752E-2</v>
      </c>
      <c r="V620" t="s">
        <v>165</v>
      </c>
    </row>
    <row r="621" spans="19:22" x14ac:dyDescent="0.45">
      <c r="S621" t="s">
        <v>207</v>
      </c>
      <c r="T621" t="s">
        <v>235</v>
      </c>
      <c r="U621">
        <v>6.1345488118555086E-2</v>
      </c>
      <c r="V621" t="s">
        <v>165</v>
      </c>
    </row>
    <row r="622" spans="19:22" x14ac:dyDescent="0.45">
      <c r="S622" t="s">
        <v>207</v>
      </c>
      <c r="T622" t="s">
        <v>236</v>
      </c>
      <c r="U622">
        <v>5.9435323910511262E-2</v>
      </c>
      <c r="V622" t="s">
        <v>165</v>
      </c>
    </row>
    <row r="623" spans="19:22" x14ac:dyDescent="0.45">
      <c r="S623" t="s">
        <v>207</v>
      </c>
      <c r="T623" t="s">
        <v>237</v>
      </c>
      <c r="U623">
        <v>7.6289921664803688E-3</v>
      </c>
      <c r="V623" t="s">
        <v>165</v>
      </c>
    </row>
    <row r="624" spans="19:22" x14ac:dyDescent="0.45">
      <c r="S624" t="s">
        <v>207</v>
      </c>
      <c r="T624" t="s">
        <v>238</v>
      </c>
      <c r="U624">
        <v>7.7075930867520825E-3</v>
      </c>
      <c r="V624" t="s">
        <v>165</v>
      </c>
    </row>
    <row r="625" spans="19:22" x14ac:dyDescent="0.45">
      <c r="S625" t="s">
        <v>207</v>
      </c>
      <c r="T625" t="s">
        <v>239</v>
      </c>
      <c r="U625">
        <v>4.5582963175447189E-2</v>
      </c>
      <c r="V625" t="s">
        <v>165</v>
      </c>
    </row>
    <row r="626" spans="19:22" x14ac:dyDescent="0.45">
      <c r="S626" t="s">
        <v>207</v>
      </c>
      <c r="T626" t="s">
        <v>240</v>
      </c>
      <c r="U626">
        <v>0.11172163769715969</v>
      </c>
      <c r="V626" t="s">
        <v>165</v>
      </c>
    </row>
    <row r="627" spans="19:22" x14ac:dyDescent="0.45">
      <c r="S627" t="s">
        <v>207</v>
      </c>
      <c r="T627" t="s">
        <v>241</v>
      </c>
      <c r="U627">
        <v>0.11346610725163229</v>
      </c>
      <c r="V627" t="s">
        <v>165</v>
      </c>
    </row>
    <row r="628" spans="19:22" x14ac:dyDescent="0.45">
      <c r="S628" t="s">
        <v>207</v>
      </c>
      <c r="T628" t="s">
        <v>242</v>
      </c>
      <c r="U628">
        <v>1.4251456521762591E-2</v>
      </c>
      <c r="V628" t="s">
        <v>165</v>
      </c>
    </row>
    <row r="629" spans="19:22" x14ac:dyDescent="0.45">
      <c r="S629" t="s">
        <v>207</v>
      </c>
      <c r="T629" t="s">
        <v>243</v>
      </c>
      <c r="U629">
        <v>1.4208599994914767E-2</v>
      </c>
      <c r="V629" t="s">
        <v>165</v>
      </c>
    </row>
    <row r="630" spans="19:22" x14ac:dyDescent="0.45">
      <c r="S630" t="s">
        <v>207</v>
      </c>
      <c r="T630" t="s">
        <v>244</v>
      </c>
      <c r="U630">
        <v>8.3832423847236312E-2</v>
      </c>
      <c r="V630" t="s">
        <v>165</v>
      </c>
    </row>
    <row r="631" spans="19:22" x14ac:dyDescent="0.45">
      <c r="S631" t="s">
        <v>207</v>
      </c>
      <c r="T631" t="s">
        <v>245</v>
      </c>
      <c r="U631">
        <v>2.5972352170555393E-2</v>
      </c>
      <c r="V631" t="s">
        <v>165</v>
      </c>
    </row>
    <row r="632" spans="19:22" x14ac:dyDescent="0.45">
      <c r="S632" t="s">
        <v>207</v>
      </c>
      <c r="T632" t="s">
        <v>246</v>
      </c>
      <c r="U632">
        <v>2.4894536369796667E-2</v>
      </c>
      <c r="V632" t="s">
        <v>165</v>
      </c>
    </row>
    <row r="633" spans="19:22" x14ac:dyDescent="0.45">
      <c r="S633" t="s">
        <v>207</v>
      </c>
      <c r="T633" t="s">
        <v>247</v>
      </c>
      <c r="U633">
        <v>3.0726682524567124E-3</v>
      </c>
      <c r="V633" t="s">
        <v>165</v>
      </c>
    </row>
    <row r="634" spans="19:22" x14ac:dyDescent="0.45">
      <c r="S634" t="s">
        <v>207</v>
      </c>
      <c r="T634" t="s">
        <v>248</v>
      </c>
      <c r="U634">
        <v>3.0164106758219945E-3</v>
      </c>
      <c r="V634" t="s">
        <v>165</v>
      </c>
    </row>
    <row r="635" spans="19:22" x14ac:dyDescent="0.45">
      <c r="S635" t="s">
        <v>207</v>
      </c>
      <c r="T635" t="s">
        <v>249</v>
      </c>
      <c r="U635">
        <v>1.8643262479106425E-2</v>
      </c>
      <c r="V635" t="s">
        <v>165</v>
      </c>
    </row>
    <row r="636" spans="19:22" x14ac:dyDescent="0.45">
      <c r="S636" t="s">
        <v>207</v>
      </c>
      <c r="T636" t="s">
        <v>250</v>
      </c>
      <c r="U636">
        <v>3.442101656667234E-2</v>
      </c>
      <c r="V636" t="s">
        <v>165</v>
      </c>
    </row>
    <row r="637" spans="19:22" x14ac:dyDescent="0.45">
      <c r="S637" t="s">
        <v>207</v>
      </c>
      <c r="T637" t="s">
        <v>251</v>
      </c>
      <c r="U637">
        <v>3.7200880652052376E-2</v>
      </c>
      <c r="V637" t="s">
        <v>165</v>
      </c>
    </row>
    <row r="638" spans="19:22" x14ac:dyDescent="0.45">
      <c r="S638" t="s">
        <v>207</v>
      </c>
      <c r="T638" t="s">
        <v>252</v>
      </c>
      <c r="U638">
        <v>4.6261405025786262E-3</v>
      </c>
      <c r="V638" t="s">
        <v>165</v>
      </c>
    </row>
    <row r="639" spans="19:22" x14ac:dyDescent="0.45">
      <c r="S639" t="s">
        <v>207</v>
      </c>
      <c r="T639" t="s">
        <v>253</v>
      </c>
      <c r="U639">
        <v>4.6899004052996449E-3</v>
      </c>
      <c r="V639" t="s">
        <v>165</v>
      </c>
    </row>
    <row r="640" spans="19:22" x14ac:dyDescent="0.45">
      <c r="S640" t="s">
        <v>207</v>
      </c>
      <c r="T640" t="s">
        <v>254</v>
      </c>
      <c r="U640">
        <v>2.820635213958525E-2</v>
      </c>
      <c r="V640" t="s">
        <v>165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7B55-B479-4A12-9570-F57AE5EC0973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162</v>
      </c>
      <c r="L10" t="s">
        <v>30</v>
      </c>
      <c r="N10" t="s">
        <v>13</v>
      </c>
      <c r="O10" t="s">
        <v>121</v>
      </c>
      <c r="P10" t="s">
        <v>162</v>
      </c>
      <c r="Q10" t="s">
        <v>30</v>
      </c>
      <c r="S10" t="s">
        <v>13</v>
      </c>
      <c r="T10" t="s">
        <v>121</v>
      </c>
      <c r="U10" t="s">
        <v>162</v>
      </c>
      <c r="V10" t="s">
        <v>30</v>
      </c>
      <c r="X10" t="s">
        <v>208</v>
      </c>
      <c r="Y10" t="s">
        <v>162</v>
      </c>
      <c r="Z10" t="s">
        <v>121</v>
      </c>
      <c r="AA10" t="s">
        <v>13</v>
      </c>
      <c r="AC10" t="s">
        <v>13</v>
      </c>
      <c r="AD10" t="s">
        <v>121</v>
      </c>
      <c r="AE10" t="s">
        <v>162</v>
      </c>
      <c r="AG10" t="s">
        <v>13</v>
      </c>
      <c r="AH10" t="s">
        <v>121</v>
      </c>
      <c r="AI10" t="s">
        <v>214</v>
      </c>
      <c r="AK10" t="s">
        <v>47</v>
      </c>
      <c r="AL10" t="s">
        <v>121</v>
      </c>
      <c r="AM10" t="s">
        <v>215</v>
      </c>
      <c r="AN10" t="s">
        <v>216</v>
      </c>
    </row>
    <row r="11" spans="1:40" x14ac:dyDescent="0.45">
      <c r="A11" t="str">
        <f>IFERROR(IF(Veda!D5=A10,"ok","x"),"")</f>
        <v>ok</v>
      </c>
      <c r="C11" t="s">
        <v>257</v>
      </c>
      <c r="D11" t="s">
        <v>156</v>
      </c>
      <c r="E11" t="s">
        <v>258</v>
      </c>
      <c r="F11" t="s">
        <v>257</v>
      </c>
      <c r="G11" t="s">
        <v>156</v>
      </c>
      <c r="I11" t="s">
        <v>163</v>
      </c>
      <c r="J11" t="s">
        <v>259</v>
      </c>
      <c r="K11">
        <v>1.0000000000000038</v>
      </c>
      <c r="L11" t="s">
        <v>165</v>
      </c>
      <c r="N11" t="s">
        <v>180</v>
      </c>
      <c r="O11" t="s">
        <v>259</v>
      </c>
      <c r="P11">
        <v>0.99999999999999667</v>
      </c>
      <c r="Q11" t="s">
        <v>165</v>
      </c>
      <c r="S11" t="s">
        <v>190</v>
      </c>
      <c r="T11" t="s">
        <v>259</v>
      </c>
      <c r="U11">
        <v>1.0000000000000002</v>
      </c>
      <c r="V11" t="s">
        <v>165</v>
      </c>
      <c r="X11">
        <v>1</v>
      </c>
      <c r="Y11">
        <v>1.0000000000000002</v>
      </c>
      <c r="Z11" t="s">
        <v>259</v>
      </c>
      <c r="AA11" t="s">
        <v>25</v>
      </c>
      <c r="AC11" t="s">
        <v>22</v>
      </c>
      <c r="AD11" t="s">
        <v>259</v>
      </c>
      <c r="AE11">
        <v>1</v>
      </c>
      <c r="AG11" t="s">
        <v>96</v>
      </c>
      <c r="AH11" t="s">
        <v>259</v>
      </c>
      <c r="AI11">
        <v>0.36331537477835463</v>
      </c>
      <c r="AK11">
        <v>2020</v>
      </c>
      <c r="AL11" t="s">
        <v>257</v>
      </c>
      <c r="AM11">
        <v>0.43695670086103905</v>
      </c>
      <c r="AN11" t="s">
        <v>217</v>
      </c>
    </row>
    <row r="12" spans="1:40" x14ac:dyDescent="0.45">
      <c r="I12" t="s">
        <v>171</v>
      </c>
      <c r="J12" t="s">
        <v>259</v>
      </c>
      <c r="K12">
        <v>0.99999999999999822</v>
      </c>
      <c r="L12" t="s">
        <v>165</v>
      </c>
      <c r="N12" t="s">
        <v>181</v>
      </c>
      <c r="O12" t="s">
        <v>259</v>
      </c>
      <c r="P12">
        <v>1.0000000000000011</v>
      </c>
      <c r="Q12" t="s">
        <v>165</v>
      </c>
      <c r="S12" t="s">
        <v>191</v>
      </c>
      <c r="T12" t="s">
        <v>259</v>
      </c>
      <c r="U12">
        <v>0.999999999999998</v>
      </c>
      <c r="V12" t="s">
        <v>165</v>
      </c>
      <c r="AC12" t="s">
        <v>19</v>
      </c>
      <c r="AD12" t="s">
        <v>259</v>
      </c>
      <c r="AE12">
        <v>1</v>
      </c>
      <c r="AK12">
        <v>2021</v>
      </c>
      <c r="AL12" t="s">
        <v>257</v>
      </c>
      <c r="AM12">
        <v>0.35353373727029647</v>
      </c>
      <c r="AN12" t="s">
        <v>217</v>
      </c>
    </row>
    <row r="13" spans="1:40" x14ac:dyDescent="0.45">
      <c r="I13" t="s">
        <v>172</v>
      </c>
      <c r="J13" t="s">
        <v>259</v>
      </c>
      <c r="K13">
        <v>0.99999999999999933</v>
      </c>
      <c r="L13" t="s">
        <v>165</v>
      </c>
      <c r="N13" t="s">
        <v>182</v>
      </c>
      <c r="O13" t="s">
        <v>259</v>
      </c>
      <c r="P13">
        <v>0.99999999999999745</v>
      </c>
      <c r="Q13" t="s">
        <v>165</v>
      </c>
      <c r="S13" t="s">
        <v>192</v>
      </c>
      <c r="T13" t="s">
        <v>259</v>
      </c>
      <c r="U13">
        <v>0.99999999999999734</v>
      </c>
      <c r="V13" t="s">
        <v>165</v>
      </c>
      <c r="AK13">
        <v>2022</v>
      </c>
      <c r="AL13" t="s">
        <v>257</v>
      </c>
      <c r="AM13">
        <v>0.32515414319849806</v>
      </c>
      <c r="AN13" t="s">
        <v>217</v>
      </c>
    </row>
    <row r="14" spans="1:40" x14ac:dyDescent="0.45">
      <c r="I14" t="s">
        <v>173</v>
      </c>
      <c r="J14" t="s">
        <v>259</v>
      </c>
      <c r="K14">
        <v>0.99999999999999956</v>
      </c>
      <c r="L14" t="s">
        <v>165</v>
      </c>
      <c r="N14" t="s">
        <v>183</v>
      </c>
      <c r="O14" t="s">
        <v>259</v>
      </c>
      <c r="P14">
        <v>1.0000000000000027</v>
      </c>
      <c r="Q14" t="s">
        <v>165</v>
      </c>
      <c r="S14" t="s">
        <v>193</v>
      </c>
      <c r="T14" t="s">
        <v>259</v>
      </c>
      <c r="U14">
        <v>0.99999999999999789</v>
      </c>
      <c r="V14" t="s">
        <v>165</v>
      </c>
      <c r="AK14">
        <v>2025</v>
      </c>
      <c r="AL14" t="s">
        <v>257</v>
      </c>
      <c r="AM14">
        <v>0.40372499999999995</v>
      </c>
      <c r="AN14" t="s">
        <v>217</v>
      </c>
    </row>
    <row r="15" spans="1:40" x14ac:dyDescent="0.45">
      <c r="I15" t="s">
        <v>174</v>
      </c>
      <c r="J15" t="s">
        <v>259</v>
      </c>
      <c r="K15">
        <v>1.0000000000000004</v>
      </c>
      <c r="L15" t="s">
        <v>165</v>
      </c>
      <c r="N15" t="s">
        <v>184</v>
      </c>
      <c r="O15" t="s">
        <v>259</v>
      </c>
      <c r="P15">
        <v>0.99999999999999911</v>
      </c>
      <c r="Q15" t="s">
        <v>165</v>
      </c>
      <c r="S15" t="s">
        <v>194</v>
      </c>
      <c r="T15" t="s">
        <v>259</v>
      </c>
      <c r="U15">
        <v>1.0000000000000042</v>
      </c>
      <c r="V15" t="s">
        <v>165</v>
      </c>
      <c r="AK15">
        <v>2026</v>
      </c>
      <c r="AL15" t="s">
        <v>257</v>
      </c>
      <c r="AM15">
        <v>0.39533333333333337</v>
      </c>
      <c r="AN15" t="s">
        <v>217</v>
      </c>
    </row>
    <row r="16" spans="1:40" x14ac:dyDescent="0.45">
      <c r="I16" t="s">
        <v>175</v>
      </c>
      <c r="J16" t="s">
        <v>259</v>
      </c>
      <c r="K16">
        <v>1.000000000000002</v>
      </c>
      <c r="L16" t="s">
        <v>165</v>
      </c>
      <c r="N16" t="s">
        <v>185</v>
      </c>
      <c r="O16" t="s">
        <v>259</v>
      </c>
      <c r="P16">
        <v>0.99999999999999933</v>
      </c>
      <c r="Q16" t="s">
        <v>165</v>
      </c>
      <c r="S16" t="s">
        <v>195</v>
      </c>
      <c r="T16" t="s">
        <v>259</v>
      </c>
      <c r="U16">
        <v>1.0000000000000071</v>
      </c>
      <c r="V16" t="s">
        <v>165</v>
      </c>
      <c r="AK16">
        <v>2027</v>
      </c>
      <c r="AL16" t="s">
        <v>257</v>
      </c>
      <c r="AM16">
        <v>0.34383333333333338</v>
      </c>
      <c r="AN16" t="s">
        <v>217</v>
      </c>
    </row>
    <row r="17" spans="9:40" x14ac:dyDescent="0.45">
      <c r="I17" t="s">
        <v>176</v>
      </c>
      <c r="J17" t="s">
        <v>259</v>
      </c>
      <c r="K17">
        <v>0.99999999999999623</v>
      </c>
      <c r="L17" t="s">
        <v>165</v>
      </c>
      <c r="N17" t="s">
        <v>186</v>
      </c>
      <c r="O17" t="s">
        <v>259</v>
      </c>
      <c r="P17">
        <v>1.0000000000000022</v>
      </c>
      <c r="Q17" t="s">
        <v>165</v>
      </c>
      <c r="S17" t="s">
        <v>196</v>
      </c>
      <c r="T17" t="s">
        <v>259</v>
      </c>
      <c r="U17">
        <v>1.0000000000000009</v>
      </c>
      <c r="V17" t="s">
        <v>165</v>
      </c>
      <c r="AK17">
        <v>2028</v>
      </c>
      <c r="AL17" t="s">
        <v>257</v>
      </c>
      <c r="AM17">
        <v>0.34376666666666672</v>
      </c>
      <c r="AN17" t="s">
        <v>217</v>
      </c>
    </row>
    <row r="18" spans="9:40" x14ac:dyDescent="0.45">
      <c r="I18" t="s">
        <v>177</v>
      </c>
      <c r="J18" t="s">
        <v>259</v>
      </c>
      <c r="K18">
        <v>1.0000000000000018</v>
      </c>
      <c r="L18" t="s">
        <v>165</v>
      </c>
      <c r="N18" t="s">
        <v>187</v>
      </c>
      <c r="O18" t="s">
        <v>259</v>
      </c>
      <c r="P18">
        <v>0.99999999999999833</v>
      </c>
      <c r="Q18" t="s">
        <v>165</v>
      </c>
      <c r="S18" t="s">
        <v>197</v>
      </c>
      <c r="T18" t="s">
        <v>259</v>
      </c>
      <c r="U18">
        <v>1.0000000000000007</v>
      </c>
      <c r="V18" t="s">
        <v>165</v>
      </c>
      <c r="AK18">
        <v>2029</v>
      </c>
      <c r="AL18" t="s">
        <v>257</v>
      </c>
      <c r="AM18">
        <v>0.35038333333333332</v>
      </c>
      <c r="AN18" t="s">
        <v>217</v>
      </c>
    </row>
    <row r="19" spans="9:40" x14ac:dyDescent="0.45">
      <c r="I19" t="s">
        <v>178</v>
      </c>
      <c r="J19" t="s">
        <v>259</v>
      </c>
      <c r="K19">
        <v>1.000000000000002</v>
      </c>
      <c r="L19" t="s">
        <v>165</v>
      </c>
      <c r="N19" t="s">
        <v>188</v>
      </c>
      <c r="O19" t="s">
        <v>259</v>
      </c>
      <c r="P19">
        <v>0.99999999999999933</v>
      </c>
      <c r="Q19" t="s">
        <v>165</v>
      </c>
      <c r="S19" t="s">
        <v>198</v>
      </c>
      <c r="T19" t="s">
        <v>259</v>
      </c>
      <c r="U19">
        <v>1.0000000000000031</v>
      </c>
      <c r="V19" t="s">
        <v>165</v>
      </c>
      <c r="AK19">
        <v>2030</v>
      </c>
      <c r="AL19" t="s">
        <v>257</v>
      </c>
      <c r="AM19">
        <v>0.33291666666666664</v>
      </c>
      <c r="AN19" t="s">
        <v>217</v>
      </c>
    </row>
    <row r="20" spans="9:40" x14ac:dyDescent="0.45">
      <c r="I20" t="s">
        <v>179</v>
      </c>
      <c r="J20" t="s">
        <v>259</v>
      </c>
      <c r="K20">
        <v>0.99999999999999878</v>
      </c>
      <c r="L20" t="s">
        <v>165</v>
      </c>
      <c r="N20" t="s">
        <v>189</v>
      </c>
      <c r="O20" t="s">
        <v>259</v>
      </c>
      <c r="P20">
        <v>0.99999999999999922</v>
      </c>
      <c r="Q20" t="s">
        <v>165</v>
      </c>
      <c r="S20" t="s">
        <v>199</v>
      </c>
      <c r="T20" t="s">
        <v>259</v>
      </c>
      <c r="U20">
        <v>0.99999999999999889</v>
      </c>
      <c r="V20" t="s">
        <v>165</v>
      </c>
      <c r="AK20">
        <v>2031</v>
      </c>
      <c r="AL20" t="s">
        <v>257</v>
      </c>
      <c r="AM20">
        <v>0.34210833333333329</v>
      </c>
      <c r="AN20" t="s">
        <v>217</v>
      </c>
    </row>
    <row r="21" spans="9:40" x14ac:dyDescent="0.45">
      <c r="S21" t="s">
        <v>200</v>
      </c>
      <c r="T21" t="s">
        <v>259</v>
      </c>
      <c r="U21">
        <v>1.000000000000002</v>
      </c>
      <c r="V21" t="s">
        <v>165</v>
      </c>
      <c r="AK21">
        <v>2032</v>
      </c>
      <c r="AL21" t="s">
        <v>257</v>
      </c>
      <c r="AM21">
        <v>0.33720833333333333</v>
      </c>
      <c r="AN21" t="s">
        <v>217</v>
      </c>
    </row>
    <row r="22" spans="9:40" x14ac:dyDescent="0.45">
      <c r="S22" t="s">
        <v>201</v>
      </c>
      <c r="T22" t="s">
        <v>259</v>
      </c>
      <c r="U22">
        <v>1.0000000000000009</v>
      </c>
      <c r="V22" t="s">
        <v>165</v>
      </c>
      <c r="AK22">
        <v>2033</v>
      </c>
      <c r="AL22" t="s">
        <v>257</v>
      </c>
      <c r="AM22">
        <v>0.35726666666666668</v>
      </c>
      <c r="AN22" t="s">
        <v>217</v>
      </c>
    </row>
    <row r="23" spans="9:40" x14ac:dyDescent="0.45">
      <c r="S23" t="s">
        <v>202</v>
      </c>
      <c r="T23" t="s">
        <v>259</v>
      </c>
      <c r="U23">
        <v>0.99999999999999989</v>
      </c>
      <c r="V23" t="s">
        <v>165</v>
      </c>
      <c r="AK23">
        <v>2034</v>
      </c>
      <c r="AL23" t="s">
        <v>257</v>
      </c>
      <c r="AM23">
        <v>0.34552500000000003</v>
      </c>
      <c r="AN23" t="s">
        <v>217</v>
      </c>
    </row>
    <row r="24" spans="9:40" x14ac:dyDescent="0.45">
      <c r="S24" t="s">
        <v>203</v>
      </c>
      <c r="T24" t="s">
        <v>259</v>
      </c>
      <c r="U24">
        <v>0.99999999999999822</v>
      </c>
      <c r="V24" t="s">
        <v>165</v>
      </c>
      <c r="AK24">
        <v>2035</v>
      </c>
      <c r="AL24" t="s">
        <v>257</v>
      </c>
      <c r="AM24">
        <v>0.34895000000000004</v>
      </c>
      <c r="AN24" t="s">
        <v>217</v>
      </c>
    </row>
    <row r="25" spans="9:40" x14ac:dyDescent="0.45">
      <c r="S25" t="s">
        <v>204</v>
      </c>
      <c r="T25" t="s">
        <v>259</v>
      </c>
      <c r="U25">
        <v>0.99999999999999856</v>
      </c>
      <c r="V25" t="s">
        <v>165</v>
      </c>
      <c r="AK25">
        <v>2036</v>
      </c>
      <c r="AL25" t="s">
        <v>257</v>
      </c>
      <c r="AM25">
        <v>0.29827500000000001</v>
      </c>
      <c r="AN25" t="s">
        <v>217</v>
      </c>
    </row>
    <row r="26" spans="9:40" x14ac:dyDescent="0.45">
      <c r="S26" t="s">
        <v>205</v>
      </c>
      <c r="T26" t="s">
        <v>259</v>
      </c>
      <c r="U26">
        <v>1.0000000000000009</v>
      </c>
      <c r="V26" t="s">
        <v>165</v>
      </c>
      <c r="AK26">
        <v>2037</v>
      </c>
      <c r="AL26" t="s">
        <v>257</v>
      </c>
      <c r="AM26">
        <v>0.28683333333333333</v>
      </c>
      <c r="AN26" t="s">
        <v>217</v>
      </c>
    </row>
    <row r="27" spans="9:40" x14ac:dyDescent="0.45">
      <c r="S27" t="s">
        <v>206</v>
      </c>
      <c r="T27" t="s">
        <v>259</v>
      </c>
      <c r="U27">
        <v>0.999999999999998</v>
      </c>
      <c r="V27" t="s">
        <v>165</v>
      </c>
      <c r="AK27">
        <v>2038</v>
      </c>
      <c r="AL27" t="s">
        <v>257</v>
      </c>
      <c r="AM27">
        <v>0.29186666666666672</v>
      </c>
      <c r="AN27" t="s">
        <v>217</v>
      </c>
    </row>
    <row r="28" spans="9:40" x14ac:dyDescent="0.45">
      <c r="S28" t="s">
        <v>207</v>
      </c>
      <c r="T28" t="s">
        <v>259</v>
      </c>
      <c r="U28">
        <v>0.99999999999999745</v>
      </c>
      <c r="V28" t="s">
        <v>165</v>
      </c>
      <c r="AK28">
        <v>2039</v>
      </c>
      <c r="AL28" t="s">
        <v>257</v>
      </c>
      <c r="AM28">
        <v>0.3465333333333333</v>
      </c>
      <c r="AN28" t="s">
        <v>217</v>
      </c>
    </row>
    <row r="29" spans="9:40" x14ac:dyDescent="0.45">
      <c r="AK29">
        <v>2040</v>
      </c>
      <c r="AL29" t="s">
        <v>257</v>
      </c>
      <c r="AM29">
        <v>0.34137499999999998</v>
      </c>
      <c r="AN29" t="s">
        <v>217</v>
      </c>
    </row>
    <row r="30" spans="9:40" x14ac:dyDescent="0.45">
      <c r="AK30">
        <v>2041</v>
      </c>
      <c r="AL30" t="s">
        <v>257</v>
      </c>
      <c r="AM30">
        <v>0.34489166666666665</v>
      </c>
      <c r="AN30" t="s">
        <v>217</v>
      </c>
    </row>
    <row r="31" spans="9:40" x14ac:dyDescent="0.45">
      <c r="AK31">
        <v>2042</v>
      </c>
      <c r="AL31" t="s">
        <v>257</v>
      </c>
      <c r="AM31">
        <v>0.33716666666666667</v>
      </c>
      <c r="AN31" t="s">
        <v>217</v>
      </c>
    </row>
    <row r="32" spans="9:40" x14ac:dyDescent="0.45">
      <c r="AK32">
        <v>2043</v>
      </c>
      <c r="AL32" t="s">
        <v>257</v>
      </c>
      <c r="AM32">
        <v>0.33718333333333333</v>
      </c>
      <c r="AN32" t="s">
        <v>217</v>
      </c>
    </row>
    <row r="33" spans="37:40" x14ac:dyDescent="0.45">
      <c r="AK33">
        <v>2044</v>
      </c>
      <c r="AL33" t="s">
        <v>257</v>
      </c>
      <c r="AM33">
        <v>0.34984166666666666</v>
      </c>
      <c r="AN33" t="s">
        <v>217</v>
      </c>
    </row>
    <row r="34" spans="37:40" x14ac:dyDescent="0.45">
      <c r="AK34">
        <v>2045</v>
      </c>
      <c r="AL34" t="s">
        <v>257</v>
      </c>
      <c r="AM34">
        <v>0.35296666666666665</v>
      </c>
      <c r="AN34" t="s">
        <v>217</v>
      </c>
    </row>
    <row r="35" spans="37:40" x14ac:dyDescent="0.45">
      <c r="AK35">
        <v>2046</v>
      </c>
      <c r="AL35" t="s">
        <v>257</v>
      </c>
      <c r="AM35">
        <v>0.34638333333333332</v>
      </c>
      <c r="AN35" t="s">
        <v>217</v>
      </c>
    </row>
    <row r="36" spans="37:40" x14ac:dyDescent="0.45">
      <c r="AK36">
        <v>2047</v>
      </c>
      <c r="AL36" t="s">
        <v>257</v>
      </c>
      <c r="AM36">
        <v>0.34904166666666669</v>
      </c>
      <c r="AN36" t="s">
        <v>217</v>
      </c>
    </row>
    <row r="37" spans="37:40" x14ac:dyDescent="0.45">
      <c r="AK37">
        <v>2048</v>
      </c>
      <c r="AL37" t="s">
        <v>257</v>
      </c>
      <c r="AM37">
        <v>0.35336666666666666</v>
      </c>
      <c r="AN37" t="s">
        <v>217</v>
      </c>
    </row>
    <row r="38" spans="37:40" x14ac:dyDescent="0.45">
      <c r="AK38">
        <v>2049</v>
      </c>
      <c r="AL38" t="s">
        <v>257</v>
      </c>
      <c r="AM38">
        <v>0.34242499999999998</v>
      </c>
      <c r="AN38" t="s">
        <v>217</v>
      </c>
    </row>
    <row r="39" spans="37:40" x14ac:dyDescent="0.45">
      <c r="AK39">
        <v>2050</v>
      </c>
      <c r="AL39" t="s">
        <v>257</v>
      </c>
      <c r="AM39">
        <v>0.34539999999999998</v>
      </c>
      <c r="AN39" t="s">
        <v>217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2CA0C-080E-4958-BF07-CC43261B0EBA}">
  <dimension ref="A9:AN22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162</v>
      </c>
      <c r="L10" t="s">
        <v>30</v>
      </c>
      <c r="N10" t="s">
        <v>13</v>
      </c>
      <c r="O10" t="s">
        <v>121</v>
      </c>
      <c r="P10" t="s">
        <v>162</v>
      </c>
      <c r="Q10" t="s">
        <v>30</v>
      </c>
      <c r="S10" t="s">
        <v>13</v>
      </c>
      <c r="T10" t="s">
        <v>121</v>
      </c>
      <c r="U10" t="s">
        <v>162</v>
      </c>
      <c r="V10" t="s">
        <v>30</v>
      </c>
      <c r="X10" t="s">
        <v>208</v>
      </c>
      <c r="Y10" t="s">
        <v>162</v>
      </c>
      <c r="Z10" t="s">
        <v>121</v>
      </c>
      <c r="AA10" t="s">
        <v>13</v>
      </c>
      <c r="AC10" t="s">
        <v>13</v>
      </c>
      <c r="AD10" t="s">
        <v>121</v>
      </c>
      <c r="AE10" t="s">
        <v>162</v>
      </c>
      <c r="AG10" t="s">
        <v>13</v>
      </c>
      <c r="AH10" t="s">
        <v>121</v>
      </c>
      <c r="AI10" t="s">
        <v>214</v>
      </c>
      <c r="AK10" t="s">
        <v>47</v>
      </c>
      <c r="AL10" t="s">
        <v>121</v>
      </c>
      <c r="AM10" t="s">
        <v>215</v>
      </c>
      <c r="AN10" t="s">
        <v>216</v>
      </c>
    </row>
    <row r="11" spans="1:40" x14ac:dyDescent="0.45">
      <c r="A11" t="str">
        <f>IFERROR(IF(Veda!D5=A10,"ok","x"),"")</f>
        <v>x</v>
      </c>
      <c r="C11" t="s">
        <v>260</v>
      </c>
      <c r="D11" t="s">
        <v>156</v>
      </c>
      <c r="E11" t="s">
        <v>210</v>
      </c>
      <c r="F11" t="s">
        <v>261</v>
      </c>
      <c r="G11" t="s">
        <v>156</v>
      </c>
      <c r="I11" t="s">
        <v>163</v>
      </c>
      <c r="J11" t="s">
        <v>266</v>
      </c>
      <c r="K11">
        <v>0.15827609268867562</v>
      </c>
      <c r="L11" t="s">
        <v>165</v>
      </c>
      <c r="N11" t="s">
        <v>180</v>
      </c>
      <c r="O11" t="s">
        <v>266</v>
      </c>
      <c r="P11">
        <v>0.10933872367449946</v>
      </c>
      <c r="Q11" t="s">
        <v>165</v>
      </c>
      <c r="S11" t="s">
        <v>190</v>
      </c>
      <c r="T11" t="s">
        <v>266</v>
      </c>
      <c r="U11">
        <v>0.1067226283423614</v>
      </c>
      <c r="V11" t="s">
        <v>165</v>
      </c>
      <c r="X11">
        <v>0.11426940639269406</v>
      </c>
      <c r="Y11">
        <v>0.16087081189037786</v>
      </c>
      <c r="Z11" t="s">
        <v>266</v>
      </c>
      <c r="AA11" t="s">
        <v>25</v>
      </c>
      <c r="AC11" t="s">
        <v>22</v>
      </c>
      <c r="AD11" t="s">
        <v>266</v>
      </c>
      <c r="AE11">
        <v>0.11926696117784261</v>
      </c>
      <c r="AG11" t="s">
        <v>96</v>
      </c>
      <c r="AH11" t="s">
        <v>266</v>
      </c>
      <c r="AI11">
        <v>0.23973432258014515</v>
      </c>
      <c r="AK11">
        <v>2020</v>
      </c>
      <c r="AL11" t="s">
        <v>260</v>
      </c>
      <c r="AM11">
        <v>0.53514536041417771</v>
      </c>
      <c r="AN11" t="s">
        <v>217</v>
      </c>
    </row>
    <row r="12" spans="1:40" x14ac:dyDescent="0.45">
      <c r="C12" t="s">
        <v>262</v>
      </c>
      <c r="E12" t="s">
        <v>212</v>
      </c>
      <c r="G12" t="s">
        <v>156</v>
      </c>
      <c r="I12" t="s">
        <v>163</v>
      </c>
      <c r="J12" t="s">
        <v>267</v>
      </c>
      <c r="K12">
        <v>0</v>
      </c>
      <c r="L12" t="s">
        <v>165</v>
      </c>
      <c r="N12" t="s">
        <v>180</v>
      </c>
      <c r="O12" t="s">
        <v>267</v>
      </c>
      <c r="P12">
        <v>9.6473028784162668E-2</v>
      </c>
      <c r="Q12" t="s">
        <v>165</v>
      </c>
      <c r="S12" t="s">
        <v>190</v>
      </c>
      <c r="T12" t="s">
        <v>267</v>
      </c>
      <c r="U12">
        <v>0.10501139448116643</v>
      </c>
      <c r="V12" t="s">
        <v>165</v>
      </c>
      <c r="X12">
        <v>0.11426940639269406</v>
      </c>
      <c r="Y12">
        <v>5.2547713165767528E-2</v>
      </c>
      <c r="Z12" t="s">
        <v>267</v>
      </c>
      <c r="AA12" t="s">
        <v>25</v>
      </c>
      <c r="AC12" t="s">
        <v>22</v>
      </c>
      <c r="AD12" t="s">
        <v>267</v>
      </c>
      <c r="AE12">
        <v>9.8581693988397862E-2</v>
      </c>
      <c r="AG12" t="s">
        <v>96</v>
      </c>
      <c r="AH12" t="s">
        <v>267</v>
      </c>
      <c r="AI12">
        <v>0.45297702296740705</v>
      </c>
      <c r="AK12">
        <v>2020</v>
      </c>
      <c r="AL12" t="s">
        <v>262</v>
      </c>
      <c r="AM12">
        <v>0.30055256869773</v>
      </c>
      <c r="AN12" t="s">
        <v>217</v>
      </c>
    </row>
    <row r="13" spans="1:40" x14ac:dyDescent="0.45">
      <c r="C13" t="s">
        <v>263</v>
      </c>
      <c r="E13" t="s">
        <v>264</v>
      </c>
      <c r="G13" t="s">
        <v>156</v>
      </c>
      <c r="I13" t="s">
        <v>163</v>
      </c>
      <c r="J13" t="s">
        <v>268</v>
      </c>
      <c r="K13">
        <v>5.9605149846904898E-3</v>
      </c>
      <c r="L13" t="s">
        <v>165</v>
      </c>
      <c r="N13" t="s">
        <v>180</v>
      </c>
      <c r="O13" t="s">
        <v>268</v>
      </c>
      <c r="P13">
        <v>1.7969629117337255E-2</v>
      </c>
      <c r="Q13" t="s">
        <v>165</v>
      </c>
      <c r="S13" t="s">
        <v>190</v>
      </c>
      <c r="T13" t="s">
        <v>268</v>
      </c>
      <c r="U13">
        <v>1.8786504546400178E-2</v>
      </c>
      <c r="V13" t="s">
        <v>165</v>
      </c>
      <c r="X13">
        <v>2.0776255707762557E-2</v>
      </c>
      <c r="Y13">
        <v>3.5896543437005365E-2</v>
      </c>
      <c r="Z13" t="s">
        <v>268</v>
      </c>
      <c r="AA13" t="s">
        <v>25</v>
      </c>
      <c r="AC13" t="s">
        <v>22</v>
      </c>
      <c r="AD13" t="s">
        <v>268</v>
      </c>
      <c r="AE13">
        <v>2.2877724289866473E-2</v>
      </c>
      <c r="AG13" t="s">
        <v>96</v>
      </c>
      <c r="AH13" t="s">
        <v>268</v>
      </c>
      <c r="AI13">
        <v>0.20308990239035696</v>
      </c>
      <c r="AK13">
        <v>2020</v>
      </c>
      <c r="AL13" t="s">
        <v>263</v>
      </c>
      <c r="AM13">
        <v>0.22463659896455598</v>
      </c>
      <c r="AN13" t="s">
        <v>217</v>
      </c>
    </row>
    <row r="14" spans="1:40" x14ac:dyDescent="0.45">
      <c r="C14" t="s">
        <v>265</v>
      </c>
      <c r="I14" t="s">
        <v>163</v>
      </c>
      <c r="J14" t="s">
        <v>269</v>
      </c>
      <c r="K14">
        <v>0.29742204153196944</v>
      </c>
      <c r="L14" t="s">
        <v>165</v>
      </c>
      <c r="N14" t="s">
        <v>180</v>
      </c>
      <c r="O14" t="s">
        <v>269</v>
      </c>
      <c r="P14">
        <v>0.14308080085132036</v>
      </c>
      <c r="Q14" t="s">
        <v>165</v>
      </c>
      <c r="S14" t="s">
        <v>190</v>
      </c>
      <c r="T14" t="s">
        <v>269</v>
      </c>
      <c r="U14">
        <v>0.13019040764732473</v>
      </c>
      <c r="V14" t="s">
        <v>165</v>
      </c>
      <c r="X14">
        <v>0.11552511415525114</v>
      </c>
      <c r="Y14">
        <v>0.16263862301005233</v>
      </c>
      <c r="Z14" t="s">
        <v>269</v>
      </c>
      <c r="AA14" t="s">
        <v>25</v>
      </c>
      <c r="AC14" t="s">
        <v>22</v>
      </c>
      <c r="AD14" t="s">
        <v>269</v>
      </c>
      <c r="AE14">
        <v>0.13553448284218747</v>
      </c>
      <c r="AG14" t="s">
        <v>96</v>
      </c>
      <c r="AH14" t="s">
        <v>269</v>
      </c>
      <c r="AI14">
        <v>0.19966600975261506</v>
      </c>
      <c r="AK14">
        <v>2020</v>
      </c>
      <c r="AL14" t="s">
        <v>265</v>
      </c>
      <c r="AM14">
        <v>0.68749227536769253</v>
      </c>
      <c r="AN14" t="s">
        <v>217</v>
      </c>
    </row>
    <row r="15" spans="1:40" x14ac:dyDescent="0.45">
      <c r="I15" t="s">
        <v>163</v>
      </c>
      <c r="J15" t="s">
        <v>270</v>
      </c>
      <c r="K15">
        <v>8.1215767782301662E-3</v>
      </c>
      <c r="L15" t="s">
        <v>165</v>
      </c>
      <c r="N15" t="s">
        <v>180</v>
      </c>
      <c r="O15" t="s">
        <v>270</v>
      </c>
      <c r="P15">
        <v>0.12804187118339327</v>
      </c>
      <c r="Q15" t="s">
        <v>165</v>
      </c>
      <c r="S15" t="s">
        <v>190</v>
      </c>
      <c r="T15" t="s">
        <v>270</v>
      </c>
      <c r="U15">
        <v>0.13594992584876739</v>
      </c>
      <c r="V15" t="s">
        <v>165</v>
      </c>
      <c r="X15">
        <v>0.11552511415525114</v>
      </c>
      <c r="Y15">
        <v>5.3125160563193538E-2</v>
      </c>
      <c r="Z15" t="s">
        <v>270</v>
      </c>
      <c r="AA15" t="s">
        <v>25</v>
      </c>
      <c r="AC15" t="s">
        <v>22</v>
      </c>
      <c r="AD15" t="s">
        <v>270</v>
      </c>
      <c r="AE15">
        <v>0.10755032201896716</v>
      </c>
      <c r="AG15" t="s">
        <v>96</v>
      </c>
      <c r="AH15" t="s">
        <v>270</v>
      </c>
      <c r="AI15">
        <v>0.43740342997533577</v>
      </c>
      <c r="AK15">
        <v>2021</v>
      </c>
      <c r="AL15" t="s">
        <v>260</v>
      </c>
      <c r="AM15">
        <v>0.30428614097968937</v>
      </c>
      <c r="AN15" t="s">
        <v>217</v>
      </c>
    </row>
    <row r="16" spans="1:40" x14ac:dyDescent="0.45">
      <c r="I16" t="s">
        <v>163</v>
      </c>
      <c r="J16" t="s">
        <v>271</v>
      </c>
      <c r="K16">
        <v>3.0858335361058163E-2</v>
      </c>
      <c r="L16" t="s">
        <v>165</v>
      </c>
      <c r="N16" t="s">
        <v>180</v>
      </c>
      <c r="O16" t="s">
        <v>271</v>
      </c>
      <c r="P16">
        <v>2.4742356892450992E-2</v>
      </c>
      <c r="Q16" t="s">
        <v>165</v>
      </c>
      <c r="S16" t="s">
        <v>190</v>
      </c>
      <c r="T16" t="s">
        <v>271</v>
      </c>
      <c r="U16">
        <v>2.4740350433810222E-2</v>
      </c>
      <c r="V16" t="s">
        <v>165</v>
      </c>
      <c r="X16">
        <v>2.1004566210045664E-2</v>
      </c>
      <c r="Y16">
        <v>3.6291010947302131E-2</v>
      </c>
      <c r="Z16" t="s">
        <v>271</v>
      </c>
      <c r="AA16" t="s">
        <v>25</v>
      </c>
      <c r="AC16" t="s">
        <v>22</v>
      </c>
      <c r="AD16" t="s">
        <v>271</v>
      </c>
      <c r="AE16">
        <v>2.5768739865012727E-2</v>
      </c>
      <c r="AG16" t="s">
        <v>96</v>
      </c>
      <c r="AH16" t="s">
        <v>271</v>
      </c>
      <c r="AI16">
        <v>0.15819934499492994</v>
      </c>
      <c r="AK16">
        <v>2021</v>
      </c>
      <c r="AL16" t="s">
        <v>262</v>
      </c>
      <c r="AM16">
        <v>0.31984269215452016</v>
      </c>
      <c r="AN16" t="s">
        <v>217</v>
      </c>
    </row>
    <row r="17" spans="9:40" x14ac:dyDescent="0.45">
      <c r="I17" t="s">
        <v>163</v>
      </c>
      <c r="J17" t="s">
        <v>272</v>
      </c>
      <c r="K17">
        <v>0.33915812083078012</v>
      </c>
      <c r="L17" t="s">
        <v>165</v>
      </c>
      <c r="N17" t="s">
        <v>180</v>
      </c>
      <c r="O17" t="s">
        <v>272</v>
      </c>
      <c r="P17">
        <v>8.0484747990770919E-2</v>
      </c>
      <c r="Q17" t="s">
        <v>165</v>
      </c>
      <c r="S17" t="s">
        <v>190</v>
      </c>
      <c r="T17" t="s">
        <v>272</v>
      </c>
      <c r="U17">
        <v>8.0807930977446291E-2</v>
      </c>
      <c r="V17" t="s">
        <v>165</v>
      </c>
      <c r="X17">
        <v>0.11552511415525114</v>
      </c>
      <c r="Y17">
        <v>0.16263862301005233</v>
      </c>
      <c r="Z17" t="s">
        <v>272</v>
      </c>
      <c r="AA17" t="s">
        <v>25</v>
      </c>
      <c r="AC17" t="s">
        <v>22</v>
      </c>
      <c r="AD17" t="s">
        <v>272</v>
      </c>
      <c r="AE17">
        <v>0.10731030279688437</v>
      </c>
      <c r="AG17" t="s">
        <v>96</v>
      </c>
      <c r="AH17" t="s">
        <v>272</v>
      </c>
      <c r="AI17">
        <v>0.12352189164345151</v>
      </c>
      <c r="AK17">
        <v>2021</v>
      </c>
      <c r="AL17" t="s">
        <v>263</v>
      </c>
      <c r="AM17">
        <v>0.11262943050577452</v>
      </c>
      <c r="AN17" t="s">
        <v>217</v>
      </c>
    </row>
    <row r="18" spans="9:40" x14ac:dyDescent="0.45">
      <c r="I18" t="s">
        <v>163</v>
      </c>
      <c r="J18" t="s">
        <v>273</v>
      </c>
      <c r="K18">
        <v>2.3473288988227547E-2</v>
      </c>
      <c r="L18" t="s">
        <v>165</v>
      </c>
      <c r="N18" t="s">
        <v>180</v>
      </c>
      <c r="O18" t="s">
        <v>273</v>
      </c>
      <c r="P18">
        <v>6.1299981176843009E-2</v>
      </c>
      <c r="Q18" t="s">
        <v>165</v>
      </c>
      <c r="S18" t="s">
        <v>190</v>
      </c>
      <c r="T18" t="s">
        <v>273</v>
      </c>
      <c r="U18">
        <v>8.550500131414876E-2</v>
      </c>
      <c r="V18" t="s">
        <v>165</v>
      </c>
      <c r="X18">
        <v>0.11552511415525114</v>
      </c>
      <c r="Y18">
        <v>5.3125160563193538E-2</v>
      </c>
      <c r="Z18" t="s">
        <v>273</v>
      </c>
      <c r="AA18" t="s">
        <v>25</v>
      </c>
      <c r="AC18" t="s">
        <v>22</v>
      </c>
      <c r="AD18" t="s">
        <v>273</v>
      </c>
      <c r="AE18">
        <v>8.8402142320925595E-2</v>
      </c>
      <c r="AG18" t="s">
        <v>96</v>
      </c>
      <c r="AH18" t="s">
        <v>273</v>
      </c>
      <c r="AI18">
        <v>0.27596930479957171</v>
      </c>
      <c r="AK18">
        <v>2021</v>
      </c>
      <c r="AL18" t="s">
        <v>265</v>
      </c>
      <c r="AM18">
        <v>0.67737668544120166</v>
      </c>
      <c r="AN18" t="s">
        <v>217</v>
      </c>
    </row>
    <row r="19" spans="9:40" x14ac:dyDescent="0.45">
      <c r="I19" t="s">
        <v>163</v>
      </c>
      <c r="J19" t="s">
        <v>274</v>
      </c>
      <c r="K19">
        <v>4.2172072780925926E-2</v>
      </c>
      <c r="L19" t="s">
        <v>165</v>
      </c>
      <c r="N19" t="s">
        <v>180</v>
      </c>
      <c r="O19" t="s">
        <v>274</v>
      </c>
      <c r="P19">
        <v>1.3589563193502628E-2</v>
      </c>
      <c r="Q19" t="s">
        <v>165</v>
      </c>
      <c r="S19" t="s">
        <v>190</v>
      </c>
      <c r="T19" t="s">
        <v>274</v>
      </c>
      <c r="U19">
        <v>1.5662922047459796E-2</v>
      </c>
      <c r="V19" t="s">
        <v>165</v>
      </c>
      <c r="X19">
        <v>2.1004566210045664E-2</v>
      </c>
      <c r="Y19">
        <v>3.6291010947302131E-2</v>
      </c>
      <c r="Z19" t="s">
        <v>274</v>
      </c>
      <c r="AA19" t="s">
        <v>25</v>
      </c>
      <c r="AC19" t="s">
        <v>22</v>
      </c>
      <c r="AD19" t="s">
        <v>274</v>
      </c>
      <c r="AE19">
        <v>2.0150076159333459E-2</v>
      </c>
      <c r="AG19" t="s">
        <v>96</v>
      </c>
      <c r="AH19" t="s">
        <v>274</v>
      </c>
      <c r="AI19">
        <v>7.7526586989997925E-2</v>
      </c>
      <c r="AK19">
        <v>2022</v>
      </c>
      <c r="AL19" t="s">
        <v>260</v>
      </c>
      <c r="AM19">
        <v>0.43807248108323377</v>
      </c>
      <c r="AN19" t="s">
        <v>217</v>
      </c>
    </row>
    <row r="20" spans="9:40" x14ac:dyDescent="0.45">
      <c r="I20" t="s">
        <v>163</v>
      </c>
      <c r="J20" t="s">
        <v>275</v>
      </c>
      <c r="K20">
        <v>9.3406302732429419E-2</v>
      </c>
      <c r="L20" t="s">
        <v>165</v>
      </c>
      <c r="N20" t="s">
        <v>180</v>
      </c>
      <c r="O20" t="s">
        <v>275</v>
      </c>
      <c r="P20">
        <v>0.15239978744296209</v>
      </c>
      <c r="Q20" t="s">
        <v>165</v>
      </c>
      <c r="S20" t="s">
        <v>190</v>
      </c>
      <c r="T20" t="s">
        <v>275</v>
      </c>
      <c r="U20">
        <v>0.13788456244704589</v>
      </c>
      <c r="V20" t="s">
        <v>165</v>
      </c>
      <c r="X20">
        <v>0.11301369863013698</v>
      </c>
      <c r="Y20">
        <v>0.15910300077070333</v>
      </c>
      <c r="Z20" t="s">
        <v>275</v>
      </c>
      <c r="AA20" t="s">
        <v>25</v>
      </c>
      <c r="AC20" t="s">
        <v>22</v>
      </c>
      <c r="AD20" t="s">
        <v>275</v>
      </c>
      <c r="AE20">
        <v>0.13675121200645704</v>
      </c>
      <c r="AG20" t="s">
        <v>96</v>
      </c>
      <c r="AH20" t="s">
        <v>275</v>
      </c>
      <c r="AI20">
        <v>0.15015330098832691</v>
      </c>
      <c r="AK20">
        <v>2022</v>
      </c>
      <c r="AL20" t="s">
        <v>262</v>
      </c>
      <c r="AM20">
        <v>0.26321684587813621</v>
      </c>
      <c r="AN20" t="s">
        <v>217</v>
      </c>
    </row>
    <row r="21" spans="9:40" x14ac:dyDescent="0.45">
      <c r="I21" t="s">
        <v>163</v>
      </c>
      <c r="J21" t="s">
        <v>276</v>
      </c>
      <c r="K21">
        <v>0</v>
      </c>
      <c r="L21" t="s">
        <v>165</v>
      </c>
      <c r="N21" t="s">
        <v>180</v>
      </c>
      <c r="O21" t="s">
        <v>276</v>
      </c>
      <c r="P21">
        <v>0.14501769752174917</v>
      </c>
      <c r="Q21" t="s">
        <v>165</v>
      </c>
      <c r="S21" t="s">
        <v>190</v>
      </c>
      <c r="T21" t="s">
        <v>276</v>
      </c>
      <c r="U21">
        <v>0.13352401970851044</v>
      </c>
      <c r="V21" t="s">
        <v>165</v>
      </c>
      <c r="X21">
        <v>0.11301369863013698</v>
      </c>
      <c r="Y21">
        <v>5.197026576834151E-2</v>
      </c>
      <c r="Z21" t="s">
        <v>276</v>
      </c>
      <c r="AA21" t="s">
        <v>25</v>
      </c>
      <c r="AC21" t="s">
        <v>22</v>
      </c>
      <c r="AD21" t="s">
        <v>276</v>
      </c>
      <c r="AE21">
        <v>0.11129440204326427</v>
      </c>
      <c r="AG21" t="s">
        <v>96</v>
      </c>
      <c r="AH21" t="s">
        <v>276</v>
      </c>
      <c r="AI21">
        <v>0.36410890129601325</v>
      </c>
      <c r="AK21">
        <v>2022</v>
      </c>
      <c r="AL21" t="s">
        <v>263</v>
      </c>
      <c r="AM21">
        <v>5.6625846276383868E-2</v>
      </c>
      <c r="AN21" t="s">
        <v>217</v>
      </c>
    </row>
    <row r="22" spans="9:40" x14ac:dyDescent="0.45">
      <c r="I22" t="s">
        <v>163</v>
      </c>
      <c r="J22" t="s">
        <v>277</v>
      </c>
      <c r="K22">
        <v>1.1516533230168647E-3</v>
      </c>
      <c r="L22" t="s">
        <v>165</v>
      </c>
      <c r="N22" t="s">
        <v>180</v>
      </c>
      <c r="O22" t="s">
        <v>277</v>
      </c>
      <c r="P22">
        <v>2.7561812171004878E-2</v>
      </c>
      <c r="Q22" t="s">
        <v>165</v>
      </c>
      <c r="S22" t="s">
        <v>190</v>
      </c>
      <c r="T22" t="s">
        <v>277</v>
      </c>
      <c r="U22">
        <v>2.5214352205558687E-2</v>
      </c>
      <c r="V22" t="s">
        <v>165</v>
      </c>
      <c r="X22">
        <v>2.0547945205479451E-2</v>
      </c>
      <c r="Y22">
        <v>3.5502075926708607E-2</v>
      </c>
      <c r="Z22" t="s">
        <v>277</v>
      </c>
      <c r="AA22" t="s">
        <v>25</v>
      </c>
      <c r="AC22" t="s">
        <v>22</v>
      </c>
      <c r="AD22" t="s">
        <v>277</v>
      </c>
      <c r="AE22">
        <v>2.6511940490860888E-2</v>
      </c>
      <c r="AG22" t="s">
        <v>96</v>
      </c>
      <c r="AH22" t="s">
        <v>277</v>
      </c>
      <c r="AI22">
        <v>9.9696802001574492E-2</v>
      </c>
      <c r="AK22">
        <v>2022</v>
      </c>
      <c r="AL22" t="s">
        <v>265</v>
      </c>
      <c r="AM22">
        <v>0.54270139955623831</v>
      </c>
      <c r="AN22" t="s">
        <v>217</v>
      </c>
    </row>
    <row r="23" spans="9:40" x14ac:dyDescent="0.45">
      <c r="I23" t="s">
        <v>171</v>
      </c>
      <c r="J23" t="s">
        <v>266</v>
      </c>
      <c r="K23">
        <v>0.1643126715842044</v>
      </c>
      <c r="L23" t="s">
        <v>165</v>
      </c>
      <c r="N23" t="s">
        <v>181</v>
      </c>
      <c r="O23" t="s">
        <v>266</v>
      </c>
      <c r="P23">
        <v>0.10824567644123295</v>
      </c>
      <c r="Q23" t="s">
        <v>165</v>
      </c>
      <c r="S23" t="s">
        <v>191</v>
      </c>
      <c r="T23" t="s">
        <v>266</v>
      </c>
      <c r="U23">
        <v>0.10498102999929765</v>
      </c>
      <c r="V23" t="s">
        <v>165</v>
      </c>
      <c r="AC23" t="s">
        <v>19</v>
      </c>
      <c r="AD23" t="s">
        <v>266</v>
      </c>
      <c r="AE23">
        <v>0.11494103040498746</v>
      </c>
      <c r="AK23">
        <v>2025</v>
      </c>
      <c r="AL23" t="s">
        <v>260</v>
      </c>
      <c r="AM23">
        <v>0.43990000000000001</v>
      </c>
      <c r="AN23" t="s">
        <v>217</v>
      </c>
    </row>
    <row r="24" spans="9:40" x14ac:dyDescent="0.45">
      <c r="I24" t="s">
        <v>171</v>
      </c>
      <c r="J24" t="s">
        <v>267</v>
      </c>
      <c r="K24">
        <v>0</v>
      </c>
      <c r="L24" t="s">
        <v>165</v>
      </c>
      <c r="N24" t="s">
        <v>181</v>
      </c>
      <c r="O24" t="s">
        <v>267</v>
      </c>
      <c r="P24">
        <v>9.6441969938600325E-2</v>
      </c>
      <c r="Q24" t="s">
        <v>165</v>
      </c>
      <c r="S24" t="s">
        <v>191</v>
      </c>
      <c r="T24" t="s">
        <v>267</v>
      </c>
      <c r="U24">
        <v>0.1067522430328201</v>
      </c>
      <c r="V24" t="s">
        <v>165</v>
      </c>
      <c r="AC24" t="s">
        <v>19</v>
      </c>
      <c r="AD24" t="s">
        <v>267</v>
      </c>
      <c r="AE24">
        <v>0.11331589398769824</v>
      </c>
      <c r="AK24">
        <v>2025</v>
      </c>
      <c r="AL24" t="s">
        <v>262</v>
      </c>
      <c r="AM24">
        <v>0.34576666666666672</v>
      </c>
      <c r="AN24" t="s">
        <v>217</v>
      </c>
    </row>
    <row r="25" spans="9:40" x14ac:dyDescent="0.45">
      <c r="I25" t="s">
        <v>171</v>
      </c>
      <c r="J25" t="s">
        <v>268</v>
      </c>
      <c r="K25">
        <v>8.1193466464787312E-3</v>
      </c>
      <c r="L25" t="s">
        <v>165</v>
      </c>
      <c r="N25" t="s">
        <v>181</v>
      </c>
      <c r="O25" t="s">
        <v>268</v>
      </c>
      <c r="P25">
        <v>1.8149724598957574E-2</v>
      </c>
      <c r="Q25" t="s">
        <v>165</v>
      </c>
      <c r="S25" t="s">
        <v>191</v>
      </c>
      <c r="T25" t="s">
        <v>268</v>
      </c>
      <c r="U25">
        <v>1.79819549560216E-2</v>
      </c>
      <c r="V25" t="s">
        <v>165</v>
      </c>
      <c r="AC25" t="s">
        <v>19</v>
      </c>
      <c r="AD25" t="s">
        <v>268</v>
      </c>
      <c r="AE25">
        <v>2.0992083152973389E-2</v>
      </c>
      <c r="AK25">
        <v>2025</v>
      </c>
      <c r="AL25" t="s">
        <v>263</v>
      </c>
      <c r="AM25">
        <v>0.16623333333333334</v>
      </c>
      <c r="AN25" t="s">
        <v>217</v>
      </c>
    </row>
    <row r="26" spans="9:40" x14ac:dyDescent="0.45">
      <c r="I26" t="s">
        <v>171</v>
      </c>
      <c r="J26" t="s">
        <v>269</v>
      </c>
      <c r="K26">
        <v>0.30820297464399282</v>
      </c>
      <c r="L26" t="s">
        <v>165</v>
      </c>
      <c r="N26" t="s">
        <v>181</v>
      </c>
      <c r="O26" t="s">
        <v>269</v>
      </c>
      <c r="P26">
        <v>0.14335145155911133</v>
      </c>
      <c r="Q26" t="s">
        <v>165</v>
      </c>
      <c r="S26" t="s">
        <v>191</v>
      </c>
      <c r="T26" t="s">
        <v>269</v>
      </c>
      <c r="U26">
        <v>0.13195245110611242</v>
      </c>
      <c r="V26" t="s">
        <v>165</v>
      </c>
      <c r="AC26" t="s">
        <v>19</v>
      </c>
      <c r="AD26" t="s">
        <v>269</v>
      </c>
      <c r="AE26">
        <v>0.11655146483971343</v>
      </c>
      <c r="AK26">
        <v>2025</v>
      </c>
      <c r="AL26" t="s">
        <v>265</v>
      </c>
      <c r="AM26">
        <v>0.66299999999999992</v>
      </c>
      <c r="AN26" t="s">
        <v>217</v>
      </c>
    </row>
    <row r="27" spans="9:40" x14ac:dyDescent="0.45">
      <c r="I27" t="s">
        <v>171</v>
      </c>
      <c r="J27" t="s">
        <v>270</v>
      </c>
      <c r="K27">
        <v>7.4127539807859579E-3</v>
      </c>
      <c r="L27" t="s">
        <v>165</v>
      </c>
      <c r="N27" t="s">
        <v>181</v>
      </c>
      <c r="O27" t="s">
        <v>270</v>
      </c>
      <c r="P27">
        <v>0.13197188219403003</v>
      </c>
      <c r="Q27" t="s">
        <v>165</v>
      </c>
      <c r="S27" t="s">
        <v>191</v>
      </c>
      <c r="T27" t="s">
        <v>270</v>
      </c>
      <c r="U27">
        <v>0.13740645534176513</v>
      </c>
      <c r="V27" t="s">
        <v>165</v>
      </c>
      <c r="AC27" t="s">
        <v>19</v>
      </c>
      <c r="AD27" t="s">
        <v>270</v>
      </c>
      <c r="AE27">
        <v>0.11435289140845989</v>
      </c>
      <c r="AK27">
        <v>2026</v>
      </c>
      <c r="AL27" t="s">
        <v>260</v>
      </c>
      <c r="AM27">
        <v>0.43036666666666662</v>
      </c>
      <c r="AN27" t="s">
        <v>217</v>
      </c>
    </row>
    <row r="28" spans="9:40" x14ac:dyDescent="0.45">
      <c r="I28" t="s">
        <v>171</v>
      </c>
      <c r="J28" t="s">
        <v>271</v>
      </c>
      <c r="K28">
        <v>3.1954760266582172E-2</v>
      </c>
      <c r="L28" t="s">
        <v>165</v>
      </c>
      <c r="N28" t="s">
        <v>181</v>
      </c>
      <c r="O28" t="s">
        <v>271</v>
      </c>
      <c r="P28">
        <v>2.5590241475100563E-2</v>
      </c>
      <c r="Q28" t="s">
        <v>165</v>
      </c>
      <c r="S28" t="s">
        <v>191</v>
      </c>
      <c r="T28" t="s">
        <v>271</v>
      </c>
      <c r="U28">
        <v>2.5663025488185724E-2</v>
      </c>
      <c r="V28" t="s">
        <v>165</v>
      </c>
      <c r="AC28" t="s">
        <v>19</v>
      </c>
      <c r="AD28" t="s">
        <v>271</v>
      </c>
      <c r="AE28">
        <v>2.1279647905005545E-2</v>
      </c>
      <c r="AK28">
        <v>2026</v>
      </c>
      <c r="AL28" t="s">
        <v>262</v>
      </c>
      <c r="AM28">
        <v>0.34979999999999994</v>
      </c>
      <c r="AN28" t="s">
        <v>217</v>
      </c>
    </row>
    <row r="29" spans="9:40" x14ac:dyDescent="0.45">
      <c r="I29" t="s">
        <v>171</v>
      </c>
      <c r="J29" t="s">
        <v>272</v>
      </c>
      <c r="K29">
        <v>0.32420261618956503</v>
      </c>
      <c r="L29" t="s">
        <v>165</v>
      </c>
      <c r="N29" t="s">
        <v>181</v>
      </c>
      <c r="O29" t="s">
        <v>272</v>
      </c>
      <c r="P29">
        <v>8.2543461682700062E-2</v>
      </c>
      <c r="Q29" t="s">
        <v>165</v>
      </c>
      <c r="S29" t="s">
        <v>191</v>
      </c>
      <c r="T29" t="s">
        <v>272</v>
      </c>
      <c r="U29">
        <v>7.782930046104837E-2</v>
      </c>
      <c r="V29" t="s">
        <v>165</v>
      </c>
      <c r="AC29" t="s">
        <v>19</v>
      </c>
      <c r="AD29" t="s">
        <v>272</v>
      </c>
      <c r="AE29">
        <v>0.11605537332760503</v>
      </c>
      <c r="AK29">
        <v>2026</v>
      </c>
      <c r="AL29" t="s">
        <v>263</v>
      </c>
      <c r="AM29">
        <v>0.17603333333333335</v>
      </c>
      <c r="AN29" t="s">
        <v>217</v>
      </c>
    </row>
    <row r="30" spans="9:40" x14ac:dyDescent="0.45">
      <c r="I30" t="s">
        <v>171</v>
      </c>
      <c r="J30" t="s">
        <v>273</v>
      </c>
      <c r="K30">
        <v>2.0059025747655532E-2</v>
      </c>
      <c r="L30" t="s">
        <v>165</v>
      </c>
      <c r="N30" t="s">
        <v>181</v>
      </c>
      <c r="O30" t="s">
        <v>273</v>
      </c>
      <c r="P30">
        <v>6.5880755049071774E-2</v>
      </c>
      <c r="Q30" t="s">
        <v>165</v>
      </c>
      <c r="S30" t="s">
        <v>191</v>
      </c>
      <c r="T30" t="s">
        <v>273</v>
      </c>
      <c r="U30">
        <v>8.1020250923971693E-2</v>
      </c>
      <c r="V30" t="s">
        <v>165</v>
      </c>
      <c r="AC30" t="s">
        <v>19</v>
      </c>
      <c r="AD30" t="s">
        <v>273</v>
      </c>
      <c r="AE30">
        <v>0.11456985516184937</v>
      </c>
      <c r="AK30">
        <v>2026</v>
      </c>
      <c r="AL30" t="s">
        <v>265</v>
      </c>
      <c r="AM30">
        <v>0.62513333333333332</v>
      </c>
      <c r="AN30" t="s">
        <v>217</v>
      </c>
    </row>
    <row r="31" spans="9:40" x14ac:dyDescent="0.45">
      <c r="I31" t="s">
        <v>171</v>
      </c>
      <c r="J31" t="s">
        <v>274</v>
      </c>
      <c r="K31">
        <v>4.1359981700639779E-2</v>
      </c>
      <c r="L31" t="s">
        <v>165</v>
      </c>
      <c r="N31" t="s">
        <v>181</v>
      </c>
      <c r="O31" t="s">
        <v>274</v>
      </c>
      <c r="P31">
        <v>1.4535802129414245E-2</v>
      </c>
      <c r="Q31" t="s">
        <v>165</v>
      </c>
      <c r="S31" t="s">
        <v>191</v>
      </c>
      <c r="T31" t="s">
        <v>274</v>
      </c>
      <c r="U31">
        <v>1.5020120095610396E-2</v>
      </c>
      <c r="V31" t="s">
        <v>165</v>
      </c>
      <c r="AC31" t="s">
        <v>19</v>
      </c>
      <c r="AD31" t="s">
        <v>274</v>
      </c>
      <c r="AE31">
        <v>2.1151188754652224E-2</v>
      </c>
      <c r="AK31">
        <v>2027</v>
      </c>
      <c r="AL31" t="s">
        <v>260</v>
      </c>
      <c r="AM31">
        <v>0.36906666666666665</v>
      </c>
      <c r="AN31" t="s">
        <v>217</v>
      </c>
    </row>
    <row r="32" spans="9:40" x14ac:dyDescent="0.45">
      <c r="I32" t="s">
        <v>171</v>
      </c>
      <c r="J32" t="s">
        <v>275</v>
      </c>
      <c r="K32">
        <v>9.2581944693782892E-2</v>
      </c>
      <c r="L32" t="s">
        <v>165</v>
      </c>
      <c r="N32" t="s">
        <v>181</v>
      </c>
      <c r="O32" t="s">
        <v>275</v>
      </c>
      <c r="P32">
        <v>0.14805399666031829</v>
      </c>
      <c r="Q32" t="s">
        <v>165</v>
      </c>
      <c r="S32" t="s">
        <v>191</v>
      </c>
      <c r="T32" t="s">
        <v>275</v>
      </c>
      <c r="U32">
        <v>0.14027828126865502</v>
      </c>
      <c r="V32" t="s">
        <v>165</v>
      </c>
      <c r="AC32" t="s">
        <v>19</v>
      </c>
      <c r="AD32" t="s">
        <v>275</v>
      </c>
      <c r="AE32">
        <v>0.11396967165377497</v>
      </c>
      <c r="AK32">
        <v>2027</v>
      </c>
      <c r="AL32" t="s">
        <v>262</v>
      </c>
      <c r="AM32">
        <v>0.28939999999999999</v>
      </c>
      <c r="AN32" t="s">
        <v>217</v>
      </c>
    </row>
    <row r="33" spans="9:40" x14ac:dyDescent="0.45">
      <c r="I33" t="s">
        <v>171</v>
      </c>
      <c r="J33" t="s">
        <v>276</v>
      </c>
      <c r="K33">
        <v>0</v>
      </c>
      <c r="L33" t="s">
        <v>165</v>
      </c>
      <c r="N33" t="s">
        <v>181</v>
      </c>
      <c r="O33" t="s">
        <v>276</v>
      </c>
      <c r="P33">
        <v>0.13838479971051795</v>
      </c>
      <c r="Q33" t="s">
        <v>165</v>
      </c>
      <c r="S33" t="s">
        <v>191</v>
      </c>
      <c r="T33" t="s">
        <v>276</v>
      </c>
      <c r="U33">
        <v>0.13572484027044943</v>
      </c>
      <c r="V33" t="s">
        <v>165</v>
      </c>
      <c r="AC33" t="s">
        <v>19</v>
      </c>
      <c r="AD33" t="s">
        <v>276</v>
      </c>
      <c r="AE33">
        <v>0.11196965934741682</v>
      </c>
      <c r="AK33">
        <v>2027</v>
      </c>
      <c r="AL33" t="s">
        <v>263</v>
      </c>
      <c r="AM33">
        <v>0.14936666666666668</v>
      </c>
      <c r="AN33" t="s">
        <v>217</v>
      </c>
    </row>
    <row r="34" spans="9:40" x14ac:dyDescent="0.45">
      <c r="I34" t="s">
        <v>171</v>
      </c>
      <c r="J34" t="s">
        <v>277</v>
      </c>
      <c r="K34">
        <v>1.7939245463108905E-3</v>
      </c>
      <c r="L34" t="s">
        <v>165</v>
      </c>
      <c r="N34" t="s">
        <v>181</v>
      </c>
      <c r="O34" t="s">
        <v>277</v>
      </c>
      <c r="P34">
        <v>2.6850238560945913E-2</v>
      </c>
      <c r="Q34" t="s">
        <v>165</v>
      </c>
      <c r="S34" t="s">
        <v>191</v>
      </c>
      <c r="T34" t="s">
        <v>277</v>
      </c>
      <c r="U34">
        <v>2.5390047056060527E-2</v>
      </c>
      <c r="V34" t="s">
        <v>165</v>
      </c>
      <c r="AC34" t="s">
        <v>19</v>
      </c>
      <c r="AD34" t="s">
        <v>277</v>
      </c>
      <c r="AE34">
        <v>2.0851240055863619E-2</v>
      </c>
      <c r="AK34">
        <v>2027</v>
      </c>
      <c r="AL34" t="s">
        <v>265</v>
      </c>
      <c r="AM34">
        <v>0.5675</v>
      </c>
      <c r="AN34" t="s">
        <v>217</v>
      </c>
    </row>
    <row r="35" spans="9:40" x14ac:dyDescent="0.45">
      <c r="I35" t="s">
        <v>172</v>
      </c>
      <c r="J35" t="s">
        <v>266</v>
      </c>
      <c r="K35">
        <v>0.16044869159826744</v>
      </c>
      <c r="L35" t="s">
        <v>165</v>
      </c>
      <c r="N35" t="s">
        <v>182</v>
      </c>
      <c r="O35" t="s">
        <v>266</v>
      </c>
      <c r="P35">
        <v>0.11367055524902701</v>
      </c>
      <c r="Q35" t="s">
        <v>165</v>
      </c>
      <c r="S35" t="s">
        <v>192</v>
      </c>
      <c r="T35" t="s">
        <v>266</v>
      </c>
      <c r="U35">
        <v>0.10676578665449793</v>
      </c>
      <c r="V35" t="s">
        <v>165</v>
      </c>
      <c r="AK35">
        <v>2028</v>
      </c>
      <c r="AL35" t="s">
        <v>260</v>
      </c>
      <c r="AM35">
        <v>0.36099999999999999</v>
      </c>
      <c r="AN35" t="s">
        <v>217</v>
      </c>
    </row>
    <row r="36" spans="9:40" x14ac:dyDescent="0.45">
      <c r="I36" t="s">
        <v>172</v>
      </c>
      <c r="J36" t="s">
        <v>267</v>
      </c>
      <c r="K36">
        <v>0</v>
      </c>
      <c r="L36" t="s">
        <v>165</v>
      </c>
      <c r="N36" t="s">
        <v>182</v>
      </c>
      <c r="O36" t="s">
        <v>267</v>
      </c>
      <c r="P36">
        <v>0.10936878976848376</v>
      </c>
      <c r="Q36" t="s">
        <v>165</v>
      </c>
      <c r="S36" t="s">
        <v>192</v>
      </c>
      <c r="T36" t="s">
        <v>267</v>
      </c>
      <c r="U36">
        <v>0.10480180379658977</v>
      </c>
      <c r="V36" t="s">
        <v>165</v>
      </c>
      <c r="AK36">
        <v>2028</v>
      </c>
      <c r="AL36" t="s">
        <v>262</v>
      </c>
      <c r="AM36">
        <v>0.27693333333333331</v>
      </c>
      <c r="AN36" t="s">
        <v>217</v>
      </c>
    </row>
    <row r="37" spans="9:40" x14ac:dyDescent="0.45">
      <c r="I37" t="s">
        <v>172</v>
      </c>
      <c r="J37" t="s">
        <v>268</v>
      </c>
      <c r="K37">
        <v>7.4016427973667516E-3</v>
      </c>
      <c r="L37" t="s">
        <v>165</v>
      </c>
      <c r="N37" t="s">
        <v>182</v>
      </c>
      <c r="O37" t="s">
        <v>268</v>
      </c>
      <c r="P37">
        <v>2.0534056884602185E-2</v>
      </c>
      <c r="Q37" t="s">
        <v>165</v>
      </c>
      <c r="S37" t="s">
        <v>192</v>
      </c>
      <c r="T37" t="s">
        <v>268</v>
      </c>
      <c r="U37">
        <v>1.9028064688816813E-2</v>
      </c>
      <c r="V37" t="s">
        <v>165</v>
      </c>
      <c r="AK37">
        <v>2028</v>
      </c>
      <c r="AL37" t="s">
        <v>263</v>
      </c>
      <c r="AM37">
        <v>0.14256666666666665</v>
      </c>
      <c r="AN37" t="s">
        <v>217</v>
      </c>
    </row>
    <row r="38" spans="9:40" x14ac:dyDescent="0.45">
      <c r="I38" t="s">
        <v>172</v>
      </c>
      <c r="J38" t="s">
        <v>269</v>
      </c>
      <c r="K38">
        <v>0.30496436690523399</v>
      </c>
      <c r="L38" t="s">
        <v>165</v>
      </c>
      <c r="N38" t="s">
        <v>182</v>
      </c>
      <c r="O38" t="s">
        <v>269</v>
      </c>
      <c r="P38">
        <v>0.13000862179725073</v>
      </c>
      <c r="Q38" t="s">
        <v>165</v>
      </c>
      <c r="S38" t="s">
        <v>192</v>
      </c>
      <c r="T38" t="s">
        <v>269</v>
      </c>
      <c r="U38">
        <v>0.13414461926970786</v>
      </c>
      <c r="V38" t="s">
        <v>165</v>
      </c>
      <c r="AK38">
        <v>2028</v>
      </c>
      <c r="AL38" t="s">
        <v>265</v>
      </c>
      <c r="AM38">
        <v>0.59456666666666669</v>
      </c>
      <c r="AN38" t="s">
        <v>217</v>
      </c>
    </row>
    <row r="39" spans="9:40" x14ac:dyDescent="0.45">
      <c r="I39" t="s">
        <v>172</v>
      </c>
      <c r="J39" t="s">
        <v>270</v>
      </c>
      <c r="K39">
        <v>7.7504201991846393E-3</v>
      </c>
      <c r="L39" t="s">
        <v>165</v>
      </c>
      <c r="N39" t="s">
        <v>182</v>
      </c>
      <c r="O39" t="s">
        <v>270</v>
      </c>
      <c r="P39">
        <v>0.13166047123819599</v>
      </c>
      <c r="Q39" t="s">
        <v>165</v>
      </c>
      <c r="S39" t="s">
        <v>192</v>
      </c>
      <c r="T39" t="s">
        <v>270</v>
      </c>
      <c r="U39">
        <v>0.13673304687767912</v>
      </c>
      <c r="V39" t="s">
        <v>165</v>
      </c>
      <c r="AK39">
        <v>2029</v>
      </c>
      <c r="AL39" t="s">
        <v>260</v>
      </c>
      <c r="AM39">
        <v>0.36986666666666662</v>
      </c>
      <c r="AN39" t="s">
        <v>217</v>
      </c>
    </row>
    <row r="40" spans="9:40" x14ac:dyDescent="0.45">
      <c r="I40" t="s">
        <v>172</v>
      </c>
      <c r="J40" t="s">
        <v>271</v>
      </c>
      <c r="K40">
        <v>3.1209345797131832E-2</v>
      </c>
      <c r="L40" t="s">
        <v>165</v>
      </c>
      <c r="N40" t="s">
        <v>182</v>
      </c>
      <c r="O40" t="s">
        <v>271</v>
      </c>
      <c r="P40">
        <v>2.2626210481922784E-2</v>
      </c>
      <c r="Q40" t="s">
        <v>165</v>
      </c>
      <c r="S40" t="s">
        <v>192</v>
      </c>
      <c r="T40" t="s">
        <v>271</v>
      </c>
      <c r="U40">
        <v>2.5563250493401666E-2</v>
      </c>
      <c r="V40" t="s">
        <v>165</v>
      </c>
      <c r="AK40">
        <v>2029</v>
      </c>
      <c r="AL40" t="s">
        <v>262</v>
      </c>
      <c r="AM40">
        <v>0.30249999999999999</v>
      </c>
      <c r="AN40" t="s">
        <v>217</v>
      </c>
    </row>
    <row r="41" spans="9:40" x14ac:dyDescent="0.45">
      <c r="I41" t="s">
        <v>172</v>
      </c>
      <c r="J41" t="s">
        <v>272</v>
      </c>
      <c r="K41">
        <v>0.32832659653228352</v>
      </c>
      <c r="L41" t="s">
        <v>165</v>
      </c>
      <c r="N41" t="s">
        <v>182</v>
      </c>
      <c r="O41" t="s">
        <v>272</v>
      </c>
      <c r="P41">
        <v>8.1812656274456094E-2</v>
      </c>
      <c r="Q41" t="s">
        <v>165</v>
      </c>
      <c r="S41" t="s">
        <v>192</v>
      </c>
      <c r="T41" t="s">
        <v>272</v>
      </c>
      <c r="U41">
        <v>7.9187567460795777E-2</v>
      </c>
      <c r="V41" t="s">
        <v>165</v>
      </c>
      <c r="AK41">
        <v>2029</v>
      </c>
      <c r="AL41" t="s">
        <v>263</v>
      </c>
      <c r="AM41">
        <v>0.15303333333333333</v>
      </c>
      <c r="AN41" t="s">
        <v>217</v>
      </c>
    </row>
    <row r="42" spans="9:40" x14ac:dyDescent="0.45">
      <c r="I42" t="s">
        <v>172</v>
      </c>
      <c r="J42" t="s">
        <v>273</v>
      </c>
      <c r="K42">
        <v>2.2464287834008147E-2</v>
      </c>
      <c r="L42" t="s">
        <v>165</v>
      </c>
      <c r="N42" t="s">
        <v>182</v>
      </c>
      <c r="O42" t="s">
        <v>273</v>
      </c>
      <c r="P42">
        <v>7.9305395237878787E-2</v>
      </c>
      <c r="Q42" t="s">
        <v>165</v>
      </c>
      <c r="S42" t="s">
        <v>192</v>
      </c>
      <c r="T42" t="s">
        <v>273</v>
      </c>
      <c r="U42">
        <v>7.8247353169985004E-2</v>
      </c>
      <c r="V42" t="s">
        <v>165</v>
      </c>
      <c r="AK42">
        <v>2029</v>
      </c>
      <c r="AL42" t="s">
        <v>265</v>
      </c>
      <c r="AM42">
        <v>0.57613333333333328</v>
      </c>
      <c r="AN42" t="s">
        <v>217</v>
      </c>
    </row>
    <row r="43" spans="9:40" x14ac:dyDescent="0.45">
      <c r="I43" t="s">
        <v>172</v>
      </c>
      <c r="J43" t="s">
        <v>274</v>
      </c>
      <c r="K43">
        <v>4.1303401038403707E-2</v>
      </c>
      <c r="L43" t="s">
        <v>165</v>
      </c>
      <c r="N43" t="s">
        <v>182</v>
      </c>
      <c r="O43" t="s">
        <v>274</v>
      </c>
      <c r="P43">
        <v>1.6886280350450728E-2</v>
      </c>
      <c r="Q43" t="s">
        <v>165</v>
      </c>
      <c r="S43" t="s">
        <v>192</v>
      </c>
      <c r="T43" t="s">
        <v>274</v>
      </c>
      <c r="U43">
        <v>1.5260664434145373E-2</v>
      </c>
      <c r="V43" t="s">
        <v>165</v>
      </c>
      <c r="AK43">
        <v>2030</v>
      </c>
      <c r="AL43" t="s">
        <v>260</v>
      </c>
      <c r="AM43">
        <v>0.36043333333333333</v>
      </c>
      <c r="AN43" t="s">
        <v>217</v>
      </c>
    </row>
    <row r="44" spans="9:40" x14ac:dyDescent="0.45">
      <c r="I44" t="s">
        <v>172</v>
      </c>
      <c r="J44" t="s">
        <v>275</v>
      </c>
      <c r="K44">
        <v>9.4771054684675532E-2</v>
      </c>
      <c r="L44" t="s">
        <v>165</v>
      </c>
      <c r="N44" t="s">
        <v>182</v>
      </c>
      <c r="O44" t="s">
        <v>275</v>
      </c>
      <c r="P44">
        <v>0.1348987489167229</v>
      </c>
      <c r="Q44" t="s">
        <v>165</v>
      </c>
      <c r="S44" t="s">
        <v>192</v>
      </c>
      <c r="T44" t="s">
        <v>275</v>
      </c>
      <c r="U44">
        <v>0.13985002998960097</v>
      </c>
      <c r="V44" t="s">
        <v>165</v>
      </c>
      <c r="AK44">
        <v>2030</v>
      </c>
      <c r="AL44" t="s">
        <v>262</v>
      </c>
      <c r="AM44">
        <v>0.28703333333333331</v>
      </c>
      <c r="AN44" t="s">
        <v>217</v>
      </c>
    </row>
    <row r="45" spans="9:40" x14ac:dyDescent="0.45">
      <c r="I45" t="s">
        <v>172</v>
      </c>
      <c r="J45" t="s">
        <v>276</v>
      </c>
      <c r="K45">
        <v>0</v>
      </c>
      <c r="L45" t="s">
        <v>165</v>
      </c>
      <c r="N45" t="s">
        <v>182</v>
      </c>
      <c r="O45" t="s">
        <v>276</v>
      </c>
      <c r="P45">
        <v>0.13452086458436141</v>
      </c>
      <c r="Q45" t="s">
        <v>165</v>
      </c>
      <c r="S45" t="s">
        <v>192</v>
      </c>
      <c r="T45" t="s">
        <v>276</v>
      </c>
      <c r="U45">
        <v>0.13496887496462801</v>
      </c>
      <c r="V45" t="s">
        <v>165</v>
      </c>
      <c r="AK45">
        <v>2030</v>
      </c>
      <c r="AL45" t="s">
        <v>263</v>
      </c>
      <c r="AM45">
        <v>0.14286666666666667</v>
      </c>
      <c r="AN45" t="s">
        <v>217</v>
      </c>
    </row>
    <row r="46" spans="9:40" x14ac:dyDescent="0.45">
      <c r="I46" t="s">
        <v>172</v>
      </c>
      <c r="J46" t="s">
        <v>277</v>
      </c>
      <c r="K46">
        <v>1.3601926134437818E-3</v>
      </c>
      <c r="L46" t="s">
        <v>165</v>
      </c>
      <c r="N46" t="s">
        <v>182</v>
      </c>
      <c r="O46" t="s">
        <v>277</v>
      </c>
      <c r="P46">
        <v>2.4707349216645112E-2</v>
      </c>
      <c r="Q46" t="s">
        <v>165</v>
      </c>
      <c r="S46" t="s">
        <v>192</v>
      </c>
      <c r="T46" t="s">
        <v>277</v>
      </c>
      <c r="U46">
        <v>2.5448938200149016E-2</v>
      </c>
      <c r="V46" t="s">
        <v>165</v>
      </c>
      <c r="AK46">
        <v>2030</v>
      </c>
      <c r="AL46" t="s">
        <v>265</v>
      </c>
      <c r="AM46">
        <v>0.54133333333333333</v>
      </c>
      <c r="AN46" t="s">
        <v>217</v>
      </c>
    </row>
    <row r="47" spans="9:40" x14ac:dyDescent="0.45">
      <c r="I47" t="s">
        <v>173</v>
      </c>
      <c r="J47" t="s">
        <v>266</v>
      </c>
      <c r="K47">
        <v>0.16208356815151462</v>
      </c>
      <c r="L47" t="s">
        <v>165</v>
      </c>
      <c r="N47" t="s">
        <v>183</v>
      </c>
      <c r="O47" t="s">
        <v>266</v>
      </c>
      <c r="P47">
        <v>0.11506188456129091</v>
      </c>
      <c r="Q47" t="s">
        <v>165</v>
      </c>
      <c r="S47" t="s">
        <v>193</v>
      </c>
      <c r="T47" t="s">
        <v>266</v>
      </c>
      <c r="U47">
        <v>0.10907459014670004</v>
      </c>
      <c r="V47" t="s">
        <v>165</v>
      </c>
      <c r="AK47">
        <v>2031</v>
      </c>
      <c r="AL47" t="s">
        <v>260</v>
      </c>
      <c r="AM47">
        <v>0.36699999999999999</v>
      </c>
      <c r="AN47" t="s">
        <v>217</v>
      </c>
    </row>
    <row r="48" spans="9:40" x14ac:dyDescent="0.45">
      <c r="I48" t="s">
        <v>173</v>
      </c>
      <c r="J48" t="s">
        <v>267</v>
      </c>
      <c r="K48">
        <v>0</v>
      </c>
      <c r="L48" t="s">
        <v>165</v>
      </c>
      <c r="N48" t="s">
        <v>183</v>
      </c>
      <c r="O48" t="s">
        <v>267</v>
      </c>
      <c r="P48">
        <v>0.10470877015807165</v>
      </c>
      <c r="Q48" t="s">
        <v>165</v>
      </c>
      <c r="S48" t="s">
        <v>193</v>
      </c>
      <c r="T48" t="s">
        <v>267</v>
      </c>
      <c r="U48">
        <v>0.10410138612229694</v>
      </c>
      <c r="V48" t="s">
        <v>165</v>
      </c>
      <c r="AK48">
        <v>2031</v>
      </c>
      <c r="AL48" t="s">
        <v>262</v>
      </c>
      <c r="AM48">
        <v>0.28053333333333336</v>
      </c>
      <c r="AN48" t="s">
        <v>217</v>
      </c>
    </row>
    <row r="49" spans="9:40" x14ac:dyDescent="0.45">
      <c r="I49" t="s">
        <v>173</v>
      </c>
      <c r="J49" t="s">
        <v>268</v>
      </c>
      <c r="K49">
        <v>5.7415577475695163E-3</v>
      </c>
      <c r="L49" t="s">
        <v>165</v>
      </c>
      <c r="N49" t="s">
        <v>183</v>
      </c>
      <c r="O49" t="s">
        <v>268</v>
      </c>
      <c r="P49">
        <v>1.9400238512229821E-2</v>
      </c>
      <c r="Q49" t="s">
        <v>165</v>
      </c>
      <c r="S49" t="s">
        <v>193</v>
      </c>
      <c r="T49" t="s">
        <v>268</v>
      </c>
      <c r="U49">
        <v>1.9864247830144462E-2</v>
      </c>
      <c r="V49" t="s">
        <v>165</v>
      </c>
      <c r="AK49">
        <v>2031</v>
      </c>
      <c r="AL49" t="s">
        <v>263</v>
      </c>
      <c r="AM49">
        <v>0.14083333333333334</v>
      </c>
      <c r="AN49" t="s">
        <v>217</v>
      </c>
    </row>
    <row r="50" spans="9:40" x14ac:dyDescent="0.45">
      <c r="I50" t="s">
        <v>173</v>
      </c>
      <c r="J50" t="s">
        <v>269</v>
      </c>
      <c r="K50">
        <v>0.30317439004526014</v>
      </c>
      <c r="L50" t="s">
        <v>165</v>
      </c>
      <c r="N50" t="s">
        <v>183</v>
      </c>
      <c r="O50" t="s">
        <v>269</v>
      </c>
      <c r="P50">
        <v>0.13762919175342606</v>
      </c>
      <c r="Q50" t="s">
        <v>165</v>
      </c>
      <c r="S50" t="s">
        <v>193</v>
      </c>
      <c r="T50" t="s">
        <v>269</v>
      </c>
      <c r="U50">
        <v>0.12692654879211979</v>
      </c>
      <c r="V50" t="s">
        <v>165</v>
      </c>
      <c r="AK50">
        <v>2031</v>
      </c>
      <c r="AL50" t="s">
        <v>265</v>
      </c>
      <c r="AM50">
        <v>0.58006666666666673</v>
      </c>
      <c r="AN50" t="s">
        <v>217</v>
      </c>
    </row>
    <row r="51" spans="9:40" x14ac:dyDescent="0.45">
      <c r="I51" t="s">
        <v>173</v>
      </c>
      <c r="J51" t="s">
        <v>270</v>
      </c>
      <c r="K51">
        <v>8.8486774051265791E-3</v>
      </c>
      <c r="L51" t="s">
        <v>165</v>
      </c>
      <c r="N51" t="s">
        <v>183</v>
      </c>
      <c r="O51" t="s">
        <v>270</v>
      </c>
      <c r="P51">
        <v>0.12818505470646621</v>
      </c>
      <c r="Q51" t="s">
        <v>165</v>
      </c>
      <c r="S51" t="s">
        <v>193</v>
      </c>
      <c r="T51" t="s">
        <v>270</v>
      </c>
      <c r="U51">
        <v>0.13600909477448334</v>
      </c>
      <c r="V51" t="s">
        <v>165</v>
      </c>
      <c r="AK51">
        <v>2032</v>
      </c>
      <c r="AL51" t="s">
        <v>260</v>
      </c>
      <c r="AM51">
        <v>0.36299999999999999</v>
      </c>
      <c r="AN51" t="s">
        <v>217</v>
      </c>
    </row>
    <row r="52" spans="9:40" x14ac:dyDescent="0.45">
      <c r="I52" t="s">
        <v>173</v>
      </c>
      <c r="J52" t="s">
        <v>271</v>
      </c>
      <c r="K52">
        <v>3.224751867228997E-2</v>
      </c>
      <c r="L52" t="s">
        <v>165</v>
      </c>
      <c r="N52" t="s">
        <v>183</v>
      </c>
      <c r="O52" t="s">
        <v>271</v>
      </c>
      <c r="P52">
        <v>2.2453958954120078E-2</v>
      </c>
      <c r="Q52" t="s">
        <v>165</v>
      </c>
      <c r="S52" t="s">
        <v>193</v>
      </c>
      <c r="T52" t="s">
        <v>271</v>
      </c>
      <c r="U52">
        <v>2.3671362218373501E-2</v>
      </c>
      <c r="V52" t="s">
        <v>165</v>
      </c>
      <c r="AK52">
        <v>2032</v>
      </c>
      <c r="AL52" t="s">
        <v>262</v>
      </c>
      <c r="AM52">
        <v>0.28653333333333336</v>
      </c>
      <c r="AN52" t="s">
        <v>217</v>
      </c>
    </row>
    <row r="53" spans="9:40" x14ac:dyDescent="0.45">
      <c r="I53" t="s">
        <v>173</v>
      </c>
      <c r="J53" t="s">
        <v>272</v>
      </c>
      <c r="K53">
        <v>0.32898776993764295</v>
      </c>
      <c r="L53" t="s">
        <v>165</v>
      </c>
      <c r="N53" t="s">
        <v>183</v>
      </c>
      <c r="O53" t="s">
        <v>272</v>
      </c>
      <c r="P53">
        <v>7.7446652834595536E-2</v>
      </c>
      <c r="Q53" t="s">
        <v>165</v>
      </c>
      <c r="S53" t="s">
        <v>193</v>
      </c>
      <c r="T53" t="s">
        <v>272</v>
      </c>
      <c r="U53">
        <v>8.3747776046725758E-2</v>
      </c>
      <c r="V53" t="s">
        <v>165</v>
      </c>
      <c r="AK53">
        <v>2032</v>
      </c>
      <c r="AL53" t="s">
        <v>263</v>
      </c>
      <c r="AM53">
        <v>0.14249999999999999</v>
      </c>
      <c r="AN53" t="s">
        <v>217</v>
      </c>
    </row>
    <row r="54" spans="9:40" x14ac:dyDescent="0.45">
      <c r="I54" t="s">
        <v>173</v>
      </c>
      <c r="J54" t="s">
        <v>273</v>
      </c>
      <c r="K54">
        <v>2.5748075651917977E-2</v>
      </c>
      <c r="L54" t="s">
        <v>165</v>
      </c>
      <c r="N54" t="s">
        <v>183</v>
      </c>
      <c r="O54" t="s">
        <v>273</v>
      </c>
      <c r="P54">
        <v>6.3806702190062736E-2</v>
      </c>
      <c r="Q54" t="s">
        <v>165</v>
      </c>
      <c r="S54" t="s">
        <v>193</v>
      </c>
      <c r="T54" t="s">
        <v>273</v>
      </c>
      <c r="U54">
        <v>8.7432671775414472E-2</v>
      </c>
      <c r="V54" t="s">
        <v>165</v>
      </c>
      <c r="AK54">
        <v>2032</v>
      </c>
      <c r="AL54" t="s">
        <v>265</v>
      </c>
      <c r="AM54">
        <v>0.55679999999999996</v>
      </c>
      <c r="AN54" t="s">
        <v>217</v>
      </c>
    </row>
    <row r="55" spans="9:40" x14ac:dyDescent="0.45">
      <c r="I55" t="s">
        <v>173</v>
      </c>
      <c r="J55" t="s">
        <v>274</v>
      </c>
      <c r="K55">
        <v>3.8383198866210236E-2</v>
      </c>
      <c r="L55" t="s">
        <v>165</v>
      </c>
      <c r="N55" t="s">
        <v>183</v>
      </c>
      <c r="O55" t="s">
        <v>274</v>
      </c>
      <c r="P55">
        <v>1.3938393896367075E-2</v>
      </c>
      <c r="Q55" t="s">
        <v>165</v>
      </c>
      <c r="S55" t="s">
        <v>193</v>
      </c>
      <c r="T55" t="s">
        <v>274</v>
      </c>
      <c r="U55">
        <v>1.7059581618789635E-2</v>
      </c>
      <c r="V55" t="s">
        <v>165</v>
      </c>
      <c r="AK55">
        <v>2033</v>
      </c>
      <c r="AL55" t="s">
        <v>260</v>
      </c>
      <c r="AM55">
        <v>0.38223333333333337</v>
      </c>
      <c r="AN55" t="s">
        <v>217</v>
      </c>
    </row>
    <row r="56" spans="9:40" x14ac:dyDescent="0.45">
      <c r="I56" t="s">
        <v>173</v>
      </c>
      <c r="J56" t="s">
        <v>275</v>
      </c>
      <c r="K56">
        <v>9.3286034318846384E-2</v>
      </c>
      <c r="L56" t="s">
        <v>165</v>
      </c>
      <c r="N56" t="s">
        <v>183</v>
      </c>
      <c r="O56" t="s">
        <v>275</v>
      </c>
      <c r="P56">
        <v>0.14615392278945008</v>
      </c>
      <c r="Q56" t="s">
        <v>165</v>
      </c>
      <c r="S56" t="s">
        <v>193</v>
      </c>
      <c r="T56" t="s">
        <v>275</v>
      </c>
      <c r="U56">
        <v>0.13619007258871163</v>
      </c>
      <c r="V56" t="s">
        <v>165</v>
      </c>
      <c r="AK56">
        <v>2033</v>
      </c>
      <c r="AL56" t="s">
        <v>262</v>
      </c>
      <c r="AM56">
        <v>0.29523333333333329</v>
      </c>
      <c r="AN56" t="s">
        <v>217</v>
      </c>
    </row>
    <row r="57" spans="9:40" x14ac:dyDescent="0.45">
      <c r="I57" t="s">
        <v>173</v>
      </c>
      <c r="J57" t="s">
        <v>276</v>
      </c>
      <c r="K57">
        <v>0</v>
      </c>
      <c r="L57" t="s">
        <v>165</v>
      </c>
      <c r="N57" t="s">
        <v>183</v>
      </c>
      <c r="O57" t="s">
        <v>276</v>
      </c>
      <c r="P57">
        <v>0.14453163839008745</v>
      </c>
      <c r="Q57" t="s">
        <v>165</v>
      </c>
      <c r="S57" t="s">
        <v>193</v>
      </c>
      <c r="T57" t="s">
        <v>276</v>
      </c>
      <c r="U57">
        <v>0.13057248064799967</v>
      </c>
      <c r="V57" t="s">
        <v>165</v>
      </c>
      <c r="AK57">
        <v>2033</v>
      </c>
      <c r="AL57" t="s">
        <v>263</v>
      </c>
      <c r="AM57">
        <v>0.14943333333333333</v>
      </c>
      <c r="AN57" t="s">
        <v>217</v>
      </c>
    </row>
    <row r="58" spans="9:40" x14ac:dyDescent="0.45">
      <c r="I58" t="s">
        <v>173</v>
      </c>
      <c r="J58" t="s">
        <v>277</v>
      </c>
      <c r="K58">
        <v>1.4992092036211421E-3</v>
      </c>
      <c r="L58" t="s">
        <v>165</v>
      </c>
      <c r="N58" t="s">
        <v>183</v>
      </c>
      <c r="O58" t="s">
        <v>277</v>
      </c>
      <c r="P58">
        <v>2.6683591253835161E-2</v>
      </c>
      <c r="Q58" t="s">
        <v>165</v>
      </c>
      <c r="S58" t="s">
        <v>193</v>
      </c>
      <c r="T58" t="s">
        <v>277</v>
      </c>
      <c r="U58">
        <v>2.5350187438238681E-2</v>
      </c>
      <c r="V58" t="s">
        <v>165</v>
      </c>
      <c r="AK58">
        <v>2033</v>
      </c>
      <c r="AL58" t="s">
        <v>265</v>
      </c>
      <c r="AM58">
        <v>0.60216666666666674</v>
      </c>
      <c r="AN58" t="s">
        <v>217</v>
      </c>
    </row>
    <row r="59" spans="9:40" x14ac:dyDescent="0.45">
      <c r="I59" t="s">
        <v>174</v>
      </c>
      <c r="J59" t="s">
        <v>266</v>
      </c>
      <c r="K59">
        <v>0.15919396446088677</v>
      </c>
      <c r="L59" t="s">
        <v>165</v>
      </c>
      <c r="N59" t="s">
        <v>184</v>
      </c>
      <c r="O59" t="s">
        <v>266</v>
      </c>
      <c r="P59">
        <v>0.11754781759529742</v>
      </c>
      <c r="Q59" t="s">
        <v>165</v>
      </c>
      <c r="S59" t="s">
        <v>194</v>
      </c>
      <c r="T59" t="s">
        <v>266</v>
      </c>
      <c r="U59">
        <v>0.1088443303696618</v>
      </c>
      <c r="V59" t="s">
        <v>165</v>
      </c>
      <c r="AK59">
        <v>2034</v>
      </c>
      <c r="AL59" t="s">
        <v>260</v>
      </c>
      <c r="AM59">
        <v>0.3903666666666667</v>
      </c>
      <c r="AN59" t="s">
        <v>217</v>
      </c>
    </row>
    <row r="60" spans="9:40" x14ac:dyDescent="0.45">
      <c r="I60" t="s">
        <v>174</v>
      </c>
      <c r="J60" t="s">
        <v>267</v>
      </c>
      <c r="K60">
        <v>0</v>
      </c>
      <c r="L60" t="s">
        <v>165</v>
      </c>
      <c r="N60" t="s">
        <v>184</v>
      </c>
      <c r="O60" t="s">
        <v>267</v>
      </c>
      <c r="P60">
        <v>0.10683347790614638</v>
      </c>
      <c r="Q60" t="s">
        <v>165</v>
      </c>
      <c r="S60" t="s">
        <v>194</v>
      </c>
      <c r="T60" t="s">
        <v>267</v>
      </c>
      <c r="U60">
        <v>0.10118218159219837</v>
      </c>
      <c r="V60" t="s">
        <v>165</v>
      </c>
      <c r="AK60">
        <v>2034</v>
      </c>
      <c r="AL60" t="s">
        <v>262</v>
      </c>
      <c r="AM60">
        <v>0.28263333333333335</v>
      </c>
      <c r="AN60" t="s">
        <v>217</v>
      </c>
    </row>
    <row r="61" spans="9:40" x14ac:dyDescent="0.45">
      <c r="I61" t="s">
        <v>174</v>
      </c>
      <c r="J61" t="s">
        <v>268</v>
      </c>
      <c r="K61">
        <v>5.9465426014318826E-3</v>
      </c>
      <c r="L61" t="s">
        <v>165</v>
      </c>
      <c r="N61" t="s">
        <v>184</v>
      </c>
      <c r="O61" t="s">
        <v>268</v>
      </c>
      <c r="P61">
        <v>1.9193232519705294E-2</v>
      </c>
      <c r="Q61" t="s">
        <v>165</v>
      </c>
      <c r="S61" t="s">
        <v>194</v>
      </c>
      <c r="T61" t="s">
        <v>268</v>
      </c>
      <c r="U61">
        <v>1.9668719167291304E-2</v>
      </c>
      <c r="V61" t="s">
        <v>165</v>
      </c>
      <c r="AK61">
        <v>2034</v>
      </c>
      <c r="AL61" t="s">
        <v>263</v>
      </c>
      <c r="AM61">
        <v>0.14956666666666665</v>
      </c>
      <c r="AN61" t="s">
        <v>217</v>
      </c>
    </row>
    <row r="62" spans="9:40" x14ac:dyDescent="0.45">
      <c r="I62" t="s">
        <v>174</v>
      </c>
      <c r="J62" t="s">
        <v>269</v>
      </c>
      <c r="K62">
        <v>0.30328279248587625</v>
      </c>
      <c r="L62" t="s">
        <v>165</v>
      </c>
      <c r="N62" t="s">
        <v>184</v>
      </c>
      <c r="O62" t="s">
        <v>269</v>
      </c>
      <c r="P62">
        <v>0.13722519664860905</v>
      </c>
      <c r="Q62" t="s">
        <v>165</v>
      </c>
      <c r="S62" t="s">
        <v>194</v>
      </c>
      <c r="T62" t="s">
        <v>269</v>
      </c>
      <c r="U62">
        <v>0.1310654636968335</v>
      </c>
      <c r="V62" t="s">
        <v>165</v>
      </c>
      <c r="AK62">
        <v>2034</v>
      </c>
      <c r="AL62" t="s">
        <v>265</v>
      </c>
      <c r="AM62">
        <v>0.55953333333333333</v>
      </c>
      <c r="AN62" t="s">
        <v>217</v>
      </c>
    </row>
    <row r="63" spans="9:40" x14ac:dyDescent="0.45">
      <c r="I63" t="s">
        <v>174</v>
      </c>
      <c r="J63" t="s">
        <v>270</v>
      </c>
      <c r="K63">
        <v>8.447595771781953E-3</v>
      </c>
      <c r="L63" t="s">
        <v>165</v>
      </c>
      <c r="N63" t="s">
        <v>184</v>
      </c>
      <c r="O63" t="s">
        <v>270</v>
      </c>
      <c r="P63">
        <v>0.12367603348197501</v>
      </c>
      <c r="Q63" t="s">
        <v>165</v>
      </c>
      <c r="S63" t="s">
        <v>194</v>
      </c>
      <c r="T63" t="s">
        <v>270</v>
      </c>
      <c r="U63">
        <v>0.13500940189776114</v>
      </c>
      <c r="V63" t="s">
        <v>165</v>
      </c>
      <c r="AK63">
        <v>2035</v>
      </c>
      <c r="AL63" t="s">
        <v>260</v>
      </c>
      <c r="AM63">
        <v>0.36566666666666664</v>
      </c>
      <c r="AN63" t="s">
        <v>217</v>
      </c>
    </row>
    <row r="64" spans="9:40" x14ac:dyDescent="0.45">
      <c r="I64" t="s">
        <v>174</v>
      </c>
      <c r="J64" t="s">
        <v>271</v>
      </c>
      <c r="K64">
        <v>3.0416025385831217E-2</v>
      </c>
      <c r="L64" t="s">
        <v>165</v>
      </c>
      <c r="N64" t="s">
        <v>184</v>
      </c>
      <c r="O64" t="s">
        <v>271</v>
      </c>
      <c r="P64">
        <v>2.3127986112657081E-2</v>
      </c>
      <c r="Q64" t="s">
        <v>165</v>
      </c>
      <c r="S64" t="s">
        <v>194</v>
      </c>
      <c r="T64" t="s">
        <v>271</v>
      </c>
      <c r="U64">
        <v>2.374389197619154E-2</v>
      </c>
      <c r="V64" t="s">
        <v>165</v>
      </c>
      <c r="AK64">
        <v>2035</v>
      </c>
      <c r="AL64" t="s">
        <v>262</v>
      </c>
      <c r="AM64">
        <v>0.29370000000000002</v>
      </c>
      <c r="AN64" t="s">
        <v>217</v>
      </c>
    </row>
    <row r="65" spans="9:40" x14ac:dyDescent="0.45">
      <c r="I65" t="s">
        <v>174</v>
      </c>
      <c r="J65" t="s">
        <v>272</v>
      </c>
      <c r="K65">
        <v>0.33390910650914085</v>
      </c>
      <c r="L65" t="s">
        <v>165</v>
      </c>
      <c r="N65" t="s">
        <v>184</v>
      </c>
      <c r="O65" t="s">
        <v>272</v>
      </c>
      <c r="P65">
        <v>7.1897495622499252E-2</v>
      </c>
      <c r="Q65" t="s">
        <v>165</v>
      </c>
      <c r="S65" t="s">
        <v>194</v>
      </c>
      <c r="T65" t="s">
        <v>272</v>
      </c>
      <c r="U65">
        <v>8.4719858279435123E-2</v>
      </c>
      <c r="V65" t="s">
        <v>165</v>
      </c>
      <c r="AK65">
        <v>2035</v>
      </c>
      <c r="AL65" t="s">
        <v>263</v>
      </c>
      <c r="AM65">
        <v>0.14183333333333334</v>
      </c>
      <c r="AN65" t="s">
        <v>217</v>
      </c>
    </row>
    <row r="66" spans="9:40" x14ac:dyDescent="0.45">
      <c r="I66" t="s">
        <v>174</v>
      </c>
      <c r="J66" t="s">
        <v>273</v>
      </c>
      <c r="K66">
        <v>2.5058496002499021E-2</v>
      </c>
      <c r="L66" t="s">
        <v>165</v>
      </c>
      <c r="N66" t="s">
        <v>184</v>
      </c>
      <c r="O66" t="s">
        <v>273</v>
      </c>
      <c r="P66">
        <v>6.0236286842177029E-2</v>
      </c>
      <c r="Q66" t="s">
        <v>165</v>
      </c>
      <c r="S66" t="s">
        <v>194</v>
      </c>
      <c r="T66" t="s">
        <v>273</v>
      </c>
      <c r="U66">
        <v>7.8754737100300079E-2</v>
      </c>
      <c r="V66" t="s">
        <v>165</v>
      </c>
      <c r="AK66">
        <v>2035</v>
      </c>
      <c r="AL66" t="s">
        <v>265</v>
      </c>
      <c r="AM66">
        <v>0.59459999999999991</v>
      </c>
      <c r="AN66" t="s">
        <v>217</v>
      </c>
    </row>
    <row r="67" spans="9:40" x14ac:dyDescent="0.45">
      <c r="I67" t="s">
        <v>174</v>
      </c>
      <c r="J67" t="s">
        <v>274</v>
      </c>
      <c r="K67">
        <v>3.974226847767863E-2</v>
      </c>
      <c r="L67" t="s">
        <v>165</v>
      </c>
      <c r="N67" t="s">
        <v>184</v>
      </c>
      <c r="O67" t="s">
        <v>274</v>
      </c>
      <c r="P67">
        <v>1.1633213125370079E-2</v>
      </c>
      <c r="Q67" t="s">
        <v>165</v>
      </c>
      <c r="S67" t="s">
        <v>194</v>
      </c>
      <c r="T67" t="s">
        <v>274</v>
      </c>
      <c r="U67">
        <v>1.6817588552342916E-2</v>
      </c>
      <c r="V67" t="s">
        <v>165</v>
      </c>
      <c r="AK67">
        <v>2036</v>
      </c>
      <c r="AL67" t="s">
        <v>260</v>
      </c>
      <c r="AM67">
        <v>0.33813333333333334</v>
      </c>
      <c r="AN67" t="s">
        <v>217</v>
      </c>
    </row>
    <row r="68" spans="9:40" x14ac:dyDescent="0.45">
      <c r="I68" t="s">
        <v>174</v>
      </c>
      <c r="J68" t="s">
        <v>275</v>
      </c>
      <c r="K68">
        <v>9.2748499382099836E-2</v>
      </c>
      <c r="L68" t="s">
        <v>165</v>
      </c>
      <c r="N68" t="s">
        <v>184</v>
      </c>
      <c r="O68" t="s">
        <v>275</v>
      </c>
      <c r="P68">
        <v>0.14881961804358448</v>
      </c>
      <c r="Q68" t="s">
        <v>165</v>
      </c>
      <c r="S68" t="s">
        <v>194</v>
      </c>
      <c r="T68" t="s">
        <v>275</v>
      </c>
      <c r="U68">
        <v>0.13965983710731572</v>
      </c>
      <c r="V68" t="s">
        <v>165</v>
      </c>
      <c r="AK68">
        <v>2036</v>
      </c>
      <c r="AL68" t="s">
        <v>262</v>
      </c>
      <c r="AM68">
        <v>0.25109999999999999</v>
      </c>
      <c r="AN68" t="s">
        <v>217</v>
      </c>
    </row>
    <row r="69" spans="9:40" x14ac:dyDescent="0.45">
      <c r="I69" t="s">
        <v>174</v>
      </c>
      <c r="J69" t="s">
        <v>276</v>
      </c>
      <c r="K69">
        <v>0</v>
      </c>
      <c r="L69" t="s">
        <v>165</v>
      </c>
      <c r="N69" t="s">
        <v>184</v>
      </c>
      <c r="O69" t="s">
        <v>276</v>
      </c>
      <c r="P69">
        <v>0.15183255880091251</v>
      </c>
      <c r="Q69" t="s">
        <v>165</v>
      </c>
      <c r="S69" t="s">
        <v>194</v>
      </c>
      <c r="T69" t="s">
        <v>276</v>
      </c>
      <c r="U69">
        <v>0.13463248854154519</v>
      </c>
      <c r="V69" t="s">
        <v>165</v>
      </c>
      <c r="AK69">
        <v>2036</v>
      </c>
      <c r="AL69" t="s">
        <v>263</v>
      </c>
      <c r="AM69">
        <v>0.12913333333333335</v>
      </c>
      <c r="AN69" t="s">
        <v>217</v>
      </c>
    </row>
    <row r="70" spans="9:40" x14ac:dyDescent="0.45">
      <c r="I70" t="s">
        <v>174</v>
      </c>
      <c r="J70" t="s">
        <v>277</v>
      </c>
      <c r="K70">
        <v>1.2547089227741041E-3</v>
      </c>
      <c r="L70" t="s">
        <v>165</v>
      </c>
      <c r="N70" t="s">
        <v>184</v>
      </c>
      <c r="O70" t="s">
        <v>277</v>
      </c>
      <c r="P70">
        <v>2.7977083301065558E-2</v>
      </c>
      <c r="Q70" t="s">
        <v>165</v>
      </c>
      <c r="S70" t="s">
        <v>194</v>
      </c>
      <c r="T70" t="s">
        <v>277</v>
      </c>
      <c r="U70">
        <v>2.590150171912755E-2</v>
      </c>
      <c r="V70" t="s">
        <v>165</v>
      </c>
      <c r="AK70">
        <v>2036</v>
      </c>
      <c r="AL70" t="s">
        <v>265</v>
      </c>
      <c r="AM70">
        <v>0.47473333333333328</v>
      </c>
      <c r="AN70" t="s">
        <v>217</v>
      </c>
    </row>
    <row r="71" spans="9:40" x14ac:dyDescent="0.45">
      <c r="I71" t="s">
        <v>175</v>
      </c>
      <c r="J71" t="s">
        <v>266</v>
      </c>
      <c r="K71">
        <v>0.15889688047822584</v>
      </c>
      <c r="L71" t="s">
        <v>165</v>
      </c>
      <c r="N71" t="s">
        <v>185</v>
      </c>
      <c r="O71" t="s">
        <v>266</v>
      </c>
      <c r="P71">
        <v>0.11202008986711448</v>
      </c>
      <c r="Q71" t="s">
        <v>165</v>
      </c>
      <c r="S71" t="s">
        <v>195</v>
      </c>
      <c r="T71" t="s">
        <v>266</v>
      </c>
      <c r="U71">
        <v>0.10683278206313068</v>
      </c>
      <c r="V71" t="s">
        <v>165</v>
      </c>
      <c r="AK71">
        <v>2037</v>
      </c>
      <c r="AL71" t="s">
        <v>260</v>
      </c>
      <c r="AM71">
        <v>0.30386666666666667</v>
      </c>
      <c r="AN71" t="s">
        <v>217</v>
      </c>
    </row>
    <row r="72" spans="9:40" x14ac:dyDescent="0.45">
      <c r="I72" t="s">
        <v>175</v>
      </c>
      <c r="J72" t="s">
        <v>267</v>
      </c>
      <c r="K72">
        <v>0</v>
      </c>
      <c r="L72" t="s">
        <v>165</v>
      </c>
      <c r="N72" t="s">
        <v>185</v>
      </c>
      <c r="O72" t="s">
        <v>267</v>
      </c>
      <c r="P72">
        <v>0.10353733357393347</v>
      </c>
      <c r="Q72" t="s">
        <v>165</v>
      </c>
      <c r="S72" t="s">
        <v>195</v>
      </c>
      <c r="T72" t="s">
        <v>267</v>
      </c>
      <c r="U72">
        <v>9.1379382597785816E-2</v>
      </c>
      <c r="V72" t="s">
        <v>165</v>
      </c>
      <c r="AK72">
        <v>2037</v>
      </c>
      <c r="AL72" t="s">
        <v>262</v>
      </c>
      <c r="AM72">
        <v>0.24180000000000001</v>
      </c>
      <c r="AN72" t="s">
        <v>217</v>
      </c>
    </row>
    <row r="73" spans="9:40" x14ac:dyDescent="0.45">
      <c r="I73" t="s">
        <v>175</v>
      </c>
      <c r="J73" t="s">
        <v>268</v>
      </c>
      <c r="K73">
        <v>5.7751792320159621E-3</v>
      </c>
      <c r="L73" t="s">
        <v>165</v>
      </c>
      <c r="N73" t="s">
        <v>185</v>
      </c>
      <c r="O73" t="s">
        <v>268</v>
      </c>
      <c r="P73">
        <v>1.8690466952271102E-2</v>
      </c>
      <c r="Q73" t="s">
        <v>165</v>
      </c>
      <c r="S73" t="s">
        <v>195</v>
      </c>
      <c r="T73" t="s">
        <v>268</v>
      </c>
      <c r="U73">
        <v>1.720928775884446E-2</v>
      </c>
      <c r="V73" t="s">
        <v>165</v>
      </c>
      <c r="AK73">
        <v>2037</v>
      </c>
      <c r="AL73" t="s">
        <v>263</v>
      </c>
      <c r="AM73">
        <v>0.13026666666666667</v>
      </c>
      <c r="AN73" t="s">
        <v>217</v>
      </c>
    </row>
    <row r="74" spans="9:40" x14ac:dyDescent="0.45">
      <c r="I74" t="s">
        <v>175</v>
      </c>
      <c r="J74" t="s">
        <v>269</v>
      </c>
      <c r="K74">
        <v>0.30965859535974477</v>
      </c>
      <c r="L74" t="s">
        <v>165</v>
      </c>
      <c r="N74" t="s">
        <v>185</v>
      </c>
      <c r="O74" t="s">
        <v>269</v>
      </c>
      <c r="P74">
        <v>0.13873008245988969</v>
      </c>
      <c r="Q74" t="s">
        <v>165</v>
      </c>
      <c r="S74" t="s">
        <v>195</v>
      </c>
      <c r="T74" t="s">
        <v>269</v>
      </c>
      <c r="U74">
        <v>0.14504057308536045</v>
      </c>
      <c r="V74" t="s">
        <v>165</v>
      </c>
      <c r="AK74">
        <v>2037</v>
      </c>
      <c r="AL74" t="s">
        <v>265</v>
      </c>
      <c r="AM74">
        <v>0.47140000000000004</v>
      </c>
      <c r="AN74" t="s">
        <v>217</v>
      </c>
    </row>
    <row r="75" spans="9:40" x14ac:dyDescent="0.45">
      <c r="I75" t="s">
        <v>175</v>
      </c>
      <c r="J75" t="s">
        <v>270</v>
      </c>
      <c r="K75">
        <v>8.0539516243208209E-3</v>
      </c>
      <c r="L75" t="s">
        <v>165</v>
      </c>
      <c r="N75" t="s">
        <v>185</v>
      </c>
      <c r="O75" t="s">
        <v>270</v>
      </c>
      <c r="P75">
        <v>0.12561095126331451</v>
      </c>
      <c r="Q75" t="s">
        <v>165</v>
      </c>
      <c r="S75" t="s">
        <v>195</v>
      </c>
      <c r="T75" t="s">
        <v>270</v>
      </c>
      <c r="U75">
        <v>0.12791915659710235</v>
      </c>
      <c r="V75" t="s">
        <v>165</v>
      </c>
      <c r="AK75">
        <v>2038</v>
      </c>
      <c r="AL75" t="s">
        <v>260</v>
      </c>
      <c r="AM75">
        <v>0.32023333333333331</v>
      </c>
      <c r="AN75" t="s">
        <v>217</v>
      </c>
    </row>
    <row r="76" spans="9:40" x14ac:dyDescent="0.45">
      <c r="I76" t="s">
        <v>175</v>
      </c>
      <c r="J76" t="s">
        <v>271</v>
      </c>
      <c r="K76">
        <v>3.1936486338614088E-2</v>
      </c>
      <c r="L76" t="s">
        <v>165</v>
      </c>
      <c r="N76" t="s">
        <v>185</v>
      </c>
      <c r="O76" t="s">
        <v>271</v>
      </c>
      <c r="P76">
        <v>2.3047559218542513E-2</v>
      </c>
      <c r="Q76" t="s">
        <v>165</v>
      </c>
      <c r="S76" t="s">
        <v>195</v>
      </c>
      <c r="T76" t="s">
        <v>271</v>
      </c>
      <c r="U76">
        <v>2.5415096734898762E-2</v>
      </c>
      <c r="V76" t="s">
        <v>165</v>
      </c>
      <c r="AK76">
        <v>2038</v>
      </c>
      <c r="AL76" t="s">
        <v>262</v>
      </c>
      <c r="AM76">
        <v>0.25106666666666672</v>
      </c>
      <c r="AN76" t="s">
        <v>217</v>
      </c>
    </row>
    <row r="77" spans="9:40" x14ac:dyDescent="0.45">
      <c r="I77" t="s">
        <v>175</v>
      </c>
      <c r="J77" t="s">
        <v>272</v>
      </c>
      <c r="K77">
        <v>0.3264127879504447</v>
      </c>
      <c r="L77" t="s">
        <v>165</v>
      </c>
      <c r="N77" t="s">
        <v>185</v>
      </c>
      <c r="O77" t="s">
        <v>272</v>
      </c>
      <c r="P77">
        <v>7.5772499534554269E-2</v>
      </c>
      <c r="Q77" t="s">
        <v>165</v>
      </c>
      <c r="S77" t="s">
        <v>195</v>
      </c>
      <c r="T77" t="s">
        <v>272</v>
      </c>
      <c r="U77">
        <v>7.8090730226262228E-2</v>
      </c>
      <c r="V77" t="s">
        <v>165</v>
      </c>
      <c r="AK77">
        <v>2038</v>
      </c>
      <c r="AL77" t="s">
        <v>263</v>
      </c>
      <c r="AM77">
        <v>0.12283333333333335</v>
      </c>
      <c r="AN77" t="s">
        <v>217</v>
      </c>
    </row>
    <row r="78" spans="9:40" x14ac:dyDescent="0.45">
      <c r="I78" t="s">
        <v>175</v>
      </c>
      <c r="J78" t="s">
        <v>273</v>
      </c>
      <c r="K78">
        <v>2.4827750552025823E-2</v>
      </c>
      <c r="L78" t="s">
        <v>165</v>
      </c>
      <c r="N78" t="s">
        <v>185</v>
      </c>
      <c r="O78" t="s">
        <v>273</v>
      </c>
      <c r="P78">
        <v>6.4410407863595462E-2</v>
      </c>
      <c r="Q78" t="s">
        <v>165</v>
      </c>
      <c r="S78" t="s">
        <v>195</v>
      </c>
      <c r="T78" t="s">
        <v>273</v>
      </c>
      <c r="U78">
        <v>6.022902532950019E-2</v>
      </c>
      <c r="V78" t="s">
        <v>165</v>
      </c>
      <c r="AK78">
        <v>2038</v>
      </c>
      <c r="AL78" t="s">
        <v>265</v>
      </c>
      <c r="AM78">
        <v>0.47333333333333333</v>
      </c>
      <c r="AN78" t="s">
        <v>217</v>
      </c>
    </row>
    <row r="79" spans="9:40" x14ac:dyDescent="0.45">
      <c r="I79" t="s">
        <v>175</v>
      </c>
      <c r="J79" t="s">
        <v>274</v>
      </c>
      <c r="K79">
        <v>3.7755346166206509E-2</v>
      </c>
      <c r="L79" t="s">
        <v>165</v>
      </c>
      <c r="N79" t="s">
        <v>185</v>
      </c>
      <c r="O79" t="s">
        <v>274</v>
      </c>
      <c r="P79">
        <v>1.2714626527971982E-2</v>
      </c>
      <c r="Q79" t="s">
        <v>165</v>
      </c>
      <c r="S79" t="s">
        <v>195</v>
      </c>
      <c r="T79" t="s">
        <v>274</v>
      </c>
      <c r="U79">
        <v>1.3513528598439685E-2</v>
      </c>
      <c r="V79" t="s">
        <v>165</v>
      </c>
      <c r="AK79">
        <v>2039</v>
      </c>
      <c r="AL79" t="s">
        <v>260</v>
      </c>
      <c r="AM79">
        <v>0.37040000000000001</v>
      </c>
      <c r="AN79" t="s">
        <v>217</v>
      </c>
    </row>
    <row r="80" spans="9:40" x14ac:dyDescent="0.45">
      <c r="I80" t="s">
        <v>175</v>
      </c>
      <c r="J80" t="s">
        <v>275</v>
      </c>
      <c r="K80">
        <v>9.4956370385354538E-2</v>
      </c>
      <c r="L80" t="s">
        <v>165</v>
      </c>
      <c r="N80" t="s">
        <v>185</v>
      </c>
      <c r="O80" t="s">
        <v>275</v>
      </c>
      <c r="P80">
        <v>0.14909334627362911</v>
      </c>
      <c r="Q80" t="s">
        <v>165</v>
      </c>
      <c r="S80" t="s">
        <v>195</v>
      </c>
      <c r="T80" t="s">
        <v>275</v>
      </c>
      <c r="U80">
        <v>0.15996147810798994</v>
      </c>
      <c r="V80" t="s">
        <v>165</v>
      </c>
      <c r="AK80">
        <v>2039</v>
      </c>
      <c r="AL80" t="s">
        <v>262</v>
      </c>
      <c r="AM80">
        <v>0.28853333333333336</v>
      </c>
      <c r="AN80" t="s">
        <v>217</v>
      </c>
    </row>
    <row r="81" spans="9:40" x14ac:dyDescent="0.45">
      <c r="I81" t="s">
        <v>175</v>
      </c>
      <c r="J81" t="s">
        <v>276</v>
      </c>
      <c r="K81">
        <v>0</v>
      </c>
      <c r="L81" t="s">
        <v>165</v>
      </c>
      <c r="N81" t="s">
        <v>185</v>
      </c>
      <c r="O81" t="s">
        <v>276</v>
      </c>
      <c r="P81">
        <v>0.1487613386788251</v>
      </c>
      <c r="Q81" t="s">
        <v>165</v>
      </c>
      <c r="S81" t="s">
        <v>195</v>
      </c>
      <c r="T81" t="s">
        <v>276</v>
      </c>
      <c r="U81">
        <v>0.14577533938097645</v>
      </c>
      <c r="V81" t="s">
        <v>165</v>
      </c>
      <c r="AK81">
        <v>2039</v>
      </c>
      <c r="AL81" t="s">
        <v>263</v>
      </c>
      <c r="AM81">
        <v>0.1535</v>
      </c>
      <c r="AN81" t="s">
        <v>217</v>
      </c>
    </row>
    <row r="82" spans="9:40" x14ac:dyDescent="0.45">
      <c r="I82" t="s">
        <v>175</v>
      </c>
      <c r="J82" t="s">
        <v>277</v>
      </c>
      <c r="K82">
        <v>1.7266519130488746E-3</v>
      </c>
      <c r="L82" t="s">
        <v>165</v>
      </c>
      <c r="N82" t="s">
        <v>185</v>
      </c>
      <c r="O82" t="s">
        <v>277</v>
      </c>
      <c r="P82">
        <v>2.7611297786357632E-2</v>
      </c>
      <c r="Q82" t="s">
        <v>165</v>
      </c>
      <c r="S82" t="s">
        <v>195</v>
      </c>
      <c r="T82" t="s">
        <v>277</v>
      </c>
      <c r="U82">
        <v>2.8633619519716089E-2</v>
      </c>
      <c r="V82" t="s">
        <v>165</v>
      </c>
      <c r="AK82">
        <v>2039</v>
      </c>
      <c r="AL82" t="s">
        <v>265</v>
      </c>
      <c r="AM82">
        <v>0.57369999999999999</v>
      </c>
      <c r="AN82" t="s">
        <v>217</v>
      </c>
    </row>
    <row r="83" spans="9:40" x14ac:dyDescent="0.45">
      <c r="I83" t="s">
        <v>176</v>
      </c>
      <c r="J83" t="s">
        <v>266</v>
      </c>
      <c r="K83">
        <v>0.15786470253587406</v>
      </c>
      <c r="L83" t="s">
        <v>165</v>
      </c>
      <c r="N83" t="s">
        <v>186</v>
      </c>
      <c r="O83" t="s">
        <v>266</v>
      </c>
      <c r="P83">
        <v>0.11239495032580944</v>
      </c>
      <c r="Q83" t="s">
        <v>165</v>
      </c>
      <c r="S83" t="s">
        <v>196</v>
      </c>
      <c r="T83" t="s">
        <v>266</v>
      </c>
      <c r="U83">
        <v>0.11458508345351198</v>
      </c>
      <c r="V83" t="s">
        <v>165</v>
      </c>
      <c r="AK83">
        <v>2040</v>
      </c>
      <c r="AL83" t="s">
        <v>260</v>
      </c>
      <c r="AM83">
        <v>0.36786666666666662</v>
      </c>
      <c r="AN83" t="s">
        <v>217</v>
      </c>
    </row>
    <row r="84" spans="9:40" x14ac:dyDescent="0.45">
      <c r="I84" t="s">
        <v>176</v>
      </c>
      <c r="J84" t="s">
        <v>267</v>
      </c>
      <c r="K84">
        <v>0</v>
      </c>
      <c r="L84" t="s">
        <v>165</v>
      </c>
      <c r="N84" t="s">
        <v>186</v>
      </c>
      <c r="O84" t="s">
        <v>267</v>
      </c>
      <c r="P84">
        <v>0.10349803198519565</v>
      </c>
      <c r="Q84" t="s">
        <v>165</v>
      </c>
      <c r="S84" t="s">
        <v>196</v>
      </c>
      <c r="T84" t="s">
        <v>267</v>
      </c>
      <c r="U84">
        <v>0.10994643423237331</v>
      </c>
      <c r="V84" t="s">
        <v>165</v>
      </c>
      <c r="AK84">
        <v>2040</v>
      </c>
      <c r="AL84" t="s">
        <v>262</v>
      </c>
      <c r="AM84">
        <v>0.28936666666666666</v>
      </c>
      <c r="AN84" t="s">
        <v>217</v>
      </c>
    </row>
    <row r="85" spans="9:40" x14ac:dyDescent="0.45">
      <c r="I85" t="s">
        <v>176</v>
      </c>
      <c r="J85" t="s">
        <v>268</v>
      </c>
      <c r="K85">
        <v>5.9998756344776744E-3</v>
      </c>
      <c r="L85" t="s">
        <v>165</v>
      </c>
      <c r="N85" t="s">
        <v>186</v>
      </c>
      <c r="O85" t="s">
        <v>268</v>
      </c>
      <c r="P85">
        <v>1.8790961850679126E-2</v>
      </c>
      <c r="Q85" t="s">
        <v>165</v>
      </c>
      <c r="S85" t="s">
        <v>196</v>
      </c>
      <c r="T85" t="s">
        <v>268</v>
      </c>
      <c r="U85">
        <v>2.0940094907294263E-2</v>
      </c>
      <c r="V85" t="s">
        <v>165</v>
      </c>
      <c r="AK85">
        <v>2040</v>
      </c>
      <c r="AL85" t="s">
        <v>263</v>
      </c>
      <c r="AM85">
        <v>0.15543333333333334</v>
      </c>
      <c r="AN85" t="s">
        <v>217</v>
      </c>
    </row>
    <row r="86" spans="9:40" x14ac:dyDescent="0.45">
      <c r="I86" t="s">
        <v>176</v>
      </c>
      <c r="J86" t="s">
        <v>269</v>
      </c>
      <c r="K86">
        <v>0.30992543994022137</v>
      </c>
      <c r="L86" t="s">
        <v>165</v>
      </c>
      <c r="N86" t="s">
        <v>186</v>
      </c>
      <c r="O86" t="s">
        <v>269</v>
      </c>
      <c r="P86">
        <v>0.13875543806976354</v>
      </c>
      <c r="Q86" t="s">
        <v>165</v>
      </c>
      <c r="S86" t="s">
        <v>196</v>
      </c>
      <c r="T86" t="s">
        <v>269</v>
      </c>
      <c r="U86">
        <v>0.12543802936275811</v>
      </c>
      <c r="V86" t="s">
        <v>165</v>
      </c>
      <c r="AK86">
        <v>2040</v>
      </c>
      <c r="AL86" t="s">
        <v>265</v>
      </c>
      <c r="AM86">
        <v>0.5528333333333334</v>
      </c>
      <c r="AN86" t="s">
        <v>217</v>
      </c>
    </row>
    <row r="87" spans="9:40" x14ac:dyDescent="0.45">
      <c r="I87" t="s">
        <v>176</v>
      </c>
      <c r="J87" t="s">
        <v>270</v>
      </c>
      <c r="K87">
        <v>8.8394375134530426E-3</v>
      </c>
      <c r="L87" t="s">
        <v>165</v>
      </c>
      <c r="N87" t="s">
        <v>186</v>
      </c>
      <c r="O87" t="s">
        <v>270</v>
      </c>
      <c r="P87">
        <v>0.1223720715635423</v>
      </c>
      <c r="Q87" t="s">
        <v>165</v>
      </c>
      <c r="S87" t="s">
        <v>196</v>
      </c>
      <c r="T87" t="s">
        <v>270</v>
      </c>
      <c r="U87">
        <v>0.12844806503443598</v>
      </c>
      <c r="V87" t="s">
        <v>165</v>
      </c>
      <c r="AK87">
        <v>2041</v>
      </c>
      <c r="AL87" t="s">
        <v>260</v>
      </c>
      <c r="AM87">
        <v>0.37883333333333336</v>
      </c>
      <c r="AN87" t="s">
        <v>217</v>
      </c>
    </row>
    <row r="88" spans="9:40" x14ac:dyDescent="0.45">
      <c r="I88" t="s">
        <v>176</v>
      </c>
      <c r="J88" t="s">
        <v>271</v>
      </c>
      <c r="K88">
        <v>3.4449703785232703E-2</v>
      </c>
      <c r="L88" t="s">
        <v>165</v>
      </c>
      <c r="N88" t="s">
        <v>186</v>
      </c>
      <c r="O88" t="s">
        <v>271</v>
      </c>
      <c r="P88">
        <v>2.3976337304522404E-2</v>
      </c>
      <c r="Q88" t="s">
        <v>165</v>
      </c>
      <c r="S88" t="s">
        <v>196</v>
      </c>
      <c r="T88" t="s">
        <v>271</v>
      </c>
      <c r="U88">
        <v>2.1702014744000724E-2</v>
      </c>
      <c r="V88" t="s">
        <v>165</v>
      </c>
      <c r="AK88">
        <v>2041</v>
      </c>
      <c r="AL88" t="s">
        <v>262</v>
      </c>
      <c r="AM88">
        <v>0.30046666666666666</v>
      </c>
      <c r="AN88" t="s">
        <v>217</v>
      </c>
    </row>
    <row r="89" spans="9:40" x14ac:dyDescent="0.45">
      <c r="I89" t="s">
        <v>176</v>
      </c>
      <c r="J89" t="s">
        <v>272</v>
      </c>
      <c r="K89">
        <v>0.32564047721747919</v>
      </c>
      <c r="L89" t="s">
        <v>165</v>
      </c>
      <c r="N89" t="s">
        <v>186</v>
      </c>
      <c r="O89" t="s">
        <v>272</v>
      </c>
      <c r="P89">
        <v>7.7442852281308511E-2</v>
      </c>
      <c r="Q89" t="s">
        <v>165</v>
      </c>
      <c r="S89" t="s">
        <v>196</v>
      </c>
      <c r="T89" t="s">
        <v>272</v>
      </c>
      <c r="U89">
        <v>8.0115530213563838E-2</v>
      </c>
      <c r="V89" t="s">
        <v>165</v>
      </c>
      <c r="AK89">
        <v>2041</v>
      </c>
      <c r="AL89" t="s">
        <v>263</v>
      </c>
      <c r="AM89">
        <v>0.1525</v>
      </c>
      <c r="AN89" t="s">
        <v>217</v>
      </c>
    </row>
    <row r="90" spans="9:40" x14ac:dyDescent="0.45">
      <c r="I90" t="s">
        <v>176</v>
      </c>
      <c r="J90" t="s">
        <v>273</v>
      </c>
      <c r="K90">
        <v>2.4991756356451827E-2</v>
      </c>
      <c r="L90" t="s">
        <v>165</v>
      </c>
      <c r="N90" t="s">
        <v>186</v>
      </c>
      <c r="O90" t="s">
        <v>273</v>
      </c>
      <c r="P90">
        <v>6.5599209376651355E-2</v>
      </c>
      <c r="Q90" t="s">
        <v>165</v>
      </c>
      <c r="S90" t="s">
        <v>196</v>
      </c>
      <c r="T90" t="s">
        <v>273</v>
      </c>
      <c r="U90">
        <v>8.2571550309031433E-2</v>
      </c>
      <c r="V90" t="s">
        <v>165</v>
      </c>
      <c r="AK90">
        <v>2041</v>
      </c>
      <c r="AL90" t="s">
        <v>265</v>
      </c>
      <c r="AM90">
        <v>0.54776666666666662</v>
      </c>
      <c r="AN90" t="s">
        <v>217</v>
      </c>
    </row>
    <row r="91" spans="9:40" x14ac:dyDescent="0.45">
      <c r="I91" t="s">
        <v>176</v>
      </c>
      <c r="J91" t="s">
        <v>274</v>
      </c>
      <c r="K91">
        <v>3.9988386447371627E-2</v>
      </c>
      <c r="L91" t="s">
        <v>165</v>
      </c>
      <c r="N91" t="s">
        <v>186</v>
      </c>
      <c r="O91" t="s">
        <v>274</v>
      </c>
      <c r="P91">
        <v>1.3257847570225906E-2</v>
      </c>
      <c r="Q91" t="s">
        <v>165</v>
      </c>
      <c r="S91" t="s">
        <v>196</v>
      </c>
      <c r="T91" t="s">
        <v>274</v>
      </c>
      <c r="U91">
        <v>1.7601687280638097E-2</v>
      </c>
      <c r="V91" t="s">
        <v>165</v>
      </c>
      <c r="AK91">
        <v>2042</v>
      </c>
      <c r="AL91" t="s">
        <v>260</v>
      </c>
      <c r="AM91">
        <v>0.35033333333333333</v>
      </c>
      <c r="AN91" t="s">
        <v>217</v>
      </c>
    </row>
    <row r="92" spans="9:40" x14ac:dyDescent="0.45">
      <c r="I92" t="s">
        <v>176</v>
      </c>
      <c r="J92" t="s">
        <v>275</v>
      </c>
      <c r="K92">
        <v>9.0374248899451795E-2</v>
      </c>
      <c r="L92" t="s">
        <v>165</v>
      </c>
      <c r="N92" t="s">
        <v>186</v>
      </c>
      <c r="O92" t="s">
        <v>275</v>
      </c>
      <c r="P92">
        <v>0.1506227552139216</v>
      </c>
      <c r="Q92" t="s">
        <v>165</v>
      </c>
      <c r="S92" t="s">
        <v>196</v>
      </c>
      <c r="T92" t="s">
        <v>275</v>
      </c>
      <c r="U92">
        <v>0.13645754105393312</v>
      </c>
      <c r="V92" t="s">
        <v>165</v>
      </c>
      <c r="AK92">
        <v>2042</v>
      </c>
      <c r="AL92" t="s">
        <v>262</v>
      </c>
      <c r="AM92">
        <v>0.28560000000000002</v>
      </c>
      <c r="AN92" t="s">
        <v>217</v>
      </c>
    </row>
    <row r="93" spans="9:40" x14ac:dyDescent="0.45">
      <c r="I93" t="s">
        <v>176</v>
      </c>
      <c r="J93" t="s">
        <v>276</v>
      </c>
      <c r="K93">
        <v>0</v>
      </c>
      <c r="L93" t="s">
        <v>165</v>
      </c>
      <c r="N93" t="s">
        <v>186</v>
      </c>
      <c r="O93" t="s">
        <v>276</v>
      </c>
      <c r="P93">
        <v>0.14595240222367106</v>
      </c>
      <c r="Q93" t="s">
        <v>165</v>
      </c>
      <c r="S93" t="s">
        <v>196</v>
      </c>
      <c r="T93" t="s">
        <v>276</v>
      </c>
      <c r="U93">
        <v>0.13686271754983204</v>
      </c>
      <c r="V93" t="s">
        <v>165</v>
      </c>
      <c r="AK93">
        <v>2042</v>
      </c>
      <c r="AL93" t="s">
        <v>263</v>
      </c>
      <c r="AM93">
        <v>0.15226666666666666</v>
      </c>
      <c r="AN93" t="s">
        <v>217</v>
      </c>
    </row>
    <row r="94" spans="9:40" x14ac:dyDescent="0.45">
      <c r="I94" t="s">
        <v>176</v>
      </c>
      <c r="J94" t="s">
        <v>277</v>
      </c>
      <c r="K94">
        <v>1.925971669982916E-3</v>
      </c>
      <c r="L94" t="s">
        <v>165</v>
      </c>
      <c r="N94" t="s">
        <v>186</v>
      </c>
      <c r="O94" t="s">
        <v>277</v>
      </c>
      <c r="P94">
        <v>2.7337142234711197E-2</v>
      </c>
      <c r="Q94" t="s">
        <v>165</v>
      </c>
      <c r="S94" t="s">
        <v>196</v>
      </c>
      <c r="T94" t="s">
        <v>277</v>
      </c>
      <c r="U94">
        <v>2.5331251858627932E-2</v>
      </c>
      <c r="V94" t="s">
        <v>165</v>
      </c>
      <c r="AK94">
        <v>2042</v>
      </c>
      <c r="AL94" t="s">
        <v>265</v>
      </c>
      <c r="AM94">
        <v>0.56046666666666667</v>
      </c>
      <c r="AN94" t="s">
        <v>217</v>
      </c>
    </row>
    <row r="95" spans="9:40" x14ac:dyDescent="0.45">
      <c r="I95" t="s">
        <v>177</v>
      </c>
      <c r="J95" t="s">
        <v>266</v>
      </c>
      <c r="K95">
        <v>0.15492418712427936</v>
      </c>
      <c r="L95" t="s">
        <v>165</v>
      </c>
      <c r="N95" t="s">
        <v>187</v>
      </c>
      <c r="O95" t="s">
        <v>266</v>
      </c>
      <c r="P95">
        <v>0.11759867884115646</v>
      </c>
      <c r="Q95" t="s">
        <v>165</v>
      </c>
      <c r="S95" t="s">
        <v>197</v>
      </c>
      <c r="T95" t="s">
        <v>266</v>
      </c>
      <c r="U95">
        <v>0.11906735801521684</v>
      </c>
      <c r="V95" t="s">
        <v>165</v>
      </c>
      <c r="AK95">
        <v>2043</v>
      </c>
      <c r="AL95" t="s">
        <v>260</v>
      </c>
      <c r="AM95">
        <v>0.36366666666666664</v>
      </c>
      <c r="AN95" t="s">
        <v>217</v>
      </c>
    </row>
    <row r="96" spans="9:40" x14ac:dyDescent="0.45">
      <c r="I96" t="s">
        <v>177</v>
      </c>
      <c r="J96" t="s">
        <v>267</v>
      </c>
      <c r="K96">
        <v>0</v>
      </c>
      <c r="L96" t="s">
        <v>165</v>
      </c>
      <c r="N96" t="s">
        <v>187</v>
      </c>
      <c r="O96" t="s">
        <v>267</v>
      </c>
      <c r="P96">
        <v>0.11566158020513398</v>
      </c>
      <c r="Q96" t="s">
        <v>165</v>
      </c>
      <c r="S96" t="s">
        <v>197</v>
      </c>
      <c r="T96" t="s">
        <v>267</v>
      </c>
      <c r="U96">
        <v>0.11411223555562083</v>
      </c>
      <c r="V96" t="s">
        <v>165</v>
      </c>
      <c r="AK96">
        <v>2043</v>
      </c>
      <c r="AL96" t="s">
        <v>262</v>
      </c>
      <c r="AM96">
        <v>0.28873333333333334</v>
      </c>
      <c r="AN96" t="s">
        <v>217</v>
      </c>
    </row>
    <row r="97" spans="9:40" x14ac:dyDescent="0.45">
      <c r="I97" t="s">
        <v>177</v>
      </c>
      <c r="J97" t="s">
        <v>268</v>
      </c>
      <c r="K97">
        <v>6.4127252558410794E-3</v>
      </c>
      <c r="L97" t="s">
        <v>165</v>
      </c>
      <c r="N97" t="s">
        <v>187</v>
      </c>
      <c r="O97" t="s">
        <v>268</v>
      </c>
      <c r="P97">
        <v>2.0821638809922362E-2</v>
      </c>
      <c r="Q97" t="s">
        <v>165</v>
      </c>
      <c r="S97" t="s">
        <v>197</v>
      </c>
      <c r="T97" t="s">
        <v>268</v>
      </c>
      <c r="U97">
        <v>2.0758562742089481E-2</v>
      </c>
      <c r="V97" t="s">
        <v>165</v>
      </c>
      <c r="AK97">
        <v>2043</v>
      </c>
      <c r="AL97" t="s">
        <v>263</v>
      </c>
      <c r="AM97">
        <v>0.14810000000000001</v>
      </c>
      <c r="AN97" t="s">
        <v>217</v>
      </c>
    </row>
    <row r="98" spans="9:40" x14ac:dyDescent="0.45">
      <c r="I98" t="s">
        <v>177</v>
      </c>
      <c r="J98" t="s">
        <v>269</v>
      </c>
      <c r="K98">
        <v>0.31619580954507992</v>
      </c>
      <c r="L98" t="s">
        <v>165</v>
      </c>
      <c r="N98" t="s">
        <v>187</v>
      </c>
      <c r="O98" t="s">
        <v>269</v>
      </c>
      <c r="P98">
        <v>0.12425978174796949</v>
      </c>
      <c r="Q98" t="s">
        <v>165</v>
      </c>
      <c r="S98" t="s">
        <v>197</v>
      </c>
      <c r="T98" t="s">
        <v>269</v>
      </c>
      <c r="U98">
        <v>0.12782426170131098</v>
      </c>
      <c r="V98" t="s">
        <v>165</v>
      </c>
      <c r="AK98">
        <v>2043</v>
      </c>
      <c r="AL98" t="s">
        <v>265</v>
      </c>
      <c r="AM98">
        <v>0.54823333333333324</v>
      </c>
      <c r="AN98" t="s">
        <v>217</v>
      </c>
    </row>
    <row r="99" spans="9:40" x14ac:dyDescent="0.45">
      <c r="I99" t="s">
        <v>177</v>
      </c>
      <c r="J99" t="s">
        <v>270</v>
      </c>
      <c r="K99">
        <v>8.1437578744962824E-3</v>
      </c>
      <c r="L99" t="s">
        <v>165</v>
      </c>
      <c r="N99" t="s">
        <v>187</v>
      </c>
      <c r="O99" t="s">
        <v>270</v>
      </c>
      <c r="P99">
        <v>0.11850519435102648</v>
      </c>
      <c r="Q99" t="s">
        <v>165</v>
      </c>
      <c r="S99" t="s">
        <v>197</v>
      </c>
      <c r="T99" t="s">
        <v>270</v>
      </c>
      <c r="U99">
        <v>0.12761329507294591</v>
      </c>
      <c r="V99" t="s">
        <v>165</v>
      </c>
      <c r="AK99">
        <v>2044</v>
      </c>
      <c r="AL99" t="s">
        <v>260</v>
      </c>
      <c r="AM99">
        <v>0.38506666666666667</v>
      </c>
      <c r="AN99" t="s">
        <v>217</v>
      </c>
    </row>
    <row r="100" spans="9:40" x14ac:dyDescent="0.45">
      <c r="I100" t="s">
        <v>177</v>
      </c>
      <c r="J100" t="s">
        <v>271</v>
      </c>
      <c r="K100">
        <v>3.235380817634987E-2</v>
      </c>
      <c r="L100" t="s">
        <v>165</v>
      </c>
      <c r="N100" t="s">
        <v>187</v>
      </c>
      <c r="O100" t="s">
        <v>271</v>
      </c>
      <c r="P100">
        <v>2.2948979338816528E-2</v>
      </c>
      <c r="Q100" t="s">
        <v>165</v>
      </c>
      <c r="S100" t="s">
        <v>197</v>
      </c>
      <c r="T100" t="s">
        <v>271</v>
      </c>
      <c r="U100">
        <v>2.1743044217754182E-2</v>
      </c>
      <c r="V100" t="s">
        <v>165</v>
      </c>
      <c r="AK100">
        <v>2044</v>
      </c>
      <c r="AL100" t="s">
        <v>262</v>
      </c>
      <c r="AM100">
        <v>0.28953333333333336</v>
      </c>
      <c r="AN100" t="s">
        <v>217</v>
      </c>
    </row>
    <row r="101" spans="9:40" x14ac:dyDescent="0.45">
      <c r="I101" t="s">
        <v>177</v>
      </c>
      <c r="J101" t="s">
        <v>272</v>
      </c>
      <c r="K101">
        <v>0.32485894728851011</v>
      </c>
      <c r="L101" t="s">
        <v>165</v>
      </c>
      <c r="N101" t="s">
        <v>187</v>
      </c>
      <c r="O101" t="s">
        <v>272</v>
      </c>
      <c r="P101">
        <v>7.860655669730901E-2</v>
      </c>
      <c r="Q101" t="s">
        <v>165</v>
      </c>
      <c r="S101" t="s">
        <v>197</v>
      </c>
      <c r="T101" t="s">
        <v>272</v>
      </c>
      <c r="U101">
        <v>6.9126692568051998E-2</v>
      </c>
      <c r="V101" t="s">
        <v>165</v>
      </c>
      <c r="AK101">
        <v>2044</v>
      </c>
      <c r="AL101" t="s">
        <v>263</v>
      </c>
      <c r="AM101">
        <v>0.14569999999999997</v>
      </c>
      <c r="AN101" t="s">
        <v>217</v>
      </c>
    </row>
    <row r="102" spans="9:40" x14ac:dyDescent="0.45">
      <c r="I102" t="s">
        <v>177</v>
      </c>
      <c r="J102" t="s">
        <v>273</v>
      </c>
      <c r="K102">
        <v>2.2483903572848667E-2</v>
      </c>
      <c r="L102" t="s">
        <v>165</v>
      </c>
      <c r="N102" t="s">
        <v>187</v>
      </c>
      <c r="O102" t="s">
        <v>273</v>
      </c>
      <c r="P102">
        <v>7.7009940985951209E-2</v>
      </c>
      <c r="Q102" t="s">
        <v>165</v>
      </c>
      <c r="S102" t="s">
        <v>197</v>
      </c>
      <c r="T102" t="s">
        <v>273</v>
      </c>
      <c r="U102">
        <v>6.734830122882815E-2</v>
      </c>
      <c r="V102" t="s">
        <v>165</v>
      </c>
      <c r="AK102">
        <v>2044</v>
      </c>
      <c r="AL102" t="s">
        <v>265</v>
      </c>
      <c r="AM102">
        <v>0.57906666666666673</v>
      </c>
      <c r="AN102" t="s">
        <v>217</v>
      </c>
    </row>
    <row r="103" spans="9:40" x14ac:dyDescent="0.45">
      <c r="I103" t="s">
        <v>177</v>
      </c>
      <c r="J103" t="s">
        <v>274</v>
      </c>
      <c r="K103">
        <v>3.9270880158303906E-2</v>
      </c>
      <c r="L103" t="s">
        <v>165</v>
      </c>
      <c r="N103" t="s">
        <v>187</v>
      </c>
      <c r="O103" t="s">
        <v>274</v>
      </c>
      <c r="P103">
        <v>1.4421637648363295E-2</v>
      </c>
      <c r="Q103" t="s">
        <v>165</v>
      </c>
      <c r="S103" t="s">
        <v>197</v>
      </c>
      <c r="T103" t="s">
        <v>274</v>
      </c>
      <c r="U103">
        <v>1.4270894742784625E-2</v>
      </c>
      <c r="V103" t="s">
        <v>165</v>
      </c>
      <c r="AK103">
        <v>2045</v>
      </c>
      <c r="AL103" t="s">
        <v>260</v>
      </c>
      <c r="AM103">
        <v>0.38949999999999996</v>
      </c>
      <c r="AN103" t="s">
        <v>217</v>
      </c>
    </row>
    <row r="104" spans="9:40" x14ac:dyDescent="0.45">
      <c r="I104" t="s">
        <v>177</v>
      </c>
      <c r="J104" t="s">
        <v>275</v>
      </c>
      <c r="K104">
        <v>9.3567024910335847E-2</v>
      </c>
      <c r="L104" t="s">
        <v>165</v>
      </c>
      <c r="N104" t="s">
        <v>187</v>
      </c>
      <c r="O104" t="s">
        <v>275</v>
      </c>
      <c r="P104">
        <v>0.14228374505011188</v>
      </c>
      <c r="Q104" t="s">
        <v>165</v>
      </c>
      <c r="S104" t="s">
        <v>197</v>
      </c>
      <c r="T104" t="s">
        <v>275</v>
      </c>
      <c r="U104">
        <v>0.14384893176533436</v>
      </c>
      <c r="V104" t="s">
        <v>165</v>
      </c>
      <c r="AK104">
        <v>2045</v>
      </c>
      <c r="AL104" t="s">
        <v>262</v>
      </c>
      <c r="AM104">
        <v>0.29560000000000003</v>
      </c>
      <c r="AN104" t="s">
        <v>217</v>
      </c>
    </row>
    <row r="105" spans="9:40" x14ac:dyDescent="0.45">
      <c r="I105" t="s">
        <v>177</v>
      </c>
      <c r="J105" t="s">
        <v>276</v>
      </c>
      <c r="K105">
        <v>0</v>
      </c>
      <c r="L105" t="s">
        <v>165</v>
      </c>
      <c r="N105" t="s">
        <v>187</v>
      </c>
      <c r="O105" t="s">
        <v>276</v>
      </c>
      <c r="P105">
        <v>0.14143284501781836</v>
      </c>
      <c r="Q105" t="s">
        <v>165</v>
      </c>
      <c r="S105" t="s">
        <v>197</v>
      </c>
      <c r="T105" t="s">
        <v>276</v>
      </c>
      <c r="U105">
        <v>0.14722777648680804</v>
      </c>
      <c r="V105" t="s">
        <v>165</v>
      </c>
      <c r="AK105">
        <v>2045</v>
      </c>
      <c r="AL105" t="s">
        <v>263</v>
      </c>
      <c r="AM105">
        <v>0.15196666666666667</v>
      </c>
      <c r="AN105" t="s">
        <v>217</v>
      </c>
    </row>
    <row r="106" spans="9:40" x14ac:dyDescent="0.45">
      <c r="I106" t="s">
        <v>177</v>
      </c>
      <c r="J106" t="s">
        <v>277</v>
      </c>
      <c r="K106">
        <v>1.7889560939567176E-3</v>
      </c>
      <c r="L106" t="s">
        <v>165</v>
      </c>
      <c r="N106" t="s">
        <v>187</v>
      </c>
      <c r="O106" t="s">
        <v>277</v>
      </c>
      <c r="P106">
        <v>2.6449421306419262E-2</v>
      </c>
      <c r="Q106" t="s">
        <v>165</v>
      </c>
      <c r="S106" t="s">
        <v>197</v>
      </c>
      <c r="T106" t="s">
        <v>277</v>
      </c>
      <c r="U106">
        <v>2.7058645903255286E-2</v>
      </c>
      <c r="V106" t="s">
        <v>165</v>
      </c>
      <c r="AK106">
        <v>2045</v>
      </c>
      <c r="AL106" t="s">
        <v>265</v>
      </c>
      <c r="AM106">
        <v>0.57480000000000009</v>
      </c>
      <c r="AN106" t="s">
        <v>217</v>
      </c>
    </row>
    <row r="107" spans="9:40" x14ac:dyDescent="0.45">
      <c r="I107" t="s">
        <v>178</v>
      </c>
      <c r="J107" t="s">
        <v>266</v>
      </c>
      <c r="K107">
        <v>0.15563810349419327</v>
      </c>
      <c r="L107" t="s">
        <v>165</v>
      </c>
      <c r="N107" t="s">
        <v>188</v>
      </c>
      <c r="O107" t="s">
        <v>266</v>
      </c>
      <c r="P107">
        <v>0.11571082963683178</v>
      </c>
      <c r="Q107" t="s">
        <v>165</v>
      </c>
      <c r="S107" t="s">
        <v>198</v>
      </c>
      <c r="T107" t="s">
        <v>266</v>
      </c>
      <c r="U107">
        <v>0.11976093042055645</v>
      </c>
      <c r="V107" t="s">
        <v>165</v>
      </c>
      <c r="AK107">
        <v>2046</v>
      </c>
      <c r="AL107" t="s">
        <v>260</v>
      </c>
      <c r="AM107">
        <v>0.35416666666666669</v>
      </c>
      <c r="AN107" t="s">
        <v>217</v>
      </c>
    </row>
    <row r="108" spans="9:40" x14ac:dyDescent="0.45">
      <c r="I108" t="s">
        <v>178</v>
      </c>
      <c r="J108" t="s">
        <v>267</v>
      </c>
      <c r="K108">
        <v>0</v>
      </c>
      <c r="L108" t="s">
        <v>165</v>
      </c>
      <c r="N108" t="s">
        <v>188</v>
      </c>
      <c r="O108" t="s">
        <v>267</v>
      </c>
      <c r="P108">
        <v>0.11256693074965589</v>
      </c>
      <c r="Q108" t="s">
        <v>165</v>
      </c>
      <c r="S108" t="s">
        <v>198</v>
      </c>
      <c r="T108" t="s">
        <v>267</v>
      </c>
      <c r="U108">
        <v>0.10451076838423848</v>
      </c>
      <c r="V108" t="s">
        <v>165</v>
      </c>
      <c r="AK108">
        <v>2046</v>
      </c>
      <c r="AL108" t="s">
        <v>262</v>
      </c>
      <c r="AM108">
        <v>0.30746666666666667</v>
      </c>
      <c r="AN108" t="s">
        <v>217</v>
      </c>
    </row>
    <row r="109" spans="9:40" x14ac:dyDescent="0.45">
      <c r="I109" t="s">
        <v>178</v>
      </c>
      <c r="J109" t="s">
        <v>268</v>
      </c>
      <c r="K109">
        <v>6.1927536548844753E-3</v>
      </c>
      <c r="L109" t="s">
        <v>165</v>
      </c>
      <c r="N109" t="s">
        <v>188</v>
      </c>
      <c r="O109" t="s">
        <v>268</v>
      </c>
      <c r="P109">
        <v>1.9953427919277563E-2</v>
      </c>
      <c r="Q109" t="s">
        <v>165</v>
      </c>
      <c r="S109" t="s">
        <v>198</v>
      </c>
      <c r="T109" t="s">
        <v>268</v>
      </c>
      <c r="U109">
        <v>1.8975177824167629E-2</v>
      </c>
      <c r="V109" t="s">
        <v>165</v>
      </c>
      <c r="AK109">
        <v>2046</v>
      </c>
      <c r="AL109" t="s">
        <v>263</v>
      </c>
      <c r="AM109">
        <v>0.15366666666666665</v>
      </c>
      <c r="AN109" t="s">
        <v>217</v>
      </c>
    </row>
    <row r="110" spans="9:40" x14ac:dyDescent="0.45">
      <c r="I110" t="s">
        <v>178</v>
      </c>
      <c r="J110" t="s">
        <v>269</v>
      </c>
      <c r="K110">
        <v>0.31191312316605507</v>
      </c>
      <c r="L110" t="s">
        <v>165</v>
      </c>
      <c r="N110" t="s">
        <v>188</v>
      </c>
      <c r="O110" t="s">
        <v>269</v>
      </c>
      <c r="P110">
        <v>0.12789757661617351</v>
      </c>
      <c r="Q110" t="s">
        <v>165</v>
      </c>
      <c r="S110" t="s">
        <v>198</v>
      </c>
      <c r="T110" t="s">
        <v>269</v>
      </c>
      <c r="U110">
        <v>0.13382054074280494</v>
      </c>
      <c r="V110" t="s">
        <v>165</v>
      </c>
      <c r="AK110">
        <v>2046</v>
      </c>
      <c r="AL110" t="s">
        <v>265</v>
      </c>
      <c r="AM110">
        <v>0.57023333333333326</v>
      </c>
      <c r="AN110" t="s">
        <v>217</v>
      </c>
    </row>
    <row r="111" spans="9:40" x14ac:dyDescent="0.45">
      <c r="I111" t="s">
        <v>178</v>
      </c>
      <c r="J111" t="s">
        <v>270</v>
      </c>
      <c r="K111">
        <v>8.4445225460792958E-3</v>
      </c>
      <c r="L111" t="s">
        <v>165</v>
      </c>
      <c r="N111" t="s">
        <v>188</v>
      </c>
      <c r="O111" t="s">
        <v>270</v>
      </c>
      <c r="P111">
        <v>0.12578395442214307</v>
      </c>
      <c r="Q111" t="s">
        <v>165</v>
      </c>
      <c r="S111" t="s">
        <v>198</v>
      </c>
      <c r="T111" t="s">
        <v>270</v>
      </c>
      <c r="U111">
        <v>0.11455208987922309</v>
      </c>
      <c r="V111" t="s">
        <v>165</v>
      </c>
      <c r="AK111">
        <v>2047</v>
      </c>
      <c r="AL111" t="s">
        <v>260</v>
      </c>
      <c r="AM111">
        <v>0.37026666666666669</v>
      </c>
      <c r="AN111" t="s">
        <v>217</v>
      </c>
    </row>
    <row r="112" spans="9:40" x14ac:dyDescent="0.45">
      <c r="I112" t="s">
        <v>178</v>
      </c>
      <c r="J112" t="s">
        <v>271</v>
      </c>
      <c r="K112">
        <v>3.3116204243873931E-2</v>
      </c>
      <c r="L112" t="s">
        <v>165</v>
      </c>
      <c r="N112" t="s">
        <v>188</v>
      </c>
      <c r="O112" t="s">
        <v>271</v>
      </c>
      <c r="P112">
        <v>2.292191185800679E-2</v>
      </c>
      <c r="Q112" t="s">
        <v>165</v>
      </c>
      <c r="S112" t="s">
        <v>198</v>
      </c>
      <c r="T112" t="s">
        <v>271</v>
      </c>
      <c r="U112">
        <v>2.3251379832015945E-2</v>
      </c>
      <c r="V112" t="s">
        <v>165</v>
      </c>
      <c r="AK112">
        <v>2047</v>
      </c>
      <c r="AL112" t="s">
        <v>262</v>
      </c>
      <c r="AM112">
        <v>0.3061666666666667</v>
      </c>
      <c r="AN112" t="s">
        <v>217</v>
      </c>
    </row>
    <row r="113" spans="9:40" x14ac:dyDescent="0.45">
      <c r="I113" t="s">
        <v>178</v>
      </c>
      <c r="J113" t="s">
        <v>272</v>
      </c>
      <c r="K113">
        <v>0.3272157986938542</v>
      </c>
      <c r="L113" t="s">
        <v>165</v>
      </c>
      <c r="N113" t="s">
        <v>188</v>
      </c>
      <c r="O113" t="s">
        <v>272</v>
      </c>
      <c r="P113">
        <v>8.0860075319928629E-2</v>
      </c>
      <c r="Q113" t="s">
        <v>165</v>
      </c>
      <c r="S113" t="s">
        <v>198</v>
      </c>
      <c r="T113" t="s">
        <v>272</v>
      </c>
      <c r="U113">
        <v>6.9921407974503719E-2</v>
      </c>
      <c r="V113" t="s">
        <v>165</v>
      </c>
      <c r="AK113">
        <v>2047</v>
      </c>
      <c r="AL113" t="s">
        <v>263</v>
      </c>
      <c r="AM113">
        <v>0.15606666666666666</v>
      </c>
      <c r="AN113" t="s">
        <v>217</v>
      </c>
    </row>
    <row r="114" spans="9:40" x14ac:dyDescent="0.45">
      <c r="I114" t="s">
        <v>178</v>
      </c>
      <c r="J114" t="s">
        <v>273</v>
      </c>
      <c r="K114">
        <v>2.3677251248804401E-2</v>
      </c>
      <c r="L114" t="s">
        <v>165</v>
      </c>
      <c r="N114" t="s">
        <v>188</v>
      </c>
      <c r="O114" t="s">
        <v>273</v>
      </c>
      <c r="P114">
        <v>8.0809454233874048E-2</v>
      </c>
      <c r="Q114" t="s">
        <v>165</v>
      </c>
      <c r="S114" t="s">
        <v>198</v>
      </c>
      <c r="T114" t="s">
        <v>273</v>
      </c>
      <c r="U114">
        <v>5.8957071859590003E-2</v>
      </c>
      <c r="V114" t="s">
        <v>165</v>
      </c>
      <c r="AK114">
        <v>2047</v>
      </c>
      <c r="AL114" t="s">
        <v>265</v>
      </c>
      <c r="AM114">
        <v>0.56366666666666665</v>
      </c>
      <c r="AN114" t="s">
        <v>217</v>
      </c>
    </row>
    <row r="115" spans="9:40" x14ac:dyDescent="0.45">
      <c r="I115" t="s">
        <v>178</v>
      </c>
      <c r="J115" t="s">
        <v>274</v>
      </c>
      <c r="K115">
        <v>3.8930705605431305E-2</v>
      </c>
      <c r="L115" t="s">
        <v>165</v>
      </c>
      <c r="N115" t="s">
        <v>188</v>
      </c>
      <c r="O115" t="s">
        <v>274</v>
      </c>
      <c r="P115">
        <v>1.4768779669401716E-2</v>
      </c>
      <c r="Q115" t="s">
        <v>165</v>
      </c>
      <c r="S115" t="s">
        <v>198</v>
      </c>
      <c r="T115" t="s">
        <v>274</v>
      </c>
      <c r="U115">
        <v>1.159670881462793E-2</v>
      </c>
      <c r="V115" t="s">
        <v>165</v>
      </c>
      <c r="AK115">
        <v>2048</v>
      </c>
      <c r="AL115" t="s">
        <v>260</v>
      </c>
      <c r="AM115">
        <v>0.37630000000000002</v>
      </c>
      <c r="AN115" t="s">
        <v>217</v>
      </c>
    </row>
    <row r="116" spans="9:40" x14ac:dyDescent="0.45">
      <c r="I116" t="s">
        <v>178</v>
      </c>
      <c r="J116" t="s">
        <v>275</v>
      </c>
      <c r="K116">
        <v>9.2714798212986727E-2</v>
      </c>
      <c r="L116" t="s">
        <v>165</v>
      </c>
      <c r="N116" t="s">
        <v>188</v>
      </c>
      <c r="O116" t="s">
        <v>275</v>
      </c>
      <c r="P116">
        <v>0.13768360222422996</v>
      </c>
      <c r="Q116" t="s">
        <v>165</v>
      </c>
      <c r="S116" t="s">
        <v>198</v>
      </c>
      <c r="T116" t="s">
        <v>275</v>
      </c>
      <c r="U116">
        <v>0.1581554384539034</v>
      </c>
      <c r="V116" t="s">
        <v>165</v>
      </c>
      <c r="AK116">
        <v>2048</v>
      </c>
      <c r="AL116" t="s">
        <v>262</v>
      </c>
      <c r="AM116">
        <v>0.30649999999999999</v>
      </c>
      <c r="AN116" t="s">
        <v>217</v>
      </c>
    </row>
    <row r="117" spans="9:40" x14ac:dyDescent="0.45">
      <c r="I117" t="s">
        <v>178</v>
      </c>
      <c r="J117" t="s">
        <v>276</v>
      </c>
      <c r="K117">
        <v>0</v>
      </c>
      <c r="L117" t="s">
        <v>165</v>
      </c>
      <c r="N117" t="s">
        <v>188</v>
      </c>
      <c r="O117" t="s">
        <v>276</v>
      </c>
      <c r="P117">
        <v>0.13582015218150967</v>
      </c>
      <c r="Q117" t="s">
        <v>165</v>
      </c>
      <c r="S117" t="s">
        <v>198</v>
      </c>
      <c r="T117" t="s">
        <v>276</v>
      </c>
      <c r="U117">
        <v>0.1566744422410731</v>
      </c>
      <c r="V117" t="s">
        <v>165</v>
      </c>
      <c r="AK117">
        <v>2048</v>
      </c>
      <c r="AL117" t="s">
        <v>263</v>
      </c>
      <c r="AM117">
        <v>0.14800000000000002</v>
      </c>
      <c r="AN117" t="s">
        <v>217</v>
      </c>
    </row>
    <row r="118" spans="9:40" x14ac:dyDescent="0.45">
      <c r="I118" t="s">
        <v>178</v>
      </c>
      <c r="J118" t="s">
        <v>277</v>
      </c>
      <c r="K118">
        <v>2.1567391338392773E-3</v>
      </c>
      <c r="L118" t="s">
        <v>165</v>
      </c>
      <c r="N118" t="s">
        <v>188</v>
      </c>
      <c r="O118" t="s">
        <v>277</v>
      </c>
      <c r="P118">
        <v>2.5223305168966693E-2</v>
      </c>
      <c r="Q118" t="s">
        <v>165</v>
      </c>
      <c r="S118" t="s">
        <v>198</v>
      </c>
      <c r="T118" t="s">
        <v>277</v>
      </c>
      <c r="U118">
        <v>2.982404357329841E-2</v>
      </c>
      <c r="V118" t="s">
        <v>165</v>
      </c>
      <c r="AK118">
        <v>2048</v>
      </c>
      <c r="AL118" t="s">
        <v>265</v>
      </c>
      <c r="AM118">
        <v>0.58266666666666667</v>
      </c>
      <c r="AN118" t="s">
        <v>217</v>
      </c>
    </row>
    <row r="119" spans="9:40" x14ac:dyDescent="0.45">
      <c r="I119" t="s">
        <v>179</v>
      </c>
      <c r="J119" t="s">
        <v>266</v>
      </c>
      <c r="K119">
        <v>0.1573192672605781</v>
      </c>
      <c r="L119" t="s">
        <v>165</v>
      </c>
      <c r="N119" t="s">
        <v>189</v>
      </c>
      <c r="O119" t="s">
        <v>266</v>
      </c>
      <c r="P119">
        <v>0.11123807740779555</v>
      </c>
      <c r="Q119" t="s">
        <v>165</v>
      </c>
      <c r="S119" t="s">
        <v>199</v>
      </c>
      <c r="T119" t="s">
        <v>266</v>
      </c>
      <c r="U119">
        <v>0.11594482280957448</v>
      </c>
      <c r="V119" t="s">
        <v>165</v>
      </c>
      <c r="AK119">
        <v>2049</v>
      </c>
      <c r="AL119" t="s">
        <v>260</v>
      </c>
      <c r="AM119">
        <v>0.37440000000000001</v>
      </c>
      <c r="AN119" t="s">
        <v>217</v>
      </c>
    </row>
    <row r="120" spans="9:40" x14ac:dyDescent="0.45">
      <c r="I120" t="s">
        <v>179</v>
      </c>
      <c r="J120" t="s">
        <v>267</v>
      </c>
      <c r="K120">
        <v>0</v>
      </c>
      <c r="L120" t="s">
        <v>165</v>
      </c>
      <c r="N120" t="s">
        <v>189</v>
      </c>
      <c r="O120" t="s">
        <v>267</v>
      </c>
      <c r="P120">
        <v>0.10437340479064934</v>
      </c>
      <c r="Q120" t="s">
        <v>165</v>
      </c>
      <c r="S120" t="s">
        <v>199</v>
      </c>
      <c r="T120" t="s">
        <v>267</v>
      </c>
      <c r="U120">
        <v>0.11493855227770135</v>
      </c>
      <c r="V120" t="s">
        <v>165</v>
      </c>
      <c r="AK120">
        <v>2049</v>
      </c>
      <c r="AL120" t="s">
        <v>262</v>
      </c>
      <c r="AM120">
        <v>0.27823333333333333</v>
      </c>
      <c r="AN120" t="s">
        <v>217</v>
      </c>
    </row>
    <row r="121" spans="9:40" x14ac:dyDescent="0.45">
      <c r="I121" t="s">
        <v>179</v>
      </c>
      <c r="J121" t="s">
        <v>268</v>
      </c>
      <c r="K121">
        <v>6.9960854632953465E-3</v>
      </c>
      <c r="L121" t="s">
        <v>165</v>
      </c>
      <c r="N121" t="s">
        <v>189</v>
      </c>
      <c r="O121" t="s">
        <v>268</v>
      </c>
      <c r="P121">
        <v>1.9062906268515964E-2</v>
      </c>
      <c r="Q121" t="s">
        <v>165</v>
      </c>
      <c r="S121" t="s">
        <v>199</v>
      </c>
      <c r="T121" t="s">
        <v>268</v>
      </c>
      <c r="U121">
        <v>2.0607654998988152E-2</v>
      </c>
      <c r="V121" t="s">
        <v>165</v>
      </c>
      <c r="AK121">
        <v>2049</v>
      </c>
      <c r="AL121" t="s">
        <v>263</v>
      </c>
      <c r="AM121">
        <v>0.15483333333333332</v>
      </c>
      <c r="AN121" t="s">
        <v>217</v>
      </c>
    </row>
    <row r="122" spans="9:40" x14ac:dyDescent="0.45">
      <c r="I122" t="s">
        <v>179</v>
      </c>
      <c r="J122" t="s">
        <v>269</v>
      </c>
      <c r="K122">
        <v>0.30979179774003668</v>
      </c>
      <c r="L122" t="s">
        <v>165</v>
      </c>
      <c r="N122" t="s">
        <v>189</v>
      </c>
      <c r="O122" t="s">
        <v>269</v>
      </c>
      <c r="P122">
        <v>0.13630131582405669</v>
      </c>
      <c r="Q122" t="s">
        <v>165</v>
      </c>
      <c r="S122" t="s">
        <v>199</v>
      </c>
      <c r="T122" t="s">
        <v>269</v>
      </c>
      <c r="U122">
        <v>0.12212727696192818</v>
      </c>
      <c r="V122" t="s">
        <v>165</v>
      </c>
      <c r="AK122">
        <v>2049</v>
      </c>
      <c r="AL122" t="s">
        <v>265</v>
      </c>
      <c r="AM122">
        <v>0.56223333333333325</v>
      </c>
      <c r="AN122" t="s">
        <v>217</v>
      </c>
    </row>
    <row r="123" spans="9:40" x14ac:dyDescent="0.45">
      <c r="I123" t="s">
        <v>179</v>
      </c>
      <c r="J123" t="s">
        <v>270</v>
      </c>
      <c r="K123">
        <v>7.9469724862697606E-3</v>
      </c>
      <c r="L123" t="s">
        <v>165</v>
      </c>
      <c r="N123" t="s">
        <v>189</v>
      </c>
      <c r="O123" t="s">
        <v>270</v>
      </c>
      <c r="P123">
        <v>0.12718019897607843</v>
      </c>
      <c r="Q123" t="s">
        <v>165</v>
      </c>
      <c r="S123" t="s">
        <v>199</v>
      </c>
      <c r="T123" t="s">
        <v>270</v>
      </c>
      <c r="U123">
        <v>0.12274592792531858</v>
      </c>
      <c r="V123" t="s">
        <v>165</v>
      </c>
      <c r="AK123">
        <v>2050</v>
      </c>
      <c r="AL123" t="s">
        <v>260</v>
      </c>
      <c r="AM123">
        <v>0.38843333333333335</v>
      </c>
      <c r="AN123" t="s">
        <v>217</v>
      </c>
    </row>
    <row r="124" spans="9:40" x14ac:dyDescent="0.45">
      <c r="I124" t="s">
        <v>179</v>
      </c>
      <c r="J124" t="s">
        <v>271</v>
      </c>
      <c r="K124">
        <v>3.2477121938594845E-2</v>
      </c>
      <c r="L124" t="s">
        <v>165</v>
      </c>
      <c r="N124" t="s">
        <v>189</v>
      </c>
      <c r="O124" t="s">
        <v>271</v>
      </c>
      <c r="P124">
        <v>2.4421809688289699E-2</v>
      </c>
      <c r="Q124" t="s">
        <v>165</v>
      </c>
      <c r="S124" t="s">
        <v>199</v>
      </c>
      <c r="T124" t="s">
        <v>271</v>
      </c>
      <c r="U124">
        <v>2.2555223368487583E-2</v>
      </c>
      <c r="V124" t="s">
        <v>165</v>
      </c>
      <c r="AK124">
        <v>2050</v>
      </c>
      <c r="AL124" t="s">
        <v>262</v>
      </c>
      <c r="AM124">
        <v>0.29356666666666664</v>
      </c>
      <c r="AN124" t="s">
        <v>217</v>
      </c>
    </row>
    <row r="125" spans="9:40" x14ac:dyDescent="0.45">
      <c r="I125" t="s">
        <v>179</v>
      </c>
      <c r="J125" t="s">
        <v>272</v>
      </c>
      <c r="K125">
        <v>0.32920057443253659</v>
      </c>
      <c r="L125" t="s">
        <v>165</v>
      </c>
      <c r="N125" t="s">
        <v>189</v>
      </c>
      <c r="O125" t="s">
        <v>272</v>
      </c>
      <c r="P125">
        <v>8.1547447007484328E-2</v>
      </c>
      <c r="Q125" t="s">
        <v>165</v>
      </c>
      <c r="S125" t="s">
        <v>199</v>
      </c>
      <c r="T125" t="s">
        <v>272</v>
      </c>
      <c r="U125">
        <v>7.7973607572531398E-2</v>
      </c>
      <c r="V125" t="s">
        <v>165</v>
      </c>
      <c r="AK125">
        <v>2050</v>
      </c>
      <c r="AL125" t="s">
        <v>263</v>
      </c>
      <c r="AM125">
        <v>0.15006666666666665</v>
      </c>
      <c r="AN125" t="s">
        <v>217</v>
      </c>
    </row>
    <row r="126" spans="9:40" x14ac:dyDescent="0.45">
      <c r="I126" t="s">
        <v>179</v>
      </c>
      <c r="J126" t="s">
        <v>273</v>
      </c>
      <c r="K126">
        <v>2.1892106131810606E-2</v>
      </c>
      <c r="L126" t="s">
        <v>165</v>
      </c>
      <c r="N126" t="s">
        <v>189</v>
      </c>
      <c r="O126" t="s">
        <v>273</v>
      </c>
      <c r="P126">
        <v>7.2913689762519523E-2</v>
      </c>
      <c r="Q126" t="s">
        <v>165</v>
      </c>
      <c r="S126" t="s">
        <v>199</v>
      </c>
      <c r="T126" t="s">
        <v>273</v>
      </c>
      <c r="U126">
        <v>8.0678245786928005E-2</v>
      </c>
      <c r="V126" t="s">
        <v>165</v>
      </c>
      <c r="AK126">
        <v>2050</v>
      </c>
      <c r="AL126" t="s">
        <v>265</v>
      </c>
      <c r="AM126">
        <v>0.54953333333333332</v>
      </c>
      <c r="AN126" t="s">
        <v>217</v>
      </c>
    </row>
    <row r="127" spans="9:40" x14ac:dyDescent="0.45">
      <c r="I127" t="s">
        <v>179</v>
      </c>
      <c r="J127" t="s">
        <v>274</v>
      </c>
      <c r="K127">
        <v>4.2124998771970838E-2</v>
      </c>
      <c r="L127" t="s">
        <v>165</v>
      </c>
      <c r="N127" t="s">
        <v>189</v>
      </c>
      <c r="O127" t="s">
        <v>274</v>
      </c>
      <c r="P127">
        <v>1.4719411043802109E-2</v>
      </c>
      <c r="Q127" t="s">
        <v>165</v>
      </c>
      <c r="S127" t="s">
        <v>199</v>
      </c>
      <c r="T127" t="s">
        <v>274</v>
      </c>
      <c r="U127">
        <v>1.4352999639020541E-2</v>
      </c>
      <c r="V127" t="s">
        <v>165</v>
      </c>
    </row>
    <row r="128" spans="9:40" x14ac:dyDescent="0.45">
      <c r="I128" t="s">
        <v>179</v>
      </c>
      <c r="J128" t="s">
        <v>275</v>
      </c>
      <c r="K128">
        <v>9.0254565317242533E-2</v>
      </c>
      <c r="L128" t="s">
        <v>165</v>
      </c>
      <c r="N128" t="s">
        <v>189</v>
      </c>
      <c r="O128" t="s">
        <v>275</v>
      </c>
      <c r="P128">
        <v>0.14449232374031368</v>
      </c>
      <c r="Q128" t="s">
        <v>165</v>
      </c>
      <c r="S128" t="s">
        <v>199</v>
      </c>
      <c r="T128" t="s">
        <v>275</v>
      </c>
      <c r="U128">
        <v>0.14270523218170214</v>
      </c>
      <c r="V128" t="s">
        <v>165</v>
      </c>
    </row>
    <row r="129" spans="9:22" x14ac:dyDescent="0.45">
      <c r="I129" t="s">
        <v>179</v>
      </c>
      <c r="J129" t="s">
        <v>276</v>
      </c>
      <c r="K129">
        <v>0</v>
      </c>
      <c r="L129" t="s">
        <v>165</v>
      </c>
      <c r="N129" t="s">
        <v>189</v>
      </c>
      <c r="O129" t="s">
        <v>276</v>
      </c>
      <c r="P129">
        <v>0.13755110802142478</v>
      </c>
      <c r="Q129" t="s">
        <v>165</v>
      </c>
      <c r="S129" t="s">
        <v>199</v>
      </c>
      <c r="T129" t="s">
        <v>276</v>
      </c>
      <c r="U129">
        <v>0.1399973354194389</v>
      </c>
      <c r="V129" t="s">
        <v>165</v>
      </c>
    </row>
    <row r="130" spans="9:22" x14ac:dyDescent="0.45">
      <c r="I130" t="s">
        <v>179</v>
      </c>
      <c r="J130" t="s">
        <v>277</v>
      </c>
      <c r="K130">
        <v>1.9965104576634375E-3</v>
      </c>
      <c r="L130" t="s">
        <v>165</v>
      </c>
      <c r="N130" t="s">
        <v>189</v>
      </c>
      <c r="O130" t="s">
        <v>277</v>
      </c>
      <c r="P130">
        <v>2.6198307469069079E-2</v>
      </c>
      <c r="Q130" t="s">
        <v>165</v>
      </c>
      <c r="S130" t="s">
        <v>199</v>
      </c>
      <c r="T130" t="s">
        <v>277</v>
      </c>
      <c r="U130">
        <v>2.5373121058379609E-2</v>
      </c>
      <c r="V130" t="s">
        <v>165</v>
      </c>
    </row>
    <row r="131" spans="9:22" x14ac:dyDescent="0.45">
      <c r="S131" t="s">
        <v>200</v>
      </c>
      <c r="T131" t="s">
        <v>266</v>
      </c>
      <c r="U131">
        <v>0.11822088944236549</v>
      </c>
      <c r="V131" t="s">
        <v>165</v>
      </c>
    </row>
    <row r="132" spans="9:22" x14ac:dyDescent="0.45">
      <c r="S132" t="s">
        <v>200</v>
      </c>
      <c r="T132" t="s">
        <v>267</v>
      </c>
      <c r="U132">
        <v>0.11642524025555831</v>
      </c>
      <c r="V132" t="s">
        <v>165</v>
      </c>
    </row>
    <row r="133" spans="9:22" x14ac:dyDescent="0.45">
      <c r="S133" t="s">
        <v>200</v>
      </c>
      <c r="T133" t="s">
        <v>268</v>
      </c>
      <c r="U133">
        <v>2.1389842450019042E-2</v>
      </c>
      <c r="V133" t="s">
        <v>165</v>
      </c>
    </row>
    <row r="134" spans="9:22" x14ac:dyDescent="0.45">
      <c r="S134" t="s">
        <v>200</v>
      </c>
      <c r="T134" t="s">
        <v>269</v>
      </c>
      <c r="U134">
        <v>0.12137353271353833</v>
      </c>
      <c r="V134" t="s">
        <v>165</v>
      </c>
    </row>
    <row r="135" spans="9:22" x14ac:dyDescent="0.45">
      <c r="S135" t="s">
        <v>200</v>
      </c>
      <c r="T135" t="s">
        <v>270</v>
      </c>
      <c r="U135">
        <v>0.11799122160981014</v>
      </c>
      <c r="V135" t="s">
        <v>165</v>
      </c>
    </row>
    <row r="136" spans="9:22" x14ac:dyDescent="0.45">
      <c r="S136" t="s">
        <v>200</v>
      </c>
      <c r="T136" t="s">
        <v>271</v>
      </c>
      <c r="U136">
        <v>2.2308722375720281E-2</v>
      </c>
      <c r="V136" t="s">
        <v>165</v>
      </c>
    </row>
    <row r="137" spans="9:22" x14ac:dyDescent="0.45">
      <c r="S137" t="s">
        <v>200</v>
      </c>
      <c r="T137" t="s">
        <v>272</v>
      </c>
      <c r="U137">
        <v>7.8734361276226031E-2</v>
      </c>
      <c r="V137" t="s">
        <v>165</v>
      </c>
    </row>
    <row r="138" spans="9:22" x14ac:dyDescent="0.45">
      <c r="S138" t="s">
        <v>200</v>
      </c>
      <c r="T138" t="s">
        <v>273</v>
      </c>
      <c r="U138">
        <v>8.4378486135129813E-2</v>
      </c>
      <c r="V138" t="s">
        <v>165</v>
      </c>
    </row>
    <row r="139" spans="9:22" x14ac:dyDescent="0.45">
      <c r="S139" t="s">
        <v>200</v>
      </c>
      <c r="T139" t="s">
        <v>274</v>
      </c>
      <c r="U139">
        <v>1.5029549034801698E-2</v>
      </c>
      <c r="V139" t="s">
        <v>165</v>
      </c>
    </row>
    <row r="140" spans="9:22" x14ac:dyDescent="0.45">
      <c r="S140" t="s">
        <v>200</v>
      </c>
      <c r="T140" t="s">
        <v>275</v>
      </c>
      <c r="U140">
        <v>0.13933516613203645</v>
      </c>
      <c r="V140" t="s">
        <v>165</v>
      </c>
    </row>
    <row r="141" spans="9:22" x14ac:dyDescent="0.45">
      <c r="S141" t="s">
        <v>200</v>
      </c>
      <c r="T141" t="s">
        <v>276</v>
      </c>
      <c r="U141">
        <v>0.13902247248437144</v>
      </c>
      <c r="V141" t="s">
        <v>165</v>
      </c>
    </row>
    <row r="142" spans="9:22" x14ac:dyDescent="0.45">
      <c r="S142" t="s">
        <v>200</v>
      </c>
      <c r="T142" t="s">
        <v>277</v>
      </c>
      <c r="U142">
        <v>2.5790516090424879E-2</v>
      </c>
      <c r="V142" t="s">
        <v>165</v>
      </c>
    </row>
    <row r="143" spans="9:22" x14ac:dyDescent="0.45">
      <c r="S143" t="s">
        <v>201</v>
      </c>
      <c r="T143" t="s">
        <v>266</v>
      </c>
      <c r="U143">
        <v>0.11894858100591113</v>
      </c>
      <c r="V143" t="s">
        <v>165</v>
      </c>
    </row>
    <row r="144" spans="9:22" x14ac:dyDescent="0.45">
      <c r="S144" t="s">
        <v>201</v>
      </c>
      <c r="T144" t="s">
        <v>267</v>
      </c>
      <c r="U144">
        <v>0.11740099077344893</v>
      </c>
      <c r="V144" t="s">
        <v>165</v>
      </c>
    </row>
    <row r="145" spans="19:22" x14ac:dyDescent="0.45">
      <c r="S145" t="s">
        <v>201</v>
      </c>
      <c r="T145" t="s">
        <v>268</v>
      </c>
      <c r="U145">
        <v>2.1312110104178217E-2</v>
      </c>
      <c r="V145" t="s">
        <v>165</v>
      </c>
    </row>
    <row r="146" spans="19:22" x14ac:dyDescent="0.45">
      <c r="S146" t="s">
        <v>201</v>
      </c>
      <c r="T146" t="s">
        <v>269</v>
      </c>
      <c r="U146">
        <v>0.12238591683343064</v>
      </c>
      <c r="V146" t="s">
        <v>165</v>
      </c>
    </row>
    <row r="147" spans="19:22" x14ac:dyDescent="0.45">
      <c r="S147" t="s">
        <v>201</v>
      </c>
      <c r="T147" t="s">
        <v>270</v>
      </c>
      <c r="U147">
        <v>0.11965930793738939</v>
      </c>
      <c r="V147" t="s">
        <v>165</v>
      </c>
    </row>
    <row r="148" spans="19:22" x14ac:dyDescent="0.45">
      <c r="S148" t="s">
        <v>201</v>
      </c>
      <c r="T148" t="s">
        <v>271</v>
      </c>
      <c r="U148">
        <v>2.2963300457318023E-2</v>
      </c>
      <c r="V148" t="s">
        <v>165</v>
      </c>
    </row>
    <row r="149" spans="19:22" x14ac:dyDescent="0.45">
      <c r="S149" t="s">
        <v>201</v>
      </c>
      <c r="T149" t="s">
        <v>272</v>
      </c>
      <c r="U149">
        <v>7.4427249917275673E-2</v>
      </c>
      <c r="V149" t="s">
        <v>165</v>
      </c>
    </row>
    <row r="150" spans="19:22" x14ac:dyDescent="0.45">
      <c r="S150" t="s">
        <v>201</v>
      </c>
      <c r="T150" t="s">
        <v>273</v>
      </c>
      <c r="U150">
        <v>7.5728763347933228E-2</v>
      </c>
      <c r="V150" t="s">
        <v>165</v>
      </c>
    </row>
    <row r="151" spans="19:22" x14ac:dyDescent="0.45">
      <c r="S151" t="s">
        <v>201</v>
      </c>
      <c r="T151" t="s">
        <v>274</v>
      </c>
      <c r="U151">
        <v>1.3954395438350295E-2</v>
      </c>
      <c r="V151" t="s">
        <v>165</v>
      </c>
    </row>
    <row r="152" spans="19:22" x14ac:dyDescent="0.45">
      <c r="S152" t="s">
        <v>201</v>
      </c>
      <c r="T152" t="s">
        <v>275</v>
      </c>
      <c r="U152">
        <v>0.14318422786455201</v>
      </c>
      <c r="V152" t="s">
        <v>165</v>
      </c>
    </row>
    <row r="153" spans="19:22" x14ac:dyDescent="0.45">
      <c r="S153" t="s">
        <v>201</v>
      </c>
      <c r="T153" t="s">
        <v>276</v>
      </c>
      <c r="U153">
        <v>0.14343281821652779</v>
      </c>
      <c r="V153" t="s">
        <v>165</v>
      </c>
    </row>
    <row r="154" spans="19:22" x14ac:dyDescent="0.45">
      <c r="S154" t="s">
        <v>201</v>
      </c>
      <c r="T154" t="s">
        <v>277</v>
      </c>
      <c r="U154">
        <v>2.6602338103685525E-2</v>
      </c>
      <c r="V154" t="s">
        <v>165</v>
      </c>
    </row>
    <row r="155" spans="19:22" x14ac:dyDescent="0.45">
      <c r="S155" t="s">
        <v>202</v>
      </c>
      <c r="T155" t="s">
        <v>266</v>
      </c>
      <c r="U155">
        <v>0.11165617553555485</v>
      </c>
      <c r="V155" t="s">
        <v>165</v>
      </c>
    </row>
    <row r="156" spans="19:22" x14ac:dyDescent="0.45">
      <c r="S156" t="s">
        <v>202</v>
      </c>
      <c r="T156" t="s">
        <v>267</v>
      </c>
      <c r="U156">
        <v>0.11067966947189491</v>
      </c>
      <c r="V156" t="s">
        <v>165</v>
      </c>
    </row>
    <row r="157" spans="19:22" x14ac:dyDescent="0.45">
      <c r="S157" t="s">
        <v>202</v>
      </c>
      <c r="T157" t="s">
        <v>268</v>
      </c>
      <c r="U157">
        <v>1.9790354790442579E-2</v>
      </c>
      <c r="V157" t="s">
        <v>165</v>
      </c>
    </row>
    <row r="158" spans="19:22" x14ac:dyDescent="0.45">
      <c r="S158" t="s">
        <v>202</v>
      </c>
      <c r="T158" t="s">
        <v>269</v>
      </c>
      <c r="U158">
        <v>0.12438266087158127</v>
      </c>
      <c r="V158" t="s">
        <v>165</v>
      </c>
    </row>
    <row r="159" spans="19:22" x14ac:dyDescent="0.45">
      <c r="S159" t="s">
        <v>202</v>
      </c>
      <c r="T159" t="s">
        <v>270</v>
      </c>
      <c r="U159">
        <v>0.12141231710469133</v>
      </c>
      <c r="V159" t="s">
        <v>165</v>
      </c>
    </row>
    <row r="160" spans="19:22" x14ac:dyDescent="0.45">
      <c r="S160" t="s">
        <v>202</v>
      </c>
      <c r="T160" t="s">
        <v>271</v>
      </c>
      <c r="U160">
        <v>2.194214453282128E-2</v>
      </c>
      <c r="V160" t="s">
        <v>165</v>
      </c>
    </row>
    <row r="161" spans="19:22" x14ac:dyDescent="0.45">
      <c r="S161" t="s">
        <v>202</v>
      </c>
      <c r="T161" t="s">
        <v>272</v>
      </c>
      <c r="U161">
        <v>9.428931964462757E-2</v>
      </c>
      <c r="V161" t="s">
        <v>165</v>
      </c>
    </row>
    <row r="162" spans="19:22" x14ac:dyDescent="0.45">
      <c r="S162" t="s">
        <v>202</v>
      </c>
      <c r="T162" t="s">
        <v>273</v>
      </c>
      <c r="U162">
        <v>8.9125583048284288E-2</v>
      </c>
      <c r="V162" t="s">
        <v>165</v>
      </c>
    </row>
    <row r="163" spans="19:22" x14ac:dyDescent="0.45">
      <c r="S163" t="s">
        <v>202</v>
      </c>
      <c r="T163" t="s">
        <v>274</v>
      </c>
      <c r="U163">
        <v>1.7168023697831446E-2</v>
      </c>
      <c r="V163" t="s">
        <v>165</v>
      </c>
    </row>
    <row r="164" spans="19:22" x14ac:dyDescent="0.45">
      <c r="S164" t="s">
        <v>202</v>
      </c>
      <c r="T164" t="s">
        <v>275</v>
      </c>
      <c r="U164">
        <v>0.13641087730784845</v>
      </c>
      <c r="V164" t="s">
        <v>165</v>
      </c>
    </row>
    <row r="165" spans="19:22" x14ac:dyDescent="0.45">
      <c r="S165" t="s">
        <v>202</v>
      </c>
      <c r="T165" t="s">
        <v>276</v>
      </c>
      <c r="U165">
        <v>0.12874901748349613</v>
      </c>
      <c r="V165" t="s">
        <v>165</v>
      </c>
    </row>
    <row r="166" spans="19:22" x14ac:dyDescent="0.45">
      <c r="S166" t="s">
        <v>202</v>
      </c>
      <c r="T166" t="s">
        <v>277</v>
      </c>
      <c r="U166">
        <v>2.4393856510925811E-2</v>
      </c>
      <c r="V166" t="s">
        <v>165</v>
      </c>
    </row>
    <row r="167" spans="19:22" x14ac:dyDescent="0.45">
      <c r="S167" t="s">
        <v>203</v>
      </c>
      <c r="T167" t="s">
        <v>266</v>
      </c>
      <c r="U167">
        <v>0.1158864904818596</v>
      </c>
      <c r="V167" t="s">
        <v>165</v>
      </c>
    </row>
    <row r="168" spans="19:22" x14ac:dyDescent="0.45">
      <c r="S168" t="s">
        <v>203</v>
      </c>
      <c r="T168" t="s">
        <v>267</v>
      </c>
      <c r="U168">
        <v>0.11165177109436368</v>
      </c>
      <c r="V168" t="s">
        <v>165</v>
      </c>
    </row>
    <row r="169" spans="19:22" x14ac:dyDescent="0.45">
      <c r="S169" t="s">
        <v>203</v>
      </c>
      <c r="T169" t="s">
        <v>268</v>
      </c>
      <c r="U169">
        <v>1.990084616027997E-2</v>
      </c>
      <c r="V169" t="s">
        <v>165</v>
      </c>
    </row>
    <row r="170" spans="19:22" x14ac:dyDescent="0.45">
      <c r="S170" t="s">
        <v>203</v>
      </c>
      <c r="T170" t="s">
        <v>269</v>
      </c>
      <c r="U170">
        <v>0.12764817116340646</v>
      </c>
      <c r="V170" t="s">
        <v>165</v>
      </c>
    </row>
    <row r="171" spans="19:22" x14ac:dyDescent="0.45">
      <c r="S171" t="s">
        <v>203</v>
      </c>
      <c r="T171" t="s">
        <v>270</v>
      </c>
      <c r="U171">
        <v>0.12816702442052982</v>
      </c>
      <c r="V171" t="s">
        <v>165</v>
      </c>
    </row>
    <row r="172" spans="19:22" x14ac:dyDescent="0.45">
      <c r="S172" t="s">
        <v>203</v>
      </c>
      <c r="T172" t="s">
        <v>271</v>
      </c>
      <c r="U172">
        <v>2.3115844805081519E-2</v>
      </c>
      <c r="V172" t="s">
        <v>165</v>
      </c>
    </row>
    <row r="173" spans="19:22" x14ac:dyDescent="0.45">
      <c r="S173" t="s">
        <v>203</v>
      </c>
      <c r="T173" t="s">
        <v>272</v>
      </c>
      <c r="U173">
        <v>7.5921513786554248E-2</v>
      </c>
      <c r="V173" t="s">
        <v>165</v>
      </c>
    </row>
    <row r="174" spans="19:22" x14ac:dyDescent="0.45">
      <c r="S174" t="s">
        <v>203</v>
      </c>
      <c r="T174" t="s">
        <v>273</v>
      </c>
      <c r="U174">
        <v>7.7350551186781386E-2</v>
      </c>
      <c r="V174" t="s">
        <v>165</v>
      </c>
    </row>
    <row r="175" spans="19:22" x14ac:dyDescent="0.45">
      <c r="S175" t="s">
        <v>203</v>
      </c>
      <c r="T175" t="s">
        <v>274</v>
      </c>
      <c r="U175">
        <v>1.3956510779105116E-2</v>
      </c>
      <c r="V175" t="s">
        <v>165</v>
      </c>
    </row>
    <row r="176" spans="19:22" x14ac:dyDescent="0.45">
      <c r="S176" t="s">
        <v>203</v>
      </c>
      <c r="T176" t="s">
        <v>275</v>
      </c>
      <c r="U176">
        <v>0.1418900057733205</v>
      </c>
      <c r="V176" t="s">
        <v>165</v>
      </c>
    </row>
    <row r="177" spans="19:22" x14ac:dyDescent="0.45">
      <c r="S177" t="s">
        <v>203</v>
      </c>
      <c r="T177" t="s">
        <v>276</v>
      </c>
      <c r="U177">
        <v>0.13874956317743681</v>
      </c>
      <c r="V177" t="s">
        <v>165</v>
      </c>
    </row>
    <row r="178" spans="19:22" x14ac:dyDescent="0.45">
      <c r="S178" t="s">
        <v>203</v>
      </c>
      <c r="T178" t="s">
        <v>277</v>
      </c>
      <c r="U178">
        <v>2.5761707171279104E-2</v>
      </c>
      <c r="V178" t="s">
        <v>165</v>
      </c>
    </row>
    <row r="179" spans="19:22" x14ac:dyDescent="0.45">
      <c r="S179" t="s">
        <v>204</v>
      </c>
      <c r="T179" t="s">
        <v>266</v>
      </c>
      <c r="U179">
        <v>0.11096992353029868</v>
      </c>
      <c r="V179" t="s">
        <v>165</v>
      </c>
    </row>
    <row r="180" spans="19:22" x14ac:dyDescent="0.45">
      <c r="S180" t="s">
        <v>204</v>
      </c>
      <c r="T180" t="s">
        <v>267</v>
      </c>
      <c r="U180">
        <v>0.1068540958370163</v>
      </c>
      <c r="V180" t="s">
        <v>165</v>
      </c>
    </row>
    <row r="181" spans="19:22" x14ac:dyDescent="0.45">
      <c r="S181" t="s">
        <v>204</v>
      </c>
      <c r="T181" t="s">
        <v>268</v>
      </c>
      <c r="U181">
        <v>1.9356102503580899E-2</v>
      </c>
      <c r="V181" t="s">
        <v>165</v>
      </c>
    </row>
    <row r="182" spans="19:22" x14ac:dyDescent="0.45">
      <c r="S182" t="s">
        <v>204</v>
      </c>
      <c r="T182" t="s">
        <v>269</v>
      </c>
      <c r="U182">
        <v>0.13458821645142957</v>
      </c>
      <c r="V182" t="s">
        <v>165</v>
      </c>
    </row>
    <row r="183" spans="19:22" x14ac:dyDescent="0.45">
      <c r="S183" t="s">
        <v>204</v>
      </c>
      <c r="T183" t="s">
        <v>270</v>
      </c>
      <c r="U183">
        <v>0.13052345758697578</v>
      </c>
      <c r="V183" t="s">
        <v>165</v>
      </c>
    </row>
    <row r="184" spans="19:22" x14ac:dyDescent="0.45">
      <c r="S184" t="s">
        <v>204</v>
      </c>
      <c r="T184" t="s">
        <v>271</v>
      </c>
      <c r="U184">
        <v>2.460872405653183E-2</v>
      </c>
      <c r="V184" t="s">
        <v>165</v>
      </c>
    </row>
    <row r="185" spans="19:22" x14ac:dyDescent="0.45">
      <c r="S185" t="s">
        <v>204</v>
      </c>
      <c r="T185" t="s">
        <v>272</v>
      </c>
      <c r="U185">
        <v>7.5811826004965249E-2</v>
      </c>
      <c r="V185" t="s">
        <v>165</v>
      </c>
    </row>
    <row r="186" spans="19:22" x14ac:dyDescent="0.45">
      <c r="S186" t="s">
        <v>204</v>
      </c>
      <c r="T186" t="s">
        <v>273</v>
      </c>
      <c r="U186">
        <v>7.3249433928197771E-2</v>
      </c>
      <c r="V186" t="s">
        <v>165</v>
      </c>
    </row>
    <row r="187" spans="19:22" x14ac:dyDescent="0.45">
      <c r="S187" t="s">
        <v>204</v>
      </c>
      <c r="T187" t="s">
        <v>274</v>
      </c>
      <c r="U187">
        <v>1.3992374892043904E-2</v>
      </c>
      <c r="V187" t="s">
        <v>165</v>
      </c>
    </row>
    <row r="188" spans="19:22" x14ac:dyDescent="0.45">
      <c r="S188" t="s">
        <v>204</v>
      </c>
      <c r="T188" t="s">
        <v>275</v>
      </c>
      <c r="U188">
        <v>0.14505739012569321</v>
      </c>
      <c r="V188" t="s">
        <v>165</v>
      </c>
    </row>
    <row r="189" spans="19:22" x14ac:dyDescent="0.45">
      <c r="S189" t="s">
        <v>204</v>
      </c>
      <c r="T189" t="s">
        <v>276</v>
      </c>
      <c r="U189">
        <v>0.13892089417000444</v>
      </c>
      <c r="V189" t="s">
        <v>165</v>
      </c>
    </row>
    <row r="190" spans="19:22" x14ac:dyDescent="0.45">
      <c r="S190" t="s">
        <v>204</v>
      </c>
      <c r="T190" t="s">
        <v>277</v>
      </c>
      <c r="U190">
        <v>2.6067560913260956E-2</v>
      </c>
      <c r="V190" t="s">
        <v>165</v>
      </c>
    </row>
    <row r="191" spans="19:22" x14ac:dyDescent="0.45">
      <c r="S191" t="s">
        <v>205</v>
      </c>
      <c r="T191" t="s">
        <v>266</v>
      </c>
      <c r="U191">
        <v>0.11601974976620502</v>
      </c>
      <c r="V191" t="s">
        <v>165</v>
      </c>
    </row>
    <row r="192" spans="19:22" x14ac:dyDescent="0.45">
      <c r="S192" t="s">
        <v>205</v>
      </c>
      <c r="T192" t="s">
        <v>267</v>
      </c>
      <c r="U192">
        <v>0.11210147263566043</v>
      </c>
      <c r="V192" t="s">
        <v>165</v>
      </c>
    </row>
    <row r="193" spans="19:22" x14ac:dyDescent="0.45">
      <c r="S193" t="s">
        <v>205</v>
      </c>
      <c r="T193" t="s">
        <v>268</v>
      </c>
      <c r="U193">
        <v>1.979705708873428E-2</v>
      </c>
      <c r="V193" t="s">
        <v>165</v>
      </c>
    </row>
    <row r="194" spans="19:22" x14ac:dyDescent="0.45">
      <c r="S194" t="s">
        <v>205</v>
      </c>
      <c r="T194" t="s">
        <v>269</v>
      </c>
      <c r="U194">
        <v>0.12312146302571594</v>
      </c>
      <c r="V194" t="s">
        <v>165</v>
      </c>
    </row>
    <row r="195" spans="19:22" x14ac:dyDescent="0.45">
      <c r="S195" t="s">
        <v>205</v>
      </c>
      <c r="T195" t="s">
        <v>270</v>
      </c>
      <c r="U195">
        <v>0.12826231901518165</v>
      </c>
      <c r="V195" t="s">
        <v>165</v>
      </c>
    </row>
    <row r="196" spans="19:22" x14ac:dyDescent="0.45">
      <c r="S196" t="s">
        <v>205</v>
      </c>
      <c r="T196" t="s">
        <v>271</v>
      </c>
      <c r="U196">
        <v>2.2894949472227089E-2</v>
      </c>
      <c r="V196" t="s">
        <v>165</v>
      </c>
    </row>
    <row r="197" spans="19:22" x14ac:dyDescent="0.45">
      <c r="S197" t="s">
        <v>205</v>
      </c>
      <c r="T197" t="s">
        <v>272</v>
      </c>
      <c r="U197">
        <v>8.0449930375498122E-2</v>
      </c>
      <c r="V197" t="s">
        <v>165</v>
      </c>
    </row>
    <row r="198" spans="19:22" x14ac:dyDescent="0.45">
      <c r="S198" t="s">
        <v>205</v>
      </c>
      <c r="T198" t="s">
        <v>273</v>
      </c>
      <c r="U198">
        <v>8.0438004697702695E-2</v>
      </c>
      <c r="V198" t="s">
        <v>165</v>
      </c>
    </row>
    <row r="199" spans="19:22" x14ac:dyDescent="0.45">
      <c r="S199" t="s">
        <v>205</v>
      </c>
      <c r="T199" t="s">
        <v>274</v>
      </c>
      <c r="U199">
        <v>1.4878668269163399E-2</v>
      </c>
      <c r="V199" t="s">
        <v>165</v>
      </c>
    </row>
    <row r="200" spans="19:22" x14ac:dyDescent="0.45">
      <c r="S200" t="s">
        <v>205</v>
      </c>
      <c r="T200" t="s">
        <v>275</v>
      </c>
      <c r="U200">
        <v>0.13914304344313952</v>
      </c>
      <c r="V200" t="s">
        <v>165</v>
      </c>
    </row>
    <row r="201" spans="19:22" x14ac:dyDescent="0.45">
      <c r="S201" t="s">
        <v>205</v>
      </c>
      <c r="T201" t="s">
        <v>276</v>
      </c>
      <c r="U201">
        <v>0.13797831029762617</v>
      </c>
      <c r="V201" t="s">
        <v>165</v>
      </c>
    </row>
    <row r="202" spans="19:22" x14ac:dyDescent="0.45">
      <c r="S202" t="s">
        <v>205</v>
      </c>
      <c r="T202" t="s">
        <v>277</v>
      </c>
      <c r="U202">
        <v>2.4915031913146542E-2</v>
      </c>
      <c r="V202" t="s">
        <v>165</v>
      </c>
    </row>
    <row r="203" spans="19:22" x14ac:dyDescent="0.45">
      <c r="S203" t="s">
        <v>206</v>
      </c>
      <c r="T203" t="s">
        <v>266</v>
      </c>
      <c r="U203">
        <v>0.113888278757463</v>
      </c>
      <c r="V203" t="s">
        <v>165</v>
      </c>
    </row>
    <row r="204" spans="19:22" x14ac:dyDescent="0.45">
      <c r="S204" t="s">
        <v>206</v>
      </c>
      <c r="T204" t="s">
        <v>267</v>
      </c>
      <c r="U204">
        <v>0.11231856786483739</v>
      </c>
      <c r="V204" t="s">
        <v>165</v>
      </c>
    </row>
    <row r="205" spans="19:22" x14ac:dyDescent="0.45">
      <c r="S205" t="s">
        <v>206</v>
      </c>
      <c r="T205" t="s">
        <v>268</v>
      </c>
      <c r="U205">
        <v>1.9843039319966584E-2</v>
      </c>
      <c r="V205" t="s">
        <v>165</v>
      </c>
    </row>
    <row r="206" spans="19:22" x14ac:dyDescent="0.45">
      <c r="S206" t="s">
        <v>206</v>
      </c>
      <c r="T206" t="s">
        <v>269</v>
      </c>
      <c r="U206">
        <v>0.12836808719883119</v>
      </c>
      <c r="V206" t="s">
        <v>165</v>
      </c>
    </row>
    <row r="207" spans="19:22" x14ac:dyDescent="0.45">
      <c r="S207" t="s">
        <v>206</v>
      </c>
      <c r="T207" t="s">
        <v>270</v>
      </c>
      <c r="U207">
        <v>0.13187902163283632</v>
      </c>
      <c r="V207" t="s">
        <v>165</v>
      </c>
    </row>
    <row r="208" spans="19:22" x14ac:dyDescent="0.45">
      <c r="S208" t="s">
        <v>206</v>
      </c>
      <c r="T208" t="s">
        <v>271</v>
      </c>
      <c r="U208">
        <v>2.3735931431197621E-2</v>
      </c>
      <c r="V208" t="s">
        <v>165</v>
      </c>
    </row>
    <row r="209" spans="19:22" x14ac:dyDescent="0.45">
      <c r="S209" t="s">
        <v>206</v>
      </c>
      <c r="T209" t="s">
        <v>272</v>
      </c>
      <c r="U209">
        <v>7.6650606084285311E-2</v>
      </c>
      <c r="V209" t="s">
        <v>165</v>
      </c>
    </row>
    <row r="210" spans="19:22" x14ac:dyDescent="0.45">
      <c r="S210" t="s">
        <v>206</v>
      </c>
      <c r="T210" t="s">
        <v>273</v>
      </c>
      <c r="U210">
        <v>7.7995089378082319E-2</v>
      </c>
      <c r="V210" t="s">
        <v>165</v>
      </c>
    </row>
    <row r="211" spans="19:22" x14ac:dyDescent="0.45">
      <c r="S211" t="s">
        <v>206</v>
      </c>
      <c r="T211" t="s">
        <v>274</v>
      </c>
      <c r="U211">
        <v>1.4024181555347627E-2</v>
      </c>
      <c r="V211" t="s">
        <v>165</v>
      </c>
    </row>
    <row r="212" spans="19:22" x14ac:dyDescent="0.45">
      <c r="S212" t="s">
        <v>206</v>
      </c>
      <c r="T212" t="s">
        <v>275</v>
      </c>
      <c r="U212">
        <v>0.13937712698862953</v>
      </c>
      <c r="V212" t="s">
        <v>165</v>
      </c>
    </row>
    <row r="213" spans="19:22" x14ac:dyDescent="0.45">
      <c r="S213" t="s">
        <v>206</v>
      </c>
      <c r="T213" t="s">
        <v>276</v>
      </c>
      <c r="U213">
        <v>0.13696433237938452</v>
      </c>
      <c r="V213" t="s">
        <v>165</v>
      </c>
    </row>
    <row r="214" spans="19:22" x14ac:dyDescent="0.45">
      <c r="S214" t="s">
        <v>206</v>
      </c>
      <c r="T214" t="s">
        <v>277</v>
      </c>
      <c r="U214">
        <v>2.495573740913656E-2</v>
      </c>
      <c r="V214" t="s">
        <v>165</v>
      </c>
    </row>
    <row r="215" spans="19:22" x14ac:dyDescent="0.45">
      <c r="S215" t="s">
        <v>207</v>
      </c>
      <c r="T215" t="s">
        <v>266</v>
      </c>
      <c r="U215">
        <v>0.11090090730203113</v>
      </c>
      <c r="V215" t="s">
        <v>165</v>
      </c>
    </row>
    <row r="216" spans="19:22" x14ac:dyDescent="0.45">
      <c r="S216" t="s">
        <v>207</v>
      </c>
      <c r="T216" t="s">
        <v>267</v>
      </c>
      <c r="U216">
        <v>0.11066722401993433</v>
      </c>
      <c r="V216" t="s">
        <v>165</v>
      </c>
    </row>
    <row r="217" spans="19:22" x14ac:dyDescent="0.45">
      <c r="S217" t="s">
        <v>207</v>
      </c>
      <c r="T217" t="s">
        <v>268</v>
      </c>
      <c r="U217">
        <v>1.9501957206247394E-2</v>
      </c>
      <c r="V217" t="s">
        <v>165</v>
      </c>
    </row>
    <row r="218" spans="19:22" x14ac:dyDescent="0.45">
      <c r="S218" t="s">
        <v>207</v>
      </c>
      <c r="T218" t="s">
        <v>269</v>
      </c>
      <c r="U218">
        <v>0.12752595860578289</v>
      </c>
      <c r="V218" t="s">
        <v>165</v>
      </c>
    </row>
    <row r="219" spans="19:22" x14ac:dyDescent="0.45">
      <c r="S219" t="s">
        <v>207</v>
      </c>
      <c r="T219" t="s">
        <v>270</v>
      </c>
      <c r="U219">
        <v>0.13010267849133381</v>
      </c>
      <c r="V219" t="s">
        <v>165</v>
      </c>
    </row>
    <row r="220" spans="19:22" x14ac:dyDescent="0.45">
      <c r="S220" t="s">
        <v>207</v>
      </c>
      <c r="T220" t="s">
        <v>271</v>
      </c>
      <c r="U220">
        <v>2.4016705993030664E-2</v>
      </c>
      <c r="V220" t="s">
        <v>165</v>
      </c>
    </row>
    <row r="221" spans="19:22" x14ac:dyDescent="0.45">
      <c r="S221" t="s">
        <v>207</v>
      </c>
      <c r="T221" t="s">
        <v>272</v>
      </c>
      <c r="U221">
        <v>7.8933103059547774E-2</v>
      </c>
      <c r="V221" t="s">
        <v>165</v>
      </c>
    </row>
    <row r="222" spans="19:22" x14ac:dyDescent="0.45">
      <c r="S222" t="s">
        <v>207</v>
      </c>
      <c r="T222" t="s">
        <v>273</v>
      </c>
      <c r="U222">
        <v>7.8308164259129981E-2</v>
      </c>
      <c r="V222" t="s">
        <v>165</v>
      </c>
    </row>
    <row r="223" spans="19:22" x14ac:dyDescent="0.45">
      <c r="S223" t="s">
        <v>207</v>
      </c>
      <c r="T223" t="s">
        <v>274</v>
      </c>
      <c r="U223">
        <v>1.4768099413552241E-2</v>
      </c>
      <c r="V223" t="s">
        <v>165</v>
      </c>
    </row>
    <row r="224" spans="19:22" x14ac:dyDescent="0.45">
      <c r="S224" t="s">
        <v>207</v>
      </c>
      <c r="T224" t="s">
        <v>275</v>
      </c>
      <c r="U224">
        <v>0.14088607764219019</v>
      </c>
      <c r="V224" t="s">
        <v>165</v>
      </c>
    </row>
    <row r="225" spans="19:22" x14ac:dyDescent="0.45">
      <c r="S225" t="s">
        <v>207</v>
      </c>
      <c r="T225" t="s">
        <v>276</v>
      </c>
      <c r="U225">
        <v>0.13879918601156396</v>
      </c>
      <c r="V225" t="s">
        <v>165</v>
      </c>
    </row>
    <row r="226" spans="19:22" x14ac:dyDescent="0.45">
      <c r="S226" t="s">
        <v>207</v>
      </c>
      <c r="T226" t="s">
        <v>277</v>
      </c>
      <c r="U226">
        <v>2.5589937995653046E-2</v>
      </c>
      <c r="V226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2025-11-24T14:23:48Z</dcterms:modified>
</cp:coreProperties>
</file>