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ppXLS\"/>
    </mc:Choice>
  </mc:AlternateContent>
  <xr:revisionPtr revIDLastSave="0" documentId="13_ncr:1_{8063F988-15DF-4B3B-9900-862F63B157A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O24" i="1" s="1"/>
  <c r="Z24" i="1" s="1"/>
  <c r="I15" i="1"/>
  <c r="N24" i="1"/>
  <c r="Y24" i="1" s="1"/>
  <c r="I14" i="1"/>
  <c r="D5" i="1"/>
  <c r="H14" i="1" s="1"/>
  <c r="AJ59" i="1"/>
  <c r="AJ55" i="1"/>
  <c r="O15" i="1" l="1"/>
  <c r="Z23" i="1" s="1"/>
  <c r="N15" i="1"/>
  <c r="Y23" i="1" s="1"/>
  <c r="J15" i="1"/>
  <c r="U23" i="1" s="1"/>
  <c r="M15" i="1"/>
  <c r="X23" i="1" s="1"/>
  <c r="L15" i="1"/>
  <c r="W23" i="1" s="1"/>
  <c r="K15" i="1"/>
  <c r="V23" i="1" s="1"/>
  <c r="K24" i="1"/>
  <c r="V24" i="1" s="1"/>
  <c r="M24" i="1"/>
  <c r="X24" i="1" s="1"/>
  <c r="L24" i="1"/>
  <c r="W24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<sst xmlns="http://schemas.openxmlformats.org/spreadsheetml/2006/main" count="1727" uniqueCount="126">
  <si>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</si>
  <si>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</si>
  <si>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</si>
  <si>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</si>
  <si>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</si>
  <si>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</si>
  <si>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</si>
  <si>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</si>
  <si>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</si>
  <si>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</si>
  <si>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</si>
  <si>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</si>
  <si>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</si>
  <si>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</si>
  <si>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</si>
  <si>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</si>
  <si>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</si>
  <si>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</si>
  <si>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</si>
  <si>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</si>
  <si>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</si>
  <si>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</si>
  <si>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</si>
  <si>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</si>
  <si>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</si>
  <si>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</si>
  <si>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</si>
  <si>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</si>
  <si>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</si>
  <si>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</si>
  <si>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</si>
  <si>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</si>
  <si>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</si>
  <si>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</si>
  <si>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</si>
  <si>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</si>
  <si>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</si>
  <si>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</si>
  <si>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</si>
  <si>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</si>
  <si>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</si>
  <si>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</si>
  <si>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</si>
  <si>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</si>
  <si>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</si>
  <si>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</si>
  <si>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</si>
  <si>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</si>
  <si>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</si>
  <si>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</si>
  <si>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</si>
  <si>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</si>
  <si>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</si>
  <si>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</si>
  <si>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</si>
  <si>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</si>
  <si>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</si>
  <si>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</si>
  <si>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</si>
  <si>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</si>
  <si>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</si>
  <si>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</si>
  <si>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</si>
  <si>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</si>
  <si>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</si>
  <si>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</si>
  <si>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</si>
  <si>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</si>
  <si>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</si>
  <si>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</si>
  <si>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</si>
  <si>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</si>
  <si>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</si>
  <si>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</si>
  <si>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</si>
  <si>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</si>
  <si>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</si>
  <si>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</si>
  <si>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</si>
  <si>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</si>
  <si>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</si>
  <si>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</si>
  <si>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</si>
  <si>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</si>
  <si>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</si>
  <si>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</si>
  <si>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</si>
  <si>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</si>
  <si>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</si>
  <si>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</si>
  <si>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</si>
  <si>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</si>
  <si>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</si>
  <si>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</si>
  <si>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</si>
  <si>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</si>
  <si>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</si>
  <si>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</si>
  <si>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</si>
  <si>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</si>
  <si>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</si>
  <si>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</si>
  <si>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</si>
  <si>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</si>
  <si>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</si>
  <si>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</si>
  <si>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</si>
  <si>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</si>
  <si>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</si>
  <si>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</si>
  <si>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</si>
  <si>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</si>
  <si>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</si>
  <si>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</si>
  <si>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</si>
  <si>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</si>
  <si>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</si>
  <si>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</si>
  <si>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</si>
  <si>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</si>
  <si>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</si>
  <si>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</si>
  <si>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</si>
  <si>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</si>
  <si>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IRL</t>
  </si>
  <si>
    <t>UK gas market, limited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</si>
</sst>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33.86</c:v>
                </c:pt>
                <c:pt idx="1">
                  <c:v>35.553000000000004</c:v>
                </c:pt>
                <c:pt idx="2">
                  <c:v>39.616199999999999</c:v>
                </c:pt>
                <c:pt idx="3">
                  <c:v>43.679400000000001</c:v>
                </c:pt>
                <c:pt idx="4">
                  <c:v>48.081199999999995</c:v>
                </c:pt>
                <c:pt idx="5">
                  <c:v>53.837400000000002</c:v>
                </c:pt>
                <c:pt idx="6">
                  <c:v>58.577799999999996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33.86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33.86</v>
      </c>
      <c r="U14" s="8">
        <f t="shared" ref="U14:Z14" si="4">$S$11*J14</f>
        <v>35.553000000000004</v>
      </c>
      <c r="V14" s="8">
        <f t="shared" si="4"/>
        <v>39.616199999999999</v>
      </c>
      <c r="W14" s="8">
        <f t="shared" si="4"/>
        <v>43.679400000000001</v>
      </c>
      <c r="X14" s="8">
        <f t="shared" si="4"/>
        <v>48.081199999999995</v>
      </c>
      <c r="Y14" s="8">
        <f t="shared" si="4"/>
        <v>53.837400000000002</v>
      </c>
      <c r="Z14" s="8">
        <f t="shared" si="4"/>
        <v>58.577799999999996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12.5282</v>
      </c>
      <c r="U19" s="6">
        <f t="shared" si="7"/>
        <v>12.44355</v>
      </c>
      <c r="V19" s="6">
        <f t="shared" si="7"/>
        <v>13.469508000000001</v>
      </c>
      <c r="W19" s="6">
        <f t="shared" si="7"/>
        <v>14.414202000000001</v>
      </c>
      <c r="X19" s="6">
        <f t="shared" si="7"/>
        <v>14.424359999999998</v>
      </c>
      <c r="Y19" s="6">
        <f t="shared" si="7"/>
        <v>15.612845999999999</v>
      </c>
      <c r="Z19" s="6">
        <f t="shared" si="7"/>
        <v>17.573339999999998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19.977399999999999</v>
      </c>
      <c r="U20" s="6">
        <f t="shared" si="7"/>
        <v>20.976270000000003</v>
      </c>
      <c r="V20" s="6">
        <f t="shared" si="7"/>
        <v>23.373557999999999</v>
      </c>
      <c r="W20" s="6">
        <f t="shared" si="7"/>
        <v>25.334052</v>
      </c>
      <c r="X20" s="6">
        <f t="shared" si="7"/>
        <v>27.887095999999996</v>
      </c>
      <c r="Y20" s="6">
        <f t="shared" si="7"/>
        <v>30.148944000000004</v>
      </c>
      <c r="Z20" s="6">
        <f t="shared" si="7"/>
        <v>31.632012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1.0158</v>
      </c>
      <c r="U21" s="6">
        <f t="shared" ref="U21:Z21" si="8">T21</f>
        <v>1.0158</v>
      </c>
      <c r="V21" s="6">
        <f t="shared" si="8"/>
        <v>1.0158</v>
      </c>
      <c r="W21" s="6">
        <f t="shared" si="8"/>
        <v>1.0158</v>
      </c>
      <c r="X21" s="6">
        <f t="shared" si="8"/>
        <v>1.0158</v>
      </c>
      <c r="Y21" s="6">
        <f t="shared" si="8"/>
        <v>1.0158</v>
      </c>
      <c r="Z21" s="6">
        <f t="shared" si="8"/>
        <v>1.0158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0.33859999999999957</v>
      </c>
      <c r="U22" s="6">
        <f t="shared" si="9"/>
        <v>1.1173800000000043</v>
      </c>
      <c r="V22" s="6">
        <f t="shared" si="9"/>
        <v>1.7573340000000002</v>
      </c>
      <c r="W22" s="6">
        <f t="shared" si="9"/>
        <v>2.9153459999999995</v>
      </c>
      <c r="X22" s="6">
        <f t="shared" si="9"/>
        <v>4.7539440000000042</v>
      </c>
      <c r="Y22" s="6">
        <f t="shared" si="9"/>
        <v>7.0598099999999988</v>
      </c>
      <c r="Z22" s="6">
        <f t="shared" si="9"/>
        <v>8.3566479999999999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1.58</v>
      </c>
      <c r="S28" t="s">
        <v>31</v>
      </c>
      <c r="T28" s="3">
        <f>Q28</f>
        <v>1.58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-1.33</v>
      </c>
      <c r="S29" t="s">
        <v>34</v>
      </c>
      <c r="T29" s="3">
        <f>-1*Q29</f>
        <v>1.33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33.4</v>
      </c>
      <c r="J45">
        <f t="shared" si="13"/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16.75</v>
      </c>
      <c r="J46">
        <f t="shared" si="13"/>
        <v>17.085000000000001</v>
      </c>
      <c r="K46">
        <f t="shared" si="13"/>
        <v>17.755000000000003</v>
      </c>
      <c r="L46">
        <f t="shared" si="13"/>
        <v>17.922499999999999</v>
      </c>
      <c r="M46">
        <f t="shared" si="13"/>
        <v>18.09</v>
      </c>
      <c r="N46">
        <f t="shared" si="13"/>
        <v>18.425000000000001</v>
      </c>
      <c r="O46">
        <f t="shared" si="13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30</v>
      </c>
      <c r="O48">
        <f>VLOOKUP($H$14,$AK$9:$AM$15,3,FALSE)*I48</f>
        <v>90</v>
      </c>
      <c r="R48">
        <f>HLOOKUP($G48&amp;"_"&amp;R$44,fuel_prices!$B$10:$I$11,2,FALSE)</f>
        <v>26</v>
      </c>
      <c r="S48">
        <f>HLOOKUP($G48&amp;"_"&amp;S$44,fuel_prices!$B$10:$I$11,2,FALSE)</f>
        <v>34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0.9</v>
      </c>
      <c r="D91">
        <v>3</v>
      </c>
      <c r="E91">
        <v>3</v>
      </c>
      <c r="F91" t="s">
        <v>120</v>
      </c>
    </row>
    <row r="92" spans="1:6" x14ac:dyDescent="0.45">
      <c r="A92" t="s">
        <v>31</v>
      </c>
      <c r="B92" t="s">
        <v>119</v>
      </c>
      <c r="C92">
        <v>0</v>
      </c>
      <c r="D92">
        <v>0.7</v>
      </c>
      <c r="E92">
        <v>0.7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27.4</v>
      </c>
      <c r="C11">
        <v>39.4</v>
      </c>
      <c r="D11">
        <v>15.2</v>
      </c>
      <c r="E11">
        <v>18.3</v>
      </c>
      <c r="F11">
        <v>48</v>
      </c>
      <c r="G11">
        <v>58</v>
      </c>
      <c r="H11">
        <v>26</v>
      </c>
      <c r="I11">
        <v>34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11.09</v>
      </c>
      <c r="D11">
        <v>12.54</v>
      </c>
      <c r="E11">
        <v>0.03</v>
      </c>
      <c r="F11">
        <v>0</v>
      </c>
      <c r="G11">
        <v>0.17</v>
      </c>
      <c r="H11">
        <v>-7.0000000000000007E-2</v>
      </c>
      <c r="I11">
        <v>23.67</v>
      </c>
      <c r="J11">
        <v>0</v>
      </c>
      <c r="K11">
        <v>0</v>
      </c>
    </row>
    <row r="12" spans="1:11" x14ac:dyDescent="0.45">
      <c r="A12" t="s">
        <v>124</v>
      </c>
      <c r="B12">
        <v>2001</v>
      </c>
      <c r="C12">
        <v>10.87</v>
      </c>
      <c r="D12">
        <v>13.36</v>
      </c>
      <c r="E12">
        <v>0.03</v>
      </c>
      <c r="F12">
        <v>0</v>
      </c>
      <c r="G12">
        <v>0.04</v>
      </c>
      <c r="H12">
        <v>-0.28999999999999998</v>
      </c>
      <c r="I12">
        <v>24.63</v>
      </c>
      <c r="J12">
        <v>0</v>
      </c>
      <c r="K12">
        <v>0</v>
      </c>
    </row>
    <row r="13" spans="1:11" x14ac:dyDescent="0.45">
      <c r="A13" t="s">
        <v>124</v>
      </c>
      <c r="B13">
        <v>2002</v>
      </c>
      <c r="C13">
        <v>11.14</v>
      </c>
      <c r="D13">
        <v>13.93</v>
      </c>
      <c r="E13">
        <v>0.02</v>
      </c>
      <c r="F13">
        <v>0</v>
      </c>
      <c r="G13">
        <v>0.56999999999999995</v>
      </c>
      <c r="H13">
        <v>-0.06</v>
      </c>
      <c r="I13">
        <v>24.84</v>
      </c>
      <c r="J13">
        <v>0</v>
      </c>
      <c r="K13">
        <v>0</v>
      </c>
    </row>
    <row r="14" spans="1:11" x14ac:dyDescent="0.45">
      <c r="A14" t="s">
        <v>124</v>
      </c>
      <c r="B14">
        <v>2003</v>
      </c>
      <c r="C14">
        <v>11.24</v>
      </c>
      <c r="D14">
        <v>15.05</v>
      </c>
      <c r="E14">
        <v>0.02</v>
      </c>
      <c r="F14">
        <v>0</v>
      </c>
      <c r="G14">
        <v>1.18</v>
      </c>
      <c r="H14">
        <v>-0.01</v>
      </c>
      <c r="I14">
        <v>24.86</v>
      </c>
      <c r="J14">
        <v>0</v>
      </c>
      <c r="K14">
        <v>0</v>
      </c>
    </row>
    <row r="15" spans="1:11" x14ac:dyDescent="0.45">
      <c r="A15" t="s">
        <v>124</v>
      </c>
      <c r="B15">
        <v>2004</v>
      </c>
      <c r="C15">
        <v>10.72</v>
      </c>
      <c r="D15">
        <v>15.57</v>
      </c>
      <c r="E15">
        <v>0.05</v>
      </c>
      <c r="F15">
        <v>0</v>
      </c>
      <c r="G15">
        <v>1.57</v>
      </c>
      <c r="H15">
        <v>0</v>
      </c>
      <c r="I15">
        <v>25.21</v>
      </c>
      <c r="J15">
        <v>0</v>
      </c>
      <c r="K15">
        <v>0</v>
      </c>
    </row>
    <row r="16" spans="1:11" x14ac:dyDescent="0.45">
      <c r="A16" t="s">
        <v>124</v>
      </c>
      <c r="B16">
        <v>2005</v>
      </c>
      <c r="C16">
        <v>10.93</v>
      </c>
      <c r="D16">
        <v>16.670000000000002</v>
      </c>
      <c r="E16">
        <v>0.06</v>
      </c>
      <c r="F16">
        <v>0</v>
      </c>
      <c r="G16">
        <v>2.0499999999999998</v>
      </c>
      <c r="H16">
        <v>0</v>
      </c>
      <c r="I16">
        <v>25.63</v>
      </c>
      <c r="J16">
        <v>0</v>
      </c>
      <c r="K16">
        <v>0</v>
      </c>
    </row>
    <row r="17" spans="1:11" x14ac:dyDescent="0.45">
      <c r="A17" t="s">
        <v>124</v>
      </c>
      <c r="B17">
        <v>2006</v>
      </c>
      <c r="C17">
        <v>11.26</v>
      </c>
      <c r="D17">
        <v>18.11</v>
      </c>
      <c r="E17">
        <v>0.06</v>
      </c>
      <c r="F17">
        <v>0</v>
      </c>
      <c r="G17">
        <v>1.79</v>
      </c>
      <c r="H17">
        <v>-0.01</v>
      </c>
      <c r="I17">
        <v>27.12</v>
      </c>
      <c r="J17">
        <v>0</v>
      </c>
      <c r="K17">
        <v>0</v>
      </c>
    </row>
    <row r="18" spans="1:11" x14ac:dyDescent="0.45">
      <c r="A18" t="s">
        <v>124</v>
      </c>
      <c r="B18">
        <v>2007</v>
      </c>
      <c r="C18">
        <v>10.91</v>
      </c>
      <c r="D18">
        <v>18.440000000000001</v>
      </c>
      <c r="E18">
        <v>0.05</v>
      </c>
      <c r="F18">
        <v>0</v>
      </c>
      <c r="G18">
        <v>1.41</v>
      </c>
      <c r="H18">
        <v>-0.08</v>
      </c>
      <c r="I18">
        <v>28.36</v>
      </c>
      <c r="J18">
        <v>0</v>
      </c>
      <c r="K18">
        <v>0</v>
      </c>
    </row>
    <row r="19" spans="1:11" x14ac:dyDescent="0.45">
      <c r="A19" t="s">
        <v>124</v>
      </c>
      <c r="B19">
        <v>2008</v>
      </c>
      <c r="C19">
        <v>10.76</v>
      </c>
      <c r="D19">
        <v>19.48</v>
      </c>
      <c r="E19">
        <v>0.05</v>
      </c>
      <c r="F19">
        <v>0</v>
      </c>
      <c r="G19">
        <v>0.75</v>
      </c>
      <c r="H19">
        <v>-0.3</v>
      </c>
      <c r="I19">
        <v>29.92</v>
      </c>
      <c r="J19">
        <v>0</v>
      </c>
      <c r="K19">
        <v>0</v>
      </c>
    </row>
    <row r="20" spans="1:11" x14ac:dyDescent="0.45">
      <c r="A20" t="s">
        <v>124</v>
      </c>
      <c r="B20">
        <v>2009</v>
      </c>
      <c r="C20">
        <v>9.76</v>
      </c>
      <c r="D20">
        <v>18.84</v>
      </c>
      <c r="E20">
        <v>0.04</v>
      </c>
      <c r="F20">
        <v>0</v>
      </c>
      <c r="G20">
        <v>0.94</v>
      </c>
      <c r="H20">
        <v>-0.18</v>
      </c>
      <c r="I20">
        <v>27.97</v>
      </c>
      <c r="J20">
        <v>0</v>
      </c>
      <c r="K20">
        <v>0</v>
      </c>
    </row>
    <row r="21" spans="1:11" x14ac:dyDescent="0.45">
      <c r="A21" t="s">
        <v>124</v>
      </c>
      <c r="B21">
        <v>2010</v>
      </c>
      <c r="C21">
        <v>9.5299999999999994</v>
      </c>
      <c r="D21">
        <v>18.940000000000001</v>
      </c>
      <c r="E21">
        <v>0.05</v>
      </c>
      <c r="F21">
        <v>0</v>
      </c>
      <c r="G21">
        <v>0.76</v>
      </c>
      <c r="H21">
        <v>-0.28999999999999998</v>
      </c>
      <c r="I21">
        <v>28.18</v>
      </c>
      <c r="J21">
        <v>0</v>
      </c>
      <c r="K21">
        <v>0</v>
      </c>
    </row>
    <row r="22" spans="1:11" x14ac:dyDescent="0.45">
      <c r="A22" t="s">
        <v>124</v>
      </c>
      <c r="B22">
        <v>2011</v>
      </c>
      <c r="C22">
        <v>8.91</v>
      </c>
      <c r="D22">
        <v>18.850000000000001</v>
      </c>
      <c r="E22">
        <v>0.05</v>
      </c>
      <c r="F22">
        <v>0</v>
      </c>
      <c r="G22">
        <v>0.73</v>
      </c>
      <c r="H22">
        <v>-0.24</v>
      </c>
      <c r="I22">
        <v>27.16</v>
      </c>
      <c r="J22">
        <v>0</v>
      </c>
      <c r="K22">
        <v>0</v>
      </c>
    </row>
    <row r="23" spans="1:11" x14ac:dyDescent="0.45">
      <c r="A23" t="s">
        <v>124</v>
      </c>
      <c r="B23">
        <v>2012</v>
      </c>
      <c r="C23">
        <v>9.1300000000000008</v>
      </c>
      <c r="D23">
        <v>18.649999999999999</v>
      </c>
      <c r="E23">
        <v>0.04</v>
      </c>
      <c r="F23">
        <v>0</v>
      </c>
      <c r="G23">
        <v>0.78</v>
      </c>
      <c r="H23">
        <v>-0.37</v>
      </c>
      <c r="I23">
        <v>27.14</v>
      </c>
      <c r="J23">
        <v>0</v>
      </c>
      <c r="K23">
        <v>0</v>
      </c>
    </row>
    <row r="24" spans="1:11" x14ac:dyDescent="0.45">
      <c r="A24" t="s">
        <v>124</v>
      </c>
      <c r="B24">
        <v>2013</v>
      </c>
      <c r="C24">
        <v>9.23</v>
      </c>
      <c r="D24">
        <v>18.5</v>
      </c>
      <c r="E24">
        <v>0.04</v>
      </c>
      <c r="F24">
        <v>0</v>
      </c>
      <c r="G24">
        <v>2.63</v>
      </c>
      <c r="H24">
        <v>-0.38</v>
      </c>
      <c r="I24">
        <v>25.58</v>
      </c>
      <c r="J24">
        <v>0</v>
      </c>
      <c r="K24">
        <v>0</v>
      </c>
    </row>
    <row r="25" spans="1:11" x14ac:dyDescent="0.45">
      <c r="A25" t="s">
        <v>124</v>
      </c>
      <c r="B25">
        <v>2014</v>
      </c>
      <c r="C25">
        <v>9.6</v>
      </c>
      <c r="D25">
        <v>18.07</v>
      </c>
      <c r="E25">
        <v>0.04</v>
      </c>
      <c r="F25">
        <v>0</v>
      </c>
      <c r="G25">
        <v>2.85</v>
      </c>
      <c r="H25">
        <v>-0.7</v>
      </c>
      <c r="I25">
        <v>25.81</v>
      </c>
      <c r="J25">
        <v>0</v>
      </c>
      <c r="K25">
        <v>0</v>
      </c>
    </row>
    <row r="26" spans="1:11" x14ac:dyDescent="0.45">
      <c r="A26" t="s">
        <v>124</v>
      </c>
      <c r="B26">
        <v>2015</v>
      </c>
      <c r="C26">
        <v>9.4499999999999993</v>
      </c>
      <c r="D26">
        <v>19.2</v>
      </c>
      <c r="E26">
        <v>0.04</v>
      </c>
      <c r="F26">
        <v>0</v>
      </c>
      <c r="G26">
        <v>1.75</v>
      </c>
      <c r="H26">
        <v>-1.08</v>
      </c>
      <c r="I26">
        <v>28.1</v>
      </c>
      <c r="J26">
        <v>0</v>
      </c>
      <c r="K26">
        <v>0</v>
      </c>
    </row>
    <row r="27" spans="1:11" x14ac:dyDescent="0.45">
      <c r="A27" t="s">
        <v>124</v>
      </c>
      <c r="B27">
        <v>2016</v>
      </c>
      <c r="C27">
        <v>9.7799999999999994</v>
      </c>
      <c r="D27">
        <v>19.55</v>
      </c>
      <c r="E27">
        <v>0.04</v>
      </c>
      <c r="F27">
        <v>0</v>
      </c>
      <c r="G27">
        <v>0.87</v>
      </c>
      <c r="H27">
        <v>-1.58</v>
      </c>
      <c r="I27">
        <v>30.22</v>
      </c>
      <c r="J27">
        <v>0</v>
      </c>
      <c r="K27">
        <v>0</v>
      </c>
    </row>
    <row r="28" spans="1:11" x14ac:dyDescent="0.45">
      <c r="A28" t="s">
        <v>124</v>
      </c>
      <c r="B28">
        <v>2017</v>
      </c>
      <c r="C28">
        <v>9.75</v>
      </c>
      <c r="D28">
        <v>19.84</v>
      </c>
      <c r="E28">
        <v>0.05</v>
      </c>
      <c r="F28">
        <v>0.01</v>
      </c>
      <c r="G28">
        <v>1.1200000000000001</v>
      </c>
      <c r="H28">
        <v>-1.79</v>
      </c>
      <c r="I28">
        <v>30.67</v>
      </c>
      <c r="J28">
        <v>0</v>
      </c>
      <c r="K28">
        <v>0</v>
      </c>
    </row>
    <row r="29" spans="1:11" x14ac:dyDescent="0.45">
      <c r="A29" t="s">
        <v>124</v>
      </c>
      <c r="B29">
        <v>2018</v>
      </c>
      <c r="C29">
        <v>9.5500000000000007</v>
      </c>
      <c r="D29">
        <v>21.33</v>
      </c>
      <c r="E29">
        <v>0.05</v>
      </c>
      <c r="F29">
        <v>0.02</v>
      </c>
      <c r="G29">
        <v>1.62</v>
      </c>
      <c r="H29">
        <v>-1.65</v>
      </c>
      <c r="I29">
        <v>30.9</v>
      </c>
      <c r="J29">
        <v>0</v>
      </c>
      <c r="K29">
        <v>0</v>
      </c>
    </row>
    <row r="30" spans="1:11" x14ac:dyDescent="0.45">
      <c r="A30" t="s">
        <v>124</v>
      </c>
      <c r="B30">
        <v>2019</v>
      </c>
      <c r="C30">
        <v>9.48</v>
      </c>
      <c r="D30">
        <v>21.88</v>
      </c>
      <c r="E30">
        <v>0.05</v>
      </c>
      <c r="F30">
        <v>0.03</v>
      </c>
      <c r="G30">
        <v>2.1800000000000002</v>
      </c>
      <c r="H30">
        <v>-1.54</v>
      </c>
      <c r="I30">
        <v>30.71</v>
      </c>
      <c r="J30">
        <v>0</v>
      </c>
      <c r="K30">
        <v>0</v>
      </c>
    </row>
    <row r="31" spans="1:11" x14ac:dyDescent="0.45">
      <c r="A31" t="s">
        <v>124</v>
      </c>
      <c r="B31">
        <v>2020</v>
      </c>
      <c r="C31">
        <v>10.029999999999999</v>
      </c>
      <c r="D31">
        <v>21.66</v>
      </c>
      <c r="E31">
        <v>0.05</v>
      </c>
      <c r="F31">
        <v>0.05</v>
      </c>
      <c r="G31">
        <v>1.76</v>
      </c>
      <c r="H31">
        <v>-1.91</v>
      </c>
      <c r="I31">
        <v>31.98</v>
      </c>
      <c r="J31">
        <v>0</v>
      </c>
      <c r="K31">
        <v>0</v>
      </c>
    </row>
    <row r="32" spans="1:11" x14ac:dyDescent="0.45">
      <c r="A32" t="s">
        <v>124</v>
      </c>
      <c r="B32">
        <v>2021</v>
      </c>
      <c r="C32">
        <v>10.16</v>
      </c>
      <c r="D32">
        <v>23.02</v>
      </c>
      <c r="E32">
        <v>0.05</v>
      </c>
      <c r="F32">
        <v>0.1</v>
      </c>
      <c r="G32">
        <v>2.4500000000000002</v>
      </c>
      <c r="H32">
        <v>-0.86</v>
      </c>
      <c r="I32">
        <v>31.58</v>
      </c>
      <c r="J32">
        <v>0</v>
      </c>
      <c r="K32">
        <v>0</v>
      </c>
    </row>
    <row r="33" spans="1:11" x14ac:dyDescent="0.45">
      <c r="A33" t="s">
        <v>124</v>
      </c>
      <c r="B33">
        <v>2022</v>
      </c>
      <c r="C33">
        <v>10.18</v>
      </c>
      <c r="D33">
        <v>23.71</v>
      </c>
      <c r="E33">
        <v>0.05</v>
      </c>
      <c r="F33">
        <v>0.15</v>
      </c>
      <c r="G33">
        <v>1.58</v>
      </c>
      <c r="H33">
        <v>-1.33</v>
      </c>
      <c r="I33">
        <v>33.61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2026-06-25T14:14:02Z</dcterms:modified>
</cp:coreProperties>
</file>