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RL_grids_kan\"/>
    </mc:Choice>
  </mc:AlternateContent>
  <xr:revisionPtr revIDLastSave="0" documentId="13_ncr:1_{B0A1DCF7-B629-49A7-A01B-DD0F67C034FE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<sst xmlns="http://schemas.openxmlformats.org/spreadsheetml/2006/main" count="1327" uniqueCount="432">
  <si>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</si>
  <si>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</si>
  <si>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</si>
  <si>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</si>
  <si>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</si>
  <si>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</si>
  <si>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</si>
  <si>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</si>
  <si>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</si>
  <si>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</si>
  <si>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</si>
  <si>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</si>
  <si>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</si>
  <si>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</si>
  <si>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</si>
  <si>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</si>
  <si>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</si>
  <si>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</si>
  <si>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</si>
  <si>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</si>
  <si>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</si>
  <si>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</si>
  <si>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</si>
  <si>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</si>
  <si>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</si>
  <si>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</si>
  <si>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</si>
  <si>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</si>
  <si>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</si>
  <si>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</si>
  <si>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</si>
  <si>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</si>
  <si>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</si>
  <si>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</si>
  <si>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</si>
  <si>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</si>
  <si>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</si>
  <si>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</si>
  <si>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</si>
  <si>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</si>
  <si>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</si>
  <si>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</si>
  <si>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</si>
  <si>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</si>
  <si>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</si>
  <si>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</si>
  <si>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</si>
  <si>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</si>
  <si>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</si>
  <si>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</si>
  <si>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</si>
  <si>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</si>
  <si>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</si>
  <si>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</si>
  <si>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</si>
  <si>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</si>
  <si>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</si>
  <si>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</si>
  <si>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</si>
  <si>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</si>
  <si>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</si>
  <si>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</si>
  <si>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</si>
  <si>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</si>
  <si>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</si>
  <si>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</si>
  <si>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</si>
  <si>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</si>
  <si>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</si>
  <si>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</si>
  <si>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</si>
  <si>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</si>
  <si>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</si>
  <si>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</si>
  <si>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</si>
  <si>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</si>
  <si>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</si>
  <si>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</si>
  <si>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</si>
  <si>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</si>
  <si>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</si>
  <si>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</si>
  <si>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</si>
  <si>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</si>
  <si>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</si>
  <si>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</si>
  <si>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</si>
  <si>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</si>
  <si>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</si>
  <si>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</si>
  <si>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</si>
  <si>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</si>
  <si>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</si>
  <si>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</si>
  <si>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</si>
  <si>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</si>
  <si>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</si>
  <si>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</si>
  <si>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</si>
  <si>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</si>
  <si>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</si>
  <si>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</si>
  <si>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</si>
  <si>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</si>
  <si>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</si>
  <si>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</si>
  <si>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</si>
  <si>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</si>
  <si>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</si>
  <si>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</si>
  <si>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</si>
  <si>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</si>
  <si>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</si>
  <si>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</si>
  <si>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</si>
  <si>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</si>
  <si>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</si>
  <si>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</si>
  <si>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</si>
  <si>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</si>
  <si>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</si>
  <si>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</si>
  <si>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</si>
  <si>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</si>
  <si>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</si>
  <si>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</si>
  <si>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</si>
  <si>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</si>
  <si>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</si>
  <si>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</si>
  <si>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</si>
  <si>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</si>
  <si>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</si>
  <si>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</si>
  <si>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</si>
  <si>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</si>
  <si>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</si>
  <si>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</si>
  <si>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</si>
  <si>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</si>
  <si>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</si>
  <si>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</si>
  <si>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</si>
  <si>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</si>
  <si>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</si>
  <si>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</si>
  <si>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</si>
  <si>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</si>
  <si>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</si>
  <si>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</si>
  <si>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</si>
  <si>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</si>
  <si>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</si>
  <si>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</si>
  <si>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</si>
  <si>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</si>
  <si>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</si>
  <si>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</si>
  <si>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</si>
  <si>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</si>
  <si>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</si>
  <si>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</si>
  <si>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</si>
  <si>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</si>
  <si>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</si>
  <si>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</si>
  <si>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</si>
  <si>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</si>
  <si>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</si>
  <si>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</si>
  <si>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</si>
  <si>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</si>
  <si>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</si>
  <si>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</si>
  <si>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</si>
  <si>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</si>
  <si>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</si>
  <si>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</si>
  <si>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</si>
  <si>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</si>
  <si>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</si>
  <si>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</si>
  <si>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</si>
  <si>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</si>
  <si>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</si>
  <si>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</si>
  <si>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</si>
  <si>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</si>
  <si>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</si>
  <si>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</si>
  <si>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</si>
  <si>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</si>
  <si>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</si>
  <si>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</si>
  <si>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</si>
  <si>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</si>
  <si>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</si>
  <si>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</si>
  <si>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</si>
  <si>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</si>
  <si>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</si>
  <si>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</si>
  <si>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</si>
  <si>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</si>
  <si>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</si>
  <si>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</si>
  <si>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</si>
  <si>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</si>
  <si>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</si>
  <si>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</si>
  <si>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</si>
  <si>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</si>
  <si>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</si>
  <si>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</si>
  <si>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</si>
  <si>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</si>
  <si>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</si>
  <si>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</si>
  <si>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set</t>
  </si>
  <si>
    <t>ctype</t>
  </si>
  <si>
    <t>ELC4H</t>
  </si>
  <si>
    <t>First 5 hours of surplus electricity from VRE generation</t>
  </si>
  <si>
    <t>DAYNITE</t>
  </si>
  <si>
    <t>ELC8H</t>
  </si>
  <si>
    <t>6-10 hours of surplus electricity from VRE generation</t>
  </si>
  <si>
    <t>DEF_E</t>
  </si>
  <si>
    <t>Electricity that was missing at the hourly level</t>
  </si>
  <si>
    <t>DEF_C</t>
  </si>
  <si>
    <t>VRE Capacity deficit to be covered by dispatchable techs</t>
  </si>
  <si>
    <t>GW</t>
  </si>
  <si>
    <t>HET</t>
  </si>
  <si>
    <t>low temperature heat</t>
  </si>
  <si>
    <t>season</t>
  </si>
  <si>
    <t>LTHEAT</t>
  </si>
  <si>
    <t>IMPDEMZ,IMPDUCZ</t>
  </si>
  <si>
    <t>IMPDUCZ</t>
  </si>
  <si>
    <t>invcost</t>
  </si>
  <si>
    <t>IRL</t>
  </si>
  <si>
    <t>region</t>
  </si>
  <si>
    <t>elc_spv_IRL_001</t>
  </si>
  <si>
    <t>solar electricity generation in cluster -- 1</t>
  </si>
  <si>
    <t>TWh</t>
  </si>
  <si>
    <t>elc_spv_IRL_002</t>
  </si>
  <si>
    <t>solar electricity generation in cluster -- 2</t>
  </si>
  <si>
    <t>elc_spv_IRL_003</t>
  </si>
  <si>
    <t>solar electricity generation in cluster -- 3</t>
  </si>
  <si>
    <t>elc_spv_IRL_004</t>
  </si>
  <si>
    <t>solar electricity generation in cluster -- 4</t>
  </si>
  <si>
    <t>elc_spv_IRL_005</t>
  </si>
  <si>
    <t>solar electricity generation in cluster -- 5</t>
  </si>
  <si>
    <t>elc_spv_IRL_006</t>
  </si>
  <si>
    <t>solar electricity generation in cluster -- 6</t>
  </si>
  <si>
    <t>elc_spv_IRL_007</t>
  </si>
  <si>
    <t>solar electricity generation in cluster -- 7</t>
  </si>
  <si>
    <t>elc_spv_IRL_008</t>
  </si>
  <si>
    <t>solar electricity generation in cluster -- 8</t>
  </si>
  <si>
    <t>elc_spv_IRL_009</t>
  </si>
  <si>
    <t>solar electricity generation in cluster -- 9</t>
  </si>
  <si>
    <t>elc_spv_IRL_010</t>
  </si>
  <si>
    <t>solar electricity generation in cluster -- 10</t>
  </si>
  <si>
    <t>elc_wof_IRL_001</t>
  </si>
  <si>
    <t>wind offshore electricity generation in cluster -- 1</t>
  </si>
  <si>
    <t>elc_wof_IRL_002</t>
  </si>
  <si>
    <t>wind offshore electricity generation in cluster -- 2</t>
  </si>
  <si>
    <t>elc_wof_IRL_003</t>
  </si>
  <si>
    <t>wind offshore electricity generation in cluster -- 3</t>
  </si>
  <si>
    <t>elc_wof_IRL_004</t>
  </si>
  <si>
    <t>wind offshore electricity generation in cluster -- 4</t>
  </si>
  <si>
    <t>elc_wof_IRL_005</t>
  </si>
  <si>
    <t>wind offshore electricity generation in cluster -- 5</t>
  </si>
  <si>
    <t>elc_wof_IRL_006</t>
  </si>
  <si>
    <t>wind offshore electricity generation in cluster -- 6</t>
  </si>
  <si>
    <t>elc_wof_IRL_007</t>
  </si>
  <si>
    <t>wind offshore electricity generation in cluster -- 7</t>
  </si>
  <si>
    <t>elc_wof_IRL_008</t>
  </si>
  <si>
    <t>wind offshore electricity generation in cluster -- 8</t>
  </si>
  <si>
    <t>elc_wof_IRL_009</t>
  </si>
  <si>
    <t>wind offshore electricity generation in cluster -- 9</t>
  </si>
  <si>
    <t>elc_wof_IRL_010</t>
  </si>
  <si>
    <t>wind offshore electricity generation in cluster -- 10</t>
  </si>
  <si>
    <t>elc_wof_IRL_011</t>
  </si>
  <si>
    <t>wind offshore electricity generation in cluster -- 11</t>
  </si>
  <si>
    <t>elc_wof_IRL_012</t>
  </si>
  <si>
    <t>wind offshore electricity generation in cluster -- 12</t>
  </si>
  <si>
    <t>elc_wof_IRL_013</t>
  </si>
  <si>
    <t>wind offshore electricity generation in cluster -- 13</t>
  </si>
  <si>
    <t>elc_wof_IRL_014</t>
  </si>
  <si>
    <t>wind offshore electricity generation in cluster -- 14</t>
  </si>
  <si>
    <t>elc_wof_IRL_015</t>
  </si>
  <si>
    <t>wind offshore electricity generation in cluster -- 15</t>
  </si>
  <si>
    <t>elc_wof_IRL_016</t>
  </si>
  <si>
    <t>wind offshore electricity generation in cluster -- 16</t>
  </si>
  <si>
    <t>elc_wof_IRL_017</t>
  </si>
  <si>
    <t>wind offshore electricity generation in cluster -- 17</t>
  </si>
  <si>
    <t>elc_wof_IRL_018</t>
  </si>
  <si>
    <t>wind offshore electricity generation in cluster -- 18</t>
  </si>
  <si>
    <t>elc_won_IRL_001</t>
  </si>
  <si>
    <t>onshore wind electricity generation in cluster -- 1</t>
  </si>
  <si>
    <t>elc_won_IRL_002</t>
  </si>
  <si>
    <t>onshore wind electricity generation in cluster -- 2</t>
  </si>
  <si>
    <t>elc_won_IRL_003</t>
  </si>
  <si>
    <t>onshore wind electricity generation in cluster -- 3</t>
  </si>
  <si>
    <t>elc_won_IRL_004</t>
  </si>
  <si>
    <t>onshore wind electricity generation in cluster -- 4</t>
  </si>
  <si>
    <t>elc_won_IRL_005</t>
  </si>
  <si>
    <t>onshore wind electricity generation in cluster -- 5</t>
  </si>
  <si>
    <t>elc_won_IRL_006</t>
  </si>
  <si>
    <t>onshore wind electricity generation in cluster -- 6</t>
  </si>
  <si>
    <t>elc_won_IRL_007</t>
  </si>
  <si>
    <t>onshore wind electricity generation in cluster -- 7</t>
  </si>
  <si>
    <t>elc_won_IRL_008</t>
  </si>
  <si>
    <t>onshore wind electricity generation in cluster -- 8</t>
  </si>
  <si>
    <t>elc_won_IRL_009</t>
  </si>
  <si>
    <t>onshore wind electricity generation in cluster -- 9</t>
  </si>
  <si>
    <t>elc_won_IRL_010</t>
  </si>
  <si>
    <t>onshore wind electricity generation in cluster -- 10</t>
  </si>
  <si>
    <t>~fi_comm</t>
  </si>
  <si>
    <t>e_IE1-275_IRL</t>
  </si>
  <si>
    <t>grid node -- IE1-275</t>
  </si>
  <si>
    <t>lo</t>
  </si>
  <si>
    <t>e_IE10-220_IRL</t>
  </si>
  <si>
    <t>grid node -- IE10-220</t>
  </si>
  <si>
    <t>e_IE11-220_IRL</t>
  </si>
  <si>
    <t>grid node -- IE11-220</t>
  </si>
  <si>
    <t>e_IE2-220_IRL</t>
  </si>
  <si>
    <t>grid node -- IE2-220</t>
  </si>
  <si>
    <t>e_IE3-220_IRL</t>
  </si>
  <si>
    <t>grid node -- IE3-220</t>
  </si>
  <si>
    <t>e_IE4-220_IRL</t>
  </si>
  <si>
    <t>grid node -- IE4-220</t>
  </si>
  <si>
    <t>e_IE5-220_IRL</t>
  </si>
  <si>
    <t>grid node -- IE5-220</t>
  </si>
  <si>
    <t>e_IE6-220_IRL</t>
  </si>
  <si>
    <t>grid node -- IE6-220</t>
  </si>
  <si>
    <t>e_IE7-220_IRL</t>
  </si>
  <si>
    <t>grid node -- IE7-220</t>
  </si>
  <si>
    <t>e_IE9-220_IRL</t>
  </si>
  <si>
    <t>grid node -- IE9-220</t>
  </si>
  <si>
    <t>e_w1003262502-220_IRL</t>
  </si>
  <si>
    <t>grid node -- way/1003262502-220</t>
  </si>
  <si>
    <t>e_w104388595-220_IRL</t>
  </si>
  <si>
    <t>grid node -- way/104388595-220</t>
  </si>
  <si>
    <t>e_w104388599-220_IRL</t>
  </si>
  <si>
    <t>grid node -- way/104388599-220</t>
  </si>
  <si>
    <t>e_w1154822210-220_IRL</t>
  </si>
  <si>
    <t>grid node -- way/1154822210-220</t>
  </si>
  <si>
    <t>e_w1231460605-220_IRL</t>
  </si>
  <si>
    <t>grid node -- way/1231460605-220</t>
  </si>
  <si>
    <t>e_w147525695-220_IRL</t>
  </si>
  <si>
    <t>grid node -- way/147525695-220</t>
  </si>
  <si>
    <t>e_w150124101-220_IRL</t>
  </si>
  <si>
    <t>grid node -- way/150124101-220</t>
  </si>
  <si>
    <t>e_w179121616-220_IRL</t>
  </si>
  <si>
    <t>grid node -- way/179121616-220</t>
  </si>
  <si>
    <t>e_w179121616-400_IRL</t>
  </si>
  <si>
    <t>grid node -- way/179121616-400</t>
  </si>
  <si>
    <t>e_w180637986-220_IRL</t>
  </si>
  <si>
    <t>grid node -- way/180637986-220</t>
  </si>
  <si>
    <t>e_w183749097-220_IRL</t>
  </si>
  <si>
    <t>grid node -- way/183749097-220</t>
  </si>
  <si>
    <t>e_w185693432-220_IRL</t>
  </si>
  <si>
    <t>grid node -- way/185693432-220</t>
  </si>
  <si>
    <t>e_w185902319-220_IRL</t>
  </si>
  <si>
    <t>grid node -- way/185902319-220</t>
  </si>
  <si>
    <t>e_w186889669-220_IRL</t>
  </si>
  <si>
    <t>grid node -- way/186889669-220</t>
  </si>
  <si>
    <t>e_w194575030-220_IRL</t>
  </si>
  <si>
    <t>grid node -- way/194575030-220</t>
  </si>
  <si>
    <t>e_w194614470-220_IRL</t>
  </si>
  <si>
    <t>grid node -- way/194614470-220</t>
  </si>
  <si>
    <t>e_w197846408-220_IRL</t>
  </si>
  <si>
    <t>grid node -- way/197846408-220</t>
  </si>
  <si>
    <t>e_w207331199-220_IRL</t>
  </si>
  <si>
    <t>grid node -- way/207331199-220</t>
  </si>
  <si>
    <t>e_w207339053-220_IRL</t>
  </si>
  <si>
    <t>grid node -- way/207339053-220</t>
  </si>
  <si>
    <t>e_w207339053-400_IRL</t>
  </si>
  <si>
    <t>grid node -- way/207339053-400</t>
  </si>
  <si>
    <t>e_w208124159-220_IRL</t>
  </si>
  <si>
    <t>grid node -- way/208124159-220</t>
  </si>
  <si>
    <t>e_w254158424-220_IRL</t>
  </si>
  <si>
    <t>grid node -- way/254158424-220</t>
  </si>
  <si>
    <t>e_w254158424-400_IRL</t>
  </si>
  <si>
    <t>grid node -- way/254158424-400</t>
  </si>
  <si>
    <t>e_w255668124-220_IRL</t>
  </si>
  <si>
    <t>grid node -- way/255668124-220</t>
  </si>
  <si>
    <t>e_w264275258-220_IRL</t>
  </si>
  <si>
    <t>grid node -- way/264275258-220</t>
  </si>
  <si>
    <t>e_w264275258-275_IRL</t>
  </si>
  <si>
    <t>grid node -- way/264275258-275</t>
  </si>
  <si>
    <t>e_w264852019-220_IRL</t>
  </si>
  <si>
    <t>grid node -- way/264852019-220</t>
  </si>
  <si>
    <t>e_w266025855-220_IRL</t>
  </si>
  <si>
    <t>grid node -- way/266025855-220</t>
  </si>
  <si>
    <t>e_w27144164-220_IRL</t>
  </si>
  <si>
    <t>grid node -- way/27144164-220</t>
  </si>
  <si>
    <t>e_w285823895-220_IRL</t>
  </si>
  <si>
    <t>grid node -- way/285823895-220</t>
  </si>
  <si>
    <t>e_w288283900-220_IRL</t>
  </si>
  <si>
    <t>grid node -- way/288283900-220</t>
  </si>
  <si>
    <t>e_w35150701-220_IRL</t>
  </si>
  <si>
    <t>grid node -- way/35150701-220</t>
  </si>
  <si>
    <t>e_w361261945-220_IRL</t>
  </si>
  <si>
    <t>grid node -- way/361261945-220</t>
  </si>
  <si>
    <t>e_w42998577-220_IRL</t>
  </si>
  <si>
    <t>grid node -- way/42998577-220</t>
  </si>
  <si>
    <t>e_w516651650-220_IRL</t>
  </si>
  <si>
    <t>grid node -- way/516651650-220</t>
  </si>
  <si>
    <t>e_w516752881-220_IRL</t>
  </si>
  <si>
    <t>grid node -- way/516752881-220</t>
  </si>
  <si>
    <t>e_w547590959-220_IRL</t>
  </si>
  <si>
    <t>grid node -- way/547590959-220</t>
  </si>
  <si>
    <t>e_w710981639-220_IRL</t>
  </si>
  <si>
    <t>grid node -- way/710981639-220</t>
  </si>
  <si>
    <t>e_w714018181-220_IRL</t>
  </si>
  <si>
    <t>grid node -- way/714018181-220</t>
  </si>
  <si>
    <t>e_w79803767-220_IRL</t>
  </si>
  <si>
    <t>grid node -- way/79803767-220</t>
  </si>
  <si>
    <t>e_w819997192-220_IRL</t>
  </si>
  <si>
    <t>grid node -- way/819997192-220</t>
  </si>
  <si>
    <t>e_w88144450-220_IRL</t>
  </si>
  <si>
    <t>grid node -- way/88144450-220</t>
  </si>
  <si>
    <t>e_w88144450-400_IRL</t>
  </si>
  <si>
    <t>grid node -- way/88144450-400</t>
  </si>
  <si>
    <t>e_w88462768-220_IRL</t>
  </si>
  <si>
    <t>grid node -- way/88462768-220</t>
  </si>
  <si>
    <t>e_w887405637-220_IRL</t>
  </si>
  <si>
    <t>grid node -- way/887405637-220</t>
  </si>
  <si>
    <t>e_w89760546-220_IRL</t>
  </si>
  <si>
    <t>grid node -- way/89760546-220</t>
  </si>
  <si>
    <t>e_w942416227-220_IRL</t>
  </si>
  <si>
    <t>grid node -- way/942416227-220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</si>
</sst>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237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43"/>
  <sheetViews>
    <sheetView topLeftCell="A2" workbookViewId="0">
      <selection activeCell="G17" sqref="G17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218</v>
      </c>
      <c r="N4" s="5" t="s">
        <v>10</v>
      </c>
      <c r="O4" s="5" t="s">
        <v>238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239</v>
      </c>
      <c r="O5" t="s">
        <v>237</v>
      </c>
      <c r="P5" t="s">
        <v>240</v>
      </c>
      <c r="Q5" t="s">
        <v>25</v>
      </c>
      <c r="R5" t="s">
        <v>35</v>
      </c>
      <c r="S5" t="s">
        <v>241</v>
      </c>
    </row>
    <row r="6" spans="2:19">
      <c r="B6" t="s">
        <v>17</v>
      </c>
      <c r="C6" t="s">
        <v>208</v>
      </c>
      <c r="E6" t="s">
        <v>18</v>
      </c>
      <c r="M6" t="s">
        <v>17</v>
      </c>
      <c r="N6" t="s">
        <v>242</v>
      </c>
      <c r="O6" t="s">
        <v>237</v>
      </c>
      <c r="P6" t="s">
        <v>243</v>
      </c>
      <c r="Q6" t="s">
        <v>25</v>
      </c>
      <c r="R6" t="s">
        <v>35</v>
      </c>
      <c r="S6" t="s">
        <v>241</v>
      </c>
    </row>
    <row r="7" spans="2:19">
      <c r="B7" t="s">
        <v>17</v>
      </c>
      <c r="C7" t="s">
        <v>209</v>
      </c>
      <c r="E7" t="s">
        <v>18</v>
      </c>
      <c r="M7" t="s">
        <v>17</v>
      </c>
      <c r="N7" t="s">
        <v>244</v>
      </c>
      <c r="O7" t="s">
        <v>237</v>
      </c>
      <c r="P7" t="s">
        <v>245</v>
      </c>
      <c r="Q7" t="s">
        <v>25</v>
      </c>
      <c r="R7" t="s">
        <v>35</v>
      </c>
      <c r="S7" t="s">
        <v>241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246</v>
      </c>
      <c r="O8" t="s">
        <v>237</v>
      </c>
      <c r="P8" t="s">
        <v>247</v>
      </c>
      <c r="Q8" t="s">
        <v>25</v>
      </c>
      <c r="R8" t="s">
        <v>35</v>
      </c>
      <c r="S8" t="s">
        <v>241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248</v>
      </c>
      <c r="O9" t="s">
        <v>237</v>
      </c>
      <c r="P9" t="s">
        <v>249</v>
      </c>
      <c r="Q9" t="s">
        <v>25</v>
      </c>
      <c r="R9" t="s">
        <v>35</v>
      </c>
      <c r="S9" t="s">
        <v>241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250</v>
      </c>
      <c r="O10" t="s">
        <v>237</v>
      </c>
      <c r="P10" t="s">
        <v>251</v>
      </c>
      <c r="Q10" t="s">
        <v>25</v>
      </c>
      <c r="R10" t="s">
        <v>35</v>
      </c>
      <c r="S10" t="s">
        <v>241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252</v>
      </c>
      <c r="O11" t="s">
        <v>237</v>
      </c>
      <c r="P11" t="s">
        <v>253</v>
      </c>
      <c r="Q11" t="s">
        <v>25</v>
      </c>
      <c r="R11" t="s">
        <v>35</v>
      </c>
      <c r="S11" t="s">
        <v>241</v>
      </c>
    </row>
    <row r="12" spans="2:19">
      <c r="B12" t="s">
        <v>17</v>
      </c>
      <c r="C12" t="s">
        <v>210</v>
      </c>
      <c r="E12" t="s">
        <v>18</v>
      </c>
      <c r="M12" t="s">
        <v>17</v>
      </c>
      <c r="N12" t="s">
        <v>254</v>
      </c>
      <c r="O12" t="s">
        <v>237</v>
      </c>
      <c r="P12" t="s">
        <v>255</v>
      </c>
      <c r="Q12" t="s">
        <v>25</v>
      </c>
      <c r="R12" t="s">
        <v>35</v>
      </c>
      <c r="S12" t="s">
        <v>241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256</v>
      </c>
      <c r="O13" t="s">
        <v>237</v>
      </c>
      <c r="P13" t="s">
        <v>257</v>
      </c>
      <c r="Q13" t="s">
        <v>25</v>
      </c>
      <c r="R13" t="s">
        <v>35</v>
      </c>
      <c r="S13" t="s">
        <v>241</v>
      </c>
    </row>
    <row r="14" spans="2:19">
      <c r="B14" t="s">
        <v>17</v>
      </c>
      <c r="C14" t="s">
        <v>204</v>
      </c>
      <c r="D14" t="s">
        <v>206</v>
      </c>
      <c r="E14" t="s">
        <v>18</v>
      </c>
      <c r="M14" t="s">
        <v>17</v>
      </c>
      <c r="N14" t="s">
        <v>258</v>
      </c>
      <c r="O14" t="s">
        <v>237</v>
      </c>
      <c r="P14" t="s">
        <v>259</v>
      </c>
      <c r="Q14" t="s">
        <v>25</v>
      </c>
      <c r="R14" t="s">
        <v>35</v>
      </c>
      <c r="S14" t="s">
        <v>241</v>
      </c>
    </row>
    <row r="15" spans="2:19">
      <c r="B15" t="s">
        <v>17</v>
      </c>
      <c r="C15" t="s">
        <v>205</v>
      </c>
      <c r="D15" t="s">
        <v>207</v>
      </c>
      <c r="E15" t="s">
        <v>18</v>
      </c>
      <c r="M15" t="s">
        <v>17</v>
      </c>
      <c r="N15" t="s">
        <v>260</v>
      </c>
      <c r="O15" t="s">
        <v>237</v>
      </c>
      <c r="P15" t="s">
        <v>261</v>
      </c>
      <c r="Q15" t="s">
        <v>25</v>
      </c>
      <c r="R15" t="s">
        <v>35</v>
      </c>
      <c r="S15" t="s">
        <v>241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262</v>
      </c>
      <c r="O16" t="s">
        <v>237</v>
      </c>
      <c r="P16" t="s">
        <v>263</v>
      </c>
      <c r="Q16" t="s">
        <v>25</v>
      </c>
      <c r="R16" t="s">
        <v>35</v>
      </c>
      <c r="S16" t="s">
        <v>241</v>
      </c>
    </row>
    <row r="17" spans="2:19">
      <c r="B17" t="s">
        <v>17</v>
      </c>
      <c r="C17" t="s">
        <v>230</v>
      </c>
      <c r="D17" t="s">
        <v>231</v>
      </c>
      <c r="E17" t="s">
        <v>18</v>
      </c>
      <c r="F17" t="s">
        <v>232</v>
      </c>
      <c r="G17" t="s">
        <v>233</v>
      </c>
      <c r="M17" t="s">
        <v>17</v>
      </c>
      <c r="N17" t="s">
        <v>264</v>
      </c>
      <c r="O17" t="s">
        <v>237</v>
      </c>
      <c r="P17" t="s">
        <v>265</v>
      </c>
      <c r="Q17" t="s">
        <v>25</v>
      </c>
      <c r="R17" t="s">
        <v>35</v>
      </c>
      <c r="S17" t="s">
        <v>241</v>
      </c>
    </row>
    <row r="18" spans="2:19">
      <c r="B18" t="s">
        <v>34</v>
      </c>
      <c r="C18" t="s">
        <v>202</v>
      </c>
      <c r="D18" t="s">
        <v>203</v>
      </c>
      <c r="E18" t="s">
        <v>18</v>
      </c>
      <c r="M18" t="s">
        <v>17</v>
      </c>
      <c r="N18" t="s">
        <v>266</v>
      </c>
      <c r="O18" t="s">
        <v>237</v>
      </c>
      <c r="P18" t="s">
        <v>267</v>
      </c>
      <c r="Q18" t="s">
        <v>25</v>
      </c>
      <c r="R18" t="s">
        <v>35</v>
      </c>
      <c r="S18" t="s">
        <v>241</v>
      </c>
    </row>
    <row r="19" spans="2:19">
      <c r="B19" t="s">
        <v>34</v>
      </c>
      <c r="C19" t="s">
        <v>27</v>
      </c>
      <c r="D19" t="s">
        <v>31</v>
      </c>
      <c r="E19" t="s">
        <v>18</v>
      </c>
      <c r="M19" t="s">
        <v>17</v>
      </c>
      <c r="N19" t="s">
        <v>268</v>
      </c>
      <c r="O19" t="s">
        <v>237</v>
      </c>
      <c r="P19" t="s">
        <v>269</v>
      </c>
      <c r="Q19" t="s">
        <v>25</v>
      </c>
      <c r="R19" t="s">
        <v>35</v>
      </c>
      <c r="S19" t="s">
        <v>241</v>
      </c>
    </row>
    <row r="20" spans="2:19">
      <c r="B20" t="s">
        <v>34</v>
      </c>
      <c r="C20" t="s">
        <v>28</v>
      </c>
      <c r="D20" t="s">
        <v>32</v>
      </c>
      <c r="E20" t="s">
        <v>18</v>
      </c>
      <c r="M20" t="s">
        <v>17</v>
      </c>
      <c r="N20" t="s">
        <v>270</v>
      </c>
      <c r="O20" t="s">
        <v>237</v>
      </c>
      <c r="P20" t="s">
        <v>271</v>
      </c>
      <c r="Q20" t="s">
        <v>25</v>
      </c>
      <c r="R20" t="s">
        <v>35</v>
      </c>
      <c r="S20" t="s">
        <v>241</v>
      </c>
    </row>
    <row r="21" spans="2:19">
      <c r="B21" t="s">
        <v>34</v>
      </c>
      <c r="C21" t="s">
        <v>29</v>
      </c>
      <c r="D21" t="s">
        <v>33</v>
      </c>
      <c r="E21" t="s">
        <v>18</v>
      </c>
      <c r="M21" t="s">
        <v>17</v>
      </c>
      <c r="N21" t="s">
        <v>272</v>
      </c>
      <c r="O21" t="s">
        <v>237</v>
      </c>
      <c r="P21" t="s">
        <v>273</v>
      </c>
      <c r="Q21" t="s">
        <v>25</v>
      </c>
      <c r="R21" t="s">
        <v>35</v>
      </c>
      <c r="S21" t="s">
        <v>241</v>
      </c>
    </row>
    <row r="22" spans="2:19">
      <c r="B22" t="s">
        <v>17</v>
      </c>
      <c r="C22" t="s">
        <v>196</v>
      </c>
      <c r="D22" t="s">
        <v>197</v>
      </c>
      <c r="E22" t="s">
        <v>18</v>
      </c>
      <c r="F22" t="s">
        <v>35</v>
      </c>
      <c r="G22" t="s">
        <v>25</v>
      </c>
      <c r="M22" t="s">
        <v>17</v>
      </c>
      <c r="N22" t="s">
        <v>274</v>
      </c>
      <c r="O22" t="s">
        <v>237</v>
      </c>
      <c r="P22" t="s">
        <v>275</v>
      </c>
      <c r="Q22" t="s">
        <v>25</v>
      </c>
      <c r="R22" t="s">
        <v>35</v>
      </c>
      <c r="S22" t="s">
        <v>241</v>
      </c>
    </row>
    <row r="23" spans="2:19">
      <c r="B23" t="s">
        <v>192</v>
      </c>
      <c r="C23" t="s">
        <v>193</v>
      </c>
      <c r="D23" t="s">
        <v>194</v>
      </c>
      <c r="E23" t="s">
        <v>195</v>
      </c>
      <c r="M23" t="s">
        <v>17</v>
      </c>
      <c r="N23" t="s">
        <v>276</v>
      </c>
      <c r="O23" t="s">
        <v>237</v>
      </c>
      <c r="P23" t="s">
        <v>277</v>
      </c>
      <c r="Q23" t="s">
        <v>25</v>
      </c>
      <c r="R23" t="s">
        <v>35</v>
      </c>
      <c r="S23" t="s">
        <v>241</v>
      </c>
    </row>
    <row r="24" spans="2:19">
      <c r="B24" t="s">
        <v>192</v>
      </c>
      <c r="C24" t="s">
        <v>199</v>
      </c>
      <c r="E24" t="s">
        <v>195</v>
      </c>
      <c r="M24" t="s">
        <v>17</v>
      </c>
      <c r="N24" t="s">
        <v>278</v>
      </c>
      <c r="O24" t="s">
        <v>237</v>
      </c>
      <c r="P24" t="s">
        <v>279</v>
      </c>
      <c r="Q24" t="s">
        <v>25</v>
      </c>
      <c r="R24" t="s">
        <v>35</v>
      </c>
      <c r="S24" t="s">
        <v>241</v>
      </c>
    </row>
    <row r="25" spans="2:19">
      <c r="B25" t="s">
        <v>192</v>
      </c>
      <c r="C25" t="s">
        <v>200</v>
      </c>
      <c r="E25" t="s">
        <v>195</v>
      </c>
      <c r="M25" t="s">
        <v>17</v>
      </c>
      <c r="N25" t="s">
        <v>280</v>
      </c>
      <c r="O25" t="s">
        <v>237</v>
      </c>
      <c r="P25" t="s">
        <v>281</v>
      </c>
      <c r="Q25" t="s">
        <v>25</v>
      </c>
      <c r="R25" t="s">
        <v>35</v>
      </c>
      <c r="S25" t="s">
        <v>241</v>
      </c>
    </row>
    <row r="26" spans="2:19">
      <c r="M26" t="s">
        <v>17</v>
      </c>
      <c r="N26" t="s">
        <v>282</v>
      </c>
      <c r="O26" t="s">
        <v>237</v>
      </c>
      <c r="P26" t="s">
        <v>283</v>
      </c>
      <c r="Q26" t="s">
        <v>25</v>
      </c>
      <c r="R26" t="s">
        <v>35</v>
      </c>
      <c r="S26" t="s">
        <v>241</v>
      </c>
    </row>
    <row r="27" spans="2:19">
      <c r="M27" t="s">
        <v>17</v>
      </c>
      <c r="N27" t="s">
        <v>284</v>
      </c>
      <c r="O27" t="s">
        <v>237</v>
      </c>
      <c r="P27" t="s">
        <v>285</v>
      </c>
      <c r="Q27" t="s">
        <v>25</v>
      </c>
      <c r="R27" t="s">
        <v>35</v>
      </c>
      <c r="S27" t="s">
        <v>241</v>
      </c>
    </row>
    <row r="28" spans="2:19" ht="17.649999999999999" thickBot="1">
      <c r="B28" s="3" t="s">
        <v>212</v>
      </c>
      <c r="C28" s="2"/>
      <c r="D28" s="2"/>
      <c r="M28" t="s">
        <v>17</v>
      </c>
      <c r="N28" t="s">
        <v>286</v>
      </c>
      <c r="O28" t="s">
        <v>237</v>
      </c>
      <c r="P28" t="s">
        <v>287</v>
      </c>
      <c r="Q28" t="s">
        <v>25</v>
      </c>
      <c r="R28" t="s">
        <v>35</v>
      </c>
      <c r="S28" t="s">
        <v>241</v>
      </c>
    </row>
    <row r="29" spans="2:19" ht="15" thickTop="1" thickBot="1">
      <c r="B29" s="5" t="s">
        <v>172</v>
      </c>
      <c r="C29" s="5" t="s">
        <v>213</v>
      </c>
      <c r="D29" s="5" t="s">
        <v>214</v>
      </c>
      <c r="M29" t="s">
        <v>17</v>
      </c>
      <c r="N29" t="s">
        <v>288</v>
      </c>
      <c r="O29" t="s">
        <v>237</v>
      </c>
      <c r="P29" t="s">
        <v>289</v>
      </c>
      <c r="Q29" t="s">
        <v>25</v>
      </c>
      <c r="R29" t="s">
        <v>35</v>
      </c>
      <c r="S29" t="s">
        <v>241</v>
      </c>
    </row>
    <row r="30" spans="2:19">
      <c r="B30" t="s">
        <v>217</v>
      </c>
      <c r="C30" t="s">
        <v>216</v>
      </c>
      <c r="D30" t="s">
        <v>215</v>
      </c>
      <c r="M30" t="s">
        <v>17</v>
      </c>
      <c r="N30" t="s">
        <v>290</v>
      </c>
      <c r="O30" t="s">
        <v>237</v>
      </c>
      <c r="P30" t="s">
        <v>291</v>
      </c>
      <c r="Q30" t="s">
        <v>25</v>
      </c>
      <c r="R30" t="s">
        <v>35</v>
      </c>
      <c r="S30" t="s">
        <v>241</v>
      </c>
    </row>
    <row r="31" spans="2:19">
      <c r="M31" t="s">
        <v>17</v>
      </c>
      <c r="N31" t="s">
        <v>292</v>
      </c>
      <c r="O31" t="s">
        <v>237</v>
      </c>
      <c r="P31" t="s">
        <v>293</v>
      </c>
      <c r="Q31" t="s">
        <v>25</v>
      </c>
      <c r="R31" t="s">
        <v>35</v>
      </c>
      <c r="S31" t="s">
        <v>241</v>
      </c>
    </row>
    <row r="32" spans="2:19">
      <c r="M32" t="s">
        <v>17</v>
      </c>
      <c r="N32" t="s">
        <v>294</v>
      </c>
      <c r="O32" t="s">
        <v>237</v>
      </c>
      <c r="P32" t="s">
        <v>295</v>
      </c>
      <c r="Q32" t="s">
        <v>25</v>
      </c>
      <c r="R32" t="s">
        <v>35</v>
      </c>
      <c r="S32" t="s">
        <v>241</v>
      </c>
    </row>
    <row r="33" spans="2:19">
      <c r="M33" t="s">
        <v>17</v>
      </c>
      <c r="N33" t="s">
        <v>296</v>
      </c>
      <c r="O33" t="s">
        <v>237</v>
      </c>
      <c r="P33" t="s">
        <v>297</v>
      </c>
      <c r="Q33" t="s">
        <v>25</v>
      </c>
      <c r="R33" t="s">
        <v>35</v>
      </c>
      <c r="S33" t="s">
        <v>241</v>
      </c>
    </row>
    <row r="34" spans="2:19">
      <c r="M34" t="s">
        <v>17</v>
      </c>
      <c r="N34" t="s">
        <v>298</v>
      </c>
      <c r="O34" t="s">
        <v>237</v>
      </c>
      <c r="P34" t="s">
        <v>299</v>
      </c>
      <c r="Q34" t="s">
        <v>25</v>
      </c>
      <c r="R34" t="s">
        <v>35</v>
      </c>
      <c r="S34" t="s">
        <v>241</v>
      </c>
    </row>
    <row r="35" spans="2:19">
      <c r="M35" t="s">
        <v>17</v>
      </c>
      <c r="N35" t="s">
        <v>300</v>
      </c>
      <c r="O35" t="s">
        <v>237</v>
      </c>
      <c r="P35" t="s">
        <v>301</v>
      </c>
      <c r="Q35" t="s">
        <v>25</v>
      </c>
      <c r="R35" t="s">
        <v>35</v>
      </c>
      <c r="S35" t="s">
        <v>241</v>
      </c>
    </row>
    <row r="36" spans="2:19">
      <c r="M36" t="s">
        <v>17</v>
      </c>
      <c r="N36" t="s">
        <v>302</v>
      </c>
      <c r="O36" t="s">
        <v>237</v>
      </c>
      <c r="P36" t="s">
        <v>303</v>
      </c>
      <c r="Q36" t="s">
        <v>25</v>
      </c>
      <c r="R36" t="s">
        <v>35</v>
      </c>
      <c r="S36" t="s">
        <v>241</v>
      </c>
    </row>
    <row r="37" spans="2:19">
      <c r="M37" t="s">
        <v>17</v>
      </c>
      <c r="N37" t="s">
        <v>304</v>
      </c>
      <c r="O37" t="s">
        <v>237</v>
      </c>
      <c r="P37" t="s">
        <v>305</v>
      </c>
      <c r="Q37" t="s">
        <v>25</v>
      </c>
      <c r="R37" t="s">
        <v>35</v>
      </c>
      <c r="S37" t="s">
        <v>241</v>
      </c>
    </row>
    <row r="38" spans="2:19" ht="17.649999999999999" thickBot="1">
      <c r="B38" s="3" t="s">
        <v>8</v>
      </c>
      <c r="C38" s="2"/>
      <c r="D38" s="2"/>
      <c r="M38" t="s">
        <v>17</v>
      </c>
      <c r="N38" t="s">
        <v>306</v>
      </c>
      <c r="O38" t="s">
        <v>237</v>
      </c>
      <c r="P38" t="s">
        <v>307</v>
      </c>
      <c r="Q38" t="s">
        <v>25</v>
      </c>
      <c r="R38" t="s">
        <v>35</v>
      </c>
      <c r="S38" t="s">
        <v>241</v>
      </c>
    </row>
    <row r="39" spans="2:19" ht="15" thickTop="1" thickBot="1">
      <c r="B39" s="5" t="s">
        <v>218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219</v>
      </c>
      <c r="M39" t="s">
        <v>17</v>
      </c>
      <c r="N39" t="s">
        <v>308</v>
      </c>
      <c r="O39" t="s">
        <v>237</v>
      </c>
      <c r="P39" t="s">
        <v>309</v>
      </c>
      <c r="Q39" t="s">
        <v>25</v>
      </c>
      <c r="R39" t="s">
        <v>35</v>
      </c>
      <c r="S39" t="s">
        <v>241</v>
      </c>
    </row>
    <row r="40" spans="2:19">
      <c r="B40" t="s">
        <v>17</v>
      </c>
      <c r="C40" t="s">
        <v>220</v>
      </c>
      <c r="D40" t="s">
        <v>221</v>
      </c>
      <c r="E40" t="s">
        <v>84</v>
      </c>
      <c r="F40" t="s">
        <v>222</v>
      </c>
      <c r="G40" t="s">
        <v>25</v>
      </c>
      <c r="M40" t="s">
        <v>17</v>
      </c>
      <c r="N40" t="s">
        <v>310</v>
      </c>
      <c r="O40" t="s">
        <v>237</v>
      </c>
      <c r="P40" t="s">
        <v>311</v>
      </c>
      <c r="Q40" t="s">
        <v>25</v>
      </c>
      <c r="R40" t="s">
        <v>35</v>
      </c>
      <c r="S40" t="s">
        <v>241</v>
      </c>
    </row>
    <row r="41" spans="2:19">
      <c r="C41" t="s">
        <v>223</v>
      </c>
      <c r="D41" t="s">
        <v>224</v>
      </c>
      <c r="E41" t="s">
        <v>84</v>
      </c>
      <c r="F41" t="s">
        <v>222</v>
      </c>
      <c r="G41" t="s">
        <v>25</v>
      </c>
      <c r="M41" t="s">
        <v>17</v>
      </c>
      <c r="N41" t="s">
        <v>312</v>
      </c>
      <c r="O41" t="s">
        <v>237</v>
      </c>
      <c r="P41" t="s">
        <v>313</v>
      </c>
      <c r="Q41" t="s">
        <v>25</v>
      </c>
      <c r="R41" t="s">
        <v>35</v>
      </c>
      <c r="S41" t="s">
        <v>241</v>
      </c>
    </row>
    <row r="42" spans="2:19">
      <c r="B42" t="s">
        <v>192</v>
      </c>
      <c r="C42" t="s">
        <v>225</v>
      </c>
      <c r="D42" t="s">
        <v>226</v>
      </c>
      <c r="E42" t="s">
        <v>84</v>
      </c>
      <c r="F42" t="s">
        <v>222</v>
      </c>
      <c r="M42" t="s">
        <v>17</v>
      </c>
      <c r="N42" t="s">
        <v>314</v>
      </c>
      <c r="O42" t="s">
        <v>237</v>
      </c>
      <c r="P42" t="s">
        <v>315</v>
      </c>
      <c r="Q42" t="s">
        <v>25</v>
      </c>
      <c r="R42" t="s">
        <v>35</v>
      </c>
      <c r="S42" t="s">
        <v>241</v>
      </c>
    </row>
    <row r="43" spans="2:19">
      <c r="C43" t="s">
        <v>227</v>
      </c>
      <c r="D43" t="s">
        <v>228</v>
      </c>
      <c r="E43" t="s">
        <v>229</v>
      </c>
      <c r="F43" t="s">
        <v>185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1163B-A781-489B-AF6A-CEF58522BCB3}">
  <dimension ref="B3:I61"/>
  <sheetViews>
    <sheetView tabSelected="1" workbookViewId="0"/>
  </sheetViews>
  <sheetFormatPr defaultRowHeight="14.25"/>
  <sheetData>
    <row r="3" spans="2:9">
      <c r="B3" t="s">
        <v>316</v>
      </c>
    </row>
    <row r="4" spans="2:9">
      <c r="B4" t="s">
        <v>218</v>
      </c>
      <c r="C4" t="s">
        <v>10</v>
      </c>
      <c r="D4" t="s">
        <v>238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317</v>
      </c>
      <c r="D5" t="s">
        <v>237</v>
      </c>
      <c r="E5" t="s">
        <v>318</v>
      </c>
      <c r="F5" t="s">
        <v>25</v>
      </c>
      <c r="G5" t="s">
        <v>35</v>
      </c>
      <c r="H5" t="s">
        <v>319</v>
      </c>
      <c r="I5" t="s">
        <v>241</v>
      </c>
    </row>
    <row r="6" spans="2:9">
      <c r="B6" t="s">
        <v>17</v>
      </c>
      <c r="C6" t="s">
        <v>320</v>
      </c>
      <c r="D6" t="s">
        <v>237</v>
      </c>
      <c r="E6" t="s">
        <v>321</v>
      </c>
      <c r="F6" t="s">
        <v>25</v>
      </c>
      <c r="G6" t="s">
        <v>35</v>
      </c>
      <c r="H6" t="s">
        <v>319</v>
      </c>
      <c r="I6" t="s">
        <v>241</v>
      </c>
    </row>
    <row r="7" spans="2:9">
      <c r="B7" t="s">
        <v>17</v>
      </c>
      <c r="C7" t="s">
        <v>322</v>
      </c>
      <c r="D7" t="s">
        <v>237</v>
      </c>
      <c r="E7" t="s">
        <v>323</v>
      </c>
      <c r="F7" t="s">
        <v>25</v>
      </c>
      <c r="G7" t="s">
        <v>35</v>
      </c>
      <c r="H7" t="s">
        <v>319</v>
      </c>
      <c r="I7" t="s">
        <v>241</v>
      </c>
    </row>
    <row r="8" spans="2:9">
      <c r="B8" t="s">
        <v>17</v>
      </c>
      <c r="C8" t="s">
        <v>324</v>
      </c>
      <c r="D8" t="s">
        <v>237</v>
      </c>
      <c r="E8" t="s">
        <v>325</v>
      </c>
      <c r="F8" t="s">
        <v>25</v>
      </c>
      <c r="G8" t="s">
        <v>35</v>
      </c>
      <c r="H8" t="s">
        <v>319</v>
      </c>
      <c r="I8" t="s">
        <v>241</v>
      </c>
    </row>
    <row r="9" spans="2:9">
      <c r="B9" t="s">
        <v>17</v>
      </c>
      <c r="C9" t="s">
        <v>326</v>
      </c>
      <c r="D9" t="s">
        <v>237</v>
      </c>
      <c r="E9" t="s">
        <v>327</v>
      </c>
      <c r="F9" t="s">
        <v>25</v>
      </c>
      <c r="G9" t="s">
        <v>35</v>
      </c>
      <c r="H9" t="s">
        <v>319</v>
      </c>
      <c r="I9" t="s">
        <v>241</v>
      </c>
    </row>
    <row r="10" spans="2:9">
      <c r="B10" t="s">
        <v>17</v>
      </c>
      <c r="C10" t="s">
        <v>328</v>
      </c>
      <c r="D10" t="s">
        <v>237</v>
      </c>
      <c r="E10" t="s">
        <v>329</v>
      </c>
      <c r="F10" t="s">
        <v>25</v>
      </c>
      <c r="G10" t="s">
        <v>35</v>
      </c>
      <c r="H10" t="s">
        <v>319</v>
      </c>
      <c r="I10" t="s">
        <v>241</v>
      </c>
    </row>
    <row r="11" spans="2:9">
      <c r="B11" t="s">
        <v>17</v>
      </c>
      <c r="C11" t="s">
        <v>330</v>
      </c>
      <c r="D11" t="s">
        <v>237</v>
      </c>
      <c r="E11" t="s">
        <v>331</v>
      </c>
      <c r="F11" t="s">
        <v>25</v>
      </c>
      <c r="G11" t="s">
        <v>35</v>
      </c>
      <c r="H11" t="s">
        <v>319</v>
      </c>
      <c r="I11" t="s">
        <v>241</v>
      </c>
    </row>
    <row r="12" spans="2:9">
      <c r="B12" t="s">
        <v>17</v>
      </c>
      <c r="C12" t="s">
        <v>332</v>
      </c>
      <c r="D12" t="s">
        <v>237</v>
      </c>
      <c r="E12" t="s">
        <v>333</v>
      </c>
      <c r="F12" t="s">
        <v>25</v>
      </c>
      <c r="G12" t="s">
        <v>35</v>
      </c>
      <c r="H12" t="s">
        <v>319</v>
      </c>
      <c r="I12" t="s">
        <v>241</v>
      </c>
    </row>
    <row r="13" spans="2:9">
      <c r="B13" t="s">
        <v>17</v>
      </c>
      <c r="C13" t="s">
        <v>334</v>
      </c>
      <c r="D13" t="s">
        <v>237</v>
      </c>
      <c r="E13" t="s">
        <v>335</v>
      </c>
      <c r="F13" t="s">
        <v>25</v>
      </c>
      <c r="G13" t="s">
        <v>35</v>
      </c>
      <c r="H13" t="s">
        <v>319</v>
      </c>
      <c r="I13" t="s">
        <v>241</v>
      </c>
    </row>
    <row r="14" spans="2:9">
      <c r="B14" t="s">
        <v>17</v>
      </c>
      <c r="C14" t="s">
        <v>336</v>
      </c>
      <c r="D14" t="s">
        <v>237</v>
      </c>
      <c r="E14" t="s">
        <v>337</v>
      </c>
      <c r="F14" t="s">
        <v>25</v>
      </c>
      <c r="G14" t="s">
        <v>35</v>
      </c>
      <c r="H14" t="s">
        <v>319</v>
      </c>
      <c r="I14" t="s">
        <v>241</v>
      </c>
    </row>
    <row r="15" spans="2:9">
      <c r="B15" t="s">
        <v>17</v>
      </c>
      <c r="C15" t="s">
        <v>338</v>
      </c>
      <c r="D15" t="s">
        <v>237</v>
      </c>
      <c r="E15" t="s">
        <v>339</v>
      </c>
      <c r="F15" t="s">
        <v>25</v>
      </c>
      <c r="G15" t="s">
        <v>35</v>
      </c>
      <c r="H15" t="s">
        <v>319</v>
      </c>
      <c r="I15" t="s">
        <v>241</v>
      </c>
    </row>
    <row r="16" spans="2:9">
      <c r="B16" t="s">
        <v>17</v>
      </c>
      <c r="C16" t="s">
        <v>340</v>
      </c>
      <c r="D16" t="s">
        <v>237</v>
      </c>
      <c r="E16" t="s">
        <v>341</v>
      </c>
      <c r="F16" t="s">
        <v>25</v>
      </c>
      <c r="G16" t="s">
        <v>35</v>
      </c>
      <c r="H16" t="s">
        <v>319</v>
      </c>
      <c r="I16" t="s">
        <v>241</v>
      </c>
    </row>
    <row r="17" spans="2:9">
      <c r="B17" t="s">
        <v>17</v>
      </c>
      <c r="C17" t="s">
        <v>342</v>
      </c>
      <c r="D17" t="s">
        <v>237</v>
      </c>
      <c r="E17" t="s">
        <v>343</v>
      </c>
      <c r="F17" t="s">
        <v>25</v>
      </c>
      <c r="G17" t="s">
        <v>35</v>
      </c>
      <c r="H17" t="s">
        <v>319</v>
      </c>
      <c r="I17" t="s">
        <v>241</v>
      </c>
    </row>
    <row r="18" spans="2:9">
      <c r="B18" t="s">
        <v>17</v>
      </c>
      <c r="C18" t="s">
        <v>344</v>
      </c>
      <c r="D18" t="s">
        <v>237</v>
      </c>
      <c r="E18" t="s">
        <v>345</v>
      </c>
      <c r="F18" t="s">
        <v>25</v>
      </c>
      <c r="G18" t="s">
        <v>35</v>
      </c>
      <c r="H18" t="s">
        <v>319</v>
      </c>
      <c r="I18" t="s">
        <v>241</v>
      </c>
    </row>
    <row r="19" spans="2:9">
      <c r="B19" t="s">
        <v>17</v>
      </c>
      <c r="C19" t="s">
        <v>346</v>
      </c>
      <c r="D19" t="s">
        <v>237</v>
      </c>
      <c r="E19" t="s">
        <v>347</v>
      </c>
      <c r="F19" t="s">
        <v>25</v>
      </c>
      <c r="G19" t="s">
        <v>35</v>
      </c>
      <c r="H19" t="s">
        <v>319</v>
      </c>
      <c r="I19" t="s">
        <v>241</v>
      </c>
    </row>
    <row r="20" spans="2:9">
      <c r="B20" t="s">
        <v>17</v>
      </c>
      <c r="C20" t="s">
        <v>348</v>
      </c>
      <c r="D20" t="s">
        <v>237</v>
      </c>
      <c r="E20" t="s">
        <v>349</v>
      </c>
      <c r="F20" t="s">
        <v>25</v>
      </c>
      <c r="G20" t="s">
        <v>35</v>
      </c>
      <c r="H20" t="s">
        <v>319</v>
      </c>
      <c r="I20" t="s">
        <v>241</v>
      </c>
    </row>
    <row r="21" spans="2:9">
      <c r="B21" t="s">
        <v>17</v>
      </c>
      <c r="C21" t="s">
        <v>350</v>
      </c>
      <c r="D21" t="s">
        <v>237</v>
      </c>
      <c r="E21" t="s">
        <v>351</v>
      </c>
      <c r="F21" t="s">
        <v>25</v>
      </c>
      <c r="G21" t="s">
        <v>35</v>
      </c>
      <c r="H21" t="s">
        <v>319</v>
      </c>
      <c r="I21" t="s">
        <v>241</v>
      </c>
    </row>
    <row r="22" spans="2:9">
      <c r="B22" t="s">
        <v>17</v>
      </c>
      <c r="C22" t="s">
        <v>352</v>
      </c>
      <c r="D22" t="s">
        <v>237</v>
      </c>
      <c r="E22" t="s">
        <v>353</v>
      </c>
      <c r="F22" t="s">
        <v>25</v>
      </c>
      <c r="G22" t="s">
        <v>35</v>
      </c>
      <c r="H22" t="s">
        <v>319</v>
      </c>
      <c r="I22" t="s">
        <v>241</v>
      </c>
    </row>
    <row r="23" spans="2:9">
      <c r="B23" t="s">
        <v>17</v>
      </c>
      <c r="C23" t="s">
        <v>354</v>
      </c>
      <c r="D23" t="s">
        <v>237</v>
      </c>
      <c r="E23" t="s">
        <v>355</v>
      </c>
      <c r="F23" t="s">
        <v>25</v>
      </c>
      <c r="G23" t="s">
        <v>35</v>
      </c>
      <c r="H23" t="s">
        <v>319</v>
      </c>
      <c r="I23" t="s">
        <v>241</v>
      </c>
    </row>
    <row r="24" spans="2:9">
      <c r="B24" t="s">
        <v>17</v>
      </c>
      <c r="C24" t="s">
        <v>356</v>
      </c>
      <c r="D24" t="s">
        <v>237</v>
      </c>
      <c r="E24" t="s">
        <v>357</v>
      </c>
      <c r="F24" t="s">
        <v>25</v>
      </c>
      <c r="G24" t="s">
        <v>35</v>
      </c>
      <c r="H24" t="s">
        <v>319</v>
      </c>
      <c r="I24" t="s">
        <v>241</v>
      </c>
    </row>
    <row r="25" spans="2:9">
      <c r="B25" t="s">
        <v>17</v>
      </c>
      <c r="C25" t="s">
        <v>358</v>
      </c>
      <c r="D25" t="s">
        <v>237</v>
      </c>
      <c r="E25" t="s">
        <v>359</v>
      </c>
      <c r="F25" t="s">
        <v>25</v>
      </c>
      <c r="G25" t="s">
        <v>35</v>
      </c>
      <c r="H25" t="s">
        <v>319</v>
      </c>
      <c r="I25" t="s">
        <v>241</v>
      </c>
    </row>
    <row r="26" spans="2:9">
      <c r="B26" t="s">
        <v>17</v>
      </c>
      <c r="C26" t="s">
        <v>360</v>
      </c>
      <c r="D26" t="s">
        <v>237</v>
      </c>
      <c r="E26" t="s">
        <v>361</v>
      </c>
      <c r="F26" t="s">
        <v>25</v>
      </c>
      <c r="G26" t="s">
        <v>35</v>
      </c>
      <c r="H26" t="s">
        <v>319</v>
      </c>
      <c r="I26" t="s">
        <v>241</v>
      </c>
    </row>
    <row r="27" spans="2:9">
      <c r="B27" t="s">
        <v>17</v>
      </c>
      <c r="C27" t="s">
        <v>362</v>
      </c>
      <c r="D27" t="s">
        <v>237</v>
      </c>
      <c r="E27" t="s">
        <v>363</v>
      </c>
      <c r="F27" t="s">
        <v>25</v>
      </c>
      <c r="G27" t="s">
        <v>35</v>
      </c>
      <c r="H27" t="s">
        <v>319</v>
      </c>
      <c r="I27" t="s">
        <v>241</v>
      </c>
    </row>
    <row r="28" spans="2:9">
      <c r="B28" t="s">
        <v>17</v>
      </c>
      <c r="C28" t="s">
        <v>364</v>
      </c>
      <c r="D28" t="s">
        <v>237</v>
      </c>
      <c r="E28" t="s">
        <v>365</v>
      </c>
      <c r="F28" t="s">
        <v>25</v>
      </c>
      <c r="G28" t="s">
        <v>35</v>
      </c>
      <c r="H28" t="s">
        <v>319</v>
      </c>
      <c r="I28" t="s">
        <v>241</v>
      </c>
    </row>
    <row r="29" spans="2:9">
      <c r="B29" t="s">
        <v>17</v>
      </c>
      <c r="C29" t="s">
        <v>366</v>
      </c>
      <c r="D29" t="s">
        <v>237</v>
      </c>
      <c r="E29" t="s">
        <v>367</v>
      </c>
      <c r="F29" t="s">
        <v>25</v>
      </c>
      <c r="G29" t="s">
        <v>35</v>
      </c>
      <c r="H29" t="s">
        <v>319</v>
      </c>
      <c r="I29" t="s">
        <v>241</v>
      </c>
    </row>
    <row r="30" spans="2:9">
      <c r="B30" t="s">
        <v>17</v>
      </c>
      <c r="C30" t="s">
        <v>368</v>
      </c>
      <c r="D30" t="s">
        <v>237</v>
      </c>
      <c r="E30" t="s">
        <v>369</v>
      </c>
      <c r="F30" t="s">
        <v>25</v>
      </c>
      <c r="G30" t="s">
        <v>35</v>
      </c>
      <c r="H30" t="s">
        <v>319</v>
      </c>
      <c r="I30" t="s">
        <v>241</v>
      </c>
    </row>
    <row r="31" spans="2:9">
      <c r="B31" t="s">
        <v>17</v>
      </c>
      <c r="C31" t="s">
        <v>370</v>
      </c>
      <c r="D31" t="s">
        <v>237</v>
      </c>
      <c r="E31" t="s">
        <v>371</v>
      </c>
      <c r="F31" t="s">
        <v>25</v>
      </c>
      <c r="G31" t="s">
        <v>35</v>
      </c>
      <c r="H31" t="s">
        <v>319</v>
      </c>
      <c r="I31" t="s">
        <v>241</v>
      </c>
    </row>
    <row r="32" spans="2:9">
      <c r="B32" t="s">
        <v>17</v>
      </c>
      <c r="C32" t="s">
        <v>372</v>
      </c>
      <c r="D32" t="s">
        <v>237</v>
      </c>
      <c r="E32" t="s">
        <v>373</v>
      </c>
      <c r="F32" t="s">
        <v>25</v>
      </c>
      <c r="G32" t="s">
        <v>35</v>
      </c>
      <c r="H32" t="s">
        <v>319</v>
      </c>
      <c r="I32" t="s">
        <v>241</v>
      </c>
    </row>
    <row r="33" spans="2:9">
      <c r="B33" t="s">
        <v>17</v>
      </c>
      <c r="C33" t="s">
        <v>374</v>
      </c>
      <c r="D33" t="s">
        <v>237</v>
      </c>
      <c r="E33" t="s">
        <v>375</v>
      </c>
      <c r="F33" t="s">
        <v>25</v>
      </c>
      <c r="G33" t="s">
        <v>35</v>
      </c>
      <c r="H33" t="s">
        <v>319</v>
      </c>
      <c r="I33" t="s">
        <v>241</v>
      </c>
    </row>
    <row r="34" spans="2:9">
      <c r="B34" t="s">
        <v>17</v>
      </c>
      <c r="C34" t="s">
        <v>376</v>
      </c>
      <c r="D34" t="s">
        <v>237</v>
      </c>
      <c r="E34" t="s">
        <v>377</v>
      </c>
      <c r="F34" t="s">
        <v>25</v>
      </c>
      <c r="G34" t="s">
        <v>35</v>
      </c>
      <c r="H34" t="s">
        <v>319</v>
      </c>
      <c r="I34" t="s">
        <v>241</v>
      </c>
    </row>
    <row r="35" spans="2:9">
      <c r="B35" t="s">
        <v>17</v>
      </c>
      <c r="C35" t="s">
        <v>378</v>
      </c>
      <c r="D35" t="s">
        <v>237</v>
      </c>
      <c r="E35" t="s">
        <v>379</v>
      </c>
      <c r="F35" t="s">
        <v>25</v>
      </c>
      <c r="G35" t="s">
        <v>35</v>
      </c>
      <c r="H35" t="s">
        <v>319</v>
      </c>
      <c r="I35" t="s">
        <v>241</v>
      </c>
    </row>
    <row r="36" spans="2:9">
      <c r="B36" t="s">
        <v>17</v>
      </c>
      <c r="C36" t="s">
        <v>380</v>
      </c>
      <c r="D36" t="s">
        <v>237</v>
      </c>
      <c r="E36" t="s">
        <v>381</v>
      </c>
      <c r="F36" t="s">
        <v>25</v>
      </c>
      <c r="G36" t="s">
        <v>35</v>
      </c>
      <c r="H36" t="s">
        <v>319</v>
      </c>
      <c r="I36" t="s">
        <v>241</v>
      </c>
    </row>
    <row r="37" spans="2:9">
      <c r="B37" t="s">
        <v>17</v>
      </c>
      <c r="C37" t="s">
        <v>382</v>
      </c>
      <c r="D37" t="s">
        <v>237</v>
      </c>
      <c r="E37" t="s">
        <v>383</v>
      </c>
      <c r="F37" t="s">
        <v>25</v>
      </c>
      <c r="G37" t="s">
        <v>35</v>
      </c>
      <c r="H37" t="s">
        <v>319</v>
      </c>
      <c r="I37" t="s">
        <v>241</v>
      </c>
    </row>
    <row r="38" spans="2:9">
      <c r="B38" t="s">
        <v>17</v>
      </c>
      <c r="C38" t="s">
        <v>384</v>
      </c>
      <c r="D38" t="s">
        <v>237</v>
      </c>
      <c r="E38" t="s">
        <v>385</v>
      </c>
      <c r="F38" t="s">
        <v>25</v>
      </c>
      <c r="G38" t="s">
        <v>35</v>
      </c>
      <c r="H38" t="s">
        <v>319</v>
      </c>
      <c r="I38" t="s">
        <v>241</v>
      </c>
    </row>
    <row r="39" spans="2:9">
      <c r="B39" t="s">
        <v>17</v>
      </c>
      <c r="C39" t="s">
        <v>386</v>
      </c>
      <c r="D39" t="s">
        <v>237</v>
      </c>
      <c r="E39" t="s">
        <v>387</v>
      </c>
      <c r="F39" t="s">
        <v>25</v>
      </c>
      <c r="G39" t="s">
        <v>35</v>
      </c>
      <c r="H39" t="s">
        <v>319</v>
      </c>
      <c r="I39" t="s">
        <v>241</v>
      </c>
    </row>
    <row r="40" spans="2:9">
      <c r="B40" t="s">
        <v>17</v>
      </c>
      <c r="C40" t="s">
        <v>388</v>
      </c>
      <c r="D40" t="s">
        <v>237</v>
      </c>
      <c r="E40" t="s">
        <v>389</v>
      </c>
      <c r="F40" t="s">
        <v>25</v>
      </c>
      <c r="G40" t="s">
        <v>35</v>
      </c>
      <c r="H40" t="s">
        <v>319</v>
      </c>
      <c r="I40" t="s">
        <v>241</v>
      </c>
    </row>
    <row r="41" spans="2:9">
      <c r="B41" t="s">
        <v>17</v>
      </c>
      <c r="C41" t="s">
        <v>390</v>
      </c>
      <c r="D41" t="s">
        <v>237</v>
      </c>
      <c r="E41" t="s">
        <v>391</v>
      </c>
      <c r="F41" t="s">
        <v>25</v>
      </c>
      <c r="G41" t="s">
        <v>35</v>
      </c>
      <c r="H41" t="s">
        <v>319</v>
      </c>
      <c r="I41" t="s">
        <v>241</v>
      </c>
    </row>
    <row r="42" spans="2:9">
      <c r="B42" t="s">
        <v>17</v>
      </c>
      <c r="C42" t="s">
        <v>392</v>
      </c>
      <c r="D42" t="s">
        <v>237</v>
      </c>
      <c r="E42" t="s">
        <v>393</v>
      </c>
      <c r="F42" t="s">
        <v>25</v>
      </c>
      <c r="G42" t="s">
        <v>35</v>
      </c>
      <c r="H42" t="s">
        <v>319</v>
      </c>
      <c r="I42" t="s">
        <v>241</v>
      </c>
    </row>
    <row r="43" spans="2:9">
      <c r="B43" t="s">
        <v>17</v>
      </c>
      <c r="C43" t="s">
        <v>394</v>
      </c>
      <c r="D43" t="s">
        <v>237</v>
      </c>
      <c r="E43" t="s">
        <v>395</v>
      </c>
      <c r="F43" t="s">
        <v>25</v>
      </c>
      <c r="G43" t="s">
        <v>35</v>
      </c>
      <c r="H43" t="s">
        <v>319</v>
      </c>
      <c r="I43" t="s">
        <v>241</v>
      </c>
    </row>
    <row r="44" spans="2:9">
      <c r="B44" t="s">
        <v>17</v>
      </c>
      <c r="C44" t="s">
        <v>396</v>
      </c>
      <c r="D44" t="s">
        <v>237</v>
      </c>
      <c r="E44" t="s">
        <v>397</v>
      </c>
      <c r="F44" t="s">
        <v>25</v>
      </c>
      <c r="G44" t="s">
        <v>35</v>
      </c>
      <c r="H44" t="s">
        <v>319</v>
      </c>
      <c r="I44" t="s">
        <v>241</v>
      </c>
    </row>
    <row r="45" spans="2:9">
      <c r="B45" t="s">
        <v>17</v>
      </c>
      <c r="C45" t="s">
        <v>398</v>
      </c>
      <c r="D45" t="s">
        <v>237</v>
      </c>
      <c r="E45" t="s">
        <v>399</v>
      </c>
      <c r="F45" t="s">
        <v>25</v>
      </c>
      <c r="G45" t="s">
        <v>35</v>
      </c>
      <c r="H45" t="s">
        <v>319</v>
      </c>
      <c r="I45" t="s">
        <v>241</v>
      </c>
    </row>
    <row r="46" spans="2:9">
      <c r="B46" t="s">
        <v>17</v>
      </c>
      <c r="C46" t="s">
        <v>400</v>
      </c>
      <c r="D46" t="s">
        <v>237</v>
      </c>
      <c r="E46" t="s">
        <v>401</v>
      </c>
      <c r="F46" t="s">
        <v>25</v>
      </c>
      <c r="G46" t="s">
        <v>35</v>
      </c>
      <c r="H46" t="s">
        <v>319</v>
      </c>
      <c r="I46" t="s">
        <v>241</v>
      </c>
    </row>
    <row r="47" spans="2:9">
      <c r="B47" t="s">
        <v>17</v>
      </c>
      <c r="C47" t="s">
        <v>402</v>
      </c>
      <c r="D47" t="s">
        <v>237</v>
      </c>
      <c r="E47" t="s">
        <v>403</v>
      </c>
      <c r="F47" t="s">
        <v>25</v>
      </c>
      <c r="G47" t="s">
        <v>35</v>
      </c>
      <c r="H47" t="s">
        <v>319</v>
      </c>
      <c r="I47" t="s">
        <v>241</v>
      </c>
    </row>
    <row r="48" spans="2:9">
      <c r="B48" t="s">
        <v>17</v>
      </c>
      <c r="C48" t="s">
        <v>404</v>
      </c>
      <c r="D48" t="s">
        <v>237</v>
      </c>
      <c r="E48" t="s">
        <v>405</v>
      </c>
      <c r="F48" t="s">
        <v>25</v>
      </c>
      <c r="G48" t="s">
        <v>35</v>
      </c>
      <c r="H48" t="s">
        <v>319</v>
      </c>
      <c r="I48" t="s">
        <v>241</v>
      </c>
    </row>
    <row r="49" spans="2:9">
      <c r="B49" t="s">
        <v>17</v>
      </c>
      <c r="C49" t="s">
        <v>406</v>
      </c>
      <c r="D49" t="s">
        <v>237</v>
      </c>
      <c r="E49" t="s">
        <v>407</v>
      </c>
      <c r="F49" t="s">
        <v>25</v>
      </c>
      <c r="G49" t="s">
        <v>35</v>
      </c>
      <c r="H49" t="s">
        <v>319</v>
      </c>
      <c r="I49" t="s">
        <v>241</v>
      </c>
    </row>
    <row r="50" spans="2:9">
      <c r="B50" t="s">
        <v>17</v>
      </c>
      <c r="C50" t="s">
        <v>408</v>
      </c>
      <c r="D50" t="s">
        <v>237</v>
      </c>
      <c r="E50" t="s">
        <v>409</v>
      </c>
      <c r="F50" t="s">
        <v>25</v>
      </c>
      <c r="G50" t="s">
        <v>35</v>
      </c>
      <c r="H50" t="s">
        <v>319</v>
      </c>
      <c r="I50" t="s">
        <v>241</v>
      </c>
    </row>
    <row r="51" spans="2:9">
      <c r="B51" t="s">
        <v>17</v>
      </c>
      <c r="C51" t="s">
        <v>410</v>
      </c>
      <c r="D51" t="s">
        <v>237</v>
      </c>
      <c r="E51" t="s">
        <v>411</v>
      </c>
      <c r="F51" t="s">
        <v>25</v>
      </c>
      <c r="G51" t="s">
        <v>35</v>
      </c>
      <c r="H51" t="s">
        <v>319</v>
      </c>
      <c r="I51" t="s">
        <v>241</v>
      </c>
    </row>
    <row r="52" spans="2:9">
      <c r="B52" t="s">
        <v>17</v>
      </c>
      <c r="C52" t="s">
        <v>412</v>
      </c>
      <c r="D52" t="s">
        <v>237</v>
      </c>
      <c r="E52" t="s">
        <v>413</v>
      </c>
      <c r="F52" t="s">
        <v>25</v>
      </c>
      <c r="G52" t="s">
        <v>35</v>
      </c>
      <c r="H52" t="s">
        <v>319</v>
      </c>
      <c r="I52" t="s">
        <v>241</v>
      </c>
    </row>
    <row r="53" spans="2:9">
      <c r="B53" t="s">
        <v>17</v>
      </c>
      <c r="C53" t="s">
        <v>414</v>
      </c>
      <c r="D53" t="s">
        <v>237</v>
      </c>
      <c r="E53" t="s">
        <v>415</v>
      </c>
      <c r="F53" t="s">
        <v>25</v>
      </c>
      <c r="G53" t="s">
        <v>35</v>
      </c>
      <c r="H53" t="s">
        <v>319</v>
      </c>
      <c r="I53" t="s">
        <v>241</v>
      </c>
    </row>
    <row r="54" spans="2:9">
      <c r="B54" t="s">
        <v>17</v>
      </c>
      <c r="C54" t="s">
        <v>416</v>
      </c>
      <c r="D54" t="s">
        <v>237</v>
      </c>
      <c r="E54" t="s">
        <v>417</v>
      </c>
      <c r="F54" t="s">
        <v>25</v>
      </c>
      <c r="G54" t="s">
        <v>35</v>
      </c>
      <c r="H54" t="s">
        <v>319</v>
      </c>
      <c r="I54" t="s">
        <v>241</v>
      </c>
    </row>
    <row r="55" spans="2:9">
      <c r="B55" t="s">
        <v>17</v>
      </c>
      <c r="C55" t="s">
        <v>418</v>
      </c>
      <c r="D55" t="s">
        <v>237</v>
      </c>
      <c r="E55" t="s">
        <v>419</v>
      </c>
      <c r="F55" t="s">
        <v>25</v>
      </c>
      <c r="G55" t="s">
        <v>35</v>
      </c>
      <c r="H55" t="s">
        <v>319</v>
      </c>
      <c r="I55" t="s">
        <v>241</v>
      </c>
    </row>
    <row r="56" spans="2:9">
      <c r="B56" t="s">
        <v>17</v>
      </c>
      <c r="C56" t="s">
        <v>420</v>
      </c>
      <c r="D56" t="s">
        <v>237</v>
      </c>
      <c r="E56" t="s">
        <v>421</v>
      </c>
      <c r="F56" t="s">
        <v>25</v>
      </c>
      <c r="G56" t="s">
        <v>35</v>
      </c>
      <c r="H56" t="s">
        <v>319</v>
      </c>
      <c r="I56" t="s">
        <v>241</v>
      </c>
    </row>
    <row r="57" spans="2:9">
      <c r="B57" t="s">
        <v>17</v>
      </c>
      <c r="C57" t="s">
        <v>422</v>
      </c>
      <c r="D57" t="s">
        <v>237</v>
      </c>
      <c r="E57" t="s">
        <v>423</v>
      </c>
      <c r="F57" t="s">
        <v>25</v>
      </c>
      <c r="G57" t="s">
        <v>35</v>
      </c>
      <c r="H57" t="s">
        <v>319</v>
      </c>
      <c r="I57" t="s">
        <v>241</v>
      </c>
    </row>
    <row r="58" spans="2:9">
      <c r="B58" t="s">
        <v>17</v>
      </c>
      <c r="C58" t="s">
        <v>424</v>
      </c>
      <c r="D58" t="s">
        <v>237</v>
      </c>
      <c r="E58" t="s">
        <v>425</v>
      </c>
      <c r="F58" t="s">
        <v>25</v>
      </c>
      <c r="G58" t="s">
        <v>35</v>
      </c>
      <c r="H58" t="s">
        <v>319</v>
      </c>
      <c r="I58" t="s">
        <v>241</v>
      </c>
    </row>
    <row r="59" spans="2:9">
      <c r="B59" t="s">
        <v>17</v>
      </c>
      <c r="C59" t="s">
        <v>426</v>
      </c>
      <c r="D59" t="s">
        <v>237</v>
      </c>
      <c r="E59" t="s">
        <v>427</v>
      </c>
      <c r="F59" t="s">
        <v>25</v>
      </c>
      <c r="G59" t="s">
        <v>35</v>
      </c>
      <c r="H59" t="s">
        <v>319</v>
      </c>
      <c r="I59" t="s">
        <v>241</v>
      </c>
    </row>
    <row r="60" spans="2:9">
      <c r="B60" t="s">
        <v>17</v>
      </c>
      <c r="C60" t="s">
        <v>428</v>
      </c>
      <c r="D60" t="s">
        <v>237</v>
      </c>
      <c r="E60" t="s">
        <v>429</v>
      </c>
      <c r="F60" t="s">
        <v>25</v>
      </c>
      <c r="G60" t="s">
        <v>35</v>
      </c>
      <c r="H60" t="s">
        <v>319</v>
      </c>
      <c r="I60" t="s">
        <v>241</v>
      </c>
    </row>
    <row r="61" spans="2:9">
      <c r="B61" t="s">
        <v>17</v>
      </c>
      <c r="C61" t="s">
        <v>430</v>
      </c>
      <c r="D61" t="s">
        <v>237</v>
      </c>
      <c r="E61" t="s">
        <v>431</v>
      </c>
      <c r="F61" t="s">
        <v>25</v>
      </c>
      <c r="G61" t="s">
        <v>35</v>
      </c>
      <c r="H61" t="s">
        <v>319</v>
      </c>
      <c r="I61" t="s">
        <v>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9" sqref="D19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198</v>
      </c>
      <c r="E9" s="11">
        <v>0</v>
      </c>
      <c r="F9" s="11">
        <v>3</v>
      </c>
    </row>
    <row r="10" spans="2:12">
      <c r="D10" s="11" t="s">
        <v>201</v>
      </c>
      <c r="E10" s="11">
        <v>0</v>
      </c>
      <c r="F10" s="11">
        <v>5</v>
      </c>
    </row>
    <row r="11" spans="2:12">
      <c r="D11" s="11" t="s">
        <v>211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234</v>
      </c>
    </row>
    <row r="18" spans="2:14" ht="12.75">
      <c r="B18" s="13"/>
      <c r="C18" s="13"/>
      <c r="D18" s="11" t="s">
        <v>236</v>
      </c>
      <c r="F18" s="11">
        <v>8888</v>
      </c>
      <c r="G18" s="11" t="s">
        <v>235</v>
      </c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68</v>
      </c>
      <c r="E2" s="20" t="s">
        <v>182</v>
      </c>
      <c r="L2" s="20" t="s">
        <v>77</v>
      </c>
      <c r="M2" s="6"/>
      <c r="N2" s="6"/>
    </row>
    <row r="3" spans="1:14" ht="15" thickTop="1" thickBot="1">
      <c r="A3" s="13"/>
      <c r="B3" s="4" t="s">
        <v>70</v>
      </c>
      <c r="E3" s="4" t="s">
        <v>49</v>
      </c>
      <c r="F3" s="4" t="s">
        <v>51</v>
      </c>
      <c r="G3" s="4" t="s">
        <v>69</v>
      </c>
      <c r="H3" s="4" t="s">
        <v>183</v>
      </c>
      <c r="I3" s="4">
        <v>2022</v>
      </c>
      <c r="J3" s="4" t="s">
        <v>56</v>
      </c>
      <c r="L3" s="4" t="s">
        <v>79</v>
      </c>
      <c r="M3" s="4" t="s">
        <v>80</v>
      </c>
      <c r="N3" s="4" t="s">
        <v>81</v>
      </c>
    </row>
    <row r="4" spans="1:14" ht="13.15">
      <c r="A4" s="13"/>
      <c r="B4" s="19" t="s">
        <v>134</v>
      </c>
      <c r="C4" s="6"/>
      <c r="F4" s="11" t="s">
        <v>184</v>
      </c>
      <c r="I4" s="11">
        <v>0.05</v>
      </c>
      <c r="J4" s="11" t="s">
        <v>25</v>
      </c>
      <c r="L4" s="6" t="s">
        <v>83</v>
      </c>
      <c r="M4" s="6" t="s">
        <v>84</v>
      </c>
      <c r="N4" s="6">
        <v>1055.55</v>
      </c>
    </row>
    <row r="5" spans="1:14" ht="13.15">
      <c r="A5" s="13"/>
      <c r="B5" s="19" t="s">
        <v>72</v>
      </c>
      <c r="E5" s="11" t="s">
        <v>185</v>
      </c>
      <c r="F5" s="11" t="s">
        <v>186</v>
      </c>
      <c r="I5" s="11">
        <v>1</v>
      </c>
      <c r="J5" s="11" t="s">
        <v>25</v>
      </c>
      <c r="L5" s="6" t="s">
        <v>86</v>
      </c>
      <c r="M5" s="6" t="s">
        <v>84</v>
      </c>
      <c r="N5" s="6">
        <v>3.6</v>
      </c>
    </row>
    <row r="6" spans="1:14" ht="13.15">
      <c r="A6" s="13"/>
      <c r="B6" s="19" t="s">
        <v>73</v>
      </c>
      <c r="F6" s="11" t="s">
        <v>187</v>
      </c>
      <c r="I6" s="11">
        <v>2025</v>
      </c>
      <c r="L6" s="6" t="s">
        <v>88</v>
      </c>
      <c r="M6" s="6" t="s">
        <v>89</v>
      </c>
      <c r="N6" s="6">
        <v>1000</v>
      </c>
    </row>
    <row r="7" spans="1:14" ht="13.15">
      <c r="A7" s="13"/>
      <c r="B7" s="19" t="s">
        <v>74</v>
      </c>
      <c r="F7" s="11" t="s">
        <v>188</v>
      </c>
      <c r="I7" s="11">
        <v>1</v>
      </c>
      <c r="L7" s="6" t="s">
        <v>91</v>
      </c>
      <c r="M7" s="6" t="s">
        <v>92</v>
      </c>
      <c r="N7" s="6">
        <v>1000</v>
      </c>
    </row>
    <row r="8" spans="1:14" ht="13.15">
      <c r="A8" s="13"/>
      <c r="B8" s="19" t="s">
        <v>75</v>
      </c>
      <c r="F8" s="11" t="s">
        <v>189</v>
      </c>
      <c r="G8" s="11" t="s">
        <v>126</v>
      </c>
      <c r="H8" s="11" t="s">
        <v>135</v>
      </c>
      <c r="I8" s="11">
        <v>2.2201</v>
      </c>
      <c r="L8" s="6" t="s">
        <v>94</v>
      </c>
      <c r="M8" s="6" t="s">
        <v>84</v>
      </c>
      <c r="N8" s="6">
        <v>1.05555</v>
      </c>
    </row>
    <row r="9" spans="1:14" ht="13.15">
      <c r="A9" s="13"/>
      <c r="B9" s="19" t="s">
        <v>76</v>
      </c>
      <c r="F9" s="11" t="s">
        <v>189</v>
      </c>
      <c r="G9" s="11" t="s">
        <v>126</v>
      </c>
      <c r="H9" s="11" t="s">
        <v>136</v>
      </c>
      <c r="I9" s="11">
        <v>2.1427</v>
      </c>
      <c r="L9" s="6" t="s">
        <v>96</v>
      </c>
      <c r="M9" s="6" t="s">
        <v>84</v>
      </c>
      <c r="N9" s="6">
        <v>4.1868000000000002E-2</v>
      </c>
    </row>
    <row r="10" spans="1:14" ht="13.15">
      <c r="A10" s="13"/>
      <c r="B10" s="19" t="s">
        <v>78</v>
      </c>
      <c r="F10" s="11" t="s">
        <v>189</v>
      </c>
      <c r="G10" s="11" t="s">
        <v>126</v>
      </c>
      <c r="H10" s="11" t="s">
        <v>137</v>
      </c>
      <c r="I10" s="11">
        <v>2.077</v>
      </c>
      <c r="L10" s="6" t="s">
        <v>98</v>
      </c>
      <c r="M10" s="6" t="s">
        <v>84</v>
      </c>
      <c r="N10" s="6">
        <v>41.868000000000002</v>
      </c>
    </row>
    <row r="11" spans="1:14" ht="13.15">
      <c r="A11" s="13"/>
      <c r="B11" s="19" t="s">
        <v>71</v>
      </c>
      <c r="F11" s="11" t="s">
        <v>189</v>
      </c>
      <c r="G11" s="11" t="s">
        <v>126</v>
      </c>
      <c r="H11" s="11" t="s">
        <v>138</v>
      </c>
      <c r="I11" s="11">
        <v>2.0358000000000001</v>
      </c>
      <c r="L11" s="6" t="s">
        <v>100</v>
      </c>
      <c r="M11" s="6" t="s">
        <v>84</v>
      </c>
      <c r="N11" s="6">
        <v>3.5999999999999999E-3</v>
      </c>
    </row>
    <row r="12" spans="1:14" ht="13.15">
      <c r="A12" s="13"/>
      <c r="B12" s="19" t="s">
        <v>82</v>
      </c>
      <c r="F12" s="11" t="s">
        <v>189</v>
      </c>
      <c r="G12" s="11" t="s">
        <v>126</v>
      </c>
      <c r="H12" s="11" t="s">
        <v>139</v>
      </c>
      <c r="I12" s="11">
        <v>1.9870000000000001</v>
      </c>
      <c r="L12" s="6" t="s">
        <v>102</v>
      </c>
      <c r="M12" s="6" t="s">
        <v>89</v>
      </c>
      <c r="N12" s="6">
        <v>1000000</v>
      </c>
    </row>
    <row r="13" spans="1:14" ht="13.15">
      <c r="A13" s="13"/>
      <c r="B13" s="19" t="s">
        <v>85</v>
      </c>
      <c r="F13" s="11" t="s">
        <v>189</v>
      </c>
      <c r="G13" s="11" t="s">
        <v>126</v>
      </c>
      <c r="H13" s="11" t="s">
        <v>140</v>
      </c>
      <c r="I13" s="11">
        <v>1.9192</v>
      </c>
      <c r="L13" s="6" t="s">
        <v>104</v>
      </c>
      <c r="M13" s="6" t="s">
        <v>105</v>
      </c>
      <c r="N13" s="6">
        <v>1000</v>
      </c>
    </row>
    <row r="14" spans="1:14" ht="13.15">
      <c r="A14" s="13"/>
      <c r="B14" s="19" t="s">
        <v>87</v>
      </c>
      <c r="F14" s="11" t="s">
        <v>189</v>
      </c>
      <c r="G14" s="11" t="s">
        <v>126</v>
      </c>
      <c r="H14" s="11" t="s">
        <v>141</v>
      </c>
      <c r="I14" s="11">
        <v>1.8468</v>
      </c>
      <c r="L14" s="6" t="s">
        <v>107</v>
      </c>
      <c r="M14" s="6" t="s">
        <v>108</v>
      </c>
      <c r="N14" s="6">
        <v>5.8615199999999996</v>
      </c>
    </row>
    <row r="15" spans="1:14" ht="13.15">
      <c r="A15" s="13"/>
      <c r="B15" s="19" t="s">
        <v>90</v>
      </c>
      <c r="F15" s="11" t="s">
        <v>189</v>
      </c>
      <c r="G15" s="11" t="s">
        <v>126</v>
      </c>
      <c r="H15" s="11" t="s">
        <v>142</v>
      </c>
      <c r="I15" s="11">
        <v>1.7799</v>
      </c>
      <c r="L15" s="6" t="s">
        <v>110</v>
      </c>
      <c r="M15" s="6" t="s">
        <v>111</v>
      </c>
      <c r="N15" s="6">
        <v>1E-3</v>
      </c>
    </row>
    <row r="16" spans="1:14" ht="13.15">
      <c r="A16" s="13"/>
      <c r="B16" s="19" t="s">
        <v>93</v>
      </c>
      <c r="F16" s="11" t="s">
        <v>189</v>
      </c>
      <c r="G16" s="11" t="s">
        <v>126</v>
      </c>
      <c r="H16" s="11" t="s">
        <v>143</v>
      </c>
      <c r="I16" s="11">
        <v>1.722</v>
      </c>
      <c r="L16" s="6" t="s">
        <v>113</v>
      </c>
      <c r="M16" s="6" t="s">
        <v>84</v>
      </c>
      <c r="N16" s="6">
        <v>1000</v>
      </c>
    </row>
    <row r="17" spans="1:14" ht="13.15">
      <c r="A17" s="13"/>
      <c r="B17" s="19" t="s">
        <v>95</v>
      </c>
      <c r="F17" s="11" t="s">
        <v>189</v>
      </c>
      <c r="G17" s="11" t="s">
        <v>126</v>
      </c>
      <c r="H17" s="11" t="s">
        <v>144</v>
      </c>
      <c r="I17" s="11">
        <v>1.6836</v>
      </c>
      <c r="L17" s="6" t="s">
        <v>115</v>
      </c>
      <c r="M17" s="6" t="s">
        <v>84</v>
      </c>
      <c r="N17" s="6">
        <v>37.68</v>
      </c>
    </row>
    <row r="18" spans="1:14" ht="13.15">
      <c r="B18" s="19" t="s">
        <v>97</v>
      </c>
      <c r="F18" s="11" t="s">
        <v>189</v>
      </c>
      <c r="G18" s="11" t="s">
        <v>126</v>
      </c>
      <c r="H18" s="11" t="s">
        <v>145</v>
      </c>
      <c r="I18" s="11">
        <v>1.6446000000000001</v>
      </c>
      <c r="L18" s="6" t="s">
        <v>117</v>
      </c>
      <c r="M18" s="6" t="s">
        <v>84</v>
      </c>
      <c r="N18" s="6">
        <v>2139.4548</v>
      </c>
    </row>
    <row r="19" spans="1:14" ht="13.15">
      <c r="B19" s="19" t="s">
        <v>99</v>
      </c>
      <c r="F19" s="11" t="s">
        <v>189</v>
      </c>
      <c r="G19" s="11" t="s">
        <v>126</v>
      </c>
      <c r="H19" s="11" t="s">
        <v>146</v>
      </c>
      <c r="I19" s="11">
        <v>1.6102000000000001</v>
      </c>
      <c r="L19" s="6" t="s">
        <v>119</v>
      </c>
      <c r="M19" s="6" t="s">
        <v>120</v>
      </c>
      <c r="N19" s="6">
        <v>2.78</v>
      </c>
    </row>
    <row r="20" spans="1:14" ht="13.15">
      <c r="B20" s="19" t="s">
        <v>101</v>
      </c>
      <c r="F20" s="11" t="s">
        <v>189</v>
      </c>
      <c r="G20" s="11" t="s">
        <v>126</v>
      </c>
      <c r="H20" s="11" t="s">
        <v>147</v>
      </c>
      <c r="I20" s="11">
        <v>1.5770999999999999</v>
      </c>
      <c r="L20" s="6" t="s">
        <v>122</v>
      </c>
      <c r="M20" s="6" t="s">
        <v>84</v>
      </c>
      <c r="N20" s="6">
        <v>3.6</v>
      </c>
    </row>
    <row r="21" spans="1:14" ht="13.15">
      <c r="B21" s="19" t="s">
        <v>103</v>
      </c>
      <c r="F21" s="11" t="s">
        <v>189</v>
      </c>
      <c r="G21" s="11" t="s">
        <v>126</v>
      </c>
      <c r="H21" s="11" t="s">
        <v>148</v>
      </c>
      <c r="I21" s="11">
        <v>1.5488</v>
      </c>
      <c r="L21" s="6" t="s">
        <v>84</v>
      </c>
      <c r="M21" s="6" t="s">
        <v>84</v>
      </c>
      <c r="N21" s="6">
        <v>1</v>
      </c>
    </row>
    <row r="22" spans="1:14" ht="13.15">
      <c r="B22" s="19" t="s">
        <v>106</v>
      </c>
      <c r="F22" s="11" t="s">
        <v>189</v>
      </c>
      <c r="G22" s="11" t="s">
        <v>126</v>
      </c>
      <c r="H22" s="11" t="s">
        <v>149</v>
      </c>
      <c r="I22" s="11">
        <v>1.5224</v>
      </c>
      <c r="L22" s="6" t="s">
        <v>125</v>
      </c>
      <c r="M22" s="6" t="s">
        <v>84</v>
      </c>
      <c r="N22" s="6">
        <v>31.536000000000001</v>
      </c>
    </row>
    <row r="23" spans="1:14" ht="13.15">
      <c r="B23" s="19" t="s">
        <v>109</v>
      </c>
      <c r="F23" s="11" t="s">
        <v>189</v>
      </c>
      <c r="G23" s="11" t="s">
        <v>126</v>
      </c>
      <c r="H23" s="11" t="s">
        <v>150</v>
      </c>
      <c r="I23" s="11">
        <v>1.5058</v>
      </c>
      <c r="L23" s="6" t="s">
        <v>127</v>
      </c>
      <c r="M23" s="6" t="s">
        <v>84</v>
      </c>
      <c r="N23" s="6">
        <v>120</v>
      </c>
    </row>
    <row r="24" spans="1:14" ht="13.15">
      <c r="B24" s="19" t="s">
        <v>112</v>
      </c>
      <c r="F24" s="11" t="s">
        <v>189</v>
      </c>
      <c r="G24" s="11" t="s">
        <v>126</v>
      </c>
      <c r="H24" s="11" t="s">
        <v>151</v>
      </c>
      <c r="I24" s="11">
        <v>1.4844999999999999</v>
      </c>
      <c r="L24" s="11" t="s">
        <v>129</v>
      </c>
      <c r="M24" s="11" t="s">
        <v>84</v>
      </c>
      <c r="N24" s="11">
        <v>5.8615199999999996</v>
      </c>
    </row>
    <row r="25" spans="1:14" ht="13.15">
      <c r="B25" s="19" t="s">
        <v>114</v>
      </c>
      <c r="F25" s="11" t="s">
        <v>189</v>
      </c>
      <c r="G25" s="11" t="s">
        <v>126</v>
      </c>
      <c r="H25" s="11" t="s">
        <v>71</v>
      </c>
      <c r="I25" s="11">
        <v>1.4518</v>
      </c>
      <c r="L25" s="11" t="s">
        <v>131</v>
      </c>
      <c r="M25" s="11" t="s">
        <v>84</v>
      </c>
      <c r="N25" s="11">
        <v>54</v>
      </c>
    </row>
    <row r="26" spans="1:14" ht="13.15">
      <c r="B26" s="19" t="s">
        <v>116</v>
      </c>
      <c r="F26" s="11" t="s">
        <v>189</v>
      </c>
      <c r="G26" s="11" t="s">
        <v>126</v>
      </c>
      <c r="H26" s="11" t="s">
        <v>82</v>
      </c>
      <c r="I26" s="11">
        <v>1.4198999999999999</v>
      </c>
    </row>
    <row r="27" spans="1:14" ht="13.15">
      <c r="B27" s="19" t="s">
        <v>118</v>
      </c>
      <c r="F27" s="11" t="s">
        <v>189</v>
      </c>
      <c r="G27" s="11" t="s">
        <v>126</v>
      </c>
      <c r="H27" s="11" t="s">
        <v>85</v>
      </c>
      <c r="I27" s="11">
        <v>1.3986000000000001</v>
      </c>
    </row>
    <row r="28" spans="1:14" ht="13.15">
      <c r="B28" s="19" t="s">
        <v>121</v>
      </c>
      <c r="F28" s="11" t="s">
        <v>189</v>
      </c>
      <c r="G28" s="11" t="s">
        <v>126</v>
      </c>
      <c r="H28" s="11" t="s">
        <v>87</v>
      </c>
      <c r="I28" s="11">
        <v>1.3727</v>
      </c>
    </row>
    <row r="29" spans="1:14" ht="13.15">
      <c r="B29" s="19" t="s">
        <v>123</v>
      </c>
      <c r="F29" s="11" t="s">
        <v>189</v>
      </c>
      <c r="G29" s="11" t="s">
        <v>126</v>
      </c>
      <c r="H29" s="11" t="s">
        <v>90</v>
      </c>
      <c r="I29" s="11">
        <v>1.3369</v>
      </c>
    </row>
    <row r="30" spans="1:14" ht="13.15">
      <c r="B30" s="19" t="s">
        <v>124</v>
      </c>
      <c r="F30" s="11" t="s">
        <v>189</v>
      </c>
      <c r="G30" s="11" t="s">
        <v>126</v>
      </c>
      <c r="H30" s="11" t="s">
        <v>93</v>
      </c>
      <c r="I30" s="11">
        <v>1.2967</v>
      </c>
    </row>
    <row r="31" spans="1:14" ht="13.15">
      <c r="B31" s="19" t="s">
        <v>126</v>
      </c>
      <c r="F31" s="11" t="s">
        <v>189</v>
      </c>
      <c r="G31" s="11" t="s">
        <v>126</v>
      </c>
      <c r="H31" s="11" t="s">
        <v>95</v>
      </c>
      <c r="I31" s="11">
        <v>1.2583</v>
      </c>
    </row>
    <row r="32" spans="1:14" ht="13.15">
      <c r="B32" s="19" t="s">
        <v>128</v>
      </c>
      <c r="F32" s="11" t="s">
        <v>189</v>
      </c>
      <c r="G32" s="11" t="s">
        <v>126</v>
      </c>
      <c r="H32" s="11" t="s">
        <v>97</v>
      </c>
      <c r="I32" s="11">
        <v>1.2253000000000001</v>
      </c>
    </row>
    <row r="33" spans="2:9" ht="13.15">
      <c r="B33" s="19" t="s">
        <v>130</v>
      </c>
      <c r="F33" s="11" t="s">
        <v>189</v>
      </c>
      <c r="G33" s="11" t="s">
        <v>126</v>
      </c>
      <c r="H33" s="11" t="s">
        <v>99</v>
      </c>
      <c r="I33" s="11">
        <v>1.2023999999999999</v>
      </c>
    </row>
    <row r="34" spans="2:9" ht="13.15">
      <c r="B34" s="19" t="s">
        <v>132</v>
      </c>
      <c r="F34" s="11" t="s">
        <v>189</v>
      </c>
      <c r="G34" s="11" t="s">
        <v>126</v>
      </c>
      <c r="H34" s="11" t="s">
        <v>101</v>
      </c>
      <c r="I34" s="11">
        <v>1.1931</v>
      </c>
    </row>
    <row r="35" spans="2:9" ht="13.15">
      <c r="B35" s="19" t="s">
        <v>133</v>
      </c>
      <c r="F35" s="11" t="s">
        <v>189</v>
      </c>
      <c r="G35" s="11" t="s">
        <v>126</v>
      </c>
      <c r="H35" s="11" t="s">
        <v>103</v>
      </c>
      <c r="I35" s="11">
        <v>1.1793</v>
      </c>
    </row>
    <row r="36" spans="2:9" ht="13.15">
      <c r="B36" s="19" t="s">
        <v>134</v>
      </c>
      <c r="F36" s="11" t="s">
        <v>189</v>
      </c>
      <c r="G36" s="11" t="s">
        <v>126</v>
      </c>
      <c r="H36" s="11" t="s">
        <v>106</v>
      </c>
      <c r="I36" s="11">
        <v>1.1552</v>
      </c>
    </row>
    <row r="37" spans="2:9" ht="13.15">
      <c r="B37" s="19" t="s">
        <v>135</v>
      </c>
      <c r="F37" s="11" t="s">
        <v>189</v>
      </c>
      <c r="G37" s="11" t="s">
        <v>126</v>
      </c>
      <c r="H37" s="11" t="s">
        <v>109</v>
      </c>
      <c r="I37" s="11">
        <v>1.1334</v>
      </c>
    </row>
    <row r="38" spans="2:9" ht="13.15">
      <c r="B38" s="19" t="s">
        <v>136</v>
      </c>
      <c r="F38" s="11" t="s">
        <v>189</v>
      </c>
      <c r="G38" s="11" t="s">
        <v>126</v>
      </c>
      <c r="H38" s="11" t="s">
        <v>112</v>
      </c>
      <c r="I38" s="11">
        <v>1.1136999999999999</v>
      </c>
    </row>
    <row r="39" spans="2:9" ht="13.15">
      <c r="B39" s="19" t="s">
        <v>137</v>
      </c>
      <c r="F39" s="11" t="s">
        <v>189</v>
      </c>
      <c r="G39" s="11" t="s">
        <v>126</v>
      </c>
      <c r="H39" s="11" t="s">
        <v>114</v>
      </c>
      <c r="I39" s="11">
        <v>1.0934999999999999</v>
      </c>
    </row>
    <row r="40" spans="2:9" ht="13.15">
      <c r="B40" s="19" t="s">
        <v>138</v>
      </c>
      <c r="F40" s="11" t="s">
        <v>189</v>
      </c>
      <c r="G40" s="11" t="s">
        <v>126</v>
      </c>
      <c r="H40" s="11" t="s">
        <v>116</v>
      </c>
      <c r="I40" s="11">
        <v>1.0831</v>
      </c>
    </row>
    <row r="41" spans="2:9" ht="13.15">
      <c r="B41" s="19" t="s">
        <v>139</v>
      </c>
      <c r="F41" s="11" t="s">
        <v>189</v>
      </c>
      <c r="G41" s="11" t="s">
        <v>126</v>
      </c>
      <c r="H41" s="11" t="s">
        <v>118</v>
      </c>
      <c r="I41" s="11">
        <v>1.0719000000000001</v>
      </c>
    </row>
    <row r="42" spans="2:9" ht="13.15">
      <c r="B42" s="19" t="s">
        <v>140</v>
      </c>
      <c r="F42" s="11" t="s">
        <v>189</v>
      </c>
      <c r="G42" s="11" t="s">
        <v>126</v>
      </c>
      <c r="H42" s="11" t="s">
        <v>121</v>
      </c>
      <c r="I42" s="11">
        <v>1.0519000000000001</v>
      </c>
    </row>
    <row r="43" spans="2:9" ht="13.15">
      <c r="B43" s="19" t="s">
        <v>141</v>
      </c>
      <c r="F43" s="11" t="s">
        <v>189</v>
      </c>
      <c r="G43" s="11" t="s">
        <v>126</v>
      </c>
      <c r="H43" s="11" t="s">
        <v>123</v>
      </c>
      <c r="I43" s="11">
        <v>1.0274000000000001</v>
      </c>
    </row>
    <row r="44" spans="2:9" ht="13.15">
      <c r="B44" s="19" t="s">
        <v>142</v>
      </c>
      <c r="F44" s="11" t="s">
        <v>189</v>
      </c>
      <c r="G44" s="11" t="s">
        <v>126</v>
      </c>
      <c r="H44" s="11" t="s">
        <v>124</v>
      </c>
      <c r="I44" s="11">
        <v>1.0091000000000001</v>
      </c>
    </row>
    <row r="45" spans="2:9" ht="13.15">
      <c r="B45" s="19" t="s">
        <v>143</v>
      </c>
      <c r="F45" s="11" t="s">
        <v>190</v>
      </c>
      <c r="G45" s="11" t="s">
        <v>126</v>
      </c>
      <c r="H45" s="11" t="s">
        <v>126</v>
      </c>
      <c r="I45" s="11">
        <v>1</v>
      </c>
    </row>
    <row r="46" spans="2:9" ht="13.15">
      <c r="B46" s="19" t="s">
        <v>144</v>
      </c>
      <c r="F46" s="11" t="s">
        <v>189</v>
      </c>
      <c r="G46" s="11" t="s">
        <v>126</v>
      </c>
      <c r="H46" s="11" t="s">
        <v>128</v>
      </c>
      <c r="I46" s="11">
        <v>0.98960000000000004</v>
      </c>
    </row>
    <row r="47" spans="2:9" ht="13.15">
      <c r="B47" s="19" t="s">
        <v>145</v>
      </c>
      <c r="F47" s="11" t="s">
        <v>189</v>
      </c>
      <c r="G47" s="11" t="s">
        <v>126</v>
      </c>
      <c r="H47" s="11" t="s">
        <v>130</v>
      </c>
      <c r="I47" s="11">
        <v>0.97809999999999997</v>
      </c>
    </row>
    <row r="48" spans="2:9" ht="13.15">
      <c r="B48" s="19" t="s">
        <v>146</v>
      </c>
      <c r="F48" s="11" t="s">
        <v>189</v>
      </c>
      <c r="G48" s="11" t="s">
        <v>126</v>
      </c>
      <c r="H48" s="11" t="s">
        <v>132</v>
      </c>
      <c r="I48" s="11">
        <v>0.96499999999999997</v>
      </c>
    </row>
    <row r="49" spans="2:9" ht="13.15">
      <c r="B49" s="19" t="s">
        <v>147</v>
      </c>
      <c r="F49" s="11" t="s">
        <v>189</v>
      </c>
      <c r="G49" s="11" t="s">
        <v>126</v>
      </c>
      <c r="H49" s="11" t="s">
        <v>133</v>
      </c>
      <c r="I49" s="11">
        <v>0.94910000000000005</v>
      </c>
    </row>
    <row r="50" spans="2:9" ht="13.15">
      <c r="B50" s="19" t="s">
        <v>148</v>
      </c>
      <c r="F50" s="11" t="s">
        <v>189</v>
      </c>
      <c r="G50" s="11" t="s">
        <v>126</v>
      </c>
      <c r="H50" s="11" t="s">
        <v>134</v>
      </c>
      <c r="I50" s="11">
        <v>0.92969999999999997</v>
      </c>
    </row>
    <row r="51" spans="2:9" ht="13.15">
      <c r="B51" s="19" t="s">
        <v>149</v>
      </c>
      <c r="F51" s="11" t="str">
        <f>F46</f>
        <v>G_CUREX</v>
      </c>
      <c r="G51" s="11" t="str">
        <f t="shared" ref="G51:I51" si="0">G46</f>
        <v>USD20</v>
      </c>
      <c r="H51" s="11" t="s">
        <v>152</v>
      </c>
      <c r="I51" s="11">
        <f t="shared" si="0"/>
        <v>0.98960000000000004</v>
      </c>
    </row>
    <row r="52" spans="2:9" ht="13.15">
      <c r="B52" s="19" t="s">
        <v>150</v>
      </c>
      <c r="F52" s="11" t="s">
        <v>191</v>
      </c>
      <c r="H52" s="11" t="s">
        <v>135</v>
      </c>
      <c r="I52" s="11">
        <v>7.0000000000000007E-2</v>
      </c>
    </row>
    <row r="53" spans="2:9" ht="13.15">
      <c r="B53" s="19" t="s">
        <v>151</v>
      </c>
      <c r="F53" s="11" t="s">
        <v>191</v>
      </c>
      <c r="H53" s="11" t="s">
        <v>136</v>
      </c>
      <c r="I53" s="11">
        <v>7.0000000000000007E-2</v>
      </c>
    </row>
    <row r="54" spans="2:9" ht="13.15">
      <c r="B54" s="19" t="s">
        <v>152</v>
      </c>
      <c r="F54" s="11" t="s">
        <v>191</v>
      </c>
      <c r="H54" s="11" t="s">
        <v>137</v>
      </c>
      <c r="I54" s="11">
        <v>7.0000000000000007E-2</v>
      </c>
    </row>
    <row r="55" spans="2:9">
      <c r="F55" s="11" t="s">
        <v>191</v>
      </c>
      <c r="H55" s="11" t="s">
        <v>138</v>
      </c>
      <c r="I55" s="11">
        <v>7.0000000000000007E-2</v>
      </c>
    </row>
    <row r="56" spans="2:9">
      <c r="F56" s="11" t="s">
        <v>191</v>
      </c>
      <c r="H56" s="11" t="s">
        <v>139</v>
      </c>
      <c r="I56" s="11">
        <v>7.0000000000000007E-2</v>
      </c>
    </row>
    <row r="57" spans="2:9">
      <c r="F57" s="11" t="s">
        <v>191</v>
      </c>
      <c r="H57" s="11" t="s">
        <v>140</v>
      </c>
      <c r="I57" s="11">
        <v>7.0000000000000007E-2</v>
      </c>
    </row>
    <row r="58" spans="2:9">
      <c r="F58" s="11" t="s">
        <v>191</v>
      </c>
      <c r="H58" s="11" t="s">
        <v>141</v>
      </c>
      <c r="I58" s="11">
        <v>7.0000000000000007E-2</v>
      </c>
    </row>
    <row r="59" spans="2:9">
      <c r="F59" s="11" t="s">
        <v>191</v>
      </c>
      <c r="H59" s="11" t="s">
        <v>142</v>
      </c>
      <c r="I59" s="11">
        <v>7.0000000000000007E-2</v>
      </c>
    </row>
    <row r="60" spans="2:9">
      <c r="F60" s="11" t="s">
        <v>191</v>
      </c>
      <c r="H60" s="11" t="s">
        <v>143</v>
      </c>
      <c r="I60" s="11">
        <v>7.0000000000000007E-2</v>
      </c>
    </row>
    <row r="61" spans="2:9">
      <c r="F61" s="11" t="s">
        <v>191</v>
      </c>
      <c r="H61" s="11" t="s">
        <v>144</v>
      </c>
      <c r="I61" s="11">
        <v>7.0000000000000007E-2</v>
      </c>
    </row>
    <row r="62" spans="2:9">
      <c r="F62" s="11" t="s">
        <v>191</v>
      </c>
      <c r="H62" s="11" t="s">
        <v>145</v>
      </c>
      <c r="I62" s="11">
        <v>7.0000000000000007E-2</v>
      </c>
    </row>
    <row r="63" spans="2:9">
      <c r="F63" s="11" t="s">
        <v>191</v>
      </c>
      <c r="H63" s="11" t="s">
        <v>146</v>
      </c>
      <c r="I63" s="11">
        <v>7.0000000000000007E-2</v>
      </c>
    </row>
    <row r="64" spans="2:9">
      <c r="F64" s="11" t="s">
        <v>191</v>
      </c>
      <c r="H64" s="11" t="s">
        <v>147</v>
      </c>
      <c r="I64" s="11">
        <v>7.0000000000000007E-2</v>
      </c>
    </row>
    <row r="65" spans="6:9">
      <c r="F65" s="11" t="s">
        <v>191</v>
      </c>
      <c r="H65" s="11" t="s">
        <v>148</v>
      </c>
      <c r="I65" s="11">
        <v>7.0000000000000007E-2</v>
      </c>
    </row>
    <row r="66" spans="6:9">
      <c r="F66" s="11" t="s">
        <v>191</v>
      </c>
      <c r="H66" s="11" t="s">
        <v>149</v>
      </c>
      <c r="I66" s="11">
        <v>7.0000000000000007E-2</v>
      </c>
    </row>
    <row r="67" spans="6:9">
      <c r="F67" s="11" t="s">
        <v>191</v>
      </c>
      <c r="H67" s="11" t="s">
        <v>150</v>
      </c>
      <c r="I67" s="11">
        <v>7.0000000000000007E-2</v>
      </c>
    </row>
    <row r="68" spans="6:9">
      <c r="F68" s="11" t="s">
        <v>191</v>
      </c>
      <c r="H68" s="11" t="s">
        <v>151</v>
      </c>
      <c r="I68" s="11">
        <v>7.0000000000000007E-2</v>
      </c>
    </row>
    <row r="69" spans="6:9">
      <c r="F69" s="11" t="s">
        <v>191</v>
      </c>
      <c r="H69" s="11" t="s">
        <v>71</v>
      </c>
      <c r="I69" s="11">
        <v>7.0000000000000007E-2</v>
      </c>
    </row>
    <row r="70" spans="6:9">
      <c r="F70" s="11" t="s">
        <v>191</v>
      </c>
      <c r="H70" s="11" t="s">
        <v>82</v>
      </c>
      <c r="I70" s="11">
        <v>7.0000000000000007E-2</v>
      </c>
    </row>
    <row r="71" spans="6:9">
      <c r="F71" s="11" t="s">
        <v>191</v>
      </c>
      <c r="H71" s="11" t="s">
        <v>85</v>
      </c>
      <c r="I71" s="11">
        <v>7.0000000000000007E-2</v>
      </c>
    </row>
    <row r="72" spans="6:9">
      <c r="F72" s="11" t="s">
        <v>191</v>
      </c>
      <c r="H72" s="11" t="s">
        <v>87</v>
      </c>
      <c r="I72" s="11">
        <v>7.0000000000000007E-2</v>
      </c>
    </row>
    <row r="73" spans="6:9">
      <c r="F73" s="11" t="s">
        <v>191</v>
      </c>
      <c r="H73" s="11" t="s">
        <v>90</v>
      </c>
      <c r="I73" s="11">
        <v>7.0000000000000007E-2</v>
      </c>
    </row>
    <row r="74" spans="6:9">
      <c r="F74" s="11" t="s">
        <v>191</v>
      </c>
      <c r="H74" s="11" t="s">
        <v>93</v>
      </c>
      <c r="I74" s="11">
        <v>7.0000000000000007E-2</v>
      </c>
    </row>
    <row r="75" spans="6:9">
      <c r="F75" s="11" t="s">
        <v>191</v>
      </c>
      <c r="H75" s="11" t="s">
        <v>95</v>
      </c>
      <c r="I75" s="11">
        <v>7.0000000000000007E-2</v>
      </c>
    </row>
    <row r="76" spans="6:9">
      <c r="F76" s="11" t="s">
        <v>191</v>
      </c>
      <c r="H76" s="11" t="s">
        <v>97</v>
      </c>
      <c r="I76" s="11">
        <v>7.0000000000000007E-2</v>
      </c>
    </row>
    <row r="77" spans="6:9">
      <c r="F77" s="11" t="s">
        <v>191</v>
      </c>
      <c r="H77" s="11" t="s">
        <v>99</v>
      </c>
      <c r="I77" s="11">
        <v>7.0000000000000007E-2</v>
      </c>
    </row>
    <row r="78" spans="6:9">
      <c r="F78" s="11" t="s">
        <v>191</v>
      </c>
      <c r="H78" s="11" t="s">
        <v>101</v>
      </c>
      <c r="I78" s="11">
        <v>7.0000000000000007E-2</v>
      </c>
    </row>
    <row r="79" spans="6:9">
      <c r="F79" s="11" t="s">
        <v>191</v>
      </c>
      <c r="H79" s="11" t="s">
        <v>103</v>
      </c>
      <c r="I79" s="11">
        <v>7.0000000000000007E-2</v>
      </c>
    </row>
    <row r="80" spans="6:9">
      <c r="F80" s="11" t="s">
        <v>191</v>
      </c>
      <c r="H80" s="11" t="s">
        <v>106</v>
      </c>
      <c r="I80" s="11">
        <v>7.0000000000000007E-2</v>
      </c>
    </row>
    <row r="81" spans="6:9">
      <c r="F81" s="11" t="s">
        <v>191</v>
      </c>
      <c r="H81" s="11" t="s">
        <v>109</v>
      </c>
      <c r="I81" s="11">
        <v>7.0000000000000007E-2</v>
      </c>
    </row>
    <row r="82" spans="6:9">
      <c r="F82" s="11" t="s">
        <v>191</v>
      </c>
      <c r="H82" s="11" t="s">
        <v>112</v>
      </c>
      <c r="I82" s="11">
        <v>7.0000000000000007E-2</v>
      </c>
    </row>
    <row r="83" spans="6:9">
      <c r="F83" s="11" t="s">
        <v>191</v>
      </c>
      <c r="H83" s="11" t="s">
        <v>114</v>
      </c>
      <c r="I83" s="11">
        <v>7.0000000000000007E-2</v>
      </c>
    </row>
    <row r="84" spans="6:9">
      <c r="F84" s="11" t="s">
        <v>191</v>
      </c>
      <c r="H84" s="11" t="s">
        <v>116</v>
      </c>
      <c r="I84" s="11">
        <v>7.0000000000000007E-2</v>
      </c>
    </row>
    <row r="85" spans="6:9">
      <c r="F85" s="11" t="s">
        <v>191</v>
      </c>
      <c r="H85" s="11" t="s">
        <v>118</v>
      </c>
      <c r="I85" s="11">
        <v>7.0000000000000007E-2</v>
      </c>
    </row>
    <row r="86" spans="6:9">
      <c r="F86" s="11" t="s">
        <v>191</v>
      </c>
      <c r="H86" s="11" t="s">
        <v>121</v>
      </c>
      <c r="I86" s="11">
        <v>7.0000000000000007E-2</v>
      </c>
    </row>
    <row r="87" spans="6:9">
      <c r="F87" s="11" t="s">
        <v>191</v>
      </c>
      <c r="H87" s="11" t="s">
        <v>123</v>
      </c>
      <c r="I87" s="11">
        <v>7.0000000000000007E-2</v>
      </c>
    </row>
    <row r="88" spans="6:9">
      <c r="F88" s="11" t="s">
        <v>191</v>
      </c>
      <c r="H88" s="11" t="s">
        <v>124</v>
      </c>
      <c r="I88" s="11">
        <v>7.0000000000000007E-2</v>
      </c>
    </row>
    <row r="89" spans="6:9">
      <c r="F89" s="11" t="s">
        <v>191</v>
      </c>
      <c r="H89" s="11" t="s">
        <v>126</v>
      </c>
      <c r="I89" s="11">
        <v>7.0000000000000007E-2</v>
      </c>
    </row>
    <row r="90" spans="6:9">
      <c r="F90" s="11" t="s">
        <v>191</v>
      </c>
      <c r="H90" s="11" t="s">
        <v>128</v>
      </c>
      <c r="I90" s="11">
        <v>7.0000000000000007E-2</v>
      </c>
    </row>
    <row r="91" spans="6:9">
      <c r="F91" s="11" t="s">
        <v>191</v>
      </c>
      <c r="H91" s="11" t="s">
        <v>130</v>
      </c>
      <c r="I91" s="11">
        <v>7.0000000000000007E-2</v>
      </c>
    </row>
    <row r="92" spans="6:9">
      <c r="F92" s="11" t="s">
        <v>191</v>
      </c>
      <c r="H92" s="11" t="s">
        <v>132</v>
      </c>
      <c r="I92" s="11">
        <v>7.0000000000000007E-2</v>
      </c>
    </row>
    <row r="93" spans="6:9">
      <c r="F93" s="11" t="s">
        <v>191</v>
      </c>
      <c r="H93" s="11" t="s">
        <v>133</v>
      </c>
      <c r="I93" s="11">
        <v>7.0000000000000007E-2</v>
      </c>
    </row>
    <row r="94" spans="6:9">
      <c r="F94" s="11" t="s">
        <v>191</v>
      </c>
      <c r="H94" s="11" t="s">
        <v>134</v>
      </c>
      <c r="I94" s="11">
        <v>7.0000000000000007E-2</v>
      </c>
    </row>
    <row r="95" spans="6:9">
      <c r="F95" s="11" t="s">
        <v>191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182</v>
      </c>
    </row>
    <row r="100" spans="5:10" ht="15" thickTop="1" thickBot="1">
      <c r="E100" s="4" t="s">
        <v>49</v>
      </c>
      <c r="F100" s="4" t="s">
        <v>51</v>
      </c>
      <c r="G100" s="4" t="s">
        <v>69</v>
      </c>
      <c r="H100" s="4" t="s">
        <v>183</v>
      </c>
      <c r="I100" s="4">
        <v>2022</v>
      </c>
      <c r="J100" s="4" t="s">
        <v>56</v>
      </c>
    </row>
    <row r="101" spans="5:10" ht="14.25">
      <c r="E101"/>
      <c r="F101" s="21" t="s">
        <v>189</v>
      </c>
      <c r="G101" s="21" t="s">
        <v>126</v>
      </c>
      <c r="H101" s="21" t="s">
        <v>73</v>
      </c>
      <c r="I101" s="22">
        <f>1.10926234054354*I40</f>
        <v>1.201442041042708</v>
      </c>
    </row>
    <row r="102" spans="5:10" ht="14.25">
      <c r="E102"/>
      <c r="F102" s="21" t="s">
        <v>191</v>
      </c>
      <c r="G102"/>
      <c r="H102" s="21" t="s">
        <v>73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69</v>
      </c>
      <c r="D4" s="4" t="s">
        <v>53</v>
      </c>
    </row>
    <row r="5" spans="2:4">
      <c r="B5" s="6" t="s">
        <v>153</v>
      </c>
      <c r="C5" s="6" t="s">
        <v>154</v>
      </c>
      <c r="D5" s="6">
        <v>-1</v>
      </c>
    </row>
    <row r="6" spans="2:4">
      <c r="B6" s="6" t="s">
        <v>153</v>
      </c>
      <c r="C6" s="6" t="s">
        <v>155</v>
      </c>
      <c r="D6" s="6">
        <v>1</v>
      </c>
    </row>
    <row r="7" spans="2:4">
      <c r="B7" s="6" t="s">
        <v>153</v>
      </c>
      <c r="C7" s="6" t="s">
        <v>156</v>
      </c>
      <c r="D7" s="6">
        <v>1</v>
      </c>
    </row>
    <row r="8" spans="2:4">
      <c r="B8" s="6" t="s">
        <v>153</v>
      </c>
      <c r="C8" s="6" t="s">
        <v>157</v>
      </c>
      <c r="D8" s="6">
        <v>1</v>
      </c>
    </row>
    <row r="9" spans="2:4">
      <c r="B9" s="6" t="s">
        <v>153</v>
      </c>
      <c r="C9" s="6" t="s">
        <v>158</v>
      </c>
      <c r="D9" s="6">
        <v>1</v>
      </c>
    </row>
    <row r="10" spans="2:4">
      <c r="B10" s="6" t="s">
        <v>153</v>
      </c>
      <c r="C10" s="6" t="s">
        <v>159</v>
      </c>
      <c r="D10" s="6">
        <v>1</v>
      </c>
    </row>
    <row r="11" spans="2:4">
      <c r="B11" s="6" t="s">
        <v>153</v>
      </c>
      <c r="C11" s="6" t="s">
        <v>160</v>
      </c>
      <c r="D11" s="6">
        <v>1</v>
      </c>
    </row>
    <row r="12" spans="2:4">
      <c r="B12" s="6" t="s">
        <v>153</v>
      </c>
      <c r="C12" s="6" t="s">
        <v>155</v>
      </c>
      <c r="D12" s="6">
        <v>1</v>
      </c>
    </row>
    <row r="13" spans="2:4">
      <c r="B13" s="6" t="s">
        <v>153</v>
      </c>
      <c r="C13" s="6" t="s">
        <v>161</v>
      </c>
      <c r="D13" s="6">
        <v>1</v>
      </c>
    </row>
    <row r="14" spans="2:4">
      <c r="B14" s="6" t="s">
        <v>153</v>
      </c>
      <c r="C14" s="6" t="s">
        <v>162</v>
      </c>
      <c r="D14" s="6">
        <v>2</v>
      </c>
    </row>
    <row r="15" spans="2:4">
      <c r="B15" s="6" t="s">
        <v>153</v>
      </c>
      <c r="C15" s="6" t="s">
        <v>163</v>
      </c>
      <c r="D15" s="6">
        <v>1</v>
      </c>
    </row>
    <row r="16" spans="2:4">
      <c r="B16" s="6" t="s">
        <v>153</v>
      </c>
      <c r="C16" s="6" t="s">
        <v>164</v>
      </c>
      <c r="D16" s="16">
        <v>1.0000000000000001E-5</v>
      </c>
    </row>
    <row r="17" spans="2:4">
      <c r="B17" s="6" t="s">
        <v>153</v>
      </c>
      <c r="C17" s="6" t="s">
        <v>165</v>
      </c>
      <c r="D17" s="16">
        <v>1.0000000000000001E-5</v>
      </c>
    </row>
    <row r="18" spans="2:4">
      <c r="B18" s="6" t="s">
        <v>153</v>
      </c>
      <c r="C18" s="6" t="s">
        <v>166</v>
      </c>
      <c r="D18" s="16">
        <v>1.0000000000000001E-5</v>
      </c>
    </row>
    <row r="19" spans="2:4">
      <c r="B19" s="6" t="s">
        <v>153</v>
      </c>
      <c r="C19" s="6" t="s">
        <v>167</v>
      </c>
      <c r="D19" s="16">
        <v>1.0000000000000001E-5</v>
      </c>
    </row>
    <row r="20" spans="2:4">
      <c r="B20" s="6" t="s">
        <v>168</v>
      </c>
      <c r="C20" s="6" t="s">
        <v>169</v>
      </c>
      <c r="D20" s="17">
        <v>1</v>
      </c>
    </row>
    <row r="23" spans="2:4">
      <c r="B23" s="18" t="s">
        <v>170</v>
      </c>
    </row>
    <row r="25" spans="2:4" ht="17.649999999999999" thickBot="1">
      <c r="B25" s="20" t="s">
        <v>171</v>
      </c>
    </row>
    <row r="26" spans="2:4" ht="15" thickTop="1" thickBot="1">
      <c r="B26" s="4" t="s">
        <v>172</v>
      </c>
      <c r="C26" s="4" t="s">
        <v>173</v>
      </c>
    </row>
    <row r="27" spans="2:4">
      <c r="B27" s="6" t="s">
        <v>174</v>
      </c>
      <c r="C27" s="6" t="s">
        <v>175</v>
      </c>
    </row>
    <row r="28" spans="2:4">
      <c r="B28" s="6" t="s">
        <v>176</v>
      </c>
      <c r="C28" s="6" t="s">
        <v>175</v>
      </c>
    </row>
    <row r="29" spans="2:4">
      <c r="B29" s="6" t="s">
        <v>177</v>
      </c>
      <c r="C29" s="6" t="s">
        <v>175</v>
      </c>
    </row>
    <row r="30" spans="2:4">
      <c r="B30" s="6" t="s">
        <v>178</v>
      </c>
      <c r="C30" s="6" t="s">
        <v>175</v>
      </c>
    </row>
    <row r="31" spans="2:4">
      <c r="B31" s="6" t="s">
        <v>179</v>
      </c>
      <c r="C31" s="6" t="s">
        <v>175</v>
      </c>
    </row>
    <row r="32" spans="2:4">
      <c r="B32" s="6" t="s">
        <v>180</v>
      </c>
    </row>
    <row r="33" spans="2:3">
      <c r="B33" s="6" t="s">
        <v>181</v>
      </c>
      <c r="C33" s="6" t="s">
        <v>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2026-06-25T14:13:27Z</dcterms:modified>
</cp:coreProperties>
</file>