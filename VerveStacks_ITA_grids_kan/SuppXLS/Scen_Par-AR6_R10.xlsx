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TA_grids_kan\SuppXLS\"/>
    </mc:Choice>
  </mc:AlternateContent>
  <xr:revisionPtr revIDLastSave="0" documentId="8_{40673187-B509-44A2-9377-3D0AC4DEF7AF}" xr6:coauthVersionLast="47" xr6:coauthVersionMax="47" xr10:uidLastSave="{00000000-0000-0000-0000-000000000000}"/>
  <bookViews>
    <workbookView xWindow="735" yWindow="735" windowWidth="21600" windowHeight="12682" firstSheet="9" activeTab="9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ts_012" sheetId="7" r:id="rId6"/>
    <sheet name="ts_048" sheetId="8" r:id="rId7"/>
    <sheet name="s1v1_d" sheetId="9" r:id="rId8"/>
    <sheet name="ts_annual" sheetId="10" r:id="rId9"/>
    <sheet name="ts_12t" sheetId="11" r:id="rId10"/>
  </sheets>
  <definedNames>
    <definedName name="_xlnm._FilterDatabase" localSheetId="0" hidden="1">Veda!$C$6:$E$63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11" l="1"/>
  <c r="AG9" i="11"/>
  <c r="AC9" i="11"/>
  <c r="A10" i="6"/>
  <c r="X9" i="11"/>
  <c r="S9" i="11"/>
  <c r="N9" i="11"/>
  <c r="I9" i="11"/>
  <c r="A11" i="11"/>
  <c r="C9" i="11" s="1"/>
  <c r="AK9" i="10"/>
  <c r="AG9" i="10"/>
  <c r="AC9" i="10"/>
  <c r="X9" i="10"/>
  <c r="S9" i="10"/>
  <c r="N9" i="10"/>
  <c r="I9" i="10"/>
  <c r="A11" i="10"/>
  <c r="C9" i="10" s="1"/>
  <c r="AK9" i="9"/>
  <c r="AG9" i="9"/>
  <c r="AC9" i="9"/>
  <c r="X9" i="9"/>
  <c r="S9" i="9"/>
  <c r="N9" i="9"/>
  <c r="I9" i="9"/>
  <c r="A11" i="9"/>
  <c r="C9" i="9" s="1"/>
  <c r="AK9" i="8"/>
  <c r="AG9" i="8"/>
  <c r="AC9" i="8"/>
  <c r="X9" i="8"/>
  <c r="S9" i="8"/>
  <c r="N9" i="8"/>
  <c r="I9" i="8"/>
  <c r="A11" i="8"/>
  <c r="C9" i="8" s="1"/>
  <c r="AK9" i="7"/>
  <c r="AG9" i="7"/>
  <c r="AC9" i="7"/>
  <c r="X9" i="7"/>
  <c r="S9" i="7"/>
  <c r="N9" i="7"/>
  <c r="I9" i="7"/>
  <c r="A11" i="7"/>
  <c r="C9" i="7" s="1"/>
  <c r="B83" i="1"/>
  <c r="B82" i="1"/>
  <c r="B81" i="1"/>
  <c r="B80" i="1"/>
  <c r="B79" i="1"/>
  <c r="E83" i="1"/>
  <c r="E82" i="1"/>
  <c r="E81" i="1"/>
  <c r="E80" i="1"/>
  <c r="E79" i="1"/>
  <c r="C79" i="1"/>
  <c r="C80" i="1" s="1"/>
  <c r="C81" i="1" s="1"/>
  <c r="C82" i="1" s="1"/>
  <c r="C83" i="1" s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D77" i="1"/>
  <c r="D73" i="1"/>
  <c r="D72" i="1"/>
  <c r="E69" i="1"/>
  <c r="E74" i="1" s="1"/>
  <c r="D67" i="1"/>
  <c r="E64" i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38" i="1"/>
  <c r="D42" i="1"/>
  <c r="D43" i="1"/>
  <c r="D47" i="1"/>
  <c r="D52" i="1"/>
  <c r="D57" i="1"/>
  <c r="D58" i="1"/>
  <c r="D62" i="1"/>
  <c r="D63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D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/>
  <c r="D23" i="1" s="1"/>
  <c r="AJ28" i="1"/>
  <c r="D28" i="1" s="1"/>
  <c r="AJ33" i="1"/>
  <c r="AJ38" i="1" s="1"/>
  <c r="AJ43" i="1" s="1"/>
  <c r="AJ48" i="1" s="1"/>
  <c r="AJ53" i="1" s="1"/>
  <c r="AJ58" i="1" s="1"/>
  <c r="AJ63" i="1" s="1"/>
  <c r="AJ68" i="1" s="1"/>
  <c r="AJ73" i="1" s="1"/>
  <c r="AJ78" i="1" s="1"/>
  <c r="D78" i="1" s="1"/>
  <c r="AJ14" i="1"/>
  <c r="AJ19" i="1" s="1"/>
  <c r="E15" i="1"/>
  <c r="E20" i="1" s="1"/>
  <c r="E25" i="1" s="1"/>
  <c r="E30" i="1" s="1"/>
  <c r="E35" i="1" s="1"/>
  <c r="E40" i="1" s="1"/>
  <c r="E45" i="1" s="1"/>
  <c r="E50" i="1" s="1"/>
  <c r="E55" i="1" s="1"/>
  <c r="E60" i="1" s="1"/>
  <c r="E65" i="1" s="1"/>
  <c r="E16" i="1"/>
  <c r="E17" i="1"/>
  <c r="B17" i="1" s="1"/>
  <c r="E18" i="1"/>
  <c r="B18" i="1" s="1"/>
  <c r="E21" i="1"/>
  <c r="E22" i="1"/>
  <c r="E27" i="1" s="1"/>
  <c r="E32" i="1" s="1"/>
  <c r="E37" i="1" s="1"/>
  <c r="E42" i="1" s="1"/>
  <c r="E47" i="1" s="1"/>
  <c r="E52" i="1" s="1"/>
  <c r="E57" i="1" s="1"/>
  <c r="E62" i="1" s="1"/>
  <c r="B62" i="1" s="1"/>
  <c r="E23" i="1"/>
  <c r="E28" i="1" s="1"/>
  <c r="E26" i="1"/>
  <c r="E31" i="1" s="1"/>
  <c r="E36" i="1" s="1"/>
  <c r="E41" i="1" s="1"/>
  <c r="E46" i="1" s="1"/>
  <c r="E51" i="1" s="1"/>
  <c r="E56" i="1" s="1"/>
  <c r="E61" i="1" s="1"/>
  <c r="E66" i="1" s="1"/>
  <c r="E14" i="1"/>
  <c r="E19" i="1" s="1"/>
  <c r="E24" i="1" s="1"/>
  <c r="E29" i="1" s="1"/>
  <c r="E34" i="1" s="1"/>
  <c r="E39" i="1" s="1"/>
  <c r="E44" i="1" s="1"/>
  <c r="E49" i="1" s="1"/>
  <c r="E54" i="1" s="1"/>
  <c r="E59" i="1" s="1"/>
  <c r="E70" i="1" l="1"/>
  <c r="E33" i="1"/>
  <c r="B28" i="1"/>
  <c r="B16" i="1"/>
  <c r="AJ24" i="1"/>
  <c r="D19" i="1"/>
  <c r="B19" i="1" s="1"/>
  <c r="D21" i="1"/>
  <c r="B21" i="1" s="1"/>
  <c r="B52" i="1"/>
  <c r="D36" i="1"/>
  <c r="B36" i="1" s="1"/>
  <c r="B23" i="1"/>
  <c r="D41" i="1"/>
  <c r="B41" i="1" s="1"/>
  <c r="B47" i="1"/>
  <c r="D26" i="1"/>
  <c r="B26" i="1" s="1"/>
  <c r="B57" i="1"/>
  <c r="D71" i="1"/>
  <c r="D16" i="1"/>
  <c r="D31" i="1"/>
  <c r="B31" i="1" s="1"/>
  <c r="B15" i="1"/>
  <c r="B27" i="1"/>
  <c r="D61" i="1"/>
  <c r="B61" i="1" s="1"/>
  <c r="D33" i="1"/>
  <c r="D53" i="1"/>
  <c r="D51" i="1"/>
  <c r="B51" i="1" s="1"/>
  <c r="AJ20" i="1"/>
  <c r="D48" i="1"/>
  <c r="B56" i="1"/>
  <c r="D46" i="1"/>
  <c r="B46" i="1" s="1"/>
  <c r="E67" i="1"/>
  <c r="D14" i="1"/>
  <c r="B14" i="1" s="1"/>
  <c r="B22" i="1"/>
  <c r="D56" i="1"/>
  <c r="B42" i="1"/>
  <c r="B37" i="1"/>
  <c r="D66" i="1"/>
  <c r="B66" i="1" s="1"/>
  <c r="D68" i="1"/>
  <c r="B32" i="1"/>
  <c r="E71" i="1"/>
  <c r="B71" i="1" s="1"/>
  <c r="D2" i="1"/>
  <c r="H48" i="1"/>
  <c r="H47" i="1"/>
  <c r="H46" i="1"/>
  <c r="H45" i="1"/>
  <c r="H24" i="6"/>
  <c r="H23" i="6"/>
  <c r="H21" i="6" s="1"/>
  <c r="D5" i="1"/>
  <c r="AJ25" i="1" l="1"/>
  <c r="D20" i="1"/>
  <c r="B20" i="1" s="1"/>
  <c r="AJ29" i="1"/>
  <c r="D24" i="1"/>
  <c r="B24" i="1" s="1"/>
  <c r="E72" i="1"/>
  <c r="B67" i="1"/>
  <c r="E38" i="1"/>
  <c r="B33" i="1"/>
  <c r="E75" i="1"/>
  <c r="E76" i="1"/>
  <c r="B76" i="1" s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E43" i="1" l="1"/>
  <c r="B38" i="1"/>
  <c r="B72" i="1"/>
  <c r="E77" i="1"/>
  <c r="B77" i="1" s="1"/>
  <c r="D29" i="1"/>
  <c r="B29" i="1" s="1"/>
  <c r="AJ34" i="1"/>
  <c r="D25" i="1"/>
  <c r="B25" i="1" s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O48" i="1" s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39" i="1" l="1"/>
  <c r="D34" i="1"/>
  <c r="B34" i="1" s="1"/>
  <c r="D30" i="1"/>
  <c r="B30" i="1" s="1"/>
  <c r="AJ35" i="1"/>
  <c r="E48" i="1"/>
  <c r="B43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E53" i="1" l="1"/>
  <c r="B48" i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49" i="1" l="1"/>
  <c r="D44" i="1"/>
  <c r="B44" i="1" s="1"/>
  <c r="AJ45" i="1"/>
  <c r="D40" i="1"/>
  <c r="B40" i="1" s="1"/>
  <c r="E58" i="1"/>
  <c r="B53" i="1"/>
  <c r="U22" i="1"/>
  <c r="Y22" i="1"/>
  <c r="E63" i="1" l="1"/>
  <c r="B58" i="1"/>
  <c r="AJ50" i="1"/>
  <c r="D45" i="1"/>
  <c r="B45" i="1" s="1"/>
  <c r="AJ54" i="1"/>
  <c r="D49" i="1"/>
  <c r="B49" i="1" s="1"/>
  <c r="B63" i="1" l="1"/>
  <c r="E68" i="1"/>
  <c r="AJ59" i="1"/>
  <c r="D54" i="1"/>
  <c r="B54" i="1" s="1"/>
  <c r="AJ55" i="1"/>
  <c r="D50" i="1"/>
  <c r="B50" i="1" s="1"/>
  <c r="AJ60" i="1" l="1"/>
  <c r="D55" i="1"/>
  <c r="B55" i="1" s="1"/>
  <c r="E73" i="1"/>
  <c r="B68" i="1"/>
  <c r="AJ64" i="1"/>
  <c r="D59" i="1"/>
  <c r="B59" i="1" s="1"/>
  <c r="AJ69" i="1" l="1"/>
  <c r="D64" i="1"/>
  <c r="B64" i="1" s="1"/>
  <c r="B73" i="1"/>
  <c r="E78" i="1"/>
  <c r="B78" i="1" s="1"/>
  <c r="AJ65" i="1"/>
  <c r="D60" i="1"/>
  <c r="B60" i="1" s="1"/>
  <c r="AJ70" i="1" l="1"/>
  <c r="D65" i="1"/>
  <c r="B65" i="1" s="1"/>
  <c r="AJ74" i="1"/>
  <c r="D74" i="1" s="1"/>
  <c r="B74" i="1" s="1"/>
  <c r="D69" i="1"/>
  <c r="B69" i="1" s="1"/>
  <c r="AJ75" i="1" l="1"/>
  <c r="D75" i="1" s="1"/>
  <c r="B75" i="1" s="1"/>
  <c r="D70" i="1"/>
  <c r="B7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<sst xmlns="http://schemas.openxmlformats.org/spreadsheetml/2006/main" count="33114" uniqueCount="414">
  <si>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</si>
  <si>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</si>
  <si>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</si>
  <si>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</si>
  <si>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</si>
  <si>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</si>
  <si>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</si>
  <si>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</si>
  <si>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</si>
  <si>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</si>
  <si>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</si>
  <si>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</si>
  <si>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</si>
  <si>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</si>
  <si>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</si>
  <si>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</si>
  <si>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</si>
  <si>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</si>
  <si>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</si>
  <si>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</si>
  <si>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</si>
  <si>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</si>
  <si>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</si>
  <si>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</si>
  <si>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</si>
  <si>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</si>
  <si>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</si>
  <si>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</si>
  <si>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</si>
  <si>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</si>
  <si>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</si>
  <si>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</si>
  <si>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</si>
  <si>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</si>
  <si>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</si>
  <si>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</si>
  <si>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</si>
  <si>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</si>
  <si>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</si>
  <si>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</si>
  <si>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</si>
  <si>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</si>
  <si>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</si>
  <si>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</si>
  <si>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</si>
  <si>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</si>
  <si>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</si>
  <si>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</si>
  <si>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</si>
  <si>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</si>
  <si>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</si>
  <si>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</si>
  <si>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</si>
  <si>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</si>
  <si>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</si>
  <si>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</si>
  <si>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</si>
  <si>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</si>
  <si>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</si>
  <si>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</si>
  <si>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</si>
  <si>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</si>
  <si>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</si>
  <si>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</si>
  <si>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</si>
  <si>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</si>
  <si>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</si>
  <si>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</si>
  <si>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</si>
  <si>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</si>
  <si>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</si>
  <si>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</si>
  <si>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</si>
  <si>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</si>
  <si>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</si>
  <si>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</si>
  <si>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</si>
  <si>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</si>
  <si>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</si>
  <si>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</si>
  <si>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</si>
  <si>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</si>
  <si>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</si>
  <si>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</si>
  <si>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</si>
  <si>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</si>
  <si>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</si>
  <si>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</si>
  <si>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</si>
  <si>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</si>
  <si>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</si>
  <si>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</si>
  <si>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</si>
  <si>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</si>
  <si>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</si>
  <si>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</si>
  <si>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</si>
  <si>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</si>
  <si>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</si>
  <si>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</si>
  <si>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</si>
  <si>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</si>
  <si>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s3p3v3_d</t>
  </si>
  <si>
    <t>s2_w</t>
  </si>
  <si>
    <t>s2_w_p2_d</t>
  </si>
  <si>
    <t>s5p5v5_d</t>
  </si>
  <si>
    <t>ts_annual</t>
  </si>
  <si>
    <t>pset_co</t>
  </si>
  <si>
    <t>e3d</t>
  </si>
  <si>
    <t>e 1.5 deg no OS</t>
  </si>
  <si>
    <t>d9d</t>
  </si>
  <si>
    <t>d 1.5 deg OS</t>
  </si>
  <si>
    <t>b2w</t>
  </si>
  <si>
    <t>c 2 deg (67%)</t>
  </si>
  <si>
    <t>a2w2d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</si>
  <si>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</si>
  <si>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</si>
  <si>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</si>
  <si>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</si>
  <si>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</si>
  <si>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</si>
  <si>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</si>
  <si>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</si>
  <si>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</si>
  <si>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</si>
  <si>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ts_024</t>
  </si>
  <si>
    <t>ts_048</t>
  </si>
  <si>
    <t>ts_064</t>
  </si>
  <si>
    <t>ts_096P50</t>
  </si>
  <si>
    <t>ts_096P10</t>
  </si>
  <si>
    <t>ts_096P90</t>
  </si>
  <si>
    <t>ts_12t</t>
  </si>
  <si>
    <t>f96p90</t>
  </si>
  <si>
    <t>f96p10</t>
  </si>
  <si>
    <t>g64</t>
  </si>
  <si>
    <t>h48</t>
  </si>
  <si>
    <t>i24</t>
  </si>
  <si>
    <t>j12</t>
  </si>
  <si>
    <t>k12</t>
  </si>
  <si>
    <t>kAnn</t>
  </si>
  <si>
    <t>f96p50</t>
  </si>
  <si>
    <t>~TFM_INS-TS: attribute=flo_cost;pset_pn=-IMP*Z</t>
  </si>
  <si>
    <t>bio price multiplier</t>
  </si>
  <si>
    <t>s1v1_d</t>
  </si>
  <si>
    <t>e2d</t>
  </si>
  <si>
    <t>ITA</t>
  </si>
  <si>
    <t>R10EUROPE</t>
  </si>
  <si>
    <t>Pipeline gas, Mediterranean pellet imports</t>
  </si>
  <si>
    <t>1,2,3,4,5,6,7,8,9,10,11,12,13,14,15,21,22,23,24,25</t>
  </si>
  <si>
    <t>~tfm_ins-ts</t>
  </si>
  <si>
    <t>lo</t>
  </si>
  <si>
    <t>cap_bnd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</si>
  <si>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</si>
  <si>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</si>
  <si>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</si>
  <si>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</si>
  <si>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</si>
  <si>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</si>
  <si>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</si>
  <si>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</si>
  <si>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</t>
  </si>
  <si>
    <t>S02</t>
  </si>
  <si>
    <t>H02</t>
  </si>
  <si>
    <t>S03</t>
  </si>
  <si>
    <t>H03</t>
  </si>
  <si>
    <t>com_fr</t>
  </si>
  <si>
    <t>elc_spv_001</t>
  </si>
  <si>
    <t>S01aH01</t>
  </si>
  <si>
    <t>IMPNRGZ</t>
  </si>
  <si>
    <t>S01aH02</t>
  </si>
  <si>
    <t>S01aH03</t>
  </si>
  <si>
    <t>S02aH01</t>
  </si>
  <si>
    <t>S02aH02</t>
  </si>
  <si>
    <t>S02aH03</t>
  </si>
  <si>
    <t>S03aH01</t>
  </si>
  <si>
    <t>S03aH02</t>
  </si>
  <si>
    <t>S03aH03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</si>
  <si>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</si>
  <si>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</si>
  <si>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</si>
  <si>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</si>
  <si>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</si>
  <si>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</si>
  <si>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</si>
  <si>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</si>
  <si>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</si>
  <si>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</si>
  <si>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</si>
  <si>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</si>
  <si>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</si>
  <si>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</si>
  <si>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</si>
  <si>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</si>
  <si>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</si>
  <si>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</si>
  <si>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</si>
  <si>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</si>
  <si>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</si>
  <si>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</si>
  <si>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</si>
  <si>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</si>
  <si>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</si>
  <si>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</si>
  <si>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</si>
  <si>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</si>
  <si>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</si>
  <si>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</si>
  <si>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</si>
  <si>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</si>
  <si>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</si>
  <si>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</si>
  <si>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</si>
  <si>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</si>
  <si>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</si>
  <si>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</si>
  <si>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elc_won_016</t>
  </si>
  <si>
    <t>elc_won_017</t>
  </si>
  <si>
    <t>elc_won_018</t>
  </si>
  <si>
    <t>elc_won_019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</si>
  <si>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</si>
  <si>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</si>
  <si>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</si>
  <si>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</si>
  <si>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</si>
  <si>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</si>
  <si>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</si>
  <si>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</si>
  <si>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</si>
  <si>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</si>
  <si>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elc_wof_011</t>
  </si>
  <si>
    <t>elc_wof_012</t>
  </si>
  <si>
    <t>elc_wof_013</t>
  </si>
  <si>
    <t>elc_wof_014</t>
  </si>
  <si>
    <t>elc_wof_015</t>
  </si>
  <si>
    <t>elc_wof_016</t>
  </si>
  <si>
    <t>elc_wof_017</t>
  </si>
  <si>
    <t>elc_wof_018</t>
  </si>
  <si>
    <t>elc_wof_019</t>
  </si>
  <si>
    <t>g_yrfr</t>
  </si>
  <si>
    <t>day_night</t>
  </si>
  <si>
    <t>D</t>
  </si>
  <si>
    <t>S02aH02,S03aH02,S01aH02</t>
  </si>
  <si>
    <t>N</t>
  </si>
  <si>
    <t>S03aH01,S03aH03,S01aH01,S02aH03,S01aH03,S02aH01</t>
  </si>
  <si>
    <t>com_pkflx</t>
  </si>
  <si>
    <t>ncap_afs</t>
  </si>
  <si>
    <t>pset_ci</t>
  </si>
  <si>
    <t>hydro</t>
  </si>
  <si>
    <t>S01,S02,S03,S04,S05,S06,S07</t>
  </si>
  <si>
    <t>S04</t>
  </si>
  <si>
    <t>H04</t>
  </si>
  <si>
    <t>S05</t>
  </si>
  <si>
    <t>H05</t>
  </si>
  <si>
    <t>S06</t>
  </si>
  <si>
    <t>H06</t>
  </si>
  <si>
    <t>S07</t>
  </si>
  <si>
    <t>S01aH04</t>
  </si>
  <si>
    <t>S01aH05</t>
  </si>
  <si>
    <t>S01aH06</t>
  </si>
  <si>
    <t>S02aH04</t>
  </si>
  <si>
    <t>S02aH05</t>
  </si>
  <si>
    <t>S02aH06</t>
  </si>
  <si>
    <t>S03aH04</t>
  </si>
  <si>
    <t>S03aH05</t>
  </si>
  <si>
    <t>S03aH06</t>
  </si>
  <si>
    <t>S04aH01</t>
  </si>
  <si>
    <t>S04aH02</t>
  </si>
  <si>
    <t>S04aH03</t>
  </si>
  <si>
    <t>S04aH04</t>
  </si>
  <si>
    <t>S04aH05</t>
  </si>
  <si>
    <t>S04aH06</t>
  </si>
  <si>
    <t>S05aH01</t>
  </si>
  <si>
    <t>S05aH02</t>
  </si>
  <si>
    <t>S05aH03</t>
  </si>
  <si>
    <t>S05aH04</t>
  </si>
  <si>
    <t>S05aH05</t>
  </si>
  <si>
    <t>S05aH06</t>
  </si>
  <si>
    <t>S06aH01</t>
  </si>
  <si>
    <t>S06aH02</t>
  </si>
  <si>
    <t>S06aH03</t>
  </si>
  <si>
    <t>S06aH04</t>
  </si>
  <si>
    <t>S06aH05</t>
  </si>
  <si>
    <t>S06aH06</t>
  </si>
  <si>
    <t>S07aH01</t>
  </si>
  <si>
    <t>S07aH02</t>
  </si>
  <si>
    <t>S07aH03</t>
  </si>
  <si>
    <t>S07aH04</t>
  </si>
  <si>
    <t>S07aH05</t>
  </si>
  <si>
    <t>S07aH06</t>
  </si>
  <si>
    <t>S03aH02,S07aH05,S04aH03,S07aH04,S05aH04,S06aH02,S06aH03,S01aH04,S07aH02,S01aH05,S06aH05,S03aH04,S03aH03,S02aH02,S03aH05,S05aH05,S06aH04,S02aH04,S02aH05,S04aH02,S01aH02,S04aH04,S02aH03,S07aH03,S04aH05,S01aH03,S05aH02,S05aH03</t>
  </si>
  <si>
    <t>S02aH01,S05aH06,S01aH06,S07aH01,S05aH01,S07aH06,S06aH01,S06aH06,S03aH01,S02aH06,S03aH06,S01aH01,S04aH01,S04aH06</t>
  </si>
  <si>
    <t>0925h01</t>
  </si>
  <si>
    <t>b</t>
  </si>
  <si>
    <t>0925h02</t>
  </si>
  <si>
    <t>c</t>
  </si>
  <si>
    <t>0925h03</t>
  </si>
  <si>
    <t>0925h04</t>
  </si>
  <si>
    <t>0925h05</t>
  </si>
  <si>
    <t>0925h06</t>
  </si>
  <si>
    <t>0925h07</t>
  </si>
  <si>
    <t>0925h08</t>
  </si>
  <si>
    <t>0925h09</t>
  </si>
  <si>
    <t>0925h10</t>
  </si>
  <si>
    <t>0925h11</t>
  </si>
  <si>
    <t>0925h12</t>
  </si>
  <si>
    <t>0925h13</t>
  </si>
  <si>
    <t>0925h14</t>
  </si>
  <si>
    <t>0925h15</t>
  </si>
  <si>
    <t>0925h16</t>
  </si>
  <si>
    <t>0925h17</t>
  </si>
  <si>
    <t>0925h18</t>
  </si>
  <si>
    <t>0925h19</t>
  </si>
  <si>
    <t>0925h20</t>
  </si>
  <si>
    <t>0925h21</t>
  </si>
  <si>
    <t>0925h22</t>
  </si>
  <si>
    <t>0925h23</t>
  </si>
  <si>
    <t>0925h24</t>
  </si>
  <si>
    <t>1209h01</t>
  </si>
  <si>
    <t>1209h02</t>
  </si>
  <si>
    <t>1209h03</t>
  </si>
  <si>
    <t>1209h04</t>
  </si>
  <si>
    <t>1209h05</t>
  </si>
  <si>
    <t>1209h06</t>
  </si>
  <si>
    <t>1209h07</t>
  </si>
  <si>
    <t>1209h08</t>
  </si>
  <si>
    <t>1209h09</t>
  </si>
  <si>
    <t>1209h10</t>
  </si>
  <si>
    <t>1209h11</t>
  </si>
  <si>
    <t>1209h12</t>
  </si>
  <si>
    <t>1209h13</t>
  </si>
  <si>
    <t>1209h14</t>
  </si>
  <si>
    <t>1209h15</t>
  </si>
  <si>
    <t>1209h16</t>
  </si>
  <si>
    <t>1209h17</t>
  </si>
  <si>
    <t>1209h18</t>
  </si>
  <si>
    <t>1209h19</t>
  </si>
  <si>
    <t>1209h20</t>
  </si>
  <si>
    <t>1209h21</t>
  </si>
  <si>
    <t>1209h22</t>
  </si>
  <si>
    <t>1209h23</t>
  </si>
  <si>
    <t>1209h24</t>
  </si>
  <si>
    <t>S05b0925h01</t>
  </si>
  <si>
    <t>S05b0925h02</t>
  </si>
  <si>
    <t>S05b0925h03</t>
  </si>
  <si>
    <t>S05b0925h04</t>
  </si>
  <si>
    <t>S05b0925h05</t>
  </si>
  <si>
    <t>S05b0925h06</t>
  </si>
  <si>
    <t>S05b0925h07</t>
  </si>
  <si>
    <t>S05b0925h08</t>
  </si>
  <si>
    <t>S05b0925h09</t>
  </si>
  <si>
    <t>S05b0925h10</t>
  </si>
  <si>
    <t>S05b0925h11</t>
  </si>
  <si>
    <t>S05b0925h12</t>
  </si>
  <si>
    <t>S05b0925h13</t>
  </si>
  <si>
    <t>S05b0925h14</t>
  </si>
  <si>
    <t>S05b0925h15</t>
  </si>
  <si>
    <t>S05b0925h16</t>
  </si>
  <si>
    <t>S05b0925h17</t>
  </si>
  <si>
    <t>S05b0925h18</t>
  </si>
  <si>
    <t>S05b0925h19</t>
  </si>
  <si>
    <t>S05b0925h20</t>
  </si>
  <si>
    <t>S05b0925h21</t>
  </si>
  <si>
    <t>S05b0925h22</t>
  </si>
  <si>
    <t>S05b0925h23</t>
  </si>
  <si>
    <t>S05b0925h24</t>
  </si>
  <si>
    <t>S07c1209h01</t>
  </si>
  <si>
    <t>S07c1209h02</t>
  </si>
  <si>
    <t>S07c1209h03</t>
  </si>
  <si>
    <t>S07c1209h04</t>
  </si>
  <si>
    <t>S07c1209h05</t>
  </si>
  <si>
    <t>S07c1209h06</t>
  </si>
  <si>
    <t>S07c1209h07</t>
  </si>
  <si>
    <t>S07c1209h08</t>
  </si>
  <si>
    <t>S07c1209h09</t>
  </si>
  <si>
    <t>S07c1209h10</t>
  </si>
  <si>
    <t>S07c1209h11</t>
  </si>
  <si>
    <t>S07c1209h12</t>
  </si>
  <si>
    <t>S07c1209h13</t>
  </si>
  <si>
    <t>S07c1209h14</t>
  </si>
  <si>
    <t>S07c1209h15</t>
  </si>
  <si>
    <t>S07c1209h16</t>
  </si>
  <si>
    <t>S07c1209h17</t>
  </si>
  <si>
    <t>S07c1209h18</t>
  </si>
  <si>
    <t>S07c1209h19</t>
  </si>
  <si>
    <t>S07c1209h20</t>
  </si>
  <si>
    <t>S07c1209h21</t>
  </si>
  <si>
    <t>S07c1209h22</t>
  </si>
  <si>
    <t>S07c1209h23</t>
  </si>
  <si>
    <t>S07c1209h24</t>
  </si>
  <si>
    <t>S01aH03,S05aH02,S05aH03,S05aH04,S05b0925h16,S06aH02,S06aH03,S07c1209h10,S07c1209h11,S01aH02,S04aH04,S07c1209h12,S02aH03,S07aH03,S07c1209h08,S07c1209h17,S03aH03,S05b0925h17,S07c1209h15,S04aH03,S07aH04,S03aH05,S05aH05,S06aH04,S07c1209h13,S03aH02,S05b0925h10,S05b0925h18,S07aH05,S01aH05,S05b0925h11,S06aH05,S04aH05,S05b0925h13,S03aH04,S05b0925h12,S02aH04,S02aH05,S07c1209h16,S04aH02,S05b0925h15,S07c1209h09,S01aH04,S05b0925h09,S05b0925h14,S07aH02,S07c1209h14,S05b0925h08,S07c1209h07,S07c1209h18,S02aH02,S05b0925h07</t>
  </si>
  <si>
    <t>S05b0925h03,S05b0925h24,S07c1209h20,S01aH06,S05b0925h02,S07aH01,S03aH06,S07c1209h02,S07c1209h19,S01aH01,S04aH01,S04aH06,S07c1209h23,S06aH06,S02aH01,S05aH06,S05b0925h04,S05b0925h19,S05b0925h06,S05b0925h20,S05b0925h05,S07c1209h01,S05b0925h21,S05aH01,S07aH06,S07c1209h05,S07c1209h06,S02aH06,S07c1209h24,S05b0925h01,S05b0925h22,S07c1209h03,S07c1209h21,S07c1209h22,S05b0925h23,S06aH01,S03aH01,S07c1209h04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</si>
  <si>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</si>
  <si>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</si>
  <si>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</si>
  <si>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</si>
  <si>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</si>
  <si>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</si>
  <si>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</si>
  <si>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</si>
  <si>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</si>
  <si>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</si>
  <si>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</si>
  <si>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</si>
  <si>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</si>
  <si>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</si>
  <si>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</si>
  <si>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</si>
  <si>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</si>
  <si>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</si>
  <si>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</si>
  <si>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</si>
  <si>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</si>
  <si>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FaD,WaD,SaD,WaP,RaD,FaP,SaP,RaP</t>
  </si>
  <si>
    <t>SaN,WaN,RaP,FaP,SaP,FaN,WaP,RaN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</si>
</sst>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325.04000000000002</c:v>
                </c:pt>
                <c:pt idx="1">
                  <c:v>341.29200000000003</c:v>
                </c:pt>
                <c:pt idx="2">
                  <c:v>380.29680000000002</c:v>
                </c:pt>
                <c:pt idx="3">
                  <c:v>429.05280000000005</c:v>
                </c:pt>
                <c:pt idx="4">
                  <c:v>487.56000000000006</c:v>
                </c:pt>
                <c:pt idx="5">
                  <c:v>546.06720000000007</c:v>
                </c:pt>
                <c:pt idx="6">
                  <c:v>588.32240000000002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71.48</c:v>
                </c:pt>
                <c:pt idx="3">
                  <c:v>104.42</c:v>
                </c:pt>
                <c:pt idx="4">
                  <c:v>134.85</c:v>
                </c:pt>
                <c:pt idx="5">
                  <c:v>178.1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90"/>
  <sheetViews>
    <sheetView topLeftCell="A45" workbookViewId="0">
      <selection activeCell="B53" sqref="B53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18" t="s">
        <v>148</v>
      </c>
    </row>
    <row r="2" spans="1:39" x14ac:dyDescent="0.45">
      <c r="D2" s="1" t="str">
        <f>"~Inputcell: "&amp;_xlfn.TEXTJOIN(",",TRUE,G1:EE1)</f>
        <v>~Inputcell: 1,2,3,4,5,6,7,8,9,10,11,12,13,14,15,21,22,23,24,25</v>
      </c>
      <c r="G2">
        <v>5</v>
      </c>
      <c r="H2">
        <v>6</v>
      </c>
      <c r="I2">
        <v>7</v>
      </c>
      <c r="J2">
        <v>9</v>
      </c>
      <c r="K2">
        <v>10</v>
      </c>
      <c r="L2">
        <v>11</v>
      </c>
      <c r="M2">
        <v>16</v>
      </c>
      <c r="N2">
        <v>17</v>
      </c>
      <c r="O2">
        <v>18</v>
      </c>
      <c r="P2">
        <v>20</v>
      </c>
      <c r="Q2">
        <v>21</v>
      </c>
      <c r="R2">
        <v>22</v>
      </c>
      <c r="S2">
        <v>27</v>
      </c>
      <c r="T2">
        <v>28</v>
      </c>
      <c r="U2">
        <v>29</v>
      </c>
      <c r="V2">
        <v>31</v>
      </c>
      <c r="W2">
        <v>32</v>
      </c>
      <c r="X2">
        <v>33</v>
      </c>
      <c r="Y2">
        <v>38</v>
      </c>
      <c r="Z2">
        <v>39</v>
      </c>
      <c r="AA2">
        <v>40</v>
      </c>
      <c r="AB2">
        <v>42</v>
      </c>
      <c r="AC2">
        <v>43</v>
      </c>
      <c r="AD2">
        <v>44</v>
      </c>
      <c r="AE2">
        <v>49</v>
      </c>
      <c r="AF2">
        <v>50</v>
      </c>
      <c r="AG2">
        <v>51</v>
      </c>
      <c r="AH2">
        <v>53</v>
      </c>
      <c r="AI2">
        <v>54</v>
      </c>
      <c r="AJ2">
        <v>55</v>
      </c>
    </row>
    <row r="3" spans="1:39" x14ac:dyDescent="0.45">
      <c r="D3" s="9">
        <v>3</v>
      </c>
    </row>
    <row r="5" spans="1:39" x14ac:dyDescent="0.45">
      <c r="D5" s="1" t="str">
        <f>VLOOKUP(D3,$C$9:$E$999,2,FALSE)</f>
        <v>ts_annual</v>
      </c>
      <c r="E5" s="1" t="str">
        <f>VLOOKUP(D3,$C$9:$E$999,3,FALSE)</f>
        <v>C3</v>
      </c>
    </row>
    <row r="7" spans="1:39" x14ac:dyDescent="0.45">
      <c r="B7" s="16" t="s">
        <v>118</v>
      </c>
    </row>
    <row r="8" spans="1:39" ht="14.65" thickBot="1" x14ac:dyDescent="0.5">
      <c r="A8" s="4" t="s">
        <v>123</v>
      </c>
      <c r="B8" s="4" t="s">
        <v>119</v>
      </c>
      <c r="C8" s="4" t="s">
        <v>120</v>
      </c>
      <c r="D8" s="4" t="s">
        <v>121</v>
      </c>
      <c r="E8" s="4" t="s">
        <v>122</v>
      </c>
      <c r="AM8" s="2" t="s">
        <v>142</v>
      </c>
    </row>
    <row r="9" spans="1:39" x14ac:dyDescent="0.45">
      <c r="A9">
        <v>5</v>
      </c>
      <c r="B9" t="str">
        <f>VLOOKUP(E9,$AK$9:$AL$15,2,FALSE)&amp;"."&amp;VLOOKUP(D9,$AH$9:$AI$24,2,FALSE)</f>
        <v>e 1.5 deg no OS.kAnn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106</v>
      </c>
      <c r="AI9" t="s">
        <v>139</v>
      </c>
      <c r="AJ9" s="10">
        <v>1</v>
      </c>
      <c r="AK9" t="s">
        <v>0</v>
      </c>
      <c r="AL9" t="s">
        <v>109</v>
      </c>
      <c r="AM9" s="12">
        <v>5</v>
      </c>
    </row>
    <row r="10" spans="1:39" x14ac:dyDescent="0.45">
      <c r="A10">
        <v>5</v>
      </c>
      <c r="B10" t="str">
        <f t="shared" ref="B10:B73" si="0">VLOOKUP(E10,$AK$9:$AL$15,2,FALSE)&amp;"."&amp;VLOOKUP(D10,$AH$9:$AI$24,2,FALSE)</f>
        <v>d 1.5 deg OS.kAnn</v>
      </c>
      <c r="C10">
        <f>C9+1</f>
        <v>2</v>
      </c>
      <c r="D10" t="str">
        <f t="shared" ref="D10:D63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131</v>
      </c>
      <c r="AI10" t="s">
        <v>138</v>
      </c>
      <c r="AJ10" s="10">
        <v>1</v>
      </c>
      <c r="AK10" t="s">
        <v>2</v>
      </c>
      <c r="AL10" t="s">
        <v>111</v>
      </c>
      <c r="AM10" s="12">
        <v>4</v>
      </c>
    </row>
    <row r="11" spans="1:39" x14ac:dyDescent="0.45">
      <c r="A11">
        <v>5</v>
      </c>
      <c r="B11" t="str">
        <f t="shared" si="0"/>
        <v>c 2 deg (67%).kAnn</v>
      </c>
      <c r="C11">
        <f t="shared" ref="C11:C74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124</v>
      </c>
      <c r="AI11" t="s">
        <v>137</v>
      </c>
      <c r="AJ11" s="10">
        <v>1</v>
      </c>
      <c r="AK11" t="s">
        <v>5</v>
      </c>
      <c r="AL11" t="s">
        <v>113</v>
      </c>
      <c r="AM11" s="12">
        <v>3</v>
      </c>
    </row>
    <row r="12" spans="1:39" ht="14.65" customHeight="1" thickBot="1" x14ac:dyDescent="0.5">
      <c r="A12">
        <v>5</v>
      </c>
      <c r="B12" t="str">
        <f t="shared" si="0"/>
        <v>b 2 deg (50%).kAnn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325.04000000000002</v>
      </c>
      <c r="T12" s="2" t="s">
        <v>57</v>
      </c>
      <c r="AG12">
        <v>4</v>
      </c>
      <c r="AH12" t="s">
        <v>125</v>
      </c>
      <c r="AI12" t="s">
        <v>136</v>
      </c>
      <c r="AJ12" s="10">
        <v>1</v>
      </c>
      <c r="AK12" t="s">
        <v>7</v>
      </c>
      <c r="AL12" t="s">
        <v>115</v>
      </c>
      <c r="AM12" s="12">
        <v>3</v>
      </c>
    </row>
    <row r="13" spans="1:39" ht="14.65" customHeight="1" thickTop="1" x14ac:dyDescent="0.45">
      <c r="A13">
        <v>5</v>
      </c>
      <c r="B13" t="str">
        <f t="shared" si="0"/>
        <v>a 3 deg.kAnn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126</v>
      </c>
      <c r="AI13" t="s">
        <v>135</v>
      </c>
      <c r="AJ13" s="10">
        <v>1</v>
      </c>
      <c r="AK13" t="s">
        <v>9</v>
      </c>
      <c r="AL13" t="s">
        <v>116</v>
      </c>
      <c r="AM13" s="12">
        <v>1.5</v>
      </c>
    </row>
    <row r="14" spans="1:39" x14ac:dyDescent="0.45">
      <c r="A14">
        <v>5</v>
      </c>
      <c r="B14" t="str">
        <f t="shared" si="0"/>
        <v>e 1.5 deg no OS.k12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325.04000000000002</v>
      </c>
      <c r="U14" s="8">
        <f t="shared" ref="U14:Z14" si="3">$S$12*J15</f>
        <v>341.29200000000003</v>
      </c>
      <c r="V14" s="8">
        <f t="shared" si="3"/>
        <v>380.29680000000002</v>
      </c>
      <c r="W14" s="8">
        <f t="shared" si="3"/>
        <v>429.05280000000005</v>
      </c>
      <c r="X14" s="8">
        <f t="shared" si="3"/>
        <v>487.56000000000006</v>
      </c>
      <c r="Y14" s="8">
        <f t="shared" si="3"/>
        <v>546.06720000000007</v>
      </c>
      <c r="Z14" s="8">
        <f t="shared" si="3"/>
        <v>588.32240000000002</v>
      </c>
      <c r="AG14">
        <v>6</v>
      </c>
      <c r="AH14" t="s">
        <v>127</v>
      </c>
      <c r="AI14" t="s">
        <v>134</v>
      </c>
      <c r="AJ14" s="10">
        <f>AJ9+1</f>
        <v>2</v>
      </c>
    </row>
    <row r="15" spans="1:39" x14ac:dyDescent="0.45">
      <c r="A15">
        <v>5</v>
      </c>
      <c r="B15" t="str">
        <f t="shared" si="0"/>
        <v>d 1.5 deg OS.k12</v>
      </c>
      <c r="C15">
        <f t="shared" si="2"/>
        <v>7</v>
      </c>
      <c r="D15" t="str">
        <f t="shared" si="1"/>
        <v>ts_12t</v>
      </c>
      <c r="E15" t="str">
        <f t="shared" ref="E15:E79" si="4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1.05</v>
      </c>
      <c r="K15" s="11">
        <f>SUMIFS(ar6_r10!$F$2:$F$999,ar6_r10!$A$2:$A$999,Veda!$E$5,ar6_r10!$C$2:$C$999,Veda!K$17,ar6_r10!$M$2:$M$999,Veda!$G15)</f>
        <v>1.17</v>
      </c>
      <c r="L15" s="11">
        <f>SUMIFS(ar6_r10!$F$2:$F$999,ar6_r10!$A$2:$A$999,Veda!$E$5,ar6_r10!$C$2:$C$999,Veda!L$17,ar6_r10!$M$2:$M$999,Veda!$G15)</f>
        <v>1.32</v>
      </c>
      <c r="M15" s="11">
        <f>SUMIFS(ar6_r10!$F$2:$F$999,ar6_r10!$A$2:$A$999,Veda!$E$5,ar6_r10!$C$2:$C$999,Veda!M$17,ar6_r10!$M$2:$M$999,Veda!$G15)</f>
        <v>1.5</v>
      </c>
      <c r="N15" s="11">
        <f>SUMIFS(ar6_r10!$F$2:$F$999,ar6_r10!$A$2:$A$999,Veda!$E$5,ar6_r10!$C$2:$C$999,Veda!N$17,ar6_r10!$M$2:$M$999,Veda!$G15)</f>
        <v>1.68</v>
      </c>
      <c r="O15" s="11">
        <f>SUMIFS(ar6_r10!$F$2:$F$999,ar6_r10!$A$2:$A$999,Veda!$E$5,ar6_r10!$C$2:$C$999,Veda!O$17,ar6_r10!$M$2:$M$999,Veda!$G15)</f>
        <v>1.81</v>
      </c>
      <c r="AG15">
        <v>7</v>
      </c>
      <c r="AH15" t="s">
        <v>128</v>
      </c>
      <c r="AI15" t="s">
        <v>140</v>
      </c>
      <c r="AJ15" s="10">
        <f t="shared" ref="AJ15:AJ78" si="5">AJ10+1</f>
        <v>2</v>
      </c>
    </row>
    <row r="16" spans="1:39" ht="17.649999999999999" customHeight="1" thickBot="1" x14ac:dyDescent="0.6">
      <c r="A16">
        <v>5</v>
      </c>
      <c r="B16" t="str">
        <f t="shared" si="0"/>
        <v>c 2 deg (67%).k12</v>
      </c>
      <c r="C16">
        <f t="shared" si="2"/>
        <v>8</v>
      </c>
      <c r="D16" t="str">
        <f t="shared" si="1"/>
        <v>ts_12t</v>
      </c>
      <c r="E16" t="str">
        <f t="shared" si="4"/>
        <v>C3</v>
      </c>
      <c r="S16" s="5" t="s">
        <v>12</v>
      </c>
      <c r="AG16">
        <v>8</v>
      </c>
      <c r="AH16" t="s">
        <v>129</v>
      </c>
      <c r="AI16" t="s">
        <v>133</v>
      </c>
      <c r="AJ16" s="10">
        <f t="shared" si="5"/>
        <v>2</v>
      </c>
    </row>
    <row r="17" spans="1:36" ht="15" customHeight="1" thickTop="1" thickBot="1" x14ac:dyDescent="0.5">
      <c r="A17">
        <v>5</v>
      </c>
      <c r="B17" t="str">
        <f t="shared" si="0"/>
        <v>b 2 deg (50%).k12</v>
      </c>
      <c r="C17">
        <f t="shared" si="2"/>
        <v>9</v>
      </c>
      <c r="D17" t="str">
        <f t="shared" si="1"/>
        <v>ts_12t</v>
      </c>
      <c r="E17" t="str">
        <f t="shared" si="4"/>
        <v>C4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130</v>
      </c>
      <c r="AI17" t="s">
        <v>132</v>
      </c>
      <c r="AJ17" s="10">
        <f t="shared" si="5"/>
        <v>2</v>
      </c>
    </row>
    <row r="18" spans="1:36" x14ac:dyDescent="0.45">
      <c r="A18">
        <v>5</v>
      </c>
      <c r="B18" t="str">
        <f t="shared" si="0"/>
        <v>a 3 deg.k12</v>
      </c>
      <c r="C18">
        <f t="shared" si="2"/>
        <v>10</v>
      </c>
      <c r="D18" t="str">
        <f t="shared" si="1"/>
        <v>ts_12t</v>
      </c>
      <c r="E18" t="str">
        <f t="shared" si="4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0.01</v>
      </c>
      <c r="L18" s="11">
        <f>SUMIFS(ar6_r10!$F$2:$F$999,ar6_r10!$A$2:$A$999,Veda!$E$5,ar6_r10!$C$2:$C$999,Veda!L$17,ar6_r10!$M$2:$M$999,Veda!$G18)</f>
        <v>0.01</v>
      </c>
      <c r="M18" s="11">
        <f>SUMIFS(ar6_r10!$F$2:$F$999,ar6_r10!$A$2:$A$999,Veda!$E$5,ar6_r10!$C$2:$C$999,Veda!M$17,ar6_r10!$M$2:$M$999,Veda!$G18)</f>
        <v>0.01</v>
      </c>
      <c r="N18" s="11">
        <f>SUMIFS(ar6_r10!$F$2:$F$999,ar6_r10!$A$2:$A$999,Veda!$E$5,ar6_r10!$C$2:$C$999,Veda!N$17,ar6_r10!$M$2:$M$999,Veda!$G18)</f>
        <v>0.02</v>
      </c>
      <c r="O18" s="11">
        <f>SUMIFS(ar6_r10!$F$2:$F$999,ar6_r10!$A$2:$A$999,Veda!$E$5,ar6_r10!$C$2:$C$999,Veda!O$17,ar6_r10!$M$2:$M$999,Veda!$G18)</f>
        <v>0.03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3.8029680000000003</v>
      </c>
      <c r="W18" s="6">
        <f t="shared" si="7"/>
        <v>4.290528000000001</v>
      </c>
      <c r="X18" s="6">
        <f t="shared" si="7"/>
        <v>4.8756000000000004</v>
      </c>
      <c r="Y18" s="6">
        <f t="shared" si="7"/>
        <v>10.921344000000001</v>
      </c>
      <c r="Z18" s="6">
        <f t="shared" si="7"/>
        <v>17.649671999999999</v>
      </c>
      <c r="AA18" t="s">
        <v>17</v>
      </c>
      <c r="AC18" s="2"/>
      <c r="AG18">
        <v>10</v>
      </c>
      <c r="AH18" t="s">
        <v>101</v>
      </c>
      <c r="AI18" t="s">
        <v>108</v>
      </c>
      <c r="AJ18" s="10">
        <f t="shared" si="5"/>
        <v>2</v>
      </c>
    </row>
    <row r="19" spans="1:36" x14ac:dyDescent="0.45">
      <c r="A19">
        <v>5</v>
      </c>
      <c r="B19" t="str">
        <f t="shared" si="0"/>
        <v>e 1.5 deg no OS.j12</v>
      </c>
      <c r="C19">
        <f t="shared" si="2"/>
        <v>11</v>
      </c>
      <c r="D19" t="str">
        <f t="shared" si="1"/>
        <v>ts_012</v>
      </c>
      <c r="E19" t="str">
        <f t="shared" si="4"/>
        <v>C1</v>
      </c>
      <c r="G19" t="s">
        <v>18</v>
      </c>
      <c r="I19" s="11">
        <f>SUMIFS(ar6_r10!$F$2:$F$999,ar6_r10!$A$2:$A$999,Veda!$E$5,ar6_r10!$C$2:$C$999,Veda!I$17,ar6_r10!$M$2:$M$999,Veda!$G19)</f>
        <v>0.36</v>
      </c>
      <c r="J19" s="11">
        <f>SUMIFS(ar6_r10!$F$2:$F$999,ar6_r10!$A$2:$A$999,Veda!$E$5,ar6_r10!$C$2:$C$999,Veda!J$17,ar6_r10!$M$2:$M$999,Veda!$G19)</f>
        <v>0.32</v>
      </c>
      <c r="K19" s="11">
        <f>SUMIFS(ar6_r10!$F$2:$F$999,ar6_r10!$A$2:$A$999,Veda!$E$5,ar6_r10!$C$2:$C$999,Veda!K$17,ar6_r10!$M$2:$M$999,Veda!$G19)</f>
        <v>0.31</v>
      </c>
      <c r="L19" s="11">
        <f>SUMIFS(ar6_r10!$F$2:$F$999,ar6_r10!$A$2:$A$999,Veda!$E$5,ar6_r10!$C$2:$C$999,Veda!L$17,ar6_r10!$M$2:$M$999,Veda!$G19)</f>
        <v>0.28999999999999998</v>
      </c>
      <c r="M19" s="11">
        <f>SUMIFS(ar6_r10!$F$2:$F$999,ar6_r10!$A$2:$A$999,Veda!$E$5,ar6_r10!$C$2:$C$999,Veda!M$17,ar6_r10!$M$2:$M$999,Veda!$G19)</f>
        <v>0.28999999999999998</v>
      </c>
      <c r="N19" s="11">
        <f>SUMIFS(ar6_r10!$F$2:$F$999,ar6_r10!$A$2:$A$999,Veda!$E$5,ar6_r10!$C$2:$C$999,Veda!N$17,ar6_r10!$M$2:$M$999,Veda!$G19)</f>
        <v>0.28999999999999998</v>
      </c>
      <c r="O19" s="11">
        <f>SUMIFS(ar6_r10!$F$2:$F$999,ar6_r10!$A$2:$A$999,Veda!$E$5,ar6_r10!$C$2:$C$999,Veda!O$17,ar6_r10!$M$2:$M$999,Veda!$G19)</f>
        <v>0.3</v>
      </c>
      <c r="S19" s="10" t="s">
        <v>19</v>
      </c>
      <c r="T19" s="6">
        <f t="shared" si="7"/>
        <v>117.01440000000001</v>
      </c>
      <c r="U19" s="6">
        <f t="shared" si="7"/>
        <v>109.21344000000001</v>
      </c>
      <c r="V19" s="6">
        <f t="shared" si="7"/>
        <v>117.892008</v>
      </c>
      <c r="W19" s="6">
        <f t="shared" si="7"/>
        <v>124.42531200000001</v>
      </c>
      <c r="X19" s="6">
        <f t="shared" si="7"/>
        <v>141.39240000000001</v>
      </c>
      <c r="Y19" s="6">
        <f t="shared" si="7"/>
        <v>158.359488</v>
      </c>
      <c r="Z19" s="6">
        <f t="shared" si="7"/>
        <v>176.49672000000001</v>
      </c>
      <c r="AA19" t="s">
        <v>17</v>
      </c>
      <c r="AG19">
        <v>11</v>
      </c>
      <c r="AH19" t="s">
        <v>102</v>
      </c>
      <c r="AI19" t="s">
        <v>110</v>
      </c>
      <c r="AJ19" s="10">
        <f t="shared" si="5"/>
        <v>3</v>
      </c>
    </row>
    <row r="20" spans="1:36" x14ac:dyDescent="0.45">
      <c r="A20">
        <v>5</v>
      </c>
      <c r="B20" t="str">
        <f t="shared" si="0"/>
        <v>d 1.5 deg OS.j12</v>
      </c>
      <c r="C20">
        <f t="shared" si="2"/>
        <v>12</v>
      </c>
      <c r="D20" t="str">
        <f t="shared" si="1"/>
        <v>ts_012</v>
      </c>
      <c r="E20" t="str">
        <f t="shared" si="4"/>
        <v>C2</v>
      </c>
      <c r="G20" t="s">
        <v>21</v>
      </c>
      <c r="I20" s="11">
        <f>SUMIFS(ar6_r10!$F$2:$F$999,ar6_r10!$A$2:$A$999,Veda!$E$5,ar6_r10!$C$2:$C$999,Veda!I$17,ar6_r10!$M$2:$M$999,Veda!$G20)</f>
        <v>0.6</v>
      </c>
      <c r="J20" s="11">
        <f>SUMIFS(ar6_r10!$F$2:$F$999,ar6_r10!$A$2:$A$999,Veda!$E$5,ar6_r10!$C$2:$C$999,Veda!J$17,ar6_r10!$M$2:$M$999,Veda!$G20)</f>
        <v>0.6</v>
      </c>
      <c r="K20" s="11">
        <f>SUMIFS(ar6_r10!$F$2:$F$999,ar6_r10!$A$2:$A$999,Veda!$E$5,ar6_r10!$C$2:$C$999,Veda!K$17,ar6_r10!$M$2:$M$999,Veda!$G20)</f>
        <v>0.6</v>
      </c>
      <c r="L20" s="11">
        <f>SUMIFS(ar6_r10!$F$2:$F$999,ar6_r10!$A$2:$A$999,Veda!$E$5,ar6_r10!$C$2:$C$999,Veda!L$17,ar6_r10!$M$2:$M$999,Veda!$G20)</f>
        <v>0.56999999999999995</v>
      </c>
      <c r="M20" s="11">
        <f>SUMIFS(ar6_r10!$F$2:$F$999,ar6_r10!$A$2:$A$999,Veda!$E$5,ar6_r10!$C$2:$C$999,Veda!M$17,ar6_r10!$M$2:$M$999,Veda!$G20)</f>
        <v>0.54</v>
      </c>
      <c r="N20" s="11">
        <f>SUMIFS(ar6_r10!$F$2:$F$999,ar6_r10!$A$2:$A$999,Veda!$E$5,ar6_r10!$C$2:$C$999,Veda!N$17,ar6_r10!$M$2:$M$999,Veda!$G20)</f>
        <v>0.52</v>
      </c>
      <c r="O20" s="11">
        <f>SUMIFS(ar6_r10!$F$2:$F$999,ar6_r10!$A$2:$A$999,Veda!$E$5,ar6_r10!$C$2:$C$999,Veda!O$17,ar6_r10!$M$2:$M$999,Veda!$G20)</f>
        <v>0.53</v>
      </c>
      <c r="S20" s="10" t="s">
        <v>22</v>
      </c>
      <c r="T20" s="6">
        <f t="shared" si="7"/>
        <v>195.024</v>
      </c>
      <c r="U20" s="6">
        <f t="shared" si="7"/>
        <v>204.77520000000001</v>
      </c>
      <c r="V20" s="6">
        <f t="shared" si="7"/>
        <v>228.17807999999999</v>
      </c>
      <c r="W20" s="6">
        <f t="shared" si="7"/>
        <v>244.56009600000002</v>
      </c>
      <c r="X20" s="6">
        <f t="shared" si="7"/>
        <v>263.28240000000005</v>
      </c>
      <c r="Y20" s="6">
        <f t="shared" si="7"/>
        <v>283.95494400000007</v>
      </c>
      <c r="Z20" s="6">
        <f t="shared" si="7"/>
        <v>311.81087200000002</v>
      </c>
      <c r="AA20" t="s">
        <v>17</v>
      </c>
      <c r="AG20">
        <v>12</v>
      </c>
      <c r="AH20" t="s">
        <v>105</v>
      </c>
      <c r="AI20" t="s">
        <v>117</v>
      </c>
      <c r="AJ20" s="10">
        <f t="shared" si="5"/>
        <v>3</v>
      </c>
    </row>
    <row r="21" spans="1:36" x14ac:dyDescent="0.45">
      <c r="A21">
        <v>5</v>
      </c>
      <c r="B21" t="str">
        <f t="shared" si="0"/>
        <v>c 2 deg (67%).j12</v>
      </c>
      <c r="C21">
        <f t="shared" si="2"/>
        <v>13</v>
      </c>
      <c r="D21" t="str">
        <f t="shared" si="1"/>
        <v>ts_012</v>
      </c>
      <c r="E21" t="str">
        <f t="shared" si="4"/>
        <v>C3</v>
      </c>
      <c r="G21" t="s">
        <v>23</v>
      </c>
      <c r="I21" s="11">
        <f>SUMIFS(ar6_r10!$F$2:$F$999,ar6_r10!$A$2:$A$999,Veda!$E$5,ar6_r10!$C$2:$C$999,Veda!I$17,ar6_r10!$M$2:$M$999,Veda!$G21)</f>
        <v>0.03</v>
      </c>
      <c r="J21" s="11">
        <f>SUMIFS(ar6_r10!$F$2:$F$999,ar6_r10!$A$2:$A$999,Veda!$E$5,ar6_r10!$C$2:$C$999,Veda!J$17,ar6_r10!$M$2:$M$999,Veda!$G21)</f>
        <v>0.06</v>
      </c>
      <c r="K21" s="11">
        <f>SUMIFS(ar6_r10!$F$2:$F$999,ar6_r10!$A$2:$A$999,Veda!$E$5,ar6_r10!$C$2:$C$999,Veda!K$17,ar6_r10!$M$2:$M$999,Veda!$G21)</f>
        <v>0.08</v>
      </c>
      <c r="L21" s="11">
        <f>SUMIFS(ar6_r10!$F$2:$F$999,ar6_r10!$A$2:$A$999,Veda!$E$5,ar6_r10!$C$2:$C$999,Veda!L$17,ar6_r10!$M$2:$M$999,Veda!$G21)</f>
        <v>0.11</v>
      </c>
      <c r="M21" s="11">
        <f>SUMIFS(ar6_r10!$F$2:$F$999,ar6_r10!$A$2:$A$999,Veda!$E$5,ar6_r10!$C$2:$C$999,Veda!M$17,ar6_r10!$M$2:$M$999,Veda!$G21)</f>
        <v>0.12</v>
      </c>
      <c r="N21" s="11">
        <f>SUMIFS(ar6_r10!$F$2:$F$999,ar6_r10!$A$2:$A$999,Veda!$E$5,ar6_r10!$C$2:$C$999,Veda!N$17,ar6_r10!$M$2:$M$999,Veda!$G21)</f>
        <v>0.18</v>
      </c>
      <c r="O21" s="11">
        <f>SUMIFS(ar6_r10!$F$2:$F$999,ar6_r10!$A$2:$A$999,Veda!$E$5,ar6_r10!$C$2:$C$999,Veda!O$17,ar6_r10!$M$2:$M$999,Veda!$G21)</f>
        <v>0.19</v>
      </c>
      <c r="S21" s="10" t="s">
        <v>24</v>
      </c>
      <c r="T21" s="6">
        <f>I21*T$14</f>
        <v>9.7512000000000008</v>
      </c>
      <c r="U21" s="6">
        <f t="shared" ref="U21:Z21" si="8">T21</f>
        <v>9.7512000000000008</v>
      </c>
      <c r="V21" s="6">
        <f t="shared" si="8"/>
        <v>9.7512000000000008</v>
      </c>
      <c r="W21" s="6">
        <f t="shared" si="8"/>
        <v>9.7512000000000008</v>
      </c>
      <c r="X21" s="6">
        <f t="shared" si="8"/>
        <v>9.7512000000000008</v>
      </c>
      <c r="Y21" s="6">
        <f t="shared" si="8"/>
        <v>9.7512000000000008</v>
      </c>
      <c r="Z21" s="6">
        <f t="shared" si="8"/>
        <v>9.7512000000000008</v>
      </c>
      <c r="AA21" t="s">
        <v>17</v>
      </c>
      <c r="AC21" s="2" t="s">
        <v>20</v>
      </c>
      <c r="AG21">
        <v>13</v>
      </c>
      <c r="AH21" t="s">
        <v>103</v>
      </c>
      <c r="AI21" t="s">
        <v>112</v>
      </c>
      <c r="AJ21" s="10">
        <f t="shared" si="5"/>
        <v>3</v>
      </c>
    </row>
    <row r="22" spans="1:36" x14ac:dyDescent="0.45">
      <c r="A22">
        <v>5</v>
      </c>
      <c r="B22" t="str">
        <f t="shared" si="0"/>
        <v>b 2 deg (50%).j12</v>
      </c>
      <c r="C22">
        <f t="shared" si="2"/>
        <v>14</v>
      </c>
      <c r="D22" t="str">
        <f t="shared" si="1"/>
        <v>ts_012</v>
      </c>
      <c r="E22" t="str">
        <f t="shared" si="4"/>
        <v>C4</v>
      </c>
      <c r="S22" s="10" t="s">
        <v>25</v>
      </c>
      <c r="T22" s="6">
        <f t="shared" ref="T22:Z22" si="9">T14-SUM(T19:T21)</f>
        <v>3.2504000000000133</v>
      </c>
      <c r="U22" s="6">
        <f t="shared" si="9"/>
        <v>17.552160000000015</v>
      </c>
      <c r="V22" s="6">
        <f t="shared" si="9"/>
        <v>24.475512000000037</v>
      </c>
      <c r="W22" s="6">
        <f t="shared" si="9"/>
        <v>50.316192000000058</v>
      </c>
      <c r="X22" s="6">
        <f t="shared" si="9"/>
        <v>73.134000000000015</v>
      </c>
      <c r="Y22" s="6">
        <f t="shared" si="9"/>
        <v>94.00156800000002</v>
      </c>
      <c r="Z22" s="6">
        <f t="shared" si="9"/>
        <v>90.263608000000033</v>
      </c>
      <c r="AA22" t="s">
        <v>17</v>
      </c>
      <c r="AG22">
        <v>14</v>
      </c>
      <c r="AH22" t="s">
        <v>104</v>
      </c>
      <c r="AI22" t="s">
        <v>114</v>
      </c>
      <c r="AJ22" s="10">
        <f t="shared" si="5"/>
        <v>3</v>
      </c>
    </row>
    <row r="23" spans="1:36" x14ac:dyDescent="0.45">
      <c r="A23">
        <v>5</v>
      </c>
      <c r="B23" t="str">
        <f t="shared" si="0"/>
        <v>a 3 deg.j12</v>
      </c>
      <c r="C23">
        <f t="shared" si="2"/>
        <v>15</v>
      </c>
      <c r="D23" t="str">
        <f t="shared" si="1"/>
        <v>ts_012</v>
      </c>
      <c r="E23" t="str">
        <f t="shared" si="4"/>
        <v>C7</v>
      </c>
      <c r="S23" t="s">
        <v>26</v>
      </c>
      <c r="AG23">
        <v>15</v>
      </c>
      <c r="AH23" t="s">
        <v>143</v>
      </c>
      <c r="AI23" t="s">
        <v>144</v>
      </c>
      <c r="AJ23" s="10">
        <f t="shared" si="5"/>
        <v>3</v>
      </c>
    </row>
    <row r="24" spans="1:36" ht="14.65" customHeight="1" x14ac:dyDescent="0.45">
      <c r="A24">
        <v>5</v>
      </c>
      <c r="B24" t="str">
        <f t="shared" si="0"/>
        <v>e 1.5 deg no OS.i24</v>
      </c>
      <c r="C24">
        <f t="shared" si="2"/>
        <v>16</v>
      </c>
      <c r="D24" t="str">
        <f t="shared" si="1"/>
        <v>ts_024</v>
      </c>
      <c r="E24" t="str">
        <f t="shared" si="4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71.48</v>
      </c>
      <c r="L24" s="8">
        <f>SUMIFS(ar6_r10!$F$2:$F$999,ar6_r10!$A$2:$A$999,Veda!$E$5,ar6_r10!$C$2:$C$999,Veda!L$17,ar6_r10!$M$2:$M$999,Veda!$G24)</f>
        <v>104.42</v>
      </c>
      <c r="M24" s="8">
        <f>SUMIFS(ar6_r10!$F$2:$F$999,ar6_r10!$A$2:$A$999,Veda!$E$5,ar6_r10!$C$2:$C$999,Veda!M$17,ar6_r10!$M$2:$M$999,Veda!$G24)</f>
        <v>134.85</v>
      </c>
      <c r="N24" s="8">
        <f>SUMIFS(ar6_r10!$F$2:$F$999,ar6_r10!$A$2:$A$999,Veda!$E$5,ar6_r10!$C$2:$C$999,Veda!N$17,ar6_r10!$M$2:$M$999,Veda!$G24)</f>
        <v>178.1</v>
      </c>
      <c r="O24" s="8">
        <f>SUMIFS(ar6_r10!$F$2:$F$999,ar6_r10!$A$2:$A$999,Veda!$E$5,ar6_r10!$C$2:$C$999,Veda!O$17,ar6_r10!$M$2:$M$999,Veda!$G24)</f>
        <v>209.45</v>
      </c>
      <c r="S24" t="s">
        <v>28</v>
      </c>
      <c r="U24">
        <v>0</v>
      </c>
      <c r="V24" s="11">
        <f>K24/1000</f>
        <v>7.1480000000000002E-2</v>
      </c>
      <c r="W24" s="11">
        <f>L24/1000</f>
        <v>0.10442</v>
      </c>
      <c r="X24" s="11">
        <f>M24/1000</f>
        <v>0.13485</v>
      </c>
      <c r="Y24" s="11">
        <f>N24/1000</f>
        <v>0.17809999999999998</v>
      </c>
      <c r="Z24" s="11">
        <f>O24/1000</f>
        <v>0.20945</v>
      </c>
      <c r="AA24" t="s">
        <v>29</v>
      </c>
      <c r="AJ24" s="10">
        <f t="shared" si="5"/>
        <v>4</v>
      </c>
    </row>
    <row r="25" spans="1:36" ht="14.65" customHeight="1" x14ac:dyDescent="0.45">
      <c r="A25">
        <v>5</v>
      </c>
      <c r="B25" t="str">
        <f t="shared" si="0"/>
        <v>d 1.5 deg OS.i24</v>
      </c>
      <c r="C25">
        <f t="shared" si="2"/>
        <v>17</v>
      </c>
      <c r="D25" t="str">
        <f t="shared" si="1"/>
        <v>ts_024</v>
      </c>
      <c r="E25" t="str">
        <f t="shared" si="4"/>
        <v>C2</v>
      </c>
      <c r="AJ25" s="10">
        <f t="shared" si="5"/>
        <v>4</v>
      </c>
    </row>
    <row r="26" spans="1:36" ht="17.649999999999999" customHeight="1" thickBot="1" x14ac:dyDescent="0.6">
      <c r="A26">
        <v>5</v>
      </c>
      <c r="B26" t="str">
        <f t="shared" si="0"/>
        <v>c 2 deg (67%).i24</v>
      </c>
      <c r="C26">
        <f t="shared" si="2"/>
        <v>18</v>
      </c>
      <c r="D26" t="str">
        <f t="shared" si="1"/>
        <v>ts_024</v>
      </c>
      <c r="E26" t="str">
        <f t="shared" si="4"/>
        <v>C3</v>
      </c>
      <c r="S26" s="5" t="s">
        <v>12</v>
      </c>
      <c r="AJ26" s="10">
        <f t="shared" si="5"/>
        <v>4</v>
      </c>
    </row>
    <row r="27" spans="1:36" ht="15" customHeight="1" thickTop="1" thickBot="1" x14ac:dyDescent="0.5">
      <c r="A27">
        <v>5</v>
      </c>
      <c r="B27" t="str">
        <f t="shared" si="0"/>
        <v>b 2 deg (50%).i24</v>
      </c>
      <c r="C27">
        <f t="shared" si="2"/>
        <v>19</v>
      </c>
      <c r="D27" t="str">
        <f t="shared" si="1"/>
        <v>ts_024</v>
      </c>
      <c r="E27" t="str">
        <f t="shared" si="4"/>
        <v>C4</v>
      </c>
      <c r="S27" s="4" t="s">
        <v>30</v>
      </c>
      <c r="T27" s="4">
        <f t="shared" ref="T27:Z27" si="10">T17</f>
        <v>2022</v>
      </c>
      <c r="U27" s="4">
        <f t="shared" si="10"/>
        <v>2025</v>
      </c>
      <c r="V27" s="4">
        <f t="shared" si="10"/>
        <v>2030</v>
      </c>
      <c r="W27" s="4">
        <f t="shared" si="10"/>
        <v>2035</v>
      </c>
      <c r="X27" s="4">
        <f t="shared" si="10"/>
        <v>2040</v>
      </c>
      <c r="Y27" s="4">
        <f t="shared" si="10"/>
        <v>2045</v>
      </c>
      <c r="Z27" s="4">
        <f t="shared" si="10"/>
        <v>2050</v>
      </c>
      <c r="AA27" s="4" t="s">
        <v>14</v>
      </c>
      <c r="AB27" s="4" t="s">
        <v>31</v>
      </c>
      <c r="AJ27" s="10">
        <f t="shared" si="5"/>
        <v>4</v>
      </c>
    </row>
    <row r="28" spans="1:36" ht="14.65" customHeight="1" thickBot="1" x14ac:dyDescent="0.5">
      <c r="A28">
        <v>5</v>
      </c>
      <c r="B28" t="str">
        <f t="shared" si="0"/>
        <v>a 3 deg.i24</v>
      </c>
      <c r="C28">
        <f t="shared" si="2"/>
        <v>20</v>
      </c>
      <c r="D28" t="str">
        <f t="shared" si="1"/>
        <v>ts_024</v>
      </c>
      <c r="E28" t="str">
        <f t="shared" si="4"/>
        <v>C7</v>
      </c>
      <c r="Q28" s="3">
        <f>SUMIFS(iea_data!G3:G9999,iea_data!$B$3:$B$9999,Veda!$S$11)</f>
        <v>47.39</v>
      </c>
      <c r="S28" t="s">
        <v>32</v>
      </c>
      <c r="T28" s="3">
        <f>Q28</f>
        <v>47.39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5"/>
        <v>4</v>
      </c>
    </row>
    <row r="29" spans="1:36" ht="15" customHeight="1" thickTop="1" thickBot="1" x14ac:dyDescent="0.5">
      <c r="A29">
        <v>5</v>
      </c>
      <c r="B29" t="str">
        <f t="shared" si="0"/>
        <v>e 1.5 deg no OS.h48</v>
      </c>
      <c r="C29">
        <f t="shared" si="2"/>
        <v>21</v>
      </c>
      <c r="D29" t="str">
        <f t="shared" si="1"/>
        <v>ts_048</v>
      </c>
      <c r="E29" t="str">
        <f t="shared" si="4"/>
        <v>C1</v>
      </c>
      <c r="Q29" s="3">
        <f>SUMIFS(iea_data!H3:H9999,iea_data!$B$3:$B$9999,Veda!$S$11)</f>
        <v>-4.4000000000000004</v>
      </c>
      <c r="S29" t="s">
        <v>35</v>
      </c>
      <c r="T29" s="3">
        <f>-1*Q29</f>
        <v>4.4000000000000004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5"/>
        <v>5</v>
      </c>
    </row>
    <row r="30" spans="1:36" ht="14.65" customHeight="1" thickTop="1" x14ac:dyDescent="0.45">
      <c r="A30">
        <v>5</v>
      </c>
      <c r="B30" t="str">
        <f t="shared" si="0"/>
        <v>d 1.5 deg OS.h48</v>
      </c>
      <c r="C30">
        <f t="shared" si="2"/>
        <v>22</v>
      </c>
      <c r="D30" t="str">
        <f t="shared" si="1"/>
        <v>ts_048</v>
      </c>
      <c r="E30" t="str">
        <f t="shared" si="4"/>
        <v>C2</v>
      </c>
      <c r="AJ30" s="10">
        <f t="shared" si="5"/>
        <v>5</v>
      </c>
    </row>
    <row r="31" spans="1:36" x14ac:dyDescent="0.45">
      <c r="A31">
        <v>5</v>
      </c>
      <c r="B31" t="str">
        <f t="shared" si="0"/>
        <v>c 2 deg (67%).h48</v>
      </c>
      <c r="C31">
        <f t="shared" si="2"/>
        <v>23</v>
      </c>
      <c r="D31" t="str">
        <f t="shared" si="1"/>
        <v>ts_048</v>
      </c>
      <c r="E31" t="str">
        <f t="shared" si="4"/>
        <v>C3</v>
      </c>
      <c r="AJ31" s="10">
        <f t="shared" si="5"/>
        <v>5</v>
      </c>
    </row>
    <row r="32" spans="1:36" x14ac:dyDescent="0.45">
      <c r="A32">
        <v>5</v>
      </c>
      <c r="B32" t="str">
        <f t="shared" si="0"/>
        <v>b 2 deg (50%).h48</v>
      </c>
      <c r="C32">
        <f t="shared" si="2"/>
        <v>24</v>
      </c>
      <c r="D32" t="str">
        <f t="shared" si="1"/>
        <v>ts_048</v>
      </c>
      <c r="E32" t="str">
        <f t="shared" si="4"/>
        <v>C4</v>
      </c>
      <c r="AJ32" s="10">
        <f t="shared" si="5"/>
        <v>5</v>
      </c>
    </row>
    <row r="33" spans="1:36" x14ac:dyDescent="0.45">
      <c r="A33">
        <v>5</v>
      </c>
      <c r="B33" t="str">
        <f t="shared" si="0"/>
        <v>a 3 deg.h48</v>
      </c>
      <c r="C33">
        <f t="shared" si="2"/>
        <v>25</v>
      </c>
      <c r="D33" t="str">
        <f t="shared" si="1"/>
        <v>ts_048</v>
      </c>
      <c r="E33" t="str">
        <f t="shared" si="4"/>
        <v>C7</v>
      </c>
      <c r="AJ33" s="10">
        <f t="shared" si="5"/>
        <v>5</v>
      </c>
    </row>
    <row r="34" spans="1:36" x14ac:dyDescent="0.45">
      <c r="A34">
        <v>5</v>
      </c>
      <c r="B34" t="str">
        <f t="shared" si="0"/>
        <v>e 1.5 deg no OS.g64</v>
      </c>
      <c r="C34">
        <f t="shared" si="2"/>
        <v>26</v>
      </c>
      <c r="D34" t="str">
        <f t="shared" si="1"/>
        <v>ts_064</v>
      </c>
      <c r="E34" t="str">
        <f t="shared" si="4"/>
        <v>C1</v>
      </c>
      <c r="AJ34" s="10">
        <f t="shared" si="5"/>
        <v>6</v>
      </c>
    </row>
    <row r="35" spans="1:36" x14ac:dyDescent="0.45">
      <c r="A35">
        <v>5</v>
      </c>
      <c r="B35" t="str">
        <f t="shared" si="0"/>
        <v>d 1.5 deg OS.g64</v>
      </c>
      <c r="C35">
        <f t="shared" si="2"/>
        <v>27</v>
      </c>
      <c r="D35" t="str">
        <f t="shared" si="1"/>
        <v>ts_064</v>
      </c>
      <c r="E35" t="str">
        <f t="shared" si="4"/>
        <v>C2</v>
      </c>
      <c r="AJ35" s="10">
        <f t="shared" si="5"/>
        <v>6</v>
      </c>
    </row>
    <row r="36" spans="1:36" x14ac:dyDescent="0.45">
      <c r="A36">
        <v>5</v>
      </c>
      <c r="B36" t="str">
        <f t="shared" si="0"/>
        <v>c 2 deg (67%).g64</v>
      </c>
      <c r="C36">
        <f t="shared" si="2"/>
        <v>28</v>
      </c>
      <c r="D36" t="str">
        <f t="shared" si="1"/>
        <v>ts_064</v>
      </c>
      <c r="E36" t="str">
        <f t="shared" si="4"/>
        <v>C3</v>
      </c>
      <c r="G36" s="2" t="s">
        <v>9</v>
      </c>
      <c r="AJ36" s="10">
        <f t="shared" si="5"/>
        <v>6</v>
      </c>
    </row>
    <row r="37" spans="1:36" x14ac:dyDescent="0.45">
      <c r="A37">
        <v>5</v>
      </c>
      <c r="B37" t="str">
        <f t="shared" si="0"/>
        <v>b 2 deg (50%).g64</v>
      </c>
      <c r="C37">
        <f t="shared" si="2"/>
        <v>29</v>
      </c>
      <c r="D37" t="str">
        <f t="shared" si="1"/>
        <v>ts_064</v>
      </c>
      <c r="E37" t="str">
        <f t="shared" si="4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1.07</v>
      </c>
      <c r="K37" s="11">
        <f>SUMIFS(ar6_r10!$F$2:$F$999,ar6_r10!$A$2:$A$999,Veda!$G$36,ar6_r10!$C$2:$C$999,Veda!K$17,ar6_r10!$M$2:$M$999,Veda!$G37)</f>
        <v>1.24</v>
      </c>
      <c r="L37" s="11">
        <f>SUMIFS(ar6_r10!$F$2:$F$999,ar6_r10!$A$2:$A$999,Veda!$G$36,ar6_r10!$C$2:$C$999,Veda!L$17,ar6_r10!$M$2:$M$999,Veda!$G37)</f>
        <v>1.1499999999999999</v>
      </c>
      <c r="M37" s="11">
        <f>SUMIFS(ar6_r10!$F$2:$F$999,ar6_r10!$A$2:$A$999,Veda!$G$36,ar6_r10!$C$2:$C$999,Veda!M$17,ar6_r10!$M$2:$M$999,Veda!$G37)</f>
        <v>1.25</v>
      </c>
      <c r="N37" s="11">
        <f>SUMIFS(ar6_r10!$F$2:$F$999,ar6_r10!$A$2:$A$999,Veda!$G$36,ar6_r10!$C$2:$C$999,Veda!N$17,ar6_r10!$M$2:$M$999,Veda!$G37)</f>
        <v>1.17</v>
      </c>
      <c r="O37" s="11">
        <f>SUMIFS(ar6_r10!$F$2:$F$999,ar6_r10!$A$2:$A$999,Veda!$G$36,ar6_r10!$C$2:$C$999,Veda!O$17,ar6_r10!$M$2:$M$999,Veda!$G37)</f>
        <v>1.34</v>
      </c>
      <c r="AJ37" s="10">
        <f t="shared" si="5"/>
        <v>6</v>
      </c>
    </row>
    <row r="38" spans="1:36" x14ac:dyDescent="0.45">
      <c r="A38">
        <v>5</v>
      </c>
      <c r="B38" t="str">
        <f t="shared" si="0"/>
        <v>a 3 deg.g64</v>
      </c>
      <c r="C38">
        <f t="shared" si="2"/>
        <v>30</v>
      </c>
      <c r="D38" t="str">
        <f t="shared" si="1"/>
        <v>ts_064</v>
      </c>
      <c r="E38" t="str">
        <f t="shared" si="4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1.02</v>
      </c>
      <c r="K38" s="11">
        <f>SUMIFS(ar6_r10!$F$2:$F$999,ar6_r10!$A$2:$A$999,Veda!$G$36,ar6_r10!$C$2:$C$999,Veda!K$17,ar6_r10!$M$2:$M$999,Veda!$G38)</f>
        <v>1.06</v>
      </c>
      <c r="L38" s="11">
        <f>SUMIFS(ar6_r10!$F$2:$F$999,ar6_r10!$A$2:$A$999,Veda!$G$36,ar6_r10!$C$2:$C$999,Veda!L$17,ar6_r10!$M$2:$M$999,Veda!$G38)</f>
        <v>1.07</v>
      </c>
      <c r="M38" s="11">
        <f>SUMIFS(ar6_r10!$F$2:$F$999,ar6_r10!$A$2:$A$999,Veda!$G$36,ar6_r10!$C$2:$C$999,Veda!M$17,ar6_r10!$M$2:$M$999,Veda!$G38)</f>
        <v>1.08</v>
      </c>
      <c r="N38" s="11">
        <f>SUMIFS(ar6_r10!$F$2:$F$999,ar6_r10!$A$2:$A$999,Veda!$G$36,ar6_r10!$C$2:$C$999,Veda!N$17,ar6_r10!$M$2:$M$999,Veda!$G38)</f>
        <v>1.1000000000000001</v>
      </c>
      <c r="O38" s="11">
        <f>SUMIFS(ar6_r10!$F$2:$F$999,ar6_r10!$A$2:$A$999,Veda!$G$36,ar6_r10!$C$2:$C$999,Veda!O$17,ar6_r10!$M$2:$M$999,Veda!$G38)</f>
        <v>1.1200000000000001</v>
      </c>
      <c r="AJ38" s="10">
        <f t="shared" si="5"/>
        <v>6</v>
      </c>
    </row>
    <row r="39" spans="1:36" x14ac:dyDescent="0.45">
      <c r="A39">
        <v>5</v>
      </c>
      <c r="B39" t="str">
        <f t="shared" si="0"/>
        <v>e 1.5 deg no OS.f96p50</v>
      </c>
      <c r="C39">
        <f t="shared" si="2"/>
        <v>31</v>
      </c>
      <c r="D39" t="str">
        <f t="shared" si="1"/>
        <v>ts_096P50</v>
      </c>
      <c r="E39" t="str">
        <f t="shared" si="4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1.01</v>
      </c>
      <c r="K39" s="11">
        <f>SUMIFS(ar6_r10!$F$2:$F$999,ar6_r10!$A$2:$A$999,Veda!$G$36,ar6_r10!$C$2:$C$999,Veda!K$17,ar6_r10!$M$2:$M$999,Veda!$G39)</f>
        <v>1.1100000000000001</v>
      </c>
      <c r="L39" s="11">
        <f>SUMIFS(ar6_r10!$F$2:$F$999,ar6_r10!$A$2:$A$999,Veda!$G$36,ar6_r10!$C$2:$C$999,Veda!L$17,ar6_r10!$M$2:$M$999,Veda!$G39)</f>
        <v>1.01</v>
      </c>
      <c r="M39" s="11">
        <f>SUMIFS(ar6_r10!$F$2:$F$999,ar6_r10!$A$2:$A$999,Veda!$G$36,ar6_r10!$C$2:$C$999,Veda!M$17,ar6_r10!$M$2:$M$999,Veda!$G39)</f>
        <v>1.01</v>
      </c>
      <c r="N39" s="11">
        <f>SUMIFS(ar6_r10!$F$2:$F$999,ar6_r10!$A$2:$A$999,Veda!$G$36,ar6_r10!$C$2:$C$999,Veda!N$17,ar6_r10!$M$2:$M$999,Veda!$G39)</f>
        <v>1.04</v>
      </c>
      <c r="O39" s="11">
        <f>SUMIFS(ar6_r10!$F$2:$F$999,ar6_r10!$A$2:$A$999,Veda!$G$36,ar6_r10!$C$2:$C$999,Veda!O$17,ar6_r10!$M$2:$M$999,Veda!$G39)</f>
        <v>1.1399999999999999</v>
      </c>
      <c r="AJ39" s="10">
        <f t="shared" si="5"/>
        <v>7</v>
      </c>
    </row>
    <row r="40" spans="1:36" x14ac:dyDescent="0.45">
      <c r="A40">
        <v>5</v>
      </c>
      <c r="B40" t="str">
        <f t="shared" si="0"/>
        <v>d 1.5 deg OS.f96p50</v>
      </c>
      <c r="C40">
        <f t="shared" si="2"/>
        <v>32</v>
      </c>
      <c r="D40" t="str">
        <f t="shared" si="1"/>
        <v>ts_096P50</v>
      </c>
      <c r="E40" t="str">
        <f t="shared" si="4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0.96</v>
      </c>
      <c r="K40" s="11">
        <f>SUMIFS(ar6_r10!$F$2:$F$999,ar6_r10!$A$2:$A$999,Veda!$G$36,ar6_r10!$C$2:$C$999,Veda!K$17,ar6_r10!$M$2:$M$999,Veda!$G40)</f>
        <v>1.04</v>
      </c>
      <c r="L40" s="11">
        <f>SUMIFS(ar6_r10!$F$2:$F$999,ar6_r10!$A$2:$A$999,Veda!$G$36,ar6_r10!$C$2:$C$999,Veda!L$17,ar6_r10!$M$2:$M$999,Veda!$G40)</f>
        <v>1.04</v>
      </c>
      <c r="M40" s="11">
        <f>SUMIFS(ar6_r10!$F$2:$F$999,ar6_r10!$A$2:$A$999,Veda!$G$36,ar6_r10!$C$2:$C$999,Veda!M$17,ar6_r10!$M$2:$M$999,Veda!$G40)</f>
        <v>0.98</v>
      </c>
      <c r="N40" s="11">
        <f>SUMIFS(ar6_r10!$F$2:$F$999,ar6_r10!$A$2:$A$999,Veda!$G$36,ar6_r10!$C$2:$C$999,Veda!N$17,ar6_r10!$M$2:$M$999,Veda!$G40)</f>
        <v>0.99</v>
      </c>
      <c r="O40" s="11">
        <f>SUMIFS(ar6_r10!$F$2:$F$999,ar6_r10!$A$2:$A$999,Veda!$G$36,ar6_r10!$C$2:$C$999,Veda!O$17,ar6_r10!$M$2:$M$999,Veda!$G40)</f>
        <v>1</v>
      </c>
      <c r="AJ40" s="10">
        <f t="shared" si="5"/>
        <v>7</v>
      </c>
    </row>
    <row r="41" spans="1:36" x14ac:dyDescent="0.45">
      <c r="A41">
        <v>5</v>
      </c>
      <c r="B41" t="str">
        <f t="shared" si="0"/>
        <v>c 2 deg (67%).f96p50</v>
      </c>
      <c r="C41">
        <f t="shared" si="2"/>
        <v>33</v>
      </c>
      <c r="D41" t="str">
        <f t="shared" si="1"/>
        <v>ts_096P50</v>
      </c>
      <c r="E41" t="str">
        <f t="shared" si="4"/>
        <v>C3</v>
      </c>
      <c r="AJ41" s="10">
        <f t="shared" si="5"/>
        <v>7</v>
      </c>
    </row>
    <row r="42" spans="1:36" x14ac:dyDescent="0.45">
      <c r="A42">
        <v>5</v>
      </c>
      <c r="B42" t="str">
        <f t="shared" si="0"/>
        <v>b 2 deg (50%).f96p50</v>
      </c>
      <c r="C42">
        <f t="shared" si="2"/>
        <v>34</v>
      </c>
      <c r="D42" t="str">
        <f t="shared" si="1"/>
        <v>ts_096P50</v>
      </c>
      <c r="E42" t="str">
        <f t="shared" si="4"/>
        <v>C4</v>
      </c>
      <c r="AJ42" s="10">
        <f t="shared" si="5"/>
        <v>7</v>
      </c>
    </row>
    <row r="43" spans="1:36" x14ac:dyDescent="0.45">
      <c r="A43">
        <v>5</v>
      </c>
      <c r="B43" t="str">
        <f t="shared" si="0"/>
        <v>a 3 deg.f96p50</v>
      </c>
      <c r="C43">
        <f t="shared" si="2"/>
        <v>35</v>
      </c>
      <c r="D43" t="str">
        <f t="shared" si="1"/>
        <v>ts_096P50</v>
      </c>
      <c r="E43" t="str">
        <f t="shared" si="4"/>
        <v>C7</v>
      </c>
      <c r="G43" t="s">
        <v>141</v>
      </c>
      <c r="AJ43" s="10">
        <f t="shared" si="5"/>
        <v>7</v>
      </c>
    </row>
    <row r="44" spans="1:36" x14ac:dyDescent="0.45">
      <c r="A44">
        <v>5</v>
      </c>
      <c r="B44" t="str">
        <f t="shared" si="0"/>
        <v>e 1.5 deg no OS.f96p10</v>
      </c>
      <c r="C44">
        <f t="shared" si="2"/>
        <v>36</v>
      </c>
      <c r="D44" t="str">
        <f t="shared" si="1"/>
        <v>ts_096P10</v>
      </c>
      <c r="E44" t="str">
        <f t="shared" si="4"/>
        <v>C1</v>
      </c>
      <c r="G44" t="s">
        <v>13</v>
      </c>
      <c r="H44" t="s">
        <v>107</v>
      </c>
      <c r="I44">
        <v>2022</v>
      </c>
      <c r="J44">
        <f>J17</f>
        <v>2025</v>
      </c>
      <c r="K44">
        <f t="shared" ref="K44:O44" si="11">K17</f>
        <v>2030</v>
      </c>
      <c r="L44">
        <f t="shared" si="11"/>
        <v>2035</v>
      </c>
      <c r="M44">
        <f t="shared" si="11"/>
        <v>2040</v>
      </c>
      <c r="N44">
        <f t="shared" si="11"/>
        <v>2045</v>
      </c>
      <c r="O44">
        <f t="shared" si="11"/>
        <v>2050</v>
      </c>
      <c r="R44" t="s">
        <v>82</v>
      </c>
      <c r="S44" t="s">
        <v>83</v>
      </c>
      <c r="AJ44" s="10">
        <f t="shared" si="5"/>
        <v>8</v>
      </c>
    </row>
    <row r="45" spans="1:36" x14ac:dyDescent="0.45">
      <c r="A45">
        <v>5</v>
      </c>
      <c r="B45" t="str">
        <f t="shared" si="0"/>
        <v>d 1.5 deg OS.f96p10</v>
      </c>
      <c r="C45">
        <f t="shared" si="2"/>
        <v>37</v>
      </c>
      <c r="D45" t="str">
        <f t="shared" si="1"/>
        <v>ts_096P10</v>
      </c>
      <c r="E45" t="str">
        <f t="shared" si="4"/>
        <v>C2</v>
      </c>
      <c r="G45" t="s">
        <v>78</v>
      </c>
      <c r="H45" t="str">
        <f>G45</f>
        <v>Gas</v>
      </c>
      <c r="I45">
        <f t="shared" ref="I45:O48" si="12">AVERAGE($R45:$S45)*I37</f>
        <v>35.1</v>
      </c>
      <c r="J45">
        <f t="shared" si="12"/>
        <v>37.557000000000002</v>
      </c>
      <c r="K45">
        <f t="shared" si="12"/>
        <v>43.524000000000001</v>
      </c>
      <c r="L45">
        <f t="shared" si="12"/>
        <v>40.365000000000002</v>
      </c>
      <c r="M45">
        <f t="shared" si="12"/>
        <v>43.875</v>
      </c>
      <c r="N45">
        <f t="shared" si="12"/>
        <v>41.067</v>
      </c>
      <c r="O45">
        <f t="shared" si="12"/>
        <v>47.034000000000006</v>
      </c>
      <c r="R45">
        <f>HLOOKUP($G45&amp;"_"&amp;R$44,fuel_prices!$B$10:$I$11,2,FALSE)</f>
        <v>29.1</v>
      </c>
      <c r="S45">
        <f>HLOOKUP($G45&amp;"_"&amp;S$44,fuel_prices!$B$10:$I$11,2,FALSE)</f>
        <v>41.1</v>
      </c>
      <c r="AJ45" s="10">
        <f t="shared" si="5"/>
        <v>8</v>
      </c>
    </row>
    <row r="46" spans="1:36" x14ac:dyDescent="0.45">
      <c r="A46">
        <v>5</v>
      </c>
      <c r="B46" t="str">
        <f t="shared" si="0"/>
        <v>c 2 deg (67%).f96p10</v>
      </c>
      <c r="C46">
        <f t="shared" si="2"/>
        <v>38</v>
      </c>
      <c r="D46" t="str">
        <f t="shared" si="1"/>
        <v>ts_096P10</v>
      </c>
      <c r="E46" t="str">
        <f t="shared" si="4"/>
        <v>C3</v>
      </c>
      <c r="G46" t="s">
        <v>79</v>
      </c>
      <c r="H46" t="str">
        <f t="shared" ref="H46:H48" si="13">G46</f>
        <v>Coal</v>
      </c>
      <c r="I46">
        <f t="shared" si="12"/>
        <v>16.75</v>
      </c>
      <c r="J46">
        <f t="shared" si="12"/>
        <v>17.085000000000001</v>
      </c>
      <c r="K46">
        <f t="shared" si="12"/>
        <v>17.755000000000003</v>
      </c>
      <c r="L46">
        <f t="shared" si="12"/>
        <v>17.922499999999999</v>
      </c>
      <c r="M46">
        <f t="shared" si="12"/>
        <v>18.09</v>
      </c>
      <c r="N46">
        <f t="shared" si="12"/>
        <v>18.425000000000001</v>
      </c>
      <c r="O46">
        <f t="shared" si="12"/>
        <v>18.760000000000002</v>
      </c>
      <c r="R46">
        <f>HLOOKUP($G46&amp;"_"&amp;R$44,fuel_prices!$B$10:$I$11,2,FALSE)</f>
        <v>15.2</v>
      </c>
      <c r="S46">
        <f>HLOOKUP($G46&amp;"_"&amp;S$44,fuel_prices!$B$10:$I$11,2,FALSE)</f>
        <v>18.3</v>
      </c>
      <c r="AJ46" s="10">
        <f t="shared" si="5"/>
        <v>8</v>
      </c>
    </row>
    <row r="47" spans="1:36" x14ac:dyDescent="0.45">
      <c r="A47">
        <v>5</v>
      </c>
      <c r="B47" t="str">
        <f t="shared" si="0"/>
        <v>b 2 deg (50%).f96p10</v>
      </c>
      <c r="C47">
        <f t="shared" si="2"/>
        <v>39</v>
      </c>
      <c r="D47" t="str">
        <f t="shared" si="1"/>
        <v>ts_096P10</v>
      </c>
      <c r="E47" t="str">
        <f t="shared" si="4"/>
        <v>C4</v>
      </c>
      <c r="G47" t="s">
        <v>80</v>
      </c>
      <c r="H47" t="str">
        <f t="shared" si="13"/>
        <v>Oil</v>
      </c>
      <c r="I47">
        <f t="shared" si="12"/>
        <v>55</v>
      </c>
      <c r="J47">
        <f t="shared" si="12"/>
        <v>55.55</v>
      </c>
      <c r="K47">
        <f t="shared" si="12"/>
        <v>61.050000000000004</v>
      </c>
      <c r="L47">
        <f t="shared" si="12"/>
        <v>55.55</v>
      </c>
      <c r="M47">
        <f t="shared" si="12"/>
        <v>55.55</v>
      </c>
      <c r="N47">
        <f t="shared" si="12"/>
        <v>57.2</v>
      </c>
      <c r="O47">
        <f t="shared" si="12"/>
        <v>62.699999999999996</v>
      </c>
      <c r="R47">
        <f>HLOOKUP($G47&amp;"_"&amp;R$44,fuel_prices!$B$10:$I$11,2,FALSE)</f>
        <v>50</v>
      </c>
      <c r="S47">
        <f>HLOOKUP($G47&amp;"_"&amp;S$44,fuel_prices!$B$10:$I$11,2,FALSE)</f>
        <v>60</v>
      </c>
      <c r="AJ47" s="10">
        <f t="shared" si="5"/>
        <v>8</v>
      </c>
    </row>
    <row r="48" spans="1:36" x14ac:dyDescent="0.45">
      <c r="A48">
        <v>5</v>
      </c>
      <c r="B48" t="str">
        <f t="shared" si="0"/>
        <v>a 3 deg.f96p10</v>
      </c>
      <c r="C48">
        <f t="shared" si="2"/>
        <v>40</v>
      </c>
      <c r="D48" t="str">
        <f t="shared" si="1"/>
        <v>ts_096P10</v>
      </c>
      <c r="E48" t="str">
        <f t="shared" si="4"/>
        <v>C7</v>
      </c>
      <c r="G48" t="s">
        <v>81</v>
      </c>
      <c r="H48" t="str">
        <f t="shared" si="13"/>
        <v>Bioenergy</v>
      </c>
      <c r="I48">
        <f t="shared" si="12"/>
        <v>29</v>
      </c>
      <c r="O48">
        <f>VLOOKUP($E$5,$AK$9:$AM$15,3,FALSE)*I48</f>
        <v>87</v>
      </c>
      <c r="R48">
        <f>HLOOKUP($G48&amp;"_"&amp;R$44,fuel_prices!$B$10:$I$11,2,FALSE)</f>
        <v>25</v>
      </c>
      <c r="S48">
        <f>HLOOKUP($G48&amp;"_"&amp;S$44,fuel_prices!$B$10:$I$11,2,FALSE)</f>
        <v>33</v>
      </c>
      <c r="AJ48" s="10">
        <f t="shared" si="5"/>
        <v>8</v>
      </c>
    </row>
    <row r="49" spans="1:36" x14ac:dyDescent="0.45">
      <c r="A49">
        <v>5</v>
      </c>
      <c r="B49" t="str">
        <f t="shared" si="0"/>
        <v>e 1.5 deg no OS.f96p90</v>
      </c>
      <c r="C49">
        <f t="shared" si="2"/>
        <v>41</v>
      </c>
      <c r="D49" t="str">
        <f t="shared" si="1"/>
        <v>ts_096P90</v>
      </c>
      <c r="E49" t="str">
        <f t="shared" si="4"/>
        <v>C1</v>
      </c>
      <c r="AJ49" s="10">
        <f t="shared" si="5"/>
        <v>9</v>
      </c>
    </row>
    <row r="50" spans="1:36" x14ac:dyDescent="0.45">
      <c r="A50">
        <v>5</v>
      </c>
      <c r="B50" t="str">
        <f t="shared" si="0"/>
        <v>d 1.5 deg OS.f96p90</v>
      </c>
      <c r="C50">
        <f t="shared" si="2"/>
        <v>42</v>
      </c>
      <c r="D50" t="str">
        <f t="shared" si="1"/>
        <v>ts_096P90</v>
      </c>
      <c r="E50" t="str">
        <f t="shared" si="4"/>
        <v>C2</v>
      </c>
      <c r="AJ50" s="10">
        <f t="shared" si="5"/>
        <v>9</v>
      </c>
    </row>
    <row r="51" spans="1:36" x14ac:dyDescent="0.45">
      <c r="A51">
        <v>5</v>
      </c>
      <c r="B51" t="str">
        <f t="shared" si="0"/>
        <v>c 2 deg (67%).f96p90</v>
      </c>
      <c r="C51">
        <f t="shared" si="2"/>
        <v>43</v>
      </c>
      <c r="D51" t="str">
        <f t="shared" si="1"/>
        <v>ts_096P90</v>
      </c>
      <c r="E51" t="str">
        <f t="shared" si="4"/>
        <v>C3</v>
      </c>
      <c r="AJ51" s="10">
        <f t="shared" si="5"/>
        <v>9</v>
      </c>
    </row>
    <row r="52" spans="1:36" x14ac:dyDescent="0.45">
      <c r="A52">
        <v>5</v>
      </c>
      <c r="B52" t="str">
        <f t="shared" si="0"/>
        <v>b 2 deg (50%).f96p90</v>
      </c>
      <c r="C52">
        <f t="shared" si="2"/>
        <v>44</v>
      </c>
      <c r="D52" t="str">
        <f t="shared" si="1"/>
        <v>ts_096P90</v>
      </c>
      <c r="E52" t="str">
        <f t="shared" si="4"/>
        <v>C4</v>
      </c>
      <c r="AJ52" s="10">
        <f t="shared" si="5"/>
        <v>9</v>
      </c>
    </row>
    <row r="53" spans="1:36" x14ac:dyDescent="0.45">
      <c r="A53">
        <v>5</v>
      </c>
      <c r="B53" t="str">
        <f t="shared" si="0"/>
        <v>a 3 deg.f96p90</v>
      </c>
      <c r="C53">
        <f t="shared" si="2"/>
        <v>45</v>
      </c>
      <c r="D53" t="str">
        <f t="shared" si="1"/>
        <v>ts_096P90</v>
      </c>
      <c r="E53" t="str">
        <f t="shared" si="4"/>
        <v>C7</v>
      </c>
      <c r="AJ53" s="10">
        <f t="shared" si="5"/>
        <v>9</v>
      </c>
    </row>
    <row r="54" spans="1:36" x14ac:dyDescent="0.45">
      <c r="A54">
        <v>5</v>
      </c>
      <c r="B54" t="str">
        <f t="shared" si="0"/>
        <v>e 1.5 deg no OS.e3d</v>
      </c>
      <c r="C54">
        <f t="shared" si="2"/>
        <v>46</v>
      </c>
      <c r="D54" t="str">
        <f t="shared" si="1"/>
        <v>s1p1v1_d</v>
      </c>
      <c r="E54" t="str">
        <f t="shared" si="4"/>
        <v>C1</v>
      </c>
      <c r="AJ54" s="10">
        <f t="shared" si="5"/>
        <v>10</v>
      </c>
    </row>
    <row r="55" spans="1:36" x14ac:dyDescent="0.45">
      <c r="A55">
        <v>5</v>
      </c>
      <c r="B55" t="str">
        <f t="shared" si="0"/>
        <v>d 1.5 deg OS.e3d</v>
      </c>
      <c r="C55">
        <f t="shared" si="2"/>
        <v>47</v>
      </c>
      <c r="D55" t="str">
        <f t="shared" si="1"/>
        <v>s1p1v1_d</v>
      </c>
      <c r="E55" t="str">
        <f t="shared" si="4"/>
        <v>C2</v>
      </c>
      <c r="AJ55" s="10">
        <f t="shared" si="5"/>
        <v>10</v>
      </c>
    </row>
    <row r="56" spans="1:36" x14ac:dyDescent="0.45">
      <c r="A56">
        <v>5</v>
      </c>
      <c r="B56" t="str">
        <f t="shared" si="0"/>
        <v>c 2 deg (67%).e3d</v>
      </c>
      <c r="C56">
        <f t="shared" si="2"/>
        <v>48</v>
      </c>
      <c r="D56" t="str">
        <f t="shared" si="1"/>
        <v>s1p1v1_d</v>
      </c>
      <c r="E56" t="str">
        <f t="shared" si="4"/>
        <v>C3</v>
      </c>
      <c r="AJ56" s="10">
        <f t="shared" si="5"/>
        <v>10</v>
      </c>
    </row>
    <row r="57" spans="1:36" x14ac:dyDescent="0.45">
      <c r="A57">
        <v>5</v>
      </c>
      <c r="B57" t="str">
        <f t="shared" si="0"/>
        <v>b 2 deg (50%).e3d</v>
      </c>
      <c r="C57">
        <f t="shared" si="2"/>
        <v>49</v>
      </c>
      <c r="D57" t="str">
        <f t="shared" si="1"/>
        <v>s1p1v1_d</v>
      </c>
      <c r="E57" t="str">
        <f t="shared" si="4"/>
        <v>C4</v>
      </c>
      <c r="AJ57" s="10">
        <f t="shared" si="5"/>
        <v>10</v>
      </c>
    </row>
    <row r="58" spans="1:36" x14ac:dyDescent="0.45">
      <c r="A58">
        <v>5</v>
      </c>
      <c r="B58" t="str">
        <f t="shared" si="0"/>
        <v>a 3 deg.e3d</v>
      </c>
      <c r="C58">
        <f t="shared" si="2"/>
        <v>50</v>
      </c>
      <c r="D58" t="str">
        <f t="shared" si="1"/>
        <v>s1p1v1_d</v>
      </c>
      <c r="E58" t="str">
        <f t="shared" si="4"/>
        <v>C7</v>
      </c>
      <c r="AJ58" s="10">
        <f t="shared" si="5"/>
        <v>10</v>
      </c>
    </row>
    <row r="59" spans="1:36" x14ac:dyDescent="0.45">
      <c r="A59">
        <v>5</v>
      </c>
      <c r="B59" t="str">
        <f t="shared" si="0"/>
        <v>e 1.5 deg no OS.d9d</v>
      </c>
      <c r="C59">
        <f t="shared" si="2"/>
        <v>51</v>
      </c>
      <c r="D59" t="str">
        <f t="shared" si="1"/>
        <v>s3p3v3_d</v>
      </c>
      <c r="E59" t="str">
        <f t="shared" si="4"/>
        <v>C1</v>
      </c>
      <c r="AJ59" s="10">
        <f t="shared" si="5"/>
        <v>11</v>
      </c>
    </row>
    <row r="60" spans="1:36" x14ac:dyDescent="0.45">
      <c r="A60">
        <v>5</v>
      </c>
      <c r="B60" t="str">
        <f t="shared" si="0"/>
        <v>d 1.5 deg OS.d9d</v>
      </c>
      <c r="C60">
        <f t="shared" si="2"/>
        <v>52</v>
      </c>
      <c r="D60" t="str">
        <f t="shared" si="1"/>
        <v>s3p3v3_d</v>
      </c>
      <c r="E60" t="str">
        <f t="shared" si="4"/>
        <v>C2</v>
      </c>
      <c r="AJ60" s="10">
        <f t="shared" si="5"/>
        <v>11</v>
      </c>
    </row>
    <row r="61" spans="1:36" x14ac:dyDescent="0.45">
      <c r="A61">
        <v>5</v>
      </c>
      <c r="B61" t="str">
        <f t="shared" si="0"/>
        <v>c 2 deg (67%).d9d</v>
      </c>
      <c r="C61">
        <f t="shared" si="2"/>
        <v>53</v>
      </c>
      <c r="D61" t="str">
        <f t="shared" si="1"/>
        <v>s3p3v3_d</v>
      </c>
      <c r="E61" t="str">
        <f t="shared" si="4"/>
        <v>C3</v>
      </c>
      <c r="AJ61" s="10">
        <f t="shared" si="5"/>
        <v>11</v>
      </c>
    </row>
    <row r="62" spans="1:36" x14ac:dyDescent="0.45">
      <c r="A62">
        <v>5</v>
      </c>
      <c r="B62" t="str">
        <f t="shared" si="0"/>
        <v>b 2 deg (50%).d9d</v>
      </c>
      <c r="C62">
        <f t="shared" si="2"/>
        <v>54</v>
      </c>
      <c r="D62" t="str">
        <f t="shared" si="1"/>
        <v>s3p3v3_d</v>
      </c>
      <c r="E62" t="str">
        <f t="shared" si="4"/>
        <v>C4</v>
      </c>
      <c r="AJ62" s="10">
        <f t="shared" si="5"/>
        <v>11</v>
      </c>
    </row>
    <row r="63" spans="1:36" x14ac:dyDescent="0.45">
      <c r="A63">
        <v>5</v>
      </c>
      <c r="B63" t="str">
        <f t="shared" si="0"/>
        <v>a 3 deg.d9d</v>
      </c>
      <c r="C63">
        <f t="shared" si="2"/>
        <v>55</v>
      </c>
      <c r="D63" t="str">
        <f t="shared" si="1"/>
        <v>s3p3v3_d</v>
      </c>
      <c r="E63" t="str">
        <f t="shared" si="4"/>
        <v>C7</v>
      </c>
      <c r="AJ63" s="10">
        <f t="shared" si="5"/>
        <v>11</v>
      </c>
    </row>
    <row r="64" spans="1:36" x14ac:dyDescent="0.45">
      <c r="A64">
        <v>5</v>
      </c>
      <c r="B64" t="str">
        <f t="shared" si="0"/>
        <v>e 1.5 deg no OS.c15d</v>
      </c>
      <c r="C64">
        <f t="shared" si="2"/>
        <v>56</v>
      </c>
      <c r="D64" t="str">
        <f t="shared" ref="D64:D78" si="14">VLOOKUP(AJ64,$AG$9:$AH$22,2,FALSE)</f>
        <v>s5p5v5_d</v>
      </c>
      <c r="E64" t="str">
        <f t="shared" si="4"/>
        <v>C1</v>
      </c>
      <c r="AJ64" s="10">
        <f t="shared" si="5"/>
        <v>12</v>
      </c>
    </row>
    <row r="65" spans="1:36" x14ac:dyDescent="0.45">
      <c r="A65">
        <v>5</v>
      </c>
      <c r="B65" t="str">
        <f t="shared" si="0"/>
        <v>d 1.5 deg OS.c15d</v>
      </c>
      <c r="C65">
        <f t="shared" si="2"/>
        <v>57</v>
      </c>
      <c r="D65" t="str">
        <f t="shared" si="14"/>
        <v>s5p5v5_d</v>
      </c>
      <c r="E65" t="str">
        <f t="shared" si="4"/>
        <v>C2</v>
      </c>
      <c r="AJ65" s="10">
        <f t="shared" si="5"/>
        <v>12</v>
      </c>
    </row>
    <row r="66" spans="1:36" x14ac:dyDescent="0.45">
      <c r="A66">
        <v>5</v>
      </c>
      <c r="B66" t="str">
        <f t="shared" si="0"/>
        <v>c 2 deg (67%).c15d</v>
      </c>
      <c r="C66">
        <f t="shared" si="2"/>
        <v>58</v>
      </c>
      <c r="D66" t="str">
        <f t="shared" si="14"/>
        <v>s5p5v5_d</v>
      </c>
      <c r="E66" t="str">
        <f t="shared" si="4"/>
        <v>C3</v>
      </c>
      <c r="AJ66" s="10">
        <f t="shared" si="5"/>
        <v>12</v>
      </c>
    </row>
    <row r="67" spans="1:36" x14ac:dyDescent="0.45">
      <c r="A67">
        <v>5</v>
      </c>
      <c r="B67" t="str">
        <f t="shared" si="0"/>
        <v>b 2 deg (50%).c15d</v>
      </c>
      <c r="C67">
        <f t="shared" si="2"/>
        <v>59</v>
      </c>
      <c r="D67" t="str">
        <f t="shared" si="14"/>
        <v>s5p5v5_d</v>
      </c>
      <c r="E67" t="str">
        <f t="shared" si="4"/>
        <v>C4</v>
      </c>
      <c r="AJ67" s="10">
        <f t="shared" si="5"/>
        <v>12</v>
      </c>
    </row>
    <row r="68" spans="1:36" x14ac:dyDescent="0.45">
      <c r="A68">
        <v>5</v>
      </c>
      <c r="B68" t="str">
        <f t="shared" si="0"/>
        <v>a 3 deg.c15d</v>
      </c>
      <c r="C68">
        <f t="shared" si="2"/>
        <v>60</v>
      </c>
      <c r="D68" t="str">
        <f t="shared" si="14"/>
        <v>s5p5v5_d</v>
      </c>
      <c r="E68" t="str">
        <f t="shared" si="4"/>
        <v>C7</v>
      </c>
      <c r="AJ68" s="10">
        <f t="shared" si="5"/>
        <v>12</v>
      </c>
    </row>
    <row r="69" spans="1:36" x14ac:dyDescent="0.45">
      <c r="A69">
        <v>5</v>
      </c>
      <c r="B69" t="str">
        <f t="shared" si="0"/>
        <v>e 1.5 deg no OS.b2w</v>
      </c>
      <c r="C69">
        <f t="shared" si="2"/>
        <v>61</v>
      </c>
      <c r="D69" t="str">
        <f t="shared" si="14"/>
        <v>s2_w</v>
      </c>
      <c r="E69" t="str">
        <f t="shared" si="4"/>
        <v>C1</v>
      </c>
      <c r="AJ69" s="10">
        <f t="shared" si="5"/>
        <v>13</v>
      </c>
    </row>
    <row r="70" spans="1:36" x14ac:dyDescent="0.45">
      <c r="A70">
        <v>5</v>
      </c>
      <c r="B70" t="str">
        <f t="shared" si="0"/>
        <v>d 1.5 deg OS.b2w</v>
      </c>
      <c r="C70">
        <f t="shared" si="2"/>
        <v>62</v>
      </c>
      <c r="D70" t="str">
        <f t="shared" si="14"/>
        <v>s2_w</v>
      </c>
      <c r="E70" t="str">
        <f t="shared" si="4"/>
        <v>C2</v>
      </c>
      <c r="AJ70" s="10">
        <f t="shared" si="5"/>
        <v>13</v>
      </c>
    </row>
    <row r="71" spans="1:36" x14ac:dyDescent="0.45">
      <c r="A71">
        <v>5</v>
      </c>
      <c r="B71" t="str">
        <f t="shared" si="0"/>
        <v>c 2 deg (67%).b2w</v>
      </c>
      <c r="C71">
        <f t="shared" si="2"/>
        <v>63</v>
      </c>
      <c r="D71" t="str">
        <f t="shared" si="14"/>
        <v>s2_w</v>
      </c>
      <c r="E71" t="str">
        <f t="shared" si="4"/>
        <v>C3</v>
      </c>
      <c r="AJ71" s="10">
        <f t="shared" si="5"/>
        <v>13</v>
      </c>
    </row>
    <row r="72" spans="1:36" x14ac:dyDescent="0.45">
      <c r="A72">
        <v>5</v>
      </c>
      <c r="B72" t="str">
        <f t="shared" si="0"/>
        <v>b 2 deg (50%).b2w</v>
      </c>
      <c r="C72">
        <f t="shared" si="2"/>
        <v>64</v>
      </c>
      <c r="D72" t="str">
        <f t="shared" si="14"/>
        <v>s2_w</v>
      </c>
      <c r="E72" t="str">
        <f t="shared" si="4"/>
        <v>C4</v>
      </c>
      <c r="AJ72" s="10">
        <f t="shared" si="5"/>
        <v>13</v>
      </c>
    </row>
    <row r="73" spans="1:36" x14ac:dyDescent="0.45">
      <c r="A73">
        <v>5</v>
      </c>
      <c r="B73" t="str">
        <f t="shared" si="0"/>
        <v>a 3 deg.b2w</v>
      </c>
      <c r="C73">
        <f t="shared" si="2"/>
        <v>65</v>
      </c>
      <c r="D73" t="str">
        <f t="shared" si="14"/>
        <v>s2_w</v>
      </c>
      <c r="E73" t="str">
        <f t="shared" si="4"/>
        <v>C7</v>
      </c>
      <c r="AJ73" s="10">
        <f t="shared" si="5"/>
        <v>13</v>
      </c>
    </row>
    <row r="74" spans="1:36" x14ac:dyDescent="0.45">
      <c r="A74">
        <v>5</v>
      </c>
      <c r="B74" t="str">
        <f t="shared" ref="B74:B78" si="15">VLOOKUP(E74,$AK$9:$AL$15,2,FALSE)&amp;"."&amp;VLOOKUP(D74,$AH$9:$AI$24,2,FALSE)</f>
        <v>e 1.5 deg no OS.a2w2d</v>
      </c>
      <c r="C74">
        <f t="shared" si="2"/>
        <v>66</v>
      </c>
      <c r="D74" t="str">
        <f t="shared" si="14"/>
        <v>s2_w_p2_d</v>
      </c>
      <c r="E74" t="str">
        <f t="shared" si="4"/>
        <v>C1</v>
      </c>
      <c r="AJ74" s="10">
        <f t="shared" si="5"/>
        <v>14</v>
      </c>
    </row>
    <row r="75" spans="1:36" x14ac:dyDescent="0.45">
      <c r="A75">
        <v>5</v>
      </c>
      <c r="B75" t="str">
        <f t="shared" si="15"/>
        <v>d 1.5 deg OS.a2w2d</v>
      </c>
      <c r="C75">
        <f t="shared" ref="C75:C83" si="16">C74+1</f>
        <v>67</v>
      </c>
      <c r="D75" t="str">
        <f t="shared" si="14"/>
        <v>s2_w_p2_d</v>
      </c>
      <c r="E75" t="str">
        <f t="shared" si="4"/>
        <v>C2</v>
      </c>
      <c r="AJ75" s="10">
        <f t="shared" si="5"/>
        <v>14</v>
      </c>
    </row>
    <row r="76" spans="1:36" x14ac:dyDescent="0.45">
      <c r="A76">
        <v>5</v>
      </c>
      <c r="B76" t="str">
        <f t="shared" si="15"/>
        <v>c 2 deg (67%).a2w2d</v>
      </c>
      <c r="C76">
        <f t="shared" si="16"/>
        <v>68</v>
      </c>
      <c r="D76" t="str">
        <f t="shared" si="14"/>
        <v>s2_w_p2_d</v>
      </c>
      <c r="E76" t="str">
        <f t="shared" si="4"/>
        <v>C3</v>
      </c>
      <c r="AJ76" s="10">
        <f t="shared" si="5"/>
        <v>14</v>
      </c>
    </row>
    <row r="77" spans="1:36" x14ac:dyDescent="0.45">
      <c r="A77">
        <v>5</v>
      </c>
      <c r="B77" t="str">
        <f t="shared" si="15"/>
        <v>b 2 deg (50%).a2w2d</v>
      </c>
      <c r="C77">
        <f t="shared" si="16"/>
        <v>69</v>
      </c>
      <c r="D77" t="str">
        <f t="shared" si="14"/>
        <v>s2_w_p2_d</v>
      </c>
      <c r="E77" t="str">
        <f t="shared" si="4"/>
        <v>C4</v>
      </c>
      <c r="AJ77" s="10">
        <f t="shared" si="5"/>
        <v>14</v>
      </c>
    </row>
    <row r="78" spans="1:36" x14ac:dyDescent="0.45">
      <c r="A78">
        <v>5</v>
      </c>
      <c r="B78" t="str">
        <f t="shared" si="15"/>
        <v>a 3 deg.a2w2d</v>
      </c>
      <c r="C78">
        <f t="shared" si="16"/>
        <v>70</v>
      </c>
      <c r="D78" t="str">
        <f t="shared" si="14"/>
        <v>s2_w_p2_d</v>
      </c>
      <c r="E78" t="str">
        <f t="shared" si="4"/>
        <v>C7</v>
      </c>
      <c r="AJ78" s="10">
        <f t="shared" si="5"/>
        <v>14</v>
      </c>
    </row>
    <row r="79" spans="1:36" x14ac:dyDescent="0.45">
      <c r="A79">
        <v>5</v>
      </c>
      <c r="B79" t="str">
        <f t="shared" ref="B79:B83" si="17">VLOOKUP(E79,$AK$9:$AL$15,2,FALSE)&amp;"."&amp;VLOOKUP(D79,$AH$9:$AI$24,2,FALSE)</f>
        <v>e 1.5 deg no OS.e2d</v>
      </c>
      <c r="C79">
        <f t="shared" si="16"/>
        <v>71</v>
      </c>
      <c r="D79" t="s">
        <v>143</v>
      </c>
      <c r="E79" t="str">
        <f t="shared" si="4"/>
        <v>C1</v>
      </c>
    </row>
    <row r="80" spans="1:36" x14ac:dyDescent="0.45">
      <c r="A80">
        <v>5</v>
      </c>
      <c r="B80" t="str">
        <f t="shared" si="17"/>
        <v>d 1.5 deg OS.e2d</v>
      </c>
      <c r="C80">
        <f t="shared" si="16"/>
        <v>72</v>
      </c>
      <c r="D80" t="s">
        <v>143</v>
      </c>
      <c r="E80" t="str">
        <f t="shared" ref="E80:E83" si="18">E75</f>
        <v>C2</v>
      </c>
    </row>
    <row r="81" spans="1:6" x14ac:dyDescent="0.45">
      <c r="A81">
        <v>5</v>
      </c>
      <c r="B81" t="str">
        <f t="shared" si="17"/>
        <v>c 2 deg (67%).e2d</v>
      </c>
      <c r="C81">
        <f t="shared" si="16"/>
        <v>73</v>
      </c>
      <c r="D81" t="s">
        <v>143</v>
      </c>
      <c r="E81" t="str">
        <f t="shared" si="18"/>
        <v>C3</v>
      </c>
    </row>
    <row r="82" spans="1:6" x14ac:dyDescent="0.45">
      <c r="A82">
        <v>5</v>
      </c>
      <c r="B82" t="str">
        <f t="shared" si="17"/>
        <v>b 2 deg (50%).e2d</v>
      </c>
      <c r="C82">
        <f t="shared" si="16"/>
        <v>74</v>
      </c>
      <c r="D82" t="s">
        <v>143</v>
      </c>
      <c r="E82" t="str">
        <f t="shared" si="18"/>
        <v>C4</v>
      </c>
    </row>
    <row r="83" spans="1:6" x14ac:dyDescent="0.45">
      <c r="A83">
        <v>5</v>
      </c>
      <c r="B83" t="str">
        <f t="shared" si="17"/>
        <v>a 3 deg.e2d</v>
      </c>
      <c r="C83">
        <f t="shared" si="16"/>
        <v>75</v>
      </c>
      <c r="D83" t="s">
        <v>143</v>
      </c>
      <c r="E83" t="str">
        <f t="shared" si="18"/>
        <v>C7</v>
      </c>
    </row>
    <row r="87" spans="1:6" x14ac:dyDescent="0.45">
      <c r="A87" t="s">
        <v>149</v>
      </c>
    </row>
    <row r="88" spans="1:6" x14ac:dyDescent="0.45">
      <c r="A88" t="s">
        <v>30</v>
      </c>
      <c r="B88" t="s">
        <v>31</v>
      </c>
      <c r="C88">
        <v>2024</v>
      </c>
      <c r="D88">
        <v>2030</v>
      </c>
      <c r="E88">
        <v>2040</v>
      </c>
      <c r="F88" t="s">
        <v>14</v>
      </c>
    </row>
    <row r="89" spans="1:6" x14ac:dyDescent="0.45">
      <c r="A89" t="s">
        <v>35</v>
      </c>
      <c r="B89" t="s">
        <v>150</v>
      </c>
      <c r="C89">
        <v>1.5049999999999999</v>
      </c>
      <c r="D89">
        <v>2.5049999999999999</v>
      </c>
      <c r="E89">
        <v>3.93</v>
      </c>
      <c r="F89" t="s">
        <v>151</v>
      </c>
    </row>
    <row r="90" spans="1:6" x14ac:dyDescent="0.45">
      <c r="A90" t="s">
        <v>32</v>
      </c>
      <c r="B90" t="s">
        <v>150</v>
      </c>
      <c r="C90">
        <v>10.647</v>
      </c>
      <c r="D90">
        <v>11.752000000000001</v>
      </c>
      <c r="E90">
        <v>13.252000000000001</v>
      </c>
      <c r="F90" t="s">
        <v>151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145</v>
      </c>
      <c r="B11">
        <v>29.1</v>
      </c>
      <c r="C11">
        <v>41.1</v>
      </c>
      <c r="D11">
        <v>15.2</v>
      </c>
      <c r="E11">
        <v>18.3</v>
      </c>
      <c r="F11">
        <v>50</v>
      </c>
      <c r="G11">
        <v>60</v>
      </c>
      <c r="H11">
        <v>25</v>
      </c>
      <c r="I11">
        <v>33</v>
      </c>
      <c r="J11" t="s">
        <v>147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145</v>
      </c>
      <c r="B11">
        <v>2000</v>
      </c>
      <c r="C11">
        <v>179.49</v>
      </c>
      <c r="D11">
        <v>122.61</v>
      </c>
      <c r="E11">
        <v>4.5</v>
      </c>
      <c r="F11">
        <v>0</v>
      </c>
      <c r="G11">
        <v>44.83</v>
      </c>
      <c r="H11">
        <v>-0.48</v>
      </c>
      <c r="I11">
        <v>269.94</v>
      </c>
    </row>
    <row r="12" spans="1:9" x14ac:dyDescent="0.45">
      <c r="A12" t="s">
        <v>145</v>
      </c>
      <c r="B12">
        <v>2001</v>
      </c>
      <c r="C12">
        <v>181.93</v>
      </c>
      <c r="D12">
        <v>125.95</v>
      </c>
      <c r="E12">
        <v>4.3899999999999997</v>
      </c>
      <c r="F12">
        <v>0</v>
      </c>
      <c r="G12">
        <v>48.93</v>
      </c>
      <c r="H12">
        <v>-0.55000000000000004</v>
      </c>
      <c r="I12">
        <v>271.89</v>
      </c>
    </row>
    <row r="13" spans="1:9" x14ac:dyDescent="0.45">
      <c r="A13" t="s">
        <v>145</v>
      </c>
      <c r="B13">
        <v>2002</v>
      </c>
      <c r="C13">
        <v>183.71</v>
      </c>
      <c r="D13">
        <v>130.68</v>
      </c>
      <c r="E13">
        <v>4.4400000000000004</v>
      </c>
      <c r="F13">
        <v>0</v>
      </c>
      <c r="G13">
        <v>51.52</v>
      </c>
      <c r="H13">
        <v>-0.92</v>
      </c>
      <c r="I13">
        <v>277.52999999999997</v>
      </c>
    </row>
    <row r="14" spans="1:9" x14ac:dyDescent="0.45">
      <c r="A14" t="s">
        <v>145</v>
      </c>
      <c r="B14">
        <v>2003</v>
      </c>
      <c r="C14">
        <v>185.3</v>
      </c>
      <c r="D14">
        <v>137.6</v>
      </c>
      <c r="E14">
        <v>4.53</v>
      </c>
      <c r="F14">
        <v>0</v>
      </c>
      <c r="G14">
        <v>51.49</v>
      </c>
      <c r="H14">
        <v>-0.52</v>
      </c>
      <c r="I14">
        <v>286.27999999999997</v>
      </c>
    </row>
    <row r="15" spans="1:9" x14ac:dyDescent="0.45">
      <c r="A15" t="s">
        <v>145</v>
      </c>
      <c r="B15">
        <v>2004</v>
      </c>
      <c r="C15">
        <v>185.28</v>
      </c>
      <c r="D15">
        <v>141.66</v>
      </c>
      <c r="E15">
        <v>4.47</v>
      </c>
      <c r="F15">
        <v>0</v>
      </c>
      <c r="G15">
        <v>46.43</v>
      </c>
      <c r="H15">
        <v>-0.79</v>
      </c>
      <c r="I15">
        <v>295.77999999999997</v>
      </c>
    </row>
    <row r="16" spans="1:9" x14ac:dyDescent="0.45">
      <c r="A16" t="s">
        <v>145</v>
      </c>
      <c r="B16">
        <v>2005</v>
      </c>
      <c r="C16">
        <v>185.44</v>
      </c>
      <c r="D16">
        <v>146.13</v>
      </c>
      <c r="E16">
        <v>4.58</v>
      </c>
      <c r="F16">
        <v>0</v>
      </c>
      <c r="G16">
        <v>50.26</v>
      </c>
      <c r="H16">
        <v>-1.1100000000000001</v>
      </c>
      <c r="I16">
        <v>296.83999999999997</v>
      </c>
    </row>
    <row r="17" spans="1:9" x14ac:dyDescent="0.45">
      <c r="A17" t="s">
        <v>145</v>
      </c>
      <c r="B17">
        <v>2006</v>
      </c>
      <c r="C17">
        <v>186.96</v>
      </c>
      <c r="D17">
        <v>151.12</v>
      </c>
      <c r="E17">
        <v>4.38</v>
      </c>
      <c r="F17">
        <v>0</v>
      </c>
      <c r="G17">
        <v>46.6</v>
      </c>
      <c r="H17">
        <v>-1.61</v>
      </c>
      <c r="I17">
        <v>307.69</v>
      </c>
    </row>
    <row r="18" spans="1:9" x14ac:dyDescent="0.45">
      <c r="A18" t="s">
        <v>145</v>
      </c>
      <c r="B18">
        <v>2007</v>
      </c>
      <c r="C18">
        <v>186.6</v>
      </c>
      <c r="D18">
        <v>152.66999999999999</v>
      </c>
      <c r="E18">
        <v>4.41</v>
      </c>
      <c r="F18">
        <v>0</v>
      </c>
      <c r="G18">
        <v>48.93</v>
      </c>
      <c r="H18">
        <v>-2.65</v>
      </c>
      <c r="I18">
        <v>308.22000000000003</v>
      </c>
    </row>
    <row r="19" spans="1:9" x14ac:dyDescent="0.45">
      <c r="A19" t="s">
        <v>145</v>
      </c>
      <c r="B19">
        <v>2008</v>
      </c>
      <c r="C19">
        <v>181.03</v>
      </c>
      <c r="D19">
        <v>156.76</v>
      </c>
      <c r="E19">
        <v>4.55</v>
      </c>
      <c r="F19">
        <v>0</v>
      </c>
      <c r="G19">
        <v>43.43</v>
      </c>
      <c r="H19">
        <v>-3.4</v>
      </c>
      <c r="I19">
        <v>313.52999999999997</v>
      </c>
    </row>
    <row r="20" spans="1:9" x14ac:dyDescent="0.45">
      <c r="A20" t="s">
        <v>145</v>
      </c>
      <c r="B20">
        <v>2009</v>
      </c>
      <c r="C20">
        <v>159.32</v>
      </c>
      <c r="D20">
        <v>158.80000000000001</v>
      </c>
      <c r="E20">
        <v>4.46</v>
      </c>
      <c r="F20">
        <v>0</v>
      </c>
      <c r="G20">
        <v>47.07</v>
      </c>
      <c r="H20">
        <v>-2.11</v>
      </c>
      <c r="I20">
        <v>288.33</v>
      </c>
    </row>
    <row r="21" spans="1:9" x14ac:dyDescent="0.45">
      <c r="A21" t="s">
        <v>145</v>
      </c>
      <c r="B21">
        <v>2010</v>
      </c>
      <c r="C21">
        <v>166.69</v>
      </c>
      <c r="D21">
        <v>160.71</v>
      </c>
      <c r="E21">
        <v>4.58</v>
      </c>
      <c r="F21">
        <v>0.06</v>
      </c>
      <c r="G21">
        <v>45.99</v>
      </c>
      <c r="H21">
        <v>-1.83</v>
      </c>
      <c r="I21">
        <v>298.77</v>
      </c>
    </row>
    <row r="22" spans="1:9" x14ac:dyDescent="0.45">
      <c r="A22" t="s">
        <v>145</v>
      </c>
      <c r="B22">
        <v>2011</v>
      </c>
      <c r="C22">
        <v>167</v>
      </c>
      <c r="D22">
        <v>162.88999999999999</v>
      </c>
      <c r="E22">
        <v>4.7</v>
      </c>
      <c r="F22">
        <v>0.06</v>
      </c>
      <c r="G22">
        <v>47.52</v>
      </c>
      <c r="H22">
        <v>-1.79</v>
      </c>
      <c r="I22">
        <v>300.64999999999998</v>
      </c>
    </row>
    <row r="23" spans="1:9" x14ac:dyDescent="0.45">
      <c r="A23" t="s">
        <v>145</v>
      </c>
      <c r="B23">
        <v>2012</v>
      </c>
      <c r="C23">
        <v>159.37</v>
      </c>
      <c r="D23">
        <v>165.56</v>
      </c>
      <c r="E23">
        <v>4.8</v>
      </c>
      <c r="F23">
        <v>0.06</v>
      </c>
      <c r="G23">
        <v>45.41</v>
      </c>
      <c r="H23">
        <v>-2.2999999999999998</v>
      </c>
      <c r="I23">
        <v>297.3</v>
      </c>
    </row>
    <row r="24" spans="1:9" x14ac:dyDescent="0.45">
      <c r="A24" t="s">
        <v>145</v>
      </c>
      <c r="B24">
        <v>2013</v>
      </c>
      <c r="C24">
        <v>153.41</v>
      </c>
      <c r="D24">
        <v>161.51</v>
      </c>
      <c r="E24">
        <v>5.03</v>
      </c>
      <c r="F24">
        <v>7.0000000000000007E-2</v>
      </c>
      <c r="G24">
        <v>44.34</v>
      </c>
      <c r="H24">
        <v>-2.2000000000000002</v>
      </c>
      <c r="I24">
        <v>287.91000000000003</v>
      </c>
    </row>
    <row r="25" spans="1:9" x14ac:dyDescent="0.45">
      <c r="A25" t="s">
        <v>145</v>
      </c>
      <c r="B25">
        <v>2014</v>
      </c>
      <c r="C25">
        <v>149.13999999999999</v>
      </c>
      <c r="D25">
        <v>157.94999999999999</v>
      </c>
      <c r="E25">
        <v>4.97</v>
      </c>
      <c r="F25">
        <v>7.0000000000000007E-2</v>
      </c>
      <c r="G25">
        <v>46.75</v>
      </c>
      <c r="H25">
        <v>-3.03</v>
      </c>
      <c r="I25">
        <v>278.12</v>
      </c>
    </row>
    <row r="26" spans="1:9" x14ac:dyDescent="0.45">
      <c r="A26" t="s">
        <v>145</v>
      </c>
      <c r="B26">
        <v>2015</v>
      </c>
      <c r="C26">
        <v>149.07</v>
      </c>
      <c r="D26">
        <v>163.76</v>
      </c>
      <c r="E26">
        <v>5.1100000000000003</v>
      </c>
      <c r="F26">
        <v>7.0000000000000007E-2</v>
      </c>
      <c r="G26">
        <v>50.85</v>
      </c>
      <c r="H26">
        <v>-4.47</v>
      </c>
      <c r="I26">
        <v>281.56</v>
      </c>
    </row>
    <row r="27" spans="1:9" x14ac:dyDescent="0.45">
      <c r="A27" t="s">
        <v>145</v>
      </c>
      <c r="B27">
        <v>2016</v>
      </c>
      <c r="C27">
        <v>148.03</v>
      </c>
      <c r="D27">
        <v>161.35</v>
      </c>
      <c r="E27">
        <v>5.45</v>
      </c>
      <c r="F27">
        <v>7.0000000000000007E-2</v>
      </c>
      <c r="G27">
        <v>43.18</v>
      </c>
      <c r="H27">
        <v>-6.15</v>
      </c>
      <c r="I27">
        <v>287.94</v>
      </c>
    </row>
    <row r="28" spans="1:9" x14ac:dyDescent="0.45">
      <c r="A28" t="s">
        <v>145</v>
      </c>
      <c r="B28">
        <v>2017</v>
      </c>
      <c r="C28">
        <v>150.85</v>
      </c>
      <c r="D28">
        <v>164.66</v>
      </c>
      <c r="E28">
        <v>5.51</v>
      </c>
      <c r="F28">
        <v>0.08</v>
      </c>
      <c r="G28">
        <v>42.89</v>
      </c>
      <c r="H28">
        <v>-5.13</v>
      </c>
      <c r="I28">
        <v>294</v>
      </c>
    </row>
    <row r="29" spans="1:9" x14ac:dyDescent="0.45">
      <c r="A29" t="s">
        <v>145</v>
      </c>
      <c r="B29">
        <v>2018</v>
      </c>
      <c r="C29">
        <v>150.53</v>
      </c>
      <c r="D29">
        <v>165.11</v>
      </c>
      <c r="E29">
        <v>5.7</v>
      </c>
      <c r="F29">
        <v>0.1</v>
      </c>
      <c r="G29">
        <v>47.17</v>
      </c>
      <c r="H29">
        <v>-3.27</v>
      </c>
      <c r="I29">
        <v>287.99</v>
      </c>
    </row>
    <row r="30" spans="1:9" x14ac:dyDescent="0.45">
      <c r="A30" t="s">
        <v>145</v>
      </c>
      <c r="B30">
        <v>2019</v>
      </c>
      <c r="C30">
        <v>153.99</v>
      </c>
      <c r="D30">
        <v>160.63999999999999</v>
      </c>
      <c r="E30">
        <v>5.55</v>
      </c>
      <c r="F30">
        <v>0.14000000000000001</v>
      </c>
      <c r="G30">
        <v>43.97</v>
      </c>
      <c r="H30">
        <v>-5.83</v>
      </c>
      <c r="I30">
        <v>292.02</v>
      </c>
    </row>
    <row r="31" spans="1:9" x14ac:dyDescent="0.45">
      <c r="A31" t="s">
        <v>145</v>
      </c>
      <c r="B31">
        <v>2020</v>
      </c>
      <c r="C31">
        <v>149.59</v>
      </c>
      <c r="D31">
        <v>147.62</v>
      </c>
      <c r="E31">
        <v>4.6399999999999997</v>
      </c>
      <c r="F31">
        <v>0.19</v>
      </c>
      <c r="G31">
        <v>39.79</v>
      </c>
      <c r="H31">
        <v>-7.59</v>
      </c>
      <c r="I31">
        <v>278.58999999999997</v>
      </c>
    </row>
    <row r="32" spans="1:9" x14ac:dyDescent="0.45">
      <c r="A32" t="s">
        <v>145</v>
      </c>
      <c r="B32">
        <v>2021</v>
      </c>
      <c r="C32">
        <v>151.62</v>
      </c>
      <c r="D32">
        <v>165.79</v>
      </c>
      <c r="E32">
        <v>5.18</v>
      </c>
      <c r="F32">
        <v>0.44</v>
      </c>
      <c r="G32">
        <v>46.57</v>
      </c>
      <c r="H32">
        <v>-3.78</v>
      </c>
      <c r="I32">
        <v>286.98</v>
      </c>
    </row>
    <row r="33" spans="1:9" x14ac:dyDescent="0.45">
      <c r="A33" t="s">
        <v>145</v>
      </c>
      <c r="B33">
        <v>2022</v>
      </c>
      <c r="C33">
        <v>146.43</v>
      </c>
      <c r="D33">
        <v>165.99</v>
      </c>
      <c r="E33">
        <v>5.58</v>
      </c>
      <c r="F33">
        <v>0.6</v>
      </c>
      <c r="G33">
        <v>47.39</v>
      </c>
      <c r="H33">
        <v>-4.4000000000000004</v>
      </c>
      <c r="I33">
        <v>282.05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146</v>
      </c>
      <c r="C11">
        <v>2020</v>
      </c>
      <c r="D11">
        <v>60</v>
      </c>
      <c r="E11">
        <v>8.68</v>
      </c>
      <c r="F11">
        <v>6.87</v>
      </c>
      <c r="G11">
        <v>10.43</v>
      </c>
      <c r="H11">
        <v>0</v>
      </c>
      <c r="I11">
        <v>55.17</v>
      </c>
      <c r="J11">
        <v>0</v>
      </c>
      <c r="K11">
        <v>13.64</v>
      </c>
      <c r="L11" t="s">
        <v>1</v>
      </c>
      <c r="M11" t="s">
        <v>27</v>
      </c>
    </row>
    <row r="12" spans="1:13" x14ac:dyDescent="0.45">
      <c r="A12" t="s">
        <v>0</v>
      </c>
      <c r="B12" t="s">
        <v>146</v>
      </c>
      <c r="C12">
        <v>2025</v>
      </c>
      <c r="D12">
        <v>60</v>
      </c>
      <c r="E12">
        <v>190.52</v>
      </c>
      <c r="F12">
        <v>181.51</v>
      </c>
      <c r="G12">
        <v>136.22999999999999</v>
      </c>
      <c r="H12">
        <v>1.81</v>
      </c>
      <c r="I12">
        <v>626.48</v>
      </c>
      <c r="J12">
        <v>115.48</v>
      </c>
      <c r="K12">
        <v>238.58</v>
      </c>
      <c r="L12" t="s">
        <v>1</v>
      </c>
      <c r="M12" t="s">
        <v>27</v>
      </c>
    </row>
    <row r="13" spans="1:13" x14ac:dyDescent="0.45">
      <c r="A13" t="s">
        <v>0</v>
      </c>
      <c r="B13" t="s">
        <v>146</v>
      </c>
      <c r="C13">
        <v>2030</v>
      </c>
      <c r="D13">
        <v>60</v>
      </c>
      <c r="E13">
        <v>268.18</v>
      </c>
      <c r="F13">
        <v>241.69</v>
      </c>
      <c r="G13">
        <v>134.29</v>
      </c>
      <c r="H13">
        <v>1.27</v>
      </c>
      <c r="I13">
        <v>673.46</v>
      </c>
      <c r="J13">
        <v>182.47</v>
      </c>
      <c r="K13">
        <v>329.7</v>
      </c>
      <c r="L13" t="s">
        <v>1</v>
      </c>
      <c r="M13" t="s">
        <v>27</v>
      </c>
    </row>
    <row r="14" spans="1:13" x14ac:dyDescent="0.45">
      <c r="A14" t="s">
        <v>0</v>
      </c>
      <c r="B14" t="s">
        <v>146</v>
      </c>
      <c r="C14">
        <v>2035</v>
      </c>
      <c r="D14">
        <v>60</v>
      </c>
      <c r="E14">
        <v>363.27</v>
      </c>
      <c r="F14">
        <v>339.03</v>
      </c>
      <c r="G14">
        <v>173.79</v>
      </c>
      <c r="H14">
        <v>14.37</v>
      </c>
      <c r="I14">
        <v>859.53</v>
      </c>
      <c r="J14">
        <v>227.05</v>
      </c>
      <c r="K14">
        <v>483.38</v>
      </c>
      <c r="L14" t="s">
        <v>1</v>
      </c>
      <c r="M14" t="s">
        <v>27</v>
      </c>
    </row>
    <row r="15" spans="1:13" x14ac:dyDescent="0.45">
      <c r="A15" t="s">
        <v>0</v>
      </c>
      <c r="B15" t="s">
        <v>146</v>
      </c>
      <c r="C15">
        <v>2040</v>
      </c>
      <c r="D15">
        <v>60</v>
      </c>
      <c r="E15">
        <v>471.65</v>
      </c>
      <c r="F15">
        <v>410.28</v>
      </c>
      <c r="G15">
        <v>224.31</v>
      </c>
      <c r="H15">
        <v>162.1</v>
      </c>
      <c r="I15">
        <v>1097.01</v>
      </c>
      <c r="J15">
        <v>298.63</v>
      </c>
      <c r="K15">
        <v>622.14</v>
      </c>
      <c r="L15" t="s">
        <v>1</v>
      </c>
      <c r="M15" t="s">
        <v>27</v>
      </c>
    </row>
    <row r="16" spans="1:13" x14ac:dyDescent="0.45">
      <c r="A16" t="s">
        <v>0</v>
      </c>
      <c r="B16" t="s">
        <v>146</v>
      </c>
      <c r="C16">
        <v>2045</v>
      </c>
      <c r="D16">
        <v>60</v>
      </c>
      <c r="E16">
        <v>565.69000000000005</v>
      </c>
      <c r="F16">
        <v>494.2</v>
      </c>
      <c r="G16">
        <v>256.14999999999998</v>
      </c>
      <c r="H16">
        <v>193.42</v>
      </c>
      <c r="I16">
        <v>1269.8800000000001</v>
      </c>
      <c r="J16">
        <v>352.78</v>
      </c>
      <c r="K16">
        <v>748.01</v>
      </c>
      <c r="L16" t="s">
        <v>1</v>
      </c>
      <c r="M16" t="s">
        <v>27</v>
      </c>
    </row>
    <row r="17" spans="1:13" x14ac:dyDescent="0.45">
      <c r="A17" t="s">
        <v>0</v>
      </c>
      <c r="B17" t="s">
        <v>146</v>
      </c>
      <c r="C17">
        <v>2050</v>
      </c>
      <c r="D17">
        <v>60</v>
      </c>
      <c r="E17">
        <v>647.44000000000005</v>
      </c>
      <c r="F17">
        <v>635.42999999999995</v>
      </c>
      <c r="G17">
        <v>273.56</v>
      </c>
      <c r="H17">
        <v>209.76</v>
      </c>
      <c r="I17">
        <v>1170.26</v>
      </c>
      <c r="J17">
        <v>409.79</v>
      </c>
      <c r="K17">
        <v>887.68</v>
      </c>
      <c r="L17" t="s">
        <v>1</v>
      </c>
      <c r="M17" t="s">
        <v>27</v>
      </c>
    </row>
    <row r="18" spans="1:13" x14ac:dyDescent="0.45">
      <c r="A18" t="s">
        <v>2</v>
      </c>
      <c r="B18" t="s">
        <v>146</v>
      </c>
      <c r="C18">
        <v>2020</v>
      </c>
      <c r="D18">
        <v>86</v>
      </c>
      <c r="E18">
        <v>6.44</v>
      </c>
      <c r="F18">
        <v>0</v>
      </c>
      <c r="G18">
        <v>8.34</v>
      </c>
      <c r="H18">
        <v>0</v>
      </c>
      <c r="I18">
        <v>24.5</v>
      </c>
      <c r="J18">
        <v>0</v>
      </c>
      <c r="K18">
        <v>12.68</v>
      </c>
      <c r="L18" t="s">
        <v>3</v>
      </c>
      <c r="M18" t="s">
        <v>27</v>
      </c>
    </row>
    <row r="19" spans="1:13" x14ac:dyDescent="0.45">
      <c r="A19" t="s">
        <v>2</v>
      </c>
      <c r="B19" t="s">
        <v>146</v>
      </c>
      <c r="C19">
        <v>2025</v>
      </c>
      <c r="D19">
        <v>75</v>
      </c>
      <c r="E19">
        <v>63.21</v>
      </c>
      <c r="F19">
        <v>44.89</v>
      </c>
      <c r="G19">
        <v>56.62</v>
      </c>
      <c r="H19">
        <v>3.21</v>
      </c>
      <c r="I19">
        <v>273</v>
      </c>
      <c r="J19">
        <v>27.09</v>
      </c>
      <c r="K19">
        <v>77.31</v>
      </c>
      <c r="L19" t="s">
        <v>3</v>
      </c>
      <c r="M19" t="s">
        <v>27</v>
      </c>
    </row>
    <row r="20" spans="1:13" x14ac:dyDescent="0.45">
      <c r="A20" t="s">
        <v>2</v>
      </c>
      <c r="B20" t="s">
        <v>146</v>
      </c>
      <c r="C20">
        <v>2030</v>
      </c>
      <c r="D20">
        <v>86</v>
      </c>
      <c r="E20">
        <v>85.48</v>
      </c>
      <c r="F20">
        <v>63.36</v>
      </c>
      <c r="G20">
        <v>73.459999999999994</v>
      </c>
      <c r="H20">
        <v>0</v>
      </c>
      <c r="I20">
        <v>409.5</v>
      </c>
      <c r="J20">
        <v>50</v>
      </c>
      <c r="K20">
        <v>111.1</v>
      </c>
      <c r="L20" t="s">
        <v>3</v>
      </c>
      <c r="M20" t="s">
        <v>27</v>
      </c>
    </row>
    <row r="21" spans="1:13" x14ac:dyDescent="0.45">
      <c r="A21" t="s">
        <v>2</v>
      </c>
      <c r="B21" t="s">
        <v>146</v>
      </c>
      <c r="C21">
        <v>2035</v>
      </c>
      <c r="D21">
        <v>75</v>
      </c>
      <c r="E21">
        <v>208.71</v>
      </c>
      <c r="F21">
        <v>154.82</v>
      </c>
      <c r="G21">
        <v>291.77999999999997</v>
      </c>
      <c r="H21">
        <v>60.83</v>
      </c>
      <c r="I21">
        <v>2037.12</v>
      </c>
      <c r="J21">
        <v>93.79</v>
      </c>
      <c r="K21">
        <v>206.26</v>
      </c>
      <c r="L21" t="s">
        <v>3</v>
      </c>
      <c r="M21" t="s">
        <v>27</v>
      </c>
    </row>
    <row r="22" spans="1:13" x14ac:dyDescent="0.45">
      <c r="A22" t="s">
        <v>2</v>
      </c>
      <c r="B22" t="s">
        <v>146</v>
      </c>
      <c r="C22">
        <v>2040</v>
      </c>
      <c r="D22">
        <v>86</v>
      </c>
      <c r="E22">
        <v>253.33</v>
      </c>
      <c r="F22">
        <v>172.09</v>
      </c>
      <c r="G22">
        <v>359.35</v>
      </c>
      <c r="H22">
        <v>0</v>
      </c>
      <c r="I22">
        <v>2600</v>
      </c>
      <c r="J22">
        <v>119.07</v>
      </c>
      <c r="K22">
        <v>259.39999999999998</v>
      </c>
      <c r="L22" t="s">
        <v>3</v>
      </c>
      <c r="M22" t="s">
        <v>27</v>
      </c>
    </row>
    <row r="23" spans="1:13" x14ac:dyDescent="0.45">
      <c r="A23" t="s">
        <v>2</v>
      </c>
      <c r="B23" t="s">
        <v>146</v>
      </c>
      <c r="C23">
        <v>2045</v>
      </c>
      <c r="D23">
        <v>75</v>
      </c>
      <c r="E23">
        <v>299.39999999999998</v>
      </c>
      <c r="F23">
        <v>253.87</v>
      </c>
      <c r="G23">
        <v>189.93</v>
      </c>
      <c r="H23">
        <v>103.36</v>
      </c>
      <c r="I23">
        <v>1213.1199999999999</v>
      </c>
      <c r="J23">
        <v>169.48</v>
      </c>
      <c r="K23">
        <v>352.5</v>
      </c>
      <c r="L23" t="s">
        <v>3</v>
      </c>
      <c r="M23" t="s">
        <v>27</v>
      </c>
    </row>
    <row r="24" spans="1:13" x14ac:dyDescent="0.45">
      <c r="A24" t="s">
        <v>2</v>
      </c>
      <c r="B24" t="s">
        <v>146</v>
      </c>
      <c r="C24">
        <v>2050</v>
      </c>
      <c r="D24">
        <v>86</v>
      </c>
      <c r="E24">
        <v>309.14999999999998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27</v>
      </c>
    </row>
    <row r="25" spans="1:13" x14ac:dyDescent="0.45">
      <c r="A25" t="s">
        <v>5</v>
      </c>
      <c r="B25" t="s">
        <v>146</v>
      </c>
      <c r="C25">
        <v>2020</v>
      </c>
      <c r="D25">
        <v>190</v>
      </c>
      <c r="E25">
        <v>9.32</v>
      </c>
      <c r="F25">
        <v>7.71</v>
      </c>
      <c r="G25">
        <v>13.68</v>
      </c>
      <c r="H25">
        <v>0</v>
      </c>
      <c r="I25">
        <v>128.75</v>
      </c>
      <c r="J25">
        <v>0</v>
      </c>
      <c r="K25">
        <v>14.86</v>
      </c>
      <c r="L25" t="s">
        <v>6</v>
      </c>
      <c r="M25" t="s">
        <v>27</v>
      </c>
    </row>
    <row r="26" spans="1:13" x14ac:dyDescent="0.45">
      <c r="A26" t="s">
        <v>5</v>
      </c>
      <c r="B26" t="s">
        <v>146</v>
      </c>
      <c r="C26">
        <v>2025</v>
      </c>
      <c r="D26">
        <v>167</v>
      </c>
      <c r="E26">
        <v>60.83</v>
      </c>
      <c r="F26">
        <v>42.81</v>
      </c>
      <c r="G26">
        <v>55.06</v>
      </c>
      <c r="H26">
        <v>0.05</v>
      </c>
      <c r="I26">
        <v>273</v>
      </c>
      <c r="J26">
        <v>23.68</v>
      </c>
      <c r="K26">
        <v>76.23</v>
      </c>
      <c r="L26" t="s">
        <v>6</v>
      </c>
      <c r="M26" t="s">
        <v>27</v>
      </c>
    </row>
    <row r="27" spans="1:13" x14ac:dyDescent="0.45">
      <c r="A27" t="s">
        <v>5</v>
      </c>
      <c r="B27" t="s">
        <v>146</v>
      </c>
      <c r="C27">
        <v>2030</v>
      </c>
      <c r="D27">
        <v>190</v>
      </c>
      <c r="E27">
        <v>90.32</v>
      </c>
      <c r="F27">
        <v>71.48</v>
      </c>
      <c r="G27">
        <v>69.180000000000007</v>
      </c>
      <c r="H27">
        <v>2.4900000000000002</v>
      </c>
      <c r="I27">
        <v>409.5</v>
      </c>
      <c r="J27">
        <v>50.2</v>
      </c>
      <c r="K27">
        <v>110.96</v>
      </c>
      <c r="L27" t="s">
        <v>6</v>
      </c>
      <c r="M27" t="s">
        <v>27</v>
      </c>
    </row>
    <row r="28" spans="1:13" x14ac:dyDescent="0.45">
      <c r="A28" t="s">
        <v>5</v>
      </c>
      <c r="B28" t="s">
        <v>146</v>
      </c>
      <c r="C28">
        <v>2035</v>
      </c>
      <c r="D28">
        <v>167</v>
      </c>
      <c r="E28">
        <v>130.19999999999999</v>
      </c>
      <c r="F28">
        <v>104.42</v>
      </c>
      <c r="G28">
        <v>98.85</v>
      </c>
      <c r="H28">
        <v>16.87</v>
      </c>
      <c r="I28">
        <v>960.63</v>
      </c>
      <c r="J28">
        <v>72.599999999999994</v>
      </c>
      <c r="K28">
        <v>168.65</v>
      </c>
      <c r="L28" t="s">
        <v>6</v>
      </c>
      <c r="M28" t="s">
        <v>27</v>
      </c>
    </row>
    <row r="29" spans="1:13" x14ac:dyDescent="0.45">
      <c r="A29" t="s">
        <v>5</v>
      </c>
      <c r="B29" t="s">
        <v>146</v>
      </c>
      <c r="C29">
        <v>2040</v>
      </c>
      <c r="D29">
        <v>190</v>
      </c>
      <c r="E29">
        <v>167.07</v>
      </c>
      <c r="F29">
        <v>134.85</v>
      </c>
      <c r="G29">
        <v>118.94</v>
      </c>
      <c r="H29">
        <v>46.91</v>
      </c>
      <c r="I29">
        <v>1226.04</v>
      </c>
      <c r="J29">
        <v>98.66</v>
      </c>
      <c r="K29">
        <v>213.93</v>
      </c>
      <c r="L29" t="s">
        <v>6</v>
      </c>
      <c r="M29" t="s">
        <v>27</v>
      </c>
    </row>
    <row r="30" spans="1:13" x14ac:dyDescent="0.45">
      <c r="A30" t="s">
        <v>5</v>
      </c>
      <c r="B30" t="s">
        <v>146</v>
      </c>
      <c r="C30">
        <v>2045</v>
      </c>
      <c r="D30">
        <v>167</v>
      </c>
      <c r="E30">
        <v>208.52</v>
      </c>
      <c r="F30">
        <v>178.1</v>
      </c>
      <c r="G30">
        <v>150.1</v>
      </c>
      <c r="H30">
        <v>46.46</v>
      </c>
      <c r="I30">
        <v>1564.8</v>
      </c>
      <c r="J30">
        <v>120.71</v>
      </c>
      <c r="K30">
        <v>263.56</v>
      </c>
      <c r="L30" t="s">
        <v>6</v>
      </c>
      <c r="M30" t="s">
        <v>27</v>
      </c>
    </row>
    <row r="31" spans="1:13" x14ac:dyDescent="0.45">
      <c r="A31" t="s">
        <v>5</v>
      </c>
      <c r="B31" t="s">
        <v>146</v>
      </c>
      <c r="C31">
        <v>2050</v>
      </c>
      <c r="D31">
        <v>190</v>
      </c>
      <c r="E31">
        <v>240.94</v>
      </c>
      <c r="F31">
        <v>209.45</v>
      </c>
      <c r="G31">
        <v>124.18</v>
      </c>
      <c r="H31">
        <v>50.14</v>
      </c>
      <c r="I31">
        <v>712.07</v>
      </c>
      <c r="J31">
        <v>147.69999999999999</v>
      </c>
      <c r="K31">
        <v>301.86</v>
      </c>
      <c r="L31" t="s">
        <v>6</v>
      </c>
      <c r="M31" t="s">
        <v>27</v>
      </c>
    </row>
    <row r="32" spans="1:13" x14ac:dyDescent="0.45">
      <c r="A32" t="s">
        <v>7</v>
      </c>
      <c r="B32" t="s">
        <v>146</v>
      </c>
      <c r="C32">
        <v>2020</v>
      </c>
      <c r="D32">
        <v>74</v>
      </c>
      <c r="E32">
        <v>4.3499999999999996</v>
      </c>
      <c r="F32">
        <v>0</v>
      </c>
      <c r="G32">
        <v>7.73</v>
      </c>
      <c r="H32">
        <v>0</v>
      </c>
      <c r="I32">
        <v>24.38</v>
      </c>
      <c r="J32">
        <v>0</v>
      </c>
      <c r="K32">
        <v>7.17</v>
      </c>
      <c r="L32" t="s">
        <v>8</v>
      </c>
      <c r="M32" t="s">
        <v>27</v>
      </c>
    </row>
    <row r="33" spans="1:13" x14ac:dyDescent="0.45">
      <c r="A33" t="s">
        <v>7</v>
      </c>
      <c r="B33" t="s">
        <v>146</v>
      </c>
      <c r="C33">
        <v>2025</v>
      </c>
      <c r="D33">
        <v>68</v>
      </c>
      <c r="E33">
        <v>25.04</v>
      </c>
      <c r="F33">
        <v>22.1</v>
      </c>
      <c r="G33">
        <v>12.97</v>
      </c>
      <c r="H33">
        <v>0</v>
      </c>
      <c r="I33">
        <v>57.11</v>
      </c>
      <c r="J33">
        <v>16.3</v>
      </c>
      <c r="K33">
        <v>31.32</v>
      </c>
      <c r="L33" t="s">
        <v>8</v>
      </c>
      <c r="M33" t="s">
        <v>27</v>
      </c>
    </row>
    <row r="34" spans="1:13" x14ac:dyDescent="0.45">
      <c r="A34" t="s">
        <v>7</v>
      </c>
      <c r="B34" t="s">
        <v>146</v>
      </c>
      <c r="C34">
        <v>2030</v>
      </c>
      <c r="D34">
        <v>74</v>
      </c>
      <c r="E34">
        <v>54.37</v>
      </c>
      <c r="F34">
        <v>43.88</v>
      </c>
      <c r="G34">
        <v>32.69</v>
      </c>
      <c r="H34">
        <v>0</v>
      </c>
      <c r="I34">
        <v>123.26</v>
      </c>
      <c r="J34">
        <v>28.1</v>
      </c>
      <c r="K34">
        <v>76.42</v>
      </c>
      <c r="L34" t="s">
        <v>8</v>
      </c>
      <c r="M34" t="s">
        <v>27</v>
      </c>
    </row>
    <row r="35" spans="1:13" x14ac:dyDescent="0.45">
      <c r="A35" t="s">
        <v>7</v>
      </c>
      <c r="B35" t="s">
        <v>146</v>
      </c>
      <c r="C35">
        <v>2035</v>
      </c>
      <c r="D35">
        <v>68</v>
      </c>
      <c r="E35">
        <v>61.46</v>
      </c>
      <c r="F35">
        <v>52.06</v>
      </c>
      <c r="G35">
        <v>29.59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45">
      <c r="A36" t="s">
        <v>7</v>
      </c>
      <c r="B36" t="s">
        <v>146</v>
      </c>
      <c r="C36">
        <v>2040</v>
      </c>
      <c r="D36">
        <v>74</v>
      </c>
      <c r="E36">
        <v>86.34</v>
      </c>
      <c r="F36">
        <v>75.8</v>
      </c>
      <c r="G36">
        <v>43.25</v>
      </c>
      <c r="H36">
        <v>31.83</v>
      </c>
      <c r="I36">
        <v>281.89</v>
      </c>
      <c r="J36">
        <v>57.1</v>
      </c>
      <c r="K36">
        <v>108.06</v>
      </c>
      <c r="L36" t="s">
        <v>8</v>
      </c>
      <c r="M36" t="s">
        <v>27</v>
      </c>
    </row>
    <row r="37" spans="1:13" x14ac:dyDescent="0.45">
      <c r="A37" t="s">
        <v>7</v>
      </c>
      <c r="B37" t="s">
        <v>146</v>
      </c>
      <c r="C37">
        <v>2045</v>
      </c>
      <c r="D37">
        <v>68</v>
      </c>
      <c r="E37">
        <v>112.08</v>
      </c>
      <c r="F37">
        <v>94.76</v>
      </c>
      <c r="G37">
        <v>56.79</v>
      </c>
      <c r="H37">
        <v>42.44</v>
      </c>
      <c r="I37">
        <v>319.42</v>
      </c>
      <c r="J37">
        <v>72.430000000000007</v>
      </c>
      <c r="K37">
        <v>145.68</v>
      </c>
      <c r="L37" t="s">
        <v>8</v>
      </c>
      <c r="M37" t="s">
        <v>27</v>
      </c>
    </row>
    <row r="38" spans="1:13" x14ac:dyDescent="0.45">
      <c r="A38" t="s">
        <v>7</v>
      </c>
      <c r="B38" t="s">
        <v>146</v>
      </c>
      <c r="C38">
        <v>2050</v>
      </c>
      <c r="D38">
        <v>74</v>
      </c>
      <c r="E38">
        <v>132.24</v>
      </c>
      <c r="F38">
        <v>112.38</v>
      </c>
      <c r="G38">
        <v>60.01</v>
      </c>
      <c r="H38">
        <v>54.16</v>
      </c>
      <c r="I38">
        <v>331.7</v>
      </c>
      <c r="J38">
        <v>92.46</v>
      </c>
      <c r="K38">
        <v>161.43</v>
      </c>
      <c r="L38" t="s">
        <v>8</v>
      </c>
      <c r="M38" t="s">
        <v>27</v>
      </c>
    </row>
    <row r="39" spans="1:13" x14ac:dyDescent="0.45">
      <c r="A39" t="s">
        <v>9</v>
      </c>
      <c r="B39" t="s">
        <v>146</v>
      </c>
      <c r="C39">
        <v>2020</v>
      </c>
      <c r="D39">
        <v>55</v>
      </c>
      <c r="E39">
        <v>4.55</v>
      </c>
      <c r="F39">
        <v>0</v>
      </c>
      <c r="G39">
        <v>7.89</v>
      </c>
      <c r="H39">
        <v>0</v>
      </c>
      <c r="I39">
        <v>30.44</v>
      </c>
      <c r="J39">
        <v>0</v>
      </c>
      <c r="K39">
        <v>8.51</v>
      </c>
      <c r="L39" t="s">
        <v>10</v>
      </c>
      <c r="M39" t="s">
        <v>27</v>
      </c>
    </row>
    <row r="40" spans="1:13" x14ac:dyDescent="0.45">
      <c r="A40" t="s">
        <v>9</v>
      </c>
      <c r="B40" t="s">
        <v>146</v>
      </c>
      <c r="C40">
        <v>2025</v>
      </c>
      <c r="D40">
        <v>50</v>
      </c>
      <c r="E40">
        <v>5.0199999999999996</v>
      </c>
      <c r="F40">
        <v>0</v>
      </c>
      <c r="G40">
        <v>7.98</v>
      </c>
      <c r="H40">
        <v>0</v>
      </c>
      <c r="I40">
        <v>28.37</v>
      </c>
      <c r="J40">
        <v>0</v>
      </c>
      <c r="K40">
        <v>9.64</v>
      </c>
      <c r="L40" t="s">
        <v>10</v>
      </c>
      <c r="M40" t="s">
        <v>27</v>
      </c>
    </row>
    <row r="41" spans="1:13" x14ac:dyDescent="0.45">
      <c r="A41" t="s">
        <v>9</v>
      </c>
      <c r="B41" t="s">
        <v>146</v>
      </c>
      <c r="C41">
        <v>2030</v>
      </c>
      <c r="D41">
        <v>55</v>
      </c>
      <c r="E41">
        <v>8.19</v>
      </c>
      <c r="F41">
        <v>0</v>
      </c>
      <c r="G41">
        <v>16.579999999999998</v>
      </c>
      <c r="H41">
        <v>0</v>
      </c>
      <c r="I41">
        <v>84.88</v>
      </c>
      <c r="J41">
        <v>0</v>
      </c>
      <c r="K41">
        <v>10.58</v>
      </c>
      <c r="L41" t="s">
        <v>10</v>
      </c>
      <c r="M41" t="s">
        <v>27</v>
      </c>
    </row>
    <row r="42" spans="1:13" x14ac:dyDescent="0.45">
      <c r="A42" t="s">
        <v>9</v>
      </c>
      <c r="B42" t="s">
        <v>146</v>
      </c>
      <c r="C42">
        <v>2035</v>
      </c>
      <c r="D42">
        <v>50</v>
      </c>
      <c r="E42">
        <v>4.74</v>
      </c>
      <c r="F42">
        <v>0</v>
      </c>
      <c r="G42">
        <v>7.39</v>
      </c>
      <c r="H42">
        <v>0</v>
      </c>
      <c r="I42">
        <v>25.15</v>
      </c>
      <c r="J42">
        <v>0</v>
      </c>
      <c r="K42">
        <v>9.1</v>
      </c>
      <c r="L42" t="s">
        <v>10</v>
      </c>
      <c r="M42" t="s">
        <v>27</v>
      </c>
    </row>
    <row r="43" spans="1:13" x14ac:dyDescent="0.45">
      <c r="A43" t="s">
        <v>9</v>
      </c>
      <c r="B43" t="s">
        <v>146</v>
      </c>
      <c r="C43">
        <v>2040</v>
      </c>
      <c r="D43">
        <v>55</v>
      </c>
      <c r="E43">
        <v>4.25</v>
      </c>
      <c r="F43">
        <v>0</v>
      </c>
      <c r="G43">
        <v>6.92</v>
      </c>
      <c r="H43">
        <v>0</v>
      </c>
      <c r="I43">
        <v>23.62</v>
      </c>
      <c r="J43">
        <v>0</v>
      </c>
      <c r="K43">
        <v>8.6199999999999992</v>
      </c>
      <c r="L43" t="s">
        <v>10</v>
      </c>
      <c r="M43" t="s">
        <v>27</v>
      </c>
    </row>
    <row r="44" spans="1:13" x14ac:dyDescent="0.45">
      <c r="A44" t="s">
        <v>9</v>
      </c>
      <c r="B44" t="s">
        <v>146</v>
      </c>
      <c r="C44">
        <v>2045</v>
      </c>
      <c r="D44">
        <v>50</v>
      </c>
      <c r="E44">
        <v>4.62</v>
      </c>
      <c r="F44">
        <v>0</v>
      </c>
      <c r="G44">
        <v>6.86</v>
      </c>
      <c r="H44">
        <v>0</v>
      </c>
      <c r="I44">
        <v>22.16</v>
      </c>
      <c r="J44">
        <v>0</v>
      </c>
      <c r="K44">
        <v>8.7799999999999994</v>
      </c>
      <c r="L44" t="s">
        <v>10</v>
      </c>
      <c r="M44" t="s">
        <v>27</v>
      </c>
    </row>
    <row r="45" spans="1:13" x14ac:dyDescent="0.45">
      <c r="A45" t="s">
        <v>9</v>
      </c>
      <c r="B45" t="s">
        <v>146</v>
      </c>
      <c r="C45">
        <v>2050</v>
      </c>
      <c r="D45">
        <v>55</v>
      </c>
      <c r="E45">
        <v>4.18</v>
      </c>
      <c r="F45">
        <v>0</v>
      </c>
      <c r="G45">
        <v>6.55</v>
      </c>
      <c r="H45">
        <v>0</v>
      </c>
      <c r="I45">
        <v>23.71</v>
      </c>
      <c r="J45">
        <v>0</v>
      </c>
      <c r="K45">
        <v>8.48</v>
      </c>
      <c r="L45" t="s">
        <v>10</v>
      </c>
      <c r="M45" t="s">
        <v>27</v>
      </c>
    </row>
    <row r="46" spans="1:13" x14ac:dyDescent="0.45">
      <c r="A46" t="s">
        <v>0</v>
      </c>
      <c r="B46" t="s">
        <v>146</v>
      </c>
      <c r="C46">
        <v>2020</v>
      </c>
      <c r="D46">
        <v>63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146</v>
      </c>
      <c r="C47">
        <v>2025</v>
      </c>
      <c r="D47">
        <v>63</v>
      </c>
      <c r="E47">
        <v>1.04</v>
      </c>
      <c r="F47">
        <v>1.03</v>
      </c>
      <c r="G47">
        <v>0.06</v>
      </c>
      <c r="H47">
        <v>0.94</v>
      </c>
      <c r="I47">
        <v>1.28</v>
      </c>
      <c r="J47">
        <v>1.02</v>
      </c>
      <c r="K47">
        <v>1.07</v>
      </c>
      <c r="L47" t="s">
        <v>1</v>
      </c>
      <c r="M47" t="s">
        <v>11</v>
      </c>
    </row>
    <row r="48" spans="1:13" x14ac:dyDescent="0.45">
      <c r="A48" t="s">
        <v>0</v>
      </c>
      <c r="B48" t="s">
        <v>146</v>
      </c>
      <c r="C48">
        <v>2030</v>
      </c>
      <c r="D48">
        <v>63</v>
      </c>
      <c r="E48">
        <v>1.19</v>
      </c>
      <c r="F48">
        <v>1.19</v>
      </c>
      <c r="G48">
        <v>0.12</v>
      </c>
      <c r="H48">
        <v>1</v>
      </c>
      <c r="I48">
        <v>1.72</v>
      </c>
      <c r="J48">
        <v>1.1499999999999999</v>
      </c>
      <c r="K48">
        <v>1.21</v>
      </c>
      <c r="L48" t="s">
        <v>1</v>
      </c>
      <c r="M48" t="s">
        <v>11</v>
      </c>
    </row>
    <row r="49" spans="1:13" x14ac:dyDescent="0.45">
      <c r="A49" t="s">
        <v>0</v>
      </c>
      <c r="B49" t="s">
        <v>146</v>
      </c>
      <c r="C49">
        <v>2035</v>
      </c>
      <c r="D49">
        <v>63</v>
      </c>
      <c r="E49">
        <v>1.41</v>
      </c>
      <c r="F49">
        <v>1.43</v>
      </c>
      <c r="G49">
        <v>0.17</v>
      </c>
      <c r="H49">
        <v>1.0900000000000001</v>
      </c>
      <c r="I49">
        <v>1.97</v>
      </c>
      <c r="J49">
        <v>1.33</v>
      </c>
      <c r="K49">
        <v>1.5</v>
      </c>
      <c r="L49" t="s">
        <v>1</v>
      </c>
      <c r="M49" t="s">
        <v>11</v>
      </c>
    </row>
    <row r="50" spans="1:13" x14ac:dyDescent="0.45">
      <c r="A50" t="s">
        <v>0</v>
      </c>
      <c r="B50" t="s">
        <v>146</v>
      </c>
      <c r="C50">
        <v>2040</v>
      </c>
      <c r="D50">
        <v>63</v>
      </c>
      <c r="E50">
        <v>1.62</v>
      </c>
      <c r="F50">
        <v>1.65</v>
      </c>
      <c r="G50">
        <v>0.22</v>
      </c>
      <c r="H50">
        <v>1.02</v>
      </c>
      <c r="I50">
        <v>2.09</v>
      </c>
      <c r="J50">
        <v>1.53</v>
      </c>
      <c r="K50">
        <v>1.75</v>
      </c>
      <c r="L50" t="s">
        <v>1</v>
      </c>
      <c r="M50" t="s">
        <v>11</v>
      </c>
    </row>
    <row r="51" spans="1:13" x14ac:dyDescent="0.45">
      <c r="A51" t="s">
        <v>0</v>
      </c>
      <c r="B51" t="s">
        <v>146</v>
      </c>
      <c r="C51">
        <v>2045</v>
      </c>
      <c r="D51">
        <v>63</v>
      </c>
      <c r="E51">
        <v>1.79</v>
      </c>
      <c r="F51">
        <v>1.81</v>
      </c>
      <c r="G51">
        <v>0.28000000000000003</v>
      </c>
      <c r="H51">
        <v>1.1200000000000001</v>
      </c>
      <c r="I51">
        <v>2.31</v>
      </c>
      <c r="J51">
        <v>1.63</v>
      </c>
      <c r="K51">
        <v>1.99</v>
      </c>
      <c r="L51" t="s">
        <v>1</v>
      </c>
      <c r="M51" t="s">
        <v>11</v>
      </c>
    </row>
    <row r="52" spans="1:13" x14ac:dyDescent="0.45">
      <c r="A52" t="s">
        <v>0</v>
      </c>
      <c r="B52" t="s">
        <v>146</v>
      </c>
      <c r="C52">
        <v>2050</v>
      </c>
      <c r="D52">
        <v>63</v>
      </c>
      <c r="E52">
        <v>1.92</v>
      </c>
      <c r="F52">
        <v>1.93</v>
      </c>
      <c r="G52">
        <v>0.31</v>
      </c>
      <c r="H52">
        <v>1.24</v>
      </c>
      <c r="I52">
        <v>2.54</v>
      </c>
      <c r="J52">
        <v>1.7</v>
      </c>
      <c r="K52">
        <v>2.14</v>
      </c>
      <c r="L52" t="s">
        <v>1</v>
      </c>
      <c r="M52" t="s">
        <v>11</v>
      </c>
    </row>
    <row r="53" spans="1:13" x14ac:dyDescent="0.45">
      <c r="A53" t="s">
        <v>2</v>
      </c>
      <c r="B53" t="s">
        <v>146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146</v>
      </c>
      <c r="C54">
        <v>2025</v>
      </c>
      <c r="D54">
        <v>89</v>
      </c>
      <c r="E54">
        <v>1.06</v>
      </c>
      <c r="F54">
        <v>1.05</v>
      </c>
      <c r="G54">
        <v>0.05</v>
      </c>
      <c r="H54">
        <v>0.99</v>
      </c>
      <c r="I54">
        <v>1.41</v>
      </c>
      <c r="J54">
        <v>1.03</v>
      </c>
      <c r="K54">
        <v>1.08</v>
      </c>
      <c r="L54" t="s">
        <v>3</v>
      </c>
      <c r="M54" t="s">
        <v>11</v>
      </c>
    </row>
    <row r="55" spans="1:13" x14ac:dyDescent="0.45">
      <c r="A55" t="s">
        <v>2</v>
      </c>
      <c r="B55" t="s">
        <v>146</v>
      </c>
      <c r="C55">
        <v>2030</v>
      </c>
      <c r="D55">
        <v>100</v>
      </c>
      <c r="E55">
        <v>1.2</v>
      </c>
      <c r="F55">
        <v>1.18</v>
      </c>
      <c r="G55">
        <v>0.12</v>
      </c>
      <c r="H55">
        <v>1.03</v>
      </c>
      <c r="I55">
        <v>1.61</v>
      </c>
      <c r="J55">
        <v>1.1399999999999999</v>
      </c>
      <c r="K55">
        <v>1.24</v>
      </c>
      <c r="L55" t="s">
        <v>3</v>
      </c>
      <c r="M55" t="s">
        <v>11</v>
      </c>
    </row>
    <row r="56" spans="1:13" x14ac:dyDescent="0.45">
      <c r="A56" t="s">
        <v>2</v>
      </c>
      <c r="B56" t="s">
        <v>146</v>
      </c>
      <c r="C56">
        <v>2035</v>
      </c>
      <c r="D56">
        <v>89</v>
      </c>
      <c r="E56">
        <v>1.32</v>
      </c>
      <c r="F56">
        <v>1.32</v>
      </c>
      <c r="G56">
        <v>0.13</v>
      </c>
      <c r="H56">
        <v>1.03</v>
      </c>
      <c r="I56">
        <v>1.87</v>
      </c>
      <c r="J56">
        <v>1.26</v>
      </c>
      <c r="K56">
        <v>1.37</v>
      </c>
      <c r="L56" t="s">
        <v>3</v>
      </c>
      <c r="M56" t="s">
        <v>11</v>
      </c>
    </row>
    <row r="57" spans="1:13" x14ac:dyDescent="0.45">
      <c r="A57" t="s">
        <v>2</v>
      </c>
      <c r="B57" t="s">
        <v>146</v>
      </c>
      <c r="C57">
        <v>2040</v>
      </c>
      <c r="D57">
        <v>100</v>
      </c>
      <c r="E57">
        <v>1.56</v>
      </c>
      <c r="F57">
        <v>1.54</v>
      </c>
      <c r="G57">
        <v>0.22</v>
      </c>
      <c r="H57">
        <v>1.07</v>
      </c>
      <c r="I57">
        <v>2.1800000000000002</v>
      </c>
      <c r="J57">
        <v>1.42</v>
      </c>
      <c r="K57">
        <v>1.65</v>
      </c>
      <c r="L57" t="s">
        <v>3</v>
      </c>
      <c r="M57" t="s">
        <v>11</v>
      </c>
    </row>
    <row r="58" spans="1:13" x14ac:dyDescent="0.45">
      <c r="A58" t="s">
        <v>2</v>
      </c>
      <c r="B58" t="s">
        <v>146</v>
      </c>
      <c r="C58">
        <v>2045</v>
      </c>
      <c r="D58">
        <v>89</v>
      </c>
      <c r="E58">
        <v>1.68</v>
      </c>
      <c r="F58">
        <v>1.64</v>
      </c>
      <c r="G58">
        <v>0.24</v>
      </c>
      <c r="H58">
        <v>1.1000000000000001</v>
      </c>
      <c r="I58">
        <v>2.4500000000000002</v>
      </c>
      <c r="J58">
        <v>1.52</v>
      </c>
      <c r="K58">
        <v>1.88</v>
      </c>
      <c r="L58" t="s">
        <v>3</v>
      </c>
      <c r="M58" t="s">
        <v>11</v>
      </c>
    </row>
    <row r="59" spans="1:13" x14ac:dyDescent="0.45">
      <c r="A59" t="s">
        <v>2</v>
      </c>
      <c r="B59" t="s">
        <v>146</v>
      </c>
      <c r="C59">
        <v>2050</v>
      </c>
      <c r="D59">
        <v>100</v>
      </c>
      <c r="E59">
        <v>1.9</v>
      </c>
      <c r="F59">
        <v>1.92</v>
      </c>
      <c r="G59">
        <v>0.35</v>
      </c>
      <c r="H59">
        <v>1.1299999999999999</v>
      </c>
      <c r="I59">
        <v>2.66</v>
      </c>
      <c r="J59">
        <v>1.66</v>
      </c>
      <c r="K59">
        <v>2.11</v>
      </c>
      <c r="L59" t="s">
        <v>3</v>
      </c>
      <c r="M59" t="s">
        <v>11</v>
      </c>
    </row>
    <row r="60" spans="1:13" x14ac:dyDescent="0.45">
      <c r="A60" t="s">
        <v>5</v>
      </c>
      <c r="B60" t="s">
        <v>146</v>
      </c>
      <c r="C60">
        <v>2020</v>
      </c>
      <c r="D60">
        <v>219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146</v>
      </c>
      <c r="C61">
        <v>2025</v>
      </c>
      <c r="D61">
        <v>196</v>
      </c>
      <c r="E61">
        <v>1.05</v>
      </c>
      <c r="F61">
        <v>1.05</v>
      </c>
      <c r="G61">
        <v>0.04</v>
      </c>
      <c r="H61">
        <v>0.95</v>
      </c>
      <c r="I61">
        <v>1.19</v>
      </c>
      <c r="J61">
        <v>1.03</v>
      </c>
      <c r="K61">
        <v>1.07</v>
      </c>
      <c r="L61" t="s">
        <v>6</v>
      </c>
      <c r="M61" t="s">
        <v>11</v>
      </c>
    </row>
    <row r="62" spans="1:13" x14ac:dyDescent="0.45">
      <c r="A62" t="s">
        <v>5</v>
      </c>
      <c r="B62" t="s">
        <v>146</v>
      </c>
      <c r="C62">
        <v>2030</v>
      </c>
      <c r="D62">
        <v>219</v>
      </c>
      <c r="E62">
        <v>1.1499999999999999</v>
      </c>
      <c r="F62">
        <v>1.17</v>
      </c>
      <c r="G62">
        <v>7.0000000000000007E-2</v>
      </c>
      <c r="H62">
        <v>0.95</v>
      </c>
      <c r="I62">
        <v>1.44</v>
      </c>
      <c r="J62">
        <v>1.1100000000000001</v>
      </c>
      <c r="K62">
        <v>1.19</v>
      </c>
      <c r="L62" t="s">
        <v>6</v>
      </c>
      <c r="M62" t="s">
        <v>11</v>
      </c>
    </row>
    <row r="63" spans="1:13" x14ac:dyDescent="0.45">
      <c r="A63" t="s">
        <v>5</v>
      </c>
      <c r="B63" t="s">
        <v>146</v>
      </c>
      <c r="C63">
        <v>2035</v>
      </c>
      <c r="D63">
        <v>196</v>
      </c>
      <c r="E63">
        <v>1.32</v>
      </c>
      <c r="F63">
        <v>1.32</v>
      </c>
      <c r="G63">
        <v>0.14000000000000001</v>
      </c>
      <c r="H63">
        <v>0.93</v>
      </c>
      <c r="I63">
        <v>1.8</v>
      </c>
      <c r="J63">
        <v>1.23</v>
      </c>
      <c r="K63">
        <v>1.4</v>
      </c>
      <c r="L63" t="s">
        <v>6</v>
      </c>
      <c r="M63" t="s">
        <v>11</v>
      </c>
    </row>
    <row r="64" spans="1:13" x14ac:dyDescent="0.45">
      <c r="A64" t="s">
        <v>5</v>
      </c>
      <c r="B64" t="s">
        <v>146</v>
      </c>
      <c r="C64">
        <v>2040</v>
      </c>
      <c r="D64">
        <v>219</v>
      </c>
      <c r="E64">
        <v>1.47</v>
      </c>
      <c r="F64">
        <v>1.5</v>
      </c>
      <c r="G64">
        <v>0.2</v>
      </c>
      <c r="H64">
        <v>0.97</v>
      </c>
      <c r="I64">
        <v>1.9</v>
      </c>
      <c r="J64">
        <v>1.36</v>
      </c>
      <c r="K64">
        <v>1.61</v>
      </c>
      <c r="L64" t="s">
        <v>6</v>
      </c>
      <c r="M64" t="s">
        <v>11</v>
      </c>
    </row>
    <row r="65" spans="1:13" x14ac:dyDescent="0.45">
      <c r="A65" t="s">
        <v>5</v>
      </c>
      <c r="B65" t="s">
        <v>146</v>
      </c>
      <c r="C65">
        <v>2045</v>
      </c>
      <c r="D65">
        <v>196</v>
      </c>
      <c r="E65">
        <v>1.69</v>
      </c>
      <c r="F65">
        <v>1.68</v>
      </c>
      <c r="G65">
        <v>0.25</v>
      </c>
      <c r="H65">
        <v>1.04</v>
      </c>
      <c r="I65">
        <v>2.17</v>
      </c>
      <c r="J65">
        <v>1.51</v>
      </c>
      <c r="K65">
        <v>1.84</v>
      </c>
      <c r="L65" t="s">
        <v>6</v>
      </c>
      <c r="M65" t="s">
        <v>11</v>
      </c>
    </row>
    <row r="66" spans="1:13" x14ac:dyDescent="0.45">
      <c r="A66" t="s">
        <v>5</v>
      </c>
      <c r="B66" t="s">
        <v>146</v>
      </c>
      <c r="C66">
        <v>2050</v>
      </c>
      <c r="D66">
        <v>219</v>
      </c>
      <c r="E66">
        <v>1.82</v>
      </c>
      <c r="F66">
        <v>1.81</v>
      </c>
      <c r="G66">
        <v>0.3</v>
      </c>
      <c r="H66">
        <v>1.1399999999999999</v>
      </c>
      <c r="I66">
        <v>2.73</v>
      </c>
      <c r="J66">
        <v>1.6</v>
      </c>
      <c r="K66">
        <v>2.0099999999999998</v>
      </c>
      <c r="L66" t="s">
        <v>6</v>
      </c>
      <c r="M66" t="s">
        <v>11</v>
      </c>
    </row>
    <row r="67" spans="1:13" x14ac:dyDescent="0.45">
      <c r="A67" t="s">
        <v>7</v>
      </c>
      <c r="B67" t="s">
        <v>146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146</v>
      </c>
      <c r="C68">
        <v>2025</v>
      </c>
      <c r="D68">
        <v>96</v>
      </c>
      <c r="E68">
        <v>1.06</v>
      </c>
      <c r="F68">
        <v>1.05</v>
      </c>
      <c r="G68">
        <v>0.05</v>
      </c>
      <c r="H68">
        <v>0.99</v>
      </c>
      <c r="I68">
        <v>1.24</v>
      </c>
      <c r="J68">
        <v>1.02</v>
      </c>
      <c r="K68">
        <v>1.08</v>
      </c>
      <c r="L68" t="s">
        <v>8</v>
      </c>
      <c r="M68" t="s">
        <v>11</v>
      </c>
    </row>
    <row r="69" spans="1:13" x14ac:dyDescent="0.45">
      <c r="A69" t="s">
        <v>7</v>
      </c>
      <c r="B69" t="s">
        <v>146</v>
      </c>
      <c r="C69">
        <v>2030</v>
      </c>
      <c r="D69">
        <v>102</v>
      </c>
      <c r="E69">
        <v>1.1399999999999999</v>
      </c>
      <c r="F69">
        <v>1.17</v>
      </c>
      <c r="G69">
        <v>0.08</v>
      </c>
      <c r="H69">
        <v>1.02</v>
      </c>
      <c r="I69">
        <v>1.37</v>
      </c>
      <c r="J69">
        <v>1.05</v>
      </c>
      <c r="K69">
        <v>1.19</v>
      </c>
      <c r="L69" t="s">
        <v>8</v>
      </c>
      <c r="M69" t="s">
        <v>11</v>
      </c>
    </row>
    <row r="70" spans="1:13" x14ac:dyDescent="0.45">
      <c r="A70" t="s">
        <v>7</v>
      </c>
      <c r="B70" t="s">
        <v>146</v>
      </c>
      <c r="C70">
        <v>2035</v>
      </c>
      <c r="D70">
        <v>96</v>
      </c>
      <c r="E70">
        <v>1.26</v>
      </c>
      <c r="F70">
        <v>1.29</v>
      </c>
      <c r="G70">
        <v>0.14000000000000001</v>
      </c>
      <c r="H70">
        <v>0.96</v>
      </c>
      <c r="I70">
        <v>1.54</v>
      </c>
      <c r="J70">
        <v>1.1399999999999999</v>
      </c>
      <c r="K70">
        <v>1.35</v>
      </c>
      <c r="L70" t="s">
        <v>8</v>
      </c>
      <c r="M70" t="s">
        <v>11</v>
      </c>
    </row>
    <row r="71" spans="1:13" x14ac:dyDescent="0.45">
      <c r="A71" t="s">
        <v>7</v>
      </c>
      <c r="B71" t="s">
        <v>146</v>
      </c>
      <c r="C71">
        <v>2040</v>
      </c>
      <c r="D71">
        <v>102</v>
      </c>
      <c r="E71">
        <v>1.39</v>
      </c>
      <c r="F71">
        <v>1.42</v>
      </c>
      <c r="G71">
        <v>0.2</v>
      </c>
      <c r="H71">
        <v>0.97</v>
      </c>
      <c r="I71">
        <v>1.75</v>
      </c>
      <c r="J71">
        <v>1.24</v>
      </c>
      <c r="K71">
        <v>1.51</v>
      </c>
      <c r="L71" t="s">
        <v>8</v>
      </c>
      <c r="M71" t="s">
        <v>11</v>
      </c>
    </row>
    <row r="72" spans="1:13" x14ac:dyDescent="0.45">
      <c r="A72" t="s">
        <v>7</v>
      </c>
      <c r="B72" t="s">
        <v>146</v>
      </c>
      <c r="C72">
        <v>2045</v>
      </c>
      <c r="D72">
        <v>96</v>
      </c>
      <c r="E72">
        <v>1.57</v>
      </c>
      <c r="F72">
        <v>1.59</v>
      </c>
      <c r="G72">
        <v>0.27</v>
      </c>
      <c r="H72">
        <v>1.01</v>
      </c>
      <c r="I72">
        <v>2.0699999999999998</v>
      </c>
      <c r="J72">
        <v>1.43</v>
      </c>
      <c r="K72">
        <v>1.68</v>
      </c>
      <c r="L72" t="s">
        <v>8</v>
      </c>
      <c r="M72" t="s">
        <v>11</v>
      </c>
    </row>
    <row r="73" spans="1:13" x14ac:dyDescent="0.45">
      <c r="A73" t="s">
        <v>7</v>
      </c>
      <c r="B73" t="s">
        <v>146</v>
      </c>
      <c r="C73">
        <v>2050</v>
      </c>
      <c r="D73">
        <v>102</v>
      </c>
      <c r="E73">
        <v>1.72</v>
      </c>
      <c r="F73">
        <v>1.73</v>
      </c>
      <c r="G73">
        <v>0.33</v>
      </c>
      <c r="H73">
        <v>1.07</v>
      </c>
      <c r="I73">
        <v>2.6</v>
      </c>
      <c r="J73">
        <v>1.54</v>
      </c>
      <c r="K73">
        <v>1.95</v>
      </c>
      <c r="L73" t="s">
        <v>8</v>
      </c>
      <c r="M73" t="s">
        <v>11</v>
      </c>
    </row>
    <row r="74" spans="1:13" x14ac:dyDescent="0.45">
      <c r="A74" t="s">
        <v>9</v>
      </c>
      <c r="B74" t="s">
        <v>146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146</v>
      </c>
      <c r="C75">
        <v>2025</v>
      </c>
      <c r="D75">
        <v>56</v>
      </c>
      <c r="E75">
        <v>1.08</v>
      </c>
      <c r="F75">
        <v>1.07</v>
      </c>
      <c r="G75">
        <v>0.08</v>
      </c>
      <c r="H75">
        <v>0.99</v>
      </c>
      <c r="I75">
        <v>1.6</v>
      </c>
      <c r="J75">
        <v>1.06</v>
      </c>
      <c r="K75">
        <v>1.1000000000000001</v>
      </c>
      <c r="L75" t="s">
        <v>10</v>
      </c>
      <c r="M75" t="s">
        <v>11</v>
      </c>
    </row>
    <row r="76" spans="1:13" x14ac:dyDescent="0.45">
      <c r="A76" t="s">
        <v>9</v>
      </c>
      <c r="B76" t="s">
        <v>146</v>
      </c>
      <c r="C76">
        <v>2030</v>
      </c>
      <c r="D76">
        <v>61</v>
      </c>
      <c r="E76">
        <v>1.1599999999999999</v>
      </c>
      <c r="F76">
        <v>1.1599999999999999</v>
      </c>
      <c r="G76">
        <v>0.09</v>
      </c>
      <c r="H76">
        <v>1.02</v>
      </c>
      <c r="I76">
        <v>1.58</v>
      </c>
      <c r="J76">
        <v>1.0900000000000001</v>
      </c>
      <c r="K76">
        <v>1.2</v>
      </c>
      <c r="L76" t="s">
        <v>10</v>
      </c>
      <c r="M76" t="s">
        <v>11</v>
      </c>
    </row>
    <row r="77" spans="1:13" x14ac:dyDescent="0.45">
      <c r="A77" t="s">
        <v>9</v>
      </c>
      <c r="B77" t="s">
        <v>146</v>
      </c>
      <c r="C77">
        <v>2035</v>
      </c>
      <c r="D77">
        <v>56</v>
      </c>
      <c r="E77">
        <v>1.25</v>
      </c>
      <c r="F77">
        <v>1.25</v>
      </c>
      <c r="G77">
        <v>0.11</v>
      </c>
      <c r="H77">
        <v>1.02</v>
      </c>
      <c r="I77">
        <v>1.5</v>
      </c>
      <c r="J77">
        <v>1.17</v>
      </c>
      <c r="K77">
        <v>1.33</v>
      </c>
      <c r="L77" t="s">
        <v>10</v>
      </c>
      <c r="M77" t="s">
        <v>11</v>
      </c>
    </row>
    <row r="78" spans="1:13" x14ac:dyDescent="0.45">
      <c r="A78" t="s">
        <v>9</v>
      </c>
      <c r="B78" t="s">
        <v>146</v>
      </c>
      <c r="C78">
        <v>2040</v>
      </c>
      <c r="D78">
        <v>61</v>
      </c>
      <c r="E78">
        <v>1.33</v>
      </c>
      <c r="F78">
        <v>1.3</v>
      </c>
      <c r="G78">
        <v>0.14000000000000001</v>
      </c>
      <c r="H78">
        <v>1.02</v>
      </c>
      <c r="I78">
        <v>1.72</v>
      </c>
      <c r="J78">
        <v>1.22</v>
      </c>
      <c r="K78">
        <v>1.44</v>
      </c>
      <c r="L78" t="s">
        <v>10</v>
      </c>
      <c r="M78" t="s">
        <v>11</v>
      </c>
    </row>
    <row r="79" spans="1:13" x14ac:dyDescent="0.45">
      <c r="A79" t="s">
        <v>9</v>
      </c>
      <c r="B79" t="s">
        <v>146</v>
      </c>
      <c r="C79">
        <v>2045</v>
      </c>
      <c r="D79">
        <v>56</v>
      </c>
      <c r="E79">
        <v>1.44</v>
      </c>
      <c r="F79">
        <v>1.41</v>
      </c>
      <c r="G79">
        <v>0.19</v>
      </c>
      <c r="H79">
        <v>1.03</v>
      </c>
      <c r="I79">
        <v>2.0299999999999998</v>
      </c>
      <c r="J79">
        <v>1.32</v>
      </c>
      <c r="K79">
        <v>1.56</v>
      </c>
      <c r="L79" t="s">
        <v>10</v>
      </c>
      <c r="M79" t="s">
        <v>11</v>
      </c>
    </row>
    <row r="80" spans="1:13" x14ac:dyDescent="0.45">
      <c r="A80" t="s">
        <v>9</v>
      </c>
      <c r="B80" t="s">
        <v>146</v>
      </c>
      <c r="C80">
        <v>2050</v>
      </c>
      <c r="D80">
        <v>61</v>
      </c>
      <c r="E80">
        <v>1.51</v>
      </c>
      <c r="F80">
        <v>1.48</v>
      </c>
      <c r="G80">
        <v>0.24</v>
      </c>
      <c r="H80">
        <v>1.04</v>
      </c>
      <c r="I80">
        <v>2.54</v>
      </c>
      <c r="J80">
        <v>1.36</v>
      </c>
      <c r="K80">
        <v>1.63</v>
      </c>
      <c r="L80" t="s">
        <v>10</v>
      </c>
      <c r="M80" t="s">
        <v>11</v>
      </c>
    </row>
    <row r="81" spans="1:13" x14ac:dyDescent="0.45">
      <c r="A81" t="s">
        <v>0</v>
      </c>
      <c r="B81" t="s">
        <v>146</v>
      </c>
      <c r="C81">
        <v>2020</v>
      </c>
      <c r="D81">
        <v>60</v>
      </c>
      <c r="E81">
        <v>0</v>
      </c>
      <c r="F81">
        <v>0.01</v>
      </c>
      <c r="G81">
        <v>0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45">
      <c r="A82" t="s">
        <v>0</v>
      </c>
      <c r="B82" t="s">
        <v>146</v>
      </c>
      <c r="C82">
        <v>2025</v>
      </c>
      <c r="D82">
        <v>60</v>
      </c>
      <c r="E82">
        <v>0.01</v>
      </c>
      <c r="F82">
        <v>0.01</v>
      </c>
      <c r="G82">
        <v>0.01</v>
      </c>
      <c r="H82">
        <v>0</v>
      </c>
      <c r="I82">
        <v>0.04</v>
      </c>
      <c r="J82">
        <v>0</v>
      </c>
      <c r="K82">
        <v>0.01</v>
      </c>
      <c r="L82" t="s">
        <v>1</v>
      </c>
      <c r="M82" t="s">
        <v>15</v>
      </c>
    </row>
    <row r="83" spans="1:13" x14ac:dyDescent="0.45">
      <c r="A83" t="s">
        <v>0</v>
      </c>
      <c r="B83" t="s">
        <v>146</v>
      </c>
      <c r="C83">
        <v>2030</v>
      </c>
      <c r="D83">
        <v>60</v>
      </c>
      <c r="E83">
        <v>0.02</v>
      </c>
      <c r="F83">
        <v>0.01</v>
      </c>
      <c r="G83">
        <v>0.03</v>
      </c>
      <c r="H83">
        <v>0</v>
      </c>
      <c r="I83">
        <v>0.16</v>
      </c>
      <c r="J83">
        <v>0</v>
      </c>
      <c r="K83">
        <v>0.02</v>
      </c>
      <c r="L83" t="s">
        <v>1</v>
      </c>
      <c r="M83" t="s">
        <v>15</v>
      </c>
    </row>
    <row r="84" spans="1:13" x14ac:dyDescent="0.45">
      <c r="A84" t="s">
        <v>0</v>
      </c>
      <c r="B84" t="s">
        <v>146</v>
      </c>
      <c r="C84">
        <v>2035</v>
      </c>
      <c r="D84">
        <v>60</v>
      </c>
      <c r="E84">
        <v>0.03</v>
      </c>
      <c r="F84">
        <v>0.03</v>
      </c>
      <c r="G84">
        <v>0.03</v>
      </c>
      <c r="H84">
        <v>0</v>
      </c>
      <c r="I84">
        <v>0.16</v>
      </c>
      <c r="J84">
        <v>0.01</v>
      </c>
      <c r="K84">
        <v>0.04</v>
      </c>
      <c r="L84" t="s">
        <v>1</v>
      </c>
      <c r="M84" t="s">
        <v>15</v>
      </c>
    </row>
    <row r="85" spans="1:13" x14ac:dyDescent="0.45">
      <c r="A85" t="s">
        <v>0</v>
      </c>
      <c r="B85" t="s">
        <v>146</v>
      </c>
      <c r="C85">
        <v>2040</v>
      </c>
      <c r="D85">
        <v>60</v>
      </c>
      <c r="E85">
        <v>0.04</v>
      </c>
      <c r="F85">
        <v>0.03</v>
      </c>
      <c r="G85">
        <v>0.04</v>
      </c>
      <c r="H85">
        <v>0</v>
      </c>
      <c r="I85">
        <v>0.15</v>
      </c>
      <c r="J85">
        <v>0.01</v>
      </c>
      <c r="K85">
        <v>0.06</v>
      </c>
      <c r="L85" t="s">
        <v>1</v>
      </c>
      <c r="M85" t="s">
        <v>15</v>
      </c>
    </row>
    <row r="86" spans="1:13" x14ac:dyDescent="0.45">
      <c r="A86" t="s">
        <v>0</v>
      </c>
      <c r="B86" t="s">
        <v>146</v>
      </c>
      <c r="C86">
        <v>2045</v>
      </c>
      <c r="D86">
        <v>60</v>
      </c>
      <c r="E86">
        <v>0.05</v>
      </c>
      <c r="F86">
        <v>0.04</v>
      </c>
      <c r="G86">
        <v>0.04</v>
      </c>
      <c r="H86">
        <v>0</v>
      </c>
      <c r="I86">
        <v>0.15</v>
      </c>
      <c r="J86">
        <v>0.02</v>
      </c>
      <c r="K86">
        <v>7.0000000000000007E-2</v>
      </c>
      <c r="L86" t="s">
        <v>1</v>
      </c>
      <c r="M86" t="s">
        <v>15</v>
      </c>
    </row>
    <row r="87" spans="1:13" x14ac:dyDescent="0.45">
      <c r="A87" t="s">
        <v>0</v>
      </c>
      <c r="B87" t="s">
        <v>146</v>
      </c>
      <c r="C87">
        <v>2050</v>
      </c>
      <c r="D87">
        <v>60</v>
      </c>
      <c r="E87">
        <v>0.06</v>
      </c>
      <c r="F87">
        <v>0.05</v>
      </c>
      <c r="G87">
        <v>0.04</v>
      </c>
      <c r="H87">
        <v>0</v>
      </c>
      <c r="I87">
        <v>0.13</v>
      </c>
      <c r="J87">
        <v>0.03</v>
      </c>
      <c r="K87">
        <v>7.0000000000000007E-2</v>
      </c>
      <c r="L87" t="s">
        <v>1</v>
      </c>
      <c r="M87" t="s">
        <v>15</v>
      </c>
    </row>
    <row r="88" spans="1:13" x14ac:dyDescent="0.45">
      <c r="A88" t="s">
        <v>2</v>
      </c>
      <c r="B88" t="s">
        <v>146</v>
      </c>
      <c r="C88">
        <v>2020</v>
      </c>
      <c r="D88">
        <v>93</v>
      </c>
      <c r="E88">
        <v>0</v>
      </c>
      <c r="F88">
        <v>0</v>
      </c>
      <c r="G88">
        <v>0</v>
      </c>
      <c r="H88">
        <v>0</v>
      </c>
      <c r="I88">
        <v>0.01</v>
      </c>
      <c r="J88">
        <v>0</v>
      </c>
      <c r="K88">
        <v>0</v>
      </c>
      <c r="L88" t="s">
        <v>3</v>
      </c>
      <c r="M88" t="s">
        <v>15</v>
      </c>
    </row>
    <row r="89" spans="1:13" x14ac:dyDescent="0.45">
      <c r="A89" t="s">
        <v>2</v>
      </c>
      <c r="B89" t="s">
        <v>146</v>
      </c>
      <c r="C89">
        <v>2025</v>
      </c>
      <c r="D89">
        <v>82</v>
      </c>
      <c r="E89">
        <v>0</v>
      </c>
      <c r="F89">
        <v>0</v>
      </c>
      <c r="G89">
        <v>0.01</v>
      </c>
      <c r="H89">
        <v>0</v>
      </c>
      <c r="I89">
        <v>0.03</v>
      </c>
      <c r="J89">
        <v>0</v>
      </c>
      <c r="K89">
        <v>0.01</v>
      </c>
      <c r="L89" t="s">
        <v>3</v>
      </c>
      <c r="M89" t="s">
        <v>15</v>
      </c>
    </row>
    <row r="90" spans="1:13" x14ac:dyDescent="0.45">
      <c r="A90" t="s">
        <v>2</v>
      </c>
      <c r="B90" t="s">
        <v>146</v>
      </c>
      <c r="C90">
        <v>2030</v>
      </c>
      <c r="D90">
        <v>93</v>
      </c>
      <c r="E90">
        <v>0.01</v>
      </c>
      <c r="F90">
        <v>0</v>
      </c>
      <c r="G90">
        <v>0.01</v>
      </c>
      <c r="H90">
        <v>0</v>
      </c>
      <c r="I90">
        <v>0.05</v>
      </c>
      <c r="J90">
        <v>0</v>
      </c>
      <c r="K90">
        <v>0.02</v>
      </c>
      <c r="L90" t="s">
        <v>3</v>
      </c>
      <c r="M90" t="s">
        <v>15</v>
      </c>
    </row>
    <row r="91" spans="1:13" x14ac:dyDescent="0.45">
      <c r="A91" t="s">
        <v>2</v>
      </c>
      <c r="B91" t="s">
        <v>146</v>
      </c>
      <c r="C91">
        <v>2035</v>
      </c>
      <c r="D91">
        <v>82</v>
      </c>
      <c r="E91">
        <v>0.01</v>
      </c>
      <c r="F91">
        <v>0.01</v>
      </c>
      <c r="G91">
        <v>0.02</v>
      </c>
      <c r="H91">
        <v>0</v>
      </c>
      <c r="I91">
        <v>7.0000000000000007E-2</v>
      </c>
      <c r="J91">
        <v>0</v>
      </c>
      <c r="K91">
        <v>0.03</v>
      </c>
      <c r="L91" t="s">
        <v>3</v>
      </c>
      <c r="M91" t="s">
        <v>15</v>
      </c>
    </row>
    <row r="92" spans="1:13" x14ac:dyDescent="0.45">
      <c r="A92" t="s">
        <v>2</v>
      </c>
      <c r="B92" t="s">
        <v>146</v>
      </c>
      <c r="C92">
        <v>2040</v>
      </c>
      <c r="D92">
        <v>93</v>
      </c>
      <c r="E92">
        <v>0.02</v>
      </c>
      <c r="F92">
        <v>0.02</v>
      </c>
      <c r="G92">
        <v>0.03</v>
      </c>
      <c r="H92">
        <v>0</v>
      </c>
      <c r="I92">
        <v>0.11</v>
      </c>
      <c r="J92">
        <v>0</v>
      </c>
      <c r="K92">
        <v>0.04</v>
      </c>
      <c r="L92" t="s">
        <v>3</v>
      </c>
      <c r="M92" t="s">
        <v>15</v>
      </c>
    </row>
    <row r="93" spans="1:13" x14ac:dyDescent="0.45">
      <c r="A93" t="s">
        <v>2</v>
      </c>
      <c r="B93" t="s">
        <v>146</v>
      </c>
      <c r="C93">
        <v>2045</v>
      </c>
      <c r="D93">
        <v>82</v>
      </c>
      <c r="E93">
        <v>0.03</v>
      </c>
      <c r="F93">
        <v>0.02</v>
      </c>
      <c r="G93">
        <v>0.03</v>
      </c>
      <c r="H93">
        <v>0</v>
      </c>
      <c r="I93">
        <v>0.12</v>
      </c>
      <c r="J93">
        <v>0</v>
      </c>
      <c r="K93">
        <v>0.05</v>
      </c>
      <c r="L93" t="s">
        <v>3</v>
      </c>
      <c r="M93" t="s">
        <v>15</v>
      </c>
    </row>
    <row r="94" spans="1:13" x14ac:dyDescent="0.45">
      <c r="A94" t="s">
        <v>2</v>
      </c>
      <c r="B94" t="s">
        <v>146</v>
      </c>
      <c r="C94">
        <v>2050</v>
      </c>
      <c r="D94">
        <v>93</v>
      </c>
      <c r="E94">
        <v>0.04</v>
      </c>
      <c r="F94">
        <v>0.04</v>
      </c>
      <c r="G94">
        <v>0.04</v>
      </c>
      <c r="H94">
        <v>0</v>
      </c>
      <c r="I94">
        <v>0.21</v>
      </c>
      <c r="J94">
        <v>0.01</v>
      </c>
      <c r="K94">
        <v>0.06</v>
      </c>
      <c r="L94" t="s">
        <v>3</v>
      </c>
      <c r="M94" t="s">
        <v>15</v>
      </c>
    </row>
    <row r="95" spans="1:13" x14ac:dyDescent="0.45">
      <c r="A95" t="s">
        <v>5</v>
      </c>
      <c r="B95" t="s">
        <v>146</v>
      </c>
      <c r="C95">
        <v>2020</v>
      </c>
      <c r="D95">
        <v>214</v>
      </c>
      <c r="E95">
        <v>0</v>
      </c>
      <c r="F95">
        <v>0</v>
      </c>
      <c r="G95">
        <v>0</v>
      </c>
      <c r="H95">
        <v>0</v>
      </c>
      <c r="I95">
        <v>0.01</v>
      </c>
      <c r="J95">
        <v>0</v>
      </c>
      <c r="K95">
        <v>0.01</v>
      </c>
      <c r="L95" t="s">
        <v>6</v>
      </c>
      <c r="M95" t="s">
        <v>15</v>
      </c>
    </row>
    <row r="96" spans="1:13" x14ac:dyDescent="0.45">
      <c r="A96" t="s">
        <v>5</v>
      </c>
      <c r="B96" t="s">
        <v>146</v>
      </c>
      <c r="C96">
        <v>2025</v>
      </c>
      <c r="D96">
        <v>192</v>
      </c>
      <c r="E96">
        <v>0.01</v>
      </c>
      <c r="F96">
        <v>0</v>
      </c>
      <c r="G96">
        <v>0.01</v>
      </c>
      <c r="H96">
        <v>0</v>
      </c>
      <c r="I96">
        <v>0.03</v>
      </c>
      <c r="J96">
        <v>0</v>
      </c>
      <c r="K96">
        <v>0.01</v>
      </c>
      <c r="L96" t="s">
        <v>6</v>
      </c>
      <c r="M96" t="s">
        <v>15</v>
      </c>
    </row>
    <row r="97" spans="1:13" x14ac:dyDescent="0.45">
      <c r="A97" t="s">
        <v>5</v>
      </c>
      <c r="B97" t="s">
        <v>146</v>
      </c>
      <c r="C97">
        <v>2030</v>
      </c>
      <c r="D97">
        <v>214</v>
      </c>
      <c r="E97">
        <v>0.01</v>
      </c>
      <c r="F97">
        <v>0.01</v>
      </c>
      <c r="G97">
        <v>0.01</v>
      </c>
      <c r="H97">
        <v>0</v>
      </c>
      <c r="I97">
        <v>0.08</v>
      </c>
      <c r="J97">
        <v>0</v>
      </c>
      <c r="K97">
        <v>0.02</v>
      </c>
      <c r="L97" t="s">
        <v>6</v>
      </c>
      <c r="M97" t="s">
        <v>15</v>
      </c>
    </row>
    <row r="98" spans="1:13" x14ac:dyDescent="0.45">
      <c r="A98" t="s">
        <v>5</v>
      </c>
      <c r="B98" t="s">
        <v>146</v>
      </c>
      <c r="C98">
        <v>2035</v>
      </c>
      <c r="D98">
        <v>192</v>
      </c>
      <c r="E98">
        <v>0.02</v>
      </c>
      <c r="F98">
        <v>0.01</v>
      </c>
      <c r="G98">
        <v>0.02</v>
      </c>
      <c r="H98">
        <v>0</v>
      </c>
      <c r="I98">
        <v>0.15</v>
      </c>
      <c r="J98">
        <v>0</v>
      </c>
      <c r="K98">
        <v>0.03</v>
      </c>
      <c r="L98" t="s">
        <v>6</v>
      </c>
      <c r="M98" t="s">
        <v>15</v>
      </c>
    </row>
    <row r="99" spans="1:13" x14ac:dyDescent="0.45">
      <c r="A99" t="s">
        <v>5</v>
      </c>
      <c r="B99" t="s">
        <v>146</v>
      </c>
      <c r="C99">
        <v>2040</v>
      </c>
      <c r="D99">
        <v>214</v>
      </c>
      <c r="E99">
        <v>0.03</v>
      </c>
      <c r="F99">
        <v>0.01</v>
      </c>
      <c r="G99">
        <v>0.03</v>
      </c>
      <c r="H99">
        <v>0</v>
      </c>
      <c r="I99">
        <v>0.13</v>
      </c>
      <c r="J99">
        <v>0</v>
      </c>
      <c r="K99">
        <v>0.04</v>
      </c>
      <c r="L99" t="s">
        <v>6</v>
      </c>
      <c r="M99" t="s">
        <v>15</v>
      </c>
    </row>
    <row r="100" spans="1:13" x14ac:dyDescent="0.45">
      <c r="A100" t="s">
        <v>5</v>
      </c>
      <c r="B100" t="s">
        <v>146</v>
      </c>
      <c r="C100">
        <v>2045</v>
      </c>
      <c r="D100">
        <v>192</v>
      </c>
      <c r="E100">
        <v>0.03</v>
      </c>
      <c r="F100">
        <v>0.02</v>
      </c>
      <c r="G100">
        <v>0.03</v>
      </c>
      <c r="H100">
        <v>0</v>
      </c>
      <c r="I100">
        <v>0.13</v>
      </c>
      <c r="J100">
        <v>0</v>
      </c>
      <c r="K100">
        <v>0.05</v>
      </c>
      <c r="L100" t="s">
        <v>6</v>
      </c>
      <c r="M100" t="s">
        <v>15</v>
      </c>
    </row>
    <row r="101" spans="1:13" x14ac:dyDescent="0.45">
      <c r="A101" t="s">
        <v>5</v>
      </c>
      <c r="B101" t="s">
        <v>146</v>
      </c>
      <c r="C101">
        <v>2050</v>
      </c>
      <c r="D101">
        <v>214</v>
      </c>
      <c r="E101">
        <v>0.05</v>
      </c>
      <c r="F101">
        <v>0.03</v>
      </c>
      <c r="G101">
        <v>0.06</v>
      </c>
      <c r="H101">
        <v>0</v>
      </c>
      <c r="I101">
        <v>0.23</v>
      </c>
      <c r="J101">
        <v>0</v>
      </c>
      <c r="K101">
        <v>0.06</v>
      </c>
      <c r="L101" t="s">
        <v>6</v>
      </c>
      <c r="M101" t="s">
        <v>15</v>
      </c>
    </row>
    <row r="102" spans="1:13" x14ac:dyDescent="0.45">
      <c r="A102" t="s">
        <v>7</v>
      </c>
      <c r="B102" t="s">
        <v>146</v>
      </c>
      <c r="C102">
        <v>2020</v>
      </c>
      <c r="D102">
        <v>102</v>
      </c>
      <c r="E102">
        <v>0</v>
      </c>
      <c r="F102">
        <v>0</v>
      </c>
      <c r="G102">
        <v>0</v>
      </c>
      <c r="H102">
        <v>0</v>
      </c>
      <c r="I102">
        <v>0.01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146</v>
      </c>
      <c r="C103">
        <v>2025</v>
      </c>
      <c r="D103">
        <v>96</v>
      </c>
      <c r="E103">
        <v>0</v>
      </c>
      <c r="F103">
        <v>0</v>
      </c>
      <c r="G103">
        <v>0.01</v>
      </c>
      <c r="H103">
        <v>0</v>
      </c>
      <c r="I103">
        <v>0.02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146</v>
      </c>
      <c r="C104">
        <v>2030</v>
      </c>
      <c r="D104">
        <v>102</v>
      </c>
      <c r="E104">
        <v>0.01</v>
      </c>
      <c r="F104">
        <v>0</v>
      </c>
      <c r="G104">
        <v>0.01</v>
      </c>
      <c r="H104">
        <v>0</v>
      </c>
      <c r="I104">
        <v>0.04</v>
      </c>
      <c r="J104">
        <v>0</v>
      </c>
      <c r="K104">
        <v>0.01</v>
      </c>
      <c r="L104" t="s">
        <v>8</v>
      </c>
      <c r="M104" t="s">
        <v>15</v>
      </c>
    </row>
    <row r="105" spans="1:13" x14ac:dyDescent="0.45">
      <c r="A105" t="s">
        <v>7</v>
      </c>
      <c r="B105" t="s">
        <v>146</v>
      </c>
      <c r="C105">
        <v>2035</v>
      </c>
      <c r="D105">
        <v>96</v>
      </c>
      <c r="E105">
        <v>0.01</v>
      </c>
      <c r="F105">
        <v>0</v>
      </c>
      <c r="G105">
        <v>0.02</v>
      </c>
      <c r="H105">
        <v>0</v>
      </c>
      <c r="I105">
        <v>7.0000000000000007E-2</v>
      </c>
      <c r="J105">
        <v>0</v>
      </c>
      <c r="K105">
        <v>0.01</v>
      </c>
      <c r="L105" t="s">
        <v>8</v>
      </c>
      <c r="M105" t="s">
        <v>15</v>
      </c>
    </row>
    <row r="106" spans="1:13" x14ac:dyDescent="0.45">
      <c r="A106" t="s">
        <v>7</v>
      </c>
      <c r="B106" t="s">
        <v>146</v>
      </c>
      <c r="C106">
        <v>2040</v>
      </c>
      <c r="D106">
        <v>102</v>
      </c>
      <c r="E106">
        <v>0.02</v>
      </c>
      <c r="F106">
        <v>0</v>
      </c>
      <c r="G106">
        <v>0.02</v>
      </c>
      <c r="H106">
        <v>0</v>
      </c>
      <c r="I106">
        <v>0.09</v>
      </c>
      <c r="J106">
        <v>0</v>
      </c>
      <c r="K106">
        <v>0.04</v>
      </c>
      <c r="L106" t="s">
        <v>8</v>
      </c>
      <c r="M106" t="s">
        <v>15</v>
      </c>
    </row>
    <row r="107" spans="1:13" x14ac:dyDescent="0.45">
      <c r="A107" t="s">
        <v>7</v>
      </c>
      <c r="B107" t="s">
        <v>146</v>
      </c>
      <c r="C107">
        <v>2045</v>
      </c>
      <c r="D107">
        <v>96</v>
      </c>
      <c r="E107">
        <v>0.02</v>
      </c>
      <c r="F107">
        <v>0</v>
      </c>
      <c r="G107">
        <v>0.03</v>
      </c>
      <c r="H107">
        <v>0</v>
      </c>
      <c r="I107">
        <v>0.09</v>
      </c>
      <c r="J107">
        <v>0</v>
      </c>
      <c r="K107">
        <v>0.03</v>
      </c>
      <c r="L107" t="s">
        <v>8</v>
      </c>
      <c r="M107" t="s">
        <v>15</v>
      </c>
    </row>
    <row r="108" spans="1:13" x14ac:dyDescent="0.45">
      <c r="A108" t="s">
        <v>7</v>
      </c>
      <c r="B108" t="s">
        <v>146</v>
      </c>
      <c r="C108">
        <v>2050</v>
      </c>
      <c r="D108">
        <v>102</v>
      </c>
      <c r="E108">
        <v>0.02</v>
      </c>
      <c r="F108">
        <v>0</v>
      </c>
      <c r="G108">
        <v>0.03</v>
      </c>
      <c r="H108">
        <v>0</v>
      </c>
      <c r="I108">
        <v>0.11</v>
      </c>
      <c r="J108">
        <v>0</v>
      </c>
      <c r="K108">
        <v>0.04</v>
      </c>
      <c r="L108" t="s">
        <v>8</v>
      </c>
      <c r="M108" t="s">
        <v>15</v>
      </c>
    </row>
    <row r="109" spans="1:13" x14ac:dyDescent="0.45">
      <c r="A109" t="s">
        <v>9</v>
      </c>
      <c r="B109" t="s">
        <v>146</v>
      </c>
      <c r="C109">
        <v>2020</v>
      </c>
      <c r="D109">
        <v>58</v>
      </c>
      <c r="E109">
        <v>0</v>
      </c>
      <c r="F109">
        <v>0</v>
      </c>
      <c r="G109">
        <v>0</v>
      </c>
      <c r="H109">
        <v>0</v>
      </c>
      <c r="I109">
        <v>0.01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45">
      <c r="A110" t="s">
        <v>9</v>
      </c>
      <c r="B110" t="s">
        <v>146</v>
      </c>
      <c r="C110">
        <v>2025</v>
      </c>
      <c r="D110">
        <v>53</v>
      </c>
      <c r="E110">
        <v>0.01</v>
      </c>
      <c r="F110">
        <v>0</v>
      </c>
      <c r="G110">
        <v>0.01</v>
      </c>
      <c r="H110">
        <v>0</v>
      </c>
      <c r="I110">
        <v>0.03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45">
      <c r="A111" t="s">
        <v>9</v>
      </c>
      <c r="B111" t="s">
        <v>146</v>
      </c>
      <c r="C111">
        <v>2030</v>
      </c>
      <c r="D111">
        <v>58</v>
      </c>
      <c r="E111">
        <v>0.01</v>
      </c>
      <c r="F111">
        <v>0.01</v>
      </c>
      <c r="G111">
        <v>0.01</v>
      </c>
      <c r="H111">
        <v>0</v>
      </c>
      <c r="I111">
        <v>0.05</v>
      </c>
      <c r="J111">
        <v>0</v>
      </c>
      <c r="K111">
        <v>0.02</v>
      </c>
      <c r="L111" t="s">
        <v>10</v>
      </c>
      <c r="M111" t="s">
        <v>15</v>
      </c>
    </row>
    <row r="112" spans="1:13" x14ac:dyDescent="0.45">
      <c r="A112" t="s">
        <v>9</v>
      </c>
      <c r="B112" t="s">
        <v>146</v>
      </c>
      <c r="C112">
        <v>2035</v>
      </c>
      <c r="D112">
        <v>53</v>
      </c>
      <c r="E112">
        <v>0.02</v>
      </c>
      <c r="F112">
        <v>0.01</v>
      </c>
      <c r="G112">
        <v>0.02</v>
      </c>
      <c r="H112">
        <v>0</v>
      </c>
      <c r="I112">
        <v>0.06</v>
      </c>
      <c r="J112">
        <v>0</v>
      </c>
      <c r="K112">
        <v>0.03</v>
      </c>
      <c r="L112" t="s">
        <v>10</v>
      </c>
      <c r="M112" t="s">
        <v>15</v>
      </c>
    </row>
    <row r="113" spans="1:13" x14ac:dyDescent="0.45">
      <c r="A113" t="s">
        <v>9</v>
      </c>
      <c r="B113" t="s">
        <v>146</v>
      </c>
      <c r="C113">
        <v>2040</v>
      </c>
      <c r="D113">
        <v>58</v>
      </c>
      <c r="E113">
        <v>0.02</v>
      </c>
      <c r="F113">
        <v>0.02</v>
      </c>
      <c r="G113">
        <v>0.02</v>
      </c>
      <c r="H113">
        <v>0</v>
      </c>
      <c r="I113">
        <v>0.08</v>
      </c>
      <c r="J113">
        <v>0.01</v>
      </c>
      <c r="K113">
        <v>0.04</v>
      </c>
      <c r="L113" t="s">
        <v>10</v>
      </c>
      <c r="M113" t="s">
        <v>15</v>
      </c>
    </row>
    <row r="114" spans="1:13" x14ac:dyDescent="0.45">
      <c r="A114" t="s">
        <v>9</v>
      </c>
      <c r="B114" t="s">
        <v>146</v>
      </c>
      <c r="C114">
        <v>2045</v>
      </c>
      <c r="D114">
        <v>53</v>
      </c>
      <c r="E114">
        <v>0.03</v>
      </c>
      <c r="F114">
        <v>0.02</v>
      </c>
      <c r="G114">
        <v>0.03</v>
      </c>
      <c r="H114">
        <v>0</v>
      </c>
      <c r="I114">
        <v>0.1</v>
      </c>
      <c r="J114">
        <v>0.01</v>
      </c>
      <c r="K114">
        <v>0.05</v>
      </c>
      <c r="L114" t="s">
        <v>10</v>
      </c>
      <c r="M114" t="s">
        <v>15</v>
      </c>
    </row>
    <row r="115" spans="1:13" x14ac:dyDescent="0.45">
      <c r="A115" t="s">
        <v>9</v>
      </c>
      <c r="B115" t="s">
        <v>146</v>
      </c>
      <c r="C115">
        <v>2050</v>
      </c>
      <c r="D115">
        <v>58</v>
      </c>
      <c r="E115">
        <v>0.03</v>
      </c>
      <c r="F115">
        <v>0.03</v>
      </c>
      <c r="G115">
        <v>0.03</v>
      </c>
      <c r="H115">
        <v>0</v>
      </c>
      <c r="I115">
        <v>0.12</v>
      </c>
      <c r="J115">
        <v>0.01</v>
      </c>
      <c r="K115">
        <v>0.05</v>
      </c>
      <c r="L115" t="s">
        <v>10</v>
      </c>
      <c r="M115" t="s">
        <v>15</v>
      </c>
    </row>
    <row r="116" spans="1:13" x14ac:dyDescent="0.45">
      <c r="A116" t="s">
        <v>0</v>
      </c>
      <c r="B116" t="s">
        <v>146</v>
      </c>
      <c r="C116">
        <v>2020</v>
      </c>
      <c r="D116">
        <v>61</v>
      </c>
      <c r="E116">
        <v>0.36</v>
      </c>
      <c r="F116">
        <v>0.35</v>
      </c>
      <c r="G116">
        <v>0.02</v>
      </c>
      <c r="H116">
        <v>0.33</v>
      </c>
      <c r="I116">
        <v>0.41</v>
      </c>
      <c r="J116">
        <v>0.35</v>
      </c>
      <c r="K116">
        <v>0.37</v>
      </c>
      <c r="L116" t="s">
        <v>1</v>
      </c>
      <c r="M116" t="s">
        <v>18</v>
      </c>
    </row>
    <row r="117" spans="1:13" x14ac:dyDescent="0.45">
      <c r="A117" t="s">
        <v>0</v>
      </c>
      <c r="B117" t="s">
        <v>146</v>
      </c>
      <c r="C117">
        <v>2025</v>
      </c>
      <c r="D117">
        <v>61</v>
      </c>
      <c r="E117">
        <v>0.33</v>
      </c>
      <c r="F117">
        <v>0.32</v>
      </c>
      <c r="G117">
        <v>0.05</v>
      </c>
      <c r="H117">
        <v>0.25</v>
      </c>
      <c r="I117">
        <v>0.45</v>
      </c>
      <c r="J117">
        <v>0.31</v>
      </c>
      <c r="K117">
        <v>0.36</v>
      </c>
      <c r="L117" t="s">
        <v>1</v>
      </c>
      <c r="M117" t="s">
        <v>18</v>
      </c>
    </row>
    <row r="118" spans="1:13" x14ac:dyDescent="0.45">
      <c r="A118" t="s">
        <v>0</v>
      </c>
      <c r="B118" t="s">
        <v>146</v>
      </c>
      <c r="C118">
        <v>2030</v>
      </c>
      <c r="D118">
        <v>61</v>
      </c>
      <c r="E118">
        <v>0.32</v>
      </c>
      <c r="F118">
        <v>0.3</v>
      </c>
      <c r="G118">
        <v>0.06</v>
      </c>
      <c r="H118">
        <v>0.25</v>
      </c>
      <c r="I118">
        <v>0.48</v>
      </c>
      <c r="J118">
        <v>0.28999999999999998</v>
      </c>
      <c r="K118">
        <v>0.34</v>
      </c>
      <c r="L118" t="s">
        <v>1</v>
      </c>
      <c r="M118" t="s">
        <v>18</v>
      </c>
    </row>
    <row r="119" spans="1:13" x14ac:dyDescent="0.45">
      <c r="A119" t="s">
        <v>0</v>
      </c>
      <c r="B119" t="s">
        <v>146</v>
      </c>
      <c r="C119">
        <v>2035</v>
      </c>
      <c r="D119">
        <v>61</v>
      </c>
      <c r="E119">
        <v>0.32</v>
      </c>
      <c r="F119">
        <v>0.28999999999999998</v>
      </c>
      <c r="G119">
        <v>7.0000000000000007E-2</v>
      </c>
      <c r="H119">
        <v>0.25</v>
      </c>
      <c r="I119">
        <v>0.5</v>
      </c>
      <c r="J119">
        <v>0.28000000000000003</v>
      </c>
      <c r="K119">
        <v>0.32</v>
      </c>
      <c r="L119" t="s">
        <v>1</v>
      </c>
      <c r="M119" t="s">
        <v>18</v>
      </c>
    </row>
    <row r="120" spans="1:13" x14ac:dyDescent="0.45">
      <c r="A120" t="s">
        <v>0</v>
      </c>
      <c r="B120" t="s">
        <v>146</v>
      </c>
      <c r="C120">
        <v>2040</v>
      </c>
      <c r="D120">
        <v>61</v>
      </c>
      <c r="E120">
        <v>0.31</v>
      </c>
      <c r="F120">
        <v>0.28999999999999998</v>
      </c>
      <c r="G120">
        <v>7.0000000000000007E-2</v>
      </c>
      <c r="H120">
        <v>0.22</v>
      </c>
      <c r="I120">
        <v>0.49</v>
      </c>
      <c r="J120">
        <v>0.27</v>
      </c>
      <c r="K120">
        <v>0.33</v>
      </c>
      <c r="L120" t="s">
        <v>1</v>
      </c>
      <c r="M120" t="s">
        <v>18</v>
      </c>
    </row>
    <row r="121" spans="1:13" x14ac:dyDescent="0.45">
      <c r="A121" t="s">
        <v>0</v>
      </c>
      <c r="B121" t="s">
        <v>146</v>
      </c>
      <c r="C121">
        <v>2045</v>
      </c>
      <c r="D121">
        <v>61</v>
      </c>
      <c r="E121">
        <v>0.31</v>
      </c>
      <c r="F121">
        <v>0.3</v>
      </c>
      <c r="G121">
        <v>7.0000000000000007E-2</v>
      </c>
      <c r="H121">
        <v>0.22</v>
      </c>
      <c r="I121">
        <v>0.49</v>
      </c>
      <c r="J121">
        <v>0.26</v>
      </c>
      <c r="K121">
        <v>0.34</v>
      </c>
      <c r="L121" t="s">
        <v>1</v>
      </c>
      <c r="M121" t="s">
        <v>18</v>
      </c>
    </row>
    <row r="122" spans="1:13" x14ac:dyDescent="0.45">
      <c r="A122" t="s">
        <v>0</v>
      </c>
      <c r="B122" t="s">
        <v>146</v>
      </c>
      <c r="C122">
        <v>2050</v>
      </c>
      <c r="D122">
        <v>61</v>
      </c>
      <c r="E122">
        <v>0.32</v>
      </c>
      <c r="F122">
        <v>0.31</v>
      </c>
      <c r="G122">
        <v>7.0000000000000007E-2</v>
      </c>
      <c r="H122">
        <v>0.21</v>
      </c>
      <c r="I122">
        <v>0.48</v>
      </c>
      <c r="J122">
        <v>0.26</v>
      </c>
      <c r="K122">
        <v>0.35</v>
      </c>
      <c r="L122" t="s">
        <v>1</v>
      </c>
      <c r="M122" t="s">
        <v>18</v>
      </c>
    </row>
    <row r="123" spans="1:13" x14ac:dyDescent="0.45">
      <c r="A123" t="s">
        <v>2</v>
      </c>
      <c r="B123" t="s">
        <v>146</v>
      </c>
      <c r="C123">
        <v>2020</v>
      </c>
      <c r="D123">
        <v>100</v>
      </c>
      <c r="E123">
        <v>0.36</v>
      </c>
      <c r="F123">
        <v>0.36</v>
      </c>
      <c r="G123">
        <v>0.03</v>
      </c>
      <c r="H123">
        <v>0.32</v>
      </c>
      <c r="I123">
        <v>0.41</v>
      </c>
      <c r="J123">
        <v>0.33</v>
      </c>
      <c r="K123">
        <v>0.39</v>
      </c>
      <c r="L123" t="s">
        <v>3</v>
      </c>
      <c r="M123" t="s">
        <v>18</v>
      </c>
    </row>
    <row r="124" spans="1:13" x14ac:dyDescent="0.45">
      <c r="A124" t="s">
        <v>2</v>
      </c>
      <c r="B124" t="s">
        <v>146</v>
      </c>
      <c r="C124">
        <v>2025</v>
      </c>
      <c r="D124">
        <v>89</v>
      </c>
      <c r="E124">
        <v>0.34</v>
      </c>
      <c r="F124">
        <v>0.34</v>
      </c>
      <c r="G124">
        <v>0.05</v>
      </c>
      <c r="H124">
        <v>0</v>
      </c>
      <c r="I124">
        <v>0.44</v>
      </c>
      <c r="J124">
        <v>0.32</v>
      </c>
      <c r="K124">
        <v>0.38</v>
      </c>
      <c r="L124" t="s">
        <v>3</v>
      </c>
      <c r="M124" t="s">
        <v>18</v>
      </c>
    </row>
    <row r="125" spans="1:13" x14ac:dyDescent="0.45">
      <c r="A125" t="s">
        <v>2</v>
      </c>
      <c r="B125" t="s">
        <v>146</v>
      </c>
      <c r="C125">
        <v>2030</v>
      </c>
      <c r="D125">
        <v>100</v>
      </c>
      <c r="E125">
        <v>0.32</v>
      </c>
      <c r="F125">
        <v>0.31</v>
      </c>
      <c r="G125">
        <v>0.06</v>
      </c>
      <c r="H125">
        <v>0</v>
      </c>
      <c r="I125">
        <v>0.48</v>
      </c>
      <c r="J125">
        <v>0.28999999999999998</v>
      </c>
      <c r="K125">
        <v>0.35</v>
      </c>
      <c r="L125" t="s">
        <v>3</v>
      </c>
      <c r="M125" t="s">
        <v>18</v>
      </c>
    </row>
    <row r="126" spans="1:13" x14ac:dyDescent="0.45">
      <c r="A126" t="s">
        <v>2</v>
      </c>
      <c r="B126" t="s">
        <v>146</v>
      </c>
      <c r="C126">
        <v>2035</v>
      </c>
      <c r="D126">
        <v>89</v>
      </c>
      <c r="E126">
        <v>0.32</v>
      </c>
      <c r="F126">
        <v>0.3</v>
      </c>
      <c r="G126">
        <v>0.06</v>
      </c>
      <c r="H126">
        <v>0.25</v>
      </c>
      <c r="I126">
        <v>0.49</v>
      </c>
      <c r="J126">
        <v>0.28000000000000003</v>
      </c>
      <c r="K126">
        <v>0.36</v>
      </c>
      <c r="L126" t="s">
        <v>3</v>
      </c>
      <c r="M126" t="s">
        <v>18</v>
      </c>
    </row>
    <row r="127" spans="1:13" x14ac:dyDescent="0.45">
      <c r="A127" t="s">
        <v>2</v>
      </c>
      <c r="B127" t="s">
        <v>146</v>
      </c>
      <c r="C127">
        <v>2040</v>
      </c>
      <c r="D127">
        <v>100</v>
      </c>
      <c r="E127">
        <v>0.3</v>
      </c>
      <c r="F127">
        <v>0.28999999999999998</v>
      </c>
      <c r="G127">
        <v>7.0000000000000007E-2</v>
      </c>
      <c r="H127">
        <v>0.19</v>
      </c>
      <c r="I127">
        <v>0.48</v>
      </c>
      <c r="J127">
        <v>0.25</v>
      </c>
      <c r="K127">
        <v>0.36</v>
      </c>
      <c r="L127" t="s">
        <v>3</v>
      </c>
      <c r="M127" t="s">
        <v>18</v>
      </c>
    </row>
    <row r="128" spans="1:13" x14ac:dyDescent="0.45">
      <c r="A128" t="s">
        <v>2</v>
      </c>
      <c r="B128" t="s">
        <v>146</v>
      </c>
      <c r="C128">
        <v>2045</v>
      </c>
      <c r="D128">
        <v>89</v>
      </c>
      <c r="E128">
        <v>0.32</v>
      </c>
      <c r="F128">
        <v>0.31</v>
      </c>
      <c r="G128">
        <v>7.0000000000000007E-2</v>
      </c>
      <c r="H128">
        <v>0.21</v>
      </c>
      <c r="I128">
        <v>0.47</v>
      </c>
      <c r="J128">
        <v>0.26</v>
      </c>
      <c r="K128">
        <v>0.35</v>
      </c>
      <c r="L128" t="s">
        <v>3</v>
      </c>
      <c r="M128" t="s">
        <v>18</v>
      </c>
    </row>
    <row r="129" spans="1:13" x14ac:dyDescent="0.45">
      <c r="A129" t="s">
        <v>2</v>
      </c>
      <c r="B129" t="s">
        <v>146</v>
      </c>
      <c r="C129">
        <v>2050</v>
      </c>
      <c r="D129">
        <v>100</v>
      </c>
      <c r="E129">
        <v>0.31</v>
      </c>
      <c r="F129">
        <v>0.31</v>
      </c>
      <c r="G129">
        <v>7.0000000000000007E-2</v>
      </c>
      <c r="H129">
        <v>0.18</v>
      </c>
      <c r="I129">
        <v>0.48</v>
      </c>
      <c r="J129">
        <v>0.24</v>
      </c>
      <c r="K129">
        <v>0.35</v>
      </c>
      <c r="L129" t="s">
        <v>3</v>
      </c>
      <c r="M129" t="s">
        <v>18</v>
      </c>
    </row>
    <row r="130" spans="1:13" x14ac:dyDescent="0.45">
      <c r="A130" t="s">
        <v>5</v>
      </c>
      <c r="B130" t="s">
        <v>146</v>
      </c>
      <c r="C130">
        <v>2020</v>
      </c>
      <c r="D130">
        <v>219</v>
      </c>
      <c r="E130">
        <v>0.37</v>
      </c>
      <c r="F130">
        <v>0.36</v>
      </c>
      <c r="G130">
        <v>0.02</v>
      </c>
      <c r="H130">
        <v>0.32</v>
      </c>
      <c r="I130">
        <v>0.41</v>
      </c>
      <c r="J130">
        <v>0.35</v>
      </c>
      <c r="K130">
        <v>0.37</v>
      </c>
      <c r="L130" t="s">
        <v>6</v>
      </c>
      <c r="M130" t="s">
        <v>18</v>
      </c>
    </row>
    <row r="131" spans="1:13" x14ac:dyDescent="0.45">
      <c r="A131" t="s">
        <v>5</v>
      </c>
      <c r="B131" t="s">
        <v>146</v>
      </c>
      <c r="C131">
        <v>2025</v>
      </c>
      <c r="D131">
        <v>196</v>
      </c>
      <c r="E131">
        <v>0.31</v>
      </c>
      <c r="F131">
        <v>0.32</v>
      </c>
      <c r="G131">
        <v>0.1</v>
      </c>
      <c r="H131">
        <v>0</v>
      </c>
      <c r="I131">
        <v>0.44</v>
      </c>
      <c r="J131">
        <v>0.32</v>
      </c>
      <c r="K131">
        <v>0.36</v>
      </c>
      <c r="L131" t="s">
        <v>6</v>
      </c>
      <c r="M131" t="s">
        <v>18</v>
      </c>
    </row>
    <row r="132" spans="1:13" x14ac:dyDescent="0.45">
      <c r="A132" t="s">
        <v>5</v>
      </c>
      <c r="B132" t="s">
        <v>146</v>
      </c>
      <c r="C132">
        <v>2030</v>
      </c>
      <c r="D132">
        <v>219</v>
      </c>
      <c r="E132">
        <v>0.31</v>
      </c>
      <c r="F132">
        <v>0.31</v>
      </c>
      <c r="G132">
        <v>0.1</v>
      </c>
      <c r="H132">
        <v>0</v>
      </c>
      <c r="I132">
        <v>0.48</v>
      </c>
      <c r="J132">
        <v>0.3</v>
      </c>
      <c r="K132">
        <v>0.34</v>
      </c>
      <c r="L132" t="s">
        <v>6</v>
      </c>
      <c r="M132" t="s">
        <v>18</v>
      </c>
    </row>
    <row r="133" spans="1:13" x14ac:dyDescent="0.45">
      <c r="A133" t="s">
        <v>5</v>
      </c>
      <c r="B133" t="s">
        <v>146</v>
      </c>
      <c r="C133">
        <v>2035</v>
      </c>
      <c r="D133">
        <v>196</v>
      </c>
      <c r="E133">
        <v>0.32</v>
      </c>
      <c r="F133">
        <v>0.28999999999999998</v>
      </c>
      <c r="G133">
        <v>0.06</v>
      </c>
      <c r="H133">
        <v>0.25</v>
      </c>
      <c r="I133">
        <v>0.49</v>
      </c>
      <c r="J133">
        <v>0.28000000000000003</v>
      </c>
      <c r="K133">
        <v>0.36</v>
      </c>
      <c r="L133" t="s">
        <v>6</v>
      </c>
      <c r="M133" t="s">
        <v>18</v>
      </c>
    </row>
    <row r="134" spans="1:13" x14ac:dyDescent="0.45">
      <c r="A134" t="s">
        <v>5</v>
      </c>
      <c r="B134" t="s">
        <v>146</v>
      </c>
      <c r="C134">
        <v>2040</v>
      </c>
      <c r="D134">
        <v>219</v>
      </c>
      <c r="E134">
        <v>0.31</v>
      </c>
      <c r="F134">
        <v>0.28999999999999998</v>
      </c>
      <c r="G134">
        <v>0.06</v>
      </c>
      <c r="H134">
        <v>0.2</v>
      </c>
      <c r="I134">
        <v>0.49</v>
      </c>
      <c r="J134">
        <v>0.27</v>
      </c>
      <c r="K134">
        <v>0.35</v>
      </c>
      <c r="L134" t="s">
        <v>6</v>
      </c>
      <c r="M134" t="s">
        <v>18</v>
      </c>
    </row>
    <row r="135" spans="1:13" x14ac:dyDescent="0.45">
      <c r="A135" t="s">
        <v>5</v>
      </c>
      <c r="B135" t="s">
        <v>146</v>
      </c>
      <c r="C135">
        <v>2045</v>
      </c>
      <c r="D135">
        <v>196</v>
      </c>
      <c r="E135">
        <v>0.31</v>
      </c>
      <c r="F135">
        <v>0.28999999999999998</v>
      </c>
      <c r="G135">
        <v>7.0000000000000007E-2</v>
      </c>
      <c r="H135">
        <v>0.22</v>
      </c>
      <c r="I135">
        <v>0.49</v>
      </c>
      <c r="J135">
        <v>0.26</v>
      </c>
      <c r="K135">
        <v>0.35</v>
      </c>
      <c r="L135" t="s">
        <v>6</v>
      </c>
      <c r="M135" t="s">
        <v>18</v>
      </c>
    </row>
    <row r="136" spans="1:13" x14ac:dyDescent="0.45">
      <c r="A136" t="s">
        <v>5</v>
      </c>
      <c r="B136" t="s">
        <v>146</v>
      </c>
      <c r="C136">
        <v>2050</v>
      </c>
      <c r="D136">
        <v>219</v>
      </c>
      <c r="E136">
        <v>0.31</v>
      </c>
      <c r="F136">
        <v>0.3</v>
      </c>
      <c r="G136">
        <v>7.0000000000000007E-2</v>
      </c>
      <c r="H136">
        <v>0.18</v>
      </c>
      <c r="I136">
        <v>0.49</v>
      </c>
      <c r="J136">
        <v>0.26</v>
      </c>
      <c r="K136">
        <v>0.36</v>
      </c>
      <c r="L136" t="s">
        <v>6</v>
      </c>
      <c r="M136" t="s">
        <v>18</v>
      </c>
    </row>
    <row r="137" spans="1:13" x14ac:dyDescent="0.45">
      <c r="A137" t="s">
        <v>7</v>
      </c>
      <c r="B137" t="s">
        <v>146</v>
      </c>
      <c r="C137">
        <v>2020</v>
      </c>
      <c r="D137">
        <v>101</v>
      </c>
      <c r="E137">
        <v>0.37</v>
      </c>
      <c r="F137">
        <v>0.37</v>
      </c>
      <c r="G137">
        <v>0.02</v>
      </c>
      <c r="H137">
        <v>0.33</v>
      </c>
      <c r="I137">
        <v>0.4</v>
      </c>
      <c r="J137">
        <v>0.36</v>
      </c>
      <c r="K137">
        <v>0.4</v>
      </c>
      <c r="L137" t="s">
        <v>8</v>
      </c>
      <c r="M137" t="s">
        <v>18</v>
      </c>
    </row>
    <row r="138" spans="1:13" x14ac:dyDescent="0.45">
      <c r="A138" t="s">
        <v>7</v>
      </c>
      <c r="B138" t="s">
        <v>146</v>
      </c>
      <c r="C138">
        <v>2025</v>
      </c>
      <c r="D138">
        <v>95</v>
      </c>
      <c r="E138">
        <v>0.33</v>
      </c>
      <c r="F138">
        <v>0.35</v>
      </c>
      <c r="G138">
        <v>0.11</v>
      </c>
      <c r="H138">
        <v>0</v>
      </c>
      <c r="I138">
        <v>0.43</v>
      </c>
      <c r="J138">
        <v>0.32</v>
      </c>
      <c r="K138">
        <v>0.38</v>
      </c>
      <c r="L138" t="s">
        <v>8</v>
      </c>
      <c r="M138" t="s">
        <v>18</v>
      </c>
    </row>
    <row r="139" spans="1:13" x14ac:dyDescent="0.45">
      <c r="A139" t="s">
        <v>7</v>
      </c>
      <c r="B139" t="s">
        <v>146</v>
      </c>
      <c r="C139">
        <v>2030</v>
      </c>
      <c r="D139">
        <v>101</v>
      </c>
      <c r="E139">
        <v>0.32</v>
      </c>
      <c r="F139">
        <v>0.34</v>
      </c>
      <c r="G139">
        <v>0.1</v>
      </c>
      <c r="H139">
        <v>0</v>
      </c>
      <c r="I139">
        <v>0.45</v>
      </c>
      <c r="J139">
        <v>0.3</v>
      </c>
      <c r="K139">
        <v>0.38</v>
      </c>
      <c r="L139" t="s">
        <v>8</v>
      </c>
      <c r="M139" t="s">
        <v>18</v>
      </c>
    </row>
    <row r="140" spans="1:13" x14ac:dyDescent="0.45">
      <c r="A140" t="s">
        <v>7</v>
      </c>
      <c r="B140" t="s">
        <v>146</v>
      </c>
      <c r="C140">
        <v>2035</v>
      </c>
      <c r="D140">
        <v>95</v>
      </c>
      <c r="E140">
        <v>0.33</v>
      </c>
      <c r="F140">
        <v>0.33</v>
      </c>
      <c r="G140">
        <v>0.05</v>
      </c>
      <c r="H140">
        <v>0.25</v>
      </c>
      <c r="I140">
        <v>0.45</v>
      </c>
      <c r="J140">
        <v>0.28000000000000003</v>
      </c>
      <c r="K140">
        <v>0.37</v>
      </c>
      <c r="L140" t="s">
        <v>8</v>
      </c>
      <c r="M140" t="s">
        <v>18</v>
      </c>
    </row>
    <row r="141" spans="1:13" x14ac:dyDescent="0.45">
      <c r="A141" t="s">
        <v>7</v>
      </c>
      <c r="B141" t="s">
        <v>146</v>
      </c>
      <c r="C141">
        <v>2040</v>
      </c>
      <c r="D141">
        <v>101</v>
      </c>
      <c r="E141">
        <v>0.32</v>
      </c>
      <c r="F141">
        <v>0.3</v>
      </c>
      <c r="G141">
        <v>0.06</v>
      </c>
      <c r="H141">
        <v>0.23</v>
      </c>
      <c r="I141">
        <v>0.48</v>
      </c>
      <c r="J141">
        <v>0.27</v>
      </c>
      <c r="K141">
        <v>0.36</v>
      </c>
      <c r="L141" t="s">
        <v>8</v>
      </c>
      <c r="M141" t="s">
        <v>18</v>
      </c>
    </row>
    <row r="142" spans="1:13" x14ac:dyDescent="0.45">
      <c r="A142" t="s">
        <v>7</v>
      </c>
      <c r="B142" t="s">
        <v>146</v>
      </c>
      <c r="C142">
        <v>2045</v>
      </c>
      <c r="D142">
        <v>95</v>
      </c>
      <c r="E142">
        <v>0.31</v>
      </c>
      <c r="F142">
        <v>0.28999999999999998</v>
      </c>
      <c r="G142">
        <v>7.0000000000000007E-2</v>
      </c>
      <c r="H142">
        <v>0.21</v>
      </c>
      <c r="I142">
        <v>0.48</v>
      </c>
      <c r="J142">
        <v>0.27</v>
      </c>
      <c r="K142">
        <v>0.35</v>
      </c>
      <c r="L142" t="s">
        <v>8</v>
      </c>
      <c r="M142" t="s">
        <v>18</v>
      </c>
    </row>
    <row r="143" spans="1:13" x14ac:dyDescent="0.45">
      <c r="A143" t="s">
        <v>7</v>
      </c>
      <c r="B143" t="s">
        <v>146</v>
      </c>
      <c r="C143">
        <v>2050</v>
      </c>
      <c r="D143">
        <v>101</v>
      </c>
      <c r="E143">
        <v>0.3</v>
      </c>
      <c r="F143">
        <v>0.3</v>
      </c>
      <c r="G143">
        <v>7.0000000000000007E-2</v>
      </c>
      <c r="H143">
        <v>0.21</v>
      </c>
      <c r="I143">
        <v>0.47</v>
      </c>
      <c r="J143">
        <v>0.25</v>
      </c>
      <c r="K143">
        <v>0.34</v>
      </c>
      <c r="L143" t="s">
        <v>8</v>
      </c>
      <c r="M143" t="s">
        <v>18</v>
      </c>
    </row>
    <row r="144" spans="1:13" x14ac:dyDescent="0.45">
      <c r="A144" t="s">
        <v>9</v>
      </c>
      <c r="B144" t="s">
        <v>146</v>
      </c>
      <c r="C144">
        <v>2020</v>
      </c>
      <c r="D144">
        <v>60</v>
      </c>
      <c r="E144">
        <v>0.36</v>
      </c>
      <c r="F144">
        <v>0.35</v>
      </c>
      <c r="G144">
        <v>0.02</v>
      </c>
      <c r="H144">
        <v>0.33</v>
      </c>
      <c r="I144">
        <v>0.41</v>
      </c>
      <c r="J144">
        <v>0.35</v>
      </c>
      <c r="K144">
        <v>0.37</v>
      </c>
      <c r="L144" t="s">
        <v>10</v>
      </c>
      <c r="M144" t="s">
        <v>18</v>
      </c>
    </row>
    <row r="145" spans="1:13" x14ac:dyDescent="0.45">
      <c r="A145" t="s">
        <v>9</v>
      </c>
      <c r="B145" t="s">
        <v>146</v>
      </c>
      <c r="C145">
        <v>2025</v>
      </c>
      <c r="D145">
        <v>55</v>
      </c>
      <c r="E145">
        <v>0.35</v>
      </c>
      <c r="F145">
        <v>0.33</v>
      </c>
      <c r="G145">
        <v>0.03</v>
      </c>
      <c r="H145">
        <v>0.3</v>
      </c>
      <c r="I145">
        <v>0.41</v>
      </c>
      <c r="J145">
        <v>0.32</v>
      </c>
      <c r="K145">
        <v>0.37</v>
      </c>
      <c r="L145" t="s">
        <v>10</v>
      </c>
      <c r="M145" t="s">
        <v>18</v>
      </c>
    </row>
    <row r="146" spans="1:13" x14ac:dyDescent="0.45">
      <c r="A146" t="s">
        <v>9</v>
      </c>
      <c r="B146" t="s">
        <v>146</v>
      </c>
      <c r="C146">
        <v>2030</v>
      </c>
      <c r="D146">
        <v>60</v>
      </c>
      <c r="E146">
        <v>0.34</v>
      </c>
      <c r="F146">
        <v>0.34</v>
      </c>
      <c r="G146">
        <v>0.03</v>
      </c>
      <c r="H146">
        <v>0.28999999999999998</v>
      </c>
      <c r="I146">
        <v>0.41</v>
      </c>
      <c r="J146">
        <v>0.31</v>
      </c>
      <c r="K146">
        <v>0.36</v>
      </c>
      <c r="L146" t="s">
        <v>10</v>
      </c>
      <c r="M146" t="s">
        <v>18</v>
      </c>
    </row>
    <row r="147" spans="1:13" x14ac:dyDescent="0.45">
      <c r="A147" t="s">
        <v>9</v>
      </c>
      <c r="B147" t="s">
        <v>146</v>
      </c>
      <c r="C147">
        <v>2035</v>
      </c>
      <c r="D147">
        <v>55</v>
      </c>
      <c r="E147">
        <v>0.33</v>
      </c>
      <c r="F147">
        <v>0.32</v>
      </c>
      <c r="G147">
        <v>0.04</v>
      </c>
      <c r="H147">
        <v>0.28000000000000003</v>
      </c>
      <c r="I147">
        <v>0.44</v>
      </c>
      <c r="J147">
        <v>0.3</v>
      </c>
      <c r="K147">
        <v>0.36</v>
      </c>
      <c r="L147" t="s">
        <v>10</v>
      </c>
      <c r="M147" t="s">
        <v>18</v>
      </c>
    </row>
    <row r="148" spans="1:13" x14ac:dyDescent="0.45">
      <c r="A148" t="s">
        <v>9</v>
      </c>
      <c r="B148" t="s">
        <v>146</v>
      </c>
      <c r="C148">
        <v>2040</v>
      </c>
      <c r="D148">
        <v>60</v>
      </c>
      <c r="E148">
        <v>0.32</v>
      </c>
      <c r="F148">
        <v>0.3</v>
      </c>
      <c r="G148">
        <v>0.04</v>
      </c>
      <c r="H148">
        <v>0.25</v>
      </c>
      <c r="I148">
        <v>0.46</v>
      </c>
      <c r="J148">
        <v>0.28999999999999998</v>
      </c>
      <c r="K148">
        <v>0.35</v>
      </c>
      <c r="L148" t="s">
        <v>10</v>
      </c>
      <c r="M148" t="s">
        <v>18</v>
      </c>
    </row>
    <row r="149" spans="1:13" x14ac:dyDescent="0.45">
      <c r="A149" t="s">
        <v>9</v>
      </c>
      <c r="B149" t="s">
        <v>146</v>
      </c>
      <c r="C149">
        <v>2045</v>
      </c>
      <c r="D149">
        <v>55</v>
      </c>
      <c r="E149">
        <v>0.32</v>
      </c>
      <c r="F149">
        <v>0.3</v>
      </c>
      <c r="G149">
        <v>0.05</v>
      </c>
      <c r="H149">
        <v>0.25</v>
      </c>
      <c r="I149">
        <v>0.48</v>
      </c>
      <c r="J149">
        <v>0.28000000000000003</v>
      </c>
      <c r="K149">
        <v>0.35</v>
      </c>
      <c r="L149" t="s">
        <v>10</v>
      </c>
      <c r="M149" t="s">
        <v>18</v>
      </c>
    </row>
    <row r="150" spans="1:13" x14ac:dyDescent="0.45">
      <c r="A150" t="s">
        <v>9</v>
      </c>
      <c r="B150" t="s">
        <v>146</v>
      </c>
      <c r="C150">
        <v>2050</v>
      </c>
      <c r="D150">
        <v>60</v>
      </c>
      <c r="E150">
        <v>0.31</v>
      </c>
      <c r="F150">
        <v>0.28999999999999998</v>
      </c>
      <c r="G150">
        <v>0.05</v>
      </c>
      <c r="H150">
        <v>0.26</v>
      </c>
      <c r="I150">
        <v>0.49</v>
      </c>
      <c r="J150">
        <v>0.28000000000000003</v>
      </c>
      <c r="K150">
        <v>0.34</v>
      </c>
      <c r="L150" t="s">
        <v>10</v>
      </c>
      <c r="M150" t="s">
        <v>18</v>
      </c>
    </row>
    <row r="151" spans="1:13" x14ac:dyDescent="0.45">
      <c r="A151" t="s">
        <v>0</v>
      </c>
      <c r="B151" t="s">
        <v>146</v>
      </c>
      <c r="C151">
        <v>2020</v>
      </c>
      <c r="D151">
        <v>63</v>
      </c>
      <c r="E151">
        <v>0.6</v>
      </c>
      <c r="F151">
        <v>0.61</v>
      </c>
      <c r="G151">
        <v>0.03</v>
      </c>
      <c r="H151">
        <v>0.54</v>
      </c>
      <c r="I151">
        <v>0.64</v>
      </c>
      <c r="J151">
        <v>0.57999999999999996</v>
      </c>
      <c r="K151">
        <v>0.62</v>
      </c>
      <c r="L151" t="s">
        <v>1</v>
      </c>
      <c r="M151" t="s">
        <v>21</v>
      </c>
    </row>
    <row r="152" spans="1:13" x14ac:dyDescent="0.45">
      <c r="A152" t="s">
        <v>0</v>
      </c>
      <c r="B152" t="s">
        <v>146</v>
      </c>
      <c r="C152">
        <v>2025</v>
      </c>
      <c r="D152">
        <v>63</v>
      </c>
      <c r="E152">
        <v>0.6</v>
      </c>
      <c r="F152">
        <v>0.62</v>
      </c>
      <c r="G152">
        <v>0.04</v>
      </c>
      <c r="H152">
        <v>0.52</v>
      </c>
      <c r="I152">
        <v>0.69</v>
      </c>
      <c r="J152">
        <v>0.56000000000000005</v>
      </c>
      <c r="K152">
        <v>0.63</v>
      </c>
      <c r="L152" t="s">
        <v>1</v>
      </c>
      <c r="M152" t="s">
        <v>21</v>
      </c>
    </row>
    <row r="153" spans="1:13" x14ac:dyDescent="0.45">
      <c r="A153" t="s">
        <v>0</v>
      </c>
      <c r="B153" t="s">
        <v>146</v>
      </c>
      <c r="C153">
        <v>2030</v>
      </c>
      <c r="D153">
        <v>63</v>
      </c>
      <c r="E153">
        <v>0.57999999999999996</v>
      </c>
      <c r="F153">
        <v>0.59</v>
      </c>
      <c r="G153">
        <v>0.05</v>
      </c>
      <c r="H153">
        <v>0.46</v>
      </c>
      <c r="I153">
        <v>0.66</v>
      </c>
      <c r="J153">
        <v>0.55000000000000004</v>
      </c>
      <c r="K153">
        <v>0.61</v>
      </c>
      <c r="L153" t="s">
        <v>1</v>
      </c>
      <c r="M153" t="s">
        <v>21</v>
      </c>
    </row>
    <row r="154" spans="1:13" x14ac:dyDescent="0.45">
      <c r="A154" t="s">
        <v>0</v>
      </c>
      <c r="B154" t="s">
        <v>146</v>
      </c>
      <c r="C154">
        <v>2035</v>
      </c>
      <c r="D154">
        <v>63</v>
      </c>
      <c r="E154">
        <v>0.55000000000000004</v>
      </c>
      <c r="F154">
        <v>0.56000000000000005</v>
      </c>
      <c r="G154">
        <v>0.06</v>
      </c>
      <c r="H154">
        <v>0.4</v>
      </c>
      <c r="I154">
        <v>0.65</v>
      </c>
      <c r="J154">
        <v>0.53</v>
      </c>
      <c r="K154">
        <v>0.59</v>
      </c>
      <c r="L154" t="s">
        <v>1</v>
      </c>
      <c r="M154" t="s">
        <v>21</v>
      </c>
    </row>
    <row r="155" spans="1:13" x14ac:dyDescent="0.45">
      <c r="A155" t="s">
        <v>0</v>
      </c>
      <c r="B155" t="s">
        <v>146</v>
      </c>
      <c r="C155">
        <v>2040</v>
      </c>
      <c r="D155">
        <v>63</v>
      </c>
      <c r="E155">
        <v>0.53</v>
      </c>
      <c r="F155">
        <v>0.54</v>
      </c>
      <c r="G155">
        <v>0.06</v>
      </c>
      <c r="H155">
        <v>0.36</v>
      </c>
      <c r="I155">
        <v>0.64</v>
      </c>
      <c r="J155">
        <v>0.52</v>
      </c>
      <c r="K155">
        <v>0.56000000000000005</v>
      </c>
      <c r="L155" t="s">
        <v>1</v>
      </c>
      <c r="M155" t="s">
        <v>21</v>
      </c>
    </row>
    <row r="156" spans="1:13" x14ac:dyDescent="0.45">
      <c r="A156" t="s">
        <v>0</v>
      </c>
      <c r="B156" t="s">
        <v>146</v>
      </c>
      <c r="C156">
        <v>2045</v>
      </c>
      <c r="D156">
        <v>63</v>
      </c>
      <c r="E156">
        <v>0.52</v>
      </c>
      <c r="F156">
        <v>0.53</v>
      </c>
      <c r="G156">
        <v>7.0000000000000007E-2</v>
      </c>
      <c r="H156">
        <v>0.34</v>
      </c>
      <c r="I156">
        <v>0.64</v>
      </c>
      <c r="J156">
        <v>0.51</v>
      </c>
      <c r="K156">
        <v>0.56000000000000005</v>
      </c>
      <c r="L156" t="s">
        <v>1</v>
      </c>
      <c r="M156" t="s">
        <v>21</v>
      </c>
    </row>
    <row r="157" spans="1:13" x14ac:dyDescent="0.45">
      <c r="A157" t="s">
        <v>0</v>
      </c>
      <c r="B157" t="s">
        <v>146</v>
      </c>
      <c r="C157">
        <v>2050</v>
      </c>
      <c r="D157">
        <v>63</v>
      </c>
      <c r="E157">
        <v>0.51</v>
      </c>
      <c r="F157">
        <v>0.53</v>
      </c>
      <c r="G157">
        <v>7.0000000000000007E-2</v>
      </c>
      <c r="H157">
        <v>0.33</v>
      </c>
      <c r="I157">
        <v>0.64</v>
      </c>
      <c r="J157">
        <v>0.48</v>
      </c>
      <c r="K157">
        <v>0.56000000000000005</v>
      </c>
      <c r="L157" t="s">
        <v>1</v>
      </c>
      <c r="M157" t="s">
        <v>21</v>
      </c>
    </row>
    <row r="158" spans="1:13" x14ac:dyDescent="0.45">
      <c r="A158" t="s">
        <v>2</v>
      </c>
      <c r="B158" t="s">
        <v>146</v>
      </c>
      <c r="C158">
        <v>2020</v>
      </c>
      <c r="D158">
        <v>97</v>
      </c>
      <c r="E158">
        <v>0.6</v>
      </c>
      <c r="F158">
        <v>0.6</v>
      </c>
      <c r="G158">
        <v>0.03</v>
      </c>
      <c r="H158">
        <v>0.54</v>
      </c>
      <c r="I158">
        <v>0.65</v>
      </c>
      <c r="J158">
        <v>0.56999999999999995</v>
      </c>
      <c r="K158">
        <v>0.63</v>
      </c>
      <c r="L158" t="s">
        <v>3</v>
      </c>
      <c r="M158" t="s">
        <v>21</v>
      </c>
    </row>
    <row r="159" spans="1:13" x14ac:dyDescent="0.45">
      <c r="A159" t="s">
        <v>2</v>
      </c>
      <c r="B159" t="s">
        <v>146</v>
      </c>
      <c r="C159">
        <v>2025</v>
      </c>
      <c r="D159">
        <v>86</v>
      </c>
      <c r="E159">
        <v>0.59</v>
      </c>
      <c r="F159">
        <v>0.59</v>
      </c>
      <c r="G159">
        <v>0.05</v>
      </c>
      <c r="H159">
        <v>0.26</v>
      </c>
      <c r="I159">
        <v>0.69</v>
      </c>
      <c r="J159">
        <v>0.56000000000000005</v>
      </c>
      <c r="K159">
        <v>0.63</v>
      </c>
      <c r="L159" t="s">
        <v>3</v>
      </c>
      <c r="M159" t="s">
        <v>21</v>
      </c>
    </row>
    <row r="160" spans="1:13" x14ac:dyDescent="0.45">
      <c r="A160" t="s">
        <v>2</v>
      </c>
      <c r="B160" t="s">
        <v>146</v>
      </c>
      <c r="C160">
        <v>2030</v>
      </c>
      <c r="D160">
        <v>97</v>
      </c>
      <c r="E160">
        <v>0.57999999999999996</v>
      </c>
      <c r="F160">
        <v>0.59</v>
      </c>
      <c r="G160">
        <v>0.06</v>
      </c>
      <c r="H160">
        <v>0.23</v>
      </c>
      <c r="I160">
        <v>0.67</v>
      </c>
      <c r="J160">
        <v>0.56000000000000005</v>
      </c>
      <c r="K160">
        <v>0.62</v>
      </c>
      <c r="L160" t="s">
        <v>3</v>
      </c>
      <c r="M160" t="s">
        <v>21</v>
      </c>
    </row>
    <row r="161" spans="1:13" x14ac:dyDescent="0.45">
      <c r="A161" t="s">
        <v>2</v>
      </c>
      <c r="B161" t="s">
        <v>146</v>
      </c>
      <c r="C161">
        <v>2035</v>
      </c>
      <c r="D161">
        <v>86</v>
      </c>
      <c r="E161">
        <v>0.55000000000000004</v>
      </c>
      <c r="F161">
        <v>0.56000000000000005</v>
      </c>
      <c r="G161">
        <v>0.05</v>
      </c>
      <c r="H161">
        <v>0.4</v>
      </c>
      <c r="I161">
        <v>0.66</v>
      </c>
      <c r="J161">
        <v>0.53</v>
      </c>
      <c r="K161">
        <v>0.6</v>
      </c>
      <c r="L161" t="s">
        <v>3</v>
      </c>
      <c r="M161" t="s">
        <v>21</v>
      </c>
    </row>
    <row r="162" spans="1:13" x14ac:dyDescent="0.45">
      <c r="A162" t="s">
        <v>2</v>
      </c>
      <c r="B162" t="s">
        <v>146</v>
      </c>
      <c r="C162">
        <v>2040</v>
      </c>
      <c r="D162">
        <v>97</v>
      </c>
      <c r="E162">
        <v>0.54</v>
      </c>
      <c r="F162">
        <v>0.54</v>
      </c>
      <c r="G162">
        <v>0.06</v>
      </c>
      <c r="H162">
        <v>0.36</v>
      </c>
      <c r="I162">
        <v>0.65</v>
      </c>
      <c r="J162">
        <v>0.52</v>
      </c>
      <c r="K162">
        <v>0.57999999999999996</v>
      </c>
      <c r="L162" t="s">
        <v>3</v>
      </c>
      <c r="M162" t="s">
        <v>21</v>
      </c>
    </row>
    <row r="163" spans="1:13" x14ac:dyDescent="0.45">
      <c r="A163" t="s">
        <v>2</v>
      </c>
      <c r="B163" t="s">
        <v>146</v>
      </c>
      <c r="C163">
        <v>2045</v>
      </c>
      <c r="D163">
        <v>86</v>
      </c>
      <c r="E163">
        <v>0.53</v>
      </c>
      <c r="F163">
        <v>0.53</v>
      </c>
      <c r="G163">
        <v>0.06</v>
      </c>
      <c r="H163">
        <v>0.33</v>
      </c>
      <c r="I163">
        <v>0.65</v>
      </c>
      <c r="J163">
        <v>0.5</v>
      </c>
      <c r="K163">
        <v>0.56000000000000005</v>
      </c>
      <c r="L163" t="s">
        <v>3</v>
      </c>
      <c r="M163" t="s">
        <v>21</v>
      </c>
    </row>
    <row r="164" spans="1:13" x14ac:dyDescent="0.45">
      <c r="A164" t="s">
        <v>2</v>
      </c>
      <c r="B164" t="s">
        <v>146</v>
      </c>
      <c r="C164">
        <v>2050</v>
      </c>
      <c r="D164">
        <v>97</v>
      </c>
      <c r="E164">
        <v>0.52</v>
      </c>
      <c r="F164">
        <v>0.54</v>
      </c>
      <c r="G164">
        <v>0.06</v>
      </c>
      <c r="H164">
        <v>0.32</v>
      </c>
      <c r="I164">
        <v>0.64</v>
      </c>
      <c r="J164">
        <v>0.49</v>
      </c>
      <c r="K164">
        <v>0.56000000000000005</v>
      </c>
      <c r="L164" t="s">
        <v>3</v>
      </c>
      <c r="M164" t="s">
        <v>21</v>
      </c>
    </row>
    <row r="165" spans="1:13" x14ac:dyDescent="0.45">
      <c r="A165" t="s">
        <v>5</v>
      </c>
      <c r="B165" t="s">
        <v>146</v>
      </c>
      <c r="C165">
        <v>2020</v>
      </c>
      <c r="D165">
        <v>218</v>
      </c>
      <c r="E165">
        <v>0.6</v>
      </c>
      <c r="F165">
        <v>0.6</v>
      </c>
      <c r="G165">
        <v>0.02</v>
      </c>
      <c r="H165">
        <v>0.54</v>
      </c>
      <c r="I165">
        <v>0.65</v>
      </c>
      <c r="J165">
        <v>0.57999999999999996</v>
      </c>
      <c r="K165">
        <v>0.62</v>
      </c>
      <c r="L165" t="s">
        <v>6</v>
      </c>
      <c r="M165" t="s">
        <v>21</v>
      </c>
    </row>
    <row r="166" spans="1:13" x14ac:dyDescent="0.45">
      <c r="A166" t="s">
        <v>5</v>
      </c>
      <c r="B166" t="s">
        <v>146</v>
      </c>
      <c r="C166">
        <v>2025</v>
      </c>
      <c r="D166">
        <v>195</v>
      </c>
      <c r="E166">
        <v>0.59</v>
      </c>
      <c r="F166">
        <v>0.6</v>
      </c>
      <c r="G166">
        <v>0.11</v>
      </c>
      <c r="H166">
        <v>0</v>
      </c>
      <c r="I166">
        <v>0.76</v>
      </c>
      <c r="J166">
        <v>0.56999999999999995</v>
      </c>
      <c r="K166">
        <v>0.63</v>
      </c>
      <c r="L166" t="s">
        <v>6</v>
      </c>
      <c r="M166" t="s">
        <v>21</v>
      </c>
    </row>
    <row r="167" spans="1:13" x14ac:dyDescent="0.45">
      <c r="A167" t="s">
        <v>5</v>
      </c>
      <c r="B167" t="s">
        <v>146</v>
      </c>
      <c r="C167">
        <v>2030</v>
      </c>
      <c r="D167">
        <v>218</v>
      </c>
      <c r="E167">
        <v>0.57999999999999996</v>
      </c>
      <c r="F167">
        <v>0.6</v>
      </c>
      <c r="G167">
        <v>0.11</v>
      </c>
      <c r="H167">
        <v>0</v>
      </c>
      <c r="I167">
        <v>0.76</v>
      </c>
      <c r="J167">
        <v>0.56000000000000005</v>
      </c>
      <c r="K167">
        <v>0.63</v>
      </c>
      <c r="L167" t="s">
        <v>6</v>
      </c>
      <c r="M167" t="s">
        <v>21</v>
      </c>
    </row>
    <row r="168" spans="1:13" x14ac:dyDescent="0.45">
      <c r="A168" t="s">
        <v>5</v>
      </c>
      <c r="B168" t="s">
        <v>146</v>
      </c>
      <c r="C168">
        <v>2035</v>
      </c>
      <c r="D168">
        <v>195</v>
      </c>
      <c r="E168">
        <v>0.56999999999999995</v>
      </c>
      <c r="F168">
        <v>0.56999999999999995</v>
      </c>
      <c r="G168">
        <v>0.06</v>
      </c>
      <c r="H168">
        <v>0.41</v>
      </c>
      <c r="I168">
        <v>0.66</v>
      </c>
      <c r="J168">
        <v>0.53</v>
      </c>
      <c r="K168">
        <v>0.6</v>
      </c>
      <c r="L168" t="s">
        <v>6</v>
      </c>
      <c r="M168" t="s">
        <v>21</v>
      </c>
    </row>
    <row r="169" spans="1:13" x14ac:dyDescent="0.45">
      <c r="A169" t="s">
        <v>5</v>
      </c>
      <c r="B169" t="s">
        <v>146</v>
      </c>
      <c r="C169">
        <v>2040</v>
      </c>
      <c r="D169">
        <v>218</v>
      </c>
      <c r="E169">
        <v>0.56000000000000005</v>
      </c>
      <c r="F169">
        <v>0.54</v>
      </c>
      <c r="G169">
        <v>7.0000000000000007E-2</v>
      </c>
      <c r="H169">
        <v>0.35</v>
      </c>
      <c r="I169">
        <v>0.68</v>
      </c>
      <c r="J169">
        <v>0.52</v>
      </c>
      <c r="K169">
        <v>0.6</v>
      </c>
      <c r="L169" t="s">
        <v>6</v>
      </c>
      <c r="M169" t="s">
        <v>21</v>
      </c>
    </row>
    <row r="170" spans="1:13" x14ac:dyDescent="0.45">
      <c r="A170" t="s">
        <v>5</v>
      </c>
      <c r="B170" t="s">
        <v>146</v>
      </c>
      <c r="C170">
        <v>2045</v>
      </c>
      <c r="D170">
        <v>195</v>
      </c>
      <c r="E170">
        <v>0.53</v>
      </c>
      <c r="F170">
        <v>0.52</v>
      </c>
      <c r="G170">
        <v>0.06</v>
      </c>
      <c r="H170">
        <v>0.32</v>
      </c>
      <c r="I170">
        <v>0.65</v>
      </c>
      <c r="J170">
        <v>0.5</v>
      </c>
      <c r="K170">
        <v>0.56000000000000005</v>
      </c>
      <c r="L170" t="s">
        <v>6</v>
      </c>
      <c r="M170" t="s">
        <v>21</v>
      </c>
    </row>
    <row r="171" spans="1:13" x14ac:dyDescent="0.45">
      <c r="A171" t="s">
        <v>5</v>
      </c>
      <c r="B171" t="s">
        <v>146</v>
      </c>
      <c r="C171">
        <v>2050</v>
      </c>
      <c r="D171">
        <v>218</v>
      </c>
      <c r="E171">
        <v>0.53</v>
      </c>
      <c r="F171">
        <v>0.53</v>
      </c>
      <c r="G171">
        <v>7.0000000000000007E-2</v>
      </c>
      <c r="H171">
        <v>0.3</v>
      </c>
      <c r="I171">
        <v>0.71</v>
      </c>
      <c r="J171">
        <v>0.49</v>
      </c>
      <c r="K171">
        <v>0.56999999999999995</v>
      </c>
      <c r="L171" t="s">
        <v>6</v>
      </c>
      <c r="M171" t="s">
        <v>21</v>
      </c>
    </row>
    <row r="172" spans="1:13" x14ac:dyDescent="0.45">
      <c r="A172" t="s">
        <v>7</v>
      </c>
      <c r="B172" t="s">
        <v>146</v>
      </c>
      <c r="C172">
        <v>2020</v>
      </c>
      <c r="D172">
        <v>102</v>
      </c>
      <c r="E172">
        <v>0.59</v>
      </c>
      <c r="F172">
        <v>0.59</v>
      </c>
      <c r="G172">
        <v>0.02</v>
      </c>
      <c r="H172">
        <v>0.54</v>
      </c>
      <c r="I172">
        <v>0.64</v>
      </c>
      <c r="J172">
        <v>0.56999999999999995</v>
      </c>
      <c r="K172">
        <v>0.6</v>
      </c>
      <c r="L172" t="s">
        <v>8</v>
      </c>
      <c r="M172" t="s">
        <v>21</v>
      </c>
    </row>
    <row r="173" spans="1:13" x14ac:dyDescent="0.45">
      <c r="A173" t="s">
        <v>7</v>
      </c>
      <c r="B173" t="s">
        <v>146</v>
      </c>
      <c r="C173">
        <v>2025</v>
      </c>
      <c r="D173">
        <v>96</v>
      </c>
      <c r="E173">
        <v>0.57999999999999996</v>
      </c>
      <c r="F173">
        <v>0.59</v>
      </c>
      <c r="G173">
        <v>0.12</v>
      </c>
      <c r="H173">
        <v>0</v>
      </c>
      <c r="I173">
        <v>0.78</v>
      </c>
      <c r="J173">
        <v>0.57999999999999996</v>
      </c>
      <c r="K173">
        <v>0.61</v>
      </c>
      <c r="L173" t="s">
        <v>8</v>
      </c>
      <c r="M173" t="s">
        <v>21</v>
      </c>
    </row>
    <row r="174" spans="1:13" x14ac:dyDescent="0.45">
      <c r="A174" t="s">
        <v>7</v>
      </c>
      <c r="B174" t="s">
        <v>146</v>
      </c>
      <c r="C174">
        <v>2030</v>
      </c>
      <c r="D174">
        <v>102</v>
      </c>
      <c r="E174">
        <v>0.57999999999999996</v>
      </c>
      <c r="F174">
        <v>0.59</v>
      </c>
      <c r="G174">
        <v>0.12</v>
      </c>
      <c r="H174">
        <v>0</v>
      </c>
      <c r="I174">
        <v>0.77</v>
      </c>
      <c r="J174">
        <v>0.56999999999999995</v>
      </c>
      <c r="K174">
        <v>0.62</v>
      </c>
      <c r="L174" t="s">
        <v>8</v>
      </c>
      <c r="M174" t="s">
        <v>21</v>
      </c>
    </row>
    <row r="175" spans="1:13" x14ac:dyDescent="0.45">
      <c r="A175" t="s">
        <v>7</v>
      </c>
      <c r="B175" t="s">
        <v>146</v>
      </c>
      <c r="C175">
        <v>2035</v>
      </c>
      <c r="D175">
        <v>96</v>
      </c>
      <c r="E175">
        <v>0.59</v>
      </c>
      <c r="F175">
        <v>0.57999999999999996</v>
      </c>
      <c r="G175">
        <v>0.04</v>
      </c>
      <c r="H175">
        <v>0.51</v>
      </c>
      <c r="I175">
        <v>0.67</v>
      </c>
      <c r="J175">
        <v>0.56999999999999995</v>
      </c>
      <c r="K175">
        <v>0.61</v>
      </c>
      <c r="L175" t="s">
        <v>8</v>
      </c>
      <c r="M175" t="s">
        <v>21</v>
      </c>
    </row>
    <row r="176" spans="1:13" x14ac:dyDescent="0.45">
      <c r="A176" t="s">
        <v>7</v>
      </c>
      <c r="B176" t="s">
        <v>146</v>
      </c>
      <c r="C176">
        <v>2040</v>
      </c>
      <c r="D176">
        <v>102</v>
      </c>
      <c r="E176">
        <v>0.57999999999999996</v>
      </c>
      <c r="F176">
        <v>0.57999999999999996</v>
      </c>
      <c r="G176">
        <v>0.05</v>
      </c>
      <c r="H176">
        <v>0.46</v>
      </c>
      <c r="I176">
        <v>0.68</v>
      </c>
      <c r="J176">
        <v>0.54</v>
      </c>
      <c r="K176">
        <v>0.62</v>
      </c>
      <c r="L176" t="s">
        <v>8</v>
      </c>
      <c r="M176" t="s">
        <v>21</v>
      </c>
    </row>
    <row r="177" spans="1:13" x14ac:dyDescent="0.45">
      <c r="A177" t="s">
        <v>7</v>
      </c>
      <c r="B177" t="s">
        <v>146</v>
      </c>
      <c r="C177">
        <v>2045</v>
      </c>
      <c r="D177">
        <v>96</v>
      </c>
      <c r="E177">
        <v>0.56000000000000005</v>
      </c>
      <c r="F177">
        <v>0.56000000000000005</v>
      </c>
      <c r="G177">
        <v>0.06</v>
      </c>
      <c r="H177">
        <v>0.46</v>
      </c>
      <c r="I177">
        <v>0.65</v>
      </c>
      <c r="J177">
        <v>0.52</v>
      </c>
      <c r="K177">
        <v>0.62</v>
      </c>
      <c r="L177" t="s">
        <v>8</v>
      </c>
      <c r="M177" t="s">
        <v>21</v>
      </c>
    </row>
    <row r="178" spans="1:13" x14ac:dyDescent="0.45">
      <c r="A178" t="s">
        <v>7</v>
      </c>
      <c r="B178" t="s">
        <v>146</v>
      </c>
      <c r="C178">
        <v>2050</v>
      </c>
      <c r="D178">
        <v>102</v>
      </c>
      <c r="E178">
        <v>0.56999999999999995</v>
      </c>
      <c r="F178">
        <v>0.54</v>
      </c>
      <c r="G178">
        <v>7.0000000000000007E-2</v>
      </c>
      <c r="H178">
        <v>0.46</v>
      </c>
      <c r="I178">
        <v>0.71</v>
      </c>
      <c r="J178">
        <v>0.52</v>
      </c>
      <c r="K178">
        <v>0.64</v>
      </c>
      <c r="L178" t="s">
        <v>8</v>
      </c>
      <c r="M178" t="s">
        <v>21</v>
      </c>
    </row>
    <row r="179" spans="1:13" x14ac:dyDescent="0.45">
      <c r="A179" t="s">
        <v>9</v>
      </c>
      <c r="B179" t="s">
        <v>146</v>
      </c>
      <c r="C179">
        <v>2020</v>
      </c>
      <c r="D179">
        <v>58</v>
      </c>
      <c r="E179">
        <v>0.6</v>
      </c>
      <c r="F179">
        <v>0.61</v>
      </c>
      <c r="G179">
        <v>0.03</v>
      </c>
      <c r="H179">
        <v>0.54</v>
      </c>
      <c r="I179">
        <v>0.64</v>
      </c>
      <c r="J179">
        <v>0.57999999999999996</v>
      </c>
      <c r="K179">
        <v>0.62</v>
      </c>
      <c r="L179" t="s">
        <v>10</v>
      </c>
      <c r="M179" t="s">
        <v>21</v>
      </c>
    </row>
    <row r="180" spans="1:13" x14ac:dyDescent="0.45">
      <c r="A180" t="s">
        <v>9</v>
      </c>
      <c r="B180" t="s">
        <v>146</v>
      </c>
      <c r="C180">
        <v>2025</v>
      </c>
      <c r="D180">
        <v>53</v>
      </c>
      <c r="E180">
        <v>0.6</v>
      </c>
      <c r="F180">
        <v>0.61</v>
      </c>
      <c r="G180">
        <v>0.04</v>
      </c>
      <c r="H180">
        <v>0.42</v>
      </c>
      <c r="I180">
        <v>0.65</v>
      </c>
      <c r="J180">
        <v>0.59</v>
      </c>
      <c r="K180">
        <v>0.63</v>
      </c>
      <c r="L180" t="s">
        <v>10</v>
      </c>
      <c r="M180" t="s">
        <v>21</v>
      </c>
    </row>
    <row r="181" spans="1:13" x14ac:dyDescent="0.45">
      <c r="A181" t="s">
        <v>9</v>
      </c>
      <c r="B181" t="s">
        <v>146</v>
      </c>
      <c r="C181">
        <v>2030</v>
      </c>
      <c r="D181">
        <v>58</v>
      </c>
      <c r="E181">
        <v>0.6</v>
      </c>
      <c r="F181">
        <v>0.61</v>
      </c>
      <c r="G181">
        <v>0.04</v>
      </c>
      <c r="H181">
        <v>0.48</v>
      </c>
      <c r="I181">
        <v>0.65</v>
      </c>
      <c r="J181">
        <v>0.59</v>
      </c>
      <c r="K181">
        <v>0.63</v>
      </c>
      <c r="L181" t="s">
        <v>10</v>
      </c>
      <c r="M181" t="s">
        <v>21</v>
      </c>
    </row>
    <row r="182" spans="1:13" x14ac:dyDescent="0.45">
      <c r="A182" t="s">
        <v>9</v>
      </c>
      <c r="B182" t="s">
        <v>146</v>
      </c>
      <c r="C182">
        <v>2035</v>
      </c>
      <c r="D182">
        <v>53</v>
      </c>
      <c r="E182">
        <v>0.57999999999999996</v>
      </c>
      <c r="F182">
        <v>0.59</v>
      </c>
      <c r="G182">
        <v>0.04</v>
      </c>
      <c r="H182">
        <v>0.46</v>
      </c>
      <c r="I182">
        <v>0.65</v>
      </c>
      <c r="J182">
        <v>0.56999999999999995</v>
      </c>
      <c r="K182">
        <v>0.61</v>
      </c>
      <c r="L182" t="s">
        <v>10</v>
      </c>
      <c r="M182" t="s">
        <v>21</v>
      </c>
    </row>
    <row r="183" spans="1:13" x14ac:dyDescent="0.45">
      <c r="A183" t="s">
        <v>9</v>
      </c>
      <c r="B183" t="s">
        <v>146</v>
      </c>
      <c r="C183">
        <v>2040</v>
      </c>
      <c r="D183">
        <v>58</v>
      </c>
      <c r="E183">
        <v>0.57999999999999996</v>
      </c>
      <c r="F183">
        <v>0.57999999999999996</v>
      </c>
      <c r="G183">
        <v>0.05</v>
      </c>
      <c r="H183">
        <v>0.42</v>
      </c>
      <c r="I183">
        <v>0.68</v>
      </c>
      <c r="J183">
        <v>0.55000000000000004</v>
      </c>
      <c r="K183">
        <v>0.61</v>
      </c>
      <c r="L183" t="s">
        <v>10</v>
      </c>
      <c r="M183" t="s">
        <v>21</v>
      </c>
    </row>
    <row r="184" spans="1:13" x14ac:dyDescent="0.45">
      <c r="A184" t="s">
        <v>9</v>
      </c>
      <c r="B184" t="s">
        <v>146</v>
      </c>
      <c r="C184">
        <v>2045</v>
      </c>
      <c r="D184">
        <v>53</v>
      </c>
      <c r="E184">
        <v>0.55000000000000004</v>
      </c>
      <c r="F184">
        <v>0.54</v>
      </c>
      <c r="G184">
        <v>0.06</v>
      </c>
      <c r="H184">
        <v>0.4</v>
      </c>
      <c r="I184">
        <v>0.68</v>
      </c>
      <c r="J184">
        <v>0.53</v>
      </c>
      <c r="K184">
        <v>0.59</v>
      </c>
      <c r="L184" t="s">
        <v>10</v>
      </c>
      <c r="M184" t="s">
        <v>21</v>
      </c>
    </row>
    <row r="185" spans="1:13" x14ac:dyDescent="0.45">
      <c r="A185" t="s">
        <v>9</v>
      </c>
      <c r="B185" t="s">
        <v>146</v>
      </c>
      <c r="C185">
        <v>2050</v>
      </c>
      <c r="D185">
        <v>58</v>
      </c>
      <c r="E185">
        <v>0.55000000000000004</v>
      </c>
      <c r="F185">
        <v>0.54</v>
      </c>
      <c r="G185">
        <v>7.0000000000000007E-2</v>
      </c>
      <c r="H185">
        <v>0.39</v>
      </c>
      <c r="I185">
        <v>0.69</v>
      </c>
      <c r="J185">
        <v>0.51</v>
      </c>
      <c r="K185">
        <v>0.59</v>
      </c>
      <c r="L185" t="s">
        <v>10</v>
      </c>
      <c r="M185" t="s">
        <v>21</v>
      </c>
    </row>
    <row r="186" spans="1:13" x14ac:dyDescent="0.45">
      <c r="A186" t="s">
        <v>0</v>
      </c>
      <c r="B186" t="s">
        <v>146</v>
      </c>
      <c r="C186">
        <v>2020</v>
      </c>
      <c r="D186">
        <v>63</v>
      </c>
      <c r="E186">
        <v>0.03</v>
      </c>
      <c r="F186">
        <v>0.03</v>
      </c>
      <c r="G186">
        <v>0.01</v>
      </c>
      <c r="H186">
        <v>0.02</v>
      </c>
      <c r="I186">
        <v>0.06</v>
      </c>
      <c r="J186">
        <v>0.03</v>
      </c>
      <c r="K186">
        <v>0.04</v>
      </c>
      <c r="L186" t="s">
        <v>1</v>
      </c>
      <c r="M186" t="s">
        <v>23</v>
      </c>
    </row>
    <row r="187" spans="1:13" x14ac:dyDescent="0.45">
      <c r="A187" t="s">
        <v>0</v>
      </c>
      <c r="B187" t="s">
        <v>146</v>
      </c>
      <c r="C187">
        <v>2025</v>
      </c>
      <c r="D187">
        <v>63</v>
      </c>
      <c r="E187">
        <v>0.06</v>
      </c>
      <c r="F187">
        <v>0.06</v>
      </c>
      <c r="G187">
        <v>0.02</v>
      </c>
      <c r="H187">
        <v>0.02</v>
      </c>
      <c r="I187">
        <v>0.1</v>
      </c>
      <c r="J187">
        <v>0.05</v>
      </c>
      <c r="K187">
        <v>7.0000000000000007E-2</v>
      </c>
      <c r="L187" t="s">
        <v>1</v>
      </c>
      <c r="M187" t="s">
        <v>23</v>
      </c>
    </row>
    <row r="188" spans="1:13" x14ac:dyDescent="0.45">
      <c r="A188" t="s">
        <v>0</v>
      </c>
      <c r="B188" t="s">
        <v>146</v>
      </c>
      <c r="C188">
        <v>2030</v>
      </c>
      <c r="D188">
        <v>63</v>
      </c>
      <c r="E188">
        <v>0.09</v>
      </c>
      <c r="F188">
        <v>0.1</v>
      </c>
      <c r="G188">
        <v>0.03</v>
      </c>
      <c r="H188">
        <v>0.02</v>
      </c>
      <c r="I188">
        <v>0.16</v>
      </c>
      <c r="J188">
        <v>7.0000000000000007E-2</v>
      </c>
      <c r="K188">
        <v>0.11</v>
      </c>
      <c r="L188" t="s">
        <v>1</v>
      </c>
      <c r="M188" t="s">
        <v>23</v>
      </c>
    </row>
    <row r="189" spans="1:13" x14ac:dyDescent="0.45">
      <c r="A189" t="s">
        <v>0</v>
      </c>
      <c r="B189" t="s">
        <v>146</v>
      </c>
      <c r="C189">
        <v>2035</v>
      </c>
      <c r="D189">
        <v>63</v>
      </c>
      <c r="E189">
        <v>0.13</v>
      </c>
      <c r="F189">
        <v>0.14000000000000001</v>
      </c>
      <c r="G189">
        <v>0.05</v>
      </c>
      <c r="H189">
        <v>0.02</v>
      </c>
      <c r="I189">
        <v>0.22</v>
      </c>
      <c r="J189">
        <v>0.1</v>
      </c>
      <c r="K189">
        <v>0.16</v>
      </c>
      <c r="L189" t="s">
        <v>1</v>
      </c>
      <c r="M189" t="s">
        <v>23</v>
      </c>
    </row>
    <row r="190" spans="1:13" x14ac:dyDescent="0.45">
      <c r="A190" t="s">
        <v>0</v>
      </c>
      <c r="B190" t="s">
        <v>146</v>
      </c>
      <c r="C190">
        <v>2040</v>
      </c>
      <c r="D190">
        <v>63</v>
      </c>
      <c r="E190">
        <v>0.15</v>
      </c>
      <c r="F190">
        <v>0.17</v>
      </c>
      <c r="G190">
        <v>0.06</v>
      </c>
      <c r="H190">
        <v>0.03</v>
      </c>
      <c r="I190">
        <v>0.23</v>
      </c>
      <c r="J190">
        <v>0.12</v>
      </c>
      <c r="K190">
        <v>0.19</v>
      </c>
      <c r="L190" t="s">
        <v>1</v>
      </c>
      <c r="M190" t="s">
        <v>23</v>
      </c>
    </row>
    <row r="191" spans="1:13" x14ac:dyDescent="0.45">
      <c r="A191" t="s">
        <v>0</v>
      </c>
      <c r="B191" t="s">
        <v>146</v>
      </c>
      <c r="C191">
        <v>2045</v>
      </c>
      <c r="D191">
        <v>63</v>
      </c>
      <c r="E191">
        <v>0.16</v>
      </c>
      <c r="F191">
        <v>0.19</v>
      </c>
      <c r="G191">
        <v>0.06</v>
      </c>
      <c r="H191">
        <v>0.03</v>
      </c>
      <c r="I191">
        <v>0.25</v>
      </c>
      <c r="J191">
        <v>0.11</v>
      </c>
      <c r="K191">
        <v>0.2</v>
      </c>
      <c r="L191" t="s">
        <v>1</v>
      </c>
      <c r="M191" t="s">
        <v>23</v>
      </c>
    </row>
    <row r="192" spans="1:13" x14ac:dyDescent="0.45">
      <c r="A192" t="s">
        <v>0</v>
      </c>
      <c r="B192" t="s">
        <v>146</v>
      </c>
      <c r="C192">
        <v>2050</v>
      </c>
      <c r="D192">
        <v>63</v>
      </c>
      <c r="E192">
        <v>0.17</v>
      </c>
      <c r="F192">
        <v>0.2</v>
      </c>
      <c r="G192">
        <v>0.06</v>
      </c>
      <c r="H192">
        <v>0.03</v>
      </c>
      <c r="I192">
        <v>0.26</v>
      </c>
      <c r="J192">
        <v>0.11</v>
      </c>
      <c r="K192">
        <v>0.2</v>
      </c>
      <c r="L192" t="s">
        <v>1</v>
      </c>
      <c r="M192" t="s">
        <v>23</v>
      </c>
    </row>
    <row r="193" spans="1:13" x14ac:dyDescent="0.45">
      <c r="A193" t="s">
        <v>2</v>
      </c>
      <c r="B193" t="s">
        <v>146</v>
      </c>
      <c r="C193">
        <v>2020</v>
      </c>
      <c r="D193">
        <v>100</v>
      </c>
      <c r="E193">
        <v>0.03</v>
      </c>
      <c r="F193">
        <v>0.03</v>
      </c>
      <c r="G193">
        <v>0.01</v>
      </c>
      <c r="H193">
        <v>0.01</v>
      </c>
      <c r="I193">
        <v>0.06</v>
      </c>
      <c r="J193">
        <v>0.03</v>
      </c>
      <c r="K193">
        <v>0.04</v>
      </c>
      <c r="L193" t="s">
        <v>3</v>
      </c>
      <c r="M193" t="s">
        <v>23</v>
      </c>
    </row>
    <row r="194" spans="1:13" x14ac:dyDescent="0.45">
      <c r="A194" t="s">
        <v>2</v>
      </c>
      <c r="B194" t="s">
        <v>146</v>
      </c>
      <c r="C194">
        <v>2025</v>
      </c>
      <c r="D194">
        <v>89</v>
      </c>
      <c r="E194">
        <v>0.06</v>
      </c>
      <c r="F194">
        <v>0.06</v>
      </c>
      <c r="G194">
        <v>0.06</v>
      </c>
      <c r="H194">
        <v>0.01</v>
      </c>
      <c r="I194">
        <v>0.59</v>
      </c>
      <c r="J194">
        <v>0.05</v>
      </c>
      <c r="K194">
        <v>7.0000000000000007E-2</v>
      </c>
      <c r="L194" t="s">
        <v>3</v>
      </c>
      <c r="M194" t="s">
        <v>23</v>
      </c>
    </row>
    <row r="195" spans="1:13" x14ac:dyDescent="0.45">
      <c r="A195" t="s">
        <v>2</v>
      </c>
      <c r="B195" t="s">
        <v>146</v>
      </c>
      <c r="C195">
        <v>2030</v>
      </c>
      <c r="D195">
        <v>100</v>
      </c>
      <c r="E195">
        <v>0.1</v>
      </c>
      <c r="F195">
        <v>0.09</v>
      </c>
      <c r="G195">
        <v>7.0000000000000007E-2</v>
      </c>
      <c r="H195">
        <v>0.01</v>
      </c>
      <c r="I195">
        <v>0.7</v>
      </c>
      <c r="J195">
        <v>0.06</v>
      </c>
      <c r="K195">
        <v>0.12</v>
      </c>
      <c r="L195" t="s">
        <v>3</v>
      </c>
      <c r="M195" t="s">
        <v>23</v>
      </c>
    </row>
    <row r="196" spans="1:13" x14ac:dyDescent="0.45">
      <c r="A196" t="s">
        <v>2</v>
      </c>
      <c r="B196" t="s">
        <v>146</v>
      </c>
      <c r="C196">
        <v>2035</v>
      </c>
      <c r="D196">
        <v>89</v>
      </c>
      <c r="E196">
        <v>0.12</v>
      </c>
      <c r="F196">
        <v>0.12</v>
      </c>
      <c r="G196">
        <v>0.06</v>
      </c>
      <c r="H196">
        <v>0.01</v>
      </c>
      <c r="I196">
        <v>0.24</v>
      </c>
      <c r="J196">
        <v>7.0000000000000007E-2</v>
      </c>
      <c r="K196">
        <v>0.16</v>
      </c>
      <c r="L196" t="s">
        <v>3</v>
      </c>
      <c r="M196" t="s">
        <v>23</v>
      </c>
    </row>
    <row r="197" spans="1:13" x14ac:dyDescent="0.45">
      <c r="A197" t="s">
        <v>2</v>
      </c>
      <c r="B197" t="s">
        <v>146</v>
      </c>
      <c r="C197">
        <v>2040</v>
      </c>
      <c r="D197">
        <v>100</v>
      </c>
      <c r="E197">
        <v>0.15</v>
      </c>
      <c r="F197">
        <v>0.17</v>
      </c>
      <c r="G197">
        <v>7.0000000000000007E-2</v>
      </c>
      <c r="H197">
        <v>0.01</v>
      </c>
      <c r="I197">
        <v>0.27</v>
      </c>
      <c r="J197">
        <v>0.1</v>
      </c>
      <c r="K197">
        <v>0.22</v>
      </c>
      <c r="L197" t="s">
        <v>3</v>
      </c>
      <c r="M197" t="s">
        <v>23</v>
      </c>
    </row>
    <row r="198" spans="1:13" x14ac:dyDescent="0.45">
      <c r="A198" t="s">
        <v>2</v>
      </c>
      <c r="B198" t="s">
        <v>146</v>
      </c>
      <c r="C198">
        <v>2045</v>
      </c>
      <c r="D198">
        <v>89</v>
      </c>
      <c r="E198">
        <v>0.15</v>
      </c>
      <c r="F198">
        <v>0.17</v>
      </c>
      <c r="G198">
        <v>7.0000000000000007E-2</v>
      </c>
      <c r="H198">
        <v>0.01</v>
      </c>
      <c r="I198">
        <v>0.26</v>
      </c>
      <c r="J198">
        <v>0.08</v>
      </c>
      <c r="K198">
        <v>0.21</v>
      </c>
      <c r="L198" t="s">
        <v>3</v>
      </c>
      <c r="M198" t="s">
        <v>23</v>
      </c>
    </row>
    <row r="199" spans="1:13" x14ac:dyDescent="0.45">
      <c r="A199" t="s">
        <v>2</v>
      </c>
      <c r="B199" t="s">
        <v>146</v>
      </c>
      <c r="C199">
        <v>2050</v>
      </c>
      <c r="D199">
        <v>100</v>
      </c>
      <c r="E199">
        <v>0.16</v>
      </c>
      <c r="F199">
        <v>0.2</v>
      </c>
      <c r="G199">
        <v>7.0000000000000007E-2</v>
      </c>
      <c r="H199">
        <v>0</v>
      </c>
      <c r="I199">
        <v>0.28000000000000003</v>
      </c>
      <c r="J199">
        <v>0.11</v>
      </c>
      <c r="K199">
        <v>0.22</v>
      </c>
      <c r="L199" t="s">
        <v>3</v>
      </c>
      <c r="M199" t="s">
        <v>23</v>
      </c>
    </row>
    <row r="200" spans="1:13" x14ac:dyDescent="0.45">
      <c r="A200" t="s">
        <v>5</v>
      </c>
      <c r="B200" t="s">
        <v>146</v>
      </c>
      <c r="C200">
        <v>2020</v>
      </c>
      <c r="D200">
        <v>219</v>
      </c>
      <c r="E200">
        <v>0.03</v>
      </c>
      <c r="F200">
        <v>0.03</v>
      </c>
      <c r="G200">
        <v>0.01</v>
      </c>
      <c r="H200">
        <v>0.01</v>
      </c>
      <c r="I200">
        <v>0.06</v>
      </c>
      <c r="J200">
        <v>0.02</v>
      </c>
      <c r="K200">
        <v>0.04</v>
      </c>
      <c r="L200" t="s">
        <v>6</v>
      </c>
      <c r="M200" t="s">
        <v>23</v>
      </c>
    </row>
    <row r="201" spans="1:13" x14ac:dyDescent="0.45">
      <c r="A201" t="s">
        <v>5</v>
      </c>
      <c r="B201" t="s">
        <v>146</v>
      </c>
      <c r="C201">
        <v>2025</v>
      </c>
      <c r="D201">
        <v>196</v>
      </c>
      <c r="E201">
        <v>0.09</v>
      </c>
      <c r="F201">
        <v>0.06</v>
      </c>
      <c r="G201">
        <v>0.16</v>
      </c>
      <c r="H201">
        <v>0.01</v>
      </c>
      <c r="I201">
        <v>1</v>
      </c>
      <c r="J201">
        <v>0.05</v>
      </c>
      <c r="K201">
        <v>7.0000000000000007E-2</v>
      </c>
      <c r="L201" t="s">
        <v>6</v>
      </c>
      <c r="M201" t="s">
        <v>23</v>
      </c>
    </row>
    <row r="202" spans="1:13" x14ac:dyDescent="0.45">
      <c r="A202" t="s">
        <v>5</v>
      </c>
      <c r="B202" t="s">
        <v>146</v>
      </c>
      <c r="C202">
        <v>2030</v>
      </c>
      <c r="D202">
        <v>219</v>
      </c>
      <c r="E202">
        <v>0.11</v>
      </c>
      <c r="F202">
        <v>0.08</v>
      </c>
      <c r="G202">
        <v>0.16</v>
      </c>
      <c r="H202">
        <v>0.01</v>
      </c>
      <c r="I202">
        <v>1</v>
      </c>
      <c r="J202">
        <v>0.04</v>
      </c>
      <c r="K202">
        <v>0.11</v>
      </c>
      <c r="L202" t="s">
        <v>6</v>
      </c>
      <c r="M202" t="s">
        <v>23</v>
      </c>
    </row>
    <row r="203" spans="1:13" x14ac:dyDescent="0.45">
      <c r="A203" t="s">
        <v>5</v>
      </c>
      <c r="B203" t="s">
        <v>146</v>
      </c>
      <c r="C203">
        <v>2035</v>
      </c>
      <c r="D203">
        <v>196</v>
      </c>
      <c r="E203">
        <v>0.11</v>
      </c>
      <c r="F203">
        <v>0.11</v>
      </c>
      <c r="G203">
        <v>0.06</v>
      </c>
      <c r="H203">
        <v>0.01</v>
      </c>
      <c r="I203">
        <v>0.24</v>
      </c>
      <c r="J203">
        <v>0.06</v>
      </c>
      <c r="K203">
        <v>0.15</v>
      </c>
      <c r="L203" t="s">
        <v>6</v>
      </c>
      <c r="M203" t="s">
        <v>23</v>
      </c>
    </row>
    <row r="204" spans="1:13" x14ac:dyDescent="0.45">
      <c r="A204" t="s">
        <v>5</v>
      </c>
      <c r="B204" t="s">
        <v>146</v>
      </c>
      <c r="C204">
        <v>2040</v>
      </c>
      <c r="D204">
        <v>219</v>
      </c>
      <c r="E204">
        <v>0.13</v>
      </c>
      <c r="F204">
        <v>0.12</v>
      </c>
      <c r="G204">
        <v>0.08</v>
      </c>
      <c r="H204">
        <v>0.01</v>
      </c>
      <c r="I204">
        <v>0.27</v>
      </c>
      <c r="J204">
        <v>0.06</v>
      </c>
      <c r="K204">
        <v>0.18</v>
      </c>
      <c r="L204" t="s">
        <v>6</v>
      </c>
      <c r="M204" t="s">
        <v>23</v>
      </c>
    </row>
    <row r="205" spans="1:13" x14ac:dyDescent="0.45">
      <c r="A205" t="s">
        <v>5</v>
      </c>
      <c r="B205" t="s">
        <v>146</v>
      </c>
      <c r="C205">
        <v>2045</v>
      </c>
      <c r="D205">
        <v>196</v>
      </c>
      <c r="E205">
        <v>0.15</v>
      </c>
      <c r="F205">
        <v>0.18</v>
      </c>
      <c r="G205">
        <v>0.08</v>
      </c>
      <c r="H205">
        <v>0.01</v>
      </c>
      <c r="I205">
        <v>0.27</v>
      </c>
      <c r="J205">
        <v>7.0000000000000007E-2</v>
      </c>
      <c r="K205">
        <v>0.2</v>
      </c>
      <c r="L205" t="s">
        <v>6</v>
      </c>
      <c r="M205" t="s">
        <v>23</v>
      </c>
    </row>
    <row r="206" spans="1:13" x14ac:dyDescent="0.45">
      <c r="A206" t="s">
        <v>5</v>
      </c>
      <c r="B206" t="s">
        <v>146</v>
      </c>
      <c r="C206">
        <v>2050</v>
      </c>
      <c r="D206">
        <v>219</v>
      </c>
      <c r="E206">
        <v>0.15</v>
      </c>
      <c r="F206">
        <v>0.19</v>
      </c>
      <c r="G206">
        <v>0.08</v>
      </c>
      <c r="H206">
        <v>0</v>
      </c>
      <c r="I206">
        <v>0.28999999999999998</v>
      </c>
      <c r="J206">
        <v>7.0000000000000007E-2</v>
      </c>
      <c r="K206">
        <v>0.21</v>
      </c>
      <c r="L206" t="s">
        <v>6</v>
      </c>
      <c r="M206" t="s">
        <v>23</v>
      </c>
    </row>
    <row r="207" spans="1:13" x14ac:dyDescent="0.45">
      <c r="A207" t="s">
        <v>7</v>
      </c>
      <c r="B207" t="s">
        <v>146</v>
      </c>
      <c r="C207">
        <v>2020</v>
      </c>
      <c r="D207">
        <v>102</v>
      </c>
      <c r="E207">
        <v>0.03</v>
      </c>
      <c r="F207">
        <v>0.03</v>
      </c>
      <c r="G207">
        <v>0.01</v>
      </c>
      <c r="H207">
        <v>0.01</v>
      </c>
      <c r="I207">
        <v>0.06</v>
      </c>
      <c r="J207">
        <v>0.02</v>
      </c>
      <c r="K207">
        <v>0.04</v>
      </c>
      <c r="L207" t="s">
        <v>8</v>
      </c>
      <c r="M207" t="s">
        <v>23</v>
      </c>
    </row>
    <row r="208" spans="1:13" x14ac:dyDescent="0.45">
      <c r="A208" t="s">
        <v>7</v>
      </c>
      <c r="B208" t="s">
        <v>146</v>
      </c>
      <c r="C208">
        <v>2025</v>
      </c>
      <c r="D208">
        <v>96</v>
      </c>
      <c r="E208">
        <v>0.08</v>
      </c>
      <c r="F208">
        <v>0.05</v>
      </c>
      <c r="G208">
        <v>0.18</v>
      </c>
      <c r="H208">
        <v>0.01</v>
      </c>
      <c r="I208">
        <v>1</v>
      </c>
      <c r="J208">
        <v>0.02</v>
      </c>
      <c r="K208">
        <v>7.0000000000000007E-2</v>
      </c>
      <c r="L208" t="s">
        <v>8</v>
      </c>
      <c r="M208" t="s">
        <v>23</v>
      </c>
    </row>
    <row r="209" spans="1:13" x14ac:dyDescent="0.45">
      <c r="A209" t="s">
        <v>7</v>
      </c>
      <c r="B209" t="s">
        <v>146</v>
      </c>
      <c r="C209">
        <v>2030</v>
      </c>
      <c r="D209">
        <v>102</v>
      </c>
      <c r="E209">
        <v>0.09</v>
      </c>
      <c r="F209">
        <v>0.04</v>
      </c>
      <c r="G209">
        <v>0.18</v>
      </c>
      <c r="H209">
        <v>0.01</v>
      </c>
      <c r="I209">
        <v>1</v>
      </c>
      <c r="J209">
        <v>0.03</v>
      </c>
      <c r="K209">
        <v>0.08</v>
      </c>
      <c r="L209" t="s">
        <v>8</v>
      </c>
      <c r="M209" t="s">
        <v>23</v>
      </c>
    </row>
    <row r="210" spans="1:13" x14ac:dyDescent="0.45">
      <c r="A210" t="s">
        <v>7</v>
      </c>
      <c r="B210" t="s">
        <v>146</v>
      </c>
      <c r="C210">
        <v>2035</v>
      </c>
      <c r="D210">
        <v>96</v>
      </c>
      <c r="E210">
        <v>7.0000000000000007E-2</v>
      </c>
      <c r="F210">
        <v>0.06</v>
      </c>
      <c r="G210">
        <v>0.05</v>
      </c>
      <c r="H210">
        <v>0.01</v>
      </c>
      <c r="I210">
        <v>0.24</v>
      </c>
      <c r="J210">
        <v>0.03</v>
      </c>
      <c r="K210">
        <v>0.09</v>
      </c>
      <c r="L210" t="s">
        <v>8</v>
      </c>
      <c r="M210" t="s">
        <v>23</v>
      </c>
    </row>
    <row r="211" spans="1:13" x14ac:dyDescent="0.45">
      <c r="A211" t="s">
        <v>7</v>
      </c>
      <c r="B211" t="s">
        <v>146</v>
      </c>
      <c r="C211">
        <v>2040</v>
      </c>
      <c r="D211">
        <v>102</v>
      </c>
      <c r="E211">
        <v>0.09</v>
      </c>
      <c r="F211">
        <v>7.0000000000000007E-2</v>
      </c>
      <c r="G211">
        <v>7.0000000000000007E-2</v>
      </c>
      <c r="H211">
        <v>0.01</v>
      </c>
      <c r="I211">
        <v>0.27</v>
      </c>
      <c r="J211">
        <v>0.03</v>
      </c>
      <c r="K211">
        <v>0.12</v>
      </c>
      <c r="L211" t="s">
        <v>8</v>
      </c>
      <c r="M211" t="s">
        <v>23</v>
      </c>
    </row>
    <row r="212" spans="1:13" x14ac:dyDescent="0.45">
      <c r="A212" t="s">
        <v>7</v>
      </c>
      <c r="B212" t="s">
        <v>146</v>
      </c>
      <c r="C212">
        <v>2045</v>
      </c>
      <c r="D212">
        <v>96</v>
      </c>
      <c r="E212">
        <v>0.11</v>
      </c>
      <c r="F212">
        <v>0.08</v>
      </c>
      <c r="G212">
        <v>0.09</v>
      </c>
      <c r="H212">
        <v>0.01</v>
      </c>
      <c r="I212">
        <v>0.27</v>
      </c>
      <c r="J212">
        <v>0.04</v>
      </c>
      <c r="K212">
        <v>0.19</v>
      </c>
      <c r="L212" t="s">
        <v>8</v>
      </c>
      <c r="M212" t="s">
        <v>23</v>
      </c>
    </row>
    <row r="213" spans="1:13" x14ac:dyDescent="0.45">
      <c r="A213" t="s">
        <v>7</v>
      </c>
      <c r="B213" t="s">
        <v>146</v>
      </c>
      <c r="C213">
        <v>2050</v>
      </c>
      <c r="D213">
        <v>102</v>
      </c>
      <c r="E213">
        <v>0.12</v>
      </c>
      <c r="F213">
        <v>0.08</v>
      </c>
      <c r="G213">
        <v>0.1</v>
      </c>
      <c r="H213">
        <v>0</v>
      </c>
      <c r="I213">
        <v>0.27</v>
      </c>
      <c r="J213">
        <v>0.03</v>
      </c>
      <c r="K213">
        <v>0.22</v>
      </c>
      <c r="L213" t="s">
        <v>8</v>
      </c>
      <c r="M213" t="s">
        <v>23</v>
      </c>
    </row>
    <row r="214" spans="1:13" x14ac:dyDescent="0.45">
      <c r="A214" t="s">
        <v>9</v>
      </c>
      <c r="B214" t="s">
        <v>146</v>
      </c>
      <c r="C214">
        <v>2020</v>
      </c>
      <c r="D214">
        <v>61</v>
      </c>
      <c r="E214">
        <v>0.03</v>
      </c>
      <c r="F214">
        <v>0.03</v>
      </c>
      <c r="G214">
        <v>0.01</v>
      </c>
      <c r="H214">
        <v>0.01</v>
      </c>
      <c r="I214">
        <v>0.06</v>
      </c>
      <c r="J214">
        <v>0.03</v>
      </c>
      <c r="K214">
        <v>0.03</v>
      </c>
      <c r="L214" t="s">
        <v>10</v>
      </c>
      <c r="M214" t="s">
        <v>23</v>
      </c>
    </row>
    <row r="215" spans="1:13" x14ac:dyDescent="0.45">
      <c r="A215" t="s">
        <v>9</v>
      </c>
      <c r="B215" t="s">
        <v>146</v>
      </c>
      <c r="C215">
        <v>2025</v>
      </c>
      <c r="D215">
        <v>56</v>
      </c>
      <c r="E215">
        <v>0.04</v>
      </c>
      <c r="F215">
        <v>0.05</v>
      </c>
      <c r="G215">
        <v>0.01</v>
      </c>
      <c r="H215">
        <v>0.01</v>
      </c>
      <c r="I215">
        <v>7.0000000000000007E-2</v>
      </c>
      <c r="J215">
        <v>0.04</v>
      </c>
      <c r="K215">
        <v>0.05</v>
      </c>
      <c r="L215" t="s">
        <v>10</v>
      </c>
      <c r="M215" t="s">
        <v>23</v>
      </c>
    </row>
    <row r="216" spans="1:13" x14ac:dyDescent="0.45">
      <c r="A216" t="s">
        <v>9</v>
      </c>
      <c r="B216" t="s">
        <v>146</v>
      </c>
      <c r="C216">
        <v>2030</v>
      </c>
      <c r="D216">
        <v>61</v>
      </c>
      <c r="E216">
        <v>0.06</v>
      </c>
      <c r="F216">
        <v>0.06</v>
      </c>
      <c r="G216">
        <v>0.02</v>
      </c>
      <c r="H216">
        <v>0.01</v>
      </c>
      <c r="I216">
        <v>0.11</v>
      </c>
      <c r="J216">
        <v>0.03</v>
      </c>
      <c r="K216">
        <v>0.08</v>
      </c>
      <c r="L216" t="s">
        <v>10</v>
      </c>
      <c r="M216" t="s">
        <v>23</v>
      </c>
    </row>
    <row r="217" spans="1:13" x14ac:dyDescent="0.45">
      <c r="A217" t="s">
        <v>9</v>
      </c>
      <c r="B217" t="s">
        <v>146</v>
      </c>
      <c r="C217">
        <v>2035</v>
      </c>
      <c r="D217">
        <v>56</v>
      </c>
      <c r="E217">
        <v>0.08</v>
      </c>
      <c r="F217">
        <v>0.08</v>
      </c>
      <c r="G217">
        <v>0.04</v>
      </c>
      <c r="H217">
        <v>0.01</v>
      </c>
      <c r="I217">
        <v>0.17</v>
      </c>
      <c r="J217">
        <v>0.06</v>
      </c>
      <c r="K217">
        <v>0.1</v>
      </c>
      <c r="L217" t="s">
        <v>10</v>
      </c>
      <c r="M217" t="s">
        <v>23</v>
      </c>
    </row>
    <row r="218" spans="1:13" x14ac:dyDescent="0.45">
      <c r="A218" t="s">
        <v>9</v>
      </c>
      <c r="B218" t="s">
        <v>146</v>
      </c>
      <c r="C218">
        <v>2040</v>
      </c>
      <c r="D218">
        <v>61</v>
      </c>
      <c r="E218">
        <v>0.09</v>
      </c>
      <c r="F218">
        <v>0.09</v>
      </c>
      <c r="G218">
        <v>0.05</v>
      </c>
      <c r="H218">
        <v>0.01</v>
      </c>
      <c r="I218">
        <v>0.22</v>
      </c>
      <c r="J218">
        <v>0.03</v>
      </c>
      <c r="K218">
        <v>0.14000000000000001</v>
      </c>
      <c r="L218" t="s">
        <v>10</v>
      </c>
      <c r="M218" t="s">
        <v>23</v>
      </c>
    </row>
    <row r="219" spans="1:13" x14ac:dyDescent="0.45">
      <c r="A219" t="s">
        <v>9</v>
      </c>
      <c r="B219" t="s">
        <v>146</v>
      </c>
      <c r="C219">
        <v>2045</v>
      </c>
      <c r="D219">
        <v>56</v>
      </c>
      <c r="E219">
        <v>0.12</v>
      </c>
      <c r="F219">
        <v>0.11</v>
      </c>
      <c r="G219">
        <v>7.0000000000000007E-2</v>
      </c>
      <c r="H219">
        <v>0.01</v>
      </c>
      <c r="I219">
        <v>0.25</v>
      </c>
      <c r="J219">
        <v>0.08</v>
      </c>
      <c r="K219">
        <v>0.19</v>
      </c>
      <c r="L219" t="s">
        <v>10</v>
      </c>
      <c r="M219" t="s">
        <v>23</v>
      </c>
    </row>
    <row r="220" spans="1:13" x14ac:dyDescent="0.45">
      <c r="A220" t="s">
        <v>9</v>
      </c>
      <c r="B220" t="s">
        <v>146</v>
      </c>
      <c r="C220">
        <v>2050</v>
      </c>
      <c r="D220">
        <v>61</v>
      </c>
      <c r="E220">
        <v>0.13</v>
      </c>
      <c r="F220">
        <v>0.12</v>
      </c>
      <c r="G220">
        <v>0.08</v>
      </c>
      <c r="H220">
        <v>0.01</v>
      </c>
      <c r="I220">
        <v>0.27</v>
      </c>
      <c r="J220">
        <v>0.05</v>
      </c>
      <c r="K220">
        <v>0.22</v>
      </c>
      <c r="L220" t="s">
        <v>10</v>
      </c>
      <c r="M220" t="s">
        <v>23</v>
      </c>
    </row>
    <row r="221" spans="1:13" x14ac:dyDescent="0.45">
      <c r="A221" t="s">
        <v>0</v>
      </c>
      <c r="B221" t="s">
        <v>146</v>
      </c>
      <c r="C221">
        <v>2020</v>
      </c>
      <c r="D221">
        <v>33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146</v>
      </c>
      <c r="C222">
        <v>2025</v>
      </c>
      <c r="D222">
        <v>34</v>
      </c>
      <c r="E222">
        <v>65535</v>
      </c>
      <c r="F222">
        <v>2.42</v>
      </c>
      <c r="H222">
        <v>1.18</v>
      </c>
      <c r="I222">
        <v>65535</v>
      </c>
      <c r="J222">
        <v>2.0099999999999998</v>
      </c>
      <c r="K222">
        <v>2.75</v>
      </c>
      <c r="L222" t="s">
        <v>1</v>
      </c>
      <c r="M222" t="s">
        <v>70</v>
      </c>
    </row>
    <row r="223" spans="1:13" x14ac:dyDescent="0.45">
      <c r="A223" t="s">
        <v>0</v>
      </c>
      <c r="B223" t="s">
        <v>146</v>
      </c>
      <c r="C223">
        <v>2030</v>
      </c>
      <c r="D223">
        <v>34</v>
      </c>
      <c r="E223">
        <v>65535</v>
      </c>
      <c r="F223">
        <v>3.1</v>
      </c>
      <c r="H223">
        <v>1.71</v>
      </c>
      <c r="I223">
        <v>65535</v>
      </c>
      <c r="J223">
        <v>2.38</v>
      </c>
      <c r="K223">
        <v>3.46</v>
      </c>
      <c r="L223" t="s">
        <v>1</v>
      </c>
      <c r="M223" t="s">
        <v>70</v>
      </c>
    </row>
    <row r="224" spans="1:13" x14ac:dyDescent="0.45">
      <c r="A224" t="s">
        <v>0</v>
      </c>
      <c r="B224" t="s">
        <v>146</v>
      </c>
      <c r="C224">
        <v>2035</v>
      </c>
      <c r="D224">
        <v>34</v>
      </c>
      <c r="E224">
        <v>65535</v>
      </c>
      <c r="F224">
        <v>3.54</v>
      </c>
      <c r="H224">
        <v>1.91</v>
      </c>
      <c r="I224">
        <v>65535</v>
      </c>
      <c r="J224">
        <v>2.66</v>
      </c>
      <c r="K224">
        <v>4.16</v>
      </c>
      <c r="L224" t="s">
        <v>1</v>
      </c>
      <c r="M224" t="s">
        <v>70</v>
      </c>
    </row>
    <row r="225" spans="1:13" x14ac:dyDescent="0.45">
      <c r="A225" t="s">
        <v>0</v>
      </c>
      <c r="B225" t="s">
        <v>146</v>
      </c>
      <c r="C225">
        <v>2040</v>
      </c>
      <c r="D225">
        <v>34</v>
      </c>
      <c r="E225">
        <v>65535</v>
      </c>
      <c r="F225">
        <v>4.0999999999999996</v>
      </c>
      <c r="H225">
        <v>2.27</v>
      </c>
      <c r="I225">
        <v>65535</v>
      </c>
      <c r="J225">
        <v>2.96</v>
      </c>
      <c r="K225">
        <v>4.5199999999999996</v>
      </c>
      <c r="L225" t="s">
        <v>1</v>
      </c>
      <c r="M225" t="s">
        <v>70</v>
      </c>
    </row>
    <row r="226" spans="1:13" x14ac:dyDescent="0.45">
      <c r="A226" t="s">
        <v>0</v>
      </c>
      <c r="B226" t="s">
        <v>146</v>
      </c>
      <c r="C226">
        <v>2045</v>
      </c>
      <c r="D226">
        <v>34</v>
      </c>
      <c r="E226">
        <v>65535</v>
      </c>
      <c r="F226">
        <v>3.86</v>
      </c>
      <c r="H226">
        <v>2.54</v>
      </c>
      <c r="I226">
        <v>65535</v>
      </c>
      <c r="J226">
        <v>3.3</v>
      </c>
      <c r="K226">
        <v>4.8899999999999997</v>
      </c>
      <c r="L226" t="s">
        <v>1</v>
      </c>
      <c r="M226" t="s">
        <v>70</v>
      </c>
    </row>
    <row r="227" spans="1:13" x14ac:dyDescent="0.45">
      <c r="A227" t="s">
        <v>0</v>
      </c>
      <c r="B227" t="s">
        <v>146</v>
      </c>
      <c r="C227">
        <v>2050</v>
      </c>
      <c r="D227">
        <v>34</v>
      </c>
      <c r="E227">
        <v>65535</v>
      </c>
      <c r="F227">
        <v>3.59</v>
      </c>
      <c r="H227">
        <v>2.73</v>
      </c>
      <c r="I227">
        <v>65535</v>
      </c>
      <c r="J227">
        <v>3.07</v>
      </c>
      <c r="K227">
        <v>4.0599999999999996</v>
      </c>
      <c r="L227" t="s">
        <v>1</v>
      </c>
      <c r="M227" t="s">
        <v>70</v>
      </c>
    </row>
    <row r="228" spans="1:13" x14ac:dyDescent="0.45">
      <c r="A228" t="s">
        <v>2</v>
      </c>
      <c r="B228" t="s">
        <v>146</v>
      </c>
      <c r="C228">
        <v>2020</v>
      </c>
      <c r="D228">
        <v>43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146</v>
      </c>
      <c r="C229">
        <v>2025</v>
      </c>
      <c r="D229">
        <v>44</v>
      </c>
      <c r="E229">
        <v>65535</v>
      </c>
      <c r="F229">
        <v>1.22</v>
      </c>
      <c r="H229">
        <v>0</v>
      </c>
      <c r="I229">
        <v>65535</v>
      </c>
      <c r="J229">
        <v>1.1299999999999999</v>
      </c>
      <c r="K229">
        <v>1.35</v>
      </c>
      <c r="L229" t="s">
        <v>3</v>
      </c>
      <c r="M229" t="s">
        <v>70</v>
      </c>
    </row>
    <row r="230" spans="1:13" x14ac:dyDescent="0.45">
      <c r="A230" t="s">
        <v>2</v>
      </c>
      <c r="B230" t="s">
        <v>146</v>
      </c>
      <c r="C230">
        <v>2030</v>
      </c>
      <c r="D230">
        <v>44</v>
      </c>
      <c r="E230">
        <v>65535</v>
      </c>
      <c r="F230">
        <v>1.5</v>
      </c>
      <c r="H230">
        <v>0</v>
      </c>
      <c r="I230">
        <v>65535</v>
      </c>
      <c r="J230">
        <v>1.31</v>
      </c>
      <c r="K230">
        <v>1.83</v>
      </c>
      <c r="L230" t="s">
        <v>3</v>
      </c>
      <c r="M230" t="s">
        <v>70</v>
      </c>
    </row>
    <row r="231" spans="1:13" x14ac:dyDescent="0.45">
      <c r="A231" t="s">
        <v>2</v>
      </c>
      <c r="B231" t="s">
        <v>146</v>
      </c>
      <c r="C231">
        <v>2035</v>
      </c>
      <c r="D231">
        <v>44</v>
      </c>
      <c r="E231">
        <v>65535</v>
      </c>
      <c r="F231">
        <v>2.12</v>
      </c>
      <c r="H231">
        <v>0</v>
      </c>
      <c r="I231">
        <v>65535</v>
      </c>
      <c r="J231">
        <v>1.68</v>
      </c>
      <c r="K231">
        <v>2.46</v>
      </c>
      <c r="L231" t="s">
        <v>3</v>
      </c>
      <c r="M231" t="s">
        <v>70</v>
      </c>
    </row>
    <row r="232" spans="1:13" x14ac:dyDescent="0.45">
      <c r="A232" t="s">
        <v>2</v>
      </c>
      <c r="B232" t="s">
        <v>146</v>
      </c>
      <c r="C232">
        <v>2040</v>
      </c>
      <c r="D232">
        <v>44</v>
      </c>
      <c r="E232">
        <v>65535</v>
      </c>
      <c r="F232">
        <v>2.5</v>
      </c>
      <c r="H232">
        <v>0</v>
      </c>
      <c r="I232">
        <v>65535</v>
      </c>
      <c r="J232">
        <v>2</v>
      </c>
      <c r="K232">
        <v>2.94</v>
      </c>
      <c r="L232" t="s">
        <v>3</v>
      </c>
      <c r="M232" t="s">
        <v>70</v>
      </c>
    </row>
    <row r="233" spans="1:13" x14ac:dyDescent="0.45">
      <c r="A233" t="s">
        <v>2</v>
      </c>
      <c r="B233" t="s">
        <v>146</v>
      </c>
      <c r="C233">
        <v>2045</v>
      </c>
      <c r="D233">
        <v>44</v>
      </c>
      <c r="E233">
        <v>65535</v>
      </c>
      <c r="F233">
        <v>2.79</v>
      </c>
      <c r="H233">
        <v>0</v>
      </c>
      <c r="I233">
        <v>65535</v>
      </c>
      <c r="J233">
        <v>2.08</v>
      </c>
      <c r="K233">
        <v>3.44</v>
      </c>
      <c r="L233" t="s">
        <v>3</v>
      </c>
      <c r="M233" t="s">
        <v>70</v>
      </c>
    </row>
    <row r="234" spans="1:13" x14ac:dyDescent="0.45">
      <c r="A234" t="s">
        <v>2</v>
      </c>
      <c r="B234" t="s">
        <v>146</v>
      </c>
      <c r="C234">
        <v>2050</v>
      </c>
      <c r="D234">
        <v>44</v>
      </c>
      <c r="E234">
        <v>65535</v>
      </c>
      <c r="F234">
        <v>2.95</v>
      </c>
      <c r="H234">
        <v>0</v>
      </c>
      <c r="I234">
        <v>65535</v>
      </c>
      <c r="J234">
        <v>2.4900000000000002</v>
      </c>
      <c r="K234">
        <v>3.78</v>
      </c>
      <c r="L234" t="s">
        <v>3</v>
      </c>
      <c r="M234" t="s">
        <v>70</v>
      </c>
    </row>
    <row r="235" spans="1:13" x14ac:dyDescent="0.45">
      <c r="A235" t="s">
        <v>5</v>
      </c>
      <c r="B235" t="s">
        <v>146</v>
      </c>
      <c r="C235">
        <v>2020</v>
      </c>
      <c r="D235">
        <v>103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146</v>
      </c>
      <c r="C236">
        <v>2025</v>
      </c>
      <c r="D236">
        <v>112</v>
      </c>
      <c r="E236">
        <v>65535</v>
      </c>
      <c r="F236">
        <v>1.41</v>
      </c>
      <c r="H236">
        <v>0.98</v>
      </c>
      <c r="I236">
        <v>65535</v>
      </c>
      <c r="J236">
        <v>1.23</v>
      </c>
      <c r="K236">
        <v>1.96</v>
      </c>
      <c r="L236" t="s">
        <v>6</v>
      </c>
      <c r="M236" t="s">
        <v>70</v>
      </c>
    </row>
    <row r="237" spans="1:13" x14ac:dyDescent="0.45">
      <c r="A237" t="s">
        <v>5</v>
      </c>
      <c r="B237" t="s">
        <v>146</v>
      </c>
      <c r="C237">
        <v>2030</v>
      </c>
      <c r="D237">
        <v>112</v>
      </c>
      <c r="E237">
        <v>65535</v>
      </c>
      <c r="F237">
        <v>2.04</v>
      </c>
      <c r="H237">
        <v>1.05</v>
      </c>
      <c r="I237">
        <v>65535</v>
      </c>
      <c r="J237">
        <v>1.52</v>
      </c>
      <c r="K237">
        <v>2.5499999999999998</v>
      </c>
      <c r="L237" t="s">
        <v>6</v>
      </c>
      <c r="M237" t="s">
        <v>70</v>
      </c>
    </row>
    <row r="238" spans="1:13" x14ac:dyDescent="0.45">
      <c r="A238" t="s">
        <v>5</v>
      </c>
      <c r="B238" t="s">
        <v>146</v>
      </c>
      <c r="C238">
        <v>2035</v>
      </c>
      <c r="D238">
        <v>112</v>
      </c>
      <c r="E238">
        <v>65535</v>
      </c>
      <c r="F238">
        <v>2.4</v>
      </c>
      <c r="H238">
        <v>1.05</v>
      </c>
      <c r="I238">
        <v>65535</v>
      </c>
      <c r="J238">
        <v>1.71</v>
      </c>
      <c r="K238">
        <v>3.14</v>
      </c>
      <c r="L238" t="s">
        <v>6</v>
      </c>
      <c r="M238" t="s">
        <v>70</v>
      </c>
    </row>
    <row r="239" spans="1:13" x14ac:dyDescent="0.45">
      <c r="A239" t="s">
        <v>5</v>
      </c>
      <c r="B239" t="s">
        <v>146</v>
      </c>
      <c r="C239">
        <v>2040</v>
      </c>
      <c r="D239">
        <v>112</v>
      </c>
      <c r="E239">
        <v>65535</v>
      </c>
      <c r="F239">
        <v>2.6</v>
      </c>
      <c r="H239">
        <v>1.06</v>
      </c>
      <c r="I239">
        <v>65535</v>
      </c>
      <c r="J239">
        <v>1.85</v>
      </c>
      <c r="K239">
        <v>3.74</v>
      </c>
      <c r="L239" t="s">
        <v>6</v>
      </c>
      <c r="M239" t="s">
        <v>70</v>
      </c>
    </row>
    <row r="240" spans="1:13" x14ac:dyDescent="0.45">
      <c r="A240" t="s">
        <v>5</v>
      </c>
      <c r="B240" t="s">
        <v>146</v>
      </c>
      <c r="C240">
        <v>2045</v>
      </c>
      <c r="D240">
        <v>112</v>
      </c>
      <c r="E240">
        <v>65535</v>
      </c>
      <c r="F240">
        <v>2.85</v>
      </c>
      <c r="H240">
        <v>1.08</v>
      </c>
      <c r="I240">
        <v>65535</v>
      </c>
      <c r="J240">
        <v>2</v>
      </c>
      <c r="K240">
        <v>4.28</v>
      </c>
      <c r="L240" t="s">
        <v>6</v>
      </c>
      <c r="M240" t="s">
        <v>70</v>
      </c>
    </row>
    <row r="241" spans="1:13" x14ac:dyDescent="0.45">
      <c r="A241" t="s">
        <v>5</v>
      </c>
      <c r="B241" t="s">
        <v>146</v>
      </c>
      <c r="C241">
        <v>2050</v>
      </c>
      <c r="D241">
        <v>112</v>
      </c>
      <c r="E241">
        <v>65535</v>
      </c>
      <c r="F241">
        <v>2.97</v>
      </c>
      <c r="H241">
        <v>0</v>
      </c>
      <c r="I241">
        <v>65535</v>
      </c>
      <c r="J241">
        <v>2.15</v>
      </c>
      <c r="K241">
        <v>4.51</v>
      </c>
      <c r="L241" t="s">
        <v>6</v>
      </c>
      <c r="M241" t="s">
        <v>70</v>
      </c>
    </row>
    <row r="242" spans="1:13" x14ac:dyDescent="0.45">
      <c r="A242" t="s">
        <v>7</v>
      </c>
      <c r="B242" t="s">
        <v>146</v>
      </c>
      <c r="C242">
        <v>2020</v>
      </c>
      <c r="D242">
        <v>27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146</v>
      </c>
      <c r="C243">
        <v>2025</v>
      </c>
      <c r="D243">
        <v>27</v>
      </c>
      <c r="E243">
        <v>1.33</v>
      </c>
      <c r="F243">
        <v>1.31</v>
      </c>
      <c r="G243">
        <v>0.18</v>
      </c>
      <c r="H243">
        <v>1.06</v>
      </c>
      <c r="I243">
        <v>1.66</v>
      </c>
      <c r="J243">
        <v>1.22</v>
      </c>
      <c r="K243">
        <v>1.45</v>
      </c>
      <c r="L243" t="s">
        <v>8</v>
      </c>
      <c r="M243" t="s">
        <v>70</v>
      </c>
    </row>
    <row r="244" spans="1:13" x14ac:dyDescent="0.45">
      <c r="A244" t="s">
        <v>7</v>
      </c>
      <c r="B244" t="s">
        <v>146</v>
      </c>
      <c r="C244">
        <v>2030</v>
      </c>
      <c r="D244">
        <v>27</v>
      </c>
      <c r="E244">
        <v>1.84</v>
      </c>
      <c r="F244">
        <v>2.02</v>
      </c>
      <c r="G244">
        <v>0.28000000000000003</v>
      </c>
      <c r="H244">
        <v>1.24</v>
      </c>
      <c r="I244">
        <v>2.17</v>
      </c>
      <c r="J244">
        <v>1.52</v>
      </c>
      <c r="K244">
        <v>2.0699999999999998</v>
      </c>
      <c r="L244" t="s">
        <v>8</v>
      </c>
      <c r="M244" t="s">
        <v>70</v>
      </c>
    </row>
    <row r="245" spans="1:13" x14ac:dyDescent="0.45">
      <c r="A245" t="s">
        <v>7</v>
      </c>
      <c r="B245" t="s">
        <v>146</v>
      </c>
      <c r="C245">
        <v>2035</v>
      </c>
      <c r="D245">
        <v>27</v>
      </c>
      <c r="E245">
        <v>1.84</v>
      </c>
      <c r="F245">
        <v>1.96</v>
      </c>
      <c r="G245">
        <v>0.41</v>
      </c>
      <c r="H245">
        <v>1.19</v>
      </c>
      <c r="I245">
        <v>2.46</v>
      </c>
      <c r="J245">
        <v>1.42</v>
      </c>
      <c r="K245">
        <v>2.11</v>
      </c>
      <c r="L245" t="s">
        <v>8</v>
      </c>
      <c r="M245" t="s">
        <v>70</v>
      </c>
    </row>
    <row r="246" spans="1:13" x14ac:dyDescent="0.45">
      <c r="A246" t="s">
        <v>7</v>
      </c>
      <c r="B246" t="s">
        <v>146</v>
      </c>
      <c r="C246">
        <v>2040</v>
      </c>
      <c r="D246">
        <v>27</v>
      </c>
      <c r="E246">
        <v>2.12</v>
      </c>
      <c r="F246">
        <v>2.2200000000000002</v>
      </c>
      <c r="G246">
        <v>0.47</v>
      </c>
      <c r="H246">
        <v>1.41</v>
      </c>
      <c r="I246">
        <v>2.78</v>
      </c>
      <c r="J246">
        <v>1.54</v>
      </c>
      <c r="K246">
        <v>2.4300000000000002</v>
      </c>
      <c r="L246" t="s">
        <v>8</v>
      </c>
      <c r="M246" t="s">
        <v>70</v>
      </c>
    </row>
    <row r="247" spans="1:13" x14ac:dyDescent="0.45">
      <c r="A247" t="s">
        <v>7</v>
      </c>
      <c r="B247" t="s">
        <v>146</v>
      </c>
      <c r="C247">
        <v>2045</v>
      </c>
      <c r="D247">
        <v>27</v>
      </c>
      <c r="E247">
        <v>2.31</v>
      </c>
      <c r="F247">
        <v>2.39</v>
      </c>
      <c r="G247">
        <v>0.62</v>
      </c>
      <c r="H247">
        <v>1.34</v>
      </c>
      <c r="I247">
        <v>3.22</v>
      </c>
      <c r="J247">
        <v>1.67</v>
      </c>
      <c r="K247">
        <v>2.74</v>
      </c>
      <c r="L247" t="s">
        <v>8</v>
      </c>
      <c r="M247" t="s">
        <v>70</v>
      </c>
    </row>
    <row r="248" spans="1:13" x14ac:dyDescent="0.45">
      <c r="A248" t="s">
        <v>7</v>
      </c>
      <c r="B248" t="s">
        <v>146</v>
      </c>
      <c r="C248">
        <v>2050</v>
      </c>
      <c r="D248">
        <v>27</v>
      </c>
      <c r="E248">
        <v>2.48</v>
      </c>
      <c r="F248">
        <v>2.52</v>
      </c>
      <c r="G248">
        <v>0.71</v>
      </c>
      <c r="H248">
        <v>1.52</v>
      </c>
      <c r="I248">
        <v>3.64</v>
      </c>
      <c r="J248">
        <v>1.84</v>
      </c>
      <c r="K248">
        <v>3.04</v>
      </c>
      <c r="L248" t="s">
        <v>8</v>
      </c>
      <c r="M248" t="s">
        <v>70</v>
      </c>
    </row>
    <row r="249" spans="1:13" x14ac:dyDescent="0.45">
      <c r="A249" t="s">
        <v>9</v>
      </c>
      <c r="B249" t="s">
        <v>146</v>
      </c>
      <c r="C249">
        <v>2020</v>
      </c>
      <c r="D249">
        <v>42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146</v>
      </c>
      <c r="C250">
        <v>2025</v>
      </c>
      <c r="D250">
        <v>42</v>
      </c>
      <c r="E250">
        <v>1.0900000000000001</v>
      </c>
      <c r="F250">
        <v>1.07</v>
      </c>
      <c r="G250">
        <v>0.13</v>
      </c>
      <c r="H250">
        <v>0.91</v>
      </c>
      <c r="I250">
        <v>1.5</v>
      </c>
      <c r="J250">
        <v>1.02</v>
      </c>
      <c r="K250">
        <v>1.1499999999999999</v>
      </c>
      <c r="L250" t="s">
        <v>10</v>
      </c>
      <c r="M250" t="s">
        <v>70</v>
      </c>
    </row>
    <row r="251" spans="1:13" x14ac:dyDescent="0.45">
      <c r="A251" t="s">
        <v>9</v>
      </c>
      <c r="B251" t="s">
        <v>146</v>
      </c>
      <c r="C251">
        <v>2030</v>
      </c>
      <c r="D251">
        <v>42</v>
      </c>
      <c r="E251">
        <v>1.37</v>
      </c>
      <c r="F251">
        <v>1.24</v>
      </c>
      <c r="G251">
        <v>0.32</v>
      </c>
      <c r="H251">
        <v>1.01</v>
      </c>
      <c r="I251">
        <v>2.14</v>
      </c>
      <c r="J251">
        <v>1.1499999999999999</v>
      </c>
      <c r="K251">
        <v>1.53</v>
      </c>
      <c r="L251" t="s">
        <v>10</v>
      </c>
      <c r="M251" t="s">
        <v>70</v>
      </c>
    </row>
    <row r="252" spans="1:13" x14ac:dyDescent="0.45">
      <c r="A252" t="s">
        <v>9</v>
      </c>
      <c r="B252" t="s">
        <v>146</v>
      </c>
      <c r="C252">
        <v>2035</v>
      </c>
      <c r="D252">
        <v>42</v>
      </c>
      <c r="E252">
        <v>1.19</v>
      </c>
      <c r="F252">
        <v>1.1499999999999999</v>
      </c>
      <c r="G252">
        <v>0.17</v>
      </c>
      <c r="H252">
        <v>1.01</v>
      </c>
      <c r="I252">
        <v>1.69</v>
      </c>
      <c r="J252">
        <v>1.07</v>
      </c>
      <c r="K252">
        <v>1.22</v>
      </c>
      <c r="L252" t="s">
        <v>10</v>
      </c>
      <c r="M252" t="s">
        <v>70</v>
      </c>
    </row>
    <row r="253" spans="1:13" x14ac:dyDescent="0.45">
      <c r="A253" t="s">
        <v>9</v>
      </c>
      <c r="B253" t="s">
        <v>146</v>
      </c>
      <c r="C253">
        <v>2040</v>
      </c>
      <c r="D253">
        <v>42</v>
      </c>
      <c r="E253">
        <v>1.27</v>
      </c>
      <c r="F253">
        <v>1.25</v>
      </c>
      <c r="G253">
        <v>0.16</v>
      </c>
      <c r="H253">
        <v>1.04</v>
      </c>
      <c r="I253">
        <v>1.78</v>
      </c>
      <c r="J253">
        <v>1.1599999999999999</v>
      </c>
      <c r="K253">
        <v>1.31</v>
      </c>
      <c r="L253" t="s">
        <v>10</v>
      </c>
      <c r="M253" t="s">
        <v>70</v>
      </c>
    </row>
    <row r="254" spans="1:13" x14ac:dyDescent="0.45">
      <c r="A254" t="s">
        <v>9</v>
      </c>
      <c r="B254" t="s">
        <v>146</v>
      </c>
      <c r="C254">
        <v>2045</v>
      </c>
      <c r="D254">
        <v>42</v>
      </c>
      <c r="E254">
        <v>1.26</v>
      </c>
      <c r="F254">
        <v>1.17</v>
      </c>
      <c r="G254">
        <v>0.27</v>
      </c>
      <c r="H254">
        <v>1</v>
      </c>
      <c r="I254">
        <v>2.2000000000000002</v>
      </c>
      <c r="J254">
        <v>1.1100000000000001</v>
      </c>
      <c r="K254">
        <v>1.28</v>
      </c>
      <c r="L254" t="s">
        <v>10</v>
      </c>
      <c r="M254" t="s">
        <v>70</v>
      </c>
    </row>
    <row r="255" spans="1:13" x14ac:dyDescent="0.45">
      <c r="A255" t="s">
        <v>9</v>
      </c>
      <c r="B255" t="s">
        <v>146</v>
      </c>
      <c r="C255">
        <v>2050</v>
      </c>
      <c r="D255">
        <v>42</v>
      </c>
      <c r="E255">
        <v>1.39</v>
      </c>
      <c r="F255">
        <v>1.34</v>
      </c>
      <c r="G255">
        <v>0.23</v>
      </c>
      <c r="H255">
        <v>1.08</v>
      </c>
      <c r="I255">
        <v>2.1800000000000002</v>
      </c>
      <c r="J255">
        <v>1.29</v>
      </c>
      <c r="K255">
        <v>1.39</v>
      </c>
      <c r="L255" t="s">
        <v>10</v>
      </c>
      <c r="M255" t="s">
        <v>70</v>
      </c>
    </row>
    <row r="256" spans="1:13" x14ac:dyDescent="0.45">
      <c r="A256" t="s">
        <v>0</v>
      </c>
      <c r="B256" t="s">
        <v>146</v>
      </c>
      <c r="C256">
        <v>2020</v>
      </c>
      <c r="D256">
        <v>49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146</v>
      </c>
      <c r="C257">
        <v>2025</v>
      </c>
      <c r="D257">
        <v>50</v>
      </c>
      <c r="E257">
        <v>65535</v>
      </c>
      <c r="F257">
        <v>1.1000000000000001</v>
      </c>
      <c r="H257">
        <v>-4.33</v>
      </c>
      <c r="I257">
        <v>65535</v>
      </c>
      <c r="J257">
        <v>0.81</v>
      </c>
      <c r="K257">
        <v>1.5</v>
      </c>
      <c r="L257" t="s">
        <v>1</v>
      </c>
      <c r="M257" t="s">
        <v>71</v>
      </c>
    </row>
    <row r="258" spans="1:13" x14ac:dyDescent="0.45">
      <c r="A258" t="s">
        <v>0</v>
      </c>
      <c r="B258" t="s">
        <v>146</v>
      </c>
      <c r="C258">
        <v>2030</v>
      </c>
      <c r="D258">
        <v>50</v>
      </c>
      <c r="E258">
        <v>65535</v>
      </c>
      <c r="F258">
        <v>1.77</v>
      </c>
      <c r="H258">
        <v>-6.1</v>
      </c>
      <c r="I258">
        <v>65535</v>
      </c>
      <c r="J258">
        <v>1.27</v>
      </c>
      <c r="K258">
        <v>2.54</v>
      </c>
      <c r="L258" t="s">
        <v>1</v>
      </c>
      <c r="M258" t="s">
        <v>71</v>
      </c>
    </row>
    <row r="259" spans="1:13" x14ac:dyDescent="0.45">
      <c r="A259" t="s">
        <v>0</v>
      </c>
      <c r="B259" t="s">
        <v>146</v>
      </c>
      <c r="C259">
        <v>2035</v>
      </c>
      <c r="D259">
        <v>50</v>
      </c>
      <c r="E259">
        <v>65535</v>
      </c>
      <c r="F259">
        <v>1.87</v>
      </c>
      <c r="H259">
        <v>-6.86</v>
      </c>
      <c r="I259">
        <v>65535</v>
      </c>
      <c r="J259">
        <v>1.1499999999999999</v>
      </c>
      <c r="K259">
        <v>2.77</v>
      </c>
      <c r="L259" t="s">
        <v>1</v>
      </c>
      <c r="M259" t="s">
        <v>71</v>
      </c>
    </row>
    <row r="260" spans="1:13" x14ac:dyDescent="0.45">
      <c r="A260" t="s">
        <v>0</v>
      </c>
      <c r="B260" t="s">
        <v>146</v>
      </c>
      <c r="C260">
        <v>2040</v>
      </c>
      <c r="D260">
        <v>50</v>
      </c>
      <c r="E260">
        <v>65535</v>
      </c>
      <c r="F260">
        <v>1.96</v>
      </c>
      <c r="H260">
        <v>-9.2100000000000009</v>
      </c>
      <c r="I260">
        <v>65535</v>
      </c>
      <c r="J260">
        <v>1.31</v>
      </c>
      <c r="K260">
        <v>3.39</v>
      </c>
      <c r="L260" t="s">
        <v>1</v>
      </c>
      <c r="M260" t="s">
        <v>71</v>
      </c>
    </row>
    <row r="261" spans="1:13" x14ac:dyDescent="0.45">
      <c r="A261" t="s">
        <v>0</v>
      </c>
      <c r="B261" t="s">
        <v>146</v>
      </c>
      <c r="C261">
        <v>2045</v>
      </c>
      <c r="D261">
        <v>50</v>
      </c>
      <c r="E261">
        <v>65535</v>
      </c>
      <c r="F261">
        <v>2.13</v>
      </c>
      <c r="H261">
        <v>-6.95</v>
      </c>
      <c r="I261">
        <v>65535</v>
      </c>
      <c r="J261">
        <v>1.6</v>
      </c>
      <c r="K261">
        <v>3.41</v>
      </c>
      <c r="L261" t="s">
        <v>1</v>
      </c>
      <c r="M261" t="s">
        <v>71</v>
      </c>
    </row>
    <row r="262" spans="1:13" x14ac:dyDescent="0.45">
      <c r="A262" t="s">
        <v>0</v>
      </c>
      <c r="B262" t="s">
        <v>146</v>
      </c>
      <c r="C262">
        <v>2050</v>
      </c>
      <c r="D262">
        <v>50</v>
      </c>
      <c r="E262">
        <v>65535</v>
      </c>
      <c r="F262">
        <v>2</v>
      </c>
      <c r="H262">
        <v>-10.07</v>
      </c>
      <c r="I262">
        <v>65535</v>
      </c>
      <c r="J262">
        <v>1.55</v>
      </c>
      <c r="K262">
        <v>4.63</v>
      </c>
      <c r="L262" t="s">
        <v>1</v>
      </c>
      <c r="M262" t="s">
        <v>71</v>
      </c>
    </row>
    <row r="263" spans="1:13" x14ac:dyDescent="0.45">
      <c r="A263" t="s">
        <v>2</v>
      </c>
      <c r="B263" t="s">
        <v>146</v>
      </c>
      <c r="C263">
        <v>2020</v>
      </c>
      <c r="D263">
        <v>62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146</v>
      </c>
      <c r="C264">
        <v>2025</v>
      </c>
      <c r="D264">
        <v>52</v>
      </c>
      <c r="E264">
        <v>65535</v>
      </c>
      <c r="F264">
        <v>0.61</v>
      </c>
      <c r="H264">
        <v>0</v>
      </c>
      <c r="I264">
        <v>65535</v>
      </c>
      <c r="J264">
        <v>0.53</v>
      </c>
      <c r="K264">
        <v>0.89</v>
      </c>
      <c r="L264" t="s">
        <v>3</v>
      </c>
      <c r="M264" t="s">
        <v>71</v>
      </c>
    </row>
    <row r="265" spans="1:13" x14ac:dyDescent="0.45">
      <c r="A265" t="s">
        <v>2</v>
      </c>
      <c r="B265" t="s">
        <v>146</v>
      </c>
      <c r="C265">
        <v>2030</v>
      </c>
      <c r="D265">
        <v>63</v>
      </c>
      <c r="E265">
        <v>65535</v>
      </c>
      <c r="F265">
        <v>1.07</v>
      </c>
      <c r="H265">
        <v>0</v>
      </c>
      <c r="I265">
        <v>65535</v>
      </c>
      <c r="J265">
        <v>0.6</v>
      </c>
      <c r="K265">
        <v>1.55</v>
      </c>
      <c r="L265" t="s">
        <v>3</v>
      </c>
      <c r="M265" t="s">
        <v>71</v>
      </c>
    </row>
    <row r="266" spans="1:13" x14ac:dyDescent="0.45">
      <c r="A266" t="s">
        <v>2</v>
      </c>
      <c r="B266" t="s">
        <v>146</v>
      </c>
      <c r="C266">
        <v>2035</v>
      </c>
      <c r="D266">
        <v>52</v>
      </c>
      <c r="E266">
        <v>65535</v>
      </c>
      <c r="F266">
        <v>1.0900000000000001</v>
      </c>
      <c r="H266">
        <v>0</v>
      </c>
      <c r="I266">
        <v>65535</v>
      </c>
      <c r="J266">
        <v>0.6</v>
      </c>
      <c r="K266">
        <v>1.76</v>
      </c>
      <c r="L266" t="s">
        <v>3</v>
      </c>
      <c r="M266" t="s">
        <v>71</v>
      </c>
    </row>
    <row r="267" spans="1:13" x14ac:dyDescent="0.45">
      <c r="A267" t="s">
        <v>2</v>
      </c>
      <c r="B267" t="s">
        <v>146</v>
      </c>
      <c r="C267">
        <v>2040</v>
      </c>
      <c r="D267">
        <v>63</v>
      </c>
      <c r="E267">
        <v>65535</v>
      </c>
      <c r="F267">
        <v>1.25</v>
      </c>
      <c r="H267">
        <v>0</v>
      </c>
      <c r="I267">
        <v>65535</v>
      </c>
      <c r="J267">
        <v>0.87</v>
      </c>
      <c r="K267">
        <v>1.91</v>
      </c>
      <c r="L267" t="s">
        <v>3</v>
      </c>
      <c r="M267" t="s">
        <v>71</v>
      </c>
    </row>
    <row r="268" spans="1:13" x14ac:dyDescent="0.45">
      <c r="A268" t="s">
        <v>2</v>
      </c>
      <c r="B268" t="s">
        <v>146</v>
      </c>
      <c r="C268">
        <v>2045</v>
      </c>
      <c r="D268">
        <v>52</v>
      </c>
      <c r="E268">
        <v>65535</v>
      </c>
      <c r="F268">
        <v>1.35</v>
      </c>
      <c r="H268">
        <v>0</v>
      </c>
      <c r="I268">
        <v>65535</v>
      </c>
      <c r="J268">
        <v>0.78</v>
      </c>
      <c r="K268">
        <v>1.89</v>
      </c>
      <c r="L268" t="s">
        <v>3</v>
      </c>
      <c r="M268" t="s">
        <v>71</v>
      </c>
    </row>
    <row r="269" spans="1:13" x14ac:dyDescent="0.45">
      <c r="A269" t="s">
        <v>2</v>
      </c>
      <c r="B269" t="s">
        <v>146</v>
      </c>
      <c r="C269">
        <v>2050</v>
      </c>
      <c r="D269">
        <v>63</v>
      </c>
      <c r="E269">
        <v>65535</v>
      </c>
      <c r="F269">
        <v>1.62</v>
      </c>
      <c r="H269">
        <v>-2.31</v>
      </c>
      <c r="I269">
        <v>65535</v>
      </c>
      <c r="J269">
        <v>0.61</v>
      </c>
      <c r="K269">
        <v>2.16</v>
      </c>
      <c r="L269" t="s">
        <v>3</v>
      </c>
      <c r="M269" t="s">
        <v>71</v>
      </c>
    </row>
    <row r="270" spans="1:13" x14ac:dyDescent="0.45">
      <c r="A270" t="s">
        <v>5</v>
      </c>
      <c r="B270" t="s">
        <v>146</v>
      </c>
      <c r="C270">
        <v>2020</v>
      </c>
      <c r="D270">
        <v>157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146</v>
      </c>
      <c r="C271">
        <v>2025</v>
      </c>
      <c r="D271">
        <v>163</v>
      </c>
      <c r="E271">
        <v>65535</v>
      </c>
      <c r="F271">
        <v>0.75</v>
      </c>
      <c r="H271">
        <v>0.46</v>
      </c>
      <c r="I271">
        <v>65535</v>
      </c>
      <c r="J271">
        <v>0.54</v>
      </c>
      <c r="K271">
        <v>1.24</v>
      </c>
      <c r="L271" t="s">
        <v>6</v>
      </c>
      <c r="M271" t="s">
        <v>71</v>
      </c>
    </row>
    <row r="272" spans="1:13" x14ac:dyDescent="0.45">
      <c r="A272" t="s">
        <v>5</v>
      </c>
      <c r="B272" t="s">
        <v>146</v>
      </c>
      <c r="C272">
        <v>2030</v>
      </c>
      <c r="D272">
        <v>166</v>
      </c>
      <c r="E272">
        <v>65535</v>
      </c>
      <c r="F272">
        <v>1.1499999999999999</v>
      </c>
      <c r="H272">
        <v>0.51</v>
      </c>
      <c r="I272">
        <v>65535</v>
      </c>
      <c r="J272">
        <v>0.74</v>
      </c>
      <c r="K272">
        <v>1.65</v>
      </c>
      <c r="L272" t="s">
        <v>6</v>
      </c>
      <c r="M272" t="s">
        <v>71</v>
      </c>
    </row>
    <row r="273" spans="1:13" x14ac:dyDescent="0.45">
      <c r="A273" t="s">
        <v>5</v>
      </c>
      <c r="B273" t="s">
        <v>146</v>
      </c>
      <c r="C273">
        <v>2035</v>
      </c>
      <c r="D273">
        <v>163</v>
      </c>
      <c r="E273">
        <v>65535</v>
      </c>
      <c r="F273">
        <v>1.21</v>
      </c>
      <c r="H273">
        <v>-0.95</v>
      </c>
      <c r="I273">
        <v>65535</v>
      </c>
      <c r="J273">
        <v>0.88</v>
      </c>
      <c r="K273">
        <v>2.11</v>
      </c>
      <c r="L273" t="s">
        <v>6</v>
      </c>
      <c r="M273" t="s">
        <v>71</v>
      </c>
    </row>
    <row r="274" spans="1:13" x14ac:dyDescent="0.45">
      <c r="A274" t="s">
        <v>5</v>
      </c>
      <c r="B274" t="s">
        <v>146</v>
      </c>
      <c r="C274">
        <v>2040</v>
      </c>
      <c r="D274">
        <v>166</v>
      </c>
      <c r="E274">
        <v>65535</v>
      </c>
      <c r="F274">
        <v>1.28</v>
      </c>
      <c r="H274">
        <v>-1.8</v>
      </c>
      <c r="I274">
        <v>65535</v>
      </c>
      <c r="J274">
        <v>0.89</v>
      </c>
      <c r="K274">
        <v>2.4300000000000002</v>
      </c>
      <c r="L274" t="s">
        <v>6</v>
      </c>
      <c r="M274" t="s">
        <v>71</v>
      </c>
    </row>
    <row r="275" spans="1:13" x14ac:dyDescent="0.45">
      <c r="A275" t="s">
        <v>5</v>
      </c>
      <c r="B275" t="s">
        <v>146</v>
      </c>
      <c r="C275">
        <v>2045</v>
      </c>
      <c r="D275">
        <v>163</v>
      </c>
      <c r="E275">
        <v>65535</v>
      </c>
      <c r="F275">
        <v>1.48</v>
      </c>
      <c r="H275">
        <v>-5.93</v>
      </c>
      <c r="I275">
        <v>65535</v>
      </c>
      <c r="J275">
        <v>1.08</v>
      </c>
      <c r="K275">
        <v>2.75</v>
      </c>
      <c r="L275" t="s">
        <v>6</v>
      </c>
      <c r="M275" t="s">
        <v>71</v>
      </c>
    </row>
    <row r="276" spans="1:13" x14ac:dyDescent="0.45">
      <c r="A276" t="s">
        <v>5</v>
      </c>
      <c r="B276" t="s">
        <v>146</v>
      </c>
      <c r="C276">
        <v>2050</v>
      </c>
      <c r="D276">
        <v>166</v>
      </c>
      <c r="E276">
        <v>65535</v>
      </c>
      <c r="F276">
        <v>1.59</v>
      </c>
      <c r="H276">
        <v>-5.35</v>
      </c>
      <c r="I276">
        <v>65535</v>
      </c>
      <c r="J276">
        <v>0.97</v>
      </c>
      <c r="K276">
        <v>2.91</v>
      </c>
      <c r="L276" t="s">
        <v>6</v>
      </c>
      <c r="M276" t="s">
        <v>71</v>
      </c>
    </row>
    <row r="277" spans="1:13" x14ac:dyDescent="0.45">
      <c r="A277" t="s">
        <v>7</v>
      </c>
      <c r="B277" t="s">
        <v>146</v>
      </c>
      <c r="C277">
        <v>2020</v>
      </c>
      <c r="D277">
        <v>52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146</v>
      </c>
      <c r="C278">
        <v>2025</v>
      </c>
      <c r="D278">
        <v>52</v>
      </c>
      <c r="E278">
        <v>0.89</v>
      </c>
      <c r="F278">
        <v>0.6</v>
      </c>
      <c r="G278">
        <v>0.38</v>
      </c>
      <c r="H278">
        <v>0.45</v>
      </c>
      <c r="I278">
        <v>1.39</v>
      </c>
      <c r="J278">
        <v>0.53</v>
      </c>
      <c r="K278">
        <v>1.25</v>
      </c>
      <c r="L278" t="s">
        <v>8</v>
      </c>
      <c r="M278" t="s">
        <v>71</v>
      </c>
    </row>
    <row r="279" spans="1:13" x14ac:dyDescent="0.45">
      <c r="A279" t="s">
        <v>7</v>
      </c>
      <c r="B279" t="s">
        <v>146</v>
      </c>
      <c r="C279">
        <v>2030</v>
      </c>
      <c r="D279">
        <v>52</v>
      </c>
      <c r="E279">
        <v>1.06</v>
      </c>
      <c r="F279">
        <v>0.63</v>
      </c>
      <c r="G279">
        <v>0.52</v>
      </c>
      <c r="H279">
        <v>0.5</v>
      </c>
      <c r="I279">
        <v>1.81</v>
      </c>
      <c r="J279">
        <v>0.59</v>
      </c>
      <c r="K279">
        <v>1.65</v>
      </c>
      <c r="L279" t="s">
        <v>8</v>
      </c>
      <c r="M279" t="s">
        <v>71</v>
      </c>
    </row>
    <row r="280" spans="1:13" x14ac:dyDescent="0.45">
      <c r="A280" t="s">
        <v>7</v>
      </c>
      <c r="B280" t="s">
        <v>146</v>
      </c>
      <c r="C280">
        <v>2035</v>
      </c>
      <c r="D280">
        <v>52</v>
      </c>
      <c r="E280">
        <v>1.0900000000000001</v>
      </c>
      <c r="F280">
        <v>0.69</v>
      </c>
      <c r="G280">
        <v>0.56000000000000005</v>
      </c>
      <c r="H280">
        <v>0.53</v>
      </c>
      <c r="I280">
        <v>2.74</v>
      </c>
      <c r="J280">
        <v>0.62</v>
      </c>
      <c r="K280">
        <v>1.55</v>
      </c>
      <c r="L280" t="s">
        <v>8</v>
      </c>
      <c r="M280" t="s">
        <v>71</v>
      </c>
    </row>
    <row r="281" spans="1:13" x14ac:dyDescent="0.45">
      <c r="A281" t="s">
        <v>7</v>
      </c>
      <c r="B281" t="s">
        <v>146</v>
      </c>
      <c r="C281">
        <v>2040</v>
      </c>
      <c r="D281">
        <v>52</v>
      </c>
      <c r="E281">
        <v>1.2</v>
      </c>
      <c r="F281">
        <v>0.79</v>
      </c>
      <c r="G281">
        <v>0.67</v>
      </c>
      <c r="H281">
        <v>0.59</v>
      </c>
      <c r="I281">
        <v>3.56</v>
      </c>
      <c r="J281">
        <v>0.63</v>
      </c>
      <c r="K281">
        <v>1.75</v>
      </c>
      <c r="L281" t="s">
        <v>8</v>
      </c>
      <c r="M281" t="s">
        <v>71</v>
      </c>
    </row>
    <row r="282" spans="1:13" x14ac:dyDescent="0.45">
      <c r="A282" t="s">
        <v>7</v>
      </c>
      <c r="B282" t="s">
        <v>146</v>
      </c>
      <c r="C282">
        <v>2045</v>
      </c>
      <c r="D282">
        <v>52</v>
      </c>
      <c r="E282">
        <v>1.32</v>
      </c>
      <c r="F282">
        <v>0.84</v>
      </c>
      <c r="G282">
        <v>0.77</v>
      </c>
      <c r="H282">
        <v>0.6</v>
      </c>
      <c r="I282">
        <v>4.16</v>
      </c>
      <c r="J282">
        <v>0.7</v>
      </c>
      <c r="K282">
        <v>1.9</v>
      </c>
      <c r="L282" t="s">
        <v>8</v>
      </c>
      <c r="M282" t="s">
        <v>71</v>
      </c>
    </row>
    <row r="283" spans="1:13" x14ac:dyDescent="0.45">
      <c r="A283" t="s">
        <v>7</v>
      </c>
      <c r="B283" t="s">
        <v>146</v>
      </c>
      <c r="C283">
        <v>2050</v>
      </c>
      <c r="D283">
        <v>52</v>
      </c>
      <c r="E283">
        <v>1.4</v>
      </c>
      <c r="F283">
        <v>0.94</v>
      </c>
      <c r="G283">
        <v>0.85</v>
      </c>
      <c r="H283">
        <v>0.61</v>
      </c>
      <c r="I283">
        <v>4.67</v>
      </c>
      <c r="J283">
        <v>0.71</v>
      </c>
      <c r="K283">
        <v>2.06</v>
      </c>
      <c r="L283" t="s">
        <v>8</v>
      </c>
      <c r="M283" t="s">
        <v>71</v>
      </c>
    </row>
    <row r="284" spans="1:13" x14ac:dyDescent="0.45">
      <c r="A284" t="s">
        <v>9</v>
      </c>
      <c r="B284" t="s">
        <v>146</v>
      </c>
      <c r="C284">
        <v>2020</v>
      </c>
      <c r="D284">
        <v>43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146</v>
      </c>
      <c r="C285">
        <v>2025</v>
      </c>
      <c r="D285">
        <v>43</v>
      </c>
      <c r="E285">
        <v>0.93</v>
      </c>
      <c r="F285">
        <v>1.01</v>
      </c>
      <c r="G285">
        <v>0.45</v>
      </c>
      <c r="H285">
        <v>0.38</v>
      </c>
      <c r="I285">
        <v>2.73</v>
      </c>
      <c r="J285">
        <v>0.62</v>
      </c>
      <c r="K285">
        <v>1.0900000000000001</v>
      </c>
      <c r="L285" t="s">
        <v>10</v>
      </c>
      <c r="M285" t="s">
        <v>71</v>
      </c>
    </row>
    <row r="286" spans="1:13" x14ac:dyDescent="0.45">
      <c r="A286" t="s">
        <v>9</v>
      </c>
      <c r="B286" t="s">
        <v>146</v>
      </c>
      <c r="C286">
        <v>2030</v>
      </c>
      <c r="D286">
        <v>43</v>
      </c>
      <c r="E286">
        <v>1.1499999999999999</v>
      </c>
      <c r="F286">
        <v>1.1100000000000001</v>
      </c>
      <c r="G286">
        <v>0.46</v>
      </c>
      <c r="H286">
        <v>0.57999999999999996</v>
      </c>
      <c r="I286">
        <v>3.14</v>
      </c>
      <c r="J286">
        <v>0.99</v>
      </c>
      <c r="K286">
        <v>1.17</v>
      </c>
      <c r="L286" t="s">
        <v>10</v>
      </c>
      <c r="M286" t="s">
        <v>71</v>
      </c>
    </row>
    <row r="287" spans="1:13" x14ac:dyDescent="0.45">
      <c r="A287" t="s">
        <v>9</v>
      </c>
      <c r="B287" t="s">
        <v>146</v>
      </c>
      <c r="C287">
        <v>2035</v>
      </c>
      <c r="D287">
        <v>43</v>
      </c>
      <c r="E287">
        <v>1.07</v>
      </c>
      <c r="F287">
        <v>1.01</v>
      </c>
      <c r="G287">
        <v>0.42</v>
      </c>
      <c r="H287">
        <v>0.63</v>
      </c>
      <c r="I287">
        <v>2.83</v>
      </c>
      <c r="J287">
        <v>0.78</v>
      </c>
      <c r="K287">
        <v>1.2</v>
      </c>
      <c r="L287" t="s">
        <v>10</v>
      </c>
      <c r="M287" t="s">
        <v>71</v>
      </c>
    </row>
    <row r="288" spans="1:13" x14ac:dyDescent="0.45">
      <c r="A288" t="s">
        <v>9</v>
      </c>
      <c r="B288" t="s">
        <v>146</v>
      </c>
      <c r="C288">
        <v>2040</v>
      </c>
      <c r="D288">
        <v>43</v>
      </c>
      <c r="E288">
        <v>1.0900000000000001</v>
      </c>
      <c r="F288">
        <v>1.01</v>
      </c>
      <c r="G288">
        <v>0.46</v>
      </c>
      <c r="H288">
        <v>0.67</v>
      </c>
      <c r="I288">
        <v>3.23</v>
      </c>
      <c r="J288">
        <v>0.82</v>
      </c>
      <c r="K288">
        <v>1.23</v>
      </c>
      <c r="L288" t="s">
        <v>10</v>
      </c>
      <c r="M288" t="s">
        <v>71</v>
      </c>
    </row>
    <row r="289" spans="1:13" x14ac:dyDescent="0.45">
      <c r="A289" t="s">
        <v>9</v>
      </c>
      <c r="B289" t="s">
        <v>146</v>
      </c>
      <c r="C289">
        <v>2045</v>
      </c>
      <c r="D289">
        <v>43</v>
      </c>
      <c r="E289">
        <v>1.1599999999999999</v>
      </c>
      <c r="F289">
        <v>1.04</v>
      </c>
      <c r="G289">
        <v>0.44</v>
      </c>
      <c r="H289">
        <v>0.7</v>
      </c>
      <c r="I289">
        <v>3.16</v>
      </c>
      <c r="J289">
        <v>0.95</v>
      </c>
      <c r="K289">
        <v>1.26</v>
      </c>
      <c r="L289" t="s">
        <v>10</v>
      </c>
      <c r="M289" t="s">
        <v>71</v>
      </c>
    </row>
    <row r="290" spans="1:13" x14ac:dyDescent="0.45">
      <c r="A290" t="s">
        <v>9</v>
      </c>
      <c r="B290" t="s">
        <v>146</v>
      </c>
      <c r="C290">
        <v>2050</v>
      </c>
      <c r="D290">
        <v>43</v>
      </c>
      <c r="E290">
        <v>1.26</v>
      </c>
      <c r="F290">
        <v>1.1399999999999999</v>
      </c>
      <c r="G290">
        <v>0.59</v>
      </c>
      <c r="H290">
        <v>0.79</v>
      </c>
      <c r="I290">
        <v>4.05</v>
      </c>
      <c r="J290">
        <v>0.99</v>
      </c>
      <c r="K290">
        <v>1.31</v>
      </c>
      <c r="L290" t="s">
        <v>10</v>
      </c>
      <c r="M290" t="s">
        <v>71</v>
      </c>
    </row>
    <row r="291" spans="1:13" x14ac:dyDescent="0.45">
      <c r="A291" t="s">
        <v>0</v>
      </c>
      <c r="B291" t="s">
        <v>146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146</v>
      </c>
      <c r="C292">
        <v>2025</v>
      </c>
      <c r="D292">
        <v>20</v>
      </c>
      <c r="E292">
        <v>3.7</v>
      </c>
      <c r="F292">
        <v>3.91</v>
      </c>
      <c r="G292">
        <v>2.78</v>
      </c>
      <c r="H292">
        <v>0</v>
      </c>
      <c r="I292">
        <v>9.42</v>
      </c>
      <c r="J292">
        <v>1.08</v>
      </c>
      <c r="K292">
        <v>4.53</v>
      </c>
      <c r="L292" t="s">
        <v>1</v>
      </c>
      <c r="M292" t="s">
        <v>72</v>
      </c>
    </row>
    <row r="293" spans="1:13" x14ac:dyDescent="0.45">
      <c r="A293" t="s">
        <v>0</v>
      </c>
      <c r="B293" t="s">
        <v>146</v>
      </c>
      <c r="C293">
        <v>2030</v>
      </c>
      <c r="D293">
        <v>20</v>
      </c>
      <c r="E293">
        <v>5.81</v>
      </c>
      <c r="F293">
        <v>6.49</v>
      </c>
      <c r="G293">
        <v>3.1</v>
      </c>
      <c r="H293">
        <v>0</v>
      </c>
      <c r="I293">
        <v>14.03</v>
      </c>
      <c r="J293">
        <v>3.75</v>
      </c>
      <c r="K293">
        <v>7.02</v>
      </c>
      <c r="L293" t="s">
        <v>1</v>
      </c>
      <c r="M293" t="s">
        <v>72</v>
      </c>
    </row>
    <row r="294" spans="1:13" x14ac:dyDescent="0.45">
      <c r="A294" t="s">
        <v>0</v>
      </c>
      <c r="B294" t="s">
        <v>146</v>
      </c>
      <c r="C294">
        <v>2035</v>
      </c>
      <c r="D294">
        <v>20</v>
      </c>
      <c r="E294">
        <v>8.36</v>
      </c>
      <c r="F294">
        <v>8.1300000000000008</v>
      </c>
      <c r="G294">
        <v>4.8899999999999997</v>
      </c>
      <c r="H294">
        <v>0</v>
      </c>
      <c r="I294">
        <v>17.010000000000002</v>
      </c>
      <c r="J294">
        <v>4.04</v>
      </c>
      <c r="K294">
        <v>12.98</v>
      </c>
      <c r="L294" t="s">
        <v>1</v>
      </c>
      <c r="M294" t="s">
        <v>72</v>
      </c>
    </row>
    <row r="295" spans="1:13" x14ac:dyDescent="0.45">
      <c r="A295" t="s">
        <v>0</v>
      </c>
      <c r="B295" t="s">
        <v>146</v>
      </c>
      <c r="C295">
        <v>2040</v>
      </c>
      <c r="D295">
        <v>20</v>
      </c>
      <c r="E295">
        <v>10.89</v>
      </c>
      <c r="F295">
        <v>9.48</v>
      </c>
      <c r="G295">
        <v>6.99</v>
      </c>
      <c r="H295">
        <v>0</v>
      </c>
      <c r="I295">
        <v>20.12</v>
      </c>
      <c r="J295">
        <v>3.74</v>
      </c>
      <c r="K295">
        <v>18.11</v>
      </c>
      <c r="L295" t="s">
        <v>1</v>
      </c>
      <c r="M295" t="s">
        <v>72</v>
      </c>
    </row>
    <row r="296" spans="1:13" x14ac:dyDescent="0.45">
      <c r="A296" t="s">
        <v>0</v>
      </c>
      <c r="B296" t="s">
        <v>146</v>
      </c>
      <c r="C296">
        <v>2045</v>
      </c>
      <c r="D296">
        <v>20</v>
      </c>
      <c r="E296">
        <v>13.48</v>
      </c>
      <c r="F296">
        <v>11.01</v>
      </c>
      <c r="G296">
        <v>8.77</v>
      </c>
      <c r="H296">
        <v>0</v>
      </c>
      <c r="I296">
        <v>24.43</v>
      </c>
      <c r="J296">
        <v>4.7300000000000004</v>
      </c>
      <c r="K296">
        <v>22.58</v>
      </c>
      <c r="L296" t="s">
        <v>1</v>
      </c>
      <c r="M296" t="s">
        <v>72</v>
      </c>
    </row>
    <row r="297" spans="1:13" x14ac:dyDescent="0.45">
      <c r="A297" t="s">
        <v>0</v>
      </c>
      <c r="B297" t="s">
        <v>146</v>
      </c>
      <c r="C297">
        <v>2050</v>
      </c>
      <c r="D297">
        <v>20</v>
      </c>
      <c r="E297">
        <v>15.11</v>
      </c>
      <c r="F297">
        <v>12.07</v>
      </c>
      <c r="G297">
        <v>10.14</v>
      </c>
      <c r="H297">
        <v>0</v>
      </c>
      <c r="I297">
        <v>26.3</v>
      </c>
      <c r="J297">
        <v>5.37</v>
      </c>
      <c r="K297">
        <v>26.18</v>
      </c>
      <c r="L297" t="s">
        <v>1</v>
      </c>
      <c r="M297" t="s">
        <v>72</v>
      </c>
    </row>
    <row r="298" spans="1:13" x14ac:dyDescent="0.45">
      <c r="A298" t="s">
        <v>2</v>
      </c>
      <c r="B298" t="s">
        <v>146</v>
      </c>
      <c r="C298">
        <v>2020</v>
      </c>
      <c r="D298">
        <v>16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146</v>
      </c>
      <c r="C299">
        <v>2025</v>
      </c>
      <c r="D299">
        <v>16</v>
      </c>
      <c r="E299">
        <v>2.46</v>
      </c>
      <c r="F299">
        <v>2.35</v>
      </c>
      <c r="G299">
        <v>1.51</v>
      </c>
      <c r="H299">
        <v>1.06</v>
      </c>
      <c r="I299">
        <v>5.16</v>
      </c>
      <c r="J299">
        <v>1.1599999999999999</v>
      </c>
      <c r="K299">
        <v>3.27</v>
      </c>
      <c r="L299" t="s">
        <v>3</v>
      </c>
      <c r="M299" t="s">
        <v>72</v>
      </c>
    </row>
    <row r="300" spans="1:13" x14ac:dyDescent="0.45">
      <c r="A300" t="s">
        <v>2</v>
      </c>
      <c r="B300" t="s">
        <v>146</v>
      </c>
      <c r="C300">
        <v>2030</v>
      </c>
      <c r="D300">
        <v>16</v>
      </c>
      <c r="E300">
        <v>2.5499999999999998</v>
      </c>
      <c r="F300">
        <v>2.5499999999999998</v>
      </c>
      <c r="G300">
        <v>0.8</v>
      </c>
      <c r="H300">
        <v>1.0900000000000001</v>
      </c>
      <c r="I300">
        <v>3.71</v>
      </c>
      <c r="J300">
        <v>2.2799999999999998</v>
      </c>
      <c r="K300">
        <v>3.04</v>
      </c>
      <c r="L300" t="s">
        <v>3</v>
      </c>
      <c r="M300" t="s">
        <v>72</v>
      </c>
    </row>
    <row r="301" spans="1:13" x14ac:dyDescent="0.45">
      <c r="A301" t="s">
        <v>2</v>
      </c>
      <c r="B301" t="s">
        <v>146</v>
      </c>
      <c r="C301">
        <v>2035</v>
      </c>
      <c r="D301">
        <v>16</v>
      </c>
      <c r="E301">
        <v>6.3</v>
      </c>
      <c r="F301">
        <v>3.61</v>
      </c>
      <c r="G301">
        <v>5.01</v>
      </c>
      <c r="H301">
        <v>3.14</v>
      </c>
      <c r="I301">
        <v>19.96</v>
      </c>
      <c r="J301">
        <v>3.44</v>
      </c>
      <c r="K301">
        <v>7.68</v>
      </c>
      <c r="L301" t="s">
        <v>3</v>
      </c>
      <c r="M301" t="s">
        <v>72</v>
      </c>
    </row>
    <row r="302" spans="1:13" x14ac:dyDescent="0.45">
      <c r="A302" t="s">
        <v>2</v>
      </c>
      <c r="B302" t="s">
        <v>146</v>
      </c>
      <c r="C302">
        <v>2040</v>
      </c>
      <c r="D302">
        <v>16</v>
      </c>
      <c r="E302">
        <v>6.95</v>
      </c>
      <c r="F302">
        <v>3.8</v>
      </c>
      <c r="G302">
        <v>6.29</v>
      </c>
      <c r="H302">
        <v>2.7</v>
      </c>
      <c r="I302">
        <v>25.59</v>
      </c>
      <c r="J302">
        <v>3.52</v>
      </c>
      <c r="K302">
        <v>9.2100000000000009</v>
      </c>
      <c r="L302" t="s">
        <v>3</v>
      </c>
      <c r="M302" t="s">
        <v>72</v>
      </c>
    </row>
    <row r="303" spans="1:13" x14ac:dyDescent="0.45">
      <c r="A303" t="s">
        <v>2</v>
      </c>
      <c r="B303" t="s">
        <v>146</v>
      </c>
      <c r="C303">
        <v>2045</v>
      </c>
      <c r="D303">
        <v>16</v>
      </c>
      <c r="E303">
        <v>6.37</v>
      </c>
      <c r="F303">
        <v>4.22</v>
      </c>
      <c r="G303">
        <v>5.01</v>
      </c>
      <c r="H303">
        <v>3.47</v>
      </c>
      <c r="I303">
        <v>22.39</v>
      </c>
      <c r="J303">
        <v>3.85</v>
      </c>
      <c r="K303">
        <v>6.02</v>
      </c>
      <c r="L303" t="s">
        <v>3</v>
      </c>
      <c r="M303" t="s">
        <v>72</v>
      </c>
    </row>
    <row r="304" spans="1:13" x14ac:dyDescent="0.45">
      <c r="A304" t="s">
        <v>2</v>
      </c>
      <c r="B304" t="s">
        <v>146</v>
      </c>
      <c r="C304">
        <v>2050</v>
      </c>
      <c r="D304">
        <v>16</v>
      </c>
      <c r="E304">
        <v>5.48</v>
      </c>
      <c r="F304">
        <v>4.91</v>
      </c>
      <c r="G304">
        <v>1.37</v>
      </c>
      <c r="H304">
        <v>4.32</v>
      </c>
      <c r="I304">
        <v>9.4600000000000009</v>
      </c>
      <c r="J304">
        <v>4.6500000000000004</v>
      </c>
      <c r="K304">
        <v>5.8</v>
      </c>
      <c r="L304" t="s">
        <v>3</v>
      </c>
      <c r="M304" t="s">
        <v>72</v>
      </c>
    </row>
    <row r="305" spans="1:13" x14ac:dyDescent="0.45">
      <c r="A305" t="s">
        <v>5</v>
      </c>
      <c r="B305" t="s">
        <v>146</v>
      </c>
      <c r="C305">
        <v>2020</v>
      </c>
      <c r="D305">
        <v>70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146</v>
      </c>
      <c r="C306">
        <v>2025</v>
      </c>
      <c r="D306">
        <v>70</v>
      </c>
      <c r="E306">
        <v>2.37</v>
      </c>
      <c r="F306">
        <v>2.35</v>
      </c>
      <c r="G306">
        <v>0.99</v>
      </c>
      <c r="H306">
        <v>1.02</v>
      </c>
      <c r="I306">
        <v>5.16</v>
      </c>
      <c r="J306">
        <v>1.64</v>
      </c>
      <c r="K306">
        <v>2.76</v>
      </c>
      <c r="L306" t="s">
        <v>6</v>
      </c>
      <c r="M306" t="s">
        <v>72</v>
      </c>
    </row>
    <row r="307" spans="1:13" x14ac:dyDescent="0.45">
      <c r="A307" t="s">
        <v>5</v>
      </c>
      <c r="B307" t="s">
        <v>146</v>
      </c>
      <c r="C307">
        <v>2030</v>
      </c>
      <c r="D307">
        <v>70</v>
      </c>
      <c r="E307">
        <v>3.02</v>
      </c>
      <c r="F307">
        <v>3.15</v>
      </c>
      <c r="G307">
        <v>1.1299999999999999</v>
      </c>
      <c r="H307">
        <v>1.1100000000000001</v>
      </c>
      <c r="I307">
        <v>7.09</v>
      </c>
      <c r="J307">
        <v>2.2799999999999998</v>
      </c>
      <c r="K307">
        <v>3.52</v>
      </c>
      <c r="L307" t="s">
        <v>6</v>
      </c>
      <c r="M307" t="s">
        <v>72</v>
      </c>
    </row>
    <row r="308" spans="1:13" x14ac:dyDescent="0.45">
      <c r="A308" t="s">
        <v>5</v>
      </c>
      <c r="B308" t="s">
        <v>146</v>
      </c>
      <c r="C308">
        <v>2035</v>
      </c>
      <c r="D308">
        <v>70</v>
      </c>
      <c r="E308">
        <v>4.1100000000000003</v>
      </c>
      <c r="F308">
        <v>3.54</v>
      </c>
      <c r="G308">
        <v>1.7</v>
      </c>
      <c r="H308">
        <v>1.66</v>
      </c>
      <c r="I308">
        <v>9.1199999999999992</v>
      </c>
      <c r="J308">
        <v>2.76</v>
      </c>
      <c r="K308">
        <v>5.27</v>
      </c>
      <c r="L308" t="s">
        <v>6</v>
      </c>
      <c r="M308" t="s">
        <v>72</v>
      </c>
    </row>
    <row r="309" spans="1:13" x14ac:dyDescent="0.45">
      <c r="A309" t="s">
        <v>5</v>
      </c>
      <c r="B309" t="s">
        <v>146</v>
      </c>
      <c r="C309">
        <v>2040</v>
      </c>
      <c r="D309">
        <v>70</v>
      </c>
      <c r="E309">
        <v>5.05</v>
      </c>
      <c r="F309">
        <v>4.18</v>
      </c>
      <c r="G309">
        <v>2.72</v>
      </c>
      <c r="H309">
        <v>2.21</v>
      </c>
      <c r="I309">
        <v>11.9</v>
      </c>
      <c r="J309">
        <v>2.66</v>
      </c>
      <c r="K309">
        <v>6.9</v>
      </c>
      <c r="L309" t="s">
        <v>6</v>
      </c>
      <c r="M309" t="s">
        <v>72</v>
      </c>
    </row>
    <row r="310" spans="1:13" x14ac:dyDescent="0.45">
      <c r="A310" t="s">
        <v>5</v>
      </c>
      <c r="B310" t="s">
        <v>146</v>
      </c>
      <c r="C310">
        <v>2045</v>
      </c>
      <c r="D310">
        <v>70</v>
      </c>
      <c r="E310">
        <v>5.76</v>
      </c>
      <c r="F310">
        <v>4.38</v>
      </c>
      <c r="G310">
        <v>3.34</v>
      </c>
      <c r="H310">
        <v>2.23</v>
      </c>
      <c r="I310">
        <v>13.81</v>
      </c>
      <c r="J310">
        <v>2.9</v>
      </c>
      <c r="K310">
        <v>8.02</v>
      </c>
      <c r="L310" t="s">
        <v>6</v>
      </c>
      <c r="M310" t="s">
        <v>72</v>
      </c>
    </row>
    <row r="311" spans="1:13" x14ac:dyDescent="0.45">
      <c r="A311" t="s">
        <v>5</v>
      </c>
      <c r="B311" t="s">
        <v>146</v>
      </c>
      <c r="C311">
        <v>2050</v>
      </c>
      <c r="D311">
        <v>70</v>
      </c>
      <c r="E311">
        <v>6.63</v>
      </c>
      <c r="F311">
        <v>4.8</v>
      </c>
      <c r="G311">
        <v>3.72</v>
      </c>
      <c r="H311">
        <v>2.48</v>
      </c>
      <c r="I311">
        <v>16.84</v>
      </c>
      <c r="J311">
        <v>3.72</v>
      </c>
      <c r="K311">
        <v>8.7899999999999991</v>
      </c>
      <c r="L311" t="s">
        <v>6</v>
      </c>
      <c r="M311" t="s">
        <v>72</v>
      </c>
    </row>
    <row r="312" spans="1:13" x14ac:dyDescent="0.45">
      <c r="A312" t="s">
        <v>7</v>
      </c>
      <c r="B312" t="s">
        <v>146</v>
      </c>
      <c r="C312">
        <v>2020</v>
      </c>
      <c r="D312">
        <v>28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146</v>
      </c>
      <c r="C313">
        <v>2025</v>
      </c>
      <c r="D313">
        <v>28</v>
      </c>
      <c r="E313">
        <v>1.96</v>
      </c>
      <c r="F313">
        <v>1.95</v>
      </c>
      <c r="G313">
        <v>0.27</v>
      </c>
      <c r="H313">
        <v>1.64</v>
      </c>
      <c r="I313">
        <v>2.39</v>
      </c>
      <c r="J313">
        <v>1.64</v>
      </c>
      <c r="K313">
        <v>2.13</v>
      </c>
      <c r="L313" t="s">
        <v>8</v>
      </c>
      <c r="M313" t="s">
        <v>72</v>
      </c>
    </row>
    <row r="314" spans="1:13" x14ac:dyDescent="0.45">
      <c r="A314" t="s">
        <v>7</v>
      </c>
      <c r="B314" t="s">
        <v>146</v>
      </c>
      <c r="C314">
        <v>2030</v>
      </c>
      <c r="D314">
        <v>28</v>
      </c>
      <c r="E314">
        <v>2.96</v>
      </c>
      <c r="F314">
        <v>3.18</v>
      </c>
      <c r="G314">
        <v>0.59</v>
      </c>
      <c r="H314">
        <v>1.81</v>
      </c>
      <c r="I314">
        <v>4.04</v>
      </c>
      <c r="J314">
        <v>2.52</v>
      </c>
      <c r="K314">
        <v>3.24</v>
      </c>
      <c r="L314" t="s">
        <v>8</v>
      </c>
      <c r="M314" t="s">
        <v>72</v>
      </c>
    </row>
    <row r="315" spans="1:13" x14ac:dyDescent="0.45">
      <c r="A315" t="s">
        <v>7</v>
      </c>
      <c r="B315" t="s">
        <v>146</v>
      </c>
      <c r="C315">
        <v>2035</v>
      </c>
      <c r="D315">
        <v>28</v>
      </c>
      <c r="E315">
        <v>3.13</v>
      </c>
      <c r="F315">
        <v>2.98</v>
      </c>
      <c r="G315">
        <v>0.84</v>
      </c>
      <c r="H315">
        <v>1.87</v>
      </c>
      <c r="I315">
        <v>4.99</v>
      </c>
      <c r="J315">
        <v>2.64</v>
      </c>
      <c r="K315">
        <v>3.7</v>
      </c>
      <c r="L315" t="s">
        <v>8</v>
      </c>
      <c r="M315" t="s">
        <v>72</v>
      </c>
    </row>
    <row r="316" spans="1:13" x14ac:dyDescent="0.45">
      <c r="A316" t="s">
        <v>7</v>
      </c>
      <c r="B316" t="s">
        <v>146</v>
      </c>
      <c r="C316">
        <v>2040</v>
      </c>
      <c r="D316">
        <v>28</v>
      </c>
      <c r="E316">
        <v>3.72</v>
      </c>
      <c r="F316">
        <v>3.78</v>
      </c>
      <c r="G316">
        <v>1.22</v>
      </c>
      <c r="H316">
        <v>1.78</v>
      </c>
      <c r="I316">
        <v>7.34</v>
      </c>
      <c r="J316">
        <v>3.29</v>
      </c>
      <c r="K316">
        <v>4.4400000000000004</v>
      </c>
      <c r="L316" t="s">
        <v>8</v>
      </c>
      <c r="M316" t="s">
        <v>72</v>
      </c>
    </row>
    <row r="317" spans="1:13" x14ac:dyDescent="0.45">
      <c r="A317" t="s">
        <v>7</v>
      </c>
      <c r="B317" t="s">
        <v>146</v>
      </c>
      <c r="C317">
        <v>2045</v>
      </c>
      <c r="D317">
        <v>28</v>
      </c>
      <c r="E317">
        <v>4.3499999999999996</v>
      </c>
      <c r="F317">
        <v>4.4400000000000004</v>
      </c>
      <c r="G317">
        <v>1.75</v>
      </c>
      <c r="H317">
        <v>1.87</v>
      </c>
      <c r="I317">
        <v>8.8699999999999992</v>
      </c>
      <c r="J317">
        <v>3.26</v>
      </c>
      <c r="K317">
        <v>5.19</v>
      </c>
      <c r="L317" t="s">
        <v>8</v>
      </c>
      <c r="M317" t="s">
        <v>72</v>
      </c>
    </row>
    <row r="318" spans="1:13" x14ac:dyDescent="0.45">
      <c r="A318" t="s">
        <v>7</v>
      </c>
      <c r="B318" t="s">
        <v>146</v>
      </c>
      <c r="C318">
        <v>2050</v>
      </c>
      <c r="D318">
        <v>28</v>
      </c>
      <c r="E318">
        <v>4.6500000000000004</v>
      </c>
      <c r="F318">
        <v>4.8</v>
      </c>
      <c r="G318">
        <v>1.85</v>
      </c>
      <c r="H318">
        <v>2.29</v>
      </c>
      <c r="I318">
        <v>10.14</v>
      </c>
      <c r="J318">
        <v>3.04</v>
      </c>
      <c r="K318">
        <v>5.69</v>
      </c>
      <c r="L318" t="s">
        <v>8</v>
      </c>
      <c r="M318" t="s">
        <v>72</v>
      </c>
    </row>
    <row r="319" spans="1:13" x14ac:dyDescent="0.45">
      <c r="A319" t="s">
        <v>9</v>
      </c>
      <c r="B319" t="s">
        <v>146</v>
      </c>
      <c r="C319">
        <v>2020</v>
      </c>
      <c r="D319">
        <v>15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146</v>
      </c>
      <c r="C320">
        <v>2025</v>
      </c>
      <c r="D320">
        <v>15</v>
      </c>
      <c r="E320">
        <v>1.18</v>
      </c>
      <c r="F320">
        <v>1.02</v>
      </c>
      <c r="G320">
        <v>0.35</v>
      </c>
      <c r="H320">
        <v>1.02</v>
      </c>
      <c r="I320">
        <v>2.11</v>
      </c>
      <c r="J320">
        <v>1.02</v>
      </c>
      <c r="K320">
        <v>1.05</v>
      </c>
      <c r="L320" t="s">
        <v>10</v>
      </c>
      <c r="M320" t="s">
        <v>72</v>
      </c>
    </row>
    <row r="321" spans="1:13" x14ac:dyDescent="0.45">
      <c r="A321" t="s">
        <v>9</v>
      </c>
      <c r="B321" t="s">
        <v>146</v>
      </c>
      <c r="C321">
        <v>2030</v>
      </c>
      <c r="D321">
        <v>15</v>
      </c>
      <c r="E321">
        <v>1.35</v>
      </c>
      <c r="F321">
        <v>1.06</v>
      </c>
      <c r="G321">
        <v>0.66</v>
      </c>
      <c r="H321">
        <v>1.03</v>
      </c>
      <c r="I321">
        <v>3.13</v>
      </c>
      <c r="J321">
        <v>1.04</v>
      </c>
      <c r="K321">
        <v>1.1200000000000001</v>
      </c>
      <c r="L321" t="s">
        <v>10</v>
      </c>
      <c r="M321" t="s">
        <v>72</v>
      </c>
    </row>
    <row r="322" spans="1:13" x14ac:dyDescent="0.45">
      <c r="A322" t="s">
        <v>9</v>
      </c>
      <c r="B322" t="s">
        <v>146</v>
      </c>
      <c r="C322">
        <v>2035</v>
      </c>
      <c r="D322">
        <v>15</v>
      </c>
      <c r="E322">
        <v>1.23</v>
      </c>
      <c r="F322">
        <v>1.07</v>
      </c>
      <c r="G322">
        <v>0.34</v>
      </c>
      <c r="H322">
        <v>1.01</v>
      </c>
      <c r="I322">
        <v>2.23</v>
      </c>
      <c r="J322">
        <v>1.06</v>
      </c>
      <c r="K322">
        <v>1.18</v>
      </c>
      <c r="L322" t="s">
        <v>10</v>
      </c>
      <c r="M322" t="s">
        <v>72</v>
      </c>
    </row>
    <row r="323" spans="1:13" x14ac:dyDescent="0.45">
      <c r="A323" t="s">
        <v>9</v>
      </c>
      <c r="B323" t="s">
        <v>146</v>
      </c>
      <c r="C323">
        <v>2040</v>
      </c>
      <c r="D323">
        <v>15</v>
      </c>
      <c r="E323">
        <v>1.1200000000000001</v>
      </c>
      <c r="F323">
        <v>1.08</v>
      </c>
      <c r="G323">
        <v>0.16</v>
      </c>
      <c r="H323">
        <v>0.86</v>
      </c>
      <c r="I323">
        <v>1.48</v>
      </c>
      <c r="J323">
        <v>1.02</v>
      </c>
      <c r="K323">
        <v>1.2</v>
      </c>
      <c r="L323" t="s">
        <v>10</v>
      </c>
      <c r="M323" t="s">
        <v>72</v>
      </c>
    </row>
    <row r="324" spans="1:13" x14ac:dyDescent="0.45">
      <c r="A324" t="s">
        <v>9</v>
      </c>
      <c r="B324" t="s">
        <v>146</v>
      </c>
      <c r="C324">
        <v>2045</v>
      </c>
      <c r="D324">
        <v>15</v>
      </c>
      <c r="E324">
        <v>1.1499999999999999</v>
      </c>
      <c r="F324">
        <v>1.1000000000000001</v>
      </c>
      <c r="G324">
        <v>0.23</v>
      </c>
      <c r="H324">
        <v>0.85</v>
      </c>
      <c r="I324">
        <v>1.81</v>
      </c>
      <c r="J324">
        <v>1</v>
      </c>
      <c r="K324">
        <v>1.27</v>
      </c>
      <c r="L324" t="s">
        <v>10</v>
      </c>
      <c r="M324" t="s">
        <v>72</v>
      </c>
    </row>
    <row r="325" spans="1:13" x14ac:dyDescent="0.45">
      <c r="A325" t="s">
        <v>9</v>
      </c>
      <c r="B325" t="s">
        <v>146</v>
      </c>
      <c r="C325">
        <v>2050</v>
      </c>
      <c r="D325">
        <v>15</v>
      </c>
      <c r="E325">
        <v>1.21</v>
      </c>
      <c r="F325">
        <v>1.1200000000000001</v>
      </c>
      <c r="G325">
        <v>0.37</v>
      </c>
      <c r="H325">
        <v>0.84</v>
      </c>
      <c r="I325">
        <v>2.38</v>
      </c>
      <c r="J325">
        <v>0.98</v>
      </c>
      <c r="K325">
        <v>1.32</v>
      </c>
      <c r="L325" t="s">
        <v>10</v>
      </c>
      <c r="M325" t="s">
        <v>72</v>
      </c>
    </row>
    <row r="326" spans="1:13" x14ac:dyDescent="0.45">
      <c r="A326" t="s">
        <v>0</v>
      </c>
      <c r="B326" t="s">
        <v>146</v>
      </c>
      <c r="C326">
        <v>2020</v>
      </c>
      <c r="D326">
        <v>7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146</v>
      </c>
      <c r="C327">
        <v>2025</v>
      </c>
      <c r="D327">
        <v>7</v>
      </c>
      <c r="E327">
        <v>1.05</v>
      </c>
      <c r="F327">
        <v>1.05</v>
      </c>
      <c r="G327">
        <v>0</v>
      </c>
      <c r="H327">
        <v>1.05</v>
      </c>
      <c r="I327">
        <v>1.05</v>
      </c>
      <c r="J327">
        <v>1.05</v>
      </c>
      <c r="K327">
        <v>1.05</v>
      </c>
      <c r="L327" t="s">
        <v>1</v>
      </c>
      <c r="M327" t="s">
        <v>73</v>
      </c>
    </row>
    <row r="328" spans="1:13" x14ac:dyDescent="0.45">
      <c r="A328" t="s">
        <v>0</v>
      </c>
      <c r="B328" t="s">
        <v>146</v>
      </c>
      <c r="C328">
        <v>2030</v>
      </c>
      <c r="D328">
        <v>7</v>
      </c>
      <c r="E328">
        <v>1.1100000000000001</v>
      </c>
      <c r="F328">
        <v>1.1100000000000001</v>
      </c>
      <c r="G328">
        <v>0</v>
      </c>
      <c r="H328">
        <v>1.1000000000000001</v>
      </c>
      <c r="I328">
        <v>1.1100000000000001</v>
      </c>
      <c r="J328">
        <v>1.1100000000000001</v>
      </c>
      <c r="K328">
        <v>1.1100000000000001</v>
      </c>
      <c r="L328" t="s">
        <v>1</v>
      </c>
      <c r="M328" t="s">
        <v>73</v>
      </c>
    </row>
    <row r="329" spans="1:13" x14ac:dyDescent="0.45">
      <c r="A329" t="s">
        <v>0</v>
      </c>
      <c r="B329" t="s">
        <v>146</v>
      </c>
      <c r="C329">
        <v>2035</v>
      </c>
      <c r="D329">
        <v>7</v>
      </c>
      <c r="E329">
        <v>1.1599999999999999</v>
      </c>
      <c r="F329">
        <v>1.17</v>
      </c>
      <c r="G329">
        <v>0.01</v>
      </c>
      <c r="H329">
        <v>1.1499999999999999</v>
      </c>
      <c r="I329">
        <v>1.17</v>
      </c>
      <c r="J329">
        <v>1.1599999999999999</v>
      </c>
      <c r="K329">
        <v>1.17</v>
      </c>
      <c r="L329" t="s">
        <v>1</v>
      </c>
      <c r="M329" t="s">
        <v>73</v>
      </c>
    </row>
    <row r="330" spans="1:13" x14ac:dyDescent="0.45">
      <c r="A330" t="s">
        <v>0</v>
      </c>
      <c r="B330" t="s">
        <v>146</v>
      </c>
      <c r="C330">
        <v>2040</v>
      </c>
      <c r="D330">
        <v>7</v>
      </c>
      <c r="E330">
        <v>1.1499999999999999</v>
      </c>
      <c r="F330">
        <v>1.17</v>
      </c>
      <c r="G330">
        <v>0.04</v>
      </c>
      <c r="H330">
        <v>1.1000000000000001</v>
      </c>
      <c r="I330">
        <v>1.19</v>
      </c>
      <c r="J330">
        <v>1.1200000000000001</v>
      </c>
      <c r="K330">
        <v>1.19</v>
      </c>
      <c r="L330" t="s">
        <v>1</v>
      </c>
      <c r="M330" t="s">
        <v>73</v>
      </c>
    </row>
    <row r="331" spans="1:13" x14ac:dyDescent="0.45">
      <c r="A331" t="s">
        <v>0</v>
      </c>
      <c r="B331" t="s">
        <v>146</v>
      </c>
      <c r="C331">
        <v>2045</v>
      </c>
      <c r="D331">
        <v>7</v>
      </c>
      <c r="E331">
        <v>1.1000000000000001</v>
      </c>
      <c r="F331">
        <v>1.1100000000000001</v>
      </c>
      <c r="G331">
        <v>0.03</v>
      </c>
      <c r="H331">
        <v>1.05</v>
      </c>
      <c r="I331">
        <v>1.1399999999999999</v>
      </c>
      <c r="J331">
        <v>1.08</v>
      </c>
      <c r="K331">
        <v>1.1299999999999999</v>
      </c>
      <c r="L331" t="s">
        <v>1</v>
      </c>
      <c r="M331" t="s">
        <v>73</v>
      </c>
    </row>
    <row r="332" spans="1:13" x14ac:dyDescent="0.45">
      <c r="A332" t="s">
        <v>0</v>
      </c>
      <c r="B332" t="s">
        <v>146</v>
      </c>
      <c r="C332">
        <v>2050</v>
      </c>
      <c r="D332">
        <v>7</v>
      </c>
      <c r="E332">
        <v>1.06</v>
      </c>
      <c r="F332">
        <v>1.06</v>
      </c>
      <c r="G332">
        <v>0.04</v>
      </c>
      <c r="H332">
        <v>1</v>
      </c>
      <c r="I332">
        <v>1.1399999999999999</v>
      </c>
      <c r="J332">
        <v>1.04</v>
      </c>
      <c r="K332">
        <v>1.08</v>
      </c>
      <c r="L332" t="s">
        <v>1</v>
      </c>
      <c r="M332" t="s">
        <v>73</v>
      </c>
    </row>
    <row r="333" spans="1:13" x14ac:dyDescent="0.45">
      <c r="A333" t="s">
        <v>2</v>
      </c>
      <c r="B333" t="s">
        <v>146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146</v>
      </c>
      <c r="C334">
        <v>2025</v>
      </c>
      <c r="D334">
        <v>7</v>
      </c>
      <c r="E334">
        <v>1.05</v>
      </c>
      <c r="F334">
        <v>1.05</v>
      </c>
      <c r="G334">
        <v>0</v>
      </c>
      <c r="H334">
        <v>1.05</v>
      </c>
      <c r="I334">
        <v>1.06</v>
      </c>
      <c r="J334">
        <v>1.05</v>
      </c>
      <c r="K334">
        <v>1.05</v>
      </c>
      <c r="L334" t="s">
        <v>3</v>
      </c>
      <c r="M334" t="s">
        <v>73</v>
      </c>
    </row>
    <row r="335" spans="1:13" x14ac:dyDescent="0.45">
      <c r="A335" t="s">
        <v>2</v>
      </c>
      <c r="B335" t="s">
        <v>146</v>
      </c>
      <c r="C335">
        <v>2030</v>
      </c>
      <c r="D335">
        <v>7</v>
      </c>
      <c r="E335">
        <v>1.1100000000000001</v>
      </c>
      <c r="F335">
        <v>1.1100000000000001</v>
      </c>
      <c r="G335">
        <v>0</v>
      </c>
      <c r="H335">
        <v>1.1000000000000001</v>
      </c>
      <c r="I335">
        <v>1.1100000000000001</v>
      </c>
      <c r="J335">
        <v>1.1100000000000001</v>
      </c>
      <c r="K335">
        <v>1.1100000000000001</v>
      </c>
      <c r="L335" t="s">
        <v>3</v>
      </c>
      <c r="M335" t="s">
        <v>73</v>
      </c>
    </row>
    <row r="336" spans="1:13" x14ac:dyDescent="0.45">
      <c r="A336" t="s">
        <v>2</v>
      </c>
      <c r="B336" t="s">
        <v>146</v>
      </c>
      <c r="C336">
        <v>2035</v>
      </c>
      <c r="D336">
        <v>7</v>
      </c>
      <c r="E336">
        <v>1.1599999999999999</v>
      </c>
      <c r="F336">
        <v>1.1599999999999999</v>
      </c>
      <c r="G336">
        <v>0.01</v>
      </c>
      <c r="H336">
        <v>1.1299999999999999</v>
      </c>
      <c r="I336">
        <v>1.17</v>
      </c>
      <c r="J336">
        <v>1.1499999999999999</v>
      </c>
      <c r="K336">
        <v>1.1599999999999999</v>
      </c>
      <c r="L336" t="s">
        <v>3</v>
      </c>
      <c r="M336" t="s">
        <v>73</v>
      </c>
    </row>
    <row r="337" spans="1:13" x14ac:dyDescent="0.45">
      <c r="A337" t="s">
        <v>2</v>
      </c>
      <c r="B337" t="s">
        <v>146</v>
      </c>
      <c r="C337">
        <v>2040</v>
      </c>
      <c r="D337">
        <v>7</v>
      </c>
      <c r="E337">
        <v>1.1499999999999999</v>
      </c>
      <c r="F337">
        <v>1.1499999999999999</v>
      </c>
      <c r="G337">
        <v>0.05</v>
      </c>
      <c r="H337">
        <v>1.0900000000000001</v>
      </c>
      <c r="I337">
        <v>1.22</v>
      </c>
      <c r="J337">
        <v>1.1100000000000001</v>
      </c>
      <c r="K337">
        <v>1.18</v>
      </c>
      <c r="L337" t="s">
        <v>3</v>
      </c>
      <c r="M337" t="s">
        <v>73</v>
      </c>
    </row>
    <row r="338" spans="1:13" x14ac:dyDescent="0.45">
      <c r="A338" t="s">
        <v>2</v>
      </c>
      <c r="B338" t="s">
        <v>146</v>
      </c>
      <c r="C338">
        <v>2045</v>
      </c>
      <c r="D338">
        <v>7</v>
      </c>
      <c r="E338">
        <v>1.19</v>
      </c>
      <c r="F338">
        <v>1.1599999999999999</v>
      </c>
      <c r="G338">
        <v>0.05</v>
      </c>
      <c r="H338">
        <v>1.1399999999999999</v>
      </c>
      <c r="I338">
        <v>1.28</v>
      </c>
      <c r="J338">
        <v>1.1499999999999999</v>
      </c>
      <c r="K338">
        <v>1.22</v>
      </c>
      <c r="L338" t="s">
        <v>3</v>
      </c>
      <c r="M338" t="s">
        <v>73</v>
      </c>
    </row>
    <row r="339" spans="1:13" x14ac:dyDescent="0.45">
      <c r="A339" t="s">
        <v>2</v>
      </c>
      <c r="B339" t="s">
        <v>146</v>
      </c>
      <c r="C339">
        <v>2050</v>
      </c>
      <c r="D339">
        <v>7</v>
      </c>
      <c r="E339">
        <v>1.25</v>
      </c>
      <c r="F339">
        <v>1.22</v>
      </c>
      <c r="G339">
        <v>0.06</v>
      </c>
      <c r="H339">
        <v>1.2</v>
      </c>
      <c r="I339">
        <v>1.35</v>
      </c>
      <c r="J339">
        <v>1.21</v>
      </c>
      <c r="K339">
        <v>1.29</v>
      </c>
      <c r="L339" t="s">
        <v>3</v>
      </c>
      <c r="M339" t="s">
        <v>73</v>
      </c>
    </row>
    <row r="340" spans="1:13" x14ac:dyDescent="0.45">
      <c r="A340" t="s">
        <v>5</v>
      </c>
      <c r="B340" t="s">
        <v>146</v>
      </c>
      <c r="C340">
        <v>2020</v>
      </c>
      <c r="D340">
        <v>18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146</v>
      </c>
      <c r="C341">
        <v>2025</v>
      </c>
      <c r="D341">
        <v>18</v>
      </c>
      <c r="E341">
        <v>0.98</v>
      </c>
      <c r="F341">
        <v>1.05</v>
      </c>
      <c r="G341">
        <v>0.09</v>
      </c>
      <c r="H341">
        <v>0.82</v>
      </c>
      <c r="I341">
        <v>1.06</v>
      </c>
      <c r="J341">
        <v>0.87</v>
      </c>
      <c r="K341">
        <v>1.05</v>
      </c>
      <c r="L341" t="s">
        <v>6</v>
      </c>
      <c r="M341" t="s">
        <v>73</v>
      </c>
    </row>
    <row r="342" spans="1:13" x14ac:dyDescent="0.45">
      <c r="A342" t="s">
        <v>5</v>
      </c>
      <c r="B342" t="s">
        <v>146</v>
      </c>
      <c r="C342">
        <v>2030</v>
      </c>
      <c r="D342">
        <v>18</v>
      </c>
      <c r="E342">
        <v>1.1499999999999999</v>
      </c>
      <c r="F342">
        <v>1.1100000000000001</v>
      </c>
      <c r="G342">
        <v>0.1</v>
      </c>
      <c r="H342">
        <v>0.99</v>
      </c>
      <c r="I342">
        <v>1.4</v>
      </c>
      <c r="J342">
        <v>1.1100000000000001</v>
      </c>
      <c r="K342">
        <v>1.17</v>
      </c>
      <c r="L342" t="s">
        <v>6</v>
      </c>
      <c r="M342" t="s">
        <v>73</v>
      </c>
    </row>
    <row r="343" spans="1:13" x14ac:dyDescent="0.45">
      <c r="A343" t="s">
        <v>5</v>
      </c>
      <c r="B343" t="s">
        <v>146</v>
      </c>
      <c r="C343">
        <v>2035</v>
      </c>
      <c r="D343">
        <v>18</v>
      </c>
      <c r="E343">
        <v>1.34</v>
      </c>
      <c r="F343">
        <v>1.25</v>
      </c>
      <c r="G343">
        <v>0.24</v>
      </c>
      <c r="H343">
        <v>1.0900000000000001</v>
      </c>
      <c r="I343">
        <v>1.83</v>
      </c>
      <c r="J343">
        <v>1.1499999999999999</v>
      </c>
      <c r="K343">
        <v>1.54</v>
      </c>
      <c r="L343" t="s">
        <v>6</v>
      </c>
      <c r="M343" t="s">
        <v>73</v>
      </c>
    </row>
    <row r="344" spans="1:13" x14ac:dyDescent="0.45">
      <c r="A344" t="s">
        <v>5</v>
      </c>
      <c r="B344" t="s">
        <v>146</v>
      </c>
      <c r="C344">
        <v>2040</v>
      </c>
      <c r="D344">
        <v>18</v>
      </c>
      <c r="E344">
        <v>1.52</v>
      </c>
      <c r="F344">
        <v>1.35</v>
      </c>
      <c r="G344">
        <v>0.48</v>
      </c>
      <c r="H344">
        <v>1.03</v>
      </c>
      <c r="I344">
        <v>2.4500000000000002</v>
      </c>
      <c r="J344">
        <v>1.08</v>
      </c>
      <c r="K344">
        <v>1.85</v>
      </c>
      <c r="L344" t="s">
        <v>6</v>
      </c>
      <c r="M344" t="s">
        <v>73</v>
      </c>
    </row>
    <row r="345" spans="1:13" x14ac:dyDescent="0.45">
      <c r="A345" t="s">
        <v>5</v>
      </c>
      <c r="B345" t="s">
        <v>146</v>
      </c>
      <c r="C345">
        <v>2045</v>
      </c>
      <c r="D345">
        <v>18</v>
      </c>
      <c r="E345">
        <v>1.77</v>
      </c>
      <c r="F345">
        <v>1.55</v>
      </c>
      <c r="G345">
        <v>0.82</v>
      </c>
      <c r="H345">
        <v>0.99</v>
      </c>
      <c r="I345">
        <v>3.43</v>
      </c>
      <c r="J345">
        <v>1.04</v>
      </c>
      <c r="K345">
        <v>2.23</v>
      </c>
      <c r="L345" t="s">
        <v>6</v>
      </c>
      <c r="M345" t="s">
        <v>73</v>
      </c>
    </row>
    <row r="346" spans="1:13" x14ac:dyDescent="0.45">
      <c r="A346" t="s">
        <v>5</v>
      </c>
      <c r="B346" t="s">
        <v>146</v>
      </c>
      <c r="C346">
        <v>2050</v>
      </c>
      <c r="D346">
        <v>18</v>
      </c>
      <c r="E346">
        <v>2.1</v>
      </c>
      <c r="F346">
        <v>1.8</v>
      </c>
      <c r="G346">
        <v>1.19</v>
      </c>
      <c r="H346">
        <v>0.96</v>
      </c>
      <c r="I346">
        <v>4.32</v>
      </c>
      <c r="J346">
        <v>1.01</v>
      </c>
      <c r="K346">
        <v>2.85</v>
      </c>
      <c r="L346" t="s">
        <v>6</v>
      </c>
      <c r="M346" t="s">
        <v>73</v>
      </c>
    </row>
    <row r="347" spans="1:13" x14ac:dyDescent="0.45">
      <c r="A347" t="s">
        <v>7</v>
      </c>
      <c r="B347" t="s">
        <v>146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146</v>
      </c>
      <c r="C348">
        <v>2025</v>
      </c>
      <c r="D348">
        <v>8</v>
      </c>
      <c r="E348">
        <v>0.83</v>
      </c>
      <c r="F348">
        <v>0.84</v>
      </c>
      <c r="G348">
        <v>0.01</v>
      </c>
      <c r="H348">
        <v>0.82</v>
      </c>
      <c r="I348">
        <v>0.85</v>
      </c>
      <c r="J348">
        <v>0.82</v>
      </c>
      <c r="K348">
        <v>0.84</v>
      </c>
      <c r="L348" t="s">
        <v>8</v>
      </c>
      <c r="M348" t="s">
        <v>73</v>
      </c>
    </row>
    <row r="349" spans="1:13" x14ac:dyDescent="0.45">
      <c r="A349" t="s">
        <v>7</v>
      </c>
      <c r="B349" t="s">
        <v>146</v>
      </c>
      <c r="C349">
        <v>2030</v>
      </c>
      <c r="D349">
        <v>8</v>
      </c>
      <c r="E349">
        <v>1.17</v>
      </c>
      <c r="F349">
        <v>1.17</v>
      </c>
      <c r="G349">
        <v>0.03</v>
      </c>
      <c r="H349">
        <v>1.1399999999999999</v>
      </c>
      <c r="I349">
        <v>1.24</v>
      </c>
      <c r="J349">
        <v>1.17</v>
      </c>
      <c r="K349">
        <v>1.17</v>
      </c>
      <c r="L349" t="s">
        <v>8</v>
      </c>
      <c r="M349" t="s">
        <v>73</v>
      </c>
    </row>
    <row r="350" spans="1:13" x14ac:dyDescent="0.45">
      <c r="A350" t="s">
        <v>7</v>
      </c>
      <c r="B350" t="s">
        <v>146</v>
      </c>
      <c r="C350">
        <v>2035</v>
      </c>
      <c r="D350">
        <v>8</v>
      </c>
      <c r="E350">
        <v>1.25</v>
      </c>
      <c r="F350">
        <v>1.26</v>
      </c>
      <c r="G350">
        <v>0.08</v>
      </c>
      <c r="H350">
        <v>1.1399999999999999</v>
      </c>
      <c r="I350">
        <v>1.35</v>
      </c>
      <c r="J350">
        <v>1.2</v>
      </c>
      <c r="K350">
        <v>1.3</v>
      </c>
      <c r="L350" t="s">
        <v>8</v>
      </c>
      <c r="M350" t="s">
        <v>73</v>
      </c>
    </row>
    <row r="351" spans="1:13" x14ac:dyDescent="0.45">
      <c r="A351" t="s">
        <v>7</v>
      </c>
      <c r="B351" t="s">
        <v>146</v>
      </c>
      <c r="C351">
        <v>2040</v>
      </c>
      <c r="D351">
        <v>8</v>
      </c>
      <c r="E351">
        <v>1.24</v>
      </c>
      <c r="F351">
        <v>1.23</v>
      </c>
      <c r="G351">
        <v>0.1</v>
      </c>
      <c r="H351">
        <v>1.1100000000000001</v>
      </c>
      <c r="I351">
        <v>1.41</v>
      </c>
      <c r="J351">
        <v>1.19</v>
      </c>
      <c r="K351">
        <v>1.3</v>
      </c>
      <c r="L351" t="s">
        <v>8</v>
      </c>
      <c r="M351" t="s">
        <v>73</v>
      </c>
    </row>
    <row r="352" spans="1:13" x14ac:dyDescent="0.45">
      <c r="A352" t="s">
        <v>7</v>
      </c>
      <c r="B352" t="s">
        <v>146</v>
      </c>
      <c r="C352">
        <v>2045</v>
      </c>
      <c r="D352">
        <v>8</v>
      </c>
      <c r="E352">
        <v>1.51</v>
      </c>
      <c r="F352">
        <v>1.52</v>
      </c>
      <c r="G352">
        <v>0.13</v>
      </c>
      <c r="H352">
        <v>1.31</v>
      </c>
      <c r="I352">
        <v>1.67</v>
      </c>
      <c r="J352">
        <v>1.4</v>
      </c>
      <c r="K352">
        <v>1.6</v>
      </c>
      <c r="L352" t="s">
        <v>8</v>
      </c>
      <c r="M352" t="s">
        <v>73</v>
      </c>
    </row>
    <row r="353" spans="1:13" x14ac:dyDescent="0.45">
      <c r="A353" t="s">
        <v>7</v>
      </c>
      <c r="B353" t="s">
        <v>146</v>
      </c>
      <c r="C353">
        <v>2050</v>
      </c>
      <c r="D353">
        <v>8</v>
      </c>
      <c r="E353">
        <v>1.94</v>
      </c>
      <c r="F353">
        <v>1.94</v>
      </c>
      <c r="G353">
        <v>0.27</v>
      </c>
      <c r="H353">
        <v>1.5</v>
      </c>
      <c r="I353">
        <v>2.29</v>
      </c>
      <c r="J353">
        <v>1.78</v>
      </c>
      <c r="K353">
        <v>2.12</v>
      </c>
      <c r="L353" t="s">
        <v>8</v>
      </c>
      <c r="M353" t="s">
        <v>73</v>
      </c>
    </row>
    <row r="354" spans="1:13" x14ac:dyDescent="0.45">
      <c r="A354" t="s">
        <v>9</v>
      </c>
      <c r="B354" t="s">
        <v>146</v>
      </c>
      <c r="C354">
        <v>2020</v>
      </c>
      <c r="D354">
        <v>10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146</v>
      </c>
      <c r="C355">
        <v>2025</v>
      </c>
      <c r="D355">
        <v>10</v>
      </c>
      <c r="E355">
        <v>0.96</v>
      </c>
      <c r="F355">
        <v>0.96</v>
      </c>
      <c r="G355">
        <v>0.09</v>
      </c>
      <c r="H355">
        <v>0.82</v>
      </c>
      <c r="I355">
        <v>1.05</v>
      </c>
      <c r="J355">
        <v>0.94</v>
      </c>
      <c r="K355">
        <v>1.05</v>
      </c>
      <c r="L355" t="s">
        <v>10</v>
      </c>
      <c r="M355" t="s">
        <v>73</v>
      </c>
    </row>
    <row r="356" spans="1:13" x14ac:dyDescent="0.45">
      <c r="A356" t="s">
        <v>9</v>
      </c>
      <c r="B356" t="s">
        <v>146</v>
      </c>
      <c r="C356">
        <v>2030</v>
      </c>
      <c r="D356">
        <v>10</v>
      </c>
      <c r="E356">
        <v>1.03</v>
      </c>
      <c r="F356">
        <v>1.04</v>
      </c>
      <c r="G356">
        <v>0.09</v>
      </c>
      <c r="H356">
        <v>0.9</v>
      </c>
      <c r="I356">
        <v>1.17</v>
      </c>
      <c r="J356">
        <v>0.96</v>
      </c>
      <c r="K356">
        <v>1.1100000000000001</v>
      </c>
      <c r="L356" t="s">
        <v>10</v>
      </c>
      <c r="M356" t="s">
        <v>73</v>
      </c>
    </row>
    <row r="357" spans="1:13" x14ac:dyDescent="0.45">
      <c r="A357" t="s">
        <v>9</v>
      </c>
      <c r="B357" t="s">
        <v>146</v>
      </c>
      <c r="C357">
        <v>2035</v>
      </c>
      <c r="D357">
        <v>10</v>
      </c>
      <c r="E357">
        <v>1.03</v>
      </c>
      <c r="F357">
        <v>1.04</v>
      </c>
      <c r="G357">
        <v>7.0000000000000007E-2</v>
      </c>
      <c r="H357">
        <v>0.89</v>
      </c>
      <c r="I357">
        <v>1.1100000000000001</v>
      </c>
      <c r="J357">
        <v>0.99</v>
      </c>
      <c r="K357">
        <v>1.0900000000000001</v>
      </c>
      <c r="L357" t="s">
        <v>10</v>
      </c>
      <c r="M357" t="s">
        <v>73</v>
      </c>
    </row>
    <row r="358" spans="1:13" x14ac:dyDescent="0.45">
      <c r="A358" t="s">
        <v>9</v>
      </c>
      <c r="B358" t="s">
        <v>146</v>
      </c>
      <c r="C358">
        <v>2040</v>
      </c>
      <c r="D358">
        <v>10</v>
      </c>
      <c r="E358">
        <v>0.99</v>
      </c>
      <c r="F358">
        <v>0.98</v>
      </c>
      <c r="G358">
        <v>0.05</v>
      </c>
      <c r="H358">
        <v>0.9</v>
      </c>
      <c r="I358">
        <v>1.04</v>
      </c>
      <c r="J358">
        <v>0.97</v>
      </c>
      <c r="K358">
        <v>1.03</v>
      </c>
      <c r="L358" t="s">
        <v>10</v>
      </c>
      <c r="M358" t="s">
        <v>73</v>
      </c>
    </row>
    <row r="359" spans="1:13" x14ac:dyDescent="0.45">
      <c r="A359" t="s">
        <v>9</v>
      </c>
      <c r="B359" t="s">
        <v>146</v>
      </c>
      <c r="C359">
        <v>2045</v>
      </c>
      <c r="D359">
        <v>10</v>
      </c>
      <c r="E359">
        <v>0.99</v>
      </c>
      <c r="F359">
        <v>0.99</v>
      </c>
      <c r="G359">
        <v>0.05</v>
      </c>
      <c r="H359">
        <v>0.9</v>
      </c>
      <c r="I359">
        <v>1.07</v>
      </c>
      <c r="J359">
        <v>0.98</v>
      </c>
      <c r="K359">
        <v>1</v>
      </c>
      <c r="L359" t="s">
        <v>10</v>
      </c>
      <c r="M359" t="s">
        <v>73</v>
      </c>
    </row>
    <row r="360" spans="1:13" x14ac:dyDescent="0.45">
      <c r="A360" t="s">
        <v>9</v>
      </c>
      <c r="B360" t="s">
        <v>146</v>
      </c>
      <c r="C360">
        <v>2050</v>
      </c>
      <c r="D360">
        <v>10</v>
      </c>
      <c r="E360">
        <v>1</v>
      </c>
      <c r="F360">
        <v>1</v>
      </c>
      <c r="G360">
        <v>7.0000000000000007E-2</v>
      </c>
      <c r="H360">
        <v>0.85</v>
      </c>
      <c r="I360">
        <v>1.0900000000000001</v>
      </c>
      <c r="J360">
        <v>0.97</v>
      </c>
      <c r="K360">
        <v>1.06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P24"/>
  <sheetViews>
    <sheetView workbookViewId="0">
      <selection activeCell="H21" sqref="H21"/>
    </sheetView>
  </sheetViews>
  <sheetFormatPr defaultRowHeight="14.25" x14ac:dyDescent="0.45"/>
  <sheetData>
    <row r="10" spans="1:16" x14ac:dyDescent="0.45">
      <c r="A10" t="str">
        <f>IFERROR(Veda!D5,"ts_12t")</f>
        <v>ts_annual</v>
      </c>
      <c r="B10" s="15"/>
      <c r="C10" s="15" t="s">
        <v>239</v>
      </c>
      <c r="D10" t="s">
        <v>124</v>
      </c>
      <c r="F10" t="s">
        <v>239</v>
      </c>
      <c r="G10" t="s">
        <v>126</v>
      </c>
      <c r="I10" t="s">
        <v>239</v>
      </c>
      <c r="J10" t="s">
        <v>143</v>
      </c>
      <c r="L10" t="s">
        <v>239</v>
      </c>
      <c r="M10" t="s">
        <v>106</v>
      </c>
      <c r="O10" t="s">
        <v>239</v>
      </c>
      <c r="P10" t="s">
        <v>131</v>
      </c>
    </row>
    <row r="11" spans="1:16" x14ac:dyDescent="0.45">
      <c r="B11" s="15"/>
      <c r="C11" s="15" t="s">
        <v>240</v>
      </c>
      <c r="D11" t="s">
        <v>241</v>
      </c>
      <c r="F11" t="s">
        <v>240</v>
      </c>
      <c r="G11" t="s">
        <v>289</v>
      </c>
      <c r="I11" t="s">
        <v>240</v>
      </c>
      <c r="J11" t="s">
        <v>389</v>
      </c>
      <c r="L11" t="s">
        <v>240</v>
      </c>
      <c r="M11" t="s">
        <v>393</v>
      </c>
      <c r="O11" t="s">
        <v>240</v>
      </c>
      <c r="P11" t="s">
        <v>412</v>
      </c>
    </row>
    <row r="12" spans="1:16" x14ac:dyDescent="0.45">
      <c r="B12" s="15"/>
      <c r="C12" s="15" t="s">
        <v>242</v>
      </c>
      <c r="D12" t="s">
        <v>243</v>
      </c>
      <c r="F12" t="s">
        <v>242</v>
      </c>
      <c r="G12" t="s">
        <v>290</v>
      </c>
      <c r="I12" t="s">
        <v>242</v>
      </c>
      <c r="J12" t="s">
        <v>390</v>
      </c>
      <c r="L12" t="s">
        <v>242</v>
      </c>
      <c r="M12" t="s">
        <v>393</v>
      </c>
      <c r="O12" t="s">
        <v>242</v>
      </c>
      <c r="P12" t="s">
        <v>413</v>
      </c>
    </row>
    <row r="17" spans="3:13" x14ac:dyDescent="0.45">
      <c r="I17" s="12">
        <v>0.75</v>
      </c>
      <c r="K17" s="2" t="s">
        <v>84</v>
      </c>
    </row>
    <row r="18" spans="3:13" ht="17.649999999999999" thickBot="1" x14ac:dyDescent="0.6">
      <c r="C18" s="13" t="s">
        <v>85</v>
      </c>
    </row>
    <row r="19" spans="3:13" ht="14.65" thickTop="1" x14ac:dyDescent="0.45"/>
    <row r="21" spans="3:13" ht="17.649999999999999" thickBot="1" x14ac:dyDescent="0.6">
      <c r="H21" s="13" t="str">
        <f>IF(H23=H24,"Not Required!","~UC_T: LO")</f>
        <v>Not Required!</v>
      </c>
    </row>
    <row r="22" spans="3:13" ht="15" thickTop="1" thickBot="1" x14ac:dyDescent="0.5">
      <c r="C22" s="14" t="s">
        <v>86</v>
      </c>
      <c r="D22" s="14" t="s">
        <v>87</v>
      </c>
      <c r="E22" s="14" t="s">
        <v>88</v>
      </c>
      <c r="F22" s="14" t="s">
        <v>89</v>
      </c>
      <c r="G22" s="14" t="s">
        <v>90</v>
      </c>
      <c r="H22" s="14" t="s">
        <v>91</v>
      </c>
      <c r="I22" s="14" t="s">
        <v>92</v>
      </c>
      <c r="J22" s="14" t="s">
        <v>93</v>
      </c>
      <c r="K22" s="14" t="s">
        <v>94</v>
      </c>
    </row>
    <row r="23" spans="3:13" x14ac:dyDescent="0.45">
      <c r="C23" t="s">
        <v>95</v>
      </c>
      <c r="D23" t="s">
        <v>96</v>
      </c>
      <c r="E23" t="str">
        <f>G23</f>
        <v>AuxStoIN</v>
      </c>
      <c r="F23" t="s">
        <v>97</v>
      </c>
      <c r="G23" t="s">
        <v>98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99</v>
      </c>
    </row>
    <row r="24" spans="3:13" x14ac:dyDescent="0.45">
      <c r="D24" t="s">
        <v>96</v>
      </c>
      <c r="E24" t="str">
        <f>G24</f>
        <v>AuxStoIN</v>
      </c>
      <c r="F24" t="s">
        <v>97</v>
      </c>
      <c r="G24" t="s">
        <v>98</v>
      </c>
      <c r="H24" t="str">
        <f>HLOOKUP($A$10,$D$10:$CU$12,2,FALSE)</f>
        <v>AllSaAllH</v>
      </c>
      <c r="I24">
        <f>-$I$17</f>
        <v>-0.75</v>
      </c>
      <c r="M24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01D04-7A3B-4A85-A515-4444F850F61D}">
  <dimension ref="A9:AN226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124</v>
      </c>
      <c r="C10" t="s">
        <v>152</v>
      </c>
      <c r="D10" t="s">
        <v>153</v>
      </c>
      <c r="E10" t="s">
        <v>154</v>
      </c>
      <c r="F10" t="s">
        <v>155</v>
      </c>
      <c r="G10" t="s">
        <v>156</v>
      </c>
      <c r="I10" t="s">
        <v>13</v>
      </c>
      <c r="J10" t="s">
        <v>121</v>
      </c>
      <c r="K10" t="s">
        <v>165</v>
      </c>
      <c r="L10" t="s">
        <v>30</v>
      </c>
      <c r="N10" t="s">
        <v>13</v>
      </c>
      <c r="O10" t="s">
        <v>121</v>
      </c>
      <c r="P10" t="s">
        <v>165</v>
      </c>
      <c r="Q10" t="s">
        <v>30</v>
      </c>
      <c r="S10" t="s">
        <v>13</v>
      </c>
      <c r="T10" t="s">
        <v>121</v>
      </c>
      <c r="U10" t="s">
        <v>165</v>
      </c>
      <c r="V10" t="s">
        <v>30</v>
      </c>
      <c r="X10" t="s">
        <v>238</v>
      </c>
      <c r="Y10" t="s">
        <v>165</v>
      </c>
      <c r="Z10" t="s">
        <v>121</v>
      </c>
      <c r="AA10" t="s">
        <v>13</v>
      </c>
      <c r="AC10" t="s">
        <v>13</v>
      </c>
      <c r="AD10" t="s">
        <v>121</v>
      </c>
      <c r="AE10" t="s">
        <v>165</v>
      </c>
      <c r="AG10" t="s">
        <v>13</v>
      </c>
      <c r="AH10" t="s">
        <v>121</v>
      </c>
      <c r="AI10" t="s">
        <v>244</v>
      </c>
      <c r="AK10" t="s">
        <v>47</v>
      </c>
      <c r="AL10" t="s">
        <v>121</v>
      </c>
      <c r="AM10" t="s">
        <v>245</v>
      </c>
      <c r="AN10" t="s">
        <v>246</v>
      </c>
    </row>
    <row r="11" spans="1:40" x14ac:dyDescent="0.45">
      <c r="A11" t="str">
        <f>IFERROR(IF(Veda!D5=A10,"ok","x"),"")</f>
        <v>x</v>
      </c>
      <c r="C11" t="s">
        <v>157</v>
      </c>
      <c r="D11" t="s">
        <v>158</v>
      </c>
      <c r="E11" t="s">
        <v>159</v>
      </c>
      <c r="F11" t="s">
        <v>160</v>
      </c>
      <c r="G11" t="s">
        <v>158</v>
      </c>
      <c r="I11" t="s">
        <v>166</v>
      </c>
      <c r="J11" t="s">
        <v>167</v>
      </c>
      <c r="K11">
        <v>7.8728010430541978E-3</v>
      </c>
      <c r="L11" t="s">
        <v>168</v>
      </c>
      <c r="N11" t="s">
        <v>200</v>
      </c>
      <c r="O11" t="s">
        <v>167</v>
      </c>
      <c r="P11">
        <v>7.2241717270566788E-2</v>
      </c>
      <c r="Q11" t="s">
        <v>168</v>
      </c>
      <c r="S11" t="s">
        <v>219</v>
      </c>
      <c r="T11" t="s">
        <v>167</v>
      </c>
      <c r="U11">
        <v>7.6795045781007043E-2</v>
      </c>
      <c r="V11" t="s">
        <v>168</v>
      </c>
      <c r="X11">
        <v>6.0616438356164384E-2</v>
      </c>
      <c r="Y11">
        <v>3.8469863842411904E-2</v>
      </c>
      <c r="Z11" t="s">
        <v>167</v>
      </c>
      <c r="AA11" t="s">
        <v>25</v>
      </c>
      <c r="AC11" t="s">
        <v>22</v>
      </c>
      <c r="AD11" t="s">
        <v>167</v>
      </c>
      <c r="AE11">
        <v>5.7807535905496983E-2</v>
      </c>
      <c r="AG11" t="s">
        <v>96</v>
      </c>
      <c r="AH11" t="s">
        <v>167</v>
      </c>
      <c r="AI11">
        <v>0.30252383326028598</v>
      </c>
      <c r="AK11">
        <v>2020</v>
      </c>
      <c r="AL11" t="s">
        <v>157</v>
      </c>
      <c r="AM11">
        <v>0.20444938820912117</v>
      </c>
      <c r="AN11" t="s">
        <v>247</v>
      </c>
    </row>
    <row r="12" spans="1:40" x14ac:dyDescent="0.45">
      <c r="C12" t="s">
        <v>161</v>
      </c>
      <c r="E12" t="s">
        <v>162</v>
      </c>
      <c r="G12" t="s">
        <v>158</v>
      </c>
      <c r="I12" t="s">
        <v>166</v>
      </c>
      <c r="J12" t="s">
        <v>169</v>
      </c>
      <c r="K12">
        <v>0.11132760916434024</v>
      </c>
      <c r="L12" t="s">
        <v>168</v>
      </c>
      <c r="N12" t="s">
        <v>200</v>
      </c>
      <c r="O12" t="s">
        <v>169</v>
      </c>
      <c r="P12">
        <v>5.0135149150611097E-2</v>
      </c>
      <c r="Q12" t="s">
        <v>168</v>
      </c>
      <c r="S12" t="s">
        <v>219</v>
      </c>
      <c r="T12" t="s">
        <v>169</v>
      </c>
      <c r="U12">
        <v>6.6759257691445029E-2</v>
      </c>
      <c r="V12" t="s">
        <v>168</v>
      </c>
      <c r="X12">
        <v>5.3881278538812784E-2</v>
      </c>
      <c r="Y12">
        <v>7.4475465944028721E-2</v>
      </c>
      <c r="Z12" t="s">
        <v>169</v>
      </c>
      <c r="AA12" t="s">
        <v>25</v>
      </c>
      <c r="AC12" t="s">
        <v>22</v>
      </c>
      <c r="AD12" t="s">
        <v>169</v>
      </c>
      <c r="AE12">
        <v>6.7402909257994206E-2</v>
      </c>
      <c r="AG12" t="s">
        <v>96</v>
      </c>
      <c r="AH12" t="s">
        <v>169</v>
      </c>
      <c r="AI12">
        <v>8.3799017689654143E-2</v>
      </c>
      <c r="AK12">
        <v>2020</v>
      </c>
      <c r="AL12" t="s">
        <v>161</v>
      </c>
      <c r="AM12">
        <v>0.28240276118412316</v>
      </c>
      <c r="AN12" t="s">
        <v>247</v>
      </c>
    </row>
    <row r="13" spans="1:40" x14ac:dyDescent="0.45">
      <c r="C13" t="s">
        <v>163</v>
      </c>
      <c r="E13" t="s">
        <v>164</v>
      </c>
      <c r="G13" t="s">
        <v>158</v>
      </c>
      <c r="I13" t="s">
        <v>166</v>
      </c>
      <c r="J13" t="s">
        <v>170</v>
      </c>
      <c r="K13">
        <v>2.8461971923613616E-3</v>
      </c>
      <c r="L13" t="s">
        <v>168</v>
      </c>
      <c r="N13" t="s">
        <v>200</v>
      </c>
      <c r="O13" t="s">
        <v>170</v>
      </c>
      <c r="P13">
        <v>5.8821264118414512E-2</v>
      </c>
      <c r="Q13" t="s">
        <v>168</v>
      </c>
      <c r="S13" t="s">
        <v>219</v>
      </c>
      <c r="T13" t="s">
        <v>170</v>
      </c>
      <c r="U13">
        <v>6.2602418427719644E-2</v>
      </c>
      <c r="V13" t="s">
        <v>168</v>
      </c>
      <c r="X13">
        <v>4.714611872146119E-2</v>
      </c>
      <c r="Y13">
        <v>4.8698505829997768E-2</v>
      </c>
      <c r="Z13" t="s">
        <v>170</v>
      </c>
      <c r="AA13" t="s">
        <v>25</v>
      </c>
      <c r="AC13" t="s">
        <v>22</v>
      </c>
      <c r="AD13" t="s">
        <v>170</v>
      </c>
      <c r="AE13">
        <v>5.4728049049941503E-2</v>
      </c>
      <c r="AG13" t="s">
        <v>96</v>
      </c>
      <c r="AH13" t="s">
        <v>170</v>
      </c>
      <c r="AI13">
        <v>0.15334978680446976</v>
      </c>
      <c r="AK13">
        <v>2020</v>
      </c>
      <c r="AL13" t="s">
        <v>163</v>
      </c>
      <c r="AM13">
        <v>0.23154121863799279</v>
      </c>
      <c r="AN13" t="s">
        <v>247</v>
      </c>
    </row>
    <row r="14" spans="1:40" x14ac:dyDescent="0.45">
      <c r="I14" t="s">
        <v>166</v>
      </c>
      <c r="J14" t="s">
        <v>171</v>
      </c>
      <c r="K14">
        <v>0.13295820905903916</v>
      </c>
      <c r="L14" t="s">
        <v>168</v>
      </c>
      <c r="N14" t="s">
        <v>200</v>
      </c>
      <c r="O14" t="s">
        <v>171</v>
      </c>
      <c r="P14">
        <v>0.3107501915703742</v>
      </c>
      <c r="Q14" t="s">
        <v>168</v>
      </c>
      <c r="S14" t="s">
        <v>219</v>
      </c>
      <c r="T14" t="s">
        <v>171</v>
      </c>
      <c r="U14">
        <v>0.25682471402262114</v>
      </c>
      <c r="V14" t="s">
        <v>168</v>
      </c>
      <c r="X14">
        <v>0.28253424657534248</v>
      </c>
      <c r="Y14">
        <v>0.17930868740107242</v>
      </c>
      <c r="Z14" t="s">
        <v>171</v>
      </c>
      <c r="AA14" t="s">
        <v>25</v>
      </c>
      <c r="AC14" t="s">
        <v>22</v>
      </c>
      <c r="AD14" t="s">
        <v>171</v>
      </c>
      <c r="AE14">
        <v>0.23826400629641378</v>
      </c>
      <c r="AG14" t="s">
        <v>96</v>
      </c>
      <c r="AH14" t="s">
        <v>171</v>
      </c>
      <c r="AI14">
        <v>0.40785114540232748</v>
      </c>
      <c r="AK14">
        <v>2021</v>
      </c>
      <c r="AL14" t="s">
        <v>157</v>
      </c>
      <c r="AM14">
        <v>0.24603807498544339</v>
      </c>
      <c r="AN14" t="s">
        <v>247</v>
      </c>
    </row>
    <row r="15" spans="1:40" x14ac:dyDescent="0.45">
      <c r="I15" t="s">
        <v>166</v>
      </c>
      <c r="J15" t="s">
        <v>172</v>
      </c>
      <c r="K15">
        <v>0.62233482944807283</v>
      </c>
      <c r="L15" t="s">
        <v>168</v>
      </c>
      <c r="N15" t="s">
        <v>200</v>
      </c>
      <c r="O15" t="s">
        <v>172</v>
      </c>
      <c r="P15">
        <v>0.2038821712303294</v>
      </c>
      <c r="Q15" t="s">
        <v>168</v>
      </c>
      <c r="S15" t="s">
        <v>219</v>
      </c>
      <c r="T15" t="s">
        <v>172</v>
      </c>
      <c r="U15">
        <v>0.21641114511763868</v>
      </c>
      <c r="V15" t="s">
        <v>168</v>
      </c>
      <c r="X15">
        <v>0.25114155251141551</v>
      </c>
      <c r="Y15">
        <v>0.34713140906115086</v>
      </c>
      <c r="Z15" t="s">
        <v>172</v>
      </c>
      <c r="AA15" t="s">
        <v>25</v>
      </c>
      <c r="AC15" t="s">
        <v>22</v>
      </c>
      <c r="AD15" t="s">
        <v>172</v>
      </c>
      <c r="AE15">
        <v>0.26989361510642634</v>
      </c>
      <c r="AG15" t="s">
        <v>96</v>
      </c>
      <c r="AH15" t="s">
        <v>172</v>
      </c>
      <c r="AI15">
        <v>0.17893140336558244</v>
      </c>
      <c r="AK15">
        <v>2021</v>
      </c>
      <c r="AL15" t="s">
        <v>161</v>
      </c>
      <c r="AM15">
        <v>0.25602923955436052</v>
      </c>
      <c r="AN15" t="s">
        <v>247</v>
      </c>
    </row>
    <row r="16" spans="1:40" x14ac:dyDescent="0.45">
      <c r="I16" t="s">
        <v>166</v>
      </c>
      <c r="J16" t="s">
        <v>173</v>
      </c>
      <c r="K16">
        <v>6.9784571966437045E-2</v>
      </c>
      <c r="L16" t="s">
        <v>168</v>
      </c>
      <c r="N16" t="s">
        <v>200</v>
      </c>
      <c r="O16" t="s">
        <v>173</v>
      </c>
      <c r="P16">
        <v>0.21188123159387914</v>
      </c>
      <c r="Q16" t="s">
        <v>168</v>
      </c>
      <c r="S16" t="s">
        <v>219</v>
      </c>
      <c r="T16" t="s">
        <v>173</v>
      </c>
      <c r="U16">
        <v>0.24466171427913599</v>
      </c>
      <c r="V16" t="s">
        <v>168</v>
      </c>
      <c r="X16">
        <v>0.21974885844748859</v>
      </c>
      <c r="Y16">
        <v>0.2269845610720235</v>
      </c>
      <c r="Z16" t="s">
        <v>173</v>
      </c>
      <c r="AA16" t="s">
        <v>25</v>
      </c>
      <c r="AC16" t="s">
        <v>22</v>
      </c>
      <c r="AD16" t="s">
        <v>173</v>
      </c>
      <c r="AE16">
        <v>0.22051454008583071</v>
      </c>
      <c r="AG16" t="s">
        <v>96</v>
      </c>
      <c r="AH16" t="s">
        <v>173</v>
      </c>
      <c r="AI16">
        <v>0.25162840193594116</v>
      </c>
      <c r="AK16">
        <v>2021</v>
      </c>
      <c r="AL16" t="s">
        <v>163</v>
      </c>
      <c r="AM16">
        <v>0.1879290928526921</v>
      </c>
      <c r="AN16" t="s">
        <v>247</v>
      </c>
    </row>
    <row r="17" spans="9:40" x14ac:dyDescent="0.45">
      <c r="I17" t="s">
        <v>166</v>
      </c>
      <c r="J17" t="s">
        <v>174</v>
      </c>
      <c r="K17">
        <v>3.3505939754103499E-3</v>
      </c>
      <c r="L17" t="s">
        <v>168</v>
      </c>
      <c r="N17" t="s">
        <v>200</v>
      </c>
      <c r="O17" t="s">
        <v>174</v>
      </c>
      <c r="P17">
        <v>4.0719517326674559E-2</v>
      </c>
      <c r="Q17" t="s">
        <v>168</v>
      </c>
      <c r="S17" t="s">
        <v>219</v>
      </c>
      <c r="T17" t="s">
        <v>174</v>
      </c>
      <c r="U17">
        <v>2.9119549386351331E-2</v>
      </c>
      <c r="V17" t="s">
        <v>168</v>
      </c>
      <c r="X17">
        <v>3.1849315068493152E-2</v>
      </c>
      <c r="Y17">
        <v>2.021297930702998E-2</v>
      </c>
      <c r="Z17" t="s">
        <v>174</v>
      </c>
      <c r="AA17" t="s">
        <v>25</v>
      </c>
      <c r="AC17" t="s">
        <v>22</v>
      </c>
      <c r="AD17" t="s">
        <v>174</v>
      </c>
      <c r="AE17">
        <v>2.9565444779157304E-2</v>
      </c>
      <c r="AG17" t="s">
        <v>96</v>
      </c>
      <c r="AH17" t="s">
        <v>174</v>
      </c>
      <c r="AI17">
        <v>0.3127689117919763</v>
      </c>
      <c r="AK17">
        <v>2022</v>
      </c>
      <c r="AL17" t="s">
        <v>157</v>
      </c>
      <c r="AM17">
        <v>0.1380880769396183</v>
      </c>
      <c r="AN17" t="s">
        <v>247</v>
      </c>
    </row>
    <row r="18" spans="9:40" x14ac:dyDescent="0.45">
      <c r="I18" t="s">
        <v>166</v>
      </c>
      <c r="J18" t="s">
        <v>175</v>
      </c>
      <c r="K18">
        <v>4.952518815128517E-2</v>
      </c>
      <c r="L18" t="s">
        <v>168</v>
      </c>
      <c r="N18" t="s">
        <v>200</v>
      </c>
      <c r="O18" t="s">
        <v>175</v>
      </c>
      <c r="P18">
        <v>2.9731616573337564E-2</v>
      </c>
      <c r="Q18" t="s">
        <v>168</v>
      </c>
      <c r="S18" t="s">
        <v>219</v>
      </c>
      <c r="T18" t="s">
        <v>175</v>
      </c>
      <c r="U18">
        <v>2.6908588585785112E-2</v>
      </c>
      <c r="V18" t="s">
        <v>168</v>
      </c>
      <c r="X18">
        <v>2.8310502283105023E-2</v>
      </c>
      <c r="Y18">
        <v>3.9131177021438819E-2</v>
      </c>
      <c r="Z18" t="s">
        <v>175</v>
      </c>
      <c r="AA18" t="s">
        <v>25</v>
      </c>
      <c r="AC18" t="s">
        <v>22</v>
      </c>
      <c r="AD18" t="s">
        <v>175</v>
      </c>
      <c r="AE18">
        <v>3.3907223678037605E-2</v>
      </c>
      <c r="AG18" t="s">
        <v>96</v>
      </c>
      <c r="AH18" t="s">
        <v>175</v>
      </c>
      <c r="AI18">
        <v>8.0434652688127439E-2</v>
      </c>
      <c r="AK18">
        <v>2022</v>
      </c>
      <c r="AL18" t="s">
        <v>161</v>
      </c>
      <c r="AM18">
        <v>0.16381697603970949</v>
      </c>
      <c r="AN18" t="s">
        <v>247</v>
      </c>
    </row>
    <row r="19" spans="9:40" x14ac:dyDescent="0.45">
      <c r="I19" t="s">
        <v>166</v>
      </c>
      <c r="J19" t="s">
        <v>176</v>
      </c>
      <c r="K19">
        <v>0</v>
      </c>
      <c r="L19" t="s">
        <v>168</v>
      </c>
      <c r="N19" t="s">
        <v>200</v>
      </c>
      <c r="O19" t="s">
        <v>176</v>
      </c>
      <c r="P19">
        <v>2.1837141165810755E-2</v>
      </c>
      <c r="Q19" t="s">
        <v>168</v>
      </c>
      <c r="S19" t="s">
        <v>219</v>
      </c>
      <c r="T19" t="s">
        <v>176</v>
      </c>
      <c r="U19">
        <v>1.9917566708296815E-2</v>
      </c>
      <c r="V19" t="s">
        <v>168</v>
      </c>
      <c r="X19">
        <v>2.4771689497716895E-2</v>
      </c>
      <c r="Y19">
        <v>2.5587350520846285E-2</v>
      </c>
      <c r="Z19" t="s">
        <v>176</v>
      </c>
      <c r="AA19" t="s">
        <v>25</v>
      </c>
      <c r="AC19" t="s">
        <v>22</v>
      </c>
      <c r="AD19" t="s">
        <v>176</v>
      </c>
      <c r="AE19">
        <v>2.7916675840701639E-2</v>
      </c>
      <c r="AG19" t="s">
        <v>96</v>
      </c>
      <c r="AH19" t="s">
        <v>176</v>
      </c>
      <c r="AI19">
        <v>0.15671262134874397</v>
      </c>
      <c r="AK19">
        <v>2022</v>
      </c>
      <c r="AL19" t="s">
        <v>163</v>
      </c>
      <c r="AM19">
        <v>0.15407642190526499</v>
      </c>
      <c r="AN19" t="s">
        <v>247</v>
      </c>
    </row>
    <row r="20" spans="9:40" x14ac:dyDescent="0.45">
      <c r="I20" t="s">
        <v>177</v>
      </c>
      <c r="J20" t="s">
        <v>167</v>
      </c>
      <c r="K20">
        <v>7.2816599415559862E-3</v>
      </c>
      <c r="L20" t="s">
        <v>168</v>
      </c>
      <c r="N20" t="s">
        <v>201</v>
      </c>
      <c r="O20" t="s">
        <v>167</v>
      </c>
      <c r="P20">
        <v>7.5816686875517222E-2</v>
      </c>
      <c r="Q20" t="s">
        <v>168</v>
      </c>
      <c r="S20" t="s">
        <v>220</v>
      </c>
      <c r="T20" t="s">
        <v>167</v>
      </c>
      <c r="U20">
        <v>7.5355410804570908E-2</v>
      </c>
      <c r="V20" t="s">
        <v>168</v>
      </c>
      <c r="AC20" t="s">
        <v>19</v>
      </c>
      <c r="AD20" t="s">
        <v>167</v>
      </c>
      <c r="AE20">
        <v>5.9897088419321287E-2</v>
      </c>
      <c r="AK20">
        <v>2025</v>
      </c>
      <c r="AL20" t="s">
        <v>157</v>
      </c>
      <c r="AM20">
        <v>0.19159999999999999</v>
      </c>
      <c r="AN20" t="s">
        <v>247</v>
      </c>
    </row>
    <row r="21" spans="9:40" x14ac:dyDescent="0.45">
      <c r="I21" t="s">
        <v>177</v>
      </c>
      <c r="J21" t="s">
        <v>169</v>
      </c>
      <c r="K21">
        <v>0.10071255658294068</v>
      </c>
      <c r="L21" t="s">
        <v>168</v>
      </c>
      <c r="N21" t="s">
        <v>201</v>
      </c>
      <c r="O21" t="s">
        <v>169</v>
      </c>
      <c r="P21">
        <v>6.6024766790987136E-2</v>
      </c>
      <c r="Q21" t="s">
        <v>168</v>
      </c>
      <c r="S21" t="s">
        <v>220</v>
      </c>
      <c r="T21" t="s">
        <v>169</v>
      </c>
      <c r="U21">
        <v>5.8881582216387514E-2</v>
      </c>
      <c r="V21" t="s">
        <v>168</v>
      </c>
      <c r="AC21" t="s">
        <v>19</v>
      </c>
      <c r="AD21" t="s">
        <v>169</v>
      </c>
      <c r="AE21">
        <v>5.4522625014706443E-2</v>
      </c>
      <c r="AK21">
        <v>2025</v>
      </c>
      <c r="AL21" t="s">
        <v>161</v>
      </c>
      <c r="AM21">
        <v>0.28716666666666663</v>
      </c>
      <c r="AN21" t="s">
        <v>247</v>
      </c>
    </row>
    <row r="22" spans="9:40" x14ac:dyDescent="0.45">
      <c r="I22" t="s">
        <v>177</v>
      </c>
      <c r="J22" t="s">
        <v>170</v>
      </c>
      <c r="K22">
        <v>2.562687569915401E-3</v>
      </c>
      <c r="L22" t="s">
        <v>168</v>
      </c>
      <c r="N22" t="s">
        <v>201</v>
      </c>
      <c r="O22" t="s">
        <v>170</v>
      </c>
      <c r="P22">
        <v>5.8104259023230541E-2</v>
      </c>
      <c r="Q22" t="s">
        <v>168</v>
      </c>
      <c r="S22" t="s">
        <v>220</v>
      </c>
      <c r="T22" t="s">
        <v>170</v>
      </c>
      <c r="U22">
        <v>6.2155866275993982E-2</v>
      </c>
      <c r="V22" t="s">
        <v>168</v>
      </c>
      <c r="AC22" t="s">
        <v>19</v>
      </c>
      <c r="AD22" t="s">
        <v>170</v>
      </c>
      <c r="AE22">
        <v>4.7367524454368252E-2</v>
      </c>
      <c r="AK22">
        <v>2025</v>
      </c>
      <c r="AL22" t="s">
        <v>163</v>
      </c>
      <c r="AM22">
        <v>0.24490000000000001</v>
      </c>
      <c r="AN22" t="s">
        <v>247</v>
      </c>
    </row>
    <row r="23" spans="9:40" x14ac:dyDescent="0.45">
      <c r="I23" t="s">
        <v>177</v>
      </c>
      <c r="J23" t="s">
        <v>171</v>
      </c>
      <c r="K23">
        <v>0.14696926558864415</v>
      </c>
      <c r="L23" t="s">
        <v>168</v>
      </c>
      <c r="N23" t="s">
        <v>201</v>
      </c>
      <c r="O23" t="s">
        <v>171</v>
      </c>
      <c r="P23">
        <v>0.25874436405065465</v>
      </c>
      <c r="Q23" t="s">
        <v>168</v>
      </c>
      <c r="S23" t="s">
        <v>220</v>
      </c>
      <c r="T23" t="s">
        <v>171</v>
      </c>
      <c r="U23">
        <v>0.28071728472858987</v>
      </c>
      <c r="V23" t="s">
        <v>168</v>
      </c>
      <c r="AC23" t="s">
        <v>19</v>
      </c>
      <c r="AD23" t="s">
        <v>171</v>
      </c>
      <c r="AE23">
        <v>0.27966398607616927</v>
      </c>
      <c r="AK23">
        <v>2026</v>
      </c>
      <c r="AL23" t="s">
        <v>157</v>
      </c>
      <c r="AM23">
        <v>0.13995000000000002</v>
      </c>
      <c r="AN23" t="s">
        <v>247</v>
      </c>
    </row>
    <row r="24" spans="9:40" x14ac:dyDescent="0.45">
      <c r="I24" t="s">
        <v>177</v>
      </c>
      <c r="J24" t="s">
        <v>172</v>
      </c>
      <c r="K24">
        <v>0.62400520476966137</v>
      </c>
      <c r="L24" t="s">
        <v>168</v>
      </c>
      <c r="N24" t="s">
        <v>201</v>
      </c>
      <c r="O24" t="s">
        <v>172</v>
      </c>
      <c r="P24">
        <v>0.24043395122425507</v>
      </c>
      <c r="Q24" t="s">
        <v>168</v>
      </c>
      <c r="S24" t="s">
        <v>220</v>
      </c>
      <c r="T24" t="s">
        <v>172</v>
      </c>
      <c r="U24">
        <v>0.2141445573119902</v>
      </c>
      <c r="V24" t="s">
        <v>168</v>
      </c>
      <c r="AC24" t="s">
        <v>19</v>
      </c>
      <c r="AD24" t="s">
        <v>172</v>
      </c>
      <c r="AE24">
        <v>0.25323592000366496</v>
      </c>
      <c r="AK24">
        <v>2026</v>
      </c>
      <c r="AL24" t="s">
        <v>161</v>
      </c>
      <c r="AM24">
        <v>0.21811111111111112</v>
      </c>
      <c r="AN24" t="s">
        <v>247</v>
      </c>
    </row>
    <row r="25" spans="9:40" x14ac:dyDescent="0.45">
      <c r="I25" t="s">
        <v>177</v>
      </c>
      <c r="J25" t="s">
        <v>173</v>
      </c>
      <c r="K25">
        <v>7.3428502779249172E-2</v>
      </c>
      <c r="L25" t="s">
        <v>168</v>
      </c>
      <c r="N25" t="s">
        <v>201</v>
      </c>
      <c r="O25" t="s">
        <v>173</v>
      </c>
      <c r="P25">
        <v>0.21829122683344851</v>
      </c>
      <c r="Q25" t="s">
        <v>168</v>
      </c>
      <c r="S25" t="s">
        <v>220</v>
      </c>
      <c r="T25" t="s">
        <v>173</v>
      </c>
      <c r="U25">
        <v>0.22338933030194125</v>
      </c>
      <c r="V25" t="s">
        <v>168</v>
      </c>
      <c r="AC25" t="s">
        <v>19</v>
      </c>
      <c r="AD25" t="s">
        <v>173</v>
      </c>
      <c r="AE25">
        <v>0.2203307295681477</v>
      </c>
      <c r="AK25">
        <v>2026</v>
      </c>
      <c r="AL25" t="s">
        <v>163</v>
      </c>
      <c r="AM25">
        <v>0.15559999999999999</v>
      </c>
      <c r="AN25" t="s">
        <v>247</v>
      </c>
    </row>
    <row r="26" spans="9:40" x14ac:dyDescent="0.45">
      <c r="I26" t="s">
        <v>177</v>
      </c>
      <c r="J26" t="s">
        <v>174</v>
      </c>
      <c r="K26">
        <v>2.7406934032341112E-3</v>
      </c>
      <c r="L26" t="s">
        <v>168</v>
      </c>
      <c r="N26" t="s">
        <v>201</v>
      </c>
      <c r="O26" t="s">
        <v>174</v>
      </c>
      <c r="P26">
        <v>3.2548142089154665E-2</v>
      </c>
      <c r="Q26" t="s">
        <v>168</v>
      </c>
      <c r="S26" t="s">
        <v>220</v>
      </c>
      <c r="T26" t="s">
        <v>174</v>
      </c>
      <c r="U26">
        <v>3.3084229285939501E-2</v>
      </c>
      <c r="V26" t="s">
        <v>168</v>
      </c>
      <c r="AC26" t="s">
        <v>19</v>
      </c>
      <c r="AD26" t="s">
        <v>174</v>
      </c>
      <c r="AE26">
        <v>3.1492060068141987E-2</v>
      </c>
      <c r="AK26">
        <v>2027</v>
      </c>
      <c r="AL26" t="s">
        <v>157</v>
      </c>
      <c r="AM26">
        <v>0.1575</v>
      </c>
      <c r="AN26" t="s">
        <v>247</v>
      </c>
    </row>
    <row r="27" spans="9:40" x14ac:dyDescent="0.45">
      <c r="I27" t="s">
        <v>177</v>
      </c>
      <c r="J27" t="s">
        <v>175</v>
      </c>
      <c r="K27">
        <v>4.2299429364796359E-2</v>
      </c>
      <c r="L27" t="s">
        <v>168</v>
      </c>
      <c r="N27" t="s">
        <v>201</v>
      </c>
      <c r="O27" t="s">
        <v>175</v>
      </c>
      <c r="P27">
        <v>2.6305322325455089E-2</v>
      </c>
      <c r="Q27" t="s">
        <v>168</v>
      </c>
      <c r="S27" t="s">
        <v>220</v>
      </c>
      <c r="T27" t="s">
        <v>175</v>
      </c>
      <c r="U27">
        <v>3.0717610306225357E-2</v>
      </c>
      <c r="V27" t="s">
        <v>168</v>
      </c>
      <c r="AC27" t="s">
        <v>19</v>
      </c>
      <c r="AD27" t="s">
        <v>175</v>
      </c>
      <c r="AE27">
        <v>2.8602752406599194E-2</v>
      </c>
      <c r="AK27">
        <v>2027</v>
      </c>
      <c r="AL27" t="s">
        <v>161</v>
      </c>
      <c r="AM27">
        <v>0.21561111111111111</v>
      </c>
      <c r="AN27" t="s">
        <v>247</v>
      </c>
    </row>
    <row r="28" spans="9:40" x14ac:dyDescent="0.45">
      <c r="I28" t="s">
        <v>177</v>
      </c>
      <c r="J28" t="s">
        <v>176</v>
      </c>
      <c r="K28">
        <v>0</v>
      </c>
      <c r="L28" t="s">
        <v>168</v>
      </c>
      <c r="N28" t="s">
        <v>201</v>
      </c>
      <c r="O28" t="s">
        <v>176</v>
      </c>
      <c r="P28">
        <v>2.3731280787296857E-2</v>
      </c>
      <c r="Q28" t="s">
        <v>168</v>
      </c>
      <c r="S28" t="s">
        <v>220</v>
      </c>
      <c r="T28" t="s">
        <v>176</v>
      </c>
      <c r="U28">
        <v>2.1554128768361033E-2</v>
      </c>
      <c r="V28" t="s">
        <v>168</v>
      </c>
      <c r="AC28" t="s">
        <v>19</v>
      </c>
      <c r="AD28" t="s">
        <v>176</v>
      </c>
      <c r="AE28">
        <v>2.4887313988880978E-2</v>
      </c>
      <c r="AK28">
        <v>2027</v>
      </c>
      <c r="AL28" t="s">
        <v>163</v>
      </c>
      <c r="AM28">
        <v>0.17130000000000001</v>
      </c>
      <c r="AN28" t="s">
        <v>247</v>
      </c>
    </row>
    <row r="29" spans="9:40" x14ac:dyDescent="0.45">
      <c r="I29" t="s">
        <v>178</v>
      </c>
      <c r="J29" t="s">
        <v>167</v>
      </c>
      <c r="K29">
        <v>8.2697007138676695E-3</v>
      </c>
      <c r="L29" t="s">
        <v>168</v>
      </c>
      <c r="N29" t="s">
        <v>202</v>
      </c>
      <c r="O29" t="s">
        <v>167</v>
      </c>
      <c r="P29">
        <v>8.201697086977916E-2</v>
      </c>
      <c r="Q29" t="s">
        <v>168</v>
      </c>
      <c r="S29" t="s">
        <v>221</v>
      </c>
      <c r="T29" t="s">
        <v>167</v>
      </c>
      <c r="U29">
        <v>7.6609734852472938E-2</v>
      </c>
      <c r="V29" t="s">
        <v>168</v>
      </c>
      <c r="AK29">
        <v>2028</v>
      </c>
      <c r="AL29" t="s">
        <v>157</v>
      </c>
      <c r="AM29">
        <v>0.16794999999999999</v>
      </c>
      <c r="AN29" t="s">
        <v>247</v>
      </c>
    </row>
    <row r="30" spans="9:40" x14ac:dyDescent="0.45">
      <c r="I30" t="s">
        <v>178</v>
      </c>
      <c r="J30" t="s">
        <v>169</v>
      </c>
      <c r="K30">
        <v>0.1043393703558444</v>
      </c>
      <c r="L30" t="s">
        <v>168</v>
      </c>
      <c r="N30" t="s">
        <v>202</v>
      </c>
      <c r="O30" t="s">
        <v>169</v>
      </c>
      <c r="P30">
        <v>7.4909594457701525E-2</v>
      </c>
      <c r="Q30" t="s">
        <v>168</v>
      </c>
      <c r="S30" t="s">
        <v>221</v>
      </c>
      <c r="T30" t="s">
        <v>169</v>
      </c>
      <c r="U30">
        <v>6.3459413348620361E-2</v>
      </c>
      <c r="V30" t="s">
        <v>168</v>
      </c>
      <c r="AK30">
        <v>2028</v>
      </c>
      <c r="AL30" t="s">
        <v>161</v>
      </c>
      <c r="AM30">
        <v>0.25663333333333338</v>
      </c>
      <c r="AN30" t="s">
        <v>247</v>
      </c>
    </row>
    <row r="31" spans="9:40" x14ac:dyDescent="0.45">
      <c r="I31" t="s">
        <v>178</v>
      </c>
      <c r="J31" t="s">
        <v>170</v>
      </c>
      <c r="K31">
        <v>3.1007800652300579E-3</v>
      </c>
      <c r="L31" t="s">
        <v>168</v>
      </c>
      <c r="N31" t="s">
        <v>202</v>
      </c>
      <c r="O31" t="s">
        <v>170</v>
      </c>
      <c r="P31">
        <v>6.5044374398762136E-2</v>
      </c>
      <c r="Q31" t="s">
        <v>168</v>
      </c>
      <c r="S31" t="s">
        <v>221</v>
      </c>
      <c r="T31" t="s">
        <v>170</v>
      </c>
      <c r="U31">
        <v>6.3314425402537206E-2</v>
      </c>
      <c r="V31" t="s">
        <v>168</v>
      </c>
      <c r="AK31">
        <v>2028</v>
      </c>
      <c r="AL31" t="s">
        <v>163</v>
      </c>
      <c r="AM31">
        <v>0.1885</v>
      </c>
      <c r="AN31" t="s">
        <v>247</v>
      </c>
    </row>
    <row r="32" spans="9:40" x14ac:dyDescent="0.45">
      <c r="I32" t="s">
        <v>178</v>
      </c>
      <c r="J32" t="s">
        <v>171</v>
      </c>
      <c r="K32">
        <v>0.1501459809627812</v>
      </c>
      <c r="L32" t="s">
        <v>168</v>
      </c>
      <c r="N32" t="s">
        <v>202</v>
      </c>
      <c r="O32" t="s">
        <v>171</v>
      </c>
      <c r="P32">
        <v>0.23552681968523678</v>
      </c>
      <c r="Q32" t="s">
        <v>168</v>
      </c>
      <c r="S32" t="s">
        <v>221</v>
      </c>
      <c r="T32" t="s">
        <v>171</v>
      </c>
      <c r="U32">
        <v>0.28215069472621174</v>
      </c>
      <c r="V32" t="s">
        <v>168</v>
      </c>
      <c r="AK32">
        <v>2029</v>
      </c>
      <c r="AL32" t="s">
        <v>157</v>
      </c>
      <c r="AM32">
        <v>0.17860000000000001</v>
      </c>
      <c r="AN32" t="s">
        <v>247</v>
      </c>
    </row>
    <row r="33" spans="9:40" x14ac:dyDescent="0.45">
      <c r="I33" t="s">
        <v>178</v>
      </c>
      <c r="J33" t="s">
        <v>172</v>
      </c>
      <c r="K33">
        <v>0.61328892788522105</v>
      </c>
      <c r="L33" t="s">
        <v>168</v>
      </c>
      <c r="N33" t="s">
        <v>202</v>
      </c>
      <c r="O33" t="s">
        <v>172</v>
      </c>
      <c r="P33">
        <v>0.24146973295026691</v>
      </c>
      <c r="Q33" t="s">
        <v>168</v>
      </c>
      <c r="S33" t="s">
        <v>221</v>
      </c>
      <c r="T33" t="s">
        <v>172</v>
      </c>
      <c r="U33">
        <v>0.21495383894195105</v>
      </c>
      <c r="V33" t="s">
        <v>168</v>
      </c>
      <c r="AK33">
        <v>2029</v>
      </c>
      <c r="AL33" t="s">
        <v>161</v>
      </c>
      <c r="AM33">
        <v>0.24352222222222222</v>
      </c>
      <c r="AN33" t="s">
        <v>247</v>
      </c>
    </row>
    <row r="34" spans="9:40" x14ac:dyDescent="0.45">
      <c r="I34" t="s">
        <v>178</v>
      </c>
      <c r="J34" t="s">
        <v>173</v>
      </c>
      <c r="K34">
        <v>7.1596044863831157E-2</v>
      </c>
      <c r="L34" t="s">
        <v>168</v>
      </c>
      <c r="N34" t="s">
        <v>202</v>
      </c>
      <c r="O34" t="s">
        <v>173</v>
      </c>
      <c r="P34">
        <v>0.2128236551187597</v>
      </c>
      <c r="Q34" t="s">
        <v>168</v>
      </c>
      <c r="S34" t="s">
        <v>221</v>
      </c>
      <c r="T34" t="s">
        <v>173</v>
      </c>
      <c r="U34">
        <v>0.2310326659456384</v>
      </c>
      <c r="V34" t="s">
        <v>168</v>
      </c>
      <c r="AK34">
        <v>2029</v>
      </c>
      <c r="AL34" t="s">
        <v>163</v>
      </c>
      <c r="AM34">
        <v>0.1898</v>
      </c>
      <c r="AN34" t="s">
        <v>247</v>
      </c>
    </row>
    <row r="35" spans="9:40" x14ac:dyDescent="0.45">
      <c r="I35" t="s">
        <v>178</v>
      </c>
      <c r="J35" t="s">
        <v>174</v>
      </c>
      <c r="K35">
        <v>3.4576674149165631E-3</v>
      </c>
      <c r="L35" t="s">
        <v>168</v>
      </c>
      <c r="N35" t="s">
        <v>202</v>
      </c>
      <c r="O35" t="s">
        <v>174</v>
      </c>
      <c r="P35">
        <v>3.7506620272786659E-2</v>
      </c>
      <c r="Q35" t="s">
        <v>168</v>
      </c>
      <c r="S35" t="s">
        <v>221</v>
      </c>
      <c r="T35" t="s">
        <v>174</v>
      </c>
      <c r="U35">
        <v>2.6915330695089817E-2</v>
      </c>
      <c r="V35" t="s">
        <v>168</v>
      </c>
      <c r="AK35">
        <v>2030</v>
      </c>
      <c r="AL35" t="s">
        <v>157</v>
      </c>
      <c r="AM35">
        <v>0.17745</v>
      </c>
      <c r="AN35" t="s">
        <v>247</v>
      </c>
    </row>
    <row r="36" spans="9:40" x14ac:dyDescent="0.45">
      <c r="I36" t="s">
        <v>178</v>
      </c>
      <c r="J36" t="s">
        <v>175</v>
      </c>
      <c r="K36">
        <v>4.5801527738311608E-2</v>
      </c>
      <c r="L36" t="s">
        <v>168</v>
      </c>
      <c r="N36" t="s">
        <v>202</v>
      </c>
      <c r="O36" t="s">
        <v>175</v>
      </c>
      <c r="P36">
        <v>2.6712644299650236E-2</v>
      </c>
      <c r="Q36" t="s">
        <v>168</v>
      </c>
      <c r="S36" t="s">
        <v>221</v>
      </c>
      <c r="T36" t="s">
        <v>175</v>
      </c>
      <c r="U36">
        <v>2.308244354058225E-2</v>
      </c>
      <c r="V36" t="s">
        <v>168</v>
      </c>
      <c r="AK36">
        <v>2030</v>
      </c>
      <c r="AL36" t="s">
        <v>161</v>
      </c>
      <c r="AM36">
        <v>0.2543555555555555</v>
      </c>
      <c r="AN36" t="s">
        <v>247</v>
      </c>
    </row>
    <row r="37" spans="9:40" x14ac:dyDescent="0.45">
      <c r="I37" t="s">
        <v>178</v>
      </c>
      <c r="J37" t="s">
        <v>176</v>
      </c>
      <c r="K37">
        <v>0</v>
      </c>
      <c r="L37" t="s">
        <v>168</v>
      </c>
      <c r="N37" t="s">
        <v>202</v>
      </c>
      <c r="O37" t="s">
        <v>176</v>
      </c>
      <c r="P37">
        <v>2.3989587947053935E-2</v>
      </c>
      <c r="Q37" t="s">
        <v>168</v>
      </c>
      <c r="S37" t="s">
        <v>221</v>
      </c>
      <c r="T37" t="s">
        <v>176</v>
      </c>
      <c r="U37">
        <v>1.8481452546902862E-2</v>
      </c>
      <c r="V37" t="s">
        <v>168</v>
      </c>
      <c r="AK37">
        <v>2030</v>
      </c>
      <c r="AL37" t="s">
        <v>163</v>
      </c>
      <c r="AM37">
        <v>0.18240000000000001</v>
      </c>
      <c r="AN37" t="s">
        <v>247</v>
      </c>
    </row>
    <row r="38" spans="9:40" x14ac:dyDescent="0.45">
      <c r="I38" t="s">
        <v>179</v>
      </c>
      <c r="J38" t="s">
        <v>167</v>
      </c>
      <c r="K38">
        <v>8.2928763438930471E-3</v>
      </c>
      <c r="L38" t="s">
        <v>168</v>
      </c>
      <c r="N38" t="s">
        <v>203</v>
      </c>
      <c r="O38" t="s">
        <v>167</v>
      </c>
      <c r="P38">
        <v>7.2875410662258569E-2</v>
      </c>
      <c r="Q38" t="s">
        <v>168</v>
      </c>
      <c r="S38" t="s">
        <v>222</v>
      </c>
      <c r="T38" t="s">
        <v>167</v>
      </c>
      <c r="U38">
        <v>8.9387021101829181E-2</v>
      </c>
      <c r="V38" t="s">
        <v>168</v>
      </c>
      <c r="AK38">
        <v>2031</v>
      </c>
      <c r="AL38" t="s">
        <v>157</v>
      </c>
      <c r="AM38">
        <v>0.17804999999999999</v>
      </c>
      <c r="AN38" t="s">
        <v>247</v>
      </c>
    </row>
    <row r="39" spans="9:40" x14ac:dyDescent="0.45">
      <c r="I39" t="s">
        <v>179</v>
      </c>
      <c r="J39" t="s">
        <v>169</v>
      </c>
      <c r="K39">
        <v>0.11295250379817622</v>
      </c>
      <c r="L39" t="s">
        <v>168</v>
      </c>
      <c r="N39" t="s">
        <v>203</v>
      </c>
      <c r="O39" t="s">
        <v>169</v>
      </c>
      <c r="P39">
        <v>6.4185282724937925E-2</v>
      </c>
      <c r="Q39" t="s">
        <v>168</v>
      </c>
      <c r="S39" t="s">
        <v>222</v>
      </c>
      <c r="T39" t="s">
        <v>169</v>
      </c>
      <c r="U39">
        <v>8.2235750743842914E-2</v>
      </c>
      <c r="V39" t="s">
        <v>168</v>
      </c>
      <c r="AK39">
        <v>2031</v>
      </c>
      <c r="AL39" t="s">
        <v>161</v>
      </c>
      <c r="AM39">
        <v>0.24632222222222222</v>
      </c>
      <c r="AN39" t="s">
        <v>247</v>
      </c>
    </row>
    <row r="40" spans="9:40" x14ac:dyDescent="0.45">
      <c r="I40" t="s">
        <v>179</v>
      </c>
      <c r="J40" t="s">
        <v>170</v>
      </c>
      <c r="K40">
        <v>3.2474065180134264E-3</v>
      </c>
      <c r="L40" t="s">
        <v>168</v>
      </c>
      <c r="N40" t="s">
        <v>203</v>
      </c>
      <c r="O40" t="s">
        <v>170</v>
      </c>
      <c r="P40">
        <v>6.1379895478240895E-2</v>
      </c>
      <c r="Q40" t="s">
        <v>168</v>
      </c>
      <c r="S40" t="s">
        <v>222</v>
      </c>
      <c r="T40" t="s">
        <v>170</v>
      </c>
      <c r="U40">
        <v>7.848172251665847E-2</v>
      </c>
      <c r="V40" t="s">
        <v>168</v>
      </c>
      <c r="AK40">
        <v>2031</v>
      </c>
      <c r="AL40" t="s">
        <v>163</v>
      </c>
      <c r="AM40">
        <v>0.20860000000000001</v>
      </c>
      <c r="AN40" t="s">
        <v>247</v>
      </c>
    </row>
    <row r="41" spans="9:40" x14ac:dyDescent="0.45">
      <c r="I41" t="s">
        <v>179</v>
      </c>
      <c r="J41" t="s">
        <v>171</v>
      </c>
      <c r="K41">
        <v>0.14071298531014034</v>
      </c>
      <c r="L41" t="s">
        <v>168</v>
      </c>
      <c r="N41" t="s">
        <v>203</v>
      </c>
      <c r="O41" t="s">
        <v>171</v>
      </c>
      <c r="P41">
        <v>0.25077752806673487</v>
      </c>
      <c r="Q41" t="s">
        <v>168</v>
      </c>
      <c r="S41" t="s">
        <v>222</v>
      </c>
      <c r="T41" t="s">
        <v>171</v>
      </c>
      <c r="U41">
        <v>0.25510794299257933</v>
      </c>
      <c r="V41" t="s">
        <v>168</v>
      </c>
      <c r="AK41">
        <v>2032</v>
      </c>
      <c r="AL41" t="s">
        <v>157</v>
      </c>
      <c r="AM41">
        <v>0.16930000000000001</v>
      </c>
      <c r="AN41" t="s">
        <v>247</v>
      </c>
    </row>
    <row r="42" spans="9:40" x14ac:dyDescent="0.45">
      <c r="I42" t="s">
        <v>179</v>
      </c>
      <c r="J42" t="s">
        <v>172</v>
      </c>
      <c r="K42">
        <v>0.60603674135531382</v>
      </c>
      <c r="L42" t="s">
        <v>168</v>
      </c>
      <c r="N42" t="s">
        <v>203</v>
      </c>
      <c r="O42" t="s">
        <v>172</v>
      </c>
      <c r="P42">
        <v>0.2398729566839041</v>
      </c>
      <c r="Q42" t="s">
        <v>168</v>
      </c>
      <c r="S42" t="s">
        <v>222</v>
      </c>
      <c r="T42" t="s">
        <v>172</v>
      </c>
      <c r="U42">
        <v>0.21330274662405457</v>
      </c>
      <c r="V42" t="s">
        <v>168</v>
      </c>
      <c r="AK42">
        <v>2032</v>
      </c>
      <c r="AL42" t="s">
        <v>161</v>
      </c>
      <c r="AM42">
        <v>0.24857777777777773</v>
      </c>
      <c r="AN42" t="s">
        <v>247</v>
      </c>
    </row>
    <row r="43" spans="9:40" x14ac:dyDescent="0.45">
      <c r="I43" t="s">
        <v>179</v>
      </c>
      <c r="J43" t="s">
        <v>173</v>
      </c>
      <c r="K43">
        <v>7.3074052507618795E-2</v>
      </c>
      <c r="L43" t="s">
        <v>168</v>
      </c>
      <c r="N43" t="s">
        <v>203</v>
      </c>
      <c r="O43" t="s">
        <v>173</v>
      </c>
      <c r="P43">
        <v>0.19204745214749583</v>
      </c>
      <c r="Q43" t="s">
        <v>168</v>
      </c>
      <c r="S43" t="s">
        <v>222</v>
      </c>
      <c r="T43" t="s">
        <v>173</v>
      </c>
      <c r="U43">
        <v>0.19934569992488332</v>
      </c>
      <c r="V43" t="s">
        <v>168</v>
      </c>
      <c r="AK43">
        <v>2032</v>
      </c>
      <c r="AL43" t="s">
        <v>163</v>
      </c>
      <c r="AM43">
        <v>0.21590000000000001</v>
      </c>
      <c r="AN43" t="s">
        <v>247</v>
      </c>
    </row>
    <row r="44" spans="9:40" x14ac:dyDescent="0.45">
      <c r="I44" t="s">
        <v>179</v>
      </c>
      <c r="J44" t="s">
        <v>174</v>
      </c>
      <c r="K44">
        <v>3.7337416903496616E-3</v>
      </c>
      <c r="L44" t="s">
        <v>168</v>
      </c>
      <c r="N44" t="s">
        <v>203</v>
      </c>
      <c r="O44" t="s">
        <v>174</v>
      </c>
      <c r="P44">
        <v>4.8480522836495107E-2</v>
      </c>
      <c r="Q44" t="s">
        <v>168</v>
      </c>
      <c r="S44" t="s">
        <v>222</v>
      </c>
      <c r="T44" t="s">
        <v>174</v>
      </c>
      <c r="U44">
        <v>3.2371536929268141E-2</v>
      </c>
      <c r="V44" t="s">
        <v>168</v>
      </c>
      <c r="AK44">
        <v>2033</v>
      </c>
      <c r="AL44" t="s">
        <v>157</v>
      </c>
      <c r="AM44">
        <v>0.1794</v>
      </c>
      <c r="AN44" t="s">
        <v>247</v>
      </c>
    </row>
    <row r="45" spans="9:40" x14ac:dyDescent="0.45">
      <c r="I45" t="s">
        <v>179</v>
      </c>
      <c r="J45" t="s">
        <v>175</v>
      </c>
      <c r="K45">
        <v>5.1949692476494197E-2</v>
      </c>
      <c r="L45" t="s">
        <v>168</v>
      </c>
      <c r="N45" t="s">
        <v>203</v>
      </c>
      <c r="O45" t="s">
        <v>175</v>
      </c>
      <c r="P45">
        <v>3.6999295134682503E-2</v>
      </c>
      <c r="Q45" t="s">
        <v>168</v>
      </c>
      <c r="S45" t="s">
        <v>222</v>
      </c>
      <c r="T45" t="s">
        <v>175</v>
      </c>
      <c r="U45">
        <v>2.7954523806777265E-2</v>
      </c>
      <c r="V45" t="s">
        <v>168</v>
      </c>
      <c r="AK45">
        <v>2033</v>
      </c>
      <c r="AL45" t="s">
        <v>161</v>
      </c>
      <c r="AM45">
        <v>0.24190000000000003</v>
      </c>
      <c r="AN45" t="s">
        <v>247</v>
      </c>
    </row>
    <row r="46" spans="9:40" x14ac:dyDescent="0.45">
      <c r="I46" t="s">
        <v>179</v>
      </c>
      <c r="J46" t="s">
        <v>176</v>
      </c>
      <c r="K46">
        <v>0</v>
      </c>
      <c r="L46" t="s">
        <v>168</v>
      </c>
      <c r="N46" t="s">
        <v>203</v>
      </c>
      <c r="O46" t="s">
        <v>176</v>
      </c>
      <c r="P46">
        <v>3.3381656265247292E-2</v>
      </c>
      <c r="Q46" t="s">
        <v>168</v>
      </c>
      <c r="S46" t="s">
        <v>222</v>
      </c>
      <c r="T46" t="s">
        <v>176</v>
      </c>
      <c r="U46">
        <v>2.1813055360106859E-2</v>
      </c>
      <c r="V46" t="s">
        <v>168</v>
      </c>
      <c r="AK46">
        <v>2033</v>
      </c>
      <c r="AL46" t="s">
        <v>163</v>
      </c>
      <c r="AM46">
        <v>0.2135</v>
      </c>
      <c r="AN46" t="s">
        <v>247</v>
      </c>
    </row>
    <row r="47" spans="9:40" x14ac:dyDescent="0.45">
      <c r="I47" t="s">
        <v>180</v>
      </c>
      <c r="J47" t="s">
        <v>167</v>
      </c>
      <c r="K47">
        <v>8.2085411512177586E-3</v>
      </c>
      <c r="L47" t="s">
        <v>168</v>
      </c>
      <c r="N47" t="s">
        <v>204</v>
      </c>
      <c r="O47" t="s">
        <v>167</v>
      </c>
      <c r="P47">
        <v>6.6585977890496792E-2</v>
      </c>
      <c r="Q47" t="s">
        <v>168</v>
      </c>
      <c r="S47" t="s">
        <v>223</v>
      </c>
      <c r="T47" t="s">
        <v>167</v>
      </c>
      <c r="U47">
        <v>8.4361538539169723E-2</v>
      </c>
      <c r="V47" t="s">
        <v>168</v>
      </c>
      <c r="AK47">
        <v>2034</v>
      </c>
      <c r="AL47" t="s">
        <v>157</v>
      </c>
      <c r="AM47">
        <v>0.16909999999999997</v>
      </c>
      <c r="AN47" t="s">
        <v>247</v>
      </c>
    </row>
    <row r="48" spans="9:40" x14ac:dyDescent="0.45">
      <c r="I48" t="s">
        <v>180</v>
      </c>
      <c r="J48" t="s">
        <v>169</v>
      </c>
      <c r="K48">
        <v>0.10810517092512544</v>
      </c>
      <c r="L48" t="s">
        <v>168</v>
      </c>
      <c r="N48" t="s">
        <v>204</v>
      </c>
      <c r="O48" t="s">
        <v>169</v>
      </c>
      <c r="P48">
        <v>5.8514887365175648E-2</v>
      </c>
      <c r="Q48" t="s">
        <v>168</v>
      </c>
      <c r="S48" t="s">
        <v>223</v>
      </c>
      <c r="T48" t="s">
        <v>169</v>
      </c>
      <c r="U48">
        <v>7.3541820942445837E-2</v>
      </c>
      <c r="V48" t="s">
        <v>168</v>
      </c>
      <c r="AK48">
        <v>2034</v>
      </c>
      <c r="AL48" t="s">
        <v>161</v>
      </c>
      <c r="AM48">
        <v>0.25573333333333337</v>
      </c>
      <c r="AN48" t="s">
        <v>247</v>
      </c>
    </row>
    <row r="49" spans="9:40" x14ac:dyDescent="0.45">
      <c r="I49" t="s">
        <v>180</v>
      </c>
      <c r="J49" t="s">
        <v>170</v>
      </c>
      <c r="K49">
        <v>1.9276130043607369E-3</v>
      </c>
      <c r="L49" t="s">
        <v>168</v>
      </c>
      <c r="N49" t="s">
        <v>204</v>
      </c>
      <c r="O49" t="s">
        <v>170</v>
      </c>
      <c r="P49">
        <v>4.8312147144111639E-2</v>
      </c>
      <c r="Q49" t="s">
        <v>168</v>
      </c>
      <c r="S49" t="s">
        <v>223</v>
      </c>
      <c r="T49" t="s">
        <v>170</v>
      </c>
      <c r="U49">
        <v>7.2862872331929604E-2</v>
      </c>
      <c r="V49" t="s">
        <v>168</v>
      </c>
      <c r="AK49">
        <v>2034</v>
      </c>
      <c r="AL49" t="s">
        <v>163</v>
      </c>
      <c r="AM49">
        <v>0.2054</v>
      </c>
      <c r="AN49" t="s">
        <v>247</v>
      </c>
    </row>
    <row r="50" spans="9:40" x14ac:dyDescent="0.45">
      <c r="I50" t="s">
        <v>180</v>
      </c>
      <c r="J50" t="s">
        <v>171</v>
      </c>
      <c r="K50">
        <v>0.14295545018540179</v>
      </c>
      <c r="L50" t="s">
        <v>168</v>
      </c>
      <c r="N50" t="s">
        <v>204</v>
      </c>
      <c r="O50" t="s">
        <v>171</v>
      </c>
      <c r="P50">
        <v>0.27103115086992802</v>
      </c>
      <c r="Q50" t="s">
        <v>168</v>
      </c>
      <c r="S50" t="s">
        <v>223</v>
      </c>
      <c r="T50" t="s">
        <v>171</v>
      </c>
      <c r="U50">
        <v>0.27303265279334049</v>
      </c>
      <c r="V50" t="s">
        <v>168</v>
      </c>
      <c r="AK50">
        <v>2035</v>
      </c>
      <c r="AL50" t="s">
        <v>157</v>
      </c>
      <c r="AM50">
        <v>0.17030000000000001</v>
      </c>
      <c r="AN50" t="s">
        <v>247</v>
      </c>
    </row>
    <row r="51" spans="9:40" x14ac:dyDescent="0.45">
      <c r="I51" t="s">
        <v>180</v>
      </c>
      <c r="J51" t="s">
        <v>172</v>
      </c>
      <c r="K51">
        <v>0.62872055151863437</v>
      </c>
      <c r="L51" t="s">
        <v>168</v>
      </c>
      <c r="N51" t="s">
        <v>204</v>
      </c>
      <c r="O51" t="s">
        <v>172</v>
      </c>
      <c r="P51">
        <v>0.25457559777379657</v>
      </c>
      <c r="Q51" t="s">
        <v>168</v>
      </c>
      <c r="S51" t="s">
        <v>223</v>
      </c>
      <c r="T51" t="s">
        <v>172</v>
      </c>
      <c r="U51">
        <v>0.212525216210804</v>
      </c>
      <c r="V51" t="s">
        <v>168</v>
      </c>
      <c r="AK51">
        <v>2035</v>
      </c>
      <c r="AL51" t="s">
        <v>161</v>
      </c>
      <c r="AM51">
        <v>0.24650000000000002</v>
      </c>
      <c r="AN51" t="s">
        <v>247</v>
      </c>
    </row>
    <row r="52" spans="9:40" x14ac:dyDescent="0.45">
      <c r="I52" t="s">
        <v>180</v>
      </c>
      <c r="J52" t="s">
        <v>173</v>
      </c>
      <c r="K52">
        <v>5.813668175799129E-2</v>
      </c>
      <c r="L52" t="s">
        <v>168</v>
      </c>
      <c r="N52" t="s">
        <v>204</v>
      </c>
      <c r="O52" t="s">
        <v>173</v>
      </c>
      <c r="P52">
        <v>0.20755359410228869</v>
      </c>
      <c r="Q52" t="s">
        <v>168</v>
      </c>
      <c r="S52" t="s">
        <v>223</v>
      </c>
      <c r="T52" t="s">
        <v>173</v>
      </c>
      <c r="U52">
        <v>0.21118382676870853</v>
      </c>
      <c r="V52" t="s">
        <v>168</v>
      </c>
      <c r="AK52">
        <v>2035</v>
      </c>
      <c r="AL52" t="s">
        <v>163</v>
      </c>
      <c r="AM52">
        <v>0.215</v>
      </c>
      <c r="AN52" t="s">
        <v>247</v>
      </c>
    </row>
    <row r="53" spans="9:40" x14ac:dyDescent="0.45">
      <c r="I53" t="s">
        <v>180</v>
      </c>
      <c r="J53" t="s">
        <v>174</v>
      </c>
      <c r="K53">
        <v>3.7416376238600833E-3</v>
      </c>
      <c r="L53" t="s">
        <v>168</v>
      </c>
      <c r="N53" t="s">
        <v>204</v>
      </c>
      <c r="O53" t="s">
        <v>174</v>
      </c>
      <c r="P53">
        <v>3.9763371207495228E-2</v>
      </c>
      <c r="Q53" t="s">
        <v>168</v>
      </c>
      <c r="S53" t="s">
        <v>223</v>
      </c>
      <c r="T53" t="s">
        <v>174</v>
      </c>
      <c r="U53">
        <v>2.8469943654073192E-2</v>
      </c>
      <c r="V53" t="s">
        <v>168</v>
      </c>
      <c r="AK53">
        <v>2036</v>
      </c>
      <c r="AL53" t="s">
        <v>157</v>
      </c>
      <c r="AM53">
        <v>0.16935</v>
      </c>
      <c r="AN53" t="s">
        <v>247</v>
      </c>
    </row>
    <row r="54" spans="9:40" x14ac:dyDescent="0.45">
      <c r="I54" t="s">
        <v>180</v>
      </c>
      <c r="J54" t="s">
        <v>175</v>
      </c>
      <c r="K54">
        <v>4.8204353833408466E-2</v>
      </c>
      <c r="L54" t="s">
        <v>168</v>
      </c>
      <c r="N54" t="s">
        <v>204</v>
      </c>
      <c r="O54" t="s">
        <v>175</v>
      </c>
      <c r="P54">
        <v>2.928368839218793E-2</v>
      </c>
      <c r="Q54" t="s">
        <v>168</v>
      </c>
      <c r="S54" t="s">
        <v>223</v>
      </c>
      <c r="T54" t="s">
        <v>175</v>
      </c>
      <c r="U54">
        <v>2.4383884621827119E-2</v>
      </c>
      <c r="V54" t="s">
        <v>168</v>
      </c>
      <c r="AK54">
        <v>2036</v>
      </c>
      <c r="AL54" t="s">
        <v>161</v>
      </c>
      <c r="AM54">
        <v>0.24186666666666667</v>
      </c>
      <c r="AN54" t="s">
        <v>247</v>
      </c>
    </row>
    <row r="55" spans="9:40" x14ac:dyDescent="0.45">
      <c r="I55" t="s">
        <v>180</v>
      </c>
      <c r="J55" t="s">
        <v>176</v>
      </c>
      <c r="K55">
        <v>0</v>
      </c>
      <c r="L55" t="s">
        <v>168</v>
      </c>
      <c r="N55" t="s">
        <v>204</v>
      </c>
      <c r="O55" t="s">
        <v>176</v>
      </c>
      <c r="P55">
        <v>2.4379585254519564E-2</v>
      </c>
      <c r="Q55" t="s">
        <v>168</v>
      </c>
      <c r="S55" t="s">
        <v>223</v>
      </c>
      <c r="T55" t="s">
        <v>176</v>
      </c>
      <c r="U55">
        <v>1.9638244137705582E-2</v>
      </c>
      <c r="V55" t="s">
        <v>168</v>
      </c>
      <c r="AK55">
        <v>2036</v>
      </c>
      <c r="AL55" t="s">
        <v>163</v>
      </c>
      <c r="AM55">
        <v>0.21110000000000001</v>
      </c>
      <c r="AN55" t="s">
        <v>247</v>
      </c>
    </row>
    <row r="56" spans="9:40" x14ac:dyDescent="0.45">
      <c r="I56" t="s">
        <v>181</v>
      </c>
      <c r="J56" t="s">
        <v>167</v>
      </c>
      <c r="K56">
        <v>9.6059123534800277E-3</v>
      </c>
      <c r="L56" t="s">
        <v>168</v>
      </c>
      <c r="N56" t="s">
        <v>205</v>
      </c>
      <c r="O56" t="s">
        <v>167</v>
      </c>
      <c r="P56">
        <v>6.2770030972766275E-2</v>
      </c>
      <c r="Q56" t="s">
        <v>168</v>
      </c>
      <c r="S56" t="s">
        <v>224</v>
      </c>
      <c r="T56" t="s">
        <v>167</v>
      </c>
      <c r="U56">
        <v>8.386730186476575E-2</v>
      </c>
      <c r="V56" t="s">
        <v>168</v>
      </c>
      <c r="AK56">
        <v>2037</v>
      </c>
      <c r="AL56" t="s">
        <v>157</v>
      </c>
      <c r="AM56">
        <v>0.17059999999999997</v>
      </c>
      <c r="AN56" t="s">
        <v>247</v>
      </c>
    </row>
    <row r="57" spans="9:40" x14ac:dyDescent="0.45">
      <c r="I57" t="s">
        <v>181</v>
      </c>
      <c r="J57" t="s">
        <v>169</v>
      </c>
      <c r="K57">
        <v>0.1097530971553702</v>
      </c>
      <c r="L57" t="s">
        <v>168</v>
      </c>
      <c r="N57" t="s">
        <v>205</v>
      </c>
      <c r="O57" t="s">
        <v>169</v>
      </c>
      <c r="P57">
        <v>5.2640799427678527E-2</v>
      </c>
      <c r="Q57" t="s">
        <v>168</v>
      </c>
      <c r="S57" t="s">
        <v>224</v>
      </c>
      <c r="T57" t="s">
        <v>169</v>
      </c>
      <c r="U57">
        <v>8.2106844324104936E-2</v>
      </c>
      <c r="V57" t="s">
        <v>168</v>
      </c>
      <c r="AK57">
        <v>2037</v>
      </c>
      <c r="AL57" t="s">
        <v>161</v>
      </c>
      <c r="AM57">
        <v>0.2524777777777778</v>
      </c>
      <c r="AN57" t="s">
        <v>247</v>
      </c>
    </row>
    <row r="58" spans="9:40" x14ac:dyDescent="0.45">
      <c r="I58" t="s">
        <v>181</v>
      </c>
      <c r="J58" t="s">
        <v>170</v>
      </c>
      <c r="K58">
        <v>1.884613541080854E-3</v>
      </c>
      <c r="L58" t="s">
        <v>168</v>
      </c>
      <c r="N58" t="s">
        <v>205</v>
      </c>
      <c r="O58" t="s">
        <v>170</v>
      </c>
      <c r="P58">
        <v>4.5587394896351358E-2</v>
      </c>
      <c r="Q58" t="s">
        <v>168</v>
      </c>
      <c r="S58" t="s">
        <v>224</v>
      </c>
      <c r="T58" t="s">
        <v>170</v>
      </c>
      <c r="U58">
        <v>7.0703052314375722E-2</v>
      </c>
      <c r="V58" t="s">
        <v>168</v>
      </c>
      <c r="AK58">
        <v>2037</v>
      </c>
      <c r="AL58" t="s">
        <v>163</v>
      </c>
      <c r="AM58">
        <v>0.20899999999999999</v>
      </c>
      <c r="AN58" t="s">
        <v>247</v>
      </c>
    </row>
    <row r="59" spans="9:40" x14ac:dyDescent="0.45">
      <c r="I59" t="s">
        <v>181</v>
      </c>
      <c r="J59" t="s">
        <v>171</v>
      </c>
      <c r="K59">
        <v>0.15773945085520347</v>
      </c>
      <c r="L59" t="s">
        <v>168</v>
      </c>
      <c r="N59" t="s">
        <v>205</v>
      </c>
      <c r="O59" t="s">
        <v>171</v>
      </c>
      <c r="P59">
        <v>0.2309789148052791</v>
      </c>
      <c r="Q59" t="s">
        <v>168</v>
      </c>
      <c r="S59" t="s">
        <v>224</v>
      </c>
      <c r="T59" t="s">
        <v>171</v>
      </c>
      <c r="U59">
        <v>0.25513276004121654</v>
      </c>
      <c r="V59" t="s">
        <v>168</v>
      </c>
      <c r="AK59">
        <v>2038</v>
      </c>
      <c r="AL59" t="s">
        <v>157</v>
      </c>
      <c r="AM59">
        <v>0.1691</v>
      </c>
      <c r="AN59" t="s">
        <v>247</v>
      </c>
    </row>
    <row r="60" spans="9:40" x14ac:dyDescent="0.45">
      <c r="I60" t="s">
        <v>181</v>
      </c>
      <c r="J60" t="s">
        <v>172</v>
      </c>
      <c r="K60">
        <v>0.61394973874051062</v>
      </c>
      <c r="L60" t="s">
        <v>168</v>
      </c>
      <c r="N60" t="s">
        <v>205</v>
      </c>
      <c r="O60" t="s">
        <v>172</v>
      </c>
      <c r="P60">
        <v>0.29649805687930153</v>
      </c>
      <c r="Q60" t="s">
        <v>168</v>
      </c>
      <c r="S60" t="s">
        <v>224</v>
      </c>
      <c r="T60" t="s">
        <v>172</v>
      </c>
      <c r="U60">
        <v>0.24448666439024486</v>
      </c>
      <c r="V60" t="s">
        <v>168</v>
      </c>
      <c r="AK60">
        <v>2038</v>
      </c>
      <c r="AL60" t="s">
        <v>161</v>
      </c>
      <c r="AM60">
        <v>0.24715555555555552</v>
      </c>
      <c r="AN60" t="s">
        <v>247</v>
      </c>
    </row>
    <row r="61" spans="9:40" x14ac:dyDescent="0.45">
      <c r="I61" t="s">
        <v>181</v>
      </c>
      <c r="J61" t="s">
        <v>173</v>
      </c>
      <c r="K61">
        <v>5.7776808010159809E-2</v>
      </c>
      <c r="L61" t="s">
        <v>168</v>
      </c>
      <c r="N61" t="s">
        <v>205</v>
      </c>
      <c r="O61" t="s">
        <v>173</v>
      </c>
      <c r="P61">
        <v>0.21098165374931685</v>
      </c>
      <c r="Q61" t="s">
        <v>168</v>
      </c>
      <c r="S61" t="s">
        <v>224</v>
      </c>
      <c r="T61" t="s">
        <v>173</v>
      </c>
      <c r="U61">
        <v>0.20379018379596711</v>
      </c>
      <c r="V61" t="s">
        <v>168</v>
      </c>
      <c r="AK61">
        <v>2038</v>
      </c>
      <c r="AL61" t="s">
        <v>163</v>
      </c>
      <c r="AM61">
        <v>0.216</v>
      </c>
      <c r="AN61" t="s">
        <v>247</v>
      </c>
    </row>
    <row r="62" spans="9:40" x14ac:dyDescent="0.45">
      <c r="I62" t="s">
        <v>181</v>
      </c>
      <c r="J62" t="s">
        <v>174</v>
      </c>
      <c r="K62">
        <v>3.7538368612276161E-3</v>
      </c>
      <c r="L62" t="s">
        <v>168</v>
      </c>
      <c r="N62" t="s">
        <v>205</v>
      </c>
      <c r="O62" t="s">
        <v>174</v>
      </c>
      <c r="P62">
        <v>4.085542956691781E-2</v>
      </c>
      <c r="Q62" t="s">
        <v>168</v>
      </c>
      <c r="S62" t="s">
        <v>224</v>
      </c>
      <c r="T62" t="s">
        <v>174</v>
      </c>
      <c r="U62">
        <v>2.1348993476154751E-2</v>
      </c>
      <c r="V62" t="s">
        <v>168</v>
      </c>
      <c r="AK62">
        <v>2039</v>
      </c>
      <c r="AL62" t="s">
        <v>157</v>
      </c>
      <c r="AM62">
        <v>0.17665</v>
      </c>
      <c r="AN62" t="s">
        <v>247</v>
      </c>
    </row>
    <row r="63" spans="9:40" x14ac:dyDescent="0.45">
      <c r="I63" t="s">
        <v>181</v>
      </c>
      <c r="J63" t="s">
        <v>175</v>
      </c>
      <c r="K63">
        <v>4.553654248297033E-2</v>
      </c>
      <c r="L63" t="s">
        <v>168</v>
      </c>
      <c r="N63" t="s">
        <v>205</v>
      </c>
      <c r="O63" t="s">
        <v>175</v>
      </c>
      <c r="P63">
        <v>3.5261043490126431E-2</v>
      </c>
      <c r="Q63" t="s">
        <v>168</v>
      </c>
      <c r="S63" t="s">
        <v>224</v>
      </c>
      <c r="T63" t="s">
        <v>175</v>
      </c>
      <c r="U63">
        <v>2.0767218428322774E-2</v>
      </c>
      <c r="V63" t="s">
        <v>168</v>
      </c>
      <c r="AK63">
        <v>2039</v>
      </c>
      <c r="AL63" t="s">
        <v>161</v>
      </c>
      <c r="AM63">
        <v>0.24118888888888884</v>
      </c>
      <c r="AN63" t="s">
        <v>247</v>
      </c>
    </row>
    <row r="64" spans="9:40" x14ac:dyDescent="0.45">
      <c r="I64" t="s">
        <v>181</v>
      </c>
      <c r="J64" t="s">
        <v>176</v>
      </c>
      <c r="K64">
        <v>0</v>
      </c>
      <c r="L64" t="s">
        <v>168</v>
      </c>
      <c r="N64" t="s">
        <v>205</v>
      </c>
      <c r="O64" t="s">
        <v>176</v>
      </c>
      <c r="P64">
        <v>2.4426676212261241E-2</v>
      </c>
      <c r="Q64" t="s">
        <v>168</v>
      </c>
      <c r="S64" t="s">
        <v>224</v>
      </c>
      <c r="T64" t="s">
        <v>176</v>
      </c>
      <c r="U64">
        <v>1.7796981364847489E-2</v>
      </c>
      <c r="V64" t="s">
        <v>168</v>
      </c>
      <c r="AK64">
        <v>2039</v>
      </c>
      <c r="AL64" t="s">
        <v>163</v>
      </c>
      <c r="AM64">
        <v>0.19120000000000001</v>
      </c>
      <c r="AN64" t="s">
        <v>247</v>
      </c>
    </row>
    <row r="65" spans="9:40" x14ac:dyDescent="0.45">
      <c r="I65" t="s">
        <v>182</v>
      </c>
      <c r="J65" t="s">
        <v>167</v>
      </c>
      <c r="K65">
        <v>8.221935016227996E-3</v>
      </c>
      <c r="L65" t="s">
        <v>168</v>
      </c>
      <c r="N65" t="s">
        <v>206</v>
      </c>
      <c r="O65" t="s">
        <v>167</v>
      </c>
      <c r="P65">
        <v>7.4738081377320034E-2</v>
      </c>
      <c r="Q65" t="s">
        <v>168</v>
      </c>
      <c r="S65" t="s">
        <v>225</v>
      </c>
      <c r="T65" t="s">
        <v>167</v>
      </c>
      <c r="U65">
        <v>8.3851878442730995E-2</v>
      </c>
      <c r="V65" t="s">
        <v>168</v>
      </c>
      <c r="AK65">
        <v>2040</v>
      </c>
      <c r="AL65" t="s">
        <v>157</v>
      </c>
      <c r="AM65">
        <v>0.16744999999999999</v>
      </c>
      <c r="AN65" t="s">
        <v>247</v>
      </c>
    </row>
    <row r="66" spans="9:40" x14ac:dyDescent="0.45">
      <c r="I66" t="s">
        <v>182</v>
      </c>
      <c r="J66" t="s">
        <v>169</v>
      </c>
      <c r="K66">
        <v>9.1657889805009593E-2</v>
      </c>
      <c r="L66" t="s">
        <v>168</v>
      </c>
      <c r="N66" t="s">
        <v>206</v>
      </c>
      <c r="O66" t="s">
        <v>169</v>
      </c>
      <c r="P66">
        <v>7.2976610974220049E-2</v>
      </c>
      <c r="Q66" t="s">
        <v>168</v>
      </c>
      <c r="S66" t="s">
        <v>225</v>
      </c>
      <c r="T66" t="s">
        <v>169</v>
      </c>
      <c r="U66">
        <v>6.9570450962494201E-2</v>
      </c>
      <c r="V66" t="s">
        <v>168</v>
      </c>
      <c r="AK66">
        <v>2040</v>
      </c>
      <c r="AL66" t="s">
        <v>161</v>
      </c>
      <c r="AM66">
        <v>0.247</v>
      </c>
      <c r="AN66" t="s">
        <v>247</v>
      </c>
    </row>
    <row r="67" spans="9:40" x14ac:dyDescent="0.45">
      <c r="I67" t="s">
        <v>182</v>
      </c>
      <c r="J67" t="s">
        <v>170</v>
      </c>
      <c r="K67">
        <v>1.8905838852896781E-3</v>
      </c>
      <c r="L67" t="s">
        <v>168</v>
      </c>
      <c r="N67" t="s">
        <v>206</v>
      </c>
      <c r="O67" t="s">
        <v>170</v>
      </c>
      <c r="P67">
        <v>5.5286767291720787E-2</v>
      </c>
      <c r="Q67" t="s">
        <v>168</v>
      </c>
      <c r="S67" t="s">
        <v>225</v>
      </c>
      <c r="T67" t="s">
        <v>170</v>
      </c>
      <c r="U67">
        <v>6.5132835328360186E-2</v>
      </c>
      <c r="V67" t="s">
        <v>168</v>
      </c>
      <c r="AK67">
        <v>2040</v>
      </c>
      <c r="AL67" t="s">
        <v>163</v>
      </c>
      <c r="AM67">
        <v>0.19409999999999999</v>
      </c>
      <c r="AN67" t="s">
        <v>247</v>
      </c>
    </row>
    <row r="68" spans="9:40" x14ac:dyDescent="0.45">
      <c r="I68" t="s">
        <v>182</v>
      </c>
      <c r="J68" t="s">
        <v>171</v>
      </c>
      <c r="K68">
        <v>0.16218062944881301</v>
      </c>
      <c r="L68" t="s">
        <v>168</v>
      </c>
      <c r="N68" t="s">
        <v>206</v>
      </c>
      <c r="O68" t="s">
        <v>171</v>
      </c>
      <c r="P68">
        <v>0.20765627668960568</v>
      </c>
      <c r="Q68" t="s">
        <v>168</v>
      </c>
      <c r="S68" t="s">
        <v>225</v>
      </c>
      <c r="T68" t="s">
        <v>171</v>
      </c>
      <c r="U68">
        <v>0.26952130807145525</v>
      </c>
      <c r="V68" t="s">
        <v>168</v>
      </c>
      <c r="AK68">
        <v>2041</v>
      </c>
      <c r="AL68" t="s">
        <v>157</v>
      </c>
      <c r="AM68">
        <v>0.17595</v>
      </c>
      <c r="AN68" t="s">
        <v>247</v>
      </c>
    </row>
    <row r="69" spans="9:40" x14ac:dyDescent="0.45">
      <c r="I69" t="s">
        <v>182</v>
      </c>
      <c r="J69" t="s">
        <v>172</v>
      </c>
      <c r="K69">
        <v>0.62594039433342918</v>
      </c>
      <c r="L69" t="s">
        <v>168</v>
      </c>
      <c r="N69" t="s">
        <v>206</v>
      </c>
      <c r="O69" t="s">
        <v>172</v>
      </c>
      <c r="P69">
        <v>0.28338596965354834</v>
      </c>
      <c r="Q69" t="s">
        <v>168</v>
      </c>
      <c r="S69" t="s">
        <v>225</v>
      </c>
      <c r="T69" t="s">
        <v>172</v>
      </c>
      <c r="U69">
        <v>0.23232065880435984</v>
      </c>
      <c r="V69" t="s">
        <v>168</v>
      </c>
      <c r="AK69">
        <v>2041</v>
      </c>
      <c r="AL69" t="s">
        <v>161</v>
      </c>
      <c r="AM69">
        <v>0.23946666666666669</v>
      </c>
      <c r="AN69" t="s">
        <v>247</v>
      </c>
    </row>
    <row r="70" spans="9:40" x14ac:dyDescent="0.45">
      <c r="I70" t="s">
        <v>182</v>
      </c>
      <c r="J70" t="s">
        <v>173</v>
      </c>
      <c r="K70">
        <v>6.5468648136423585E-2</v>
      </c>
      <c r="L70" t="s">
        <v>168</v>
      </c>
      <c r="N70" t="s">
        <v>206</v>
      </c>
      <c r="O70" t="s">
        <v>173</v>
      </c>
      <c r="P70">
        <v>0.20002799672316279</v>
      </c>
      <c r="Q70" t="s">
        <v>168</v>
      </c>
      <c r="S70" t="s">
        <v>225</v>
      </c>
      <c r="T70" t="s">
        <v>173</v>
      </c>
      <c r="U70">
        <v>0.21652019328243716</v>
      </c>
      <c r="V70" t="s">
        <v>168</v>
      </c>
      <c r="AK70">
        <v>2041</v>
      </c>
      <c r="AL70" t="s">
        <v>163</v>
      </c>
      <c r="AM70">
        <v>0.19900000000000001</v>
      </c>
      <c r="AN70" t="s">
        <v>247</v>
      </c>
    </row>
    <row r="71" spans="9:40" x14ac:dyDescent="0.45">
      <c r="I71" t="s">
        <v>182</v>
      </c>
      <c r="J71" t="s">
        <v>174</v>
      </c>
      <c r="K71">
        <v>3.016120852888059E-3</v>
      </c>
      <c r="L71" t="s">
        <v>168</v>
      </c>
      <c r="N71" t="s">
        <v>206</v>
      </c>
      <c r="O71" t="s">
        <v>174</v>
      </c>
      <c r="P71">
        <v>4.2904402245939548E-2</v>
      </c>
      <c r="Q71" t="s">
        <v>168</v>
      </c>
      <c r="S71" t="s">
        <v>225</v>
      </c>
      <c r="T71" t="s">
        <v>174</v>
      </c>
      <c r="U71">
        <v>2.4691554685513466E-2</v>
      </c>
      <c r="V71" t="s">
        <v>168</v>
      </c>
      <c r="AK71">
        <v>2042</v>
      </c>
      <c r="AL71" t="s">
        <v>157</v>
      </c>
      <c r="AM71">
        <v>0.17399999999999999</v>
      </c>
      <c r="AN71" t="s">
        <v>247</v>
      </c>
    </row>
    <row r="72" spans="9:40" x14ac:dyDescent="0.45">
      <c r="I72" t="s">
        <v>182</v>
      </c>
      <c r="J72" t="s">
        <v>175</v>
      </c>
      <c r="K72">
        <v>4.1623798521921156E-2</v>
      </c>
      <c r="L72" t="s">
        <v>168</v>
      </c>
      <c r="N72" t="s">
        <v>206</v>
      </c>
      <c r="O72" t="s">
        <v>175</v>
      </c>
      <c r="P72">
        <v>3.6117256775983382E-2</v>
      </c>
      <c r="Q72" t="s">
        <v>168</v>
      </c>
      <c r="S72" t="s">
        <v>225</v>
      </c>
      <c r="T72" t="s">
        <v>175</v>
      </c>
      <c r="U72">
        <v>2.150851110085478E-2</v>
      </c>
      <c r="V72" t="s">
        <v>168</v>
      </c>
      <c r="AK72">
        <v>2042</v>
      </c>
      <c r="AL72" t="s">
        <v>161</v>
      </c>
      <c r="AM72">
        <v>0.25608888888888892</v>
      </c>
      <c r="AN72" t="s">
        <v>247</v>
      </c>
    </row>
    <row r="73" spans="9:40" x14ac:dyDescent="0.45">
      <c r="I73" t="s">
        <v>182</v>
      </c>
      <c r="J73" t="s">
        <v>176</v>
      </c>
      <c r="K73">
        <v>0</v>
      </c>
      <c r="L73" t="s">
        <v>168</v>
      </c>
      <c r="N73" t="s">
        <v>206</v>
      </c>
      <c r="O73" t="s">
        <v>176</v>
      </c>
      <c r="P73">
        <v>2.6906638268497134E-2</v>
      </c>
      <c r="Q73" t="s">
        <v>168</v>
      </c>
      <c r="S73" t="s">
        <v>225</v>
      </c>
      <c r="T73" t="s">
        <v>176</v>
      </c>
      <c r="U73">
        <v>1.6882609321795437E-2</v>
      </c>
      <c r="V73" t="s">
        <v>168</v>
      </c>
      <c r="AK73">
        <v>2042</v>
      </c>
      <c r="AL73" t="s">
        <v>163</v>
      </c>
      <c r="AM73">
        <v>0.18310000000000001</v>
      </c>
      <c r="AN73" t="s">
        <v>247</v>
      </c>
    </row>
    <row r="74" spans="9:40" x14ac:dyDescent="0.45">
      <c r="I74" t="s">
        <v>183</v>
      </c>
      <c r="J74" t="s">
        <v>167</v>
      </c>
      <c r="K74">
        <v>9.1730407200232237E-3</v>
      </c>
      <c r="L74" t="s">
        <v>168</v>
      </c>
      <c r="N74" t="s">
        <v>207</v>
      </c>
      <c r="O74" t="s">
        <v>167</v>
      </c>
      <c r="P74">
        <v>8.3481348164316307E-2</v>
      </c>
      <c r="Q74" t="s">
        <v>168</v>
      </c>
      <c r="S74" t="s">
        <v>226</v>
      </c>
      <c r="T74" t="s">
        <v>167</v>
      </c>
      <c r="U74">
        <v>7.946028684010141E-2</v>
      </c>
      <c r="V74" t="s">
        <v>168</v>
      </c>
      <c r="AK74">
        <v>2043</v>
      </c>
      <c r="AL74" t="s">
        <v>157</v>
      </c>
      <c r="AM74">
        <v>0.16804999999999998</v>
      </c>
      <c r="AN74" t="s">
        <v>247</v>
      </c>
    </row>
    <row r="75" spans="9:40" x14ac:dyDescent="0.45">
      <c r="I75" t="s">
        <v>183</v>
      </c>
      <c r="J75" t="s">
        <v>169</v>
      </c>
      <c r="K75">
        <v>9.4291033378120434E-2</v>
      </c>
      <c r="L75" t="s">
        <v>168</v>
      </c>
      <c r="N75" t="s">
        <v>207</v>
      </c>
      <c r="O75" t="s">
        <v>169</v>
      </c>
      <c r="P75">
        <v>7.1970360387592414E-2</v>
      </c>
      <c r="Q75" t="s">
        <v>168</v>
      </c>
      <c r="S75" t="s">
        <v>226</v>
      </c>
      <c r="T75" t="s">
        <v>169</v>
      </c>
      <c r="U75">
        <v>7.2255922753432303E-2</v>
      </c>
      <c r="V75" t="s">
        <v>168</v>
      </c>
      <c r="AK75">
        <v>2043</v>
      </c>
      <c r="AL75" t="s">
        <v>161</v>
      </c>
      <c r="AM75">
        <v>0.24526666666666663</v>
      </c>
      <c r="AN75" t="s">
        <v>247</v>
      </c>
    </row>
    <row r="76" spans="9:40" x14ac:dyDescent="0.45">
      <c r="I76" t="s">
        <v>183</v>
      </c>
      <c r="J76" t="s">
        <v>170</v>
      </c>
      <c r="K76">
        <v>2.4805525277758339E-3</v>
      </c>
      <c r="L76" t="s">
        <v>168</v>
      </c>
      <c r="N76" t="s">
        <v>207</v>
      </c>
      <c r="O76" t="s">
        <v>170</v>
      </c>
      <c r="P76">
        <v>6.5087501475974918E-2</v>
      </c>
      <c r="Q76" t="s">
        <v>168</v>
      </c>
      <c r="S76" t="s">
        <v>226</v>
      </c>
      <c r="T76" t="s">
        <v>170</v>
      </c>
      <c r="U76">
        <v>6.9536858378016125E-2</v>
      </c>
      <c r="V76" t="s">
        <v>168</v>
      </c>
      <c r="AK76">
        <v>2043</v>
      </c>
      <c r="AL76" t="s">
        <v>163</v>
      </c>
      <c r="AM76">
        <v>0.20749999999999999</v>
      </c>
      <c r="AN76" t="s">
        <v>247</v>
      </c>
    </row>
    <row r="77" spans="9:40" x14ac:dyDescent="0.45">
      <c r="I77" t="s">
        <v>183</v>
      </c>
      <c r="J77" t="s">
        <v>171</v>
      </c>
      <c r="K77">
        <v>0.15391352917893864</v>
      </c>
      <c r="L77" t="s">
        <v>168</v>
      </c>
      <c r="N77" t="s">
        <v>207</v>
      </c>
      <c r="O77" t="s">
        <v>171</v>
      </c>
      <c r="P77">
        <v>0.2442853758996287</v>
      </c>
      <c r="Q77" t="s">
        <v>168</v>
      </c>
      <c r="S77" t="s">
        <v>226</v>
      </c>
      <c r="T77" t="s">
        <v>171</v>
      </c>
      <c r="U77">
        <v>0.25622271200901969</v>
      </c>
      <c r="V77" t="s">
        <v>168</v>
      </c>
      <c r="AK77">
        <v>2044</v>
      </c>
      <c r="AL77" t="s">
        <v>157</v>
      </c>
      <c r="AM77">
        <v>0.17475000000000002</v>
      </c>
      <c r="AN77" t="s">
        <v>247</v>
      </c>
    </row>
    <row r="78" spans="9:40" x14ac:dyDescent="0.45">
      <c r="I78" t="s">
        <v>183</v>
      </c>
      <c r="J78" t="s">
        <v>172</v>
      </c>
      <c r="K78">
        <v>0.62882430364588782</v>
      </c>
      <c r="L78" t="s">
        <v>168</v>
      </c>
      <c r="N78" t="s">
        <v>207</v>
      </c>
      <c r="O78" t="s">
        <v>172</v>
      </c>
      <c r="P78">
        <v>0.23690371520305226</v>
      </c>
      <c r="Q78" t="s">
        <v>168</v>
      </c>
      <c r="S78" t="s">
        <v>226</v>
      </c>
      <c r="T78" t="s">
        <v>172</v>
      </c>
      <c r="U78">
        <v>0.23074038687056433</v>
      </c>
      <c r="V78" t="s">
        <v>168</v>
      </c>
      <c r="AK78">
        <v>2044</v>
      </c>
      <c r="AL78" t="s">
        <v>161</v>
      </c>
      <c r="AM78">
        <v>0.25235555555555556</v>
      </c>
      <c r="AN78" t="s">
        <v>247</v>
      </c>
    </row>
    <row r="79" spans="9:40" x14ac:dyDescent="0.45">
      <c r="I79" t="s">
        <v>183</v>
      </c>
      <c r="J79" t="s">
        <v>173</v>
      </c>
      <c r="K79">
        <v>6.6638134713762773E-2</v>
      </c>
      <c r="L79" t="s">
        <v>168</v>
      </c>
      <c r="N79" t="s">
        <v>207</v>
      </c>
      <c r="O79" t="s">
        <v>173</v>
      </c>
      <c r="P79">
        <v>0.20226151805781303</v>
      </c>
      <c r="Q79" t="s">
        <v>168</v>
      </c>
      <c r="S79" t="s">
        <v>226</v>
      </c>
      <c r="T79" t="s">
        <v>173</v>
      </c>
      <c r="U79">
        <v>0.22496607154421558</v>
      </c>
      <c r="V79" t="s">
        <v>168</v>
      </c>
      <c r="AK79">
        <v>2044</v>
      </c>
      <c r="AL79" t="s">
        <v>163</v>
      </c>
      <c r="AM79">
        <v>0.21310000000000001</v>
      </c>
      <c r="AN79" t="s">
        <v>247</v>
      </c>
    </row>
    <row r="80" spans="9:40" x14ac:dyDescent="0.45">
      <c r="I80" t="s">
        <v>183</v>
      </c>
      <c r="J80" t="s">
        <v>174</v>
      </c>
      <c r="K80">
        <v>3.1508282668020675E-3</v>
      </c>
      <c r="L80" t="s">
        <v>168</v>
      </c>
      <c r="N80" t="s">
        <v>207</v>
      </c>
      <c r="O80" t="s">
        <v>174</v>
      </c>
      <c r="P80">
        <v>3.9190526203904272E-2</v>
      </c>
      <c r="Q80" t="s">
        <v>168</v>
      </c>
      <c r="S80" t="s">
        <v>226</v>
      </c>
      <c r="T80" t="s">
        <v>174</v>
      </c>
      <c r="U80">
        <v>2.6977121567981734E-2</v>
      </c>
      <c r="V80" t="s">
        <v>168</v>
      </c>
      <c r="AK80">
        <v>2045</v>
      </c>
      <c r="AL80" t="s">
        <v>157</v>
      </c>
      <c r="AM80">
        <v>0.16919999999999999</v>
      </c>
      <c r="AN80" t="s">
        <v>247</v>
      </c>
    </row>
    <row r="81" spans="9:40" x14ac:dyDescent="0.45">
      <c r="I81" t="s">
        <v>183</v>
      </c>
      <c r="J81" t="s">
        <v>175</v>
      </c>
      <c r="K81">
        <v>4.152857756869005E-2</v>
      </c>
      <c r="L81" t="s">
        <v>168</v>
      </c>
      <c r="N81" t="s">
        <v>207</v>
      </c>
      <c r="O81" t="s">
        <v>175</v>
      </c>
      <c r="P81">
        <v>3.4328741804499664E-2</v>
      </c>
      <c r="Q81" t="s">
        <v>168</v>
      </c>
      <c r="S81" t="s">
        <v>226</v>
      </c>
      <c r="T81" t="s">
        <v>175</v>
      </c>
      <c r="U81">
        <v>2.1016777128751746E-2</v>
      </c>
      <c r="V81" t="s">
        <v>168</v>
      </c>
      <c r="AK81">
        <v>2045</v>
      </c>
      <c r="AL81" t="s">
        <v>161</v>
      </c>
      <c r="AM81">
        <v>0.25182222222222223</v>
      </c>
      <c r="AN81" t="s">
        <v>247</v>
      </c>
    </row>
    <row r="82" spans="9:40" x14ac:dyDescent="0.45">
      <c r="I82" t="s">
        <v>183</v>
      </c>
      <c r="J82" t="s">
        <v>176</v>
      </c>
      <c r="K82">
        <v>0</v>
      </c>
      <c r="L82" t="s">
        <v>168</v>
      </c>
      <c r="N82" t="s">
        <v>207</v>
      </c>
      <c r="O82" t="s">
        <v>176</v>
      </c>
      <c r="P82">
        <v>2.2490912803218795E-2</v>
      </c>
      <c r="Q82" t="s">
        <v>168</v>
      </c>
      <c r="S82" t="s">
        <v>226</v>
      </c>
      <c r="T82" t="s">
        <v>176</v>
      </c>
      <c r="U82">
        <v>1.8823862907918987E-2</v>
      </c>
      <c r="V82" t="s">
        <v>168</v>
      </c>
      <c r="AK82">
        <v>2045</v>
      </c>
      <c r="AL82" t="s">
        <v>163</v>
      </c>
      <c r="AM82">
        <v>0.20250000000000001</v>
      </c>
      <c r="AN82" t="s">
        <v>247</v>
      </c>
    </row>
    <row r="83" spans="9:40" x14ac:dyDescent="0.45">
      <c r="I83" t="s">
        <v>184</v>
      </c>
      <c r="J83" t="s">
        <v>167</v>
      </c>
      <c r="K83">
        <v>8.5177339549581191E-3</v>
      </c>
      <c r="L83" t="s">
        <v>168</v>
      </c>
      <c r="N83" t="s">
        <v>208</v>
      </c>
      <c r="O83" t="s">
        <v>167</v>
      </c>
      <c r="P83">
        <v>7.0307977004493913E-2</v>
      </c>
      <c r="Q83" t="s">
        <v>168</v>
      </c>
      <c r="S83" t="s">
        <v>227</v>
      </c>
      <c r="T83" t="s">
        <v>167</v>
      </c>
      <c r="U83">
        <v>7.789687207601162E-2</v>
      </c>
      <c r="V83" t="s">
        <v>168</v>
      </c>
      <c r="AK83">
        <v>2046</v>
      </c>
      <c r="AL83" t="s">
        <v>157</v>
      </c>
      <c r="AM83">
        <v>0.17865</v>
      </c>
      <c r="AN83" t="s">
        <v>247</v>
      </c>
    </row>
    <row r="84" spans="9:40" x14ac:dyDescent="0.45">
      <c r="I84" t="s">
        <v>184</v>
      </c>
      <c r="J84" t="s">
        <v>169</v>
      </c>
      <c r="K84">
        <v>9.1580001840499928E-2</v>
      </c>
      <c r="L84" t="s">
        <v>168</v>
      </c>
      <c r="N84" t="s">
        <v>208</v>
      </c>
      <c r="O84" t="s">
        <v>169</v>
      </c>
      <c r="P84">
        <v>5.805197638420688E-2</v>
      </c>
      <c r="Q84" t="s">
        <v>168</v>
      </c>
      <c r="S84" t="s">
        <v>227</v>
      </c>
      <c r="T84" t="s">
        <v>169</v>
      </c>
      <c r="U84">
        <v>6.6574032124890936E-2</v>
      </c>
      <c r="V84" t="s">
        <v>168</v>
      </c>
      <c r="AK84">
        <v>2046</v>
      </c>
      <c r="AL84" t="s">
        <v>161</v>
      </c>
      <c r="AM84">
        <v>0.23469999999999999</v>
      </c>
      <c r="AN84" t="s">
        <v>247</v>
      </c>
    </row>
    <row r="85" spans="9:40" x14ac:dyDescent="0.45">
      <c r="I85" t="s">
        <v>184</v>
      </c>
      <c r="J85" t="s">
        <v>170</v>
      </c>
      <c r="K85">
        <v>2.0286216955057684E-3</v>
      </c>
      <c r="L85" t="s">
        <v>168</v>
      </c>
      <c r="N85" t="s">
        <v>208</v>
      </c>
      <c r="O85" t="s">
        <v>170</v>
      </c>
      <c r="P85">
        <v>5.4868465082378283E-2</v>
      </c>
      <c r="Q85" t="s">
        <v>168</v>
      </c>
      <c r="S85" t="s">
        <v>227</v>
      </c>
      <c r="T85" t="s">
        <v>170</v>
      </c>
      <c r="U85">
        <v>6.1755437993840374E-2</v>
      </c>
      <c r="V85" t="s">
        <v>168</v>
      </c>
      <c r="AK85">
        <v>2046</v>
      </c>
      <c r="AL85" t="s">
        <v>163</v>
      </c>
      <c r="AM85">
        <v>0.19639999999999999</v>
      </c>
      <c r="AN85" t="s">
        <v>247</v>
      </c>
    </row>
    <row r="86" spans="9:40" x14ac:dyDescent="0.45">
      <c r="I86" t="s">
        <v>184</v>
      </c>
      <c r="J86" t="s">
        <v>171</v>
      </c>
      <c r="K86">
        <v>0.1550136521282095</v>
      </c>
      <c r="L86" t="s">
        <v>168</v>
      </c>
      <c r="N86" t="s">
        <v>208</v>
      </c>
      <c r="O86" t="s">
        <v>171</v>
      </c>
      <c r="P86">
        <v>0.28783791392569302</v>
      </c>
      <c r="Q86" t="s">
        <v>168</v>
      </c>
      <c r="S86" t="s">
        <v>227</v>
      </c>
      <c r="T86" t="s">
        <v>171</v>
      </c>
      <c r="U86">
        <v>0.2562240219799477</v>
      </c>
      <c r="V86" t="s">
        <v>168</v>
      </c>
      <c r="AK86">
        <v>2047</v>
      </c>
      <c r="AL86" t="s">
        <v>157</v>
      </c>
      <c r="AM86">
        <v>0.17375000000000002</v>
      </c>
      <c r="AN86" t="s">
        <v>247</v>
      </c>
    </row>
    <row r="87" spans="9:40" x14ac:dyDescent="0.45">
      <c r="I87" t="s">
        <v>184</v>
      </c>
      <c r="J87" t="s">
        <v>172</v>
      </c>
      <c r="K87">
        <v>0.6318505861599748</v>
      </c>
      <c r="L87" t="s">
        <v>168</v>
      </c>
      <c r="N87" t="s">
        <v>208</v>
      </c>
      <c r="O87" t="s">
        <v>172</v>
      </c>
      <c r="P87">
        <v>0.21625842577142013</v>
      </c>
      <c r="Q87" t="s">
        <v>168</v>
      </c>
      <c r="S87" t="s">
        <v>227</v>
      </c>
      <c r="T87" t="s">
        <v>172</v>
      </c>
      <c r="U87">
        <v>0.23909013029548398</v>
      </c>
      <c r="V87" t="s">
        <v>168</v>
      </c>
      <c r="AK87">
        <v>2047</v>
      </c>
      <c r="AL87" t="s">
        <v>161</v>
      </c>
      <c r="AM87">
        <v>0.25183333333333335</v>
      </c>
      <c r="AN87" t="s">
        <v>247</v>
      </c>
    </row>
    <row r="88" spans="9:40" x14ac:dyDescent="0.45">
      <c r="I88" t="s">
        <v>184</v>
      </c>
      <c r="J88" t="s">
        <v>173</v>
      </c>
      <c r="K88">
        <v>6.6447524725692889E-2</v>
      </c>
      <c r="L88" t="s">
        <v>168</v>
      </c>
      <c r="N88" t="s">
        <v>208</v>
      </c>
      <c r="O88" t="s">
        <v>173</v>
      </c>
      <c r="P88">
        <v>0.22546423559096479</v>
      </c>
      <c r="Q88" t="s">
        <v>168</v>
      </c>
      <c r="S88" t="s">
        <v>227</v>
      </c>
      <c r="T88" t="s">
        <v>173</v>
      </c>
      <c r="U88">
        <v>0.21988031668803032</v>
      </c>
      <c r="V88" t="s">
        <v>168</v>
      </c>
      <c r="AK88">
        <v>2047</v>
      </c>
      <c r="AL88" t="s">
        <v>163</v>
      </c>
      <c r="AM88">
        <v>0.20250000000000001</v>
      </c>
      <c r="AN88" t="s">
        <v>247</v>
      </c>
    </row>
    <row r="89" spans="9:40" x14ac:dyDescent="0.45">
      <c r="I89" t="s">
        <v>184</v>
      </c>
      <c r="J89" t="s">
        <v>174</v>
      </c>
      <c r="K89">
        <v>3.0974668678528969E-3</v>
      </c>
      <c r="L89" t="s">
        <v>168</v>
      </c>
      <c r="N89" t="s">
        <v>208</v>
      </c>
      <c r="O89" t="s">
        <v>174</v>
      </c>
      <c r="P89">
        <v>3.7533016204629996E-2</v>
      </c>
      <c r="Q89" t="s">
        <v>168</v>
      </c>
      <c r="S89" t="s">
        <v>227</v>
      </c>
      <c r="T89" t="s">
        <v>174</v>
      </c>
      <c r="U89">
        <v>3.1493601812525841E-2</v>
      </c>
      <c r="V89" t="s">
        <v>168</v>
      </c>
      <c r="AK89">
        <v>2048</v>
      </c>
      <c r="AL89" t="s">
        <v>157</v>
      </c>
      <c r="AM89">
        <v>0.18504999999999999</v>
      </c>
      <c r="AN89" t="s">
        <v>247</v>
      </c>
    </row>
    <row r="90" spans="9:40" x14ac:dyDescent="0.45">
      <c r="I90" t="s">
        <v>184</v>
      </c>
      <c r="J90" t="s">
        <v>175</v>
      </c>
      <c r="K90">
        <v>4.1464412627309058E-2</v>
      </c>
      <c r="L90" t="s">
        <v>168</v>
      </c>
      <c r="N90" t="s">
        <v>208</v>
      </c>
      <c r="O90" t="s">
        <v>175</v>
      </c>
      <c r="P90">
        <v>3.0400430028953582E-2</v>
      </c>
      <c r="Q90" t="s">
        <v>168</v>
      </c>
      <c r="S90" t="s">
        <v>227</v>
      </c>
      <c r="T90" t="s">
        <v>175</v>
      </c>
      <c r="U90">
        <v>2.4731264529729683E-2</v>
      </c>
      <c r="V90" t="s">
        <v>168</v>
      </c>
      <c r="AK90">
        <v>2048</v>
      </c>
      <c r="AL90" t="s">
        <v>161</v>
      </c>
      <c r="AM90">
        <v>0.24301111111111112</v>
      </c>
      <c r="AN90" t="s">
        <v>247</v>
      </c>
    </row>
    <row r="91" spans="9:40" x14ac:dyDescent="0.45">
      <c r="I91" t="s">
        <v>184</v>
      </c>
      <c r="J91" t="s">
        <v>176</v>
      </c>
      <c r="K91">
        <v>0</v>
      </c>
      <c r="L91" t="s">
        <v>168</v>
      </c>
      <c r="N91" t="s">
        <v>208</v>
      </c>
      <c r="O91" t="s">
        <v>176</v>
      </c>
      <c r="P91">
        <v>1.9277560007255817E-2</v>
      </c>
      <c r="Q91" t="s">
        <v>168</v>
      </c>
      <c r="S91" t="s">
        <v>227</v>
      </c>
      <c r="T91" t="s">
        <v>176</v>
      </c>
      <c r="U91">
        <v>2.2354322499537112E-2</v>
      </c>
      <c r="V91" t="s">
        <v>168</v>
      </c>
      <c r="AK91">
        <v>2048</v>
      </c>
      <c r="AL91" t="s">
        <v>163</v>
      </c>
      <c r="AM91">
        <v>0.1996</v>
      </c>
      <c r="AN91" t="s">
        <v>247</v>
      </c>
    </row>
    <row r="92" spans="9:40" x14ac:dyDescent="0.45">
      <c r="I92" t="s">
        <v>185</v>
      </c>
      <c r="J92" t="s">
        <v>167</v>
      </c>
      <c r="K92">
        <v>9.1408265657955158E-3</v>
      </c>
      <c r="L92" t="s">
        <v>168</v>
      </c>
      <c r="N92" t="s">
        <v>209</v>
      </c>
      <c r="O92" t="s">
        <v>167</v>
      </c>
      <c r="P92">
        <v>8.4810243217771919E-2</v>
      </c>
      <c r="Q92" t="s">
        <v>168</v>
      </c>
      <c r="S92" t="s">
        <v>228</v>
      </c>
      <c r="T92" t="s">
        <v>167</v>
      </c>
      <c r="U92">
        <v>6.2860077551140509E-2</v>
      </c>
      <c r="V92" t="s">
        <v>168</v>
      </c>
      <c r="AK92">
        <v>2049</v>
      </c>
      <c r="AL92" t="s">
        <v>157</v>
      </c>
      <c r="AM92">
        <v>0.17115000000000002</v>
      </c>
      <c r="AN92" t="s">
        <v>247</v>
      </c>
    </row>
    <row r="93" spans="9:40" x14ac:dyDescent="0.45">
      <c r="I93" t="s">
        <v>185</v>
      </c>
      <c r="J93" t="s">
        <v>169</v>
      </c>
      <c r="K93">
        <v>9.7670107085266814E-2</v>
      </c>
      <c r="L93" t="s">
        <v>168</v>
      </c>
      <c r="N93" t="s">
        <v>209</v>
      </c>
      <c r="O93" t="s">
        <v>169</v>
      </c>
      <c r="P93">
        <v>7.4150615465486763E-2</v>
      </c>
      <c r="Q93" t="s">
        <v>168</v>
      </c>
      <c r="S93" t="s">
        <v>228</v>
      </c>
      <c r="T93" t="s">
        <v>169</v>
      </c>
      <c r="U93">
        <v>5.7180709116765677E-2</v>
      </c>
      <c r="V93" t="s">
        <v>168</v>
      </c>
      <c r="AK93">
        <v>2049</v>
      </c>
      <c r="AL93" t="s">
        <v>161</v>
      </c>
      <c r="AM93">
        <v>0.25276666666666664</v>
      </c>
      <c r="AN93" t="s">
        <v>247</v>
      </c>
    </row>
    <row r="94" spans="9:40" x14ac:dyDescent="0.45">
      <c r="I94" t="s">
        <v>185</v>
      </c>
      <c r="J94" t="s">
        <v>170</v>
      </c>
      <c r="K94">
        <v>2.7989347324351354E-3</v>
      </c>
      <c r="L94" t="s">
        <v>168</v>
      </c>
      <c r="N94" t="s">
        <v>209</v>
      </c>
      <c r="O94" t="s">
        <v>170</v>
      </c>
      <c r="P94">
        <v>6.5390280034146764E-2</v>
      </c>
      <c r="Q94" t="s">
        <v>168</v>
      </c>
      <c r="S94" t="s">
        <v>228</v>
      </c>
      <c r="T94" t="s">
        <v>170</v>
      </c>
      <c r="U94">
        <v>5.1402560940920189E-2</v>
      </c>
      <c r="V94" t="s">
        <v>168</v>
      </c>
      <c r="AK94">
        <v>2049</v>
      </c>
      <c r="AL94" t="s">
        <v>163</v>
      </c>
      <c r="AM94">
        <v>0.2127</v>
      </c>
      <c r="AN94" t="s">
        <v>247</v>
      </c>
    </row>
    <row r="95" spans="9:40" x14ac:dyDescent="0.45">
      <c r="I95" t="s">
        <v>185</v>
      </c>
      <c r="J95" t="s">
        <v>171</v>
      </c>
      <c r="K95">
        <v>0.14330179152139877</v>
      </c>
      <c r="L95" t="s">
        <v>168</v>
      </c>
      <c r="N95" t="s">
        <v>209</v>
      </c>
      <c r="O95" t="s">
        <v>171</v>
      </c>
      <c r="P95">
        <v>0.24151580679198506</v>
      </c>
      <c r="Q95" t="s">
        <v>168</v>
      </c>
      <c r="S95" t="s">
        <v>228</v>
      </c>
      <c r="T95" t="s">
        <v>171</v>
      </c>
      <c r="U95">
        <v>0.28482404810225859</v>
      </c>
      <c r="V95" t="s">
        <v>168</v>
      </c>
      <c r="AK95">
        <v>2050</v>
      </c>
      <c r="AL95" t="s">
        <v>157</v>
      </c>
      <c r="AM95">
        <v>0.16880000000000001</v>
      </c>
      <c r="AN95" t="s">
        <v>247</v>
      </c>
    </row>
    <row r="96" spans="9:40" x14ac:dyDescent="0.45">
      <c r="I96" t="s">
        <v>185</v>
      </c>
      <c r="J96" t="s">
        <v>172</v>
      </c>
      <c r="K96">
        <v>0.63297917641929413</v>
      </c>
      <c r="L96" t="s">
        <v>168</v>
      </c>
      <c r="N96" t="s">
        <v>209</v>
      </c>
      <c r="O96" t="s">
        <v>172</v>
      </c>
      <c r="P96">
        <v>0.2403272818974484</v>
      </c>
      <c r="Q96" t="s">
        <v>168</v>
      </c>
      <c r="S96" t="s">
        <v>228</v>
      </c>
      <c r="T96" t="s">
        <v>172</v>
      </c>
      <c r="U96">
        <v>0.24529275175166207</v>
      </c>
      <c r="V96" t="s">
        <v>168</v>
      </c>
      <c r="AK96">
        <v>2050</v>
      </c>
      <c r="AL96" t="s">
        <v>161</v>
      </c>
      <c r="AM96">
        <v>0.24277777777777779</v>
      </c>
      <c r="AN96" t="s">
        <v>247</v>
      </c>
    </row>
    <row r="97" spans="9:40" x14ac:dyDescent="0.45">
      <c r="I97" t="s">
        <v>185</v>
      </c>
      <c r="J97" t="s">
        <v>173</v>
      </c>
      <c r="K97">
        <v>6.9082105032466964E-2</v>
      </c>
      <c r="L97" t="s">
        <v>168</v>
      </c>
      <c r="N97" t="s">
        <v>209</v>
      </c>
      <c r="O97" t="s">
        <v>173</v>
      </c>
      <c r="P97">
        <v>0.21428532876577649</v>
      </c>
      <c r="Q97" t="s">
        <v>168</v>
      </c>
      <c r="S97" t="s">
        <v>228</v>
      </c>
      <c r="T97" t="s">
        <v>173</v>
      </c>
      <c r="U97">
        <v>0.23081241451335149</v>
      </c>
      <c r="V97" t="s">
        <v>168</v>
      </c>
      <c r="AK97">
        <v>2050</v>
      </c>
      <c r="AL97" t="s">
        <v>163</v>
      </c>
      <c r="AM97">
        <v>0.19420000000000001</v>
      </c>
      <c r="AN97" t="s">
        <v>247</v>
      </c>
    </row>
    <row r="98" spans="9:40" x14ac:dyDescent="0.45">
      <c r="I98" t="s">
        <v>185</v>
      </c>
      <c r="J98" t="s">
        <v>174</v>
      </c>
      <c r="K98">
        <v>2.7040058207382749E-3</v>
      </c>
      <c r="L98" t="s">
        <v>168</v>
      </c>
      <c r="N98" t="s">
        <v>209</v>
      </c>
      <c r="O98" t="s">
        <v>174</v>
      </c>
      <c r="P98">
        <v>2.915820581279574E-2</v>
      </c>
      <c r="Q98" t="s">
        <v>168</v>
      </c>
      <c r="S98" t="s">
        <v>228</v>
      </c>
      <c r="T98" t="s">
        <v>174</v>
      </c>
      <c r="U98">
        <v>2.7153744909047862E-2</v>
      </c>
      <c r="V98" t="s">
        <v>168</v>
      </c>
    </row>
    <row r="99" spans="9:40" x14ac:dyDescent="0.45">
      <c r="I99" t="s">
        <v>185</v>
      </c>
      <c r="J99" t="s">
        <v>175</v>
      </c>
      <c r="K99">
        <v>4.2323052822603187E-2</v>
      </c>
      <c r="L99" t="s">
        <v>168</v>
      </c>
      <c r="N99" t="s">
        <v>209</v>
      </c>
      <c r="O99" t="s">
        <v>175</v>
      </c>
      <c r="P99">
        <v>2.899074123840115E-2</v>
      </c>
      <c r="Q99" t="s">
        <v>168</v>
      </c>
      <c r="S99" t="s">
        <v>228</v>
      </c>
      <c r="T99" t="s">
        <v>175</v>
      </c>
      <c r="U99">
        <v>2.1913198789623892E-2</v>
      </c>
      <c r="V99" t="s">
        <v>168</v>
      </c>
    </row>
    <row r="100" spans="9:40" x14ac:dyDescent="0.45">
      <c r="I100" t="s">
        <v>185</v>
      </c>
      <c r="J100" t="s">
        <v>176</v>
      </c>
      <c r="K100">
        <v>0</v>
      </c>
      <c r="L100" t="s">
        <v>168</v>
      </c>
      <c r="N100" t="s">
        <v>209</v>
      </c>
      <c r="O100" t="s">
        <v>176</v>
      </c>
      <c r="P100">
        <v>2.1371496776185724E-2</v>
      </c>
      <c r="Q100" t="s">
        <v>168</v>
      </c>
      <c r="S100" t="s">
        <v>228</v>
      </c>
      <c r="T100" t="s">
        <v>176</v>
      </c>
      <c r="U100">
        <v>1.8560494325229368E-2</v>
      </c>
      <c r="V100" t="s">
        <v>168</v>
      </c>
    </row>
    <row r="101" spans="9:40" x14ac:dyDescent="0.45">
      <c r="I101" t="s">
        <v>186</v>
      </c>
      <c r="J101" t="s">
        <v>167</v>
      </c>
      <c r="K101">
        <v>9.434001319822298E-3</v>
      </c>
      <c r="L101" t="s">
        <v>168</v>
      </c>
      <c r="N101" t="s">
        <v>210</v>
      </c>
      <c r="O101" t="s">
        <v>167</v>
      </c>
      <c r="P101">
        <v>8.1635999612754778E-2</v>
      </c>
      <c r="Q101" t="s">
        <v>168</v>
      </c>
      <c r="S101" t="s">
        <v>229</v>
      </c>
      <c r="T101" t="s">
        <v>167</v>
      </c>
      <c r="U101">
        <v>7.2104699734283489E-2</v>
      </c>
      <c r="V101" t="s">
        <v>168</v>
      </c>
    </row>
    <row r="102" spans="9:40" x14ac:dyDescent="0.45">
      <c r="I102" t="s">
        <v>186</v>
      </c>
      <c r="J102" t="s">
        <v>169</v>
      </c>
      <c r="K102">
        <v>9.6747540085364098E-2</v>
      </c>
      <c r="L102" t="s">
        <v>168</v>
      </c>
      <c r="N102" t="s">
        <v>210</v>
      </c>
      <c r="O102" t="s">
        <v>169</v>
      </c>
      <c r="P102">
        <v>6.927728189193201E-2</v>
      </c>
      <c r="Q102" t="s">
        <v>168</v>
      </c>
      <c r="S102" t="s">
        <v>229</v>
      </c>
      <c r="T102" t="s">
        <v>169</v>
      </c>
      <c r="U102">
        <v>6.8033247786932136E-2</v>
      </c>
      <c r="V102" t="s">
        <v>168</v>
      </c>
    </row>
    <row r="103" spans="9:40" x14ac:dyDescent="0.45">
      <c r="I103" t="s">
        <v>186</v>
      </c>
      <c r="J103" t="s">
        <v>170</v>
      </c>
      <c r="K103">
        <v>3.0298537727698636E-3</v>
      </c>
      <c r="L103" t="s">
        <v>168</v>
      </c>
      <c r="N103" t="s">
        <v>210</v>
      </c>
      <c r="O103" t="s">
        <v>170</v>
      </c>
      <c r="P103">
        <v>6.8662626830733736E-2</v>
      </c>
      <c r="Q103" t="s">
        <v>168</v>
      </c>
      <c r="S103" t="s">
        <v>229</v>
      </c>
      <c r="T103" t="s">
        <v>170</v>
      </c>
      <c r="U103">
        <v>5.8420744388017323E-2</v>
      </c>
      <c r="V103" t="s">
        <v>168</v>
      </c>
    </row>
    <row r="104" spans="9:40" x14ac:dyDescent="0.45">
      <c r="I104" t="s">
        <v>186</v>
      </c>
      <c r="J104" t="s">
        <v>171</v>
      </c>
      <c r="K104">
        <v>0.14317456614115731</v>
      </c>
      <c r="L104" t="s">
        <v>168</v>
      </c>
      <c r="N104" t="s">
        <v>210</v>
      </c>
      <c r="O104" t="s">
        <v>171</v>
      </c>
      <c r="P104">
        <v>0.26914741773117629</v>
      </c>
      <c r="Q104" t="s">
        <v>168</v>
      </c>
      <c r="S104" t="s">
        <v>229</v>
      </c>
      <c r="T104" t="s">
        <v>171</v>
      </c>
      <c r="U104">
        <v>0.26674771162347183</v>
      </c>
      <c r="V104" t="s">
        <v>168</v>
      </c>
    </row>
    <row r="105" spans="9:40" x14ac:dyDescent="0.45">
      <c r="I105" t="s">
        <v>186</v>
      </c>
      <c r="J105" t="s">
        <v>172</v>
      </c>
      <c r="K105">
        <v>0.63535195801263888</v>
      </c>
      <c r="L105" t="s">
        <v>168</v>
      </c>
      <c r="N105" t="s">
        <v>210</v>
      </c>
      <c r="O105" t="s">
        <v>172</v>
      </c>
      <c r="P105">
        <v>0.23116051081077479</v>
      </c>
      <c r="Q105" t="s">
        <v>168</v>
      </c>
      <c r="S105" t="s">
        <v>229</v>
      </c>
      <c r="T105" t="s">
        <v>172</v>
      </c>
      <c r="U105">
        <v>0.24129969491831274</v>
      </c>
      <c r="V105" t="s">
        <v>168</v>
      </c>
    </row>
    <row r="106" spans="9:40" x14ac:dyDescent="0.45">
      <c r="I106" t="s">
        <v>186</v>
      </c>
      <c r="J106" t="s">
        <v>173</v>
      </c>
      <c r="K106">
        <v>6.7370938303134661E-2</v>
      </c>
      <c r="L106" t="s">
        <v>168</v>
      </c>
      <c r="N106" t="s">
        <v>210</v>
      </c>
      <c r="O106" t="s">
        <v>173</v>
      </c>
      <c r="P106">
        <v>0.20952390703893642</v>
      </c>
      <c r="Q106" t="s">
        <v>168</v>
      </c>
      <c r="S106" t="s">
        <v>229</v>
      </c>
      <c r="T106" t="s">
        <v>173</v>
      </c>
      <c r="U106">
        <v>0.21258094822268458</v>
      </c>
      <c r="V106" t="s">
        <v>168</v>
      </c>
    </row>
    <row r="107" spans="9:40" x14ac:dyDescent="0.45">
      <c r="I107" t="s">
        <v>186</v>
      </c>
      <c r="J107" t="s">
        <v>174</v>
      </c>
      <c r="K107">
        <v>3.1497104011183564E-3</v>
      </c>
      <c r="L107" t="s">
        <v>168</v>
      </c>
      <c r="N107" t="s">
        <v>210</v>
      </c>
      <c r="O107" t="s">
        <v>174</v>
      </c>
      <c r="P107">
        <v>2.7992295145875562E-2</v>
      </c>
      <c r="Q107" t="s">
        <v>168</v>
      </c>
      <c r="S107" t="s">
        <v>229</v>
      </c>
      <c r="T107" t="s">
        <v>174</v>
      </c>
      <c r="U107">
        <v>3.1685040558561084E-2</v>
      </c>
      <c r="V107" t="s">
        <v>168</v>
      </c>
    </row>
    <row r="108" spans="9:40" x14ac:dyDescent="0.45">
      <c r="I108" t="s">
        <v>186</v>
      </c>
      <c r="J108" t="s">
        <v>175</v>
      </c>
      <c r="K108">
        <v>4.1741431963996024E-2</v>
      </c>
      <c r="L108" t="s">
        <v>168</v>
      </c>
      <c r="N108" t="s">
        <v>210</v>
      </c>
      <c r="O108" t="s">
        <v>175</v>
      </c>
      <c r="P108">
        <v>2.4421357695874883E-2</v>
      </c>
      <c r="Q108" t="s">
        <v>168</v>
      </c>
      <c r="S108" t="s">
        <v>229</v>
      </c>
      <c r="T108" t="s">
        <v>175</v>
      </c>
      <c r="U108">
        <v>2.50721605451911E-2</v>
      </c>
      <c r="V108" t="s">
        <v>168</v>
      </c>
    </row>
    <row r="109" spans="9:40" x14ac:dyDescent="0.45">
      <c r="I109" t="s">
        <v>186</v>
      </c>
      <c r="J109" t="s">
        <v>176</v>
      </c>
      <c r="K109">
        <v>0</v>
      </c>
      <c r="L109" t="s">
        <v>168</v>
      </c>
      <c r="N109" t="s">
        <v>210</v>
      </c>
      <c r="O109" t="s">
        <v>176</v>
      </c>
      <c r="P109">
        <v>1.8178603241943196E-2</v>
      </c>
      <c r="Q109" t="s">
        <v>168</v>
      </c>
      <c r="S109" t="s">
        <v>229</v>
      </c>
      <c r="T109" t="s">
        <v>176</v>
      </c>
      <c r="U109">
        <v>2.4055752222547883E-2</v>
      </c>
      <c r="V109" t="s">
        <v>168</v>
      </c>
    </row>
    <row r="110" spans="9:40" x14ac:dyDescent="0.45">
      <c r="I110" t="s">
        <v>187</v>
      </c>
      <c r="J110" t="s">
        <v>167</v>
      </c>
      <c r="K110">
        <v>3.9444048358804407E-3</v>
      </c>
      <c r="L110" t="s">
        <v>168</v>
      </c>
      <c r="N110" t="s">
        <v>211</v>
      </c>
      <c r="O110" t="s">
        <v>167</v>
      </c>
      <c r="P110">
        <v>7.5768592761328413E-2</v>
      </c>
      <c r="Q110" t="s">
        <v>168</v>
      </c>
      <c r="S110" t="s">
        <v>230</v>
      </c>
      <c r="T110" t="s">
        <v>167</v>
      </c>
      <c r="U110">
        <v>7.6939591277539951E-2</v>
      </c>
      <c r="V110" t="s">
        <v>168</v>
      </c>
    </row>
    <row r="111" spans="9:40" x14ac:dyDescent="0.45">
      <c r="I111" t="s">
        <v>187</v>
      </c>
      <c r="J111" t="s">
        <v>169</v>
      </c>
      <c r="K111">
        <v>9.989857996278273E-2</v>
      </c>
      <c r="L111" t="s">
        <v>168</v>
      </c>
      <c r="N111" t="s">
        <v>211</v>
      </c>
      <c r="O111" t="s">
        <v>169</v>
      </c>
      <c r="P111">
        <v>7.8744814952427591E-2</v>
      </c>
      <c r="Q111" t="s">
        <v>168</v>
      </c>
      <c r="S111" t="s">
        <v>230</v>
      </c>
      <c r="T111" t="s">
        <v>169</v>
      </c>
      <c r="U111">
        <v>7.8806246728836293E-2</v>
      </c>
      <c r="V111" t="s">
        <v>168</v>
      </c>
    </row>
    <row r="112" spans="9:40" x14ac:dyDescent="0.45">
      <c r="I112" t="s">
        <v>187</v>
      </c>
      <c r="J112" t="s">
        <v>170</v>
      </c>
      <c r="K112">
        <v>9.491991966523056E-3</v>
      </c>
      <c r="L112" t="s">
        <v>168</v>
      </c>
      <c r="N112" t="s">
        <v>211</v>
      </c>
      <c r="O112" t="s">
        <v>170</v>
      </c>
      <c r="P112">
        <v>6.5748176022586383E-2</v>
      </c>
      <c r="Q112" t="s">
        <v>168</v>
      </c>
      <c r="S112" t="s">
        <v>230</v>
      </c>
      <c r="T112" t="s">
        <v>170</v>
      </c>
      <c r="U112">
        <v>6.8437122996472644E-2</v>
      </c>
      <c r="V112" t="s">
        <v>168</v>
      </c>
    </row>
    <row r="113" spans="9:22" x14ac:dyDescent="0.45">
      <c r="I113" t="s">
        <v>187</v>
      </c>
      <c r="J113" t="s">
        <v>171</v>
      </c>
      <c r="K113">
        <v>9.0746759218707951E-2</v>
      </c>
      <c r="L113" t="s">
        <v>168</v>
      </c>
      <c r="N113" t="s">
        <v>211</v>
      </c>
      <c r="O113" t="s">
        <v>171</v>
      </c>
      <c r="P113">
        <v>0.20272635598967684</v>
      </c>
      <c r="Q113" t="s">
        <v>168</v>
      </c>
      <c r="S113" t="s">
        <v>230</v>
      </c>
      <c r="T113" t="s">
        <v>171</v>
      </c>
      <c r="U113">
        <v>0.25344578129366307</v>
      </c>
      <c r="V113" t="s">
        <v>168</v>
      </c>
    </row>
    <row r="114" spans="9:22" x14ac:dyDescent="0.45">
      <c r="I114" t="s">
        <v>187</v>
      </c>
      <c r="J114" t="s">
        <v>172</v>
      </c>
      <c r="K114">
        <v>0.64058684974977509</v>
      </c>
      <c r="L114" t="s">
        <v>168</v>
      </c>
      <c r="N114" t="s">
        <v>211</v>
      </c>
      <c r="O114" t="s">
        <v>172</v>
      </c>
      <c r="P114">
        <v>0.30188733120936434</v>
      </c>
      <c r="Q114" t="s">
        <v>168</v>
      </c>
      <c r="S114" t="s">
        <v>230</v>
      </c>
      <c r="T114" t="s">
        <v>172</v>
      </c>
      <c r="U114">
        <v>0.22862948931956006</v>
      </c>
      <c r="V114" t="s">
        <v>168</v>
      </c>
    </row>
    <row r="115" spans="9:22" x14ac:dyDescent="0.45">
      <c r="I115" t="s">
        <v>187</v>
      </c>
      <c r="J115" t="s">
        <v>173</v>
      </c>
      <c r="K115">
        <v>0.11075618733575414</v>
      </c>
      <c r="L115" t="s">
        <v>168</v>
      </c>
      <c r="N115" t="s">
        <v>211</v>
      </c>
      <c r="O115" t="s">
        <v>173</v>
      </c>
      <c r="P115">
        <v>0.19738403290609113</v>
      </c>
      <c r="Q115" t="s">
        <v>168</v>
      </c>
      <c r="S115" t="s">
        <v>230</v>
      </c>
      <c r="T115" t="s">
        <v>173</v>
      </c>
      <c r="U115">
        <v>0.22910032172149475</v>
      </c>
      <c r="V115" t="s">
        <v>168</v>
      </c>
    </row>
    <row r="116" spans="9:22" x14ac:dyDescent="0.45">
      <c r="I116" t="s">
        <v>187</v>
      </c>
      <c r="J116" t="s">
        <v>174</v>
      </c>
      <c r="K116">
        <v>1.3798389474588874E-3</v>
      </c>
      <c r="L116" t="s">
        <v>168</v>
      </c>
      <c r="N116" t="s">
        <v>211</v>
      </c>
      <c r="O116" t="s">
        <v>174</v>
      </c>
      <c r="P116">
        <v>2.8338056300516522E-2</v>
      </c>
      <c r="Q116" t="s">
        <v>168</v>
      </c>
      <c r="S116" t="s">
        <v>230</v>
      </c>
      <c r="T116" t="s">
        <v>174</v>
      </c>
      <c r="U116">
        <v>2.5169776254479793E-2</v>
      </c>
      <c r="V116" t="s">
        <v>168</v>
      </c>
    </row>
    <row r="117" spans="9:22" x14ac:dyDescent="0.45">
      <c r="I117" t="s">
        <v>187</v>
      </c>
      <c r="J117" t="s">
        <v>175</v>
      </c>
      <c r="K117">
        <v>4.1039312030854314E-2</v>
      </c>
      <c r="L117" t="s">
        <v>168</v>
      </c>
      <c r="N117" t="s">
        <v>211</v>
      </c>
      <c r="O117" t="s">
        <v>175</v>
      </c>
      <c r="P117">
        <v>3.143651243648924E-2</v>
      </c>
      <c r="Q117" t="s">
        <v>168</v>
      </c>
      <c r="S117" t="s">
        <v>230</v>
      </c>
      <c r="T117" t="s">
        <v>175</v>
      </c>
      <c r="U117">
        <v>2.1931199988281365E-2</v>
      </c>
      <c r="V117" t="s">
        <v>168</v>
      </c>
    </row>
    <row r="118" spans="9:22" x14ac:dyDescent="0.45">
      <c r="I118" t="s">
        <v>187</v>
      </c>
      <c r="J118" t="s">
        <v>176</v>
      </c>
      <c r="K118">
        <v>2.1560759522635626E-3</v>
      </c>
      <c r="L118" t="s">
        <v>168</v>
      </c>
      <c r="N118" t="s">
        <v>211</v>
      </c>
      <c r="O118" t="s">
        <v>176</v>
      </c>
      <c r="P118">
        <v>1.7966127421519967E-2</v>
      </c>
      <c r="Q118" t="s">
        <v>168</v>
      </c>
      <c r="S118" t="s">
        <v>230</v>
      </c>
      <c r="T118" t="s">
        <v>176</v>
      </c>
      <c r="U118">
        <v>1.7540470419675522E-2</v>
      </c>
      <c r="V118" t="s">
        <v>168</v>
      </c>
    </row>
    <row r="119" spans="9:22" x14ac:dyDescent="0.45">
      <c r="I119" t="s">
        <v>188</v>
      </c>
      <c r="J119" t="s">
        <v>167</v>
      </c>
      <c r="K119">
        <v>5.7036362915102211E-3</v>
      </c>
      <c r="L119" t="s">
        <v>168</v>
      </c>
      <c r="N119" t="s">
        <v>212</v>
      </c>
      <c r="O119" t="s">
        <v>167</v>
      </c>
      <c r="P119">
        <v>9.1644494806730981E-2</v>
      </c>
      <c r="Q119" t="s">
        <v>168</v>
      </c>
      <c r="S119" t="s">
        <v>231</v>
      </c>
      <c r="T119" t="s">
        <v>167</v>
      </c>
      <c r="U119">
        <v>9.4163330228121858E-2</v>
      </c>
      <c r="V119" t="s">
        <v>168</v>
      </c>
    </row>
    <row r="120" spans="9:22" x14ac:dyDescent="0.45">
      <c r="I120" t="s">
        <v>188</v>
      </c>
      <c r="J120" t="s">
        <v>169</v>
      </c>
      <c r="K120">
        <v>0.10233681195622688</v>
      </c>
      <c r="L120" t="s">
        <v>168</v>
      </c>
      <c r="N120" t="s">
        <v>212</v>
      </c>
      <c r="O120" t="s">
        <v>169</v>
      </c>
      <c r="P120">
        <v>9.4640834641691082E-2</v>
      </c>
      <c r="Q120" t="s">
        <v>168</v>
      </c>
      <c r="S120" t="s">
        <v>231</v>
      </c>
      <c r="T120" t="s">
        <v>169</v>
      </c>
      <c r="U120">
        <v>8.9336422181929762E-2</v>
      </c>
      <c r="V120" t="s">
        <v>168</v>
      </c>
    </row>
    <row r="121" spans="9:22" x14ac:dyDescent="0.45">
      <c r="I121" t="s">
        <v>188</v>
      </c>
      <c r="J121" t="s">
        <v>170</v>
      </c>
      <c r="K121">
        <v>8.3952947198688375E-3</v>
      </c>
      <c r="L121" t="s">
        <v>168</v>
      </c>
      <c r="N121" t="s">
        <v>212</v>
      </c>
      <c r="O121" t="s">
        <v>170</v>
      </c>
      <c r="P121">
        <v>8.3463611437794918E-2</v>
      </c>
      <c r="Q121" t="s">
        <v>168</v>
      </c>
      <c r="S121" t="s">
        <v>231</v>
      </c>
      <c r="T121" t="s">
        <v>170</v>
      </c>
      <c r="U121">
        <v>8.0773672049337705E-2</v>
      </c>
      <c r="V121" t="s">
        <v>168</v>
      </c>
    </row>
    <row r="122" spans="9:22" x14ac:dyDescent="0.45">
      <c r="I122" t="s">
        <v>188</v>
      </c>
      <c r="J122" t="s">
        <v>171</v>
      </c>
      <c r="K122">
        <v>9.9971020506241154E-2</v>
      </c>
      <c r="L122" t="s">
        <v>168</v>
      </c>
      <c r="N122" t="s">
        <v>212</v>
      </c>
      <c r="O122" t="s">
        <v>171</v>
      </c>
      <c r="P122">
        <v>0.22403477499711422</v>
      </c>
      <c r="Q122" t="s">
        <v>168</v>
      </c>
      <c r="S122" t="s">
        <v>231</v>
      </c>
      <c r="T122" t="s">
        <v>171</v>
      </c>
      <c r="U122">
        <v>0.25121708398931397</v>
      </c>
      <c r="V122" t="s">
        <v>168</v>
      </c>
    </row>
    <row r="123" spans="9:22" x14ac:dyDescent="0.45">
      <c r="I123" t="s">
        <v>188</v>
      </c>
      <c r="J123" t="s">
        <v>172</v>
      </c>
      <c r="K123">
        <v>0.63662341265993916</v>
      </c>
      <c r="L123" t="s">
        <v>168</v>
      </c>
      <c r="N123" t="s">
        <v>212</v>
      </c>
      <c r="O123" t="s">
        <v>172</v>
      </c>
      <c r="P123">
        <v>0.24746289871406318</v>
      </c>
      <c r="Q123" t="s">
        <v>168</v>
      </c>
      <c r="S123" t="s">
        <v>231</v>
      </c>
      <c r="T123" t="s">
        <v>172</v>
      </c>
      <c r="U123">
        <v>0.21992045192552467</v>
      </c>
      <c r="V123" t="s">
        <v>168</v>
      </c>
    </row>
    <row r="124" spans="9:22" x14ac:dyDescent="0.45">
      <c r="I124" t="s">
        <v>188</v>
      </c>
      <c r="J124" t="s">
        <v>173</v>
      </c>
      <c r="K124">
        <v>0.10055504278164057</v>
      </c>
      <c r="L124" t="s">
        <v>168</v>
      </c>
      <c r="N124" t="s">
        <v>212</v>
      </c>
      <c r="O124" t="s">
        <v>173</v>
      </c>
      <c r="P124">
        <v>0.19984399163802857</v>
      </c>
      <c r="Q124" t="s">
        <v>168</v>
      </c>
      <c r="S124" t="s">
        <v>231</v>
      </c>
      <c r="T124" t="s">
        <v>173</v>
      </c>
      <c r="U124">
        <v>0.21342513906725313</v>
      </c>
      <c r="V124" t="s">
        <v>168</v>
      </c>
    </row>
    <row r="125" spans="9:22" x14ac:dyDescent="0.45">
      <c r="I125" t="s">
        <v>188</v>
      </c>
      <c r="J125" t="s">
        <v>174</v>
      </c>
      <c r="K125">
        <v>2.0904380674890096E-3</v>
      </c>
      <c r="L125" t="s">
        <v>168</v>
      </c>
      <c r="N125" t="s">
        <v>212</v>
      </c>
      <c r="O125" t="s">
        <v>174</v>
      </c>
      <c r="P125">
        <v>2.4340675372818702E-2</v>
      </c>
      <c r="Q125" t="s">
        <v>168</v>
      </c>
      <c r="S125" t="s">
        <v>231</v>
      </c>
      <c r="T125" t="s">
        <v>174</v>
      </c>
      <c r="U125">
        <v>2.0630413851939824E-2</v>
      </c>
      <c r="V125" t="s">
        <v>168</v>
      </c>
    </row>
    <row r="126" spans="9:22" x14ac:dyDescent="0.45">
      <c r="I126" t="s">
        <v>188</v>
      </c>
      <c r="J126" t="s">
        <v>175</v>
      </c>
      <c r="K126">
        <v>4.2290104305719299E-2</v>
      </c>
      <c r="L126" t="s">
        <v>168</v>
      </c>
      <c r="N126" t="s">
        <v>212</v>
      </c>
      <c r="O126" t="s">
        <v>175</v>
      </c>
      <c r="P126">
        <v>2.2292667788709596E-2</v>
      </c>
      <c r="Q126" t="s">
        <v>168</v>
      </c>
      <c r="S126" t="s">
        <v>231</v>
      </c>
      <c r="T126" t="s">
        <v>175</v>
      </c>
      <c r="U126">
        <v>1.6205658222184196E-2</v>
      </c>
      <c r="V126" t="s">
        <v>168</v>
      </c>
    </row>
    <row r="127" spans="9:22" x14ac:dyDescent="0.45">
      <c r="I127" t="s">
        <v>188</v>
      </c>
      <c r="J127" t="s">
        <v>176</v>
      </c>
      <c r="K127">
        <v>2.0342387113635512E-3</v>
      </c>
      <c r="L127" t="s">
        <v>168</v>
      </c>
      <c r="N127" t="s">
        <v>212</v>
      </c>
      <c r="O127" t="s">
        <v>176</v>
      </c>
      <c r="P127">
        <v>1.2276050603043005E-2</v>
      </c>
      <c r="Q127" t="s">
        <v>168</v>
      </c>
      <c r="S127" t="s">
        <v>231</v>
      </c>
      <c r="T127" t="s">
        <v>176</v>
      </c>
      <c r="U127">
        <v>1.4327828484393484E-2</v>
      </c>
      <c r="V127" t="s">
        <v>168</v>
      </c>
    </row>
    <row r="128" spans="9:22" x14ac:dyDescent="0.45">
      <c r="I128" t="s">
        <v>189</v>
      </c>
      <c r="J128" t="s">
        <v>167</v>
      </c>
      <c r="K128">
        <v>5.6909938891325611E-3</v>
      </c>
      <c r="L128" t="s">
        <v>168</v>
      </c>
      <c r="N128" t="s">
        <v>213</v>
      </c>
      <c r="O128" t="s">
        <v>167</v>
      </c>
      <c r="P128">
        <v>6.8337277637185348E-2</v>
      </c>
      <c r="Q128" t="s">
        <v>168</v>
      </c>
      <c r="S128" t="s">
        <v>232</v>
      </c>
      <c r="T128" t="s">
        <v>167</v>
      </c>
      <c r="U128">
        <v>9.5658150838284287E-2</v>
      </c>
      <c r="V128" t="s">
        <v>168</v>
      </c>
    </row>
    <row r="129" spans="9:22" x14ac:dyDescent="0.45">
      <c r="I129" t="s">
        <v>189</v>
      </c>
      <c r="J129" t="s">
        <v>169</v>
      </c>
      <c r="K129">
        <v>9.8205322294826092E-2</v>
      </c>
      <c r="L129" t="s">
        <v>168</v>
      </c>
      <c r="N129" t="s">
        <v>213</v>
      </c>
      <c r="O129" t="s">
        <v>169</v>
      </c>
      <c r="P129">
        <v>7.4410272248267142E-2</v>
      </c>
      <c r="Q129" t="s">
        <v>168</v>
      </c>
      <c r="S129" t="s">
        <v>232</v>
      </c>
      <c r="T129" t="s">
        <v>169</v>
      </c>
      <c r="U129">
        <v>9.6977080275249108E-2</v>
      </c>
      <c r="V129" t="s">
        <v>168</v>
      </c>
    </row>
    <row r="130" spans="9:22" x14ac:dyDescent="0.45">
      <c r="I130" t="s">
        <v>189</v>
      </c>
      <c r="J130" t="s">
        <v>170</v>
      </c>
      <c r="K130">
        <v>7.1788952535093509E-3</v>
      </c>
      <c r="L130" t="s">
        <v>168</v>
      </c>
      <c r="N130" t="s">
        <v>213</v>
      </c>
      <c r="O130" t="s">
        <v>170</v>
      </c>
      <c r="P130">
        <v>6.7029109163717362E-2</v>
      </c>
      <c r="Q130" t="s">
        <v>168</v>
      </c>
      <c r="S130" t="s">
        <v>232</v>
      </c>
      <c r="T130" t="s">
        <v>170</v>
      </c>
      <c r="U130">
        <v>7.5452404520284816E-2</v>
      </c>
      <c r="V130" t="s">
        <v>168</v>
      </c>
    </row>
    <row r="131" spans="9:22" x14ac:dyDescent="0.45">
      <c r="I131" t="s">
        <v>189</v>
      </c>
      <c r="J131" t="s">
        <v>171</v>
      </c>
      <c r="K131">
        <v>0.10995552010714832</v>
      </c>
      <c r="L131" t="s">
        <v>168</v>
      </c>
      <c r="N131" t="s">
        <v>213</v>
      </c>
      <c r="O131" t="s">
        <v>171</v>
      </c>
      <c r="P131">
        <v>0.23557895216694758</v>
      </c>
      <c r="Q131" t="s">
        <v>168</v>
      </c>
      <c r="S131" t="s">
        <v>232</v>
      </c>
      <c r="T131" t="s">
        <v>171</v>
      </c>
      <c r="U131">
        <v>0.24887567942398955</v>
      </c>
      <c r="V131" t="s">
        <v>168</v>
      </c>
    </row>
    <row r="132" spans="9:22" x14ac:dyDescent="0.45">
      <c r="I132" t="s">
        <v>189</v>
      </c>
      <c r="J132" t="s">
        <v>172</v>
      </c>
      <c r="K132">
        <v>0.63887665842143038</v>
      </c>
      <c r="L132" t="s">
        <v>168</v>
      </c>
      <c r="N132" t="s">
        <v>213</v>
      </c>
      <c r="O132" t="s">
        <v>172</v>
      </c>
      <c r="P132">
        <v>0.24920018872580871</v>
      </c>
      <c r="Q132" t="s">
        <v>168</v>
      </c>
      <c r="S132" t="s">
        <v>232</v>
      </c>
      <c r="T132" t="s">
        <v>172</v>
      </c>
      <c r="U132">
        <v>0.22577646839125928</v>
      </c>
      <c r="V132" t="s">
        <v>168</v>
      </c>
    </row>
    <row r="133" spans="9:22" x14ac:dyDescent="0.45">
      <c r="I133" t="s">
        <v>189</v>
      </c>
      <c r="J133" t="s">
        <v>173</v>
      </c>
      <c r="K133">
        <v>9.4032552782756143E-2</v>
      </c>
      <c r="L133" t="s">
        <v>168</v>
      </c>
      <c r="N133" t="s">
        <v>213</v>
      </c>
      <c r="O133" t="s">
        <v>173</v>
      </c>
      <c r="P133">
        <v>0.23793625939352397</v>
      </c>
      <c r="Q133" t="s">
        <v>168</v>
      </c>
      <c r="S133" t="s">
        <v>232</v>
      </c>
      <c r="T133" t="s">
        <v>173</v>
      </c>
      <c r="U133">
        <v>0.20098510218029259</v>
      </c>
      <c r="V133" t="s">
        <v>168</v>
      </c>
    </row>
    <row r="134" spans="9:22" x14ac:dyDescent="0.45">
      <c r="I134" t="s">
        <v>189</v>
      </c>
      <c r="J134" t="s">
        <v>174</v>
      </c>
      <c r="K134">
        <v>2.505706758567954E-3</v>
      </c>
      <c r="L134" t="s">
        <v>168</v>
      </c>
      <c r="N134" t="s">
        <v>213</v>
      </c>
      <c r="O134" t="s">
        <v>174</v>
      </c>
      <c r="P134">
        <v>2.7597325974436499E-2</v>
      </c>
      <c r="Q134" t="s">
        <v>168</v>
      </c>
      <c r="S134" t="s">
        <v>232</v>
      </c>
      <c r="T134" t="s">
        <v>174</v>
      </c>
      <c r="U134">
        <v>2.2899555751899881E-2</v>
      </c>
      <c r="V134" t="s">
        <v>168</v>
      </c>
    </row>
    <row r="135" spans="9:22" x14ac:dyDescent="0.45">
      <c r="I135" t="s">
        <v>189</v>
      </c>
      <c r="J135" t="s">
        <v>175</v>
      </c>
      <c r="K135">
        <v>4.3403970171811274E-2</v>
      </c>
      <c r="L135" t="s">
        <v>168</v>
      </c>
      <c r="N135" t="s">
        <v>213</v>
      </c>
      <c r="O135" t="s">
        <v>175</v>
      </c>
      <c r="P135">
        <v>2.2272474572854733E-2</v>
      </c>
      <c r="Q135" t="s">
        <v>168</v>
      </c>
      <c r="S135" t="s">
        <v>232</v>
      </c>
      <c r="T135" t="s">
        <v>175</v>
      </c>
      <c r="U135">
        <v>1.8064261557796731E-2</v>
      </c>
      <c r="V135" t="s">
        <v>168</v>
      </c>
    </row>
    <row r="136" spans="9:22" x14ac:dyDescent="0.45">
      <c r="I136" t="s">
        <v>189</v>
      </c>
      <c r="J136" t="s">
        <v>176</v>
      </c>
      <c r="K136">
        <v>1.5038032081835976E-4</v>
      </c>
      <c r="L136" t="s">
        <v>168</v>
      </c>
      <c r="N136" t="s">
        <v>213</v>
      </c>
      <c r="O136" t="s">
        <v>176</v>
      </c>
      <c r="P136">
        <v>1.7638140117251903E-2</v>
      </c>
      <c r="Q136" t="s">
        <v>168</v>
      </c>
      <c r="S136" t="s">
        <v>232</v>
      </c>
      <c r="T136" t="s">
        <v>176</v>
      </c>
      <c r="U136">
        <v>1.5311297060940076E-2</v>
      </c>
      <c r="V136" t="s">
        <v>168</v>
      </c>
    </row>
    <row r="137" spans="9:22" x14ac:dyDescent="0.45">
      <c r="I137" t="s">
        <v>190</v>
      </c>
      <c r="J137" t="s">
        <v>167</v>
      </c>
      <c r="K137">
        <v>5.4390947707566679E-3</v>
      </c>
      <c r="L137" t="s">
        <v>168</v>
      </c>
      <c r="N137" t="s">
        <v>214</v>
      </c>
      <c r="O137" t="s">
        <v>167</v>
      </c>
      <c r="P137">
        <v>8.5433185075015017E-2</v>
      </c>
      <c r="Q137" t="s">
        <v>168</v>
      </c>
      <c r="S137" t="s">
        <v>233</v>
      </c>
      <c r="T137" t="s">
        <v>167</v>
      </c>
      <c r="U137">
        <v>9.0808017431252164E-2</v>
      </c>
      <c r="V137" t="s">
        <v>168</v>
      </c>
    </row>
    <row r="138" spans="9:22" x14ac:dyDescent="0.45">
      <c r="I138" t="s">
        <v>190</v>
      </c>
      <c r="J138" t="s">
        <v>169</v>
      </c>
      <c r="K138">
        <v>9.5416138234399178E-2</v>
      </c>
      <c r="L138" t="s">
        <v>168</v>
      </c>
      <c r="N138" t="s">
        <v>214</v>
      </c>
      <c r="O138" t="s">
        <v>169</v>
      </c>
      <c r="P138">
        <v>8.0510654489457573E-2</v>
      </c>
      <c r="Q138" t="s">
        <v>168</v>
      </c>
      <c r="S138" t="s">
        <v>233</v>
      </c>
      <c r="T138" t="s">
        <v>169</v>
      </c>
      <c r="U138">
        <v>8.106006219411413E-2</v>
      </c>
      <c r="V138" t="s">
        <v>168</v>
      </c>
    </row>
    <row r="139" spans="9:22" x14ac:dyDescent="0.45">
      <c r="I139" t="s">
        <v>190</v>
      </c>
      <c r="J139" t="s">
        <v>170</v>
      </c>
      <c r="K139">
        <v>4.55843227993804E-3</v>
      </c>
      <c r="L139" t="s">
        <v>168</v>
      </c>
      <c r="N139" t="s">
        <v>214</v>
      </c>
      <c r="O139" t="s">
        <v>170</v>
      </c>
      <c r="P139">
        <v>6.745802486541852E-2</v>
      </c>
      <c r="Q139" t="s">
        <v>168</v>
      </c>
      <c r="S139" t="s">
        <v>233</v>
      </c>
      <c r="T139" t="s">
        <v>170</v>
      </c>
      <c r="U139">
        <v>6.5506053703533074E-2</v>
      </c>
      <c r="V139" t="s">
        <v>168</v>
      </c>
    </row>
    <row r="140" spans="9:22" x14ac:dyDescent="0.45">
      <c r="I140" t="s">
        <v>190</v>
      </c>
      <c r="J140" t="s">
        <v>171</v>
      </c>
      <c r="K140">
        <v>0.12031878171696309</v>
      </c>
      <c r="L140" t="s">
        <v>168</v>
      </c>
      <c r="N140" t="s">
        <v>214</v>
      </c>
      <c r="O140" t="s">
        <v>171</v>
      </c>
      <c r="P140">
        <v>0.24412171688691531</v>
      </c>
      <c r="Q140" t="s">
        <v>168</v>
      </c>
      <c r="S140" t="s">
        <v>233</v>
      </c>
      <c r="T140" t="s">
        <v>171</v>
      </c>
      <c r="U140">
        <v>0.26268023484728498</v>
      </c>
      <c r="V140" t="s">
        <v>168</v>
      </c>
    </row>
    <row r="141" spans="9:22" x14ac:dyDescent="0.45">
      <c r="I141" t="s">
        <v>190</v>
      </c>
      <c r="J141" t="s">
        <v>172</v>
      </c>
      <c r="K141">
        <v>0.63684006750365074</v>
      </c>
      <c r="L141" t="s">
        <v>168</v>
      </c>
      <c r="N141" t="s">
        <v>214</v>
      </c>
      <c r="O141" t="s">
        <v>172</v>
      </c>
      <c r="P141">
        <v>0.2562436415924802</v>
      </c>
      <c r="Q141" t="s">
        <v>168</v>
      </c>
      <c r="S141" t="s">
        <v>233</v>
      </c>
      <c r="T141" t="s">
        <v>172</v>
      </c>
      <c r="U141">
        <v>0.22035012684241148</v>
      </c>
      <c r="V141" t="s">
        <v>168</v>
      </c>
    </row>
    <row r="142" spans="9:22" x14ac:dyDescent="0.45">
      <c r="I142" t="s">
        <v>190</v>
      </c>
      <c r="J142" t="s">
        <v>173</v>
      </c>
      <c r="K142">
        <v>9.2040450455148984E-2</v>
      </c>
      <c r="L142" t="s">
        <v>168</v>
      </c>
      <c r="N142" t="s">
        <v>214</v>
      </c>
      <c r="O142" t="s">
        <v>173</v>
      </c>
      <c r="P142">
        <v>0.20485859467097489</v>
      </c>
      <c r="Q142" t="s">
        <v>168</v>
      </c>
      <c r="S142" t="s">
        <v>233</v>
      </c>
      <c r="T142" t="s">
        <v>173</v>
      </c>
      <c r="U142">
        <v>0.21440983729765525</v>
      </c>
      <c r="V142" t="s">
        <v>168</v>
      </c>
    </row>
    <row r="143" spans="9:22" x14ac:dyDescent="0.45">
      <c r="I143" t="s">
        <v>190</v>
      </c>
      <c r="J143" t="s">
        <v>174</v>
      </c>
      <c r="K143">
        <v>2.4891709811901636E-3</v>
      </c>
      <c r="L143" t="s">
        <v>168</v>
      </c>
      <c r="N143" t="s">
        <v>214</v>
      </c>
      <c r="O143" t="s">
        <v>174</v>
      </c>
      <c r="P143">
        <v>2.2739670465530094E-2</v>
      </c>
      <c r="Q143" t="s">
        <v>168</v>
      </c>
      <c r="S143" t="s">
        <v>233</v>
      </c>
      <c r="T143" t="s">
        <v>174</v>
      </c>
      <c r="U143">
        <v>2.482040184118714E-2</v>
      </c>
      <c r="V143" t="s">
        <v>168</v>
      </c>
    </row>
    <row r="144" spans="9:22" x14ac:dyDescent="0.45">
      <c r="I144" t="s">
        <v>190</v>
      </c>
      <c r="J144" t="s">
        <v>175</v>
      </c>
      <c r="K144">
        <v>4.2897864057951936E-2</v>
      </c>
      <c r="L144" t="s">
        <v>168</v>
      </c>
      <c r="N144" t="s">
        <v>214</v>
      </c>
      <c r="O144" t="s">
        <v>175</v>
      </c>
      <c r="P144">
        <v>2.1330508767522072E-2</v>
      </c>
      <c r="Q144" t="s">
        <v>168</v>
      </c>
      <c r="S144" t="s">
        <v>233</v>
      </c>
      <c r="T144" t="s">
        <v>175</v>
      </c>
      <c r="U144">
        <v>2.1361219770904421E-2</v>
      </c>
      <c r="V144" t="s">
        <v>168</v>
      </c>
    </row>
    <row r="145" spans="9:22" x14ac:dyDescent="0.45">
      <c r="I145" t="s">
        <v>190</v>
      </c>
      <c r="J145" t="s">
        <v>176</v>
      </c>
      <c r="K145">
        <v>0</v>
      </c>
      <c r="L145" t="s">
        <v>168</v>
      </c>
      <c r="N145" t="s">
        <v>214</v>
      </c>
      <c r="O145" t="s">
        <v>176</v>
      </c>
      <c r="P145">
        <v>1.73040031866908E-2</v>
      </c>
      <c r="Q145" t="s">
        <v>168</v>
      </c>
      <c r="S145" t="s">
        <v>233</v>
      </c>
      <c r="T145" t="s">
        <v>176</v>
      </c>
      <c r="U145">
        <v>1.9004046071658481E-2</v>
      </c>
      <c r="V145" t="s">
        <v>168</v>
      </c>
    </row>
    <row r="146" spans="9:22" x14ac:dyDescent="0.45">
      <c r="I146" t="s">
        <v>191</v>
      </c>
      <c r="J146" t="s">
        <v>167</v>
      </c>
      <c r="K146">
        <v>4.313165327807171E-3</v>
      </c>
      <c r="L146" t="s">
        <v>168</v>
      </c>
      <c r="N146" t="s">
        <v>215</v>
      </c>
      <c r="O146" t="s">
        <v>167</v>
      </c>
      <c r="P146">
        <v>8.6966052164657026E-2</v>
      </c>
      <c r="Q146" t="s">
        <v>168</v>
      </c>
      <c r="S146" t="s">
        <v>234</v>
      </c>
      <c r="T146" t="s">
        <v>167</v>
      </c>
      <c r="U146">
        <v>9.3595357971433313E-2</v>
      </c>
      <c r="V146" t="s">
        <v>168</v>
      </c>
    </row>
    <row r="147" spans="9:22" x14ac:dyDescent="0.45">
      <c r="I147" t="s">
        <v>191</v>
      </c>
      <c r="J147" t="s">
        <v>169</v>
      </c>
      <c r="K147">
        <v>8.9411306386586661E-2</v>
      </c>
      <c r="L147" t="s">
        <v>168</v>
      </c>
      <c r="N147" t="s">
        <v>215</v>
      </c>
      <c r="O147" t="s">
        <v>169</v>
      </c>
      <c r="P147">
        <v>8.9340832884309371E-2</v>
      </c>
      <c r="Q147" t="s">
        <v>168</v>
      </c>
      <c r="S147" t="s">
        <v>234</v>
      </c>
      <c r="T147" t="s">
        <v>169</v>
      </c>
      <c r="U147">
        <v>8.2927587512847054E-2</v>
      </c>
      <c r="V147" t="s">
        <v>168</v>
      </c>
    </row>
    <row r="148" spans="9:22" x14ac:dyDescent="0.45">
      <c r="I148" t="s">
        <v>191</v>
      </c>
      <c r="J148" t="s">
        <v>170</v>
      </c>
      <c r="K148">
        <v>5.4037167789594189E-3</v>
      </c>
      <c r="L148" t="s">
        <v>168</v>
      </c>
      <c r="N148" t="s">
        <v>215</v>
      </c>
      <c r="O148" t="s">
        <v>170</v>
      </c>
      <c r="P148">
        <v>7.2300845543772571E-2</v>
      </c>
      <c r="Q148" t="s">
        <v>168</v>
      </c>
      <c r="S148" t="s">
        <v>234</v>
      </c>
      <c r="T148" t="s">
        <v>170</v>
      </c>
      <c r="U148">
        <v>7.1523698848541914E-2</v>
      </c>
      <c r="V148" t="s">
        <v>168</v>
      </c>
    </row>
    <row r="149" spans="9:22" x14ac:dyDescent="0.45">
      <c r="I149" t="s">
        <v>191</v>
      </c>
      <c r="J149" t="s">
        <v>171</v>
      </c>
      <c r="K149">
        <v>0.11286415118157711</v>
      </c>
      <c r="L149" t="s">
        <v>168</v>
      </c>
      <c r="N149" t="s">
        <v>215</v>
      </c>
      <c r="O149" t="s">
        <v>171</v>
      </c>
      <c r="P149">
        <v>0.2382774478568801</v>
      </c>
      <c r="Q149" t="s">
        <v>168</v>
      </c>
      <c r="S149" t="s">
        <v>234</v>
      </c>
      <c r="T149" t="s">
        <v>171</v>
      </c>
      <c r="U149">
        <v>0.24697792923157455</v>
      </c>
      <c r="V149" t="s">
        <v>168</v>
      </c>
    </row>
    <row r="150" spans="9:22" x14ac:dyDescent="0.45">
      <c r="I150" t="s">
        <v>191</v>
      </c>
      <c r="J150" t="s">
        <v>172</v>
      </c>
      <c r="K150">
        <v>0.64692321992209811</v>
      </c>
      <c r="L150" t="s">
        <v>168</v>
      </c>
      <c r="N150" t="s">
        <v>215</v>
      </c>
      <c r="O150" t="s">
        <v>172</v>
      </c>
      <c r="P150">
        <v>0.23699023082134099</v>
      </c>
      <c r="Q150" t="s">
        <v>168</v>
      </c>
      <c r="S150" t="s">
        <v>234</v>
      </c>
      <c r="T150" t="s">
        <v>172</v>
      </c>
      <c r="U150">
        <v>0.23394687533541506</v>
      </c>
      <c r="V150" t="s">
        <v>168</v>
      </c>
    </row>
    <row r="151" spans="9:22" x14ac:dyDescent="0.45">
      <c r="I151" t="s">
        <v>191</v>
      </c>
      <c r="J151" t="s">
        <v>173</v>
      </c>
      <c r="K151">
        <v>9.484959279467392E-2</v>
      </c>
      <c r="L151" t="s">
        <v>168</v>
      </c>
      <c r="N151" t="s">
        <v>215</v>
      </c>
      <c r="O151" t="s">
        <v>173</v>
      </c>
      <c r="P151">
        <v>0.20753839030179655</v>
      </c>
      <c r="Q151" t="s">
        <v>168</v>
      </c>
      <c r="S151" t="s">
        <v>234</v>
      </c>
      <c r="T151" t="s">
        <v>173</v>
      </c>
      <c r="U151">
        <v>0.20490753027358102</v>
      </c>
      <c r="V151" t="s">
        <v>168</v>
      </c>
    </row>
    <row r="152" spans="9:22" x14ac:dyDescent="0.45">
      <c r="I152" t="s">
        <v>191</v>
      </c>
      <c r="J152" t="s">
        <v>174</v>
      </c>
      <c r="K152">
        <v>2.0564051620165823E-3</v>
      </c>
      <c r="L152" t="s">
        <v>168</v>
      </c>
      <c r="N152" t="s">
        <v>215</v>
      </c>
      <c r="O152" t="s">
        <v>174</v>
      </c>
      <c r="P152">
        <v>2.6190470437940372E-2</v>
      </c>
      <c r="Q152" t="s">
        <v>168</v>
      </c>
      <c r="S152" t="s">
        <v>234</v>
      </c>
      <c r="T152" t="s">
        <v>174</v>
      </c>
      <c r="U152">
        <v>2.5060753888801506E-2</v>
      </c>
      <c r="V152" t="s">
        <v>168</v>
      </c>
    </row>
    <row r="153" spans="9:22" x14ac:dyDescent="0.45">
      <c r="I153" t="s">
        <v>191</v>
      </c>
      <c r="J153" t="s">
        <v>175</v>
      </c>
      <c r="K153">
        <v>4.4171588888397333E-2</v>
      </c>
      <c r="L153" t="s">
        <v>168</v>
      </c>
      <c r="N153" t="s">
        <v>215</v>
      </c>
      <c r="O153" t="s">
        <v>175</v>
      </c>
      <c r="P153">
        <v>2.1450955543741119E-2</v>
      </c>
      <c r="Q153" t="s">
        <v>168</v>
      </c>
      <c r="S153" t="s">
        <v>234</v>
      </c>
      <c r="T153" t="s">
        <v>175</v>
      </c>
      <c r="U153">
        <v>2.1834842770718503E-2</v>
      </c>
      <c r="V153" t="s">
        <v>168</v>
      </c>
    </row>
    <row r="154" spans="9:22" x14ac:dyDescent="0.45">
      <c r="I154" t="s">
        <v>191</v>
      </c>
      <c r="J154" t="s">
        <v>176</v>
      </c>
      <c r="K154">
        <v>6.8535578863357264E-6</v>
      </c>
      <c r="L154" t="s">
        <v>168</v>
      </c>
      <c r="N154" t="s">
        <v>215</v>
      </c>
      <c r="O154" t="s">
        <v>176</v>
      </c>
      <c r="P154">
        <v>2.0944774445564092E-2</v>
      </c>
      <c r="Q154" t="s">
        <v>168</v>
      </c>
      <c r="S154" t="s">
        <v>234</v>
      </c>
      <c r="T154" t="s">
        <v>176</v>
      </c>
      <c r="U154">
        <v>1.9225424167093233E-2</v>
      </c>
      <c r="V154" t="s">
        <v>168</v>
      </c>
    </row>
    <row r="155" spans="9:22" x14ac:dyDescent="0.45">
      <c r="I155" t="s">
        <v>192</v>
      </c>
      <c r="J155" t="s">
        <v>167</v>
      </c>
      <c r="K155">
        <v>1.7837246821318304E-3</v>
      </c>
      <c r="L155" t="s">
        <v>168</v>
      </c>
      <c r="N155" t="s">
        <v>216</v>
      </c>
      <c r="O155" t="s">
        <v>167</v>
      </c>
      <c r="P155">
        <v>9.2892534474856486E-2</v>
      </c>
      <c r="Q155" t="s">
        <v>168</v>
      </c>
      <c r="S155" t="s">
        <v>235</v>
      </c>
      <c r="T155" t="s">
        <v>167</v>
      </c>
      <c r="U155">
        <v>9.5795339699522183E-2</v>
      </c>
      <c r="V155" t="s">
        <v>168</v>
      </c>
    </row>
    <row r="156" spans="9:22" x14ac:dyDescent="0.45">
      <c r="I156" t="s">
        <v>192</v>
      </c>
      <c r="J156" t="s">
        <v>169</v>
      </c>
      <c r="K156">
        <v>8.8395718140390392E-2</v>
      </c>
      <c r="L156" t="s">
        <v>168</v>
      </c>
      <c r="N156" t="s">
        <v>216</v>
      </c>
      <c r="O156" t="s">
        <v>169</v>
      </c>
      <c r="P156">
        <v>0.1088228455435019</v>
      </c>
      <c r="Q156" t="s">
        <v>168</v>
      </c>
      <c r="S156" t="s">
        <v>235</v>
      </c>
      <c r="T156" t="s">
        <v>169</v>
      </c>
      <c r="U156">
        <v>9.3382173484760023E-2</v>
      </c>
      <c r="V156" t="s">
        <v>168</v>
      </c>
    </row>
    <row r="157" spans="9:22" x14ac:dyDescent="0.45">
      <c r="I157" t="s">
        <v>192</v>
      </c>
      <c r="J157" t="s">
        <v>170</v>
      </c>
      <c r="K157">
        <v>5.5007432813915791E-3</v>
      </c>
      <c r="L157" t="s">
        <v>168</v>
      </c>
      <c r="N157" t="s">
        <v>216</v>
      </c>
      <c r="O157" t="s">
        <v>170</v>
      </c>
      <c r="P157">
        <v>8.1767415783735517E-2</v>
      </c>
      <c r="Q157" t="s">
        <v>168</v>
      </c>
      <c r="S157" t="s">
        <v>235</v>
      </c>
      <c r="T157" t="s">
        <v>170</v>
      </c>
      <c r="U157">
        <v>8.3041702530176953E-2</v>
      </c>
      <c r="V157" t="s">
        <v>168</v>
      </c>
    </row>
    <row r="158" spans="9:22" x14ac:dyDescent="0.45">
      <c r="I158" t="s">
        <v>192</v>
      </c>
      <c r="J158" t="s">
        <v>171</v>
      </c>
      <c r="K158">
        <v>0.10062200118994961</v>
      </c>
      <c r="L158" t="s">
        <v>168</v>
      </c>
      <c r="N158" t="s">
        <v>216</v>
      </c>
      <c r="O158" t="s">
        <v>171</v>
      </c>
      <c r="P158">
        <v>0.21697194782536722</v>
      </c>
      <c r="Q158" t="s">
        <v>168</v>
      </c>
      <c r="S158" t="s">
        <v>235</v>
      </c>
      <c r="T158" t="s">
        <v>171</v>
      </c>
      <c r="U158">
        <v>0.22583095837885739</v>
      </c>
      <c r="V158" t="s">
        <v>168</v>
      </c>
    </row>
    <row r="159" spans="9:22" x14ac:dyDescent="0.45">
      <c r="I159" t="s">
        <v>192</v>
      </c>
      <c r="J159" t="s">
        <v>172</v>
      </c>
      <c r="K159">
        <v>0.64999079995535702</v>
      </c>
      <c r="L159" t="s">
        <v>168</v>
      </c>
      <c r="N159" t="s">
        <v>216</v>
      </c>
      <c r="O159" t="s">
        <v>172</v>
      </c>
      <c r="P159">
        <v>0.25615790422960122</v>
      </c>
      <c r="Q159" t="s">
        <v>168</v>
      </c>
      <c r="S159" t="s">
        <v>235</v>
      </c>
      <c r="T159" t="s">
        <v>172</v>
      </c>
      <c r="U159">
        <v>0.22917898142969581</v>
      </c>
      <c r="V159" t="s">
        <v>168</v>
      </c>
    </row>
    <row r="160" spans="9:22" x14ac:dyDescent="0.45">
      <c r="I160" t="s">
        <v>192</v>
      </c>
      <c r="J160" t="s">
        <v>173</v>
      </c>
      <c r="K160">
        <v>0.1078915890665294</v>
      </c>
      <c r="L160" t="s">
        <v>168</v>
      </c>
      <c r="N160" t="s">
        <v>216</v>
      </c>
      <c r="O160" t="s">
        <v>173</v>
      </c>
      <c r="P160">
        <v>0.1941107423843228</v>
      </c>
      <c r="Q160" t="s">
        <v>168</v>
      </c>
      <c r="S160" t="s">
        <v>235</v>
      </c>
      <c r="T160" t="s">
        <v>173</v>
      </c>
      <c r="U160">
        <v>0.20324364280564955</v>
      </c>
      <c r="V160" t="s">
        <v>168</v>
      </c>
    </row>
    <row r="161" spans="9:22" x14ac:dyDescent="0.45">
      <c r="I161" t="s">
        <v>192</v>
      </c>
      <c r="J161" t="s">
        <v>174</v>
      </c>
      <c r="K161">
        <v>0</v>
      </c>
      <c r="L161" t="s">
        <v>168</v>
      </c>
      <c r="N161" t="s">
        <v>216</v>
      </c>
      <c r="O161" t="s">
        <v>174</v>
      </c>
      <c r="P161">
        <v>2.1081339412794008E-2</v>
      </c>
      <c r="Q161" t="s">
        <v>168</v>
      </c>
      <c r="S161" t="s">
        <v>235</v>
      </c>
      <c r="T161" t="s">
        <v>174</v>
      </c>
      <c r="U161">
        <v>2.7359984311205853E-2</v>
      </c>
      <c r="V161" t="s">
        <v>168</v>
      </c>
    </row>
    <row r="162" spans="9:22" x14ac:dyDescent="0.45">
      <c r="I162" t="s">
        <v>192</v>
      </c>
      <c r="J162" t="s">
        <v>175</v>
      </c>
      <c r="K162">
        <v>4.5815423684248929E-2</v>
      </c>
      <c r="L162" t="s">
        <v>168</v>
      </c>
      <c r="N162" t="s">
        <v>216</v>
      </c>
      <c r="O162" t="s">
        <v>175</v>
      </c>
      <c r="P162">
        <v>1.4665958866444003E-2</v>
      </c>
      <c r="Q162" t="s">
        <v>168</v>
      </c>
      <c r="S162" t="s">
        <v>235</v>
      </c>
      <c r="T162" t="s">
        <v>175</v>
      </c>
      <c r="U162">
        <v>2.0149750985888774E-2</v>
      </c>
      <c r="V162" t="s">
        <v>168</v>
      </c>
    </row>
    <row r="163" spans="9:22" x14ac:dyDescent="0.45">
      <c r="I163" t="s">
        <v>192</v>
      </c>
      <c r="J163" t="s">
        <v>176</v>
      </c>
      <c r="K163">
        <v>0</v>
      </c>
      <c r="L163" t="s">
        <v>168</v>
      </c>
      <c r="N163" t="s">
        <v>216</v>
      </c>
      <c r="O163" t="s">
        <v>176</v>
      </c>
      <c r="P163">
        <v>1.3529311479373845E-2</v>
      </c>
      <c r="Q163" t="s">
        <v>168</v>
      </c>
      <c r="S163" t="s">
        <v>235</v>
      </c>
      <c r="T163" t="s">
        <v>176</v>
      </c>
      <c r="U163">
        <v>2.2017466374244107E-2</v>
      </c>
      <c r="V163" t="s">
        <v>168</v>
      </c>
    </row>
    <row r="164" spans="9:22" x14ac:dyDescent="0.45">
      <c r="I164" t="s">
        <v>193</v>
      </c>
      <c r="J164" t="s">
        <v>167</v>
      </c>
      <c r="K164">
        <v>1.805085266228891E-3</v>
      </c>
      <c r="L164" t="s">
        <v>168</v>
      </c>
      <c r="N164" t="s">
        <v>217</v>
      </c>
      <c r="O164" t="s">
        <v>167</v>
      </c>
      <c r="P164">
        <v>9.8092982652947108E-2</v>
      </c>
      <c r="Q164" t="s">
        <v>168</v>
      </c>
      <c r="S164" t="s">
        <v>236</v>
      </c>
      <c r="T164" t="s">
        <v>167</v>
      </c>
      <c r="U164">
        <v>9.126766572588213E-2</v>
      </c>
      <c r="V164" t="s">
        <v>168</v>
      </c>
    </row>
    <row r="165" spans="9:22" x14ac:dyDescent="0.45">
      <c r="I165" t="s">
        <v>193</v>
      </c>
      <c r="J165" t="s">
        <v>169</v>
      </c>
      <c r="K165">
        <v>0.10147005749411536</v>
      </c>
      <c r="L165" t="s">
        <v>168</v>
      </c>
      <c r="N165" t="s">
        <v>217</v>
      </c>
      <c r="O165" t="s">
        <v>169</v>
      </c>
      <c r="P165">
        <v>9.7543120507049816E-2</v>
      </c>
      <c r="Q165" t="s">
        <v>168</v>
      </c>
      <c r="S165" t="s">
        <v>236</v>
      </c>
      <c r="T165" t="s">
        <v>169</v>
      </c>
      <c r="U165">
        <v>8.7206109971759774E-2</v>
      </c>
      <c r="V165" t="s">
        <v>168</v>
      </c>
    </row>
    <row r="166" spans="9:22" x14ac:dyDescent="0.45">
      <c r="I166" t="s">
        <v>193</v>
      </c>
      <c r="J166" t="s">
        <v>170</v>
      </c>
      <c r="K166">
        <v>7.0016407688193866E-3</v>
      </c>
      <c r="L166" t="s">
        <v>168</v>
      </c>
      <c r="N166" t="s">
        <v>217</v>
      </c>
      <c r="O166" t="s">
        <v>170</v>
      </c>
      <c r="P166">
        <v>8.4486441701584411E-2</v>
      </c>
      <c r="Q166" t="s">
        <v>168</v>
      </c>
      <c r="S166" t="s">
        <v>236</v>
      </c>
      <c r="T166" t="s">
        <v>170</v>
      </c>
      <c r="U166">
        <v>7.4110401825838612E-2</v>
      </c>
      <c r="V166" t="s">
        <v>168</v>
      </c>
    </row>
    <row r="167" spans="9:22" x14ac:dyDescent="0.45">
      <c r="I167" t="s">
        <v>193</v>
      </c>
      <c r="J167" t="s">
        <v>171</v>
      </c>
      <c r="K167">
        <v>9.5060336870760972E-2</v>
      </c>
      <c r="L167" t="s">
        <v>168</v>
      </c>
      <c r="N167" t="s">
        <v>217</v>
      </c>
      <c r="O167" t="s">
        <v>171</v>
      </c>
      <c r="P167">
        <v>0.24194229442076093</v>
      </c>
      <c r="Q167" t="s">
        <v>168</v>
      </c>
      <c r="S167" t="s">
        <v>236</v>
      </c>
      <c r="T167" t="s">
        <v>171</v>
      </c>
      <c r="U167">
        <v>0.25667083415775832</v>
      </c>
      <c r="V167" t="s">
        <v>168</v>
      </c>
    </row>
    <row r="168" spans="9:22" x14ac:dyDescent="0.45">
      <c r="I168" t="s">
        <v>193</v>
      </c>
      <c r="J168" t="s">
        <v>172</v>
      </c>
      <c r="K168">
        <v>0.63914675593389292</v>
      </c>
      <c r="L168" t="s">
        <v>168</v>
      </c>
      <c r="N168" t="s">
        <v>217</v>
      </c>
      <c r="O168" t="s">
        <v>172</v>
      </c>
      <c r="P168">
        <v>0.21652787788277147</v>
      </c>
      <c r="Q168" t="s">
        <v>168</v>
      </c>
      <c r="S168" t="s">
        <v>236</v>
      </c>
      <c r="T168" t="s">
        <v>172</v>
      </c>
      <c r="U168">
        <v>0.20528426284349566</v>
      </c>
      <c r="V168" t="s">
        <v>168</v>
      </c>
    </row>
    <row r="169" spans="9:22" x14ac:dyDescent="0.45">
      <c r="I169" t="s">
        <v>193</v>
      </c>
      <c r="J169" t="s">
        <v>173</v>
      </c>
      <c r="K169">
        <v>0.10611591869685962</v>
      </c>
      <c r="L169" t="s">
        <v>168</v>
      </c>
      <c r="N169" t="s">
        <v>217</v>
      </c>
      <c r="O169" t="s">
        <v>173</v>
      </c>
      <c r="P169">
        <v>0.19864938556694867</v>
      </c>
      <c r="Q169" t="s">
        <v>168</v>
      </c>
      <c r="S169" t="s">
        <v>236</v>
      </c>
      <c r="T169" t="s">
        <v>173</v>
      </c>
      <c r="U169">
        <v>0.19640132317759637</v>
      </c>
      <c r="V169" t="s">
        <v>168</v>
      </c>
    </row>
    <row r="170" spans="9:22" x14ac:dyDescent="0.45">
      <c r="I170" t="s">
        <v>193</v>
      </c>
      <c r="J170" t="s">
        <v>174</v>
      </c>
      <c r="K170">
        <v>0</v>
      </c>
      <c r="L170" t="s">
        <v>168</v>
      </c>
      <c r="N170" t="s">
        <v>217</v>
      </c>
      <c r="O170" t="s">
        <v>174</v>
      </c>
      <c r="P170">
        <v>2.7288947720448053E-2</v>
      </c>
      <c r="Q170" t="s">
        <v>168</v>
      </c>
      <c r="S170" t="s">
        <v>236</v>
      </c>
      <c r="T170" t="s">
        <v>174</v>
      </c>
      <c r="U170">
        <v>3.1796406757814713E-2</v>
      </c>
      <c r="V170" t="s">
        <v>168</v>
      </c>
    </row>
    <row r="171" spans="9:22" x14ac:dyDescent="0.45">
      <c r="I171" t="s">
        <v>193</v>
      </c>
      <c r="J171" t="s">
        <v>175</v>
      </c>
      <c r="K171">
        <v>4.9400204969323368E-2</v>
      </c>
      <c r="L171" t="s">
        <v>168</v>
      </c>
      <c r="N171" t="s">
        <v>217</v>
      </c>
      <c r="O171" t="s">
        <v>175</v>
      </c>
      <c r="P171">
        <v>1.9156229339893516E-2</v>
      </c>
      <c r="Q171" t="s">
        <v>168</v>
      </c>
      <c r="S171" t="s">
        <v>236</v>
      </c>
      <c r="T171" t="s">
        <v>175</v>
      </c>
      <c r="U171">
        <v>3.0076661772374187E-2</v>
      </c>
      <c r="V171" t="s">
        <v>168</v>
      </c>
    </row>
    <row r="172" spans="9:22" x14ac:dyDescent="0.45">
      <c r="I172" t="s">
        <v>193</v>
      </c>
      <c r="J172" t="s">
        <v>176</v>
      </c>
      <c r="K172">
        <v>0</v>
      </c>
      <c r="L172" t="s">
        <v>168</v>
      </c>
      <c r="N172" t="s">
        <v>217</v>
      </c>
      <c r="O172" t="s">
        <v>176</v>
      </c>
      <c r="P172">
        <v>1.6312720207596585E-2</v>
      </c>
      <c r="Q172" t="s">
        <v>168</v>
      </c>
      <c r="S172" t="s">
        <v>236</v>
      </c>
      <c r="T172" t="s">
        <v>176</v>
      </c>
      <c r="U172">
        <v>2.7186333767484326E-2</v>
      </c>
      <c r="V172" t="s">
        <v>168</v>
      </c>
    </row>
    <row r="173" spans="9:22" x14ac:dyDescent="0.45">
      <c r="I173" t="s">
        <v>194</v>
      </c>
      <c r="J173" t="s">
        <v>167</v>
      </c>
      <c r="K173">
        <v>2.7244222263183315E-3</v>
      </c>
      <c r="L173" t="s">
        <v>168</v>
      </c>
      <c r="N173" t="s">
        <v>218</v>
      </c>
      <c r="O173" t="s">
        <v>167</v>
      </c>
      <c r="P173">
        <v>9.7906275499765674E-2</v>
      </c>
      <c r="Q173" t="s">
        <v>168</v>
      </c>
      <c r="S173" t="s">
        <v>237</v>
      </c>
      <c r="T173" t="s">
        <v>167</v>
      </c>
      <c r="U173">
        <v>8.7197332351728399E-2</v>
      </c>
      <c r="V173" t="s">
        <v>168</v>
      </c>
    </row>
    <row r="174" spans="9:22" x14ac:dyDescent="0.45">
      <c r="I174" t="s">
        <v>194</v>
      </c>
      <c r="J174" t="s">
        <v>169</v>
      </c>
      <c r="K174">
        <v>8.9596919280096401E-2</v>
      </c>
      <c r="L174" t="s">
        <v>168</v>
      </c>
      <c r="N174" t="s">
        <v>218</v>
      </c>
      <c r="O174" t="s">
        <v>169</v>
      </c>
      <c r="P174">
        <v>9.2475543602438925E-2</v>
      </c>
      <c r="Q174" t="s">
        <v>168</v>
      </c>
      <c r="S174" t="s">
        <v>237</v>
      </c>
      <c r="T174" t="s">
        <v>169</v>
      </c>
      <c r="U174">
        <v>8.7985726822179283E-2</v>
      </c>
      <c r="V174" t="s">
        <v>168</v>
      </c>
    </row>
    <row r="175" spans="9:22" x14ac:dyDescent="0.45">
      <c r="I175" t="s">
        <v>194</v>
      </c>
      <c r="J175" t="s">
        <v>170</v>
      </c>
      <c r="K175">
        <v>6.5500509686643692E-3</v>
      </c>
      <c r="L175" t="s">
        <v>168</v>
      </c>
      <c r="N175" t="s">
        <v>218</v>
      </c>
      <c r="O175" t="s">
        <v>170</v>
      </c>
      <c r="P175">
        <v>8.292846630955629E-2</v>
      </c>
      <c r="Q175" t="s">
        <v>168</v>
      </c>
      <c r="S175" t="s">
        <v>237</v>
      </c>
      <c r="T175" t="s">
        <v>170</v>
      </c>
      <c r="U175">
        <v>7.2815201730143192E-2</v>
      </c>
      <c r="V175" t="s">
        <v>168</v>
      </c>
    </row>
    <row r="176" spans="9:22" x14ac:dyDescent="0.45">
      <c r="I176" t="s">
        <v>194</v>
      </c>
      <c r="J176" t="s">
        <v>171</v>
      </c>
      <c r="K176">
        <v>0.10383592397759492</v>
      </c>
      <c r="L176" t="s">
        <v>168</v>
      </c>
      <c r="N176" t="s">
        <v>218</v>
      </c>
      <c r="O176" t="s">
        <v>171</v>
      </c>
      <c r="P176">
        <v>0.24410117174222393</v>
      </c>
      <c r="Q176" t="s">
        <v>168</v>
      </c>
      <c r="S176" t="s">
        <v>237</v>
      </c>
      <c r="T176" t="s">
        <v>171</v>
      </c>
      <c r="U176">
        <v>0.24856062550793637</v>
      </c>
      <c r="V176" t="s">
        <v>168</v>
      </c>
    </row>
    <row r="177" spans="9:22" x14ac:dyDescent="0.45">
      <c r="I177" t="s">
        <v>194</v>
      </c>
      <c r="J177" t="s">
        <v>172</v>
      </c>
      <c r="K177">
        <v>0.65280977126492268</v>
      </c>
      <c r="L177" t="s">
        <v>168</v>
      </c>
      <c r="N177" t="s">
        <v>218</v>
      </c>
      <c r="O177" t="s">
        <v>172</v>
      </c>
      <c r="P177">
        <v>0.23765278759503575</v>
      </c>
      <c r="Q177" t="s">
        <v>168</v>
      </c>
      <c r="S177" t="s">
        <v>237</v>
      </c>
      <c r="T177" t="s">
        <v>172</v>
      </c>
      <c r="U177">
        <v>0.22170057527448933</v>
      </c>
      <c r="V177" t="s">
        <v>168</v>
      </c>
    </row>
    <row r="178" spans="9:22" x14ac:dyDescent="0.45">
      <c r="I178" t="s">
        <v>194</v>
      </c>
      <c r="J178" t="s">
        <v>173</v>
      </c>
      <c r="K178">
        <v>9.9608872735169565E-2</v>
      </c>
      <c r="L178" t="s">
        <v>168</v>
      </c>
      <c r="N178" t="s">
        <v>218</v>
      </c>
      <c r="O178" t="s">
        <v>173</v>
      </c>
      <c r="P178">
        <v>0.20001216021525972</v>
      </c>
      <c r="Q178" t="s">
        <v>168</v>
      </c>
      <c r="S178" t="s">
        <v>237</v>
      </c>
      <c r="T178" t="s">
        <v>173</v>
      </c>
      <c r="U178">
        <v>0.20669394334064692</v>
      </c>
      <c r="V178" t="s">
        <v>168</v>
      </c>
    </row>
    <row r="179" spans="9:22" x14ac:dyDescent="0.45">
      <c r="I179" t="s">
        <v>194</v>
      </c>
      <c r="J179" t="s">
        <v>174</v>
      </c>
      <c r="K179">
        <v>8.0453637755092792E-4</v>
      </c>
      <c r="L179" t="s">
        <v>168</v>
      </c>
      <c r="N179" t="s">
        <v>218</v>
      </c>
      <c r="O179" t="s">
        <v>174</v>
      </c>
      <c r="P179">
        <v>1.8050748020839801E-2</v>
      </c>
      <c r="Q179" t="s">
        <v>168</v>
      </c>
      <c r="S179" t="s">
        <v>237</v>
      </c>
      <c r="T179" t="s">
        <v>174</v>
      </c>
      <c r="U179">
        <v>2.701146531684754E-2</v>
      </c>
      <c r="V179" t="s">
        <v>168</v>
      </c>
    </row>
    <row r="180" spans="9:22" x14ac:dyDescent="0.45">
      <c r="I180" t="s">
        <v>194</v>
      </c>
      <c r="J180" t="s">
        <v>175</v>
      </c>
      <c r="K180">
        <v>4.4052651422828069E-2</v>
      </c>
      <c r="L180" t="s">
        <v>168</v>
      </c>
      <c r="N180" t="s">
        <v>218</v>
      </c>
      <c r="O180" t="s">
        <v>175</v>
      </c>
      <c r="P180">
        <v>1.4274339862691459E-2</v>
      </c>
      <c r="Q180" t="s">
        <v>168</v>
      </c>
      <c r="S180" t="s">
        <v>237</v>
      </c>
      <c r="T180" t="s">
        <v>175</v>
      </c>
      <c r="U180">
        <v>2.4224776890625157E-2</v>
      </c>
      <c r="V180" t="s">
        <v>168</v>
      </c>
    </row>
    <row r="181" spans="9:22" x14ac:dyDescent="0.45">
      <c r="I181" t="s">
        <v>194</v>
      </c>
      <c r="J181" t="s">
        <v>176</v>
      </c>
      <c r="K181">
        <v>1.6851746853239743E-5</v>
      </c>
      <c r="L181" t="s">
        <v>168</v>
      </c>
      <c r="N181" t="s">
        <v>218</v>
      </c>
      <c r="O181" t="s">
        <v>176</v>
      </c>
      <c r="P181">
        <v>1.2598507152191072E-2</v>
      </c>
      <c r="Q181" t="s">
        <v>168</v>
      </c>
      <c r="S181" t="s">
        <v>237</v>
      </c>
      <c r="T181" t="s">
        <v>176</v>
      </c>
      <c r="U181">
        <v>2.3810352765406596E-2</v>
      </c>
      <c r="V181" t="s">
        <v>168</v>
      </c>
    </row>
    <row r="182" spans="9:22" x14ac:dyDescent="0.45">
      <c r="I182" t="s">
        <v>195</v>
      </c>
      <c r="J182" t="s">
        <v>167</v>
      </c>
      <c r="K182">
        <v>2.384529635708529E-3</v>
      </c>
      <c r="L182" t="s">
        <v>168</v>
      </c>
    </row>
    <row r="183" spans="9:22" x14ac:dyDescent="0.45">
      <c r="I183" t="s">
        <v>195</v>
      </c>
      <c r="J183" t="s">
        <v>169</v>
      </c>
      <c r="K183">
        <v>9.567218014285421E-2</v>
      </c>
      <c r="L183" t="s">
        <v>168</v>
      </c>
    </row>
    <row r="184" spans="9:22" x14ac:dyDescent="0.45">
      <c r="I184" t="s">
        <v>195</v>
      </c>
      <c r="J184" t="s">
        <v>170</v>
      </c>
      <c r="K184">
        <v>9.0936964511271826E-3</v>
      </c>
      <c r="L184" t="s">
        <v>168</v>
      </c>
    </row>
    <row r="185" spans="9:22" x14ac:dyDescent="0.45">
      <c r="I185" t="s">
        <v>195</v>
      </c>
      <c r="J185" t="s">
        <v>171</v>
      </c>
      <c r="K185">
        <v>9.3617554916056014E-2</v>
      </c>
      <c r="L185" t="s">
        <v>168</v>
      </c>
    </row>
    <row r="186" spans="9:22" x14ac:dyDescent="0.45">
      <c r="I186" t="s">
        <v>195</v>
      </c>
      <c r="J186" t="s">
        <v>172</v>
      </c>
      <c r="K186">
        <v>0.64077688408354683</v>
      </c>
      <c r="L186" t="s">
        <v>168</v>
      </c>
    </row>
    <row r="187" spans="9:22" x14ac:dyDescent="0.45">
      <c r="I187" t="s">
        <v>195</v>
      </c>
      <c r="J187" t="s">
        <v>173</v>
      </c>
      <c r="K187">
        <v>0.11472096499771575</v>
      </c>
      <c r="L187" t="s">
        <v>168</v>
      </c>
    </row>
    <row r="188" spans="9:22" x14ac:dyDescent="0.45">
      <c r="I188" t="s">
        <v>195</v>
      </c>
      <c r="J188" t="s">
        <v>174</v>
      </c>
      <c r="K188">
        <v>1.3265959444817674E-5</v>
      </c>
      <c r="L188" t="s">
        <v>168</v>
      </c>
    </row>
    <row r="189" spans="9:22" x14ac:dyDescent="0.45">
      <c r="I189" t="s">
        <v>195</v>
      </c>
      <c r="J189" t="s">
        <v>175</v>
      </c>
      <c r="K189">
        <v>4.2670471502075015E-2</v>
      </c>
      <c r="L189" t="s">
        <v>168</v>
      </c>
    </row>
    <row r="190" spans="9:22" x14ac:dyDescent="0.45">
      <c r="I190" t="s">
        <v>195</v>
      </c>
      <c r="J190" t="s">
        <v>176</v>
      </c>
      <c r="K190">
        <v>1.0504523114684109E-3</v>
      </c>
      <c r="L190" t="s">
        <v>168</v>
      </c>
    </row>
    <row r="191" spans="9:22" x14ac:dyDescent="0.45">
      <c r="I191" t="s">
        <v>196</v>
      </c>
      <c r="J191" t="s">
        <v>167</v>
      </c>
      <c r="K191">
        <v>2.6776926449829062E-3</v>
      </c>
      <c r="L191" t="s">
        <v>168</v>
      </c>
    </row>
    <row r="192" spans="9:22" x14ac:dyDescent="0.45">
      <c r="I192" t="s">
        <v>196</v>
      </c>
      <c r="J192" t="s">
        <v>169</v>
      </c>
      <c r="K192">
        <v>9.6135620252679993E-2</v>
      </c>
      <c r="L192" t="s">
        <v>168</v>
      </c>
    </row>
    <row r="193" spans="9:12" x14ac:dyDescent="0.45">
      <c r="I193" t="s">
        <v>196</v>
      </c>
      <c r="J193" t="s">
        <v>170</v>
      </c>
      <c r="K193">
        <v>8.1441187275914043E-3</v>
      </c>
      <c r="L193" t="s">
        <v>168</v>
      </c>
    </row>
    <row r="194" spans="9:12" x14ac:dyDescent="0.45">
      <c r="I194" t="s">
        <v>196</v>
      </c>
      <c r="J194" t="s">
        <v>171</v>
      </c>
      <c r="K194">
        <v>9.7439310197044021E-2</v>
      </c>
      <c r="L194" t="s">
        <v>168</v>
      </c>
    </row>
    <row r="195" spans="9:12" x14ac:dyDescent="0.45">
      <c r="I195" t="s">
        <v>196</v>
      </c>
      <c r="J195" t="s">
        <v>172</v>
      </c>
      <c r="K195">
        <v>0.64649660598806724</v>
      </c>
      <c r="L195" t="s">
        <v>168</v>
      </c>
    </row>
    <row r="196" spans="9:12" x14ac:dyDescent="0.45">
      <c r="I196" t="s">
        <v>196</v>
      </c>
      <c r="J196" t="s">
        <v>173</v>
      </c>
      <c r="K196">
        <v>0.10272119913854498</v>
      </c>
      <c r="L196" t="s">
        <v>168</v>
      </c>
    </row>
    <row r="197" spans="9:12" x14ac:dyDescent="0.45">
      <c r="I197" t="s">
        <v>196</v>
      </c>
      <c r="J197" t="s">
        <v>174</v>
      </c>
      <c r="K197">
        <v>6.2538750666889145E-4</v>
      </c>
      <c r="L197" t="s">
        <v>168</v>
      </c>
    </row>
    <row r="198" spans="9:12" x14ac:dyDescent="0.45">
      <c r="I198" t="s">
        <v>196</v>
      </c>
      <c r="J198" t="s">
        <v>175</v>
      </c>
      <c r="K198">
        <v>4.5290690102114117E-2</v>
      </c>
      <c r="L198" t="s">
        <v>168</v>
      </c>
    </row>
    <row r="199" spans="9:12" x14ac:dyDescent="0.45">
      <c r="I199" t="s">
        <v>196</v>
      </c>
      <c r="J199" t="s">
        <v>176</v>
      </c>
      <c r="K199">
        <v>4.6937544230812574E-4</v>
      </c>
      <c r="L199" t="s">
        <v>168</v>
      </c>
    </row>
    <row r="200" spans="9:12" x14ac:dyDescent="0.45">
      <c r="I200" t="s">
        <v>197</v>
      </c>
      <c r="J200" t="s">
        <v>167</v>
      </c>
      <c r="K200">
        <v>1.9171321207941993E-3</v>
      </c>
      <c r="L200" t="s">
        <v>168</v>
      </c>
    </row>
    <row r="201" spans="9:12" x14ac:dyDescent="0.45">
      <c r="I201" t="s">
        <v>197</v>
      </c>
      <c r="J201" t="s">
        <v>169</v>
      </c>
      <c r="K201">
        <v>8.5004578558201302E-2</v>
      </c>
      <c r="L201" t="s">
        <v>168</v>
      </c>
    </row>
    <row r="202" spans="9:12" x14ac:dyDescent="0.45">
      <c r="I202" t="s">
        <v>197</v>
      </c>
      <c r="J202" t="s">
        <v>170</v>
      </c>
      <c r="K202">
        <v>7.280278471221013E-3</v>
      </c>
      <c r="L202" t="s">
        <v>168</v>
      </c>
    </row>
    <row r="203" spans="9:12" x14ac:dyDescent="0.45">
      <c r="I203" t="s">
        <v>197</v>
      </c>
      <c r="J203" t="s">
        <v>171</v>
      </c>
      <c r="K203">
        <v>9.4447715886962089E-2</v>
      </c>
      <c r="L203" t="s">
        <v>168</v>
      </c>
    </row>
    <row r="204" spans="9:12" x14ac:dyDescent="0.45">
      <c r="I204" t="s">
        <v>197</v>
      </c>
      <c r="J204" t="s">
        <v>172</v>
      </c>
      <c r="K204">
        <v>0.64934665596906849</v>
      </c>
      <c r="L204" t="s">
        <v>168</v>
      </c>
    </row>
    <row r="205" spans="9:12" x14ac:dyDescent="0.45">
      <c r="I205" t="s">
        <v>197</v>
      </c>
      <c r="J205" t="s">
        <v>173</v>
      </c>
      <c r="K205">
        <v>0.11857222877378938</v>
      </c>
      <c r="L205" t="s">
        <v>168</v>
      </c>
    </row>
    <row r="206" spans="9:12" x14ac:dyDescent="0.45">
      <c r="I206" t="s">
        <v>197</v>
      </c>
      <c r="J206" t="s">
        <v>174</v>
      </c>
      <c r="K206">
        <v>0</v>
      </c>
      <c r="L206" t="s">
        <v>168</v>
      </c>
    </row>
    <row r="207" spans="9:12" x14ac:dyDescent="0.45">
      <c r="I207" t="s">
        <v>197</v>
      </c>
      <c r="J207" t="s">
        <v>175</v>
      </c>
      <c r="K207">
        <v>4.3397532260607427E-2</v>
      </c>
      <c r="L207" t="s">
        <v>168</v>
      </c>
    </row>
    <row r="208" spans="9:12" x14ac:dyDescent="0.45">
      <c r="I208" t="s">
        <v>197</v>
      </c>
      <c r="J208" t="s">
        <v>176</v>
      </c>
      <c r="K208">
        <v>3.3877959355165534E-5</v>
      </c>
      <c r="L208" t="s">
        <v>168</v>
      </c>
    </row>
    <row r="209" spans="9:12" x14ac:dyDescent="0.45">
      <c r="I209" t="s">
        <v>198</v>
      </c>
      <c r="J209" t="s">
        <v>167</v>
      </c>
      <c r="K209">
        <v>1.8669475501079341E-3</v>
      </c>
      <c r="L209" t="s">
        <v>168</v>
      </c>
    </row>
    <row r="210" spans="9:12" x14ac:dyDescent="0.45">
      <c r="I210" t="s">
        <v>198</v>
      </c>
      <c r="J210" t="s">
        <v>169</v>
      </c>
      <c r="K210">
        <v>8.3923203949724856E-2</v>
      </c>
      <c r="L210" t="s">
        <v>168</v>
      </c>
    </row>
    <row r="211" spans="9:12" x14ac:dyDescent="0.45">
      <c r="I211" t="s">
        <v>198</v>
      </c>
      <c r="J211" t="s">
        <v>170</v>
      </c>
      <c r="K211">
        <v>6.4787750971199484E-3</v>
      </c>
      <c r="L211" t="s">
        <v>168</v>
      </c>
    </row>
    <row r="212" spans="9:12" x14ac:dyDescent="0.45">
      <c r="I212" t="s">
        <v>198</v>
      </c>
      <c r="J212" t="s">
        <v>171</v>
      </c>
      <c r="K212">
        <v>0.1007496037569492</v>
      </c>
      <c r="L212" t="s">
        <v>168</v>
      </c>
    </row>
    <row r="213" spans="9:12" x14ac:dyDescent="0.45">
      <c r="I213" t="s">
        <v>198</v>
      </c>
      <c r="J213" t="s">
        <v>172</v>
      </c>
      <c r="K213">
        <v>0.65230705554878343</v>
      </c>
      <c r="L213" t="s">
        <v>168</v>
      </c>
    </row>
    <row r="214" spans="9:12" x14ac:dyDescent="0.45">
      <c r="I214" t="s">
        <v>198</v>
      </c>
      <c r="J214" t="s">
        <v>173</v>
      </c>
      <c r="K214">
        <v>0.11104342451763673</v>
      </c>
      <c r="L214" t="s">
        <v>168</v>
      </c>
    </row>
    <row r="215" spans="9:12" x14ac:dyDescent="0.45">
      <c r="I215" t="s">
        <v>198</v>
      </c>
      <c r="J215" t="s">
        <v>174</v>
      </c>
      <c r="K215">
        <v>7.2926214923768813E-6</v>
      </c>
      <c r="L215" t="s">
        <v>168</v>
      </c>
    </row>
    <row r="216" spans="9:12" x14ac:dyDescent="0.45">
      <c r="I216" t="s">
        <v>198</v>
      </c>
      <c r="J216" t="s">
        <v>175</v>
      </c>
      <c r="K216">
        <v>4.3606987193327701E-2</v>
      </c>
      <c r="L216" t="s">
        <v>168</v>
      </c>
    </row>
    <row r="217" spans="9:12" x14ac:dyDescent="0.45">
      <c r="I217" t="s">
        <v>198</v>
      </c>
      <c r="J217" t="s">
        <v>176</v>
      </c>
      <c r="K217">
        <v>1.6709764856667851E-5</v>
      </c>
      <c r="L217" t="s">
        <v>168</v>
      </c>
    </row>
    <row r="218" spans="9:12" x14ac:dyDescent="0.45">
      <c r="I218" t="s">
        <v>199</v>
      </c>
      <c r="J218" t="s">
        <v>167</v>
      </c>
      <c r="K218">
        <v>1.6845455725303445E-3</v>
      </c>
      <c r="L218" t="s">
        <v>168</v>
      </c>
    </row>
    <row r="219" spans="9:12" x14ac:dyDescent="0.45">
      <c r="I219" t="s">
        <v>199</v>
      </c>
      <c r="J219" t="s">
        <v>169</v>
      </c>
      <c r="K219">
        <v>8.6860846047725843E-2</v>
      </c>
      <c r="L219" t="s">
        <v>168</v>
      </c>
    </row>
    <row r="220" spans="9:12" x14ac:dyDescent="0.45">
      <c r="I220" t="s">
        <v>199</v>
      </c>
      <c r="J220" t="s">
        <v>170</v>
      </c>
      <c r="K220">
        <v>7.8970423998455941E-3</v>
      </c>
      <c r="L220" t="s">
        <v>168</v>
      </c>
    </row>
    <row r="221" spans="9:12" x14ac:dyDescent="0.45">
      <c r="I221" t="s">
        <v>199</v>
      </c>
      <c r="J221" t="s">
        <v>171</v>
      </c>
      <c r="K221">
        <v>9.4076949949770755E-2</v>
      </c>
      <c r="L221" t="s">
        <v>168</v>
      </c>
    </row>
    <row r="222" spans="9:12" x14ac:dyDescent="0.45">
      <c r="I222" t="s">
        <v>199</v>
      </c>
      <c r="J222" t="s">
        <v>172</v>
      </c>
      <c r="K222">
        <v>0.64970944067636949</v>
      </c>
      <c r="L222" t="s">
        <v>168</v>
      </c>
    </row>
    <row r="223" spans="9:12" x14ac:dyDescent="0.45">
      <c r="I223" t="s">
        <v>199</v>
      </c>
      <c r="J223" t="s">
        <v>173</v>
      </c>
      <c r="K223">
        <v>0.11765719489332577</v>
      </c>
      <c r="L223" t="s">
        <v>168</v>
      </c>
    </row>
    <row r="224" spans="9:12" x14ac:dyDescent="0.45">
      <c r="I224" t="s">
        <v>199</v>
      </c>
      <c r="J224" t="s">
        <v>174</v>
      </c>
      <c r="K224">
        <v>0</v>
      </c>
      <c r="L224" t="s">
        <v>168</v>
      </c>
    </row>
    <row r="225" spans="9:12" x14ac:dyDescent="0.45">
      <c r="I225" t="s">
        <v>199</v>
      </c>
      <c r="J225" t="s">
        <v>175</v>
      </c>
      <c r="K225">
        <v>4.182474909057677E-2</v>
      </c>
      <c r="L225" t="s">
        <v>168</v>
      </c>
    </row>
    <row r="226" spans="9:12" x14ac:dyDescent="0.45">
      <c r="I226" t="s">
        <v>199</v>
      </c>
      <c r="J226" t="s">
        <v>176</v>
      </c>
      <c r="K226">
        <v>2.892313698541906E-4</v>
      </c>
      <c r="L226" t="s">
        <v>168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D2ED4-5E89-4946-8785-9EA1632C90C4}">
  <dimension ref="A9:AN1018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126</v>
      </c>
      <c r="C10" t="s">
        <v>152</v>
      </c>
      <c r="D10" t="s">
        <v>153</v>
      </c>
      <c r="E10" t="s">
        <v>154</v>
      </c>
      <c r="F10" t="s">
        <v>155</v>
      </c>
      <c r="G10" t="s">
        <v>156</v>
      </c>
      <c r="I10" t="s">
        <v>13</v>
      </c>
      <c r="J10" t="s">
        <v>121</v>
      </c>
      <c r="K10" t="s">
        <v>165</v>
      </c>
      <c r="L10" t="s">
        <v>30</v>
      </c>
      <c r="N10" t="s">
        <v>13</v>
      </c>
      <c r="O10" t="s">
        <v>121</v>
      </c>
      <c r="P10" t="s">
        <v>165</v>
      </c>
      <c r="Q10" t="s">
        <v>30</v>
      </c>
      <c r="S10" t="s">
        <v>13</v>
      </c>
      <c r="T10" t="s">
        <v>121</v>
      </c>
      <c r="U10" t="s">
        <v>165</v>
      </c>
      <c r="V10" t="s">
        <v>30</v>
      </c>
      <c r="X10" t="s">
        <v>238</v>
      </c>
      <c r="Y10" t="s">
        <v>165</v>
      </c>
      <c r="Z10" t="s">
        <v>121</v>
      </c>
      <c r="AA10" t="s">
        <v>13</v>
      </c>
      <c r="AC10" t="s">
        <v>13</v>
      </c>
      <c r="AD10" t="s">
        <v>121</v>
      </c>
      <c r="AE10" t="s">
        <v>165</v>
      </c>
      <c r="AG10" t="s">
        <v>13</v>
      </c>
      <c r="AH10" t="s">
        <v>121</v>
      </c>
      <c r="AI10" t="s">
        <v>244</v>
      </c>
      <c r="AK10" t="s">
        <v>47</v>
      </c>
      <c r="AL10" t="s">
        <v>121</v>
      </c>
      <c r="AM10" t="s">
        <v>245</v>
      </c>
      <c r="AN10" t="s">
        <v>246</v>
      </c>
    </row>
    <row r="11" spans="1:40" x14ac:dyDescent="0.45">
      <c r="A11" t="str">
        <f>IFERROR(IF(Veda!D5=A10,"ok","x"),"")</f>
        <v>x</v>
      </c>
      <c r="C11" t="s">
        <v>157</v>
      </c>
      <c r="D11" t="s">
        <v>158</v>
      </c>
      <c r="E11" t="s">
        <v>159</v>
      </c>
      <c r="F11" t="s">
        <v>248</v>
      </c>
      <c r="G11" t="s">
        <v>158</v>
      </c>
      <c r="I11" t="s">
        <v>166</v>
      </c>
      <c r="J11" t="s">
        <v>167</v>
      </c>
      <c r="K11">
        <v>6.3754206234794772E-4</v>
      </c>
      <c r="L11" t="s">
        <v>168</v>
      </c>
      <c r="N11" t="s">
        <v>200</v>
      </c>
      <c r="O11" t="s">
        <v>167</v>
      </c>
      <c r="P11">
        <v>6.4828534505285015E-2</v>
      </c>
      <c r="Q11" t="s">
        <v>168</v>
      </c>
      <c r="S11" t="s">
        <v>219</v>
      </c>
      <c r="T11" t="s">
        <v>167</v>
      </c>
      <c r="U11">
        <v>6.8668189858488493E-2</v>
      </c>
      <c r="V11" t="s">
        <v>168</v>
      </c>
      <c r="X11">
        <v>5.3881278538812784E-2</v>
      </c>
      <c r="Y11">
        <v>2.9864505382492607E-2</v>
      </c>
      <c r="Z11" t="s">
        <v>167</v>
      </c>
      <c r="AA11" t="s">
        <v>25</v>
      </c>
      <c r="AC11" t="s">
        <v>22</v>
      </c>
      <c r="AD11" t="s">
        <v>167</v>
      </c>
      <c r="AE11">
        <v>4.9413150019647384E-2</v>
      </c>
      <c r="AG11" t="s">
        <v>96</v>
      </c>
      <c r="AH11" t="s">
        <v>167</v>
      </c>
      <c r="AI11">
        <v>0.30170207507267222</v>
      </c>
      <c r="AK11">
        <v>2020</v>
      </c>
      <c r="AL11" t="s">
        <v>157</v>
      </c>
      <c r="AM11">
        <v>0.20444938820912117</v>
      </c>
      <c r="AN11" t="s">
        <v>247</v>
      </c>
    </row>
    <row r="12" spans="1:40" x14ac:dyDescent="0.45">
      <c r="C12" t="s">
        <v>161</v>
      </c>
      <c r="E12" t="s">
        <v>162</v>
      </c>
      <c r="G12" t="s">
        <v>158</v>
      </c>
      <c r="I12" t="s">
        <v>166</v>
      </c>
      <c r="J12" t="s">
        <v>169</v>
      </c>
      <c r="K12">
        <v>7.2352589807062502E-3</v>
      </c>
      <c r="L12" t="s">
        <v>168</v>
      </c>
      <c r="N12" t="s">
        <v>200</v>
      </c>
      <c r="O12" t="s">
        <v>169</v>
      </c>
      <c r="P12">
        <v>7.4131827652817702E-3</v>
      </c>
      <c r="Q12" t="s">
        <v>168</v>
      </c>
      <c r="S12" t="s">
        <v>219</v>
      </c>
      <c r="T12" t="s">
        <v>169</v>
      </c>
      <c r="U12">
        <v>8.1268559225185534E-3</v>
      </c>
      <c r="V12" t="s">
        <v>168</v>
      </c>
      <c r="X12">
        <v>6.735159817351598E-3</v>
      </c>
      <c r="Y12">
        <v>8.6053584599192871E-3</v>
      </c>
      <c r="Z12" t="s">
        <v>169</v>
      </c>
      <c r="AA12" t="s">
        <v>25</v>
      </c>
      <c r="AC12" t="s">
        <v>22</v>
      </c>
      <c r="AD12" t="s">
        <v>169</v>
      </c>
      <c r="AE12">
        <v>8.3943858858496045E-3</v>
      </c>
      <c r="AG12" t="s">
        <v>96</v>
      </c>
      <c r="AH12" t="s">
        <v>169</v>
      </c>
      <c r="AI12">
        <v>4.7484009459135335E-2</v>
      </c>
      <c r="AK12">
        <v>2020</v>
      </c>
      <c r="AL12" t="s">
        <v>161</v>
      </c>
      <c r="AM12">
        <v>0.2914516129032258</v>
      </c>
      <c r="AN12" t="s">
        <v>247</v>
      </c>
    </row>
    <row r="13" spans="1:40" x14ac:dyDescent="0.45">
      <c r="C13" t="s">
        <v>163</v>
      </c>
      <c r="E13" t="s">
        <v>164</v>
      </c>
      <c r="G13" t="s">
        <v>158</v>
      </c>
      <c r="I13" t="s">
        <v>166</v>
      </c>
      <c r="J13" t="s">
        <v>170</v>
      </c>
      <c r="K13">
        <v>1.2089441932751702E-2</v>
      </c>
      <c r="L13" t="s">
        <v>168</v>
      </c>
      <c r="N13" t="s">
        <v>200</v>
      </c>
      <c r="O13" t="s">
        <v>170</v>
      </c>
      <c r="P13">
        <v>6.8657911924414729E-3</v>
      </c>
      <c r="Q13" t="s">
        <v>168</v>
      </c>
      <c r="S13" t="s">
        <v>219</v>
      </c>
      <c r="T13" t="s">
        <v>170</v>
      </c>
      <c r="U13">
        <v>8.1269404034321549E-3</v>
      </c>
      <c r="V13" t="s">
        <v>168</v>
      </c>
      <c r="X13">
        <v>6.735159817351598E-3</v>
      </c>
      <c r="Y13">
        <v>8.5271279284654736E-3</v>
      </c>
      <c r="Z13" t="s">
        <v>170</v>
      </c>
      <c r="AA13" t="s">
        <v>25</v>
      </c>
      <c r="AC13" t="s">
        <v>22</v>
      </c>
      <c r="AD13" t="s">
        <v>170</v>
      </c>
      <c r="AE13">
        <v>8.5234446018451013E-3</v>
      </c>
      <c r="AG13" t="s">
        <v>96</v>
      </c>
      <c r="AH13" t="s">
        <v>170</v>
      </c>
      <c r="AI13">
        <v>4.5197330291383508E-2</v>
      </c>
      <c r="AK13">
        <v>2020</v>
      </c>
      <c r="AL13" t="s">
        <v>163</v>
      </c>
      <c r="AM13">
        <v>0.31541218637992829</v>
      </c>
      <c r="AN13" t="s">
        <v>247</v>
      </c>
    </row>
    <row r="14" spans="1:40" x14ac:dyDescent="0.45">
      <c r="C14" t="s">
        <v>249</v>
      </c>
      <c r="E14" t="s">
        <v>250</v>
      </c>
      <c r="G14" t="s">
        <v>158</v>
      </c>
      <c r="I14" t="s">
        <v>166</v>
      </c>
      <c r="J14" t="s">
        <v>256</v>
      </c>
      <c r="K14">
        <v>9.012886135996008E-2</v>
      </c>
      <c r="L14" t="s">
        <v>168</v>
      </c>
      <c r="N14" t="s">
        <v>200</v>
      </c>
      <c r="O14" t="s">
        <v>256</v>
      </c>
      <c r="P14">
        <v>3.6095867933410804E-2</v>
      </c>
      <c r="Q14" t="s">
        <v>168</v>
      </c>
      <c r="S14" t="s">
        <v>219</v>
      </c>
      <c r="T14" t="s">
        <v>256</v>
      </c>
      <c r="U14">
        <v>4.9841671998396495E-2</v>
      </c>
      <c r="V14" t="s">
        <v>168</v>
      </c>
      <c r="X14">
        <v>4.041095890410959E-2</v>
      </c>
      <c r="Y14">
        <v>5.2844723997049793E-2</v>
      </c>
      <c r="Z14" t="s">
        <v>256</v>
      </c>
      <c r="AA14" t="s">
        <v>25</v>
      </c>
      <c r="AC14" t="s">
        <v>22</v>
      </c>
      <c r="AD14" t="s">
        <v>256</v>
      </c>
      <c r="AE14">
        <v>5.0248407920968324E-2</v>
      </c>
      <c r="AG14" t="s">
        <v>96</v>
      </c>
      <c r="AH14" t="s">
        <v>256</v>
      </c>
      <c r="AI14">
        <v>6.4766514599613911E-2</v>
      </c>
      <c r="AK14">
        <v>2020</v>
      </c>
      <c r="AL14" t="s">
        <v>249</v>
      </c>
      <c r="AM14">
        <v>0.2817204301075269</v>
      </c>
      <c r="AN14" t="s">
        <v>247</v>
      </c>
    </row>
    <row r="15" spans="1:40" x14ac:dyDescent="0.45">
      <c r="C15" t="s">
        <v>251</v>
      </c>
      <c r="E15" t="s">
        <v>252</v>
      </c>
      <c r="G15" t="s">
        <v>158</v>
      </c>
      <c r="I15" t="s">
        <v>166</v>
      </c>
      <c r="J15" t="s">
        <v>257</v>
      </c>
      <c r="K15">
        <v>9.1093058716284689E-3</v>
      </c>
      <c r="L15" t="s">
        <v>168</v>
      </c>
      <c r="N15" t="s">
        <v>200</v>
      </c>
      <c r="O15" t="s">
        <v>257</v>
      </c>
      <c r="P15">
        <v>7.1734900247588185E-3</v>
      </c>
      <c r="Q15" t="s">
        <v>168</v>
      </c>
      <c r="S15" t="s">
        <v>219</v>
      </c>
      <c r="T15" t="s">
        <v>257</v>
      </c>
      <c r="U15">
        <v>8.7906452896163844E-3</v>
      </c>
      <c r="V15" t="s">
        <v>168</v>
      </c>
      <c r="X15">
        <v>6.735159817351598E-3</v>
      </c>
      <c r="Y15">
        <v>1.3103614018513452E-2</v>
      </c>
      <c r="Z15" t="s">
        <v>257</v>
      </c>
      <c r="AA15" t="s">
        <v>25</v>
      </c>
      <c r="AC15" t="s">
        <v>22</v>
      </c>
      <c r="AD15" t="s">
        <v>257</v>
      </c>
      <c r="AE15">
        <v>8.6310567351807702E-3</v>
      </c>
      <c r="AG15" t="s">
        <v>96</v>
      </c>
      <c r="AH15" t="s">
        <v>257</v>
      </c>
      <c r="AI15">
        <v>6.2164802367530525E-2</v>
      </c>
      <c r="AK15">
        <v>2020</v>
      </c>
      <c r="AL15" t="s">
        <v>251</v>
      </c>
      <c r="AM15">
        <v>0.26814814814814808</v>
      </c>
      <c r="AN15" t="s">
        <v>247</v>
      </c>
    </row>
    <row r="16" spans="1:40" x14ac:dyDescent="0.45">
      <c r="C16" t="s">
        <v>253</v>
      </c>
      <c r="E16" t="s">
        <v>254</v>
      </c>
      <c r="G16" t="s">
        <v>158</v>
      </c>
      <c r="I16" t="s">
        <v>166</v>
      </c>
      <c r="J16" t="s">
        <v>258</v>
      </c>
      <c r="K16">
        <v>2.8461971923613616E-3</v>
      </c>
      <c r="L16" t="s">
        <v>168</v>
      </c>
      <c r="N16" t="s">
        <v>200</v>
      </c>
      <c r="O16" t="s">
        <v>258</v>
      </c>
      <c r="P16">
        <v>5.8821264118414512E-2</v>
      </c>
      <c r="Q16" t="s">
        <v>168</v>
      </c>
      <c r="S16" t="s">
        <v>219</v>
      </c>
      <c r="T16" t="s">
        <v>258</v>
      </c>
      <c r="U16">
        <v>6.2602418427719644E-2</v>
      </c>
      <c r="V16" t="s">
        <v>168</v>
      </c>
      <c r="X16">
        <v>4.714611872146119E-2</v>
      </c>
      <c r="Y16">
        <v>4.8698505829997768E-2</v>
      </c>
      <c r="Z16" t="s">
        <v>258</v>
      </c>
      <c r="AA16" t="s">
        <v>25</v>
      </c>
      <c r="AC16" t="s">
        <v>22</v>
      </c>
      <c r="AD16" t="s">
        <v>258</v>
      </c>
      <c r="AE16">
        <v>5.4728049049941503E-2</v>
      </c>
      <c r="AG16" t="s">
        <v>96</v>
      </c>
      <c r="AH16" t="s">
        <v>258</v>
      </c>
      <c r="AI16">
        <v>0.15334978680446976</v>
      </c>
      <c r="AK16">
        <v>2020</v>
      </c>
      <c r="AL16" t="s">
        <v>253</v>
      </c>
      <c r="AM16">
        <v>0.25526881720430106</v>
      </c>
      <c r="AN16" t="s">
        <v>247</v>
      </c>
    </row>
    <row r="17" spans="3:40" x14ac:dyDescent="0.45">
      <c r="C17" t="s">
        <v>255</v>
      </c>
      <c r="I17" t="s">
        <v>166</v>
      </c>
      <c r="J17" t="s">
        <v>171</v>
      </c>
      <c r="K17">
        <v>3.6890601058634523E-2</v>
      </c>
      <c r="L17" t="s">
        <v>168</v>
      </c>
      <c r="N17" t="s">
        <v>200</v>
      </c>
      <c r="O17" t="s">
        <v>171</v>
      </c>
      <c r="P17">
        <v>0.11661890113368731</v>
      </c>
      <c r="Q17" t="s">
        <v>168</v>
      </c>
      <c r="S17" t="s">
        <v>219</v>
      </c>
      <c r="T17" t="s">
        <v>171</v>
      </c>
      <c r="U17">
        <v>0.11714683866040494</v>
      </c>
      <c r="V17" t="s">
        <v>168</v>
      </c>
      <c r="X17">
        <v>0.11141552511415526</v>
      </c>
      <c r="Y17">
        <v>6.1753722994306731E-2</v>
      </c>
      <c r="Z17" t="s">
        <v>171</v>
      </c>
      <c r="AA17" t="s">
        <v>25</v>
      </c>
      <c r="AC17" t="s">
        <v>22</v>
      </c>
      <c r="AD17" t="s">
        <v>171</v>
      </c>
      <c r="AE17">
        <v>9.0904601496028622E-2</v>
      </c>
      <c r="AG17" t="s">
        <v>96</v>
      </c>
      <c r="AH17" t="s">
        <v>171</v>
      </c>
      <c r="AI17">
        <v>0.39609048684121051</v>
      </c>
      <c r="AK17">
        <v>2020</v>
      </c>
      <c r="AL17" t="s">
        <v>255</v>
      </c>
      <c r="AM17">
        <v>0.23154121863799279</v>
      </c>
      <c r="AN17" t="s">
        <v>247</v>
      </c>
    </row>
    <row r="18" spans="3:40" x14ac:dyDescent="0.45">
      <c r="I18" t="s">
        <v>166</v>
      </c>
      <c r="J18" t="s">
        <v>172</v>
      </c>
      <c r="K18">
        <v>3.0981249963034977E-2</v>
      </c>
      <c r="L18" t="s">
        <v>168</v>
      </c>
      <c r="N18" t="s">
        <v>200</v>
      </c>
      <c r="O18" t="s">
        <v>172</v>
      </c>
      <c r="P18">
        <v>1.2037204596163996E-2</v>
      </c>
      <c r="Q18" t="s">
        <v>168</v>
      </c>
      <c r="S18" t="s">
        <v>219</v>
      </c>
      <c r="T18" t="s">
        <v>172</v>
      </c>
      <c r="U18">
        <v>1.2893721180349742E-2</v>
      </c>
      <c r="V18" t="s">
        <v>168</v>
      </c>
      <c r="X18">
        <v>1.3926940639269407E-2</v>
      </c>
      <c r="Y18">
        <v>1.7794131052714456E-2</v>
      </c>
      <c r="Z18" t="s">
        <v>172</v>
      </c>
      <c r="AA18" t="s">
        <v>25</v>
      </c>
      <c r="AC18" t="s">
        <v>22</v>
      </c>
      <c r="AD18" t="s">
        <v>172</v>
      </c>
      <c r="AE18">
        <v>1.4801270832185959E-2</v>
      </c>
      <c r="AG18" t="s">
        <v>96</v>
      </c>
      <c r="AH18" t="s">
        <v>172</v>
      </c>
      <c r="AI18">
        <v>0.17260864196062009</v>
      </c>
      <c r="AK18">
        <v>2021</v>
      </c>
      <c r="AL18" t="s">
        <v>157</v>
      </c>
      <c r="AM18">
        <v>0.24603807498544339</v>
      </c>
      <c r="AN18" t="s">
        <v>247</v>
      </c>
    </row>
    <row r="19" spans="3:40" x14ac:dyDescent="0.45">
      <c r="I19" t="s">
        <v>166</v>
      </c>
      <c r="J19" t="s">
        <v>173</v>
      </c>
      <c r="K19">
        <v>3.7871449575996814E-2</v>
      </c>
      <c r="L19" t="s">
        <v>168</v>
      </c>
      <c r="N19" t="s">
        <v>200</v>
      </c>
      <c r="O19" t="s">
        <v>173</v>
      </c>
      <c r="P19">
        <v>1.1232926307431576E-2</v>
      </c>
      <c r="Q19" t="s">
        <v>168</v>
      </c>
      <c r="S19" t="s">
        <v>219</v>
      </c>
      <c r="T19" t="s">
        <v>173</v>
      </c>
      <c r="U19">
        <v>1.2158598594306763E-2</v>
      </c>
      <c r="V19" t="s">
        <v>168</v>
      </c>
      <c r="X19">
        <v>1.3926940639269407E-2</v>
      </c>
      <c r="Y19">
        <v>1.763236622496251E-2</v>
      </c>
      <c r="Z19" t="s">
        <v>173</v>
      </c>
      <c r="AA19" t="s">
        <v>25</v>
      </c>
      <c r="AC19" t="s">
        <v>22</v>
      </c>
      <c r="AD19" t="s">
        <v>173</v>
      </c>
      <c r="AE19">
        <v>1.4950244232079869E-2</v>
      </c>
      <c r="AG19" t="s">
        <v>96</v>
      </c>
      <c r="AH19" t="s">
        <v>173</v>
      </c>
      <c r="AI19">
        <v>0.16646817415169624</v>
      </c>
      <c r="AK19">
        <v>2021</v>
      </c>
      <c r="AL19" t="s">
        <v>161</v>
      </c>
      <c r="AM19">
        <v>0.26922212123117606</v>
      </c>
      <c r="AN19" t="s">
        <v>247</v>
      </c>
    </row>
    <row r="20" spans="3:40" x14ac:dyDescent="0.45">
      <c r="I20" t="s">
        <v>166</v>
      </c>
      <c r="J20" t="s">
        <v>259</v>
      </c>
      <c r="K20">
        <v>0.23912915787080416</v>
      </c>
      <c r="L20" t="s">
        <v>168</v>
      </c>
      <c r="N20" t="s">
        <v>200</v>
      </c>
      <c r="O20" t="s">
        <v>259</v>
      </c>
      <c r="P20">
        <v>6.3417341863841778E-2</v>
      </c>
      <c r="Q20" t="s">
        <v>168</v>
      </c>
      <c r="S20" t="s">
        <v>219</v>
      </c>
      <c r="T20" t="s">
        <v>259</v>
      </c>
      <c r="U20">
        <v>7.4842823725914095E-2</v>
      </c>
      <c r="V20" t="s">
        <v>168</v>
      </c>
      <c r="X20">
        <v>8.3561643835616442E-2</v>
      </c>
      <c r="Y20">
        <v>0.10927214114644193</v>
      </c>
      <c r="Z20" t="s">
        <v>259</v>
      </c>
      <c r="AA20" t="s">
        <v>25</v>
      </c>
      <c r="AC20" t="s">
        <v>22</v>
      </c>
      <c r="AD20" t="s">
        <v>259</v>
      </c>
      <c r="AE20">
        <v>8.8717930067842538E-2</v>
      </c>
      <c r="AG20" t="s">
        <v>96</v>
      </c>
      <c r="AH20" t="s">
        <v>259</v>
      </c>
      <c r="AI20">
        <v>0.17061162094892612</v>
      </c>
      <c r="AK20">
        <v>2021</v>
      </c>
      <c r="AL20" t="s">
        <v>163</v>
      </c>
      <c r="AM20">
        <v>0.3358428655542407</v>
      </c>
      <c r="AN20" t="s">
        <v>247</v>
      </c>
    </row>
    <row r="21" spans="3:40" x14ac:dyDescent="0.45">
      <c r="I21" t="s">
        <v>166</v>
      </c>
      <c r="J21" t="s">
        <v>260</v>
      </c>
      <c r="K21">
        <v>3.0327046435939257E-2</v>
      </c>
      <c r="L21" t="s">
        <v>168</v>
      </c>
      <c r="N21" t="s">
        <v>200</v>
      </c>
      <c r="O21" t="s">
        <v>260</v>
      </c>
      <c r="P21">
        <v>1.2796742135975836E-2</v>
      </c>
      <c r="Q21" t="s">
        <v>168</v>
      </c>
      <c r="S21" t="s">
        <v>219</v>
      </c>
      <c r="T21" t="s">
        <v>260</v>
      </c>
      <c r="U21">
        <v>1.6533281200259188E-2</v>
      </c>
      <c r="V21" t="s">
        <v>168</v>
      </c>
      <c r="X21">
        <v>1.3926940639269407E-2</v>
      </c>
      <c r="Y21">
        <v>2.7095608648451557E-2</v>
      </c>
      <c r="Z21" t="s">
        <v>260</v>
      </c>
      <c r="AA21" t="s">
        <v>25</v>
      </c>
      <c r="AC21" t="s">
        <v>22</v>
      </c>
      <c r="AD21" t="s">
        <v>260</v>
      </c>
      <c r="AE21">
        <v>1.4843446858624659E-2</v>
      </c>
      <c r="AG21" t="s">
        <v>96</v>
      </c>
      <c r="AH21" t="s">
        <v>260</v>
      </c>
      <c r="AI21">
        <v>0.1867418159149048</v>
      </c>
      <c r="AK21">
        <v>2021</v>
      </c>
      <c r="AL21" t="s">
        <v>249</v>
      </c>
      <c r="AM21">
        <v>0.30726049401770961</v>
      </c>
      <c r="AN21" t="s">
        <v>247</v>
      </c>
    </row>
    <row r="22" spans="3:40" x14ac:dyDescent="0.45">
      <c r="I22" t="s">
        <v>166</v>
      </c>
      <c r="J22" t="s">
        <v>261</v>
      </c>
      <c r="K22">
        <v>3.9177781007231648E-2</v>
      </c>
      <c r="L22" t="s">
        <v>168</v>
      </c>
      <c r="N22" t="s">
        <v>200</v>
      </c>
      <c r="O22" t="s">
        <v>261</v>
      </c>
      <c r="P22">
        <v>9.3504476724756466E-2</v>
      </c>
      <c r="Q22" t="s">
        <v>168</v>
      </c>
      <c r="S22" t="s">
        <v>219</v>
      </c>
      <c r="T22" t="s">
        <v>261</v>
      </c>
      <c r="U22">
        <v>0.11989267839902806</v>
      </c>
      <c r="V22" t="s">
        <v>168</v>
      </c>
      <c r="X22">
        <v>9.7488584474885842E-2</v>
      </c>
      <c r="Y22">
        <v>0.10069860527558859</v>
      </c>
      <c r="Z22" t="s">
        <v>261</v>
      </c>
      <c r="AA22" t="s">
        <v>25</v>
      </c>
      <c r="AC22" t="s">
        <v>22</v>
      </c>
      <c r="AD22" t="s">
        <v>261</v>
      </c>
      <c r="AE22">
        <v>9.6799027614116837E-2</v>
      </c>
      <c r="AG22" t="s">
        <v>96</v>
      </c>
      <c r="AH22" t="s">
        <v>261</v>
      </c>
      <c r="AI22">
        <v>0.26211435420008478</v>
      </c>
      <c r="AK22">
        <v>2021</v>
      </c>
      <c r="AL22" t="s">
        <v>251</v>
      </c>
      <c r="AM22">
        <v>0.20010041939866499</v>
      </c>
      <c r="AN22" t="s">
        <v>247</v>
      </c>
    </row>
    <row r="23" spans="3:40" x14ac:dyDescent="0.45">
      <c r="I23" t="s">
        <v>166</v>
      </c>
      <c r="J23" t="s">
        <v>174</v>
      </c>
      <c r="K23">
        <v>1.2969967865078003E-2</v>
      </c>
      <c r="L23" t="s">
        <v>168</v>
      </c>
      <c r="N23" t="s">
        <v>200</v>
      </c>
      <c r="O23" t="s">
        <v>174</v>
      </c>
      <c r="P23">
        <v>1.6572054681983882E-2</v>
      </c>
      <c r="Q23" t="s">
        <v>168</v>
      </c>
      <c r="S23" t="s">
        <v>219</v>
      </c>
      <c r="T23" t="s">
        <v>174</v>
      </c>
      <c r="U23">
        <v>1.7417921764557327E-2</v>
      </c>
      <c r="V23" t="s">
        <v>168</v>
      </c>
      <c r="X23">
        <v>2.8310502283105023E-2</v>
      </c>
      <c r="Y23">
        <v>1.5691519777241876E-2</v>
      </c>
      <c r="Z23" t="s">
        <v>174</v>
      </c>
      <c r="AA23" t="s">
        <v>25</v>
      </c>
      <c r="AC23" t="s">
        <v>22</v>
      </c>
      <c r="AD23" t="s">
        <v>174</v>
      </c>
      <c r="AE23">
        <v>2.3847087699625354E-2</v>
      </c>
      <c r="AG23" t="s">
        <v>96</v>
      </c>
      <c r="AH23" t="s">
        <v>174</v>
      </c>
      <c r="AI23">
        <v>0.29079453954855983</v>
      </c>
      <c r="AK23">
        <v>2021</v>
      </c>
      <c r="AL23" t="s">
        <v>253</v>
      </c>
      <c r="AM23">
        <v>0.1920854460469627</v>
      </c>
      <c r="AN23" t="s">
        <v>247</v>
      </c>
    </row>
    <row r="24" spans="3:40" x14ac:dyDescent="0.45">
      <c r="I24" t="s">
        <v>166</v>
      </c>
      <c r="J24" t="s">
        <v>175</v>
      </c>
      <c r="K24">
        <v>9.0570099605123688E-3</v>
      </c>
      <c r="L24" t="s">
        <v>168</v>
      </c>
      <c r="N24" t="s">
        <v>200</v>
      </c>
      <c r="O24" t="s">
        <v>175</v>
      </c>
      <c r="P24">
        <v>1.2235335579515085E-3</v>
      </c>
      <c r="Q24" t="s">
        <v>168</v>
      </c>
      <c r="S24" t="s">
        <v>219</v>
      </c>
      <c r="T24" t="s">
        <v>175</v>
      </c>
      <c r="U24">
        <v>1.9935651211276254E-3</v>
      </c>
      <c r="V24" t="s">
        <v>168</v>
      </c>
      <c r="X24">
        <v>3.5388127853881279E-3</v>
      </c>
      <c r="Y24">
        <v>4.521459529788099E-3</v>
      </c>
      <c r="Z24" t="s">
        <v>175</v>
      </c>
      <c r="AA24" t="s">
        <v>25</v>
      </c>
      <c r="AC24" t="s">
        <v>22</v>
      </c>
      <c r="AD24" t="s">
        <v>175</v>
      </c>
      <c r="AE24">
        <v>3.9226118087310096E-3</v>
      </c>
      <c r="AG24" t="s">
        <v>96</v>
      </c>
      <c r="AH24" t="s">
        <v>175</v>
      </c>
      <c r="AI24">
        <v>7.4383366010698726E-2</v>
      </c>
      <c r="AK24">
        <v>2021</v>
      </c>
      <c r="AL24" t="s">
        <v>255</v>
      </c>
      <c r="AM24">
        <v>0.1879290928526921</v>
      </c>
      <c r="AN24" t="s">
        <v>247</v>
      </c>
    </row>
    <row r="25" spans="3:40" x14ac:dyDescent="0.45">
      <c r="I25" t="s">
        <v>166</v>
      </c>
      <c r="J25" t="s">
        <v>176</v>
      </c>
      <c r="K25">
        <v>1.042415503761634E-2</v>
      </c>
      <c r="L25" t="s">
        <v>168</v>
      </c>
      <c r="N25" t="s">
        <v>200</v>
      </c>
      <c r="O25" t="s">
        <v>176</v>
      </c>
      <c r="P25">
        <v>1.2093637031780242E-3</v>
      </c>
      <c r="Q25" t="s">
        <v>168</v>
      </c>
      <c r="S25" t="s">
        <v>219</v>
      </c>
      <c r="T25" t="s">
        <v>176</v>
      </c>
      <c r="U25">
        <v>1.9207938481554342E-3</v>
      </c>
      <c r="V25" t="s">
        <v>168</v>
      </c>
      <c r="X25">
        <v>3.5388127853881279E-3</v>
      </c>
      <c r="Y25">
        <v>4.4803553522445696E-3</v>
      </c>
      <c r="Z25" t="s">
        <v>176</v>
      </c>
      <c r="AA25" t="s">
        <v>25</v>
      </c>
      <c r="AC25" t="s">
        <v>22</v>
      </c>
      <c r="AD25" t="s">
        <v>176</v>
      </c>
      <c r="AE25">
        <v>3.9935522381383624E-3</v>
      </c>
      <c r="AG25" t="s">
        <v>96</v>
      </c>
      <c r="AH25" t="s">
        <v>176</v>
      </c>
      <c r="AI25">
        <v>6.9020627163651538E-2</v>
      </c>
      <c r="AK25">
        <v>2022</v>
      </c>
      <c r="AL25" t="s">
        <v>157</v>
      </c>
      <c r="AM25">
        <v>0.1380880769396183</v>
      </c>
      <c r="AN25" t="s">
        <v>247</v>
      </c>
    </row>
    <row r="26" spans="3:40" x14ac:dyDescent="0.45">
      <c r="I26" t="s">
        <v>166</v>
      </c>
      <c r="J26" t="s">
        <v>262</v>
      </c>
      <c r="K26">
        <v>6.0481442346171248E-2</v>
      </c>
      <c r="L26" t="s">
        <v>168</v>
      </c>
      <c r="N26" t="s">
        <v>200</v>
      </c>
      <c r="O26" t="s">
        <v>262</v>
      </c>
      <c r="P26">
        <v>6.7963856632165661E-3</v>
      </c>
      <c r="Q26" t="s">
        <v>168</v>
      </c>
      <c r="S26" t="s">
        <v>219</v>
      </c>
      <c r="T26" t="s">
        <v>262</v>
      </c>
      <c r="U26">
        <v>1.359098365175924E-2</v>
      </c>
      <c r="V26" t="s">
        <v>168</v>
      </c>
      <c r="X26">
        <v>2.1232876712328767E-2</v>
      </c>
      <c r="Y26">
        <v>2.7765871930653274E-2</v>
      </c>
      <c r="Z26" t="s">
        <v>262</v>
      </c>
      <c r="AA26" t="s">
        <v>25</v>
      </c>
      <c r="AC26" t="s">
        <v>22</v>
      </c>
      <c r="AD26" t="s">
        <v>262</v>
      </c>
      <c r="AE26">
        <v>2.4369650805785639E-2</v>
      </c>
      <c r="AG26" t="s">
        <v>96</v>
      </c>
      <c r="AH26" t="s">
        <v>262</v>
      </c>
      <c r="AI26">
        <v>7.7676552365526508E-2</v>
      </c>
      <c r="AK26">
        <v>2022</v>
      </c>
      <c r="AL26" t="s">
        <v>161</v>
      </c>
      <c r="AM26">
        <v>0.1672356370480188</v>
      </c>
      <c r="AN26" t="s">
        <v>247</v>
      </c>
    </row>
    <row r="27" spans="3:40" x14ac:dyDescent="0.45">
      <c r="I27" t="s">
        <v>166</v>
      </c>
      <c r="J27" t="s">
        <v>263</v>
      </c>
      <c r="K27">
        <v>7.4231168825031127E-3</v>
      </c>
      <c r="L27" t="s">
        <v>168</v>
      </c>
      <c r="N27" t="s">
        <v>200</v>
      </c>
      <c r="O27" t="s">
        <v>263</v>
      </c>
      <c r="P27">
        <v>1.0893798764200356E-3</v>
      </c>
      <c r="Q27" t="s">
        <v>168</v>
      </c>
      <c r="S27" t="s">
        <v>219</v>
      </c>
      <c r="T27" t="s">
        <v>263</v>
      </c>
      <c r="U27">
        <v>3.3008991948072007E-3</v>
      </c>
      <c r="V27" t="s">
        <v>168</v>
      </c>
      <c r="X27">
        <v>3.5388127853881279E-3</v>
      </c>
      <c r="Y27">
        <v>6.8849497385409693E-3</v>
      </c>
      <c r="Z27" t="s">
        <v>263</v>
      </c>
      <c r="AA27" t="s">
        <v>25</v>
      </c>
      <c r="AC27" t="s">
        <v>22</v>
      </c>
      <c r="AD27" t="s">
        <v>263</v>
      </c>
      <c r="AE27">
        <v>4.0189562259318494E-3</v>
      </c>
      <c r="AG27" t="s">
        <v>96</v>
      </c>
      <c r="AH27" t="s">
        <v>263</v>
      </c>
      <c r="AI27">
        <v>7.0840187604823468E-2</v>
      </c>
      <c r="AK27">
        <v>2022</v>
      </c>
      <c r="AL27" t="s">
        <v>163</v>
      </c>
      <c r="AM27">
        <v>0.222239262932479</v>
      </c>
      <c r="AN27" t="s">
        <v>247</v>
      </c>
    </row>
    <row r="28" spans="3:40" x14ac:dyDescent="0.45">
      <c r="I28" t="s">
        <v>166</v>
      </c>
      <c r="J28" t="s">
        <v>264</v>
      </c>
      <c r="K28">
        <v>1.2521754488360841E-2</v>
      </c>
      <c r="L28" t="s">
        <v>168</v>
      </c>
      <c r="N28" t="s">
        <v>200</v>
      </c>
      <c r="O28" t="s">
        <v>264</v>
      </c>
      <c r="P28">
        <v>8.367626052026898E-3</v>
      </c>
      <c r="Q28" t="s">
        <v>168</v>
      </c>
      <c r="S28" t="s">
        <v>219</v>
      </c>
      <c r="T28" t="s">
        <v>264</v>
      </c>
      <c r="U28">
        <v>2.3130288881001652E-2</v>
      </c>
      <c r="V28" t="s">
        <v>168</v>
      </c>
      <c r="X28">
        <v>2.4771689497716895E-2</v>
      </c>
      <c r="Y28">
        <v>2.5587350520846285E-2</v>
      </c>
      <c r="Z28" t="s">
        <v>264</v>
      </c>
      <c r="AA28" t="s">
        <v>25</v>
      </c>
      <c r="AC28" t="s">
        <v>22</v>
      </c>
      <c r="AD28" t="s">
        <v>264</v>
      </c>
      <c r="AE28">
        <v>2.6192678967726955E-2</v>
      </c>
      <c r="AG28" t="s">
        <v>96</v>
      </c>
      <c r="AH28" t="s">
        <v>264</v>
      </c>
      <c r="AI28">
        <v>0.12654399795082072</v>
      </c>
      <c r="AK28">
        <v>2022</v>
      </c>
      <c r="AL28" t="s">
        <v>249</v>
      </c>
      <c r="AM28">
        <v>0.17040710256803501</v>
      </c>
      <c r="AN28" t="s">
        <v>247</v>
      </c>
    </row>
    <row r="29" spans="3:40" x14ac:dyDescent="0.45">
      <c r="I29" t="s">
        <v>166</v>
      </c>
      <c r="J29" t="s">
        <v>265</v>
      </c>
      <c r="K29">
        <v>1.081312531669505E-2</v>
      </c>
      <c r="L29" t="s">
        <v>168</v>
      </c>
      <c r="N29" t="s">
        <v>200</v>
      </c>
      <c r="O29" t="s">
        <v>265</v>
      </c>
      <c r="P29">
        <v>3.4882491782395005E-2</v>
      </c>
      <c r="Q29" t="s">
        <v>168</v>
      </c>
      <c r="S29" t="s">
        <v>219</v>
      </c>
      <c r="T29" t="s">
        <v>265</v>
      </c>
      <c r="U29">
        <v>2.0534219210437035E-2</v>
      </c>
      <c r="V29" t="s">
        <v>168</v>
      </c>
      <c r="X29">
        <v>2.8310502283105023E-2</v>
      </c>
      <c r="Y29">
        <v>1.5691519777241876E-2</v>
      </c>
      <c r="Z29" t="s">
        <v>265</v>
      </c>
      <c r="AA29" t="s">
        <v>25</v>
      </c>
      <c r="AC29" t="s">
        <v>22</v>
      </c>
      <c r="AD29" t="s">
        <v>265</v>
      </c>
      <c r="AE29">
        <v>2.3274742893035865E-2</v>
      </c>
      <c r="AG29" t="s">
        <v>96</v>
      </c>
      <c r="AH29" t="s">
        <v>265</v>
      </c>
      <c r="AI29">
        <v>0.29227721984313737</v>
      </c>
      <c r="AK29">
        <v>2022</v>
      </c>
      <c r="AL29" t="s">
        <v>251</v>
      </c>
      <c r="AM29">
        <v>0.13940247696190641</v>
      </c>
      <c r="AN29" t="s">
        <v>247</v>
      </c>
    </row>
    <row r="30" spans="3:40" x14ac:dyDescent="0.45">
      <c r="I30" t="s">
        <v>166</v>
      </c>
      <c r="J30" t="s">
        <v>266</v>
      </c>
      <c r="K30">
        <v>9.0347503004862151E-3</v>
      </c>
      <c r="L30" t="s">
        <v>168</v>
      </c>
      <c r="N30" t="s">
        <v>200</v>
      </c>
      <c r="O30" t="s">
        <v>266</v>
      </c>
      <c r="P30">
        <v>3.5713997391670638E-3</v>
      </c>
      <c r="Q30" t="s">
        <v>168</v>
      </c>
      <c r="S30" t="s">
        <v>219</v>
      </c>
      <c r="T30" t="s">
        <v>266</v>
      </c>
      <c r="U30">
        <v>2.1432405702966778E-3</v>
      </c>
      <c r="V30" t="s">
        <v>168</v>
      </c>
      <c r="X30">
        <v>3.5388127853881279E-3</v>
      </c>
      <c r="Y30">
        <v>4.521459529788099E-3</v>
      </c>
      <c r="Z30" t="s">
        <v>266</v>
      </c>
      <c r="AA30" t="s">
        <v>25</v>
      </c>
      <c r="AC30" t="s">
        <v>22</v>
      </c>
      <c r="AD30" t="s">
        <v>266</v>
      </c>
      <c r="AE30">
        <v>3.7616722776133487E-3</v>
      </c>
      <c r="AG30" t="s">
        <v>96</v>
      </c>
      <c r="AH30" t="s">
        <v>266</v>
      </c>
      <c r="AI30">
        <v>9.3437124549459405E-2</v>
      </c>
      <c r="AK30">
        <v>2022</v>
      </c>
      <c r="AL30" t="s">
        <v>253</v>
      </c>
      <c r="AM30">
        <v>0.13668069685144474</v>
      </c>
      <c r="AN30" t="s">
        <v>247</v>
      </c>
    </row>
    <row r="31" spans="3:40" x14ac:dyDescent="0.45">
      <c r="I31" t="s">
        <v>166</v>
      </c>
      <c r="J31" t="s">
        <v>267</v>
      </c>
      <c r="K31">
        <v>1.0563449422439879E-2</v>
      </c>
      <c r="L31" t="s">
        <v>168</v>
      </c>
      <c r="N31" t="s">
        <v>200</v>
      </c>
      <c r="O31" t="s">
        <v>267</v>
      </c>
      <c r="P31">
        <v>3.5137298214156674E-3</v>
      </c>
      <c r="Q31" t="s">
        <v>168</v>
      </c>
      <c r="S31" t="s">
        <v>219</v>
      </c>
      <c r="T31" t="s">
        <v>267</v>
      </c>
      <c r="U31">
        <v>2.0947971313144249E-3</v>
      </c>
      <c r="V31" t="s">
        <v>168</v>
      </c>
      <c r="X31">
        <v>3.5388127853881279E-3</v>
      </c>
      <c r="Y31">
        <v>4.4803553522445696E-3</v>
      </c>
      <c r="Z31" t="s">
        <v>267</v>
      </c>
      <c r="AA31" t="s">
        <v>25</v>
      </c>
      <c r="AC31" t="s">
        <v>22</v>
      </c>
      <c r="AD31" t="s">
        <v>267</v>
      </c>
      <c r="AE31">
        <v>3.8401633158667999E-3</v>
      </c>
      <c r="AG31" t="s">
        <v>96</v>
      </c>
      <c r="AH31" t="s">
        <v>267</v>
      </c>
      <c r="AI31">
        <v>8.4616135878744059E-2</v>
      </c>
      <c r="AK31">
        <v>2022</v>
      </c>
      <c r="AL31" t="s">
        <v>255</v>
      </c>
      <c r="AM31">
        <v>0.15407642190526499</v>
      </c>
      <c r="AN31" t="s">
        <v>247</v>
      </c>
    </row>
    <row r="32" spans="3:40" x14ac:dyDescent="0.45">
      <c r="I32" t="s">
        <v>166</v>
      </c>
      <c r="J32" t="s">
        <v>268</v>
      </c>
      <c r="K32">
        <v>6.1369717269771133E-2</v>
      </c>
      <c r="L32" t="s">
        <v>168</v>
      </c>
      <c r="N32" t="s">
        <v>200</v>
      </c>
      <c r="O32" t="s">
        <v>268</v>
      </c>
      <c r="P32">
        <v>1.4349863230604436E-2</v>
      </c>
      <c r="Q32" t="s">
        <v>168</v>
      </c>
      <c r="S32" t="s">
        <v>219</v>
      </c>
      <c r="T32" t="s">
        <v>268</v>
      </c>
      <c r="U32">
        <v>1.3177904196244176E-2</v>
      </c>
      <c r="V32" t="s">
        <v>168</v>
      </c>
      <c r="X32">
        <v>2.1232876712328767E-2</v>
      </c>
      <c r="Y32">
        <v>2.7765871930653274E-2</v>
      </c>
      <c r="Z32" t="s">
        <v>268</v>
      </c>
      <c r="AA32" t="s">
        <v>25</v>
      </c>
      <c r="AC32" t="s">
        <v>22</v>
      </c>
      <c r="AD32" t="s">
        <v>268</v>
      </c>
      <c r="AE32">
        <v>2.3427919499996192E-2</v>
      </c>
      <c r="AG32" t="s">
        <v>96</v>
      </c>
      <c r="AH32" t="s">
        <v>268</v>
      </c>
      <c r="AI32">
        <v>0.10193146915265872</v>
      </c>
      <c r="AK32">
        <v>2025</v>
      </c>
      <c r="AL32" t="s">
        <v>157</v>
      </c>
      <c r="AM32">
        <v>0.19159999999999999</v>
      </c>
      <c r="AN32" t="s">
        <v>247</v>
      </c>
    </row>
    <row r="33" spans="9:40" x14ac:dyDescent="0.45">
      <c r="I33" t="s">
        <v>166</v>
      </c>
      <c r="J33" t="s">
        <v>269</v>
      </c>
      <c r="K33">
        <v>7.6543503008451065E-3</v>
      </c>
      <c r="L33" t="s">
        <v>168</v>
      </c>
      <c r="N33" t="s">
        <v>200</v>
      </c>
      <c r="O33" t="s">
        <v>269</v>
      </c>
      <c r="P33">
        <v>2.341417272686711E-3</v>
      </c>
      <c r="Q33" t="s">
        <v>168</v>
      </c>
      <c r="S33" t="s">
        <v>219</v>
      </c>
      <c r="T33" t="s">
        <v>269</v>
      </c>
      <c r="U33">
        <v>2.7710349492291665E-3</v>
      </c>
      <c r="V33" t="s">
        <v>168</v>
      </c>
      <c r="X33">
        <v>3.5388127853881279E-3</v>
      </c>
      <c r="Y33">
        <v>6.8849497385409693E-3</v>
      </c>
      <c r="Z33" t="s">
        <v>269</v>
      </c>
      <c r="AA33" t="s">
        <v>25</v>
      </c>
      <c r="AC33" t="s">
        <v>22</v>
      </c>
      <c r="AD33" t="s">
        <v>269</v>
      </c>
      <c r="AE33">
        <v>3.884062728412093E-3</v>
      </c>
      <c r="AG33" t="s">
        <v>96</v>
      </c>
      <c r="AH33" t="s">
        <v>269</v>
      </c>
      <c r="AI33">
        <v>8.6589741713731794E-2</v>
      </c>
      <c r="AK33">
        <v>2025</v>
      </c>
      <c r="AL33" t="s">
        <v>161</v>
      </c>
      <c r="AM33">
        <v>0.30279999999999996</v>
      </c>
      <c r="AN33" t="s">
        <v>247</v>
      </c>
    </row>
    <row r="34" spans="9:40" x14ac:dyDescent="0.45">
      <c r="I34" t="s">
        <v>166</v>
      </c>
      <c r="J34" t="s">
        <v>270</v>
      </c>
      <c r="K34">
        <v>1.1185369808609423E-2</v>
      </c>
      <c r="L34" t="s">
        <v>168</v>
      </c>
      <c r="N34" t="s">
        <v>200</v>
      </c>
      <c r="O34" t="s">
        <v>270</v>
      </c>
      <c r="P34">
        <v>1.7179983797299351E-2</v>
      </c>
      <c r="Q34" t="s">
        <v>168</v>
      </c>
      <c r="S34" t="s">
        <v>219</v>
      </c>
      <c r="T34" t="s">
        <v>270</v>
      </c>
      <c r="U34">
        <v>2.0858331209927805E-2</v>
      </c>
      <c r="V34" t="s">
        <v>168</v>
      </c>
      <c r="X34">
        <v>2.4771689497716895E-2</v>
      </c>
      <c r="Y34">
        <v>2.5587350520846285E-2</v>
      </c>
      <c r="Z34" t="s">
        <v>270</v>
      </c>
      <c r="AA34" t="s">
        <v>25</v>
      </c>
      <c r="AC34" t="s">
        <v>22</v>
      </c>
      <c r="AD34" t="s">
        <v>270</v>
      </c>
      <c r="AE34">
        <v>2.506968043500046E-2</v>
      </c>
      <c r="AG34" t="s">
        <v>96</v>
      </c>
      <c r="AH34" t="s">
        <v>270</v>
      </c>
      <c r="AI34">
        <v>0.1589966041720241</v>
      </c>
      <c r="AK34">
        <v>2025</v>
      </c>
      <c r="AL34" t="s">
        <v>163</v>
      </c>
      <c r="AM34">
        <v>0.38129999999999997</v>
      </c>
      <c r="AN34" t="s">
        <v>247</v>
      </c>
    </row>
    <row r="35" spans="9:40" x14ac:dyDescent="0.45">
      <c r="I35" t="s">
        <v>166</v>
      </c>
      <c r="J35" t="s">
        <v>271</v>
      </c>
      <c r="K35">
        <v>7.2009642432748931E-3</v>
      </c>
      <c r="L35" t="s">
        <v>168</v>
      </c>
      <c r="N35" t="s">
        <v>200</v>
      </c>
      <c r="O35" t="s">
        <v>271</v>
      </c>
      <c r="P35">
        <v>2.2835338683198647E-2</v>
      </c>
      <c r="Q35" t="s">
        <v>168</v>
      </c>
      <c r="S35" t="s">
        <v>219</v>
      </c>
      <c r="T35" t="s">
        <v>271</v>
      </c>
      <c r="U35">
        <v>1.4854148048605608E-2</v>
      </c>
      <c r="V35" t="s">
        <v>168</v>
      </c>
      <c r="X35">
        <v>2.7397260273972601E-2</v>
      </c>
      <c r="Y35">
        <v>1.5185341719911493E-2</v>
      </c>
      <c r="Z35" t="s">
        <v>271</v>
      </c>
      <c r="AA35" t="s">
        <v>25</v>
      </c>
      <c r="AC35" t="s">
        <v>22</v>
      </c>
      <c r="AD35" t="s">
        <v>271</v>
      </c>
      <c r="AE35">
        <v>2.1693435321005494E-2</v>
      </c>
      <c r="AG35" t="s">
        <v>96</v>
      </c>
      <c r="AH35" t="s">
        <v>271</v>
      </c>
      <c r="AI35">
        <v>0.25595025523601467</v>
      </c>
      <c r="AK35">
        <v>2025</v>
      </c>
      <c r="AL35" t="s">
        <v>249</v>
      </c>
      <c r="AM35">
        <v>0.27289999999999998</v>
      </c>
      <c r="AN35" t="s">
        <v>247</v>
      </c>
    </row>
    <row r="36" spans="9:40" x14ac:dyDescent="0.45">
      <c r="I36" t="s">
        <v>166</v>
      </c>
      <c r="J36" t="s">
        <v>272</v>
      </c>
      <c r="K36">
        <v>7.1293944441923789E-3</v>
      </c>
      <c r="L36" t="s">
        <v>168</v>
      </c>
      <c r="N36" t="s">
        <v>200</v>
      </c>
      <c r="O36" t="s">
        <v>272</v>
      </c>
      <c r="P36">
        <v>2.4875276941517294E-3</v>
      </c>
      <c r="Q36" t="s">
        <v>168</v>
      </c>
      <c r="S36" t="s">
        <v>219</v>
      </c>
      <c r="T36" t="s">
        <v>272</v>
      </c>
      <c r="U36">
        <v>1.4273825656636403E-3</v>
      </c>
      <c r="V36" t="s">
        <v>168</v>
      </c>
      <c r="X36">
        <v>3.4246575342465752E-3</v>
      </c>
      <c r="Y36">
        <v>4.3756059965691279E-3</v>
      </c>
      <c r="Z36" t="s">
        <v>272</v>
      </c>
      <c r="AA36" t="s">
        <v>25</v>
      </c>
      <c r="AC36" t="s">
        <v>22</v>
      </c>
      <c r="AD36" t="s">
        <v>272</v>
      </c>
      <c r="AE36">
        <v>3.5037198852776721E-3</v>
      </c>
      <c r="AG36" t="s">
        <v>96</v>
      </c>
      <c r="AH36" t="s">
        <v>272</v>
      </c>
      <c r="AI36">
        <v>6.7764737848116319E-2</v>
      </c>
      <c r="AK36">
        <v>2025</v>
      </c>
      <c r="AL36" t="s">
        <v>251</v>
      </c>
      <c r="AM36">
        <v>0.25779999999999997</v>
      </c>
      <c r="AN36" t="s">
        <v>247</v>
      </c>
    </row>
    <row r="37" spans="9:40" x14ac:dyDescent="0.45">
      <c r="I37" t="s">
        <v>166</v>
      </c>
      <c r="J37" t="s">
        <v>273</v>
      </c>
      <c r="K37">
        <v>8.67825113844925E-3</v>
      </c>
      <c r="L37" t="s">
        <v>168</v>
      </c>
      <c r="N37" t="s">
        <v>200</v>
      </c>
      <c r="O37" t="s">
        <v>273</v>
      </c>
      <c r="P37">
        <v>2.262563028852165E-3</v>
      </c>
      <c r="Q37" t="s">
        <v>168</v>
      </c>
      <c r="S37" t="s">
        <v>219</v>
      </c>
      <c r="T37" t="s">
        <v>273</v>
      </c>
      <c r="U37">
        <v>1.4022072801790743E-3</v>
      </c>
      <c r="V37" t="s">
        <v>168</v>
      </c>
      <c r="X37">
        <v>3.4246575342465752E-3</v>
      </c>
      <c r="Y37">
        <v>4.3358277602366805E-3</v>
      </c>
      <c r="Z37" t="s">
        <v>273</v>
      </c>
      <c r="AA37" t="s">
        <v>25</v>
      </c>
      <c r="AC37" t="s">
        <v>22</v>
      </c>
      <c r="AD37" t="s">
        <v>273</v>
      </c>
      <c r="AE37">
        <v>3.5387808427142053E-3</v>
      </c>
      <c r="AG37" t="s">
        <v>96</v>
      </c>
      <c r="AH37" t="s">
        <v>273</v>
      </c>
      <c r="AI37">
        <v>6.6501641578815995E-2</v>
      </c>
      <c r="AK37">
        <v>2025</v>
      </c>
      <c r="AL37" t="s">
        <v>253</v>
      </c>
      <c r="AM37">
        <v>0.23065000000000002</v>
      </c>
      <c r="AN37" t="s">
        <v>247</v>
      </c>
    </row>
    <row r="38" spans="9:40" x14ac:dyDescent="0.45">
      <c r="I38" t="s">
        <v>166</v>
      </c>
      <c r="J38" t="s">
        <v>274</v>
      </c>
      <c r="K38">
        <v>5.2516569614551104E-2</v>
      </c>
      <c r="L38" t="s">
        <v>168</v>
      </c>
      <c r="N38" t="s">
        <v>200</v>
      </c>
      <c r="O38" t="s">
        <v>274</v>
      </c>
      <c r="P38">
        <v>9.6799244997573045E-3</v>
      </c>
      <c r="Q38" t="s">
        <v>168</v>
      </c>
      <c r="S38" t="s">
        <v>219</v>
      </c>
      <c r="T38" t="s">
        <v>274</v>
      </c>
      <c r="U38">
        <v>1.0450120095892369E-2</v>
      </c>
      <c r="V38" t="s">
        <v>168</v>
      </c>
      <c r="X38">
        <v>2.0547945205479451E-2</v>
      </c>
      <c r="Y38">
        <v>2.6870198642567691E-2</v>
      </c>
      <c r="Z38" t="s">
        <v>274</v>
      </c>
      <c r="AA38" t="s">
        <v>25</v>
      </c>
      <c r="AC38" t="s">
        <v>22</v>
      </c>
      <c r="AD38" t="s">
        <v>274</v>
      </c>
      <c r="AE38">
        <v>2.1356581123268603E-2</v>
      </c>
      <c r="AG38" t="s">
        <v>96</v>
      </c>
      <c r="AH38" t="s">
        <v>274</v>
      </c>
      <c r="AI38">
        <v>8.5387458469410316E-2</v>
      </c>
      <c r="AK38">
        <v>2025</v>
      </c>
      <c r="AL38" t="s">
        <v>255</v>
      </c>
      <c r="AM38">
        <v>0.24490000000000001</v>
      </c>
      <c r="AN38" t="s">
        <v>247</v>
      </c>
    </row>
    <row r="39" spans="9:40" x14ac:dyDescent="0.45">
      <c r="I39" t="s">
        <v>166</v>
      </c>
      <c r="J39" t="s">
        <v>275</v>
      </c>
      <c r="K39">
        <v>6.7573789762498254E-3</v>
      </c>
      <c r="L39" t="s">
        <v>168</v>
      </c>
      <c r="N39" t="s">
        <v>200</v>
      </c>
      <c r="O39" t="s">
        <v>275</v>
      </c>
      <c r="P39">
        <v>1.724350668174494E-3</v>
      </c>
      <c r="Q39" t="s">
        <v>168</v>
      </c>
      <c r="S39" t="s">
        <v>219</v>
      </c>
      <c r="T39" t="s">
        <v>275</v>
      </c>
      <c r="U39">
        <v>2.1923838282468908E-3</v>
      </c>
      <c r="V39" t="s">
        <v>168</v>
      </c>
      <c r="X39">
        <v>3.4246575342465752E-3</v>
      </c>
      <c r="Y39">
        <v>6.662854585684809E-3</v>
      </c>
      <c r="Z39" t="s">
        <v>275</v>
      </c>
      <c r="AA39" t="s">
        <v>25</v>
      </c>
      <c r="AC39" t="s">
        <v>22</v>
      </c>
      <c r="AD39" t="s">
        <v>275</v>
      </c>
      <c r="AE39">
        <v>3.5562437376635862E-3</v>
      </c>
      <c r="AG39" t="s">
        <v>96</v>
      </c>
      <c r="AH39" t="s">
        <v>275</v>
      </c>
      <c r="AI39">
        <v>7.5617800540017877E-2</v>
      </c>
      <c r="AK39">
        <v>2026</v>
      </c>
      <c r="AL39" t="s">
        <v>157</v>
      </c>
      <c r="AM39">
        <v>0.13995000000000002</v>
      </c>
      <c r="AN39" t="s">
        <v>247</v>
      </c>
    </row>
    <row r="40" spans="9:40" x14ac:dyDescent="0.45">
      <c r="I40" t="s">
        <v>166</v>
      </c>
      <c r="J40" t="s">
        <v>276</v>
      </c>
      <c r="K40">
        <v>6.0136379318287084E-3</v>
      </c>
      <c r="L40" t="s">
        <v>168</v>
      </c>
      <c r="N40" t="s">
        <v>200</v>
      </c>
      <c r="O40" t="s">
        <v>276</v>
      </c>
      <c r="P40">
        <v>1.8821620009778137E-2</v>
      </c>
      <c r="Q40" t="s">
        <v>168</v>
      </c>
      <c r="S40" t="s">
        <v>219</v>
      </c>
      <c r="T40" t="s">
        <v>276</v>
      </c>
      <c r="U40">
        <v>1.6462013178760219E-2</v>
      </c>
      <c r="V40" t="s">
        <v>168</v>
      </c>
      <c r="X40">
        <v>2.3972602739726026E-2</v>
      </c>
      <c r="Y40">
        <v>2.4761952116948018E-2</v>
      </c>
      <c r="Z40" t="s">
        <v>276</v>
      </c>
      <c r="AA40" t="s">
        <v>25</v>
      </c>
      <c r="AC40" t="s">
        <v>22</v>
      </c>
      <c r="AD40" t="s">
        <v>276</v>
      </c>
      <c r="AE40">
        <v>2.310523313296069E-2</v>
      </c>
      <c r="AG40" t="s">
        <v>96</v>
      </c>
      <c r="AH40" t="s">
        <v>276</v>
      </c>
      <c r="AI40">
        <v>0.13588515057549277</v>
      </c>
      <c r="AK40">
        <v>2026</v>
      </c>
      <c r="AL40" t="s">
        <v>161</v>
      </c>
      <c r="AM40">
        <v>0.22070000000000001</v>
      </c>
      <c r="AN40" t="s">
        <v>247</v>
      </c>
    </row>
    <row r="41" spans="9:40" x14ac:dyDescent="0.45">
      <c r="I41" t="s">
        <v>166</v>
      </c>
      <c r="J41" t="s">
        <v>277</v>
      </c>
      <c r="K41">
        <v>2.1464249126029208E-3</v>
      </c>
      <c r="L41" t="s">
        <v>168</v>
      </c>
      <c r="N41" t="s">
        <v>200</v>
      </c>
      <c r="O41" t="s">
        <v>277</v>
      </c>
      <c r="P41">
        <v>9.0139093239148316E-2</v>
      </c>
      <c r="Q41" t="s">
        <v>168</v>
      </c>
      <c r="S41" t="s">
        <v>219</v>
      </c>
      <c r="T41" t="s">
        <v>277</v>
      </c>
      <c r="U41">
        <v>6.0580292766423134E-2</v>
      </c>
      <c r="V41" t="s">
        <v>168</v>
      </c>
      <c r="X41">
        <v>5.5707762557077628E-2</v>
      </c>
      <c r="Y41">
        <v>3.0876861497153366E-2</v>
      </c>
      <c r="Z41" t="s">
        <v>277</v>
      </c>
      <c r="AA41" t="s">
        <v>25</v>
      </c>
      <c r="AC41" t="s">
        <v>22</v>
      </c>
      <c r="AD41" t="s">
        <v>277</v>
      </c>
      <c r="AE41">
        <v>4.5233735700615528E-2</v>
      </c>
      <c r="AG41" t="s">
        <v>96</v>
      </c>
      <c r="AH41" t="s">
        <v>277</v>
      </c>
      <c r="AI41">
        <v>0.32286054201651648</v>
      </c>
      <c r="AK41">
        <v>2026</v>
      </c>
      <c r="AL41" t="s">
        <v>163</v>
      </c>
      <c r="AM41">
        <v>0.27850000000000003</v>
      </c>
      <c r="AN41" t="s">
        <v>247</v>
      </c>
    </row>
    <row r="42" spans="9:40" x14ac:dyDescent="0.45">
      <c r="I42" t="s">
        <v>166</v>
      </c>
      <c r="J42" t="s">
        <v>278</v>
      </c>
      <c r="K42">
        <v>6.7347209945278182E-3</v>
      </c>
      <c r="L42" t="s">
        <v>168</v>
      </c>
      <c r="N42" t="s">
        <v>200</v>
      </c>
      <c r="O42" t="s">
        <v>278</v>
      </c>
      <c r="P42">
        <v>1.0382646462526774E-2</v>
      </c>
      <c r="Q42" t="s">
        <v>168</v>
      </c>
      <c r="S42" t="s">
        <v>219</v>
      </c>
      <c r="T42" t="s">
        <v>278</v>
      </c>
      <c r="U42">
        <v>7.8333841347553983E-3</v>
      </c>
      <c r="V42" t="s">
        <v>168</v>
      </c>
      <c r="X42">
        <v>6.9634703196347035E-3</v>
      </c>
      <c r="Y42">
        <v>8.8970655263572278E-3</v>
      </c>
      <c r="Z42" t="s">
        <v>278</v>
      </c>
      <c r="AA42" t="s">
        <v>25</v>
      </c>
      <c r="AC42" t="s">
        <v>22</v>
      </c>
      <c r="AD42" t="s">
        <v>278</v>
      </c>
      <c r="AE42">
        <v>7.3211283822949202E-3</v>
      </c>
      <c r="AG42" t="s">
        <v>96</v>
      </c>
      <c r="AH42" t="s">
        <v>278</v>
      </c>
      <c r="AI42">
        <v>0.12772812214802043</v>
      </c>
      <c r="AK42">
        <v>2026</v>
      </c>
      <c r="AL42" t="s">
        <v>249</v>
      </c>
      <c r="AM42">
        <v>0.24179999999999999</v>
      </c>
      <c r="AN42" t="s">
        <v>247</v>
      </c>
    </row>
    <row r="43" spans="9:40" x14ac:dyDescent="0.45">
      <c r="I43" t="s">
        <v>166</v>
      </c>
      <c r="J43" t="s">
        <v>279</v>
      </c>
      <c r="K43">
        <v>1.0394651148566803E-2</v>
      </c>
      <c r="L43" t="s">
        <v>168</v>
      </c>
      <c r="N43" t="s">
        <v>200</v>
      </c>
      <c r="O43" t="s">
        <v>279</v>
      </c>
      <c r="P43">
        <v>9.7066853518004894E-3</v>
      </c>
      <c r="Q43" t="s">
        <v>168</v>
      </c>
      <c r="S43" t="s">
        <v>219</v>
      </c>
      <c r="T43" t="s">
        <v>279</v>
      </c>
      <c r="U43">
        <v>7.6402340567898264E-3</v>
      </c>
      <c r="V43" t="s">
        <v>168</v>
      </c>
      <c r="X43">
        <v>6.9634703196347035E-3</v>
      </c>
      <c r="Y43">
        <v>8.8161831124812517E-3</v>
      </c>
      <c r="Z43" t="s">
        <v>279</v>
      </c>
      <c r="AA43" t="s">
        <v>25</v>
      </c>
      <c r="AC43" t="s">
        <v>22</v>
      </c>
      <c r="AD43" t="s">
        <v>279</v>
      </c>
      <c r="AE43">
        <v>7.4775284874586366E-3</v>
      </c>
      <c r="AG43" t="s">
        <v>96</v>
      </c>
      <c r="AH43" t="s">
        <v>279</v>
      </c>
      <c r="AI43">
        <v>0.12961216402060427</v>
      </c>
      <c r="AK43">
        <v>2026</v>
      </c>
      <c r="AL43" t="s">
        <v>251</v>
      </c>
      <c r="AM43">
        <v>0.20300000000000001</v>
      </c>
      <c r="AN43" t="s">
        <v>247</v>
      </c>
    </row>
    <row r="44" spans="9:40" x14ac:dyDescent="0.45">
      <c r="I44" t="s">
        <v>166</v>
      </c>
      <c r="J44" t="s">
        <v>280</v>
      </c>
      <c r="K44">
        <v>7.2443776415587066E-2</v>
      </c>
      <c r="L44" t="s">
        <v>168</v>
      </c>
      <c r="N44" t="s">
        <v>200</v>
      </c>
      <c r="O44" t="s">
        <v>280</v>
      </c>
      <c r="P44">
        <v>5.4141746727523574E-2</v>
      </c>
      <c r="Q44" t="s">
        <v>168</v>
      </c>
      <c r="S44" t="s">
        <v>219</v>
      </c>
      <c r="T44" t="s">
        <v>280</v>
      </c>
      <c r="U44">
        <v>4.5243324076719681E-2</v>
      </c>
      <c r="V44" t="s">
        <v>168</v>
      </c>
      <c r="X44">
        <v>4.1780821917808221E-2</v>
      </c>
      <c r="Y44">
        <v>5.4636070573220973E-2</v>
      </c>
      <c r="Z44" t="s">
        <v>280</v>
      </c>
      <c r="AA44" t="s">
        <v>25</v>
      </c>
      <c r="AC44" t="s">
        <v>22</v>
      </c>
      <c r="AD44" t="s">
        <v>280</v>
      </c>
      <c r="AE44">
        <v>4.4446403119464947E-2</v>
      </c>
      <c r="AG44" t="s">
        <v>96</v>
      </c>
      <c r="AH44" t="s">
        <v>280</v>
      </c>
      <c r="AI44">
        <v>0.13236893135022987</v>
      </c>
      <c r="AK44">
        <v>2026</v>
      </c>
      <c r="AL44" t="s">
        <v>253</v>
      </c>
      <c r="AM44">
        <v>0.17845</v>
      </c>
      <c r="AN44" t="s">
        <v>247</v>
      </c>
    </row>
    <row r="45" spans="9:40" x14ac:dyDescent="0.45">
      <c r="I45" t="s">
        <v>166</v>
      </c>
      <c r="J45" t="s">
        <v>281</v>
      </c>
      <c r="K45">
        <v>6.3003170125817548E-3</v>
      </c>
      <c r="L45" t="s">
        <v>168</v>
      </c>
      <c r="N45" t="s">
        <v>200</v>
      </c>
      <c r="O45" t="s">
        <v>281</v>
      </c>
      <c r="P45">
        <v>9.6197510794507318E-3</v>
      </c>
      <c r="Q45" t="s">
        <v>168</v>
      </c>
      <c r="S45" t="s">
        <v>219</v>
      </c>
      <c r="T45" t="s">
        <v>281</v>
      </c>
      <c r="U45">
        <v>9.0917592878211398E-3</v>
      </c>
      <c r="V45" t="s">
        <v>168</v>
      </c>
      <c r="X45">
        <v>6.9634703196347035E-3</v>
      </c>
      <c r="Y45">
        <v>1.354780432422577E-2</v>
      </c>
      <c r="Z45" t="s">
        <v>281</v>
      </c>
      <c r="AA45" t="s">
        <v>25</v>
      </c>
      <c r="AC45" t="s">
        <v>22</v>
      </c>
      <c r="AD45" t="s">
        <v>281</v>
      </c>
      <c r="AE45">
        <v>7.4721518231783716E-3</v>
      </c>
      <c r="AG45" t="s">
        <v>96</v>
      </c>
      <c r="AH45" t="s">
        <v>281</v>
      </c>
      <c r="AI45">
        <v>0.14998892647013329</v>
      </c>
      <c r="AK45">
        <v>2026</v>
      </c>
      <c r="AL45" t="s">
        <v>255</v>
      </c>
      <c r="AM45">
        <v>0.15559999999999999</v>
      </c>
      <c r="AN45" t="s">
        <v>247</v>
      </c>
    </row>
    <row r="46" spans="9:40" x14ac:dyDescent="0.45">
      <c r="I46" t="s">
        <v>166</v>
      </c>
      <c r="J46" t="s">
        <v>282</v>
      </c>
      <c r="K46">
        <v>8.8602873040642823E-4</v>
      </c>
      <c r="L46" t="s">
        <v>168</v>
      </c>
      <c r="N46" t="s">
        <v>200</v>
      </c>
      <c r="O46" t="s">
        <v>282</v>
      </c>
      <c r="P46">
        <v>7.4007525010018282E-2</v>
      </c>
      <c r="Q46" t="s">
        <v>168</v>
      </c>
      <c r="S46" t="s">
        <v>219</v>
      </c>
      <c r="T46" t="s">
        <v>282</v>
      </c>
      <c r="U46">
        <v>6.4318402610418254E-2</v>
      </c>
      <c r="V46" t="s">
        <v>168</v>
      </c>
      <c r="X46">
        <v>4.8744292237442921E-2</v>
      </c>
      <c r="Y46">
        <v>5.0349302637794295E-2</v>
      </c>
      <c r="Z46" t="s">
        <v>282</v>
      </c>
      <c r="AA46" t="s">
        <v>25</v>
      </c>
      <c r="AC46" t="s">
        <v>22</v>
      </c>
      <c r="AD46" t="s">
        <v>282</v>
      </c>
      <c r="AE46">
        <v>4.9347919936025761E-2</v>
      </c>
      <c r="AG46" t="s">
        <v>96</v>
      </c>
      <c r="AH46" t="s">
        <v>282</v>
      </c>
      <c r="AI46">
        <v>0.22117400342618998</v>
      </c>
      <c r="AK46">
        <v>2027</v>
      </c>
      <c r="AL46" t="s">
        <v>157</v>
      </c>
      <c r="AM46">
        <v>0.1575</v>
      </c>
      <c r="AN46" t="s">
        <v>247</v>
      </c>
    </row>
    <row r="47" spans="9:40" x14ac:dyDescent="0.45">
      <c r="I47" t="s">
        <v>166</v>
      </c>
      <c r="J47" t="s">
        <v>283</v>
      </c>
      <c r="K47">
        <v>0</v>
      </c>
      <c r="L47" t="s">
        <v>168</v>
      </c>
      <c r="N47" t="s">
        <v>200</v>
      </c>
      <c r="O47" t="s">
        <v>283</v>
      </c>
      <c r="P47">
        <v>3.6326559240717905E-2</v>
      </c>
      <c r="Q47" t="s">
        <v>168</v>
      </c>
      <c r="S47" t="s">
        <v>219</v>
      </c>
      <c r="T47" t="s">
        <v>283</v>
      </c>
      <c r="U47">
        <v>2.5495413953000409E-2</v>
      </c>
      <c r="V47" t="s">
        <v>168</v>
      </c>
      <c r="X47">
        <v>2.8310502283105023E-2</v>
      </c>
      <c r="Y47">
        <v>1.5691519777241876E-2</v>
      </c>
      <c r="Z47" t="s">
        <v>283</v>
      </c>
      <c r="AA47" t="s">
        <v>25</v>
      </c>
      <c r="AC47" t="s">
        <v>22</v>
      </c>
      <c r="AD47" t="s">
        <v>283</v>
      </c>
      <c r="AE47">
        <v>2.5278796395052556E-2</v>
      </c>
      <c r="AG47" t="s">
        <v>96</v>
      </c>
      <c r="AH47" t="s">
        <v>283</v>
      </c>
      <c r="AI47">
        <v>0.3018567715645406</v>
      </c>
      <c r="AK47">
        <v>2027</v>
      </c>
      <c r="AL47" t="s">
        <v>161</v>
      </c>
      <c r="AM47">
        <v>0.223825</v>
      </c>
      <c r="AN47" t="s">
        <v>247</v>
      </c>
    </row>
    <row r="48" spans="9:40" x14ac:dyDescent="0.45">
      <c r="I48" t="s">
        <v>166</v>
      </c>
      <c r="J48" t="s">
        <v>284</v>
      </c>
      <c r="K48">
        <v>3.3505939754103499E-3</v>
      </c>
      <c r="L48" t="s">
        <v>168</v>
      </c>
      <c r="N48" t="s">
        <v>200</v>
      </c>
      <c r="O48" t="s">
        <v>284</v>
      </c>
      <c r="P48">
        <v>4.3929580859566539E-3</v>
      </c>
      <c r="Q48" t="s">
        <v>168</v>
      </c>
      <c r="S48" t="s">
        <v>219</v>
      </c>
      <c r="T48" t="s">
        <v>284</v>
      </c>
      <c r="U48">
        <v>3.6241354333509221E-3</v>
      </c>
      <c r="V48" t="s">
        <v>168</v>
      </c>
      <c r="X48">
        <v>3.5388127853881279E-3</v>
      </c>
      <c r="Y48">
        <v>4.521459529788099E-3</v>
      </c>
      <c r="Z48" t="s">
        <v>284</v>
      </c>
      <c r="AA48" t="s">
        <v>25</v>
      </c>
      <c r="AC48" t="s">
        <v>22</v>
      </c>
      <c r="AD48" t="s">
        <v>284</v>
      </c>
      <c r="AE48">
        <v>4.2866483841047468E-3</v>
      </c>
      <c r="AG48" t="s">
        <v>96</v>
      </c>
      <c r="AH48" t="s">
        <v>284</v>
      </c>
      <c r="AI48">
        <v>5.8368729564079569E-2</v>
      </c>
      <c r="AK48">
        <v>2027</v>
      </c>
      <c r="AL48" t="s">
        <v>163</v>
      </c>
      <c r="AM48">
        <v>0.28289999999999998</v>
      </c>
      <c r="AN48" t="s">
        <v>247</v>
      </c>
    </row>
    <row r="49" spans="9:40" x14ac:dyDescent="0.45">
      <c r="I49" t="s">
        <v>166</v>
      </c>
      <c r="J49" t="s">
        <v>285</v>
      </c>
      <c r="K49">
        <v>5.5631174221453051E-3</v>
      </c>
      <c r="L49" t="s">
        <v>168</v>
      </c>
      <c r="N49" t="s">
        <v>200</v>
      </c>
      <c r="O49" t="s">
        <v>285</v>
      </c>
      <c r="P49">
        <v>4.1258404989676324E-3</v>
      </c>
      <c r="Q49" t="s">
        <v>168</v>
      </c>
      <c r="S49" t="s">
        <v>219</v>
      </c>
      <c r="T49" t="s">
        <v>285</v>
      </c>
      <c r="U49">
        <v>3.633601524328635E-3</v>
      </c>
      <c r="V49" t="s">
        <v>168</v>
      </c>
      <c r="X49">
        <v>3.5388127853881279E-3</v>
      </c>
      <c r="Y49">
        <v>4.4803553522445696E-3</v>
      </c>
      <c r="Z49" t="s">
        <v>285</v>
      </c>
      <c r="AA49" t="s">
        <v>25</v>
      </c>
      <c r="AC49" t="s">
        <v>22</v>
      </c>
      <c r="AD49" t="s">
        <v>285</v>
      </c>
      <c r="AE49">
        <v>4.3482997999440996E-3</v>
      </c>
      <c r="AG49" t="s">
        <v>96</v>
      </c>
      <c r="AH49" t="s">
        <v>285</v>
      </c>
      <c r="AI49">
        <v>5.7109260082169211E-2</v>
      </c>
      <c r="AK49">
        <v>2027</v>
      </c>
      <c r="AL49" t="s">
        <v>249</v>
      </c>
      <c r="AM49">
        <v>0.2036</v>
      </c>
      <c r="AN49" t="s">
        <v>247</v>
      </c>
    </row>
    <row r="50" spans="9:40" x14ac:dyDescent="0.45">
      <c r="I50" t="s">
        <v>166</v>
      </c>
      <c r="J50" t="s">
        <v>286</v>
      </c>
      <c r="K50">
        <v>4.1047917924102569E-2</v>
      </c>
      <c r="L50" t="s">
        <v>168</v>
      </c>
      <c r="N50" t="s">
        <v>200</v>
      </c>
      <c r="O50" t="s">
        <v>286</v>
      </c>
      <c r="P50">
        <v>2.2388290627479216E-2</v>
      </c>
      <c r="Q50" t="s">
        <v>168</v>
      </c>
      <c r="S50" t="s">
        <v>219</v>
      </c>
      <c r="T50" t="s">
        <v>286</v>
      </c>
      <c r="U50">
        <v>2.0159670639679793E-2</v>
      </c>
      <c r="V50" t="s">
        <v>168</v>
      </c>
      <c r="X50">
        <v>2.1232876712328767E-2</v>
      </c>
      <c r="Y50">
        <v>2.7765871930653274E-2</v>
      </c>
      <c r="Z50" t="s">
        <v>286</v>
      </c>
      <c r="AA50" t="s">
        <v>25</v>
      </c>
      <c r="AC50" t="s">
        <v>22</v>
      </c>
      <c r="AD50" t="s">
        <v>286</v>
      </c>
      <c r="AE50">
        <v>2.5213406276635212E-2</v>
      </c>
      <c r="AG50" t="s">
        <v>96</v>
      </c>
      <c r="AH50" t="s">
        <v>286</v>
      </c>
      <c r="AI50">
        <v>7.3468891897909616E-2</v>
      </c>
      <c r="AK50">
        <v>2027</v>
      </c>
      <c r="AL50" t="s">
        <v>251</v>
      </c>
      <c r="AM50">
        <v>0.18820000000000001</v>
      </c>
      <c r="AN50" t="s">
        <v>247</v>
      </c>
    </row>
    <row r="51" spans="9:40" x14ac:dyDescent="0.45">
      <c r="I51" t="s">
        <v>166</v>
      </c>
      <c r="J51" t="s">
        <v>287</v>
      </c>
      <c r="K51">
        <v>2.9141528050372957E-3</v>
      </c>
      <c r="L51" t="s">
        <v>168</v>
      </c>
      <c r="N51" t="s">
        <v>200</v>
      </c>
      <c r="O51" t="s">
        <v>287</v>
      </c>
      <c r="P51">
        <v>3.2174854468907171E-3</v>
      </c>
      <c r="Q51" t="s">
        <v>168</v>
      </c>
      <c r="S51" t="s">
        <v>219</v>
      </c>
      <c r="T51" t="s">
        <v>287</v>
      </c>
      <c r="U51">
        <v>3.1153164217766868E-3</v>
      </c>
      <c r="V51" t="s">
        <v>168</v>
      </c>
      <c r="X51">
        <v>3.5388127853881279E-3</v>
      </c>
      <c r="Y51">
        <v>6.8849497385409693E-3</v>
      </c>
      <c r="Z51" t="s">
        <v>287</v>
      </c>
      <c r="AA51" t="s">
        <v>25</v>
      </c>
      <c r="AC51" t="s">
        <v>22</v>
      </c>
      <c r="AD51" t="s">
        <v>287</v>
      </c>
      <c r="AE51">
        <v>4.3455176014582922E-3</v>
      </c>
      <c r="AG51" t="s">
        <v>96</v>
      </c>
      <c r="AH51" t="s">
        <v>287</v>
      </c>
      <c r="AI51">
        <v>5.8295348927410284E-2</v>
      </c>
      <c r="AK51">
        <v>2027</v>
      </c>
      <c r="AL51" t="s">
        <v>253</v>
      </c>
      <c r="AM51">
        <v>0.18525000000000003</v>
      </c>
      <c r="AN51" t="s">
        <v>247</v>
      </c>
    </row>
    <row r="52" spans="9:40" x14ac:dyDescent="0.45">
      <c r="I52" t="s">
        <v>166</v>
      </c>
      <c r="J52" t="s">
        <v>288</v>
      </c>
      <c r="K52">
        <v>0</v>
      </c>
      <c r="L52" t="s">
        <v>168</v>
      </c>
      <c r="N52" t="s">
        <v>200</v>
      </c>
      <c r="O52" t="s">
        <v>288</v>
      </c>
      <c r="P52">
        <v>2.1837141165810755E-2</v>
      </c>
      <c r="Q52" t="s">
        <v>168</v>
      </c>
      <c r="S52" t="s">
        <v>219</v>
      </c>
      <c r="T52" t="s">
        <v>288</v>
      </c>
      <c r="U52">
        <v>1.9917566708296815E-2</v>
      </c>
      <c r="V52" t="s">
        <v>168</v>
      </c>
      <c r="X52">
        <v>2.4771689497716895E-2</v>
      </c>
      <c r="Y52">
        <v>2.5587350520846285E-2</v>
      </c>
      <c r="Z52" t="s">
        <v>288</v>
      </c>
      <c r="AA52" t="s">
        <v>25</v>
      </c>
      <c r="AC52" t="s">
        <v>22</v>
      </c>
      <c r="AD52" t="s">
        <v>288</v>
      </c>
      <c r="AE52">
        <v>2.7916675840701639E-2</v>
      </c>
      <c r="AG52" t="s">
        <v>96</v>
      </c>
      <c r="AH52" t="s">
        <v>288</v>
      </c>
      <c r="AI52">
        <v>0.15671262134874397</v>
      </c>
      <c r="AK52">
        <v>2027</v>
      </c>
      <c r="AL52" t="s">
        <v>255</v>
      </c>
      <c r="AM52">
        <v>0.17130000000000001</v>
      </c>
      <c r="AN52" t="s">
        <v>247</v>
      </c>
    </row>
    <row r="53" spans="9:40" x14ac:dyDescent="0.45">
      <c r="I53" t="s">
        <v>177</v>
      </c>
      <c r="J53" t="s">
        <v>167</v>
      </c>
      <c r="K53">
        <v>5.1548576712518877E-4</v>
      </c>
      <c r="L53" t="s">
        <v>168</v>
      </c>
      <c r="N53" t="s">
        <v>201</v>
      </c>
      <c r="O53" t="s">
        <v>167</v>
      </c>
      <c r="P53">
        <v>6.7031165567616721E-2</v>
      </c>
      <c r="Q53" t="s">
        <v>168</v>
      </c>
      <c r="S53" t="s">
        <v>220</v>
      </c>
      <c r="T53" t="s">
        <v>167</v>
      </c>
      <c r="U53">
        <v>6.7317426213145154E-2</v>
      </c>
      <c r="V53" t="s">
        <v>168</v>
      </c>
      <c r="AC53" t="s">
        <v>19</v>
      </c>
      <c r="AD53" t="s">
        <v>167</v>
      </c>
      <c r="AE53">
        <v>5.3084237148893397E-2</v>
      </c>
      <c r="AK53">
        <v>2028</v>
      </c>
      <c r="AL53" t="s">
        <v>157</v>
      </c>
      <c r="AM53">
        <v>0.16794999999999999</v>
      </c>
      <c r="AN53" t="s">
        <v>247</v>
      </c>
    </row>
    <row r="54" spans="9:40" x14ac:dyDescent="0.45">
      <c r="I54" t="s">
        <v>177</v>
      </c>
      <c r="J54" t="s">
        <v>169</v>
      </c>
      <c r="K54">
        <v>6.7661741744307969E-3</v>
      </c>
      <c r="L54" t="s">
        <v>168</v>
      </c>
      <c r="N54" t="s">
        <v>201</v>
      </c>
      <c r="O54" t="s">
        <v>169</v>
      </c>
      <c r="P54">
        <v>8.7855213079005064E-3</v>
      </c>
      <c r="Q54" t="s">
        <v>168</v>
      </c>
      <c r="S54" t="s">
        <v>220</v>
      </c>
      <c r="T54" t="s">
        <v>169</v>
      </c>
      <c r="U54">
        <v>8.0379845914257415E-3</v>
      </c>
      <c r="V54" t="s">
        <v>168</v>
      </c>
      <c r="AC54" t="s">
        <v>19</v>
      </c>
      <c r="AD54" t="s">
        <v>169</v>
      </c>
      <c r="AE54">
        <v>6.8128512704278962E-3</v>
      </c>
      <c r="AK54">
        <v>2028</v>
      </c>
      <c r="AL54" t="s">
        <v>161</v>
      </c>
      <c r="AM54">
        <v>0.26497500000000002</v>
      </c>
      <c r="AN54" t="s">
        <v>247</v>
      </c>
    </row>
    <row r="55" spans="9:40" x14ac:dyDescent="0.45">
      <c r="I55" t="s">
        <v>177</v>
      </c>
      <c r="J55" t="s">
        <v>170</v>
      </c>
      <c r="K55">
        <v>1.0871019898483244E-2</v>
      </c>
      <c r="L55" t="s">
        <v>168</v>
      </c>
      <c r="N55" t="s">
        <v>201</v>
      </c>
      <c r="O55" t="s">
        <v>170</v>
      </c>
      <c r="P55">
        <v>8.6955578419296332E-3</v>
      </c>
      <c r="Q55" t="s">
        <v>168</v>
      </c>
      <c r="S55" t="s">
        <v>220</v>
      </c>
      <c r="T55" t="s">
        <v>170</v>
      </c>
      <c r="U55">
        <v>8.1333198472157801E-3</v>
      </c>
      <c r="V55" t="s">
        <v>168</v>
      </c>
      <c r="AC55" t="s">
        <v>19</v>
      </c>
      <c r="AD55" t="s">
        <v>170</v>
      </c>
      <c r="AE55">
        <v>6.8231702796267323E-3</v>
      </c>
      <c r="AK55">
        <v>2028</v>
      </c>
      <c r="AL55" t="s">
        <v>163</v>
      </c>
      <c r="AM55">
        <v>0.32729999999999998</v>
      </c>
      <c r="AN55" t="s">
        <v>247</v>
      </c>
    </row>
    <row r="56" spans="9:40" x14ac:dyDescent="0.45">
      <c r="I56" t="s">
        <v>177</v>
      </c>
      <c r="J56" t="s">
        <v>256</v>
      </c>
      <c r="K56">
        <v>8.1463728484043318E-2</v>
      </c>
      <c r="L56" t="s">
        <v>168</v>
      </c>
      <c r="N56" t="s">
        <v>201</v>
      </c>
      <c r="O56" t="s">
        <v>256</v>
      </c>
      <c r="P56">
        <v>4.8859315179236272E-2</v>
      </c>
      <c r="Q56" t="s">
        <v>168</v>
      </c>
      <c r="S56" t="s">
        <v>220</v>
      </c>
      <c r="T56" t="s">
        <v>256</v>
      </c>
      <c r="U56">
        <v>4.307071977232254E-2</v>
      </c>
      <c r="V56" t="s">
        <v>168</v>
      </c>
      <c r="AC56" t="s">
        <v>19</v>
      </c>
      <c r="AD56" t="s">
        <v>256</v>
      </c>
      <c r="AE56">
        <v>4.0867680227639057E-2</v>
      </c>
      <c r="AK56">
        <v>2028</v>
      </c>
      <c r="AL56" t="s">
        <v>249</v>
      </c>
      <c r="AM56">
        <v>0.27510000000000001</v>
      </c>
      <c r="AN56" t="s">
        <v>247</v>
      </c>
    </row>
    <row r="57" spans="9:40" x14ac:dyDescent="0.45">
      <c r="I57" t="s">
        <v>177</v>
      </c>
      <c r="J57" t="s">
        <v>257</v>
      </c>
      <c r="K57">
        <v>8.3778082004141163E-3</v>
      </c>
      <c r="L57" t="s">
        <v>168</v>
      </c>
      <c r="N57" t="s">
        <v>201</v>
      </c>
      <c r="O57" t="s">
        <v>257</v>
      </c>
      <c r="P57">
        <v>8.4698937698212337E-3</v>
      </c>
      <c r="Q57" t="s">
        <v>168</v>
      </c>
      <c r="S57" t="s">
        <v>220</v>
      </c>
      <c r="T57" t="s">
        <v>257</v>
      </c>
      <c r="U57">
        <v>7.6775425968491984E-3</v>
      </c>
      <c r="V57" t="s">
        <v>168</v>
      </c>
      <c r="AC57" t="s">
        <v>19</v>
      </c>
      <c r="AD57" t="s">
        <v>257</v>
      </c>
      <c r="AE57">
        <v>6.8317745074406499E-3</v>
      </c>
      <c r="AK57">
        <v>2028</v>
      </c>
      <c r="AL57" t="s">
        <v>251</v>
      </c>
      <c r="AM57">
        <v>0.22209999999999999</v>
      </c>
      <c r="AN57" t="s">
        <v>247</v>
      </c>
    </row>
    <row r="58" spans="9:40" x14ac:dyDescent="0.45">
      <c r="I58" t="s">
        <v>177</v>
      </c>
      <c r="J58" t="s">
        <v>258</v>
      </c>
      <c r="K58">
        <v>2.562687569915401E-3</v>
      </c>
      <c r="L58" t="s">
        <v>168</v>
      </c>
      <c r="N58" t="s">
        <v>201</v>
      </c>
      <c r="O58" t="s">
        <v>258</v>
      </c>
      <c r="P58">
        <v>5.8104259023230541E-2</v>
      </c>
      <c r="Q58" t="s">
        <v>168</v>
      </c>
      <c r="S58" t="s">
        <v>220</v>
      </c>
      <c r="T58" t="s">
        <v>258</v>
      </c>
      <c r="U58">
        <v>6.2155866275993982E-2</v>
      </c>
      <c r="V58" t="s">
        <v>168</v>
      </c>
      <c r="AC58" t="s">
        <v>19</v>
      </c>
      <c r="AD58" t="s">
        <v>258</v>
      </c>
      <c r="AE58">
        <v>4.7367524454368252E-2</v>
      </c>
      <c r="AK58">
        <v>2028</v>
      </c>
      <c r="AL58" t="s">
        <v>253</v>
      </c>
      <c r="AM58">
        <v>0.21265000000000001</v>
      </c>
      <c r="AN58" t="s">
        <v>247</v>
      </c>
    </row>
    <row r="59" spans="9:40" x14ac:dyDescent="0.45">
      <c r="I59" t="s">
        <v>177</v>
      </c>
      <c r="J59" t="s">
        <v>171</v>
      </c>
      <c r="K59">
        <v>4.1364492422098595E-2</v>
      </c>
      <c r="L59" t="s">
        <v>168</v>
      </c>
      <c r="N59" t="s">
        <v>201</v>
      </c>
      <c r="O59" t="s">
        <v>171</v>
      </c>
      <c r="P59">
        <v>0.10557270926552506</v>
      </c>
      <c r="Q59" t="s">
        <v>168</v>
      </c>
      <c r="S59" t="s">
        <v>220</v>
      </c>
      <c r="T59" t="s">
        <v>171</v>
      </c>
      <c r="U59">
        <v>0.11462968524362623</v>
      </c>
      <c r="V59" t="s">
        <v>168</v>
      </c>
      <c r="AC59" t="s">
        <v>19</v>
      </c>
      <c r="AD59" t="s">
        <v>171</v>
      </c>
      <c r="AE59">
        <v>0.11009359446781739</v>
      </c>
      <c r="AK59">
        <v>2028</v>
      </c>
      <c r="AL59" t="s">
        <v>255</v>
      </c>
      <c r="AM59">
        <v>0.1885</v>
      </c>
      <c r="AN59" t="s">
        <v>247</v>
      </c>
    </row>
    <row r="60" spans="9:40" x14ac:dyDescent="0.45">
      <c r="I60" t="s">
        <v>177</v>
      </c>
      <c r="J60" t="s">
        <v>172</v>
      </c>
      <c r="K60">
        <v>3.1124277877920513E-2</v>
      </c>
      <c r="L60" t="s">
        <v>168</v>
      </c>
      <c r="N60" t="s">
        <v>201</v>
      </c>
      <c r="O60" t="s">
        <v>172</v>
      </c>
      <c r="P60">
        <v>1.4293731810749747E-2</v>
      </c>
      <c r="Q60" t="s">
        <v>168</v>
      </c>
      <c r="S60" t="s">
        <v>220</v>
      </c>
      <c r="T60" t="s">
        <v>172</v>
      </c>
      <c r="U60">
        <v>1.3698514414471443E-2</v>
      </c>
      <c r="V60" t="s">
        <v>168</v>
      </c>
      <c r="AC60" t="s">
        <v>19</v>
      </c>
      <c r="AD60" t="s">
        <v>172</v>
      </c>
      <c r="AE60">
        <v>1.4036603426470031E-2</v>
      </c>
      <c r="AK60">
        <v>2029</v>
      </c>
      <c r="AL60" t="s">
        <v>157</v>
      </c>
      <c r="AM60">
        <v>0.17860000000000001</v>
      </c>
      <c r="AN60" t="s">
        <v>247</v>
      </c>
    </row>
    <row r="61" spans="9:40" x14ac:dyDescent="0.45">
      <c r="I61" t="s">
        <v>177</v>
      </c>
      <c r="J61" t="s">
        <v>173</v>
      </c>
      <c r="K61">
        <v>3.6672887081084841E-2</v>
      </c>
      <c r="L61" t="s">
        <v>168</v>
      </c>
      <c r="N61" t="s">
        <v>201</v>
      </c>
      <c r="O61" t="s">
        <v>173</v>
      </c>
      <c r="P61">
        <v>1.4383114171008403E-2</v>
      </c>
      <c r="Q61" t="s">
        <v>168</v>
      </c>
      <c r="S61" t="s">
        <v>220</v>
      </c>
      <c r="T61" t="s">
        <v>173</v>
      </c>
      <c r="U61">
        <v>1.3032659010725966E-2</v>
      </c>
      <c r="V61" t="s">
        <v>168</v>
      </c>
      <c r="AC61" t="s">
        <v>19</v>
      </c>
      <c r="AD61" t="s">
        <v>173</v>
      </c>
      <c r="AE61">
        <v>1.4048514732669147E-2</v>
      </c>
      <c r="AK61">
        <v>2029</v>
      </c>
      <c r="AL61" t="s">
        <v>161</v>
      </c>
      <c r="AM61">
        <v>0.255075</v>
      </c>
      <c r="AN61" t="s">
        <v>247</v>
      </c>
    </row>
    <row r="62" spans="9:40" x14ac:dyDescent="0.45">
      <c r="I62" t="s">
        <v>177</v>
      </c>
      <c r="J62" t="s">
        <v>259</v>
      </c>
      <c r="K62">
        <v>0.22727488605172161</v>
      </c>
      <c r="L62" t="s">
        <v>168</v>
      </c>
      <c r="N62" t="s">
        <v>201</v>
      </c>
      <c r="O62" t="s">
        <v>259</v>
      </c>
      <c r="P62">
        <v>9.0204113142333175E-2</v>
      </c>
      <c r="Q62" t="s">
        <v>168</v>
      </c>
      <c r="S62" t="s">
        <v>220</v>
      </c>
      <c r="T62" t="s">
        <v>259</v>
      </c>
      <c r="U62">
        <v>6.8621158799559559E-2</v>
      </c>
      <c r="V62" t="s">
        <v>168</v>
      </c>
      <c r="AC62" t="s">
        <v>19</v>
      </c>
      <c r="AD62" t="s">
        <v>259</v>
      </c>
      <c r="AE62">
        <v>8.4212448917975594E-2</v>
      </c>
      <c r="AK62">
        <v>2029</v>
      </c>
      <c r="AL62" t="s">
        <v>163</v>
      </c>
      <c r="AM62">
        <v>0.30199999999999999</v>
      </c>
      <c r="AN62" t="s">
        <v>247</v>
      </c>
    </row>
    <row r="63" spans="9:40" x14ac:dyDescent="0.45">
      <c r="I63" t="s">
        <v>177</v>
      </c>
      <c r="J63" t="s">
        <v>260</v>
      </c>
      <c r="K63">
        <v>2.9206885130577905E-2</v>
      </c>
      <c r="L63" t="s">
        <v>168</v>
      </c>
      <c r="N63" t="s">
        <v>201</v>
      </c>
      <c r="O63" t="s">
        <v>260</v>
      </c>
      <c r="P63">
        <v>1.6054909595966355E-2</v>
      </c>
      <c r="Q63" t="s">
        <v>168</v>
      </c>
      <c r="S63" t="s">
        <v>220</v>
      </c>
      <c r="T63" t="s">
        <v>260</v>
      </c>
      <c r="U63">
        <v>1.299530772185626E-2</v>
      </c>
      <c r="V63" t="s">
        <v>168</v>
      </c>
      <c r="AC63" t="s">
        <v>19</v>
      </c>
      <c r="AD63" t="s">
        <v>260</v>
      </c>
      <c r="AE63">
        <v>1.4039975649736273E-2</v>
      </c>
      <c r="AK63">
        <v>2029</v>
      </c>
      <c r="AL63" t="s">
        <v>249</v>
      </c>
      <c r="AM63">
        <v>0.2747</v>
      </c>
      <c r="AN63" t="s">
        <v>247</v>
      </c>
    </row>
    <row r="64" spans="9:40" x14ac:dyDescent="0.45">
      <c r="I64" t="s">
        <v>177</v>
      </c>
      <c r="J64" t="s">
        <v>261</v>
      </c>
      <c r="K64">
        <v>3.8775966428941558E-2</v>
      </c>
      <c r="L64" t="s">
        <v>168</v>
      </c>
      <c r="N64" t="s">
        <v>201</v>
      </c>
      <c r="O64" t="s">
        <v>261</v>
      </c>
      <c r="P64">
        <v>9.8568579092004435E-2</v>
      </c>
      <c r="Q64" t="s">
        <v>168</v>
      </c>
      <c r="S64" t="s">
        <v>220</v>
      </c>
      <c r="T64" t="s">
        <v>261</v>
      </c>
      <c r="U64">
        <v>0.10147510652174674</v>
      </c>
      <c r="V64" t="s">
        <v>168</v>
      </c>
      <c r="AC64" t="s">
        <v>19</v>
      </c>
      <c r="AD64" t="s">
        <v>261</v>
      </c>
      <c r="AE64">
        <v>9.7711734663728053E-2</v>
      </c>
      <c r="AK64">
        <v>2029</v>
      </c>
      <c r="AL64" t="s">
        <v>251</v>
      </c>
      <c r="AM64">
        <v>0.2021</v>
      </c>
      <c r="AN64" t="s">
        <v>247</v>
      </c>
    </row>
    <row r="65" spans="9:40" x14ac:dyDescent="0.45">
      <c r="I65" t="s">
        <v>177</v>
      </c>
      <c r="J65" t="s">
        <v>174</v>
      </c>
      <c r="K65">
        <v>1.584695580468198E-2</v>
      </c>
      <c r="L65" t="s">
        <v>168</v>
      </c>
      <c r="N65" t="s">
        <v>201</v>
      </c>
      <c r="O65" t="s">
        <v>174</v>
      </c>
      <c r="P65">
        <v>1.0861935433484772E-2</v>
      </c>
      <c r="Q65" t="s">
        <v>168</v>
      </c>
      <c r="S65" t="s">
        <v>220</v>
      </c>
      <c r="T65" t="s">
        <v>174</v>
      </c>
      <c r="U65">
        <v>1.7805868111929333E-2</v>
      </c>
      <c r="V65" t="s">
        <v>168</v>
      </c>
      <c r="AC65" t="s">
        <v>19</v>
      </c>
      <c r="AD65" t="s">
        <v>174</v>
      </c>
      <c r="AE65">
        <v>2.7919657774016834E-2</v>
      </c>
      <c r="AK65">
        <v>2029</v>
      </c>
      <c r="AL65" t="s">
        <v>253</v>
      </c>
      <c r="AM65">
        <v>0.1963</v>
      </c>
      <c r="AN65" t="s">
        <v>247</v>
      </c>
    </row>
    <row r="66" spans="9:40" x14ac:dyDescent="0.45">
      <c r="I66" t="s">
        <v>177</v>
      </c>
      <c r="J66" t="s">
        <v>175</v>
      </c>
      <c r="K66">
        <v>9.8253908636958143E-3</v>
      </c>
      <c r="L66" t="s">
        <v>168</v>
      </c>
      <c r="N66" t="s">
        <v>201</v>
      </c>
      <c r="O66" t="s">
        <v>175</v>
      </c>
      <c r="P66">
        <v>1.3758542709184462E-3</v>
      </c>
      <c r="Q66" t="s">
        <v>168</v>
      </c>
      <c r="S66" t="s">
        <v>220</v>
      </c>
      <c r="T66" t="s">
        <v>175</v>
      </c>
      <c r="U66">
        <v>2.0749503500067791E-3</v>
      </c>
      <c r="V66" t="s">
        <v>168</v>
      </c>
      <c r="AC66" t="s">
        <v>19</v>
      </c>
      <c r="AD66" t="s">
        <v>175</v>
      </c>
      <c r="AE66">
        <v>3.5652537842164418E-3</v>
      </c>
      <c r="AK66">
        <v>2029</v>
      </c>
      <c r="AL66" t="s">
        <v>255</v>
      </c>
      <c r="AM66">
        <v>0.1898</v>
      </c>
      <c r="AN66" t="s">
        <v>247</v>
      </c>
    </row>
    <row r="67" spans="9:40" x14ac:dyDescent="0.45">
      <c r="I67" t="s">
        <v>177</v>
      </c>
      <c r="J67" t="s">
        <v>176</v>
      </c>
      <c r="K67">
        <v>1.1012269131960272E-2</v>
      </c>
      <c r="L67" t="s">
        <v>168</v>
      </c>
      <c r="N67" t="s">
        <v>201</v>
      </c>
      <c r="O67" t="s">
        <v>176</v>
      </c>
      <c r="P67">
        <v>1.1704783621959728E-3</v>
      </c>
      <c r="Q67" t="s">
        <v>168</v>
      </c>
      <c r="S67" t="s">
        <v>220</v>
      </c>
      <c r="T67" t="s">
        <v>176</v>
      </c>
      <c r="U67">
        <v>2.0183590078344431E-3</v>
      </c>
      <c r="V67" t="s">
        <v>168</v>
      </c>
      <c r="AC67" t="s">
        <v>19</v>
      </c>
      <c r="AD67" t="s">
        <v>176</v>
      </c>
      <c r="AE67">
        <v>3.5709258919697012E-3</v>
      </c>
      <c r="AK67">
        <v>2030</v>
      </c>
      <c r="AL67" t="s">
        <v>157</v>
      </c>
      <c r="AM67">
        <v>0.17745</v>
      </c>
      <c r="AN67" t="s">
        <v>247</v>
      </c>
    </row>
    <row r="68" spans="9:40" x14ac:dyDescent="0.45">
      <c r="I68" t="s">
        <v>177</v>
      </c>
      <c r="J68" t="s">
        <v>262</v>
      </c>
      <c r="K68">
        <v>6.9899701477844606E-2</v>
      </c>
      <c r="L68" t="s">
        <v>168</v>
      </c>
      <c r="N68" t="s">
        <v>201</v>
      </c>
      <c r="O68" t="s">
        <v>262</v>
      </c>
      <c r="P68">
        <v>7.6631209429825764E-3</v>
      </c>
      <c r="Q68" t="s">
        <v>168</v>
      </c>
      <c r="S68" t="s">
        <v>220</v>
      </c>
      <c r="T68" t="s">
        <v>262</v>
      </c>
      <c r="U68">
        <v>1.1166055843237483E-2</v>
      </c>
      <c r="V68" t="s">
        <v>168</v>
      </c>
      <c r="AC68" t="s">
        <v>19</v>
      </c>
      <c r="AD68" t="s">
        <v>262</v>
      </c>
      <c r="AE68">
        <v>2.1458204345080927E-2</v>
      </c>
      <c r="AK68">
        <v>2030</v>
      </c>
      <c r="AL68" t="s">
        <v>161</v>
      </c>
      <c r="AM68">
        <v>0.26397500000000002</v>
      </c>
      <c r="AN68" t="s">
        <v>247</v>
      </c>
    </row>
    <row r="69" spans="9:40" x14ac:dyDescent="0.45">
      <c r="I69" t="s">
        <v>177</v>
      </c>
      <c r="J69" t="s">
        <v>263</v>
      </c>
      <c r="K69">
        <v>9.2065804450949702E-3</v>
      </c>
      <c r="L69" t="s">
        <v>168</v>
      </c>
      <c r="N69" t="s">
        <v>201</v>
      </c>
      <c r="O69" t="s">
        <v>263</v>
      </c>
      <c r="P69">
        <v>2.1538607606657869E-3</v>
      </c>
      <c r="Q69" t="s">
        <v>168</v>
      </c>
      <c r="S69" t="s">
        <v>220</v>
      </c>
      <c r="T69" t="s">
        <v>263</v>
      </c>
      <c r="U69">
        <v>2.6372880688025498E-3</v>
      </c>
      <c r="V69" t="s">
        <v>168</v>
      </c>
      <c r="AC69" t="s">
        <v>19</v>
      </c>
      <c r="AD69" t="s">
        <v>263</v>
      </c>
      <c r="AE69">
        <v>3.5729570913482639E-3</v>
      </c>
      <c r="AK69">
        <v>2030</v>
      </c>
      <c r="AL69" t="s">
        <v>163</v>
      </c>
      <c r="AM69">
        <v>0.30320000000000003</v>
      </c>
      <c r="AN69" t="s">
        <v>247</v>
      </c>
    </row>
    <row r="70" spans="9:40" x14ac:dyDescent="0.45">
      <c r="I70" t="s">
        <v>177</v>
      </c>
      <c r="J70" t="s">
        <v>264</v>
      </c>
      <c r="K70">
        <v>1.4318991422394376E-2</v>
      </c>
      <c r="L70" t="s">
        <v>168</v>
      </c>
      <c r="N70" t="s">
        <v>201</v>
      </c>
      <c r="O70" t="s">
        <v>264</v>
      </c>
      <c r="P70">
        <v>1.3058108494494305E-2</v>
      </c>
      <c r="Q70" t="s">
        <v>168</v>
      </c>
      <c r="S70" t="s">
        <v>220</v>
      </c>
      <c r="T70" t="s">
        <v>264</v>
      </c>
      <c r="U70">
        <v>1.9070874051338425E-2</v>
      </c>
      <c r="V70" t="s">
        <v>168</v>
      </c>
      <c r="AC70" t="s">
        <v>19</v>
      </c>
      <c r="AD70" t="s">
        <v>264</v>
      </c>
      <c r="AE70">
        <v>2.4855583973740887E-2</v>
      </c>
      <c r="AK70">
        <v>2030</v>
      </c>
      <c r="AL70" t="s">
        <v>249</v>
      </c>
      <c r="AM70">
        <v>0.26919999999999999</v>
      </c>
      <c r="AN70" t="s">
        <v>247</v>
      </c>
    </row>
    <row r="71" spans="9:40" x14ac:dyDescent="0.45">
      <c r="I71" t="s">
        <v>177</v>
      </c>
      <c r="J71" t="s">
        <v>265</v>
      </c>
      <c r="K71">
        <v>1.3593444259274431E-2</v>
      </c>
      <c r="L71" t="s">
        <v>168</v>
      </c>
      <c r="N71" t="s">
        <v>201</v>
      </c>
      <c r="O71" t="s">
        <v>265</v>
      </c>
      <c r="P71">
        <v>1.6909434904900007E-2</v>
      </c>
      <c r="Q71" t="s">
        <v>168</v>
      </c>
      <c r="S71" t="s">
        <v>220</v>
      </c>
      <c r="T71" t="s">
        <v>265</v>
      </c>
      <c r="U71">
        <v>2.3523405923788588E-2</v>
      </c>
      <c r="V71" t="s">
        <v>168</v>
      </c>
      <c r="AC71" t="s">
        <v>19</v>
      </c>
      <c r="AD71" t="s">
        <v>265</v>
      </c>
      <c r="AE71">
        <v>2.7948087360352904E-2</v>
      </c>
      <c r="AK71">
        <v>2030</v>
      </c>
      <c r="AL71" t="s">
        <v>251</v>
      </c>
      <c r="AM71">
        <v>0.23719999999999999</v>
      </c>
      <c r="AN71" t="s">
        <v>247</v>
      </c>
    </row>
    <row r="72" spans="9:40" x14ac:dyDescent="0.45">
      <c r="I72" t="s">
        <v>177</v>
      </c>
      <c r="J72" t="s">
        <v>266</v>
      </c>
      <c r="K72">
        <v>9.8812086191351119E-3</v>
      </c>
      <c r="L72" t="s">
        <v>168</v>
      </c>
      <c r="N72" t="s">
        <v>201</v>
      </c>
      <c r="O72" t="s">
        <v>266</v>
      </c>
      <c r="P72">
        <v>1.6338376013092498E-3</v>
      </c>
      <c r="Q72" t="s">
        <v>168</v>
      </c>
      <c r="S72" t="s">
        <v>220</v>
      </c>
      <c r="T72" t="s">
        <v>266</v>
      </c>
      <c r="U72">
        <v>3.0599586871328621E-3</v>
      </c>
      <c r="V72" t="s">
        <v>168</v>
      </c>
      <c r="AC72" t="s">
        <v>19</v>
      </c>
      <c r="AD72" t="s">
        <v>266</v>
      </c>
      <c r="AE72">
        <v>3.5616597081064576E-3</v>
      </c>
      <c r="AK72">
        <v>2030</v>
      </c>
      <c r="AL72" t="s">
        <v>253</v>
      </c>
      <c r="AM72">
        <v>0.21185000000000001</v>
      </c>
      <c r="AN72" t="s">
        <v>247</v>
      </c>
    </row>
    <row r="73" spans="9:40" x14ac:dyDescent="0.45">
      <c r="I73" t="s">
        <v>177</v>
      </c>
      <c r="J73" t="s">
        <v>267</v>
      </c>
      <c r="K73">
        <v>1.099727623856895E-2</v>
      </c>
      <c r="L73" t="s">
        <v>168</v>
      </c>
      <c r="N73" t="s">
        <v>201</v>
      </c>
      <c r="O73" t="s">
        <v>267</v>
      </c>
      <c r="P73">
        <v>1.3044284895281639E-3</v>
      </c>
      <c r="Q73" t="s">
        <v>168</v>
      </c>
      <c r="S73" t="s">
        <v>220</v>
      </c>
      <c r="T73" t="s">
        <v>267</v>
      </c>
      <c r="U73">
        <v>2.9053813738014567E-3</v>
      </c>
      <c r="V73" t="s">
        <v>168</v>
      </c>
      <c r="AC73" t="s">
        <v>19</v>
      </c>
      <c r="AD73" t="s">
        <v>267</v>
      </c>
      <c r="AE73">
        <v>3.5679355317849745E-3</v>
      </c>
      <c r="AK73">
        <v>2030</v>
      </c>
      <c r="AL73" t="s">
        <v>255</v>
      </c>
      <c r="AM73">
        <v>0.18240000000000001</v>
      </c>
      <c r="AN73" t="s">
        <v>247</v>
      </c>
    </row>
    <row r="74" spans="9:40" x14ac:dyDescent="0.45">
      <c r="I74" t="s">
        <v>177</v>
      </c>
      <c r="J74" t="s">
        <v>268</v>
      </c>
      <c r="K74">
        <v>6.9364028338696329E-2</v>
      </c>
      <c r="L74" t="s">
        <v>168</v>
      </c>
      <c r="N74" t="s">
        <v>201</v>
      </c>
      <c r="O74" t="s">
        <v>268</v>
      </c>
      <c r="P74">
        <v>9.2736612579161701E-3</v>
      </c>
      <c r="Q74" t="s">
        <v>168</v>
      </c>
      <c r="S74" t="s">
        <v>220</v>
      </c>
      <c r="T74" t="s">
        <v>268</v>
      </c>
      <c r="U74">
        <v>1.1139310097435412E-2</v>
      </c>
      <c r="V74" t="s">
        <v>168</v>
      </c>
      <c r="AC74" t="s">
        <v>19</v>
      </c>
      <c r="AD74" t="s">
        <v>268</v>
      </c>
      <c r="AE74">
        <v>2.143855130527637E-2</v>
      </c>
      <c r="AK74">
        <v>2031</v>
      </c>
      <c r="AL74" t="s">
        <v>157</v>
      </c>
      <c r="AM74">
        <v>0.17804999999999999</v>
      </c>
      <c r="AN74" t="s">
        <v>247</v>
      </c>
    </row>
    <row r="75" spans="9:40" x14ac:dyDescent="0.45">
      <c r="I75" t="s">
        <v>177</v>
      </c>
      <c r="J75" t="s">
        <v>269</v>
      </c>
      <c r="K75">
        <v>9.254979119512053E-3</v>
      </c>
      <c r="L75" t="s">
        <v>168</v>
      </c>
      <c r="N75" t="s">
        <v>201</v>
      </c>
      <c r="O75" t="s">
        <v>269</v>
      </c>
      <c r="P75">
        <v>2.6629888201496455E-3</v>
      </c>
      <c r="Q75" t="s">
        <v>168</v>
      </c>
      <c r="S75" t="s">
        <v>220</v>
      </c>
      <c r="T75" t="s">
        <v>269</v>
      </c>
      <c r="U75">
        <v>2.2171866813777501E-3</v>
      </c>
      <c r="V75" t="s">
        <v>168</v>
      </c>
      <c r="AC75" t="s">
        <v>19</v>
      </c>
      <c r="AD75" t="s">
        <v>269</v>
      </c>
      <c r="AE75">
        <v>3.5714455499839329E-3</v>
      </c>
      <c r="AK75">
        <v>2031</v>
      </c>
      <c r="AL75" t="s">
        <v>161</v>
      </c>
      <c r="AM75">
        <v>0.25662499999999999</v>
      </c>
      <c r="AN75" t="s">
        <v>247</v>
      </c>
    </row>
    <row r="76" spans="9:40" x14ac:dyDescent="0.45">
      <c r="I76" t="s">
        <v>177</v>
      </c>
      <c r="J76" t="s">
        <v>270</v>
      </c>
      <c r="K76">
        <v>1.2506187374767148E-2</v>
      </c>
      <c r="L76" t="s">
        <v>168</v>
      </c>
      <c r="N76" t="s">
        <v>201</v>
      </c>
      <c r="O76" t="s">
        <v>270</v>
      </c>
      <c r="P76">
        <v>1.7195635182277326E-2</v>
      </c>
      <c r="Q76" t="s">
        <v>168</v>
      </c>
      <c r="S76" t="s">
        <v>220</v>
      </c>
      <c r="T76" t="s">
        <v>270</v>
      </c>
      <c r="U76">
        <v>1.9086071701089488E-2</v>
      </c>
      <c r="V76" t="s">
        <v>168</v>
      </c>
      <c r="AC76" t="s">
        <v>19</v>
      </c>
      <c r="AD76" t="s">
        <v>270</v>
      </c>
      <c r="AE76">
        <v>2.4830711538075312E-2</v>
      </c>
      <c r="AK76">
        <v>2031</v>
      </c>
      <c r="AL76" t="s">
        <v>163</v>
      </c>
      <c r="AM76">
        <v>0.31890000000000002</v>
      </c>
      <c r="AN76" t="s">
        <v>247</v>
      </c>
    </row>
    <row r="77" spans="9:40" x14ac:dyDescent="0.45">
      <c r="I77" t="s">
        <v>177</v>
      </c>
      <c r="J77" t="s">
        <v>271</v>
      </c>
      <c r="K77">
        <v>8.3960164009286315E-3</v>
      </c>
      <c r="L77" t="s">
        <v>168</v>
      </c>
      <c r="N77" t="s">
        <v>201</v>
      </c>
      <c r="O77" t="s">
        <v>271</v>
      </c>
      <c r="P77">
        <v>1.4905736205871878E-2</v>
      </c>
      <c r="Q77" t="s">
        <v>168</v>
      </c>
      <c r="S77" t="s">
        <v>220</v>
      </c>
      <c r="T77" t="s">
        <v>271</v>
      </c>
      <c r="U77">
        <v>1.7160200348201274E-2</v>
      </c>
      <c r="V77" t="s">
        <v>168</v>
      </c>
      <c r="AC77" t="s">
        <v>19</v>
      </c>
      <c r="AD77" t="s">
        <v>271</v>
      </c>
      <c r="AE77">
        <v>2.7071925435631559E-2</v>
      </c>
      <c r="AK77">
        <v>2031</v>
      </c>
      <c r="AL77" t="s">
        <v>249</v>
      </c>
      <c r="AM77">
        <v>0.26329999999999998</v>
      </c>
      <c r="AN77" t="s">
        <v>247</v>
      </c>
    </row>
    <row r="78" spans="9:40" x14ac:dyDescent="0.45">
      <c r="I78" t="s">
        <v>177</v>
      </c>
      <c r="J78" t="s">
        <v>272</v>
      </c>
      <c r="K78">
        <v>7.5362773978588354E-3</v>
      </c>
      <c r="L78" t="s">
        <v>168</v>
      </c>
      <c r="N78" t="s">
        <v>201</v>
      </c>
      <c r="O78" t="s">
        <v>272</v>
      </c>
      <c r="P78">
        <v>1.6912460216054884E-3</v>
      </c>
      <c r="Q78" t="s">
        <v>168</v>
      </c>
      <c r="S78" t="s">
        <v>220</v>
      </c>
      <c r="T78" t="s">
        <v>272</v>
      </c>
      <c r="U78">
        <v>1.9041669829697738E-3</v>
      </c>
      <c r="V78" t="s">
        <v>168</v>
      </c>
      <c r="AC78" t="s">
        <v>19</v>
      </c>
      <c r="AD78" t="s">
        <v>272</v>
      </c>
      <c r="AE78">
        <v>3.4473190089999591E-3</v>
      </c>
      <c r="AK78">
        <v>2031</v>
      </c>
      <c r="AL78" t="s">
        <v>251</v>
      </c>
      <c r="AM78">
        <v>0.20749999999999999</v>
      </c>
      <c r="AN78" t="s">
        <v>247</v>
      </c>
    </row>
    <row r="79" spans="9:40" x14ac:dyDescent="0.45">
      <c r="I79" t="s">
        <v>177</v>
      </c>
      <c r="J79" t="s">
        <v>273</v>
      </c>
      <c r="K79">
        <v>9.1451357680429005E-3</v>
      </c>
      <c r="L79" t="s">
        <v>168</v>
      </c>
      <c r="N79" t="s">
        <v>201</v>
      </c>
      <c r="O79" t="s">
        <v>273</v>
      </c>
      <c r="P79">
        <v>1.7045502437263293E-3</v>
      </c>
      <c r="Q79" t="s">
        <v>168</v>
      </c>
      <c r="S79" t="s">
        <v>220</v>
      </c>
      <c r="T79" t="s">
        <v>273</v>
      </c>
      <c r="U79">
        <v>1.897740520243246E-3</v>
      </c>
      <c r="V79" t="s">
        <v>168</v>
      </c>
      <c r="AC79" t="s">
        <v>19</v>
      </c>
      <c r="AD79" t="s">
        <v>273</v>
      </c>
      <c r="AE79">
        <v>3.4501223403326539E-3</v>
      </c>
      <c r="AK79">
        <v>2031</v>
      </c>
      <c r="AL79" t="s">
        <v>253</v>
      </c>
      <c r="AM79">
        <v>0.20035</v>
      </c>
      <c r="AN79" t="s">
        <v>247</v>
      </c>
    </row>
    <row r="80" spans="9:40" x14ac:dyDescent="0.45">
      <c r="I80" t="s">
        <v>177</v>
      </c>
      <c r="J80" t="s">
        <v>274</v>
      </c>
      <c r="K80">
        <v>5.6364064456857169E-2</v>
      </c>
      <c r="L80" t="s">
        <v>168</v>
      </c>
      <c r="N80" t="s">
        <v>201</v>
      </c>
      <c r="O80" t="s">
        <v>274</v>
      </c>
      <c r="P80">
        <v>1.2347131413100553E-2</v>
      </c>
      <c r="Q80" t="s">
        <v>168</v>
      </c>
      <c r="S80" t="s">
        <v>220</v>
      </c>
      <c r="T80" t="s">
        <v>274</v>
      </c>
      <c r="U80">
        <v>8.8452689460887593E-3</v>
      </c>
      <c r="V80" t="s">
        <v>168</v>
      </c>
      <c r="AC80" t="s">
        <v>19</v>
      </c>
      <c r="AD80" t="s">
        <v>274</v>
      </c>
      <c r="AE80">
        <v>2.071064026681026E-2</v>
      </c>
      <c r="AK80">
        <v>2031</v>
      </c>
      <c r="AL80" t="s">
        <v>255</v>
      </c>
      <c r="AM80">
        <v>0.20860000000000001</v>
      </c>
      <c r="AN80" t="s">
        <v>247</v>
      </c>
    </row>
    <row r="81" spans="9:40" x14ac:dyDescent="0.45">
      <c r="I81" t="s">
        <v>177</v>
      </c>
      <c r="J81" t="s">
        <v>275</v>
      </c>
      <c r="K81">
        <v>7.5212596008133095E-3</v>
      </c>
      <c r="L81" t="s">
        <v>168</v>
      </c>
      <c r="N81" t="s">
        <v>201</v>
      </c>
      <c r="O81" t="s">
        <v>275</v>
      </c>
      <c r="P81">
        <v>2.44366115132243E-3</v>
      </c>
      <c r="Q81" t="s">
        <v>168</v>
      </c>
      <c r="S81" t="s">
        <v>220</v>
      </c>
      <c r="T81" t="s">
        <v>275</v>
      </c>
      <c r="U81">
        <v>1.5797012136880592E-3</v>
      </c>
      <c r="V81" t="s">
        <v>168</v>
      </c>
      <c r="AC81" t="s">
        <v>19</v>
      </c>
      <c r="AD81" t="s">
        <v>275</v>
      </c>
      <c r="AE81">
        <v>3.4515186022761497E-3</v>
      </c>
      <c r="AK81">
        <v>2032</v>
      </c>
      <c r="AL81" t="s">
        <v>157</v>
      </c>
      <c r="AM81">
        <v>0.16930000000000001</v>
      </c>
      <c r="AN81" t="s">
        <v>247</v>
      </c>
    </row>
    <row r="82" spans="9:40" x14ac:dyDescent="0.45">
      <c r="I82" t="s">
        <v>177</v>
      </c>
      <c r="J82" t="s">
        <v>276</v>
      </c>
      <c r="K82">
        <v>6.8437040644123365E-3</v>
      </c>
      <c r="L82" t="s">
        <v>168</v>
      </c>
      <c r="N82" t="s">
        <v>201</v>
      </c>
      <c r="O82" t="s">
        <v>276</v>
      </c>
      <c r="P82">
        <v>1.5830734798342169E-2</v>
      </c>
      <c r="Q82" t="s">
        <v>168</v>
      </c>
      <c r="S82" t="s">
        <v>220</v>
      </c>
      <c r="T82" t="s">
        <v>276</v>
      </c>
      <c r="U82">
        <v>1.4028773290182041E-2</v>
      </c>
      <c r="V82" t="s">
        <v>168</v>
      </c>
      <c r="AC82" t="s">
        <v>19</v>
      </c>
      <c r="AD82" t="s">
        <v>276</v>
      </c>
      <c r="AE82">
        <v>2.401763119790357E-2</v>
      </c>
      <c r="AK82">
        <v>2032</v>
      </c>
      <c r="AL82" t="s">
        <v>161</v>
      </c>
      <c r="AM82">
        <v>0.25187499999999996</v>
      </c>
      <c r="AN82" t="s">
        <v>247</v>
      </c>
    </row>
    <row r="83" spans="9:40" x14ac:dyDescent="0.45">
      <c r="I83" t="s">
        <v>177</v>
      </c>
      <c r="J83" t="s">
        <v>277</v>
      </c>
      <c r="K83">
        <v>2.6097904296106867E-3</v>
      </c>
      <c r="L83" t="s">
        <v>168</v>
      </c>
      <c r="N83" t="s">
        <v>201</v>
      </c>
      <c r="O83" t="s">
        <v>277</v>
      </c>
      <c r="P83">
        <v>8.1596239216422145E-2</v>
      </c>
      <c r="Q83" t="s">
        <v>168</v>
      </c>
      <c r="S83" t="s">
        <v>220</v>
      </c>
      <c r="T83" t="s">
        <v>277</v>
      </c>
      <c r="U83">
        <v>7.6769751231451189E-2</v>
      </c>
      <c r="V83" t="s">
        <v>168</v>
      </c>
      <c r="AC83" t="s">
        <v>19</v>
      </c>
      <c r="AD83" t="s">
        <v>277</v>
      </c>
      <c r="AE83">
        <v>5.5010316145554718E-2</v>
      </c>
      <c r="AK83">
        <v>2032</v>
      </c>
      <c r="AL83" t="s">
        <v>163</v>
      </c>
      <c r="AM83">
        <v>0.29599999999999999</v>
      </c>
      <c r="AN83" t="s">
        <v>247</v>
      </c>
    </row>
    <row r="84" spans="9:40" x14ac:dyDescent="0.45">
      <c r="I84" t="s">
        <v>177</v>
      </c>
      <c r="J84" t="s">
        <v>278</v>
      </c>
      <c r="K84">
        <v>6.7914115134395485E-3</v>
      </c>
      <c r="L84" t="s">
        <v>168</v>
      </c>
      <c r="N84" t="s">
        <v>201</v>
      </c>
      <c r="O84" t="s">
        <v>278</v>
      </c>
      <c r="P84">
        <v>9.9036393198678758E-3</v>
      </c>
      <c r="Q84" t="s">
        <v>168</v>
      </c>
      <c r="S84" t="s">
        <v>220</v>
      </c>
      <c r="T84" t="s">
        <v>278</v>
      </c>
      <c r="U84">
        <v>1.0090783435012417E-2</v>
      </c>
      <c r="V84" t="s">
        <v>168</v>
      </c>
      <c r="AC84" t="s">
        <v>19</v>
      </c>
      <c r="AD84" t="s">
        <v>278</v>
      </c>
      <c r="AE84">
        <v>7.0095689650029836E-3</v>
      </c>
      <c r="AK84">
        <v>2032</v>
      </c>
      <c r="AL84" t="s">
        <v>249</v>
      </c>
      <c r="AM84">
        <v>0.28689999999999999</v>
      </c>
      <c r="AN84" t="s">
        <v>247</v>
      </c>
    </row>
    <row r="85" spans="9:40" x14ac:dyDescent="0.45">
      <c r="I85" t="s">
        <v>177</v>
      </c>
      <c r="J85" t="s">
        <v>279</v>
      </c>
      <c r="K85">
        <v>9.6453793055397245E-3</v>
      </c>
      <c r="L85" t="s">
        <v>168</v>
      </c>
      <c r="N85" t="s">
        <v>201</v>
      </c>
      <c r="O85" t="s">
        <v>279</v>
      </c>
      <c r="P85">
        <v>9.8926317463718834E-3</v>
      </c>
      <c r="Q85" t="s">
        <v>168</v>
      </c>
      <c r="S85" t="s">
        <v>220</v>
      </c>
      <c r="T85" t="s">
        <v>279</v>
      </c>
      <c r="U85">
        <v>1.0367125987647108E-2</v>
      </c>
      <c r="V85" t="s">
        <v>168</v>
      </c>
      <c r="AC85" t="s">
        <v>19</v>
      </c>
      <c r="AD85" t="s">
        <v>279</v>
      </c>
      <c r="AE85">
        <v>7.0220740803021283E-3</v>
      </c>
      <c r="AK85">
        <v>2032</v>
      </c>
      <c r="AL85" t="s">
        <v>251</v>
      </c>
      <c r="AM85">
        <v>0.23669999999999999</v>
      </c>
      <c r="AN85" t="s">
        <v>247</v>
      </c>
    </row>
    <row r="86" spans="9:40" x14ac:dyDescent="0.45">
      <c r="I86" t="s">
        <v>177</v>
      </c>
      <c r="J86" t="s">
        <v>280</v>
      </c>
      <c r="K86">
        <v>6.2790936016208762E-2</v>
      </c>
      <c r="L86" t="s">
        <v>168</v>
      </c>
      <c r="N86" t="s">
        <v>201</v>
      </c>
      <c r="O86" t="s">
        <v>280</v>
      </c>
      <c r="P86">
        <v>5.8837330149246199E-2</v>
      </c>
      <c r="Q86" t="s">
        <v>168</v>
      </c>
      <c r="S86" t="s">
        <v>220</v>
      </c>
      <c r="T86" t="s">
        <v>280</v>
      </c>
      <c r="U86">
        <v>5.5972846446885681E-2</v>
      </c>
      <c r="V86" t="s">
        <v>168</v>
      </c>
      <c r="AC86" t="s">
        <v>19</v>
      </c>
      <c r="AD86" t="s">
        <v>280</v>
      </c>
      <c r="AE86">
        <v>4.2098961513989952E-2</v>
      </c>
      <c r="AK86">
        <v>2032</v>
      </c>
      <c r="AL86" t="s">
        <v>253</v>
      </c>
      <c r="AM86">
        <v>0.20505000000000001</v>
      </c>
      <c r="AN86" t="s">
        <v>247</v>
      </c>
    </row>
    <row r="87" spans="9:40" x14ac:dyDescent="0.45">
      <c r="I87" t="s">
        <v>177</v>
      </c>
      <c r="J87" t="s">
        <v>281</v>
      </c>
      <c r="K87">
        <v>5.6489366071379964E-3</v>
      </c>
      <c r="L87" t="s">
        <v>168</v>
      </c>
      <c r="N87" t="s">
        <v>201</v>
      </c>
      <c r="O87" t="s">
        <v>281</v>
      </c>
      <c r="P87">
        <v>1.0337970977741424E-2</v>
      </c>
      <c r="Q87" t="s">
        <v>168</v>
      </c>
      <c r="S87" t="s">
        <v>220</v>
      </c>
      <c r="T87" t="s">
        <v>281</v>
      </c>
      <c r="U87">
        <v>8.7491675928064675E-3</v>
      </c>
      <c r="V87" t="s">
        <v>168</v>
      </c>
      <c r="AC87" t="s">
        <v>19</v>
      </c>
      <c r="AD87" t="s">
        <v>281</v>
      </c>
      <c r="AE87">
        <v>7.0216441841285983E-3</v>
      </c>
      <c r="AK87">
        <v>2032</v>
      </c>
      <c r="AL87" t="s">
        <v>255</v>
      </c>
      <c r="AM87">
        <v>0.21590000000000001</v>
      </c>
      <c r="AN87" t="s">
        <v>247</v>
      </c>
    </row>
    <row r="88" spans="9:40" x14ac:dyDescent="0.45">
      <c r="I88" t="s">
        <v>177</v>
      </c>
      <c r="J88" t="s">
        <v>282</v>
      </c>
      <c r="K88">
        <v>9.8365348873375195E-4</v>
      </c>
      <c r="L88" t="s">
        <v>168</v>
      </c>
      <c r="N88" t="s">
        <v>201</v>
      </c>
      <c r="O88" t="s">
        <v>282</v>
      </c>
      <c r="P88">
        <v>7.3638169266330281E-2</v>
      </c>
      <c r="Q88" t="s">
        <v>168</v>
      </c>
      <c r="S88" t="s">
        <v>220</v>
      </c>
      <c r="T88" t="s">
        <v>282</v>
      </c>
      <c r="U88">
        <v>6.972850473758456E-2</v>
      </c>
      <c r="V88" t="s">
        <v>168</v>
      </c>
      <c r="AC88" t="s">
        <v>19</v>
      </c>
      <c r="AD88" t="s">
        <v>282</v>
      </c>
      <c r="AE88">
        <v>4.8915068194699866E-2</v>
      </c>
      <c r="AK88">
        <v>2033</v>
      </c>
      <c r="AL88" t="s">
        <v>157</v>
      </c>
      <c r="AM88">
        <v>0.1794</v>
      </c>
      <c r="AN88" t="s">
        <v>247</v>
      </c>
    </row>
    <row r="89" spans="9:40" x14ac:dyDescent="0.45">
      <c r="I89" t="s">
        <v>177</v>
      </c>
      <c r="J89" t="s">
        <v>283</v>
      </c>
      <c r="K89">
        <v>0</v>
      </c>
      <c r="L89" t="s">
        <v>168</v>
      </c>
      <c r="N89" t="s">
        <v>201</v>
      </c>
      <c r="O89" t="s">
        <v>283</v>
      </c>
      <c r="P89">
        <v>2.9190281976448903E-2</v>
      </c>
      <c r="Q89" t="s">
        <v>168</v>
      </c>
      <c r="S89" t="s">
        <v>220</v>
      </c>
      <c r="T89" t="s">
        <v>283</v>
      </c>
      <c r="U89">
        <v>2.8841819103604439E-2</v>
      </c>
      <c r="V89" t="s">
        <v>168</v>
      </c>
      <c r="AC89" t="s">
        <v>19</v>
      </c>
      <c r="AD89" t="s">
        <v>283</v>
      </c>
      <c r="AE89">
        <v>2.7912858509718089E-2</v>
      </c>
      <c r="AK89">
        <v>2033</v>
      </c>
      <c r="AL89" t="s">
        <v>161</v>
      </c>
      <c r="AM89">
        <v>0.24870000000000003</v>
      </c>
      <c r="AN89" t="s">
        <v>247</v>
      </c>
    </row>
    <row r="90" spans="9:40" x14ac:dyDescent="0.45">
      <c r="I90" t="s">
        <v>177</v>
      </c>
      <c r="J90" t="s">
        <v>284</v>
      </c>
      <c r="K90">
        <v>2.7406934032341112E-3</v>
      </c>
      <c r="L90" t="s">
        <v>168</v>
      </c>
      <c r="N90" t="s">
        <v>201</v>
      </c>
      <c r="O90" t="s">
        <v>284</v>
      </c>
      <c r="P90">
        <v>3.3578601127057651E-3</v>
      </c>
      <c r="Q90" t="s">
        <v>168</v>
      </c>
      <c r="S90" t="s">
        <v>220</v>
      </c>
      <c r="T90" t="s">
        <v>284</v>
      </c>
      <c r="U90">
        <v>4.2424101823350623E-3</v>
      </c>
      <c r="V90" t="s">
        <v>168</v>
      </c>
      <c r="AC90" t="s">
        <v>19</v>
      </c>
      <c r="AD90" t="s">
        <v>284</v>
      </c>
      <c r="AE90">
        <v>3.5792015584238993E-3</v>
      </c>
      <c r="AK90">
        <v>2033</v>
      </c>
      <c r="AL90" t="s">
        <v>163</v>
      </c>
      <c r="AM90">
        <v>0.28260000000000002</v>
      </c>
      <c r="AN90" t="s">
        <v>247</v>
      </c>
    </row>
    <row r="91" spans="9:40" x14ac:dyDescent="0.45">
      <c r="I91" t="s">
        <v>177</v>
      </c>
      <c r="J91" t="s">
        <v>285</v>
      </c>
      <c r="K91">
        <v>4.4662072579302351E-3</v>
      </c>
      <c r="L91" t="s">
        <v>168</v>
      </c>
      <c r="N91" t="s">
        <v>201</v>
      </c>
      <c r="O91" t="s">
        <v>285</v>
      </c>
      <c r="P91">
        <v>3.3762477822785542E-3</v>
      </c>
      <c r="Q91" t="s">
        <v>168</v>
      </c>
      <c r="S91" t="s">
        <v>220</v>
      </c>
      <c r="T91" t="s">
        <v>285</v>
      </c>
      <c r="U91">
        <v>4.3677209969995032E-3</v>
      </c>
      <c r="V91" t="s">
        <v>168</v>
      </c>
      <c r="AC91" t="s">
        <v>19</v>
      </c>
      <c r="AD91" t="s">
        <v>285</v>
      </c>
      <c r="AE91">
        <v>3.5841309544918853E-3</v>
      </c>
      <c r="AK91">
        <v>2033</v>
      </c>
      <c r="AL91" t="s">
        <v>249</v>
      </c>
      <c r="AM91">
        <v>0.2767</v>
      </c>
      <c r="AN91" t="s">
        <v>247</v>
      </c>
    </row>
    <row r="92" spans="9:40" x14ac:dyDescent="0.45">
      <c r="I92" t="s">
        <v>177</v>
      </c>
      <c r="J92" t="s">
        <v>286</v>
      </c>
      <c r="K92">
        <v>3.4491861185889677E-2</v>
      </c>
      <c r="L92" t="s">
        <v>168</v>
      </c>
      <c r="N92" t="s">
        <v>201</v>
      </c>
      <c r="O92" t="s">
        <v>286</v>
      </c>
      <c r="P92">
        <v>1.9536480474532762E-2</v>
      </c>
      <c r="Q92" t="s">
        <v>168</v>
      </c>
      <c r="S92" t="s">
        <v>220</v>
      </c>
      <c r="T92" t="s">
        <v>286</v>
      </c>
      <c r="U92">
        <v>2.2925748193721302E-2</v>
      </c>
      <c r="V92" t="s">
        <v>168</v>
      </c>
      <c r="AC92" t="s">
        <v>19</v>
      </c>
      <c r="AD92" t="s">
        <v>286</v>
      </c>
      <c r="AE92">
        <v>2.1434712950872816E-2</v>
      </c>
      <c r="AK92">
        <v>2033</v>
      </c>
      <c r="AL92" t="s">
        <v>251</v>
      </c>
      <c r="AM92">
        <v>0.21340000000000001</v>
      </c>
      <c r="AN92" t="s">
        <v>247</v>
      </c>
    </row>
    <row r="93" spans="9:40" x14ac:dyDescent="0.45">
      <c r="I93" t="s">
        <v>177</v>
      </c>
      <c r="J93" t="s">
        <v>287</v>
      </c>
      <c r="K93">
        <v>3.3413609209764451E-3</v>
      </c>
      <c r="L93" t="s">
        <v>168</v>
      </c>
      <c r="N93" t="s">
        <v>201</v>
      </c>
      <c r="O93" t="s">
        <v>287</v>
      </c>
      <c r="P93">
        <v>3.39259406864377E-3</v>
      </c>
      <c r="Q93" t="s">
        <v>168</v>
      </c>
      <c r="S93" t="s">
        <v>220</v>
      </c>
      <c r="T93" t="s">
        <v>287</v>
      </c>
      <c r="U93">
        <v>3.4241411155045511E-3</v>
      </c>
      <c r="V93" t="s">
        <v>168</v>
      </c>
      <c r="AC93" t="s">
        <v>19</v>
      </c>
      <c r="AD93" t="s">
        <v>287</v>
      </c>
      <c r="AE93">
        <v>3.5839085012344934E-3</v>
      </c>
      <c r="AK93">
        <v>2033</v>
      </c>
      <c r="AL93" t="s">
        <v>253</v>
      </c>
      <c r="AM93">
        <v>0.20480000000000001</v>
      </c>
      <c r="AN93" t="s">
        <v>247</v>
      </c>
    </row>
    <row r="94" spans="9:40" x14ac:dyDescent="0.45">
      <c r="I94" t="s">
        <v>177</v>
      </c>
      <c r="J94" t="s">
        <v>288</v>
      </c>
      <c r="K94">
        <v>0</v>
      </c>
      <c r="L94" t="s">
        <v>168</v>
      </c>
      <c r="N94" t="s">
        <v>201</v>
      </c>
      <c r="O94" t="s">
        <v>288</v>
      </c>
      <c r="P94">
        <v>2.3731280787296857E-2</v>
      </c>
      <c r="Q94" t="s">
        <v>168</v>
      </c>
      <c r="S94" t="s">
        <v>220</v>
      </c>
      <c r="T94" t="s">
        <v>288</v>
      </c>
      <c r="U94">
        <v>2.1554128768361033E-2</v>
      </c>
      <c r="V94" t="s">
        <v>168</v>
      </c>
      <c r="AC94" t="s">
        <v>19</v>
      </c>
      <c r="AD94" t="s">
        <v>288</v>
      </c>
      <c r="AE94">
        <v>2.4887313988880978E-2</v>
      </c>
      <c r="AK94">
        <v>2033</v>
      </c>
      <c r="AL94" t="s">
        <v>255</v>
      </c>
      <c r="AM94">
        <v>0.2135</v>
      </c>
      <c r="AN94" t="s">
        <v>247</v>
      </c>
    </row>
    <row r="95" spans="9:40" x14ac:dyDescent="0.45">
      <c r="I95" t="s">
        <v>178</v>
      </c>
      <c r="J95" t="s">
        <v>167</v>
      </c>
      <c r="K95">
        <v>4.6193129038881234E-4</v>
      </c>
      <c r="L95" t="s">
        <v>168</v>
      </c>
      <c r="N95" t="s">
        <v>202</v>
      </c>
      <c r="O95" t="s">
        <v>167</v>
      </c>
      <c r="P95">
        <v>7.2301917541485988E-2</v>
      </c>
      <c r="Q95" t="s">
        <v>168</v>
      </c>
      <c r="S95" t="s">
        <v>221</v>
      </c>
      <c r="T95" t="s">
        <v>167</v>
      </c>
      <c r="U95">
        <v>6.8807357964429217E-2</v>
      </c>
      <c r="V95" t="s">
        <v>168</v>
      </c>
      <c r="AK95">
        <v>2034</v>
      </c>
      <c r="AL95" t="s">
        <v>157</v>
      </c>
      <c r="AM95">
        <v>0.16909999999999997</v>
      </c>
      <c r="AN95" t="s">
        <v>247</v>
      </c>
    </row>
    <row r="96" spans="9:40" x14ac:dyDescent="0.45">
      <c r="I96" t="s">
        <v>178</v>
      </c>
      <c r="J96" t="s">
        <v>169</v>
      </c>
      <c r="K96">
        <v>7.807769423478857E-3</v>
      </c>
      <c r="L96" t="s">
        <v>168</v>
      </c>
      <c r="N96" t="s">
        <v>202</v>
      </c>
      <c r="O96" t="s">
        <v>169</v>
      </c>
      <c r="P96">
        <v>9.71505332829317E-3</v>
      </c>
      <c r="Q96" t="s">
        <v>168</v>
      </c>
      <c r="S96" t="s">
        <v>221</v>
      </c>
      <c r="T96" t="s">
        <v>169</v>
      </c>
      <c r="U96">
        <v>7.8023768880437182E-3</v>
      </c>
      <c r="V96" t="s">
        <v>168</v>
      </c>
      <c r="AK96">
        <v>2034</v>
      </c>
      <c r="AL96" t="s">
        <v>161</v>
      </c>
      <c r="AM96">
        <v>0.26090000000000002</v>
      </c>
      <c r="AN96" t="s">
        <v>247</v>
      </c>
    </row>
    <row r="97" spans="9:40" x14ac:dyDescent="0.45">
      <c r="I97" t="s">
        <v>178</v>
      </c>
      <c r="J97" t="s">
        <v>170</v>
      </c>
      <c r="K97">
        <v>1.229314785460071E-2</v>
      </c>
      <c r="L97" t="s">
        <v>168</v>
      </c>
      <c r="N97" t="s">
        <v>202</v>
      </c>
      <c r="O97" t="s">
        <v>170</v>
      </c>
      <c r="P97">
        <v>9.5942163773359585E-3</v>
      </c>
      <c r="Q97" t="s">
        <v>168</v>
      </c>
      <c r="S97" t="s">
        <v>221</v>
      </c>
      <c r="T97" t="s">
        <v>170</v>
      </c>
      <c r="U97">
        <v>7.6875367699952958E-3</v>
      </c>
      <c r="V97" t="s">
        <v>168</v>
      </c>
      <c r="AK97">
        <v>2034</v>
      </c>
      <c r="AL97" t="s">
        <v>163</v>
      </c>
      <c r="AM97">
        <v>0.32819999999999999</v>
      </c>
      <c r="AN97" t="s">
        <v>247</v>
      </c>
    </row>
    <row r="98" spans="9:40" x14ac:dyDescent="0.45">
      <c r="I98" t="s">
        <v>178</v>
      </c>
      <c r="J98" t="s">
        <v>256</v>
      </c>
      <c r="K98">
        <v>8.3076473075928636E-2</v>
      </c>
      <c r="L98" t="s">
        <v>168</v>
      </c>
      <c r="N98" t="s">
        <v>202</v>
      </c>
      <c r="O98" t="s">
        <v>256</v>
      </c>
      <c r="P98">
        <v>5.6128804571738328E-2</v>
      </c>
      <c r="Q98" t="s">
        <v>168</v>
      </c>
      <c r="S98" t="s">
        <v>221</v>
      </c>
      <c r="T98" t="s">
        <v>256</v>
      </c>
      <c r="U98">
        <v>4.7481031575382568E-2</v>
      </c>
      <c r="V98" t="s">
        <v>168</v>
      </c>
      <c r="AK98">
        <v>2034</v>
      </c>
      <c r="AL98" t="s">
        <v>249</v>
      </c>
      <c r="AM98">
        <v>0.28510000000000002</v>
      </c>
      <c r="AN98" t="s">
        <v>247</v>
      </c>
    </row>
    <row r="99" spans="9:40" x14ac:dyDescent="0.45">
      <c r="I99" t="s">
        <v>178</v>
      </c>
      <c r="J99" t="s">
        <v>257</v>
      </c>
      <c r="K99">
        <v>8.9697494253150531E-3</v>
      </c>
      <c r="L99" t="s">
        <v>168</v>
      </c>
      <c r="N99" t="s">
        <v>202</v>
      </c>
      <c r="O99" t="s">
        <v>257</v>
      </c>
      <c r="P99">
        <v>9.186573508627241E-3</v>
      </c>
      <c r="Q99" t="s">
        <v>168</v>
      </c>
      <c r="S99" t="s">
        <v>221</v>
      </c>
      <c r="T99" t="s">
        <v>257</v>
      </c>
      <c r="U99">
        <v>8.2908450032425016E-3</v>
      </c>
      <c r="V99" t="s">
        <v>168</v>
      </c>
      <c r="AK99">
        <v>2034</v>
      </c>
      <c r="AL99" t="s">
        <v>251</v>
      </c>
      <c r="AM99">
        <v>0.21290000000000001</v>
      </c>
      <c r="AN99" t="s">
        <v>247</v>
      </c>
    </row>
    <row r="100" spans="9:40" x14ac:dyDescent="0.45">
      <c r="I100" t="s">
        <v>178</v>
      </c>
      <c r="J100" t="s">
        <v>258</v>
      </c>
      <c r="K100">
        <v>3.1007800652300579E-3</v>
      </c>
      <c r="L100" t="s">
        <v>168</v>
      </c>
      <c r="N100" t="s">
        <v>202</v>
      </c>
      <c r="O100" t="s">
        <v>258</v>
      </c>
      <c r="P100">
        <v>6.5044374398762136E-2</v>
      </c>
      <c r="Q100" t="s">
        <v>168</v>
      </c>
      <c r="S100" t="s">
        <v>221</v>
      </c>
      <c r="T100" t="s">
        <v>258</v>
      </c>
      <c r="U100">
        <v>6.3314425402537206E-2</v>
      </c>
      <c r="V100" t="s">
        <v>168</v>
      </c>
      <c r="AK100">
        <v>2034</v>
      </c>
      <c r="AL100" t="s">
        <v>253</v>
      </c>
      <c r="AM100">
        <v>0.21589999999999998</v>
      </c>
      <c r="AN100" t="s">
        <v>247</v>
      </c>
    </row>
    <row r="101" spans="9:40" x14ac:dyDescent="0.45">
      <c r="I101" t="s">
        <v>178</v>
      </c>
      <c r="J101" t="s">
        <v>171</v>
      </c>
      <c r="K101">
        <v>4.3528390942905247E-2</v>
      </c>
      <c r="L101" t="s">
        <v>168</v>
      </c>
      <c r="N101" t="s">
        <v>202</v>
      </c>
      <c r="O101" t="s">
        <v>171</v>
      </c>
      <c r="P101">
        <v>9.4842704554705073E-2</v>
      </c>
      <c r="Q101" t="s">
        <v>168</v>
      </c>
      <c r="S101" t="s">
        <v>221</v>
      </c>
      <c r="T101" t="s">
        <v>171</v>
      </c>
      <c r="U101">
        <v>0.13105215056058445</v>
      </c>
      <c r="V101" t="s">
        <v>168</v>
      </c>
      <c r="AK101">
        <v>2034</v>
      </c>
      <c r="AL101" t="s">
        <v>255</v>
      </c>
      <c r="AM101">
        <v>0.2054</v>
      </c>
      <c r="AN101" t="s">
        <v>247</v>
      </c>
    </row>
    <row r="102" spans="9:40" x14ac:dyDescent="0.45">
      <c r="I102" t="s">
        <v>178</v>
      </c>
      <c r="J102" t="s">
        <v>172</v>
      </c>
      <c r="K102">
        <v>3.2176504089014138E-2</v>
      </c>
      <c r="L102" t="s">
        <v>168</v>
      </c>
      <c r="N102" t="s">
        <v>202</v>
      </c>
      <c r="O102" t="s">
        <v>172</v>
      </c>
      <c r="P102">
        <v>1.3189382258321794E-2</v>
      </c>
      <c r="Q102" t="s">
        <v>168</v>
      </c>
      <c r="S102" t="s">
        <v>221</v>
      </c>
      <c r="T102" t="s">
        <v>172</v>
      </c>
      <c r="U102">
        <v>1.4124466190951404E-2</v>
      </c>
      <c r="V102" t="s">
        <v>168</v>
      </c>
      <c r="AK102">
        <v>2035</v>
      </c>
      <c r="AL102" t="s">
        <v>157</v>
      </c>
      <c r="AM102">
        <v>0.17030000000000001</v>
      </c>
      <c r="AN102" t="s">
        <v>247</v>
      </c>
    </row>
    <row r="103" spans="9:40" x14ac:dyDescent="0.45">
      <c r="I103" t="s">
        <v>178</v>
      </c>
      <c r="J103" t="s">
        <v>173</v>
      </c>
      <c r="K103">
        <v>3.6560814712487684E-2</v>
      </c>
      <c r="L103" t="s">
        <v>168</v>
      </c>
      <c r="N103" t="s">
        <v>202</v>
      </c>
      <c r="O103" t="s">
        <v>173</v>
      </c>
      <c r="P103">
        <v>1.3672767061803709E-2</v>
      </c>
      <c r="Q103" t="s">
        <v>168</v>
      </c>
      <c r="S103" t="s">
        <v>221</v>
      </c>
      <c r="T103" t="s">
        <v>173</v>
      </c>
      <c r="U103">
        <v>1.3657454181131411E-2</v>
      </c>
      <c r="V103" t="s">
        <v>168</v>
      </c>
      <c r="AK103">
        <v>2035</v>
      </c>
      <c r="AL103" t="s">
        <v>161</v>
      </c>
      <c r="AM103">
        <v>0.251</v>
      </c>
      <c r="AN103" t="s">
        <v>247</v>
      </c>
    </row>
    <row r="104" spans="9:40" x14ac:dyDescent="0.45">
      <c r="I104" t="s">
        <v>178</v>
      </c>
      <c r="J104" t="s">
        <v>259</v>
      </c>
      <c r="K104">
        <v>0.22034133983451551</v>
      </c>
      <c r="L104" t="s">
        <v>168</v>
      </c>
      <c r="N104" t="s">
        <v>202</v>
      </c>
      <c r="O104" t="s">
        <v>259</v>
      </c>
      <c r="P104">
        <v>9.2235094445028615E-2</v>
      </c>
      <c r="Q104" t="s">
        <v>168</v>
      </c>
      <c r="S104" t="s">
        <v>221</v>
      </c>
      <c r="T104" t="s">
        <v>259</v>
      </c>
      <c r="U104">
        <v>7.8159284609059035E-2</v>
      </c>
      <c r="V104" t="s">
        <v>168</v>
      </c>
      <c r="AK104">
        <v>2035</v>
      </c>
      <c r="AL104" t="s">
        <v>163</v>
      </c>
      <c r="AM104">
        <v>0.33229999999999998</v>
      </c>
      <c r="AN104" t="s">
        <v>247</v>
      </c>
    </row>
    <row r="105" spans="9:40" x14ac:dyDescent="0.45">
      <c r="I105" t="s">
        <v>178</v>
      </c>
      <c r="J105" t="s">
        <v>260</v>
      </c>
      <c r="K105">
        <v>2.8129963982071866E-2</v>
      </c>
      <c r="L105" t="s">
        <v>168</v>
      </c>
      <c r="N105" t="s">
        <v>202</v>
      </c>
      <c r="O105" t="s">
        <v>260</v>
      </c>
      <c r="P105">
        <v>1.7459040122169981E-2</v>
      </c>
      <c r="Q105" t="s">
        <v>168</v>
      </c>
      <c r="S105" t="s">
        <v>221</v>
      </c>
      <c r="T105" t="s">
        <v>260</v>
      </c>
      <c r="U105">
        <v>1.5076772826172242E-2</v>
      </c>
      <c r="V105" t="s">
        <v>168</v>
      </c>
      <c r="AK105">
        <v>2035</v>
      </c>
      <c r="AL105" t="s">
        <v>249</v>
      </c>
      <c r="AM105">
        <v>0.25280000000000002</v>
      </c>
      <c r="AN105" t="s">
        <v>247</v>
      </c>
    </row>
    <row r="106" spans="9:40" x14ac:dyDescent="0.45">
      <c r="I106" t="s">
        <v>178</v>
      </c>
      <c r="J106" t="s">
        <v>261</v>
      </c>
      <c r="K106">
        <v>3.8323102204525249E-2</v>
      </c>
      <c r="L106" t="s">
        <v>168</v>
      </c>
      <c r="N106" t="s">
        <v>202</v>
      </c>
      <c r="O106" t="s">
        <v>261</v>
      </c>
      <c r="P106">
        <v>0.10088247261985099</v>
      </c>
      <c r="Q106" t="s">
        <v>168</v>
      </c>
      <c r="S106" t="s">
        <v>221</v>
      </c>
      <c r="T106" t="s">
        <v>261</v>
      </c>
      <c r="U106">
        <v>0.11581093628842762</v>
      </c>
      <c r="V106" t="s">
        <v>168</v>
      </c>
      <c r="AK106">
        <v>2035</v>
      </c>
      <c r="AL106" t="s">
        <v>251</v>
      </c>
      <c r="AM106">
        <v>0.23180000000000001</v>
      </c>
      <c r="AN106" t="s">
        <v>247</v>
      </c>
    </row>
    <row r="107" spans="9:40" x14ac:dyDescent="0.45">
      <c r="I107" t="s">
        <v>178</v>
      </c>
      <c r="J107" t="s">
        <v>174</v>
      </c>
      <c r="K107">
        <v>1.4682597567461547E-2</v>
      </c>
      <c r="L107" t="s">
        <v>168</v>
      </c>
      <c r="N107" t="s">
        <v>202</v>
      </c>
      <c r="O107" t="s">
        <v>174</v>
      </c>
      <c r="P107">
        <v>9.9015675439535714E-3</v>
      </c>
      <c r="Q107" t="s">
        <v>168</v>
      </c>
      <c r="S107" t="s">
        <v>221</v>
      </c>
      <c r="T107" t="s">
        <v>174</v>
      </c>
      <c r="U107">
        <v>2.2709509765732164E-2</v>
      </c>
      <c r="V107" t="s">
        <v>168</v>
      </c>
      <c r="AK107">
        <v>2035</v>
      </c>
      <c r="AL107" t="s">
        <v>253</v>
      </c>
      <c r="AM107">
        <v>0.1988</v>
      </c>
      <c r="AN107" t="s">
        <v>247</v>
      </c>
    </row>
    <row r="108" spans="9:40" x14ac:dyDescent="0.45">
      <c r="I108" t="s">
        <v>178</v>
      </c>
      <c r="J108" t="s">
        <v>175</v>
      </c>
      <c r="K108">
        <v>9.2449815681102405E-3</v>
      </c>
      <c r="L108" t="s">
        <v>168</v>
      </c>
      <c r="N108" t="s">
        <v>202</v>
      </c>
      <c r="O108" t="s">
        <v>175</v>
      </c>
      <c r="P108">
        <v>9.8236377935721547E-4</v>
      </c>
      <c r="Q108" t="s">
        <v>168</v>
      </c>
      <c r="S108" t="s">
        <v>221</v>
      </c>
      <c r="T108" t="s">
        <v>175</v>
      </c>
      <c r="U108">
        <v>2.453880255637655E-3</v>
      </c>
      <c r="V108" t="s">
        <v>168</v>
      </c>
      <c r="AK108">
        <v>2035</v>
      </c>
      <c r="AL108" t="s">
        <v>255</v>
      </c>
      <c r="AM108">
        <v>0.215</v>
      </c>
      <c r="AN108" t="s">
        <v>247</v>
      </c>
    </row>
    <row r="109" spans="9:40" x14ac:dyDescent="0.45">
      <c r="I109" t="s">
        <v>178</v>
      </c>
      <c r="J109" t="s">
        <v>176</v>
      </c>
      <c r="K109">
        <v>1.0302331830922933E-2</v>
      </c>
      <c r="L109" t="s">
        <v>168</v>
      </c>
      <c r="N109" t="s">
        <v>202</v>
      </c>
      <c r="O109" t="s">
        <v>176</v>
      </c>
      <c r="P109">
        <v>9.3303823075677542E-4</v>
      </c>
      <c r="Q109" t="s">
        <v>168</v>
      </c>
      <c r="S109" t="s">
        <v>221</v>
      </c>
      <c r="T109" t="s">
        <v>176</v>
      </c>
      <c r="U109">
        <v>2.2595977269697118E-3</v>
      </c>
      <c r="V109" t="s">
        <v>168</v>
      </c>
      <c r="AK109">
        <v>2036</v>
      </c>
      <c r="AL109" t="s">
        <v>157</v>
      </c>
      <c r="AM109">
        <v>0.16935</v>
      </c>
      <c r="AN109" t="s">
        <v>247</v>
      </c>
    </row>
    <row r="110" spans="9:40" x14ac:dyDescent="0.45">
      <c r="I110" t="s">
        <v>178</v>
      </c>
      <c r="J110" t="s">
        <v>262</v>
      </c>
      <c r="K110">
        <v>6.1836469564617427E-2</v>
      </c>
      <c r="L110" t="s">
        <v>168</v>
      </c>
      <c r="N110" t="s">
        <v>202</v>
      </c>
      <c r="O110" t="s">
        <v>262</v>
      </c>
      <c r="P110">
        <v>7.0691429117957219E-3</v>
      </c>
      <c r="Q110" t="s">
        <v>168</v>
      </c>
      <c r="S110" t="s">
        <v>221</v>
      </c>
      <c r="T110" t="s">
        <v>262</v>
      </c>
      <c r="U110">
        <v>1.4733990374245208E-2</v>
      </c>
      <c r="V110" t="s">
        <v>168</v>
      </c>
      <c r="AK110">
        <v>2036</v>
      </c>
      <c r="AL110" t="s">
        <v>161</v>
      </c>
      <c r="AM110">
        <v>0.25140000000000001</v>
      </c>
      <c r="AN110" t="s">
        <v>247</v>
      </c>
    </row>
    <row r="111" spans="9:40" x14ac:dyDescent="0.45">
      <c r="I111" t="s">
        <v>178</v>
      </c>
      <c r="J111" t="s">
        <v>263</v>
      </c>
      <c r="K111">
        <v>7.4895810663156252E-3</v>
      </c>
      <c r="L111" t="s">
        <v>168</v>
      </c>
      <c r="N111" t="s">
        <v>202</v>
      </c>
      <c r="O111" t="s">
        <v>263</v>
      </c>
      <c r="P111">
        <v>2.11488683079738E-3</v>
      </c>
      <c r="Q111" t="s">
        <v>168</v>
      </c>
      <c r="S111" t="s">
        <v>221</v>
      </c>
      <c r="T111" t="s">
        <v>263</v>
      </c>
      <c r="U111">
        <v>3.4446067358439689E-3</v>
      </c>
      <c r="V111" t="s">
        <v>168</v>
      </c>
      <c r="AK111">
        <v>2036</v>
      </c>
      <c r="AL111" t="s">
        <v>163</v>
      </c>
      <c r="AM111">
        <v>0.3241</v>
      </c>
      <c r="AN111" t="s">
        <v>247</v>
      </c>
    </row>
    <row r="112" spans="9:40" x14ac:dyDescent="0.45">
      <c r="I112" t="s">
        <v>178</v>
      </c>
      <c r="J112" t="s">
        <v>264</v>
      </c>
      <c r="K112">
        <v>1.3072945730765517E-2</v>
      </c>
      <c r="L112" t="s">
        <v>168</v>
      </c>
      <c r="N112" t="s">
        <v>202</v>
      </c>
      <c r="O112" t="s">
        <v>264</v>
      </c>
      <c r="P112">
        <v>1.1541500742976746E-2</v>
      </c>
      <c r="Q112" t="s">
        <v>168</v>
      </c>
      <c r="S112" t="s">
        <v>221</v>
      </c>
      <c r="T112" t="s">
        <v>264</v>
      </c>
      <c r="U112">
        <v>2.38086377567907E-2</v>
      </c>
      <c r="V112" t="s">
        <v>168</v>
      </c>
      <c r="AK112">
        <v>2036</v>
      </c>
      <c r="AL112" t="s">
        <v>249</v>
      </c>
      <c r="AM112">
        <v>0.24790000000000001</v>
      </c>
      <c r="AN112" t="s">
        <v>247</v>
      </c>
    </row>
    <row r="113" spans="9:40" x14ac:dyDescent="0.45">
      <c r="I113" t="s">
        <v>178</v>
      </c>
      <c r="J113" t="s">
        <v>265</v>
      </c>
      <c r="K113">
        <v>1.2317226221408649E-2</v>
      </c>
      <c r="L113" t="s">
        <v>168</v>
      </c>
      <c r="N113" t="s">
        <v>202</v>
      </c>
      <c r="O113" t="s">
        <v>265</v>
      </c>
      <c r="P113">
        <v>1.672120631621166E-2</v>
      </c>
      <c r="Q113" t="s">
        <v>168</v>
      </c>
      <c r="S113" t="s">
        <v>221</v>
      </c>
      <c r="T113" t="s">
        <v>265</v>
      </c>
      <c r="U113">
        <v>2.5241361041906822E-2</v>
      </c>
      <c r="V113" t="s">
        <v>168</v>
      </c>
      <c r="AK113">
        <v>2036</v>
      </c>
      <c r="AL113" t="s">
        <v>251</v>
      </c>
      <c r="AM113">
        <v>0.20930000000000001</v>
      </c>
      <c r="AN113" t="s">
        <v>247</v>
      </c>
    </row>
    <row r="114" spans="9:40" x14ac:dyDescent="0.45">
      <c r="I114" t="s">
        <v>178</v>
      </c>
      <c r="J114" t="s">
        <v>266</v>
      </c>
      <c r="K114">
        <v>9.3696539526291825E-3</v>
      </c>
      <c r="L114" t="s">
        <v>168</v>
      </c>
      <c r="N114" t="s">
        <v>202</v>
      </c>
      <c r="O114" t="s">
        <v>266</v>
      </c>
      <c r="P114">
        <v>1.6411656386491758E-3</v>
      </c>
      <c r="Q114" t="s">
        <v>168</v>
      </c>
      <c r="S114" t="s">
        <v>221</v>
      </c>
      <c r="T114" t="s">
        <v>266</v>
      </c>
      <c r="U114">
        <v>2.3395086746866426E-3</v>
      </c>
      <c r="V114" t="s">
        <v>168</v>
      </c>
      <c r="AK114">
        <v>2036</v>
      </c>
      <c r="AL114" t="s">
        <v>253</v>
      </c>
      <c r="AM114">
        <v>0.19495000000000001</v>
      </c>
      <c r="AN114" t="s">
        <v>247</v>
      </c>
    </row>
    <row r="115" spans="9:40" x14ac:dyDescent="0.45">
      <c r="I115" t="s">
        <v>178</v>
      </c>
      <c r="J115" t="s">
        <v>267</v>
      </c>
      <c r="K115">
        <v>1.0543963441944557E-2</v>
      </c>
      <c r="L115" t="s">
        <v>168</v>
      </c>
      <c r="N115" t="s">
        <v>202</v>
      </c>
      <c r="O115" t="s">
        <v>267</v>
      </c>
      <c r="P115">
        <v>1.4358474658981576E-3</v>
      </c>
      <c r="Q115" t="s">
        <v>168</v>
      </c>
      <c r="S115" t="s">
        <v>221</v>
      </c>
      <c r="T115" t="s">
        <v>267</v>
      </c>
      <c r="U115">
        <v>2.0677102162375239E-3</v>
      </c>
      <c r="V115" t="s">
        <v>168</v>
      </c>
      <c r="AK115">
        <v>2036</v>
      </c>
      <c r="AL115" t="s">
        <v>255</v>
      </c>
      <c r="AM115">
        <v>0.21110000000000001</v>
      </c>
      <c r="AN115" t="s">
        <v>247</v>
      </c>
    </row>
    <row r="116" spans="9:40" x14ac:dyDescent="0.45">
      <c r="I116" t="s">
        <v>178</v>
      </c>
      <c r="J116" t="s">
        <v>268</v>
      </c>
      <c r="K116">
        <v>6.3720371873362575E-2</v>
      </c>
      <c r="L116" t="s">
        <v>168</v>
      </c>
      <c r="N116" t="s">
        <v>202</v>
      </c>
      <c r="O116" t="s">
        <v>268</v>
      </c>
      <c r="P116">
        <v>9.6375479285644682E-3</v>
      </c>
      <c r="Q116" t="s">
        <v>168</v>
      </c>
      <c r="S116" t="s">
        <v>221</v>
      </c>
      <c r="T116" t="s">
        <v>268</v>
      </c>
      <c r="U116">
        <v>1.2326798610521829E-2</v>
      </c>
      <c r="V116" t="s">
        <v>168</v>
      </c>
      <c r="AK116">
        <v>2037</v>
      </c>
      <c r="AL116" t="s">
        <v>157</v>
      </c>
      <c r="AM116">
        <v>0.17059999999999997</v>
      </c>
      <c r="AN116" t="s">
        <v>247</v>
      </c>
    </row>
    <row r="117" spans="9:40" x14ac:dyDescent="0.45">
      <c r="I117" t="s">
        <v>178</v>
      </c>
      <c r="J117" t="s">
        <v>269</v>
      </c>
      <c r="K117">
        <v>8.5957620232125914E-3</v>
      </c>
      <c r="L117" t="s">
        <v>168</v>
      </c>
      <c r="N117" t="s">
        <v>202</v>
      </c>
      <c r="O117" t="s">
        <v>269</v>
      </c>
      <c r="P117">
        <v>2.7780602275848634E-3</v>
      </c>
      <c r="Q117" t="s">
        <v>168</v>
      </c>
      <c r="S117" t="s">
        <v>221</v>
      </c>
      <c r="T117" t="s">
        <v>269</v>
      </c>
      <c r="U117">
        <v>2.8483392113713125E-3</v>
      </c>
      <c r="V117" t="s">
        <v>168</v>
      </c>
      <c r="AK117">
        <v>2037</v>
      </c>
      <c r="AL117" t="s">
        <v>161</v>
      </c>
      <c r="AM117">
        <v>0.26657500000000001</v>
      </c>
      <c r="AN117" t="s">
        <v>247</v>
      </c>
    </row>
    <row r="118" spans="9:40" x14ac:dyDescent="0.45">
      <c r="I118" t="s">
        <v>178</v>
      </c>
      <c r="J118" t="s">
        <v>270</v>
      </c>
      <c r="K118">
        <v>1.219188145335969E-2</v>
      </c>
      <c r="L118" t="s">
        <v>168</v>
      </c>
      <c r="N118" t="s">
        <v>202</v>
      </c>
      <c r="O118" t="s">
        <v>270</v>
      </c>
      <c r="P118">
        <v>1.4918258974330634E-2</v>
      </c>
      <c r="Q118" t="s">
        <v>168</v>
      </c>
      <c r="S118" t="s">
        <v>221</v>
      </c>
      <c r="T118" t="s">
        <v>270</v>
      </c>
      <c r="U118">
        <v>1.9295360296909394E-2</v>
      </c>
      <c r="V118" t="s">
        <v>168</v>
      </c>
      <c r="AK118">
        <v>2037</v>
      </c>
      <c r="AL118" t="s">
        <v>163</v>
      </c>
      <c r="AM118">
        <v>0.30259999999999998</v>
      </c>
      <c r="AN118" t="s">
        <v>247</v>
      </c>
    </row>
    <row r="119" spans="9:40" x14ac:dyDescent="0.45">
      <c r="I119" t="s">
        <v>178</v>
      </c>
      <c r="J119" t="s">
        <v>271</v>
      </c>
      <c r="K119">
        <v>8.2207060001627565E-3</v>
      </c>
      <c r="L119" t="s">
        <v>168</v>
      </c>
      <c r="N119" t="s">
        <v>202</v>
      </c>
      <c r="O119" t="s">
        <v>271</v>
      </c>
      <c r="P119">
        <v>1.3306665374208548E-2</v>
      </c>
      <c r="Q119" t="s">
        <v>168</v>
      </c>
      <c r="S119" t="s">
        <v>221</v>
      </c>
      <c r="T119" t="s">
        <v>271</v>
      </c>
      <c r="U119">
        <v>1.8116417115115652E-2</v>
      </c>
      <c r="V119" t="s">
        <v>168</v>
      </c>
      <c r="AK119">
        <v>2037</v>
      </c>
      <c r="AL119" t="s">
        <v>249</v>
      </c>
      <c r="AM119">
        <v>0.2586</v>
      </c>
      <c r="AN119" t="s">
        <v>247</v>
      </c>
    </row>
    <row r="120" spans="9:40" x14ac:dyDescent="0.45">
      <c r="I120" t="s">
        <v>178</v>
      </c>
      <c r="J120" t="s">
        <v>272</v>
      </c>
      <c r="K120">
        <v>7.7469585649499297E-3</v>
      </c>
      <c r="L120" t="s">
        <v>168</v>
      </c>
      <c r="N120" t="s">
        <v>202</v>
      </c>
      <c r="O120" t="s">
        <v>272</v>
      </c>
      <c r="P120">
        <v>1.7408361828782286E-3</v>
      </c>
      <c r="Q120" t="s">
        <v>168</v>
      </c>
      <c r="S120" t="s">
        <v>221</v>
      </c>
      <c r="T120" t="s">
        <v>272</v>
      </c>
      <c r="U120">
        <v>1.9412240089286441E-3</v>
      </c>
      <c r="V120" t="s">
        <v>168</v>
      </c>
      <c r="AK120">
        <v>2037</v>
      </c>
      <c r="AL120" t="s">
        <v>251</v>
      </c>
      <c r="AM120">
        <v>0.21240000000000001</v>
      </c>
      <c r="AN120" t="s">
        <v>247</v>
      </c>
    </row>
    <row r="121" spans="9:40" x14ac:dyDescent="0.45">
      <c r="I121" t="s">
        <v>178</v>
      </c>
      <c r="J121" t="s">
        <v>273</v>
      </c>
      <c r="K121">
        <v>9.0103650936119821E-3</v>
      </c>
      <c r="L121" t="s">
        <v>168</v>
      </c>
      <c r="N121" t="s">
        <v>202</v>
      </c>
      <c r="O121" t="s">
        <v>273</v>
      </c>
      <c r="P121">
        <v>1.851940247154056E-3</v>
      </c>
      <c r="Q121" t="s">
        <v>168</v>
      </c>
      <c r="S121" t="s">
        <v>221</v>
      </c>
      <c r="T121" t="s">
        <v>273</v>
      </c>
      <c r="U121">
        <v>1.7747901732772186E-3</v>
      </c>
      <c r="V121" t="s">
        <v>168</v>
      </c>
      <c r="AK121">
        <v>2037</v>
      </c>
      <c r="AL121" t="s">
        <v>253</v>
      </c>
      <c r="AM121">
        <v>0.2162</v>
      </c>
      <c r="AN121" t="s">
        <v>247</v>
      </c>
    </row>
    <row r="122" spans="9:40" x14ac:dyDescent="0.45">
      <c r="I122" t="s">
        <v>178</v>
      </c>
      <c r="J122" t="s">
        <v>274</v>
      </c>
      <c r="K122">
        <v>5.3964282897361895E-2</v>
      </c>
      <c r="L122" t="s">
        <v>168</v>
      </c>
      <c r="N122" t="s">
        <v>202</v>
      </c>
      <c r="O122" t="s">
        <v>274</v>
      </c>
      <c r="P122">
        <v>1.3915806081355691E-2</v>
      </c>
      <c r="Q122" t="s">
        <v>168</v>
      </c>
      <c r="S122" t="s">
        <v>221</v>
      </c>
      <c r="T122" t="s">
        <v>274</v>
      </c>
      <c r="U122">
        <v>9.6420398489474469E-3</v>
      </c>
      <c r="V122" t="s">
        <v>168</v>
      </c>
      <c r="AK122">
        <v>2037</v>
      </c>
      <c r="AL122" t="s">
        <v>255</v>
      </c>
      <c r="AM122">
        <v>0.20899999999999999</v>
      </c>
      <c r="AN122" t="s">
        <v>247</v>
      </c>
    </row>
    <row r="123" spans="9:40" x14ac:dyDescent="0.45">
      <c r="I123" t="s">
        <v>178</v>
      </c>
      <c r="J123" t="s">
        <v>275</v>
      </c>
      <c r="K123">
        <v>7.0901747368149748E-3</v>
      </c>
      <c r="L123" t="s">
        <v>168</v>
      </c>
      <c r="N123" t="s">
        <v>202</v>
      </c>
      <c r="O123" t="s">
        <v>275</v>
      </c>
      <c r="P123">
        <v>2.8571105356555819E-3</v>
      </c>
      <c r="Q123" t="s">
        <v>168</v>
      </c>
      <c r="S123" t="s">
        <v>221</v>
      </c>
      <c r="T123" t="s">
        <v>275</v>
      </c>
      <c r="U123">
        <v>1.8922541621266499E-3</v>
      </c>
      <c r="V123" t="s">
        <v>168</v>
      </c>
      <c r="AK123">
        <v>2038</v>
      </c>
      <c r="AL123" t="s">
        <v>157</v>
      </c>
      <c r="AM123">
        <v>0.1691</v>
      </c>
      <c r="AN123" t="s">
        <v>247</v>
      </c>
    </row>
    <row r="124" spans="9:40" x14ac:dyDescent="0.45">
      <c r="I124" t="s">
        <v>178</v>
      </c>
      <c r="J124" t="s">
        <v>276</v>
      </c>
      <c r="K124">
        <v>6.396059675766716E-3</v>
      </c>
      <c r="L124" t="s">
        <v>168</v>
      </c>
      <c r="N124" t="s">
        <v>202</v>
      </c>
      <c r="O124" t="s">
        <v>276</v>
      </c>
      <c r="P124">
        <v>1.3717512381086669E-2</v>
      </c>
      <c r="Q124" t="s">
        <v>168</v>
      </c>
      <c r="S124" t="s">
        <v>221</v>
      </c>
      <c r="T124" t="s">
        <v>276</v>
      </c>
      <c r="U124">
        <v>1.5447776663983328E-2</v>
      </c>
      <c r="V124" t="s">
        <v>168</v>
      </c>
      <c r="AK124">
        <v>2038</v>
      </c>
      <c r="AL124" t="s">
        <v>161</v>
      </c>
      <c r="AM124">
        <v>0.254025</v>
      </c>
      <c r="AN124" t="s">
        <v>247</v>
      </c>
    </row>
    <row r="125" spans="9:40" x14ac:dyDescent="0.45">
      <c r="I125" t="s">
        <v>178</v>
      </c>
      <c r="J125" t="s">
        <v>277</v>
      </c>
      <c r="K125">
        <v>3.9185875124284428E-3</v>
      </c>
      <c r="L125" t="s">
        <v>168</v>
      </c>
      <c r="N125" t="s">
        <v>202</v>
      </c>
      <c r="O125" t="s">
        <v>277</v>
      </c>
      <c r="P125">
        <v>7.4128033061584261E-2</v>
      </c>
      <c r="Q125" t="s">
        <v>168</v>
      </c>
      <c r="S125" t="s">
        <v>221</v>
      </c>
      <c r="T125" t="s">
        <v>277</v>
      </c>
      <c r="U125">
        <v>5.6891922782226115E-2</v>
      </c>
      <c r="V125" t="s">
        <v>168</v>
      </c>
      <c r="AK125">
        <v>2038</v>
      </c>
      <c r="AL125" t="s">
        <v>163</v>
      </c>
      <c r="AM125">
        <v>0.32650000000000001</v>
      </c>
      <c r="AN125" t="s">
        <v>247</v>
      </c>
    </row>
    <row r="126" spans="9:40" x14ac:dyDescent="0.45">
      <c r="I126" t="s">
        <v>178</v>
      </c>
      <c r="J126" t="s">
        <v>278</v>
      </c>
      <c r="K126">
        <v>8.9403745437110667E-3</v>
      </c>
      <c r="L126" t="s">
        <v>168</v>
      </c>
      <c r="N126" t="s">
        <v>202</v>
      </c>
      <c r="O126" t="s">
        <v>278</v>
      </c>
      <c r="P126">
        <v>9.0728949753672381E-3</v>
      </c>
      <c r="Q126" t="s">
        <v>168</v>
      </c>
      <c r="S126" t="s">
        <v>221</v>
      </c>
      <c r="T126" t="s">
        <v>278</v>
      </c>
      <c r="U126">
        <v>7.2802543304421831E-3</v>
      </c>
      <c r="V126" t="s">
        <v>168</v>
      </c>
      <c r="AK126">
        <v>2038</v>
      </c>
      <c r="AL126" t="s">
        <v>249</v>
      </c>
      <c r="AM126">
        <v>0.25940000000000002</v>
      </c>
      <c r="AN126" t="s">
        <v>247</v>
      </c>
    </row>
    <row r="127" spans="9:40" x14ac:dyDescent="0.45">
      <c r="I127" t="s">
        <v>178</v>
      </c>
      <c r="J127" t="s">
        <v>279</v>
      </c>
      <c r="K127">
        <v>1.2331104628780154E-2</v>
      </c>
      <c r="L127" t="s">
        <v>168</v>
      </c>
      <c r="N127" t="s">
        <v>202</v>
      </c>
      <c r="O127" t="s">
        <v>279</v>
      </c>
      <c r="P127">
        <v>9.0016637283700501E-3</v>
      </c>
      <c r="Q127" t="s">
        <v>168</v>
      </c>
      <c r="S127" t="s">
        <v>221</v>
      </c>
      <c r="T127" t="s">
        <v>279</v>
      </c>
      <c r="U127">
        <v>7.2515152924935928E-3</v>
      </c>
      <c r="V127" t="s">
        <v>168</v>
      </c>
      <c r="AK127">
        <v>2038</v>
      </c>
      <c r="AL127" t="s">
        <v>251</v>
      </c>
      <c r="AM127">
        <v>0.2122</v>
      </c>
      <c r="AN127" t="s">
        <v>247</v>
      </c>
    </row>
    <row r="128" spans="9:40" x14ac:dyDescent="0.45">
      <c r="I128" t="s">
        <v>178</v>
      </c>
      <c r="J128" t="s">
        <v>280</v>
      </c>
      <c r="K128">
        <v>7.6290169798588048E-2</v>
      </c>
      <c r="L128" t="s">
        <v>168</v>
      </c>
      <c r="N128" t="s">
        <v>202</v>
      </c>
      <c r="O128" t="s">
        <v>280</v>
      </c>
      <c r="P128">
        <v>5.6769912999181341E-2</v>
      </c>
      <c r="Q128" t="s">
        <v>168</v>
      </c>
      <c r="S128" t="s">
        <v>221</v>
      </c>
      <c r="T128" t="s">
        <v>280</v>
      </c>
      <c r="U128">
        <v>4.1964194428314887E-2</v>
      </c>
      <c r="V128" t="s">
        <v>168</v>
      </c>
      <c r="AK128">
        <v>2038</v>
      </c>
      <c r="AL128" t="s">
        <v>253</v>
      </c>
      <c r="AM128">
        <v>0.2051</v>
      </c>
      <c r="AN128" t="s">
        <v>247</v>
      </c>
    </row>
    <row r="129" spans="9:40" x14ac:dyDescent="0.45">
      <c r="I129" t="s">
        <v>178</v>
      </c>
      <c r="J129" t="s">
        <v>281</v>
      </c>
      <c r="K129">
        <v>7.0822324006132326E-3</v>
      </c>
      <c r="L129" t="s">
        <v>168</v>
      </c>
      <c r="N129" t="s">
        <v>202</v>
      </c>
      <c r="O129" t="s">
        <v>281</v>
      </c>
      <c r="P129">
        <v>9.7378741341505124E-3</v>
      </c>
      <c r="Q129" t="s">
        <v>168</v>
      </c>
      <c r="S129" t="s">
        <v>221</v>
      </c>
      <c r="T129" t="s">
        <v>281</v>
      </c>
      <c r="U129">
        <v>7.8544905452390158E-3</v>
      </c>
      <c r="V129" t="s">
        <v>168</v>
      </c>
      <c r="AK129">
        <v>2038</v>
      </c>
      <c r="AL129" t="s">
        <v>255</v>
      </c>
      <c r="AM129">
        <v>0.216</v>
      </c>
      <c r="AN129" t="s">
        <v>247</v>
      </c>
    </row>
    <row r="130" spans="9:40" x14ac:dyDescent="0.45">
      <c r="I130" t="s">
        <v>178</v>
      </c>
      <c r="J130" t="s">
        <v>282</v>
      </c>
      <c r="K130">
        <v>1.6120557994139882E-3</v>
      </c>
      <c r="L130" t="s">
        <v>168</v>
      </c>
      <c r="N130" t="s">
        <v>202</v>
      </c>
      <c r="O130" t="s">
        <v>282</v>
      </c>
      <c r="P130">
        <v>7.1763910400514649E-2</v>
      </c>
      <c r="Q130" t="s">
        <v>168</v>
      </c>
      <c r="S130" t="s">
        <v>221</v>
      </c>
      <c r="T130" t="s">
        <v>282</v>
      </c>
      <c r="U130">
        <v>5.6669954939527367E-2</v>
      </c>
      <c r="V130" t="s">
        <v>168</v>
      </c>
      <c r="AK130">
        <v>2039</v>
      </c>
      <c r="AL130" t="s">
        <v>157</v>
      </c>
      <c r="AM130">
        <v>0.17665</v>
      </c>
      <c r="AN130" t="s">
        <v>247</v>
      </c>
    </row>
    <row r="131" spans="9:40" x14ac:dyDescent="0.45">
      <c r="I131" t="s">
        <v>178</v>
      </c>
      <c r="J131" t="s">
        <v>283</v>
      </c>
      <c r="K131">
        <v>0</v>
      </c>
      <c r="L131" t="s">
        <v>168</v>
      </c>
      <c r="N131" t="s">
        <v>202</v>
      </c>
      <c r="O131" t="s">
        <v>283</v>
      </c>
      <c r="P131">
        <v>3.3396425205494892E-2</v>
      </c>
      <c r="Q131" t="s">
        <v>168</v>
      </c>
      <c r="S131" t="s">
        <v>221</v>
      </c>
      <c r="T131" t="s">
        <v>283</v>
      </c>
      <c r="U131">
        <v>2.3887359403152082E-2</v>
      </c>
      <c r="V131" t="s">
        <v>168</v>
      </c>
      <c r="AK131">
        <v>2039</v>
      </c>
      <c r="AL131" t="s">
        <v>161</v>
      </c>
      <c r="AM131">
        <v>0.2535</v>
      </c>
      <c r="AN131" t="s">
        <v>247</v>
      </c>
    </row>
    <row r="132" spans="9:40" x14ac:dyDescent="0.45">
      <c r="I132" t="s">
        <v>178</v>
      </c>
      <c r="J132" t="s">
        <v>284</v>
      </c>
      <c r="K132">
        <v>3.4576674149165631E-3</v>
      </c>
      <c r="L132" t="s">
        <v>168</v>
      </c>
      <c r="N132" t="s">
        <v>202</v>
      </c>
      <c r="O132" t="s">
        <v>284</v>
      </c>
      <c r="P132">
        <v>4.1101950672917682E-3</v>
      </c>
      <c r="Q132" t="s">
        <v>168</v>
      </c>
      <c r="S132" t="s">
        <v>221</v>
      </c>
      <c r="T132" t="s">
        <v>284</v>
      </c>
      <c r="U132">
        <v>3.027971291937737E-3</v>
      </c>
      <c r="V132" t="s">
        <v>168</v>
      </c>
      <c r="AK132">
        <v>2039</v>
      </c>
      <c r="AL132" t="s">
        <v>163</v>
      </c>
      <c r="AM132">
        <v>0.30370000000000003</v>
      </c>
      <c r="AN132" t="s">
        <v>247</v>
      </c>
    </row>
    <row r="133" spans="9:40" x14ac:dyDescent="0.45">
      <c r="I133" t="s">
        <v>178</v>
      </c>
      <c r="J133" t="s">
        <v>285</v>
      </c>
      <c r="K133">
        <v>5.5896991213616491E-3</v>
      </c>
      <c r="L133" t="s">
        <v>168</v>
      </c>
      <c r="N133" t="s">
        <v>202</v>
      </c>
      <c r="O133" t="s">
        <v>285</v>
      </c>
      <c r="P133">
        <v>3.9500977894021605E-3</v>
      </c>
      <c r="Q133" t="s">
        <v>168</v>
      </c>
      <c r="S133" t="s">
        <v>221</v>
      </c>
      <c r="T133" t="s">
        <v>285</v>
      </c>
      <c r="U133">
        <v>3.0635661244974507E-3</v>
      </c>
      <c r="V133" t="s">
        <v>168</v>
      </c>
      <c r="AK133">
        <v>2039</v>
      </c>
      <c r="AL133" t="s">
        <v>249</v>
      </c>
      <c r="AM133">
        <v>0.2374</v>
      </c>
      <c r="AN133" t="s">
        <v>247</v>
      </c>
    </row>
    <row r="134" spans="9:40" x14ac:dyDescent="0.45">
      <c r="I134" t="s">
        <v>178</v>
      </c>
      <c r="J134" t="s">
        <v>286</v>
      </c>
      <c r="K134">
        <v>3.6903701485873269E-2</v>
      </c>
      <c r="L134" t="s">
        <v>168</v>
      </c>
      <c r="N134" t="s">
        <v>202</v>
      </c>
      <c r="O134" t="s">
        <v>286</v>
      </c>
      <c r="P134">
        <v>1.9630519772797263E-2</v>
      </c>
      <c r="Q134" t="s">
        <v>168</v>
      </c>
      <c r="S134" t="s">
        <v>221</v>
      </c>
      <c r="T134" t="s">
        <v>286</v>
      </c>
      <c r="U134">
        <v>1.7151135820258571E-2</v>
      </c>
      <c r="V134" t="s">
        <v>168</v>
      </c>
      <c r="AK134">
        <v>2039</v>
      </c>
      <c r="AL134" t="s">
        <v>251</v>
      </c>
      <c r="AM134">
        <v>0.1978</v>
      </c>
      <c r="AN134" t="s">
        <v>247</v>
      </c>
    </row>
    <row r="135" spans="9:40" x14ac:dyDescent="0.45">
      <c r="I135" t="s">
        <v>178</v>
      </c>
      <c r="J135" t="s">
        <v>287</v>
      </c>
      <c r="K135">
        <v>3.3081271310766909E-3</v>
      </c>
      <c r="L135" t="s">
        <v>168</v>
      </c>
      <c r="N135" t="s">
        <v>202</v>
      </c>
      <c r="O135" t="s">
        <v>287</v>
      </c>
      <c r="P135">
        <v>3.1320267374508109E-3</v>
      </c>
      <c r="Q135" t="s">
        <v>168</v>
      </c>
      <c r="S135" t="s">
        <v>221</v>
      </c>
      <c r="T135" t="s">
        <v>287</v>
      </c>
      <c r="U135">
        <v>2.8677415958262295E-3</v>
      </c>
      <c r="V135" t="s">
        <v>168</v>
      </c>
      <c r="AK135">
        <v>2039</v>
      </c>
      <c r="AL135" t="s">
        <v>253</v>
      </c>
      <c r="AM135">
        <v>0.2089</v>
      </c>
      <c r="AN135" t="s">
        <v>247</v>
      </c>
    </row>
    <row r="136" spans="9:40" x14ac:dyDescent="0.45">
      <c r="I136" t="s">
        <v>178</v>
      </c>
      <c r="J136" t="s">
        <v>288</v>
      </c>
      <c r="K136">
        <v>0</v>
      </c>
      <c r="L136" t="s">
        <v>168</v>
      </c>
      <c r="N136" t="s">
        <v>202</v>
      </c>
      <c r="O136" t="s">
        <v>288</v>
      </c>
      <c r="P136">
        <v>2.3989587947053935E-2</v>
      </c>
      <c r="Q136" t="s">
        <v>168</v>
      </c>
      <c r="S136" t="s">
        <v>221</v>
      </c>
      <c r="T136" t="s">
        <v>288</v>
      </c>
      <c r="U136">
        <v>1.8481452546902862E-2</v>
      </c>
      <c r="V136" t="s">
        <v>168</v>
      </c>
      <c r="AK136">
        <v>2039</v>
      </c>
      <c r="AL136" t="s">
        <v>255</v>
      </c>
      <c r="AM136">
        <v>0.19120000000000001</v>
      </c>
      <c r="AN136" t="s">
        <v>247</v>
      </c>
    </row>
    <row r="137" spans="9:40" x14ac:dyDescent="0.45">
      <c r="I137" t="s">
        <v>179</v>
      </c>
      <c r="J137" t="s">
        <v>167</v>
      </c>
      <c r="K137">
        <v>3.9093585086758496E-4</v>
      </c>
      <c r="L137" t="s">
        <v>168</v>
      </c>
      <c r="N137" t="s">
        <v>203</v>
      </c>
      <c r="O137" t="s">
        <v>167</v>
      </c>
      <c r="P137">
        <v>6.4789300129669547E-2</v>
      </c>
      <c r="Q137" t="s">
        <v>168</v>
      </c>
      <c r="S137" t="s">
        <v>222</v>
      </c>
      <c r="T137" t="s">
        <v>167</v>
      </c>
      <c r="U137">
        <v>7.9851046767151573E-2</v>
      </c>
      <c r="V137" t="s">
        <v>168</v>
      </c>
      <c r="AK137">
        <v>2040</v>
      </c>
      <c r="AL137" t="s">
        <v>157</v>
      </c>
      <c r="AM137">
        <v>0.16744999999999999</v>
      </c>
      <c r="AN137" t="s">
        <v>247</v>
      </c>
    </row>
    <row r="138" spans="9:40" x14ac:dyDescent="0.45">
      <c r="I138" t="s">
        <v>179</v>
      </c>
      <c r="J138" t="s">
        <v>169</v>
      </c>
      <c r="K138">
        <v>7.9019404930254621E-3</v>
      </c>
      <c r="L138" t="s">
        <v>168</v>
      </c>
      <c r="N138" t="s">
        <v>203</v>
      </c>
      <c r="O138" t="s">
        <v>169</v>
      </c>
      <c r="P138">
        <v>8.086110532589029E-3</v>
      </c>
      <c r="Q138" t="s">
        <v>168</v>
      </c>
      <c r="S138" t="s">
        <v>222</v>
      </c>
      <c r="T138" t="s">
        <v>169</v>
      </c>
      <c r="U138">
        <v>9.5359743346776077E-3</v>
      </c>
      <c r="V138" t="s">
        <v>168</v>
      </c>
      <c r="AK138">
        <v>2040</v>
      </c>
      <c r="AL138" t="s">
        <v>161</v>
      </c>
      <c r="AM138">
        <v>0.2525</v>
      </c>
      <c r="AN138" t="s">
        <v>247</v>
      </c>
    </row>
    <row r="139" spans="9:40" x14ac:dyDescent="0.45">
      <c r="I139" t="s">
        <v>179</v>
      </c>
      <c r="J139" t="s">
        <v>170</v>
      </c>
      <c r="K139">
        <v>1.2810281863055367E-2</v>
      </c>
      <c r="L139" t="s">
        <v>168</v>
      </c>
      <c r="N139" t="s">
        <v>203</v>
      </c>
      <c r="O139" t="s">
        <v>170</v>
      </c>
      <c r="P139">
        <v>7.7062181364165464E-3</v>
      </c>
      <c r="Q139" t="s">
        <v>168</v>
      </c>
      <c r="S139" t="s">
        <v>222</v>
      </c>
      <c r="T139" t="s">
        <v>170</v>
      </c>
      <c r="U139">
        <v>9.2123488888552658E-3</v>
      </c>
      <c r="V139" t="s">
        <v>168</v>
      </c>
      <c r="AK139">
        <v>2040</v>
      </c>
      <c r="AL139" t="s">
        <v>163</v>
      </c>
      <c r="AM139">
        <v>0.31090000000000001</v>
      </c>
      <c r="AN139" t="s">
        <v>247</v>
      </c>
    </row>
    <row r="140" spans="9:40" x14ac:dyDescent="0.45">
      <c r="I140" t="s">
        <v>179</v>
      </c>
      <c r="J140" t="s">
        <v>256</v>
      </c>
      <c r="K140">
        <v>9.0513842982284862E-2</v>
      </c>
      <c r="L140" t="s">
        <v>168</v>
      </c>
      <c r="N140" t="s">
        <v>203</v>
      </c>
      <c r="O140" t="s">
        <v>256</v>
      </c>
      <c r="P140">
        <v>4.7685427506197434E-2</v>
      </c>
      <c r="Q140" t="s">
        <v>168</v>
      </c>
      <c r="S140" t="s">
        <v>222</v>
      </c>
      <c r="T140" t="s">
        <v>256</v>
      </c>
      <c r="U140">
        <v>6.1673563080474579E-2</v>
      </c>
      <c r="V140" t="s">
        <v>168</v>
      </c>
      <c r="AK140">
        <v>2040</v>
      </c>
      <c r="AL140" t="s">
        <v>249</v>
      </c>
      <c r="AM140">
        <v>0.26450000000000001</v>
      </c>
      <c r="AN140" t="s">
        <v>247</v>
      </c>
    </row>
    <row r="141" spans="9:40" x14ac:dyDescent="0.45">
      <c r="I141" t="s">
        <v>179</v>
      </c>
      <c r="J141" t="s">
        <v>257</v>
      </c>
      <c r="K141">
        <v>9.6283789528359906E-3</v>
      </c>
      <c r="L141" t="s">
        <v>168</v>
      </c>
      <c r="N141" t="s">
        <v>203</v>
      </c>
      <c r="O141" t="s">
        <v>257</v>
      </c>
      <c r="P141">
        <v>8.7936370823239463E-3</v>
      </c>
      <c r="Q141" t="s">
        <v>168</v>
      </c>
      <c r="S141" t="s">
        <v>222</v>
      </c>
      <c r="T141" t="s">
        <v>257</v>
      </c>
      <c r="U141">
        <v>1.1349838774513071E-2</v>
      </c>
      <c r="V141" t="s">
        <v>168</v>
      </c>
      <c r="AK141">
        <v>2040</v>
      </c>
      <c r="AL141" t="s">
        <v>251</v>
      </c>
      <c r="AM141">
        <v>0.2356</v>
      </c>
      <c r="AN141" t="s">
        <v>247</v>
      </c>
    </row>
    <row r="142" spans="9:40" x14ac:dyDescent="0.45">
      <c r="I142" t="s">
        <v>179</v>
      </c>
      <c r="J142" t="s">
        <v>258</v>
      </c>
      <c r="K142">
        <v>3.2474065180134264E-3</v>
      </c>
      <c r="L142" t="s">
        <v>168</v>
      </c>
      <c r="N142" t="s">
        <v>203</v>
      </c>
      <c r="O142" t="s">
        <v>258</v>
      </c>
      <c r="P142">
        <v>6.1379895478240895E-2</v>
      </c>
      <c r="Q142" t="s">
        <v>168</v>
      </c>
      <c r="S142" t="s">
        <v>222</v>
      </c>
      <c r="T142" t="s">
        <v>258</v>
      </c>
      <c r="U142">
        <v>7.848172251665847E-2</v>
      </c>
      <c r="V142" t="s">
        <v>168</v>
      </c>
      <c r="AK142">
        <v>2040</v>
      </c>
      <c r="AL142" t="s">
        <v>253</v>
      </c>
      <c r="AM142">
        <v>0.20100000000000001</v>
      </c>
      <c r="AN142" t="s">
        <v>247</v>
      </c>
    </row>
    <row r="143" spans="9:40" x14ac:dyDescent="0.45">
      <c r="I143" t="s">
        <v>179</v>
      </c>
      <c r="J143" t="s">
        <v>171</v>
      </c>
      <c r="K143">
        <v>3.8928046231635913E-2</v>
      </c>
      <c r="L143" t="s">
        <v>168</v>
      </c>
      <c r="N143" t="s">
        <v>203</v>
      </c>
      <c r="O143" t="s">
        <v>171</v>
      </c>
      <c r="P143">
        <v>9.9880897721230627E-2</v>
      </c>
      <c r="Q143" t="s">
        <v>168</v>
      </c>
      <c r="S143" t="s">
        <v>222</v>
      </c>
      <c r="T143" t="s">
        <v>171</v>
      </c>
      <c r="U143">
        <v>0.12026858998087268</v>
      </c>
      <c r="V143" t="s">
        <v>168</v>
      </c>
      <c r="AK143">
        <v>2040</v>
      </c>
      <c r="AL143" t="s">
        <v>255</v>
      </c>
      <c r="AM143">
        <v>0.19409999999999999</v>
      </c>
      <c r="AN143" t="s">
        <v>247</v>
      </c>
    </row>
    <row r="144" spans="9:40" x14ac:dyDescent="0.45">
      <c r="I144" t="s">
        <v>179</v>
      </c>
      <c r="J144" t="s">
        <v>172</v>
      </c>
      <c r="K144">
        <v>3.0449310841344064E-2</v>
      </c>
      <c r="L144" t="s">
        <v>168</v>
      </c>
      <c r="N144" t="s">
        <v>203</v>
      </c>
      <c r="O144" t="s">
        <v>172</v>
      </c>
      <c r="P144">
        <v>1.2414298232866269E-2</v>
      </c>
      <c r="Q144" t="s">
        <v>168</v>
      </c>
      <c r="S144" t="s">
        <v>222</v>
      </c>
      <c r="T144" t="s">
        <v>172</v>
      </c>
      <c r="U144">
        <v>1.3776517077121023E-2</v>
      </c>
      <c r="V144" t="s">
        <v>168</v>
      </c>
      <c r="AK144">
        <v>2041</v>
      </c>
      <c r="AL144" t="s">
        <v>157</v>
      </c>
      <c r="AM144">
        <v>0.17595</v>
      </c>
      <c r="AN144" t="s">
        <v>247</v>
      </c>
    </row>
    <row r="145" spans="9:40" x14ac:dyDescent="0.45">
      <c r="I145" t="s">
        <v>179</v>
      </c>
      <c r="J145" t="s">
        <v>173</v>
      </c>
      <c r="K145">
        <v>3.5922947400208037E-2</v>
      </c>
      <c r="L145" t="s">
        <v>168</v>
      </c>
      <c r="N145" t="s">
        <v>203</v>
      </c>
      <c r="O145" t="s">
        <v>173</v>
      </c>
      <c r="P145">
        <v>1.2699004642538727E-2</v>
      </c>
      <c r="Q145" t="s">
        <v>168</v>
      </c>
      <c r="S145" t="s">
        <v>222</v>
      </c>
      <c r="T145" t="s">
        <v>173</v>
      </c>
      <c r="U145">
        <v>1.3687924958364772E-2</v>
      </c>
      <c r="V145" t="s">
        <v>168</v>
      </c>
      <c r="AK145">
        <v>2041</v>
      </c>
      <c r="AL145" t="s">
        <v>161</v>
      </c>
      <c r="AM145">
        <v>0.244975</v>
      </c>
      <c r="AN145" t="s">
        <v>247</v>
      </c>
    </row>
    <row r="146" spans="9:40" x14ac:dyDescent="0.45">
      <c r="I146" t="s">
        <v>179</v>
      </c>
      <c r="J146" t="s">
        <v>259</v>
      </c>
      <c r="K146">
        <v>0.22482491431256482</v>
      </c>
      <c r="L146" t="s">
        <v>168</v>
      </c>
      <c r="N146" t="s">
        <v>203</v>
      </c>
      <c r="O146" t="s">
        <v>259</v>
      </c>
      <c r="P146">
        <v>8.5618854894911001E-2</v>
      </c>
      <c r="Q146" t="s">
        <v>168</v>
      </c>
      <c r="S146" t="s">
        <v>222</v>
      </c>
      <c r="T146" t="s">
        <v>259</v>
      </c>
      <c r="U146">
        <v>8.4917505954208855E-2</v>
      </c>
      <c r="V146" t="s">
        <v>168</v>
      </c>
      <c r="AK146">
        <v>2041</v>
      </c>
      <c r="AL146" t="s">
        <v>163</v>
      </c>
      <c r="AM146">
        <v>0.31219999999999998</v>
      </c>
      <c r="AN146" t="s">
        <v>247</v>
      </c>
    </row>
    <row r="147" spans="9:40" x14ac:dyDescent="0.45">
      <c r="I147" t="s">
        <v>179</v>
      </c>
      <c r="J147" t="s">
        <v>260</v>
      </c>
      <c r="K147">
        <v>2.92251200960977E-2</v>
      </c>
      <c r="L147" t="s">
        <v>168</v>
      </c>
      <c r="N147" t="s">
        <v>203</v>
      </c>
      <c r="O147" t="s">
        <v>260</v>
      </c>
      <c r="P147">
        <v>1.4049856982205509E-2</v>
      </c>
      <c r="Q147" t="s">
        <v>168</v>
      </c>
      <c r="S147" t="s">
        <v>222</v>
      </c>
      <c r="T147" t="s">
        <v>260</v>
      </c>
      <c r="U147">
        <v>1.4993084593059168E-2</v>
      </c>
      <c r="V147" t="s">
        <v>168</v>
      </c>
      <c r="AK147">
        <v>2041</v>
      </c>
      <c r="AL147" t="s">
        <v>249</v>
      </c>
      <c r="AM147">
        <v>0.25140000000000001</v>
      </c>
      <c r="AN147" t="s">
        <v>247</v>
      </c>
    </row>
    <row r="148" spans="9:40" x14ac:dyDescent="0.45">
      <c r="I148" t="s">
        <v>179</v>
      </c>
      <c r="J148" t="s">
        <v>261</v>
      </c>
      <c r="K148">
        <v>3.9212031880860927E-2</v>
      </c>
      <c r="L148" t="s">
        <v>168</v>
      </c>
      <c r="N148" t="s">
        <v>203</v>
      </c>
      <c r="O148" t="s">
        <v>261</v>
      </c>
      <c r="P148">
        <v>8.6903040135405521E-2</v>
      </c>
      <c r="Q148" t="s">
        <v>168</v>
      </c>
      <c r="S148" t="s">
        <v>222</v>
      </c>
      <c r="T148" t="s">
        <v>261</v>
      </c>
      <c r="U148">
        <v>0.11101203698762799</v>
      </c>
      <c r="V148" t="s">
        <v>168</v>
      </c>
      <c r="AK148">
        <v>2041</v>
      </c>
      <c r="AL148" t="s">
        <v>251</v>
      </c>
      <c r="AM148">
        <v>0.2162</v>
      </c>
      <c r="AN148" t="s">
        <v>247</v>
      </c>
    </row>
    <row r="149" spans="9:40" x14ac:dyDescent="0.45">
      <c r="I149" t="s">
        <v>179</v>
      </c>
      <c r="J149" t="s">
        <v>174</v>
      </c>
      <c r="K149">
        <v>1.4666686738088523E-2</v>
      </c>
      <c r="L149" t="s">
        <v>168</v>
      </c>
      <c r="N149" t="s">
        <v>203</v>
      </c>
      <c r="O149" t="s">
        <v>174</v>
      </c>
      <c r="P149">
        <v>8.5242066873642119E-3</v>
      </c>
      <c r="Q149" t="s">
        <v>168</v>
      </c>
      <c r="S149" t="s">
        <v>222</v>
      </c>
      <c r="T149" t="s">
        <v>174</v>
      </c>
      <c r="U149">
        <v>2.0253835406248255E-2</v>
      </c>
      <c r="V149" t="s">
        <v>168</v>
      </c>
      <c r="AK149">
        <v>2041</v>
      </c>
      <c r="AL149" t="s">
        <v>253</v>
      </c>
      <c r="AM149">
        <v>0.19774999999999998</v>
      </c>
      <c r="AN149" t="s">
        <v>247</v>
      </c>
    </row>
    <row r="150" spans="9:40" x14ac:dyDescent="0.45">
      <c r="I150" t="s">
        <v>179</v>
      </c>
      <c r="J150" t="s">
        <v>175</v>
      </c>
      <c r="K150">
        <v>9.2728572887842628E-3</v>
      </c>
      <c r="L150" t="s">
        <v>168</v>
      </c>
      <c r="N150" t="s">
        <v>203</v>
      </c>
      <c r="O150" t="s">
        <v>175</v>
      </c>
      <c r="P150">
        <v>1.4914503636986637E-3</v>
      </c>
      <c r="Q150" t="s">
        <v>168</v>
      </c>
      <c r="S150" t="s">
        <v>222</v>
      </c>
      <c r="T150" t="s">
        <v>175</v>
      </c>
      <c r="U150">
        <v>1.9780235521837377E-3</v>
      </c>
      <c r="V150" t="s">
        <v>168</v>
      </c>
      <c r="AK150">
        <v>2041</v>
      </c>
      <c r="AL150" t="s">
        <v>255</v>
      </c>
      <c r="AM150">
        <v>0.19900000000000001</v>
      </c>
      <c r="AN150" t="s">
        <v>247</v>
      </c>
    </row>
    <row r="151" spans="9:40" x14ac:dyDescent="0.45">
      <c r="I151" t="s">
        <v>179</v>
      </c>
      <c r="J151" t="s">
        <v>176</v>
      </c>
      <c r="K151">
        <v>1.0599907675467223E-2</v>
      </c>
      <c r="L151" t="s">
        <v>168</v>
      </c>
      <c r="N151" t="s">
        <v>203</v>
      </c>
      <c r="O151" t="s">
        <v>176</v>
      </c>
      <c r="P151">
        <v>1.6342770214365998E-3</v>
      </c>
      <c r="Q151" t="s">
        <v>168</v>
      </c>
      <c r="S151" t="s">
        <v>222</v>
      </c>
      <c r="T151" t="s">
        <v>176</v>
      </c>
      <c r="U151">
        <v>1.8339976707840986E-3</v>
      </c>
      <c r="V151" t="s">
        <v>168</v>
      </c>
      <c r="AK151">
        <v>2042</v>
      </c>
      <c r="AL151" t="s">
        <v>157</v>
      </c>
      <c r="AM151">
        <v>0.17399999999999999</v>
      </c>
      <c r="AN151" t="s">
        <v>247</v>
      </c>
    </row>
    <row r="152" spans="9:40" x14ac:dyDescent="0.45">
      <c r="I152" t="s">
        <v>179</v>
      </c>
      <c r="J152" t="s">
        <v>262</v>
      </c>
      <c r="K152">
        <v>6.3885642153709968E-2</v>
      </c>
      <c r="L152" t="s">
        <v>168</v>
      </c>
      <c r="N152" t="s">
        <v>203</v>
      </c>
      <c r="O152" t="s">
        <v>262</v>
      </c>
      <c r="P152">
        <v>9.9679943893481657E-3</v>
      </c>
      <c r="Q152" t="s">
        <v>168</v>
      </c>
      <c r="S152" t="s">
        <v>222</v>
      </c>
      <c r="T152" t="s">
        <v>262</v>
      </c>
      <c r="U152">
        <v>1.0175766366436138E-2</v>
      </c>
      <c r="V152" t="s">
        <v>168</v>
      </c>
      <c r="AK152">
        <v>2042</v>
      </c>
      <c r="AL152" t="s">
        <v>161</v>
      </c>
      <c r="AM152">
        <v>0.26854999999999996</v>
      </c>
      <c r="AN152" t="s">
        <v>247</v>
      </c>
    </row>
    <row r="153" spans="9:40" x14ac:dyDescent="0.45">
      <c r="I153" t="s">
        <v>179</v>
      </c>
      <c r="J153" t="s">
        <v>263</v>
      </c>
      <c r="K153">
        <v>8.023898771776207E-3</v>
      </c>
      <c r="L153" t="s">
        <v>168</v>
      </c>
      <c r="N153" t="s">
        <v>203</v>
      </c>
      <c r="O153" t="s">
        <v>263</v>
      </c>
      <c r="P153">
        <v>9.3423150216366112E-4</v>
      </c>
      <c r="Q153" t="s">
        <v>168</v>
      </c>
      <c r="S153" t="s">
        <v>222</v>
      </c>
      <c r="T153" t="s">
        <v>263</v>
      </c>
      <c r="U153">
        <v>1.3025107619636155E-3</v>
      </c>
      <c r="V153" t="s">
        <v>168</v>
      </c>
      <c r="AK153">
        <v>2042</v>
      </c>
      <c r="AL153" t="s">
        <v>163</v>
      </c>
      <c r="AM153">
        <v>0.33389999999999997</v>
      </c>
      <c r="AN153" t="s">
        <v>247</v>
      </c>
    </row>
    <row r="154" spans="9:40" x14ac:dyDescent="0.45">
      <c r="I154" t="s">
        <v>179</v>
      </c>
      <c r="J154" t="s">
        <v>264</v>
      </c>
      <c r="K154">
        <v>1.3614513478720823E-2</v>
      </c>
      <c r="L154" t="s">
        <v>168</v>
      </c>
      <c r="N154" t="s">
        <v>203</v>
      </c>
      <c r="O154" t="s">
        <v>264</v>
      </c>
      <c r="P154">
        <v>5.3795541554389134E-3</v>
      </c>
      <c r="Q154" t="s">
        <v>168</v>
      </c>
      <c r="S154" t="s">
        <v>222</v>
      </c>
      <c r="T154" t="s">
        <v>264</v>
      </c>
      <c r="U154">
        <v>1.3436111664827794E-2</v>
      </c>
      <c r="V154" t="s">
        <v>168</v>
      </c>
      <c r="AK154">
        <v>2042</v>
      </c>
      <c r="AL154" t="s">
        <v>249</v>
      </c>
      <c r="AM154">
        <v>0.27289999999999998</v>
      </c>
      <c r="AN154" t="s">
        <v>247</v>
      </c>
    </row>
    <row r="155" spans="9:40" x14ac:dyDescent="0.45">
      <c r="I155" t="s">
        <v>179</v>
      </c>
      <c r="J155" t="s">
        <v>265</v>
      </c>
      <c r="K155">
        <v>1.2229513101027078E-2</v>
      </c>
      <c r="L155" t="s">
        <v>168</v>
      </c>
      <c r="N155" t="s">
        <v>203</v>
      </c>
      <c r="O155" t="s">
        <v>265</v>
      </c>
      <c r="P155">
        <v>1.5424985156263957E-2</v>
      </c>
      <c r="Q155" t="s">
        <v>168</v>
      </c>
      <c r="S155" t="s">
        <v>222</v>
      </c>
      <c r="T155" t="s">
        <v>265</v>
      </c>
      <c r="U155">
        <v>2.3017063988995674E-2</v>
      </c>
      <c r="V155" t="s">
        <v>168</v>
      </c>
      <c r="AK155">
        <v>2042</v>
      </c>
      <c r="AL155" t="s">
        <v>251</v>
      </c>
      <c r="AM155">
        <v>0.2157</v>
      </c>
      <c r="AN155" t="s">
        <v>247</v>
      </c>
    </row>
    <row r="156" spans="9:40" x14ac:dyDescent="0.45">
      <c r="I156" t="s">
        <v>179</v>
      </c>
      <c r="J156" t="s">
        <v>266</v>
      </c>
      <c r="K156">
        <v>9.3420976054135029E-3</v>
      </c>
      <c r="L156" t="s">
        <v>168</v>
      </c>
      <c r="N156" t="s">
        <v>203</v>
      </c>
      <c r="O156" t="s">
        <v>266</v>
      </c>
      <c r="P156">
        <v>1.706527676404256E-3</v>
      </c>
      <c r="Q156" t="s">
        <v>168</v>
      </c>
      <c r="S156" t="s">
        <v>222</v>
      </c>
      <c r="T156" t="s">
        <v>266</v>
      </c>
      <c r="U156">
        <v>2.7584720410785261E-3</v>
      </c>
      <c r="V156" t="s">
        <v>168</v>
      </c>
      <c r="AK156">
        <v>2042</v>
      </c>
      <c r="AL156" t="s">
        <v>253</v>
      </c>
      <c r="AM156">
        <v>0.20405000000000001</v>
      </c>
      <c r="AN156" t="s">
        <v>247</v>
      </c>
    </row>
    <row r="157" spans="9:40" x14ac:dyDescent="0.45">
      <c r="I157" t="s">
        <v>179</v>
      </c>
      <c r="J157" t="s">
        <v>267</v>
      </c>
      <c r="K157">
        <v>1.0501120124949708E-2</v>
      </c>
      <c r="L157" t="s">
        <v>168</v>
      </c>
      <c r="N157" t="s">
        <v>203</v>
      </c>
      <c r="O157" t="s">
        <v>267</v>
      </c>
      <c r="P157">
        <v>1.8838929903040548E-3</v>
      </c>
      <c r="Q157" t="s">
        <v>168</v>
      </c>
      <c r="S157" t="s">
        <v>222</v>
      </c>
      <c r="T157" t="s">
        <v>267</v>
      </c>
      <c r="U157">
        <v>2.6755775929467405E-3</v>
      </c>
      <c r="V157" t="s">
        <v>168</v>
      </c>
      <c r="AK157">
        <v>2042</v>
      </c>
      <c r="AL157" t="s">
        <v>255</v>
      </c>
      <c r="AM157">
        <v>0.18310000000000001</v>
      </c>
      <c r="AN157" t="s">
        <v>247</v>
      </c>
    </row>
    <row r="158" spans="9:40" x14ac:dyDescent="0.45">
      <c r="I158" t="s">
        <v>179</v>
      </c>
      <c r="J158" t="s">
        <v>268</v>
      </c>
      <c r="K158">
        <v>6.3523046362632701E-2</v>
      </c>
      <c r="L158" t="s">
        <v>168</v>
      </c>
      <c r="N158" t="s">
        <v>203</v>
      </c>
      <c r="O158" t="s">
        <v>268</v>
      </c>
      <c r="P158">
        <v>9.5840275564907842E-3</v>
      </c>
      <c r="Q158" t="s">
        <v>168</v>
      </c>
      <c r="S158" t="s">
        <v>222</v>
      </c>
      <c r="T158" t="s">
        <v>268</v>
      </c>
      <c r="U158">
        <v>1.5192221676010481E-2</v>
      </c>
      <c r="V158" t="s">
        <v>168</v>
      </c>
      <c r="AK158">
        <v>2043</v>
      </c>
      <c r="AL158" t="s">
        <v>157</v>
      </c>
      <c r="AM158">
        <v>0.16804999999999998</v>
      </c>
      <c r="AN158" t="s">
        <v>247</v>
      </c>
    </row>
    <row r="159" spans="9:40" x14ac:dyDescent="0.45">
      <c r="I159" t="s">
        <v>179</v>
      </c>
      <c r="J159" t="s">
        <v>269</v>
      </c>
      <c r="K159">
        <v>8.6360420856916725E-3</v>
      </c>
      <c r="L159" t="s">
        <v>168</v>
      </c>
      <c r="N159" t="s">
        <v>203</v>
      </c>
      <c r="O159" t="s">
        <v>269</v>
      </c>
      <c r="P159">
        <v>1.0325067600108009E-3</v>
      </c>
      <c r="Q159" t="s">
        <v>168</v>
      </c>
      <c r="S159" t="s">
        <v>222</v>
      </c>
      <c r="T159" t="s">
        <v>269</v>
      </c>
      <c r="U159">
        <v>1.9884739543869767E-3</v>
      </c>
      <c r="V159" t="s">
        <v>168</v>
      </c>
      <c r="AK159">
        <v>2043</v>
      </c>
      <c r="AL159" t="s">
        <v>161</v>
      </c>
      <c r="AM159">
        <v>0.25595000000000001</v>
      </c>
      <c r="AN159" t="s">
        <v>247</v>
      </c>
    </row>
    <row r="160" spans="9:40" x14ac:dyDescent="0.45">
      <c r="I160" t="s">
        <v>179</v>
      </c>
      <c r="J160" t="s">
        <v>270</v>
      </c>
      <c r="K160">
        <v>1.2345785148309698E-2</v>
      </c>
      <c r="L160" t="s">
        <v>168</v>
      </c>
      <c r="N160" t="s">
        <v>203</v>
      </c>
      <c r="O160" t="s">
        <v>270</v>
      </c>
      <c r="P160">
        <v>6.66282493598855E-3</v>
      </c>
      <c r="Q160" t="s">
        <v>168</v>
      </c>
      <c r="S160" t="s">
        <v>222</v>
      </c>
      <c r="T160" t="s">
        <v>270</v>
      </c>
      <c r="U160">
        <v>1.446253225367959E-2</v>
      </c>
      <c r="V160" t="s">
        <v>168</v>
      </c>
      <c r="AK160">
        <v>2043</v>
      </c>
      <c r="AL160" t="s">
        <v>163</v>
      </c>
      <c r="AM160">
        <v>0.31900000000000001</v>
      </c>
      <c r="AN160" t="s">
        <v>247</v>
      </c>
    </row>
    <row r="161" spans="9:40" x14ac:dyDescent="0.45">
      <c r="I161" t="s">
        <v>179</v>
      </c>
      <c r="J161" t="s">
        <v>271</v>
      </c>
      <c r="K161">
        <v>8.2498536844391613E-3</v>
      </c>
      <c r="L161" t="s">
        <v>168</v>
      </c>
      <c r="N161" t="s">
        <v>203</v>
      </c>
      <c r="O161" t="s">
        <v>271</v>
      </c>
      <c r="P161">
        <v>8.9620762282189743E-3</v>
      </c>
      <c r="Q161" t="s">
        <v>168</v>
      </c>
      <c r="S161" t="s">
        <v>222</v>
      </c>
      <c r="T161" t="s">
        <v>271</v>
      </c>
      <c r="U161">
        <v>1.731026532584529E-2</v>
      </c>
      <c r="V161" t="s">
        <v>168</v>
      </c>
      <c r="AK161">
        <v>2043</v>
      </c>
      <c r="AL161" t="s">
        <v>249</v>
      </c>
      <c r="AM161">
        <v>0.24440000000000001</v>
      </c>
      <c r="AN161" t="s">
        <v>247</v>
      </c>
    </row>
    <row r="162" spans="9:40" x14ac:dyDescent="0.45">
      <c r="I162" t="s">
        <v>179</v>
      </c>
      <c r="J162" t="s">
        <v>272</v>
      </c>
      <c r="K162">
        <v>7.6142662798047156E-3</v>
      </c>
      <c r="L162" t="s">
        <v>168</v>
      </c>
      <c r="N162" t="s">
        <v>203</v>
      </c>
      <c r="O162" t="s">
        <v>272</v>
      </c>
      <c r="P162">
        <v>1.2337774318473913E-3</v>
      </c>
      <c r="Q162" t="s">
        <v>168</v>
      </c>
      <c r="S162" t="s">
        <v>222</v>
      </c>
      <c r="T162" t="s">
        <v>272</v>
      </c>
      <c r="U162">
        <v>2.0773587362740539E-3</v>
      </c>
      <c r="V162" t="s">
        <v>168</v>
      </c>
      <c r="AK162">
        <v>2043</v>
      </c>
      <c r="AL162" t="s">
        <v>251</v>
      </c>
      <c r="AM162">
        <v>0.2034</v>
      </c>
      <c r="AN162" t="s">
        <v>247</v>
      </c>
    </row>
    <row r="163" spans="9:40" x14ac:dyDescent="0.45">
      <c r="I163" t="s">
        <v>179</v>
      </c>
      <c r="J163" t="s">
        <v>273</v>
      </c>
      <c r="K163">
        <v>8.978017022682137E-3</v>
      </c>
      <c r="L163" t="s">
        <v>168</v>
      </c>
      <c r="N163" t="s">
        <v>203</v>
      </c>
      <c r="O163" t="s">
        <v>273</v>
      </c>
      <c r="P163">
        <v>1.4124786230414611E-3</v>
      </c>
      <c r="Q163" t="s">
        <v>168</v>
      </c>
      <c r="S163" t="s">
        <v>222</v>
      </c>
      <c r="T163" t="s">
        <v>273</v>
      </c>
      <c r="U163">
        <v>2.1329233573926906E-3</v>
      </c>
      <c r="V163" t="s">
        <v>168</v>
      </c>
      <c r="AK163">
        <v>2043</v>
      </c>
      <c r="AL163" t="s">
        <v>253</v>
      </c>
      <c r="AM163">
        <v>0.2084</v>
      </c>
      <c r="AN163" t="s">
        <v>247</v>
      </c>
    </row>
    <row r="164" spans="9:40" x14ac:dyDescent="0.45">
      <c r="I164" t="s">
        <v>179</v>
      </c>
      <c r="J164" t="s">
        <v>274</v>
      </c>
      <c r="K164">
        <v>5.4033517153479066E-2</v>
      </c>
      <c r="L164" t="s">
        <v>168</v>
      </c>
      <c r="N164" t="s">
        <v>203</v>
      </c>
      <c r="O164" t="s">
        <v>274</v>
      </c>
      <c r="P164">
        <v>9.398113163046444E-3</v>
      </c>
      <c r="Q164" t="s">
        <v>168</v>
      </c>
      <c r="S164" t="s">
        <v>222</v>
      </c>
      <c r="T164" t="s">
        <v>274</v>
      </c>
      <c r="U164">
        <v>1.3467539060317012E-2</v>
      </c>
      <c r="V164" t="s">
        <v>168</v>
      </c>
      <c r="AK164">
        <v>2043</v>
      </c>
      <c r="AL164" t="s">
        <v>255</v>
      </c>
      <c r="AM164">
        <v>0.20749999999999999</v>
      </c>
      <c r="AN164" t="s">
        <v>247</v>
      </c>
    </row>
    <row r="165" spans="9:40" x14ac:dyDescent="0.45">
      <c r="I165" t="s">
        <v>179</v>
      </c>
      <c r="J165" t="s">
        <v>275</v>
      </c>
      <c r="K165">
        <v>7.1412332548917512E-3</v>
      </c>
      <c r="L165" t="s">
        <v>168</v>
      </c>
      <c r="N165" t="s">
        <v>203</v>
      </c>
      <c r="O165" t="s">
        <v>275</v>
      </c>
      <c r="P165">
        <v>1.7913805346546712E-3</v>
      </c>
      <c r="Q165" t="s">
        <v>168</v>
      </c>
      <c r="S165" t="s">
        <v>222</v>
      </c>
      <c r="T165" t="s">
        <v>275</v>
      </c>
      <c r="U165">
        <v>2.7315889006811582E-3</v>
      </c>
      <c r="V165" t="s">
        <v>168</v>
      </c>
      <c r="AK165">
        <v>2044</v>
      </c>
      <c r="AL165" t="s">
        <v>157</v>
      </c>
      <c r="AM165">
        <v>0.17475000000000002</v>
      </c>
      <c r="AN165" t="s">
        <v>247</v>
      </c>
    </row>
    <row r="166" spans="9:40" x14ac:dyDescent="0.45">
      <c r="I166" t="s">
        <v>179</v>
      </c>
      <c r="J166" t="s">
        <v>276</v>
      </c>
      <c r="K166">
        <v>6.6277118431299553E-3</v>
      </c>
      <c r="L166" t="s">
        <v>168</v>
      </c>
      <c r="N166" t="s">
        <v>203</v>
      </c>
      <c r="O166" t="s">
        <v>276</v>
      </c>
      <c r="P166">
        <v>9.0886930710538539E-3</v>
      </c>
      <c r="Q166" t="s">
        <v>168</v>
      </c>
      <c r="S166" t="s">
        <v>222</v>
      </c>
      <c r="T166" t="s">
        <v>276</v>
      </c>
      <c r="U166">
        <v>1.8319148257119146E-2</v>
      </c>
      <c r="V166" t="s">
        <v>168</v>
      </c>
      <c r="AK166">
        <v>2044</v>
      </c>
      <c r="AL166" t="s">
        <v>161</v>
      </c>
      <c r="AM166">
        <v>0.25814999999999999</v>
      </c>
      <c r="AN166" t="s">
        <v>247</v>
      </c>
    </row>
    <row r="167" spans="9:40" x14ac:dyDescent="0.45">
      <c r="I167" t="s">
        <v>179</v>
      </c>
      <c r="J167" t="s">
        <v>277</v>
      </c>
      <c r="K167">
        <v>2.6735875725225526E-3</v>
      </c>
      <c r="L167" t="s">
        <v>168</v>
      </c>
      <c r="N167" t="s">
        <v>203</v>
      </c>
      <c r="O167" t="s">
        <v>277</v>
      </c>
      <c r="P167">
        <v>9.013355059812149E-2</v>
      </c>
      <c r="Q167" t="s">
        <v>168</v>
      </c>
      <c r="S167" t="s">
        <v>222</v>
      </c>
      <c r="T167" t="s">
        <v>277</v>
      </c>
      <c r="U167">
        <v>4.7990530457935436E-2</v>
      </c>
      <c r="V167" t="s">
        <v>168</v>
      </c>
      <c r="AK167">
        <v>2044</v>
      </c>
      <c r="AL167" t="s">
        <v>163</v>
      </c>
      <c r="AM167">
        <v>0.33069999999999999</v>
      </c>
      <c r="AN167" t="s">
        <v>247</v>
      </c>
    </row>
    <row r="168" spans="9:40" x14ac:dyDescent="0.45">
      <c r="I168" t="s">
        <v>179</v>
      </c>
      <c r="J168" t="s">
        <v>278</v>
      </c>
      <c r="K168">
        <v>7.286765967080569E-3</v>
      </c>
      <c r="L168" t="s">
        <v>168</v>
      </c>
      <c r="N168" t="s">
        <v>203</v>
      </c>
      <c r="O168" t="s">
        <v>278</v>
      </c>
      <c r="P168">
        <v>1.100575797071902E-2</v>
      </c>
      <c r="Q168" t="s">
        <v>168</v>
      </c>
      <c r="S168" t="s">
        <v>222</v>
      </c>
      <c r="T168" t="s">
        <v>278</v>
      </c>
      <c r="U168">
        <v>5.6772864260246697E-3</v>
      </c>
      <c r="V168" t="s">
        <v>168</v>
      </c>
      <c r="AK168">
        <v>2044</v>
      </c>
      <c r="AL168" t="s">
        <v>249</v>
      </c>
      <c r="AM168">
        <v>0.26629999999999998</v>
      </c>
      <c r="AN168" t="s">
        <v>247</v>
      </c>
    </row>
    <row r="169" spans="9:40" x14ac:dyDescent="0.45">
      <c r="I169" t="s">
        <v>179</v>
      </c>
      <c r="J169" t="s">
        <v>279</v>
      </c>
      <c r="K169">
        <v>1.0339421205399933E-2</v>
      </c>
      <c r="L169" t="s">
        <v>168</v>
      </c>
      <c r="N169" t="s">
        <v>203</v>
      </c>
      <c r="O169" t="s">
        <v>279</v>
      </c>
      <c r="P169">
        <v>1.0887645873425908E-2</v>
      </c>
      <c r="Q169" t="s">
        <v>168</v>
      </c>
      <c r="S169" t="s">
        <v>222</v>
      </c>
      <c r="T169" t="s">
        <v>279</v>
      </c>
      <c r="U169">
        <v>5.8008899619353812E-3</v>
      </c>
      <c r="V169" t="s">
        <v>168</v>
      </c>
      <c r="AK169">
        <v>2044</v>
      </c>
      <c r="AL169" t="s">
        <v>251</v>
      </c>
      <c r="AM169">
        <v>0.23860000000000001</v>
      </c>
      <c r="AN169" t="s">
        <v>247</v>
      </c>
    </row>
    <row r="170" spans="9:40" x14ac:dyDescent="0.45">
      <c r="I170" t="s">
        <v>179</v>
      </c>
      <c r="J170" t="s">
        <v>280</v>
      </c>
      <c r="K170">
        <v>6.4573396358339766E-2</v>
      </c>
      <c r="L170" t="s">
        <v>168</v>
      </c>
      <c r="N170" t="s">
        <v>203</v>
      </c>
      <c r="O170" t="s">
        <v>280</v>
      </c>
      <c r="P170">
        <v>6.750753555001282E-2</v>
      </c>
      <c r="Q170" t="s">
        <v>168</v>
      </c>
      <c r="S170" t="s">
        <v>222</v>
      </c>
      <c r="T170" t="s">
        <v>280</v>
      </c>
      <c r="U170">
        <v>3.6460645687782921E-2</v>
      </c>
      <c r="V170" t="s">
        <v>168</v>
      </c>
      <c r="AK170">
        <v>2044</v>
      </c>
      <c r="AL170" t="s">
        <v>253</v>
      </c>
      <c r="AM170">
        <v>0.20150000000000001</v>
      </c>
      <c r="AN170" t="s">
        <v>247</v>
      </c>
    </row>
    <row r="171" spans="9:40" x14ac:dyDescent="0.45">
      <c r="I171" t="s">
        <v>179</v>
      </c>
      <c r="J171" t="s">
        <v>281</v>
      </c>
      <c r="K171">
        <v>5.8285173774231449E-3</v>
      </c>
      <c r="L171" t="s">
        <v>168</v>
      </c>
      <c r="N171" t="s">
        <v>203</v>
      </c>
      <c r="O171" t="s">
        <v>281</v>
      </c>
      <c r="P171">
        <v>1.1471156200313491E-2</v>
      </c>
      <c r="Q171" t="s">
        <v>168</v>
      </c>
      <c r="S171" t="s">
        <v>222</v>
      </c>
      <c r="T171" t="s">
        <v>281</v>
      </c>
      <c r="U171">
        <v>5.9420961277845599E-3</v>
      </c>
      <c r="V171" t="s">
        <v>168</v>
      </c>
      <c r="AK171">
        <v>2044</v>
      </c>
      <c r="AL171" t="s">
        <v>255</v>
      </c>
      <c r="AM171">
        <v>0.21310000000000001</v>
      </c>
      <c r="AN171" t="s">
        <v>247</v>
      </c>
    </row>
    <row r="172" spans="9:40" x14ac:dyDescent="0.45">
      <c r="I172" t="s">
        <v>179</v>
      </c>
      <c r="J172" t="s">
        <v>282</v>
      </c>
      <c r="K172">
        <v>1.2740101565973914E-3</v>
      </c>
      <c r="L172" t="s">
        <v>168</v>
      </c>
      <c r="N172" t="s">
        <v>203</v>
      </c>
      <c r="O172" t="s">
        <v>282</v>
      </c>
      <c r="P172">
        <v>8.4013339849609001E-2</v>
      </c>
      <c r="Q172" t="s">
        <v>168</v>
      </c>
      <c r="S172" t="s">
        <v>222</v>
      </c>
      <c r="T172" t="s">
        <v>282</v>
      </c>
      <c r="U172">
        <v>4.2115870761628801E-2</v>
      </c>
      <c r="V172" t="s">
        <v>168</v>
      </c>
      <c r="AK172">
        <v>2045</v>
      </c>
      <c r="AL172" t="s">
        <v>157</v>
      </c>
      <c r="AM172">
        <v>0.16919999999999999</v>
      </c>
      <c r="AN172" t="s">
        <v>247</v>
      </c>
    </row>
    <row r="173" spans="9:40" x14ac:dyDescent="0.45">
      <c r="I173" t="s">
        <v>179</v>
      </c>
      <c r="J173" t="s">
        <v>283</v>
      </c>
      <c r="K173">
        <v>0</v>
      </c>
      <c r="L173" t="s">
        <v>168</v>
      </c>
      <c r="N173" t="s">
        <v>203</v>
      </c>
      <c r="O173" t="s">
        <v>283</v>
      </c>
      <c r="P173">
        <v>4.3231880943302034E-2</v>
      </c>
      <c r="Q173" t="s">
        <v>168</v>
      </c>
      <c r="S173" t="s">
        <v>222</v>
      </c>
      <c r="T173" t="s">
        <v>283</v>
      </c>
      <c r="U173">
        <v>2.8707990253791914E-2</v>
      </c>
      <c r="V173" t="s">
        <v>168</v>
      </c>
      <c r="AK173">
        <v>2045</v>
      </c>
      <c r="AL173" t="s">
        <v>161</v>
      </c>
      <c r="AM173">
        <v>0.27155000000000001</v>
      </c>
      <c r="AN173" t="s">
        <v>247</v>
      </c>
    </row>
    <row r="174" spans="9:40" x14ac:dyDescent="0.45">
      <c r="I174" t="s">
        <v>179</v>
      </c>
      <c r="J174" t="s">
        <v>284</v>
      </c>
      <c r="K174">
        <v>3.7337416903496616E-3</v>
      </c>
      <c r="L174" t="s">
        <v>168</v>
      </c>
      <c r="N174" t="s">
        <v>203</v>
      </c>
      <c r="O174" t="s">
        <v>284</v>
      </c>
      <c r="P174">
        <v>5.2486418931930743E-3</v>
      </c>
      <c r="Q174" t="s">
        <v>168</v>
      </c>
      <c r="S174" t="s">
        <v>222</v>
      </c>
      <c r="T174" t="s">
        <v>284</v>
      </c>
      <c r="U174">
        <v>3.6635466754762298E-3</v>
      </c>
      <c r="V174" t="s">
        <v>168</v>
      </c>
      <c r="AK174">
        <v>2045</v>
      </c>
      <c r="AL174" t="s">
        <v>163</v>
      </c>
      <c r="AM174">
        <v>0.2853</v>
      </c>
      <c r="AN174" t="s">
        <v>247</v>
      </c>
    </row>
    <row r="175" spans="9:40" x14ac:dyDescent="0.45">
      <c r="I175" t="s">
        <v>179</v>
      </c>
      <c r="J175" t="s">
        <v>285</v>
      </c>
      <c r="K175">
        <v>6.1005553252422035E-3</v>
      </c>
      <c r="L175" t="s">
        <v>168</v>
      </c>
      <c r="N175" t="s">
        <v>203</v>
      </c>
      <c r="O175" t="s">
        <v>285</v>
      </c>
      <c r="P175">
        <v>5.1006553031429994E-3</v>
      </c>
      <c r="Q175" t="s">
        <v>168</v>
      </c>
      <c r="S175" t="s">
        <v>222</v>
      </c>
      <c r="T175" t="s">
        <v>285</v>
      </c>
      <c r="U175">
        <v>3.5576618941746832E-3</v>
      </c>
      <c r="V175" t="s">
        <v>168</v>
      </c>
      <c r="AK175">
        <v>2045</v>
      </c>
      <c r="AL175" t="s">
        <v>249</v>
      </c>
      <c r="AM175">
        <v>0.2772</v>
      </c>
      <c r="AN175" t="s">
        <v>247</v>
      </c>
    </row>
    <row r="176" spans="9:40" x14ac:dyDescent="0.45">
      <c r="I176" t="s">
        <v>179</v>
      </c>
      <c r="J176" t="s">
        <v>286</v>
      </c>
      <c r="K176">
        <v>4.17935388937146E-2</v>
      </c>
      <c r="L176" t="s">
        <v>168</v>
      </c>
      <c r="N176" t="s">
        <v>203</v>
      </c>
      <c r="O176" t="s">
        <v>286</v>
      </c>
      <c r="P176">
        <v>2.7081981333798952E-2</v>
      </c>
      <c r="Q176" t="s">
        <v>168</v>
      </c>
      <c r="S176" t="s">
        <v>222</v>
      </c>
      <c r="T176" t="s">
        <v>286</v>
      </c>
      <c r="U176">
        <v>2.0894423051686404E-2</v>
      </c>
      <c r="V176" t="s">
        <v>168</v>
      </c>
      <c r="AK176">
        <v>2045</v>
      </c>
      <c r="AL176" t="s">
        <v>251</v>
      </c>
      <c r="AM176">
        <v>0.2268</v>
      </c>
      <c r="AN176" t="s">
        <v>247</v>
      </c>
    </row>
    <row r="177" spans="9:40" x14ac:dyDescent="0.45">
      <c r="I177" t="s">
        <v>179</v>
      </c>
      <c r="J177" t="s">
        <v>287</v>
      </c>
      <c r="K177">
        <v>4.0555982575373956E-3</v>
      </c>
      <c r="L177" t="s">
        <v>168</v>
      </c>
      <c r="N177" t="s">
        <v>203</v>
      </c>
      <c r="O177" t="s">
        <v>287</v>
      </c>
      <c r="P177">
        <v>4.8166584977405516E-3</v>
      </c>
      <c r="Q177" t="s">
        <v>168</v>
      </c>
      <c r="S177" t="s">
        <v>222</v>
      </c>
      <c r="T177" t="s">
        <v>287</v>
      </c>
      <c r="U177">
        <v>3.5024388609161778E-3</v>
      </c>
      <c r="V177" t="s">
        <v>168</v>
      </c>
      <c r="AK177">
        <v>2045</v>
      </c>
      <c r="AL177" t="s">
        <v>253</v>
      </c>
      <c r="AM177">
        <v>0.19545000000000001</v>
      </c>
      <c r="AN177" t="s">
        <v>247</v>
      </c>
    </row>
    <row r="178" spans="9:40" x14ac:dyDescent="0.45">
      <c r="I178" t="s">
        <v>179</v>
      </c>
      <c r="J178" t="s">
        <v>288</v>
      </c>
      <c r="K178">
        <v>0</v>
      </c>
      <c r="L178" t="s">
        <v>168</v>
      </c>
      <c r="N178" t="s">
        <v>203</v>
      </c>
      <c r="O178" t="s">
        <v>288</v>
      </c>
      <c r="P178">
        <v>3.3381656265247292E-2</v>
      </c>
      <c r="Q178" t="s">
        <v>168</v>
      </c>
      <c r="S178" t="s">
        <v>222</v>
      </c>
      <c r="T178" t="s">
        <v>288</v>
      </c>
      <c r="U178">
        <v>2.1813055360106859E-2</v>
      </c>
      <c r="V178" t="s">
        <v>168</v>
      </c>
      <c r="AK178">
        <v>2045</v>
      </c>
      <c r="AL178" t="s">
        <v>255</v>
      </c>
      <c r="AM178">
        <v>0.20250000000000001</v>
      </c>
      <c r="AN178" t="s">
        <v>247</v>
      </c>
    </row>
    <row r="179" spans="9:40" x14ac:dyDescent="0.45">
      <c r="I179" t="s">
        <v>180</v>
      </c>
      <c r="J179" t="s">
        <v>167</v>
      </c>
      <c r="K179">
        <v>1.1758744319980698E-3</v>
      </c>
      <c r="L179" t="s">
        <v>168</v>
      </c>
      <c r="N179" t="s">
        <v>204</v>
      </c>
      <c r="O179" t="s">
        <v>167</v>
      </c>
      <c r="P179">
        <v>5.9018748850600718E-2</v>
      </c>
      <c r="Q179" t="s">
        <v>168</v>
      </c>
      <c r="S179" t="s">
        <v>223</v>
      </c>
      <c r="T179" t="s">
        <v>167</v>
      </c>
      <c r="U179">
        <v>7.5697600774692689E-2</v>
      </c>
      <c r="V179" t="s">
        <v>168</v>
      </c>
      <c r="AK179">
        <v>2046</v>
      </c>
      <c r="AL179" t="s">
        <v>157</v>
      </c>
      <c r="AM179">
        <v>0.17865</v>
      </c>
      <c r="AN179" t="s">
        <v>247</v>
      </c>
    </row>
    <row r="180" spans="9:40" x14ac:dyDescent="0.45">
      <c r="I180" t="s">
        <v>180</v>
      </c>
      <c r="J180" t="s">
        <v>169</v>
      </c>
      <c r="K180">
        <v>7.0326667192196889E-3</v>
      </c>
      <c r="L180" t="s">
        <v>168</v>
      </c>
      <c r="N180" t="s">
        <v>204</v>
      </c>
      <c r="O180" t="s">
        <v>169</v>
      </c>
      <c r="P180">
        <v>7.5672290398960699E-3</v>
      </c>
      <c r="Q180" t="s">
        <v>168</v>
      </c>
      <c r="S180" t="s">
        <v>223</v>
      </c>
      <c r="T180" t="s">
        <v>169</v>
      </c>
      <c r="U180">
        <v>8.6639377644770303E-3</v>
      </c>
      <c r="V180" t="s">
        <v>168</v>
      </c>
      <c r="AK180">
        <v>2046</v>
      </c>
      <c r="AL180" t="s">
        <v>161</v>
      </c>
      <c r="AM180">
        <v>0.24722499999999997</v>
      </c>
      <c r="AN180" t="s">
        <v>247</v>
      </c>
    </row>
    <row r="181" spans="9:40" x14ac:dyDescent="0.45">
      <c r="I181" t="s">
        <v>180</v>
      </c>
      <c r="J181" t="s">
        <v>170</v>
      </c>
      <c r="K181">
        <v>1.2052219431581117E-2</v>
      </c>
      <c r="L181" t="s">
        <v>168</v>
      </c>
      <c r="N181" t="s">
        <v>204</v>
      </c>
      <c r="O181" t="s">
        <v>170</v>
      </c>
      <c r="P181">
        <v>7.0690089111515803E-3</v>
      </c>
      <c r="Q181" t="s">
        <v>168</v>
      </c>
      <c r="S181" t="s">
        <v>223</v>
      </c>
      <c r="T181" t="s">
        <v>170</v>
      </c>
      <c r="U181">
        <v>8.611780721851833E-3</v>
      </c>
      <c r="V181" t="s">
        <v>168</v>
      </c>
      <c r="AK181">
        <v>2046</v>
      </c>
      <c r="AL181" t="s">
        <v>163</v>
      </c>
      <c r="AM181">
        <v>0.28299999999999997</v>
      </c>
      <c r="AN181" t="s">
        <v>247</v>
      </c>
    </row>
    <row r="182" spans="9:40" x14ac:dyDescent="0.45">
      <c r="I182" t="s">
        <v>180</v>
      </c>
      <c r="J182" t="s">
        <v>256</v>
      </c>
      <c r="K182">
        <v>8.8311408459575302E-2</v>
      </c>
      <c r="L182" t="s">
        <v>168</v>
      </c>
      <c r="N182" t="s">
        <v>204</v>
      </c>
      <c r="O182" t="s">
        <v>256</v>
      </c>
      <c r="P182">
        <v>4.461051962514806E-2</v>
      </c>
      <c r="Q182" t="s">
        <v>168</v>
      </c>
      <c r="S182" t="s">
        <v>223</v>
      </c>
      <c r="T182" t="s">
        <v>256</v>
      </c>
      <c r="U182">
        <v>5.5334429136246498E-2</v>
      </c>
      <c r="V182" t="s">
        <v>168</v>
      </c>
      <c r="AK182">
        <v>2046</v>
      </c>
      <c r="AL182" t="s">
        <v>249</v>
      </c>
      <c r="AM182">
        <v>0.2404</v>
      </c>
      <c r="AN182" t="s">
        <v>247</v>
      </c>
    </row>
    <row r="183" spans="9:40" x14ac:dyDescent="0.45">
      <c r="I183" t="s">
        <v>180</v>
      </c>
      <c r="J183" t="s">
        <v>257</v>
      </c>
      <c r="K183">
        <v>7.7415430339690134E-3</v>
      </c>
      <c r="L183" t="s">
        <v>168</v>
      </c>
      <c r="N183" t="s">
        <v>204</v>
      </c>
      <c r="O183" t="s">
        <v>257</v>
      </c>
      <c r="P183">
        <v>6.835358828876004E-3</v>
      </c>
      <c r="Q183" t="s">
        <v>168</v>
      </c>
      <c r="S183" t="s">
        <v>223</v>
      </c>
      <c r="T183" t="s">
        <v>257</v>
      </c>
      <c r="U183">
        <v>9.5956110843475034E-3</v>
      </c>
      <c r="V183" t="s">
        <v>168</v>
      </c>
      <c r="AK183">
        <v>2046</v>
      </c>
      <c r="AL183" t="s">
        <v>251</v>
      </c>
      <c r="AM183">
        <v>0.21540000000000001</v>
      </c>
      <c r="AN183" t="s">
        <v>247</v>
      </c>
    </row>
    <row r="184" spans="9:40" x14ac:dyDescent="0.45">
      <c r="I184" t="s">
        <v>180</v>
      </c>
      <c r="J184" t="s">
        <v>258</v>
      </c>
      <c r="K184">
        <v>1.9276130043607369E-3</v>
      </c>
      <c r="L184" t="s">
        <v>168</v>
      </c>
      <c r="N184" t="s">
        <v>204</v>
      </c>
      <c r="O184" t="s">
        <v>258</v>
      </c>
      <c r="P184">
        <v>4.8312147144111639E-2</v>
      </c>
      <c r="Q184" t="s">
        <v>168</v>
      </c>
      <c r="S184" t="s">
        <v>223</v>
      </c>
      <c r="T184" t="s">
        <v>258</v>
      </c>
      <c r="U184">
        <v>7.2862872331929604E-2</v>
      </c>
      <c r="V184" t="s">
        <v>168</v>
      </c>
      <c r="AK184">
        <v>2046</v>
      </c>
      <c r="AL184" t="s">
        <v>253</v>
      </c>
      <c r="AM184">
        <v>0.1923</v>
      </c>
      <c r="AN184" t="s">
        <v>247</v>
      </c>
    </row>
    <row r="185" spans="9:40" x14ac:dyDescent="0.45">
      <c r="I185" t="s">
        <v>180</v>
      </c>
      <c r="J185" t="s">
        <v>171</v>
      </c>
      <c r="K185">
        <v>3.8553902116456353E-2</v>
      </c>
      <c r="L185" t="s">
        <v>168</v>
      </c>
      <c r="N185" t="s">
        <v>204</v>
      </c>
      <c r="O185" t="s">
        <v>171</v>
      </c>
      <c r="P185">
        <v>0.11319285044490375</v>
      </c>
      <c r="Q185" t="s">
        <v>168</v>
      </c>
      <c r="S185" t="s">
        <v>223</v>
      </c>
      <c r="T185" t="s">
        <v>171</v>
      </c>
      <c r="U185">
        <v>0.12811598083863482</v>
      </c>
      <c r="V185" t="s">
        <v>168</v>
      </c>
      <c r="AK185">
        <v>2046</v>
      </c>
      <c r="AL185" t="s">
        <v>255</v>
      </c>
      <c r="AM185">
        <v>0.19639999999999999</v>
      </c>
      <c r="AN185" t="s">
        <v>247</v>
      </c>
    </row>
    <row r="186" spans="9:40" x14ac:dyDescent="0.45">
      <c r="I186" t="s">
        <v>180</v>
      </c>
      <c r="J186" t="s">
        <v>172</v>
      </c>
      <c r="K186">
        <v>3.3418945436524058E-2</v>
      </c>
      <c r="L186" t="s">
        <v>168</v>
      </c>
      <c r="N186" t="s">
        <v>204</v>
      </c>
      <c r="O186" t="s">
        <v>172</v>
      </c>
      <c r="P186">
        <v>1.5621361506827469E-2</v>
      </c>
      <c r="Q186" t="s">
        <v>168</v>
      </c>
      <c r="S186" t="s">
        <v>223</v>
      </c>
      <c r="T186" t="s">
        <v>172</v>
      </c>
      <c r="U186">
        <v>1.4413282695181839E-2</v>
      </c>
      <c r="V186" t="s">
        <v>168</v>
      </c>
      <c r="AK186">
        <v>2047</v>
      </c>
      <c r="AL186" t="s">
        <v>157</v>
      </c>
      <c r="AM186">
        <v>0.17375000000000002</v>
      </c>
      <c r="AN186" t="s">
        <v>247</v>
      </c>
    </row>
    <row r="187" spans="9:40" x14ac:dyDescent="0.45">
      <c r="I187" t="s">
        <v>180</v>
      </c>
      <c r="J187" t="s">
        <v>173</v>
      </c>
      <c r="K187">
        <v>4.0701184858032251E-2</v>
      </c>
      <c r="L187" t="s">
        <v>168</v>
      </c>
      <c r="N187" t="s">
        <v>204</v>
      </c>
      <c r="O187" t="s">
        <v>173</v>
      </c>
      <c r="P187">
        <v>1.57622279559619E-2</v>
      </c>
      <c r="Q187" t="s">
        <v>168</v>
      </c>
      <c r="S187" t="s">
        <v>223</v>
      </c>
      <c r="T187" t="s">
        <v>173</v>
      </c>
      <c r="U187">
        <v>1.4029371203137268E-2</v>
      </c>
      <c r="V187" t="s">
        <v>168</v>
      </c>
      <c r="AK187">
        <v>2047</v>
      </c>
      <c r="AL187" t="s">
        <v>161</v>
      </c>
      <c r="AM187">
        <v>0.26147500000000001</v>
      </c>
      <c r="AN187" t="s">
        <v>247</v>
      </c>
    </row>
    <row r="188" spans="9:40" x14ac:dyDescent="0.45">
      <c r="I188" t="s">
        <v>180</v>
      </c>
      <c r="J188" t="s">
        <v>259</v>
      </c>
      <c r="K188">
        <v>0.23811992503631543</v>
      </c>
      <c r="L188" t="s">
        <v>168</v>
      </c>
      <c r="N188" t="s">
        <v>204</v>
      </c>
      <c r="O188" t="s">
        <v>259</v>
      </c>
      <c r="P188">
        <v>9.3440321517330754E-2</v>
      </c>
      <c r="Q188" t="s">
        <v>168</v>
      </c>
      <c r="S188" t="s">
        <v>223</v>
      </c>
      <c r="T188" t="s">
        <v>259</v>
      </c>
      <c r="U188">
        <v>8.3026023079740441E-2</v>
      </c>
      <c r="V188" t="s">
        <v>168</v>
      </c>
      <c r="AK188">
        <v>2047</v>
      </c>
      <c r="AL188" t="s">
        <v>163</v>
      </c>
      <c r="AM188">
        <v>0.30349999999999999</v>
      </c>
      <c r="AN188" t="s">
        <v>247</v>
      </c>
    </row>
    <row r="189" spans="9:40" x14ac:dyDescent="0.45">
      <c r="I189" t="s">
        <v>180</v>
      </c>
      <c r="J189" t="s">
        <v>260</v>
      </c>
      <c r="K189">
        <v>2.6530304136242605E-2</v>
      </c>
      <c r="L189" t="s">
        <v>168</v>
      </c>
      <c r="N189" t="s">
        <v>204</v>
      </c>
      <c r="O189" t="s">
        <v>260</v>
      </c>
      <c r="P189">
        <v>1.449583698262426E-2</v>
      </c>
      <c r="Q189" t="s">
        <v>168</v>
      </c>
      <c r="S189" t="s">
        <v>223</v>
      </c>
      <c r="T189" t="s">
        <v>260</v>
      </c>
      <c r="U189">
        <v>1.4735522473921018E-2</v>
      </c>
      <c r="V189" t="s">
        <v>168</v>
      </c>
      <c r="AK189">
        <v>2047</v>
      </c>
      <c r="AL189" t="s">
        <v>249</v>
      </c>
      <c r="AM189">
        <v>0.26719999999999999</v>
      </c>
      <c r="AN189" t="s">
        <v>247</v>
      </c>
    </row>
    <row r="190" spans="9:40" x14ac:dyDescent="0.45">
      <c r="I190" t="s">
        <v>180</v>
      </c>
      <c r="J190" t="s">
        <v>261</v>
      </c>
      <c r="K190">
        <v>3.1457995668077249E-2</v>
      </c>
      <c r="L190" t="s">
        <v>168</v>
      </c>
      <c r="N190" t="s">
        <v>204</v>
      </c>
      <c r="O190" t="s">
        <v>261</v>
      </c>
      <c r="P190">
        <v>8.9099418464986868E-2</v>
      </c>
      <c r="Q190" t="s">
        <v>168</v>
      </c>
      <c r="S190" t="s">
        <v>223</v>
      </c>
      <c r="T190" t="s">
        <v>261</v>
      </c>
      <c r="U190">
        <v>0.10881604474216383</v>
      </c>
      <c r="V190" t="s">
        <v>168</v>
      </c>
      <c r="AK190">
        <v>2047</v>
      </c>
      <c r="AL190" t="s">
        <v>251</v>
      </c>
      <c r="AM190">
        <v>0.2341</v>
      </c>
      <c r="AN190" t="s">
        <v>247</v>
      </c>
    </row>
    <row r="191" spans="9:40" x14ac:dyDescent="0.45">
      <c r="I191" t="s">
        <v>180</v>
      </c>
      <c r="J191" t="s">
        <v>174</v>
      </c>
      <c r="K191">
        <v>1.548365545848304E-2</v>
      </c>
      <c r="L191" t="s">
        <v>168</v>
      </c>
      <c r="N191" t="s">
        <v>204</v>
      </c>
      <c r="O191" t="s">
        <v>174</v>
      </c>
      <c r="P191">
        <v>6.515642421814594E-3</v>
      </c>
      <c r="Q191" t="s">
        <v>168</v>
      </c>
      <c r="S191" t="s">
        <v>223</v>
      </c>
      <c r="T191" t="s">
        <v>174</v>
      </c>
      <c r="U191">
        <v>2.4003179866458772E-2</v>
      </c>
      <c r="V191" t="s">
        <v>168</v>
      </c>
      <c r="AK191">
        <v>2047</v>
      </c>
      <c r="AL191" t="s">
        <v>253</v>
      </c>
      <c r="AM191">
        <v>0.2079</v>
      </c>
      <c r="AN191" t="s">
        <v>247</v>
      </c>
    </row>
    <row r="192" spans="9:40" x14ac:dyDescent="0.45">
      <c r="I192" t="s">
        <v>180</v>
      </c>
      <c r="J192" t="s">
        <v>175</v>
      </c>
      <c r="K192">
        <v>1.0689996765818022E-2</v>
      </c>
      <c r="L192" t="s">
        <v>168</v>
      </c>
      <c r="N192" t="s">
        <v>204</v>
      </c>
      <c r="O192" t="s">
        <v>175</v>
      </c>
      <c r="P192">
        <v>7.6811986710619853E-4</v>
      </c>
      <c r="Q192" t="s">
        <v>168</v>
      </c>
      <c r="S192" t="s">
        <v>223</v>
      </c>
      <c r="T192" t="s">
        <v>175</v>
      </c>
      <c r="U192">
        <v>2.6795432231257509E-3</v>
      </c>
      <c r="V192" t="s">
        <v>168</v>
      </c>
      <c r="AK192">
        <v>2047</v>
      </c>
      <c r="AL192" t="s">
        <v>255</v>
      </c>
      <c r="AM192">
        <v>0.20250000000000001</v>
      </c>
      <c r="AN192" t="s">
        <v>247</v>
      </c>
    </row>
    <row r="193" spans="9:40" x14ac:dyDescent="0.45">
      <c r="I193" t="s">
        <v>180</v>
      </c>
      <c r="J193" t="s">
        <v>176</v>
      </c>
      <c r="K193">
        <v>1.1672341180975789E-2</v>
      </c>
      <c r="L193" t="s">
        <v>168</v>
      </c>
      <c r="N193" t="s">
        <v>204</v>
      </c>
      <c r="O193" t="s">
        <v>176</v>
      </c>
      <c r="P193">
        <v>8.4754267326751819E-4</v>
      </c>
      <c r="Q193" t="s">
        <v>168</v>
      </c>
      <c r="S193" t="s">
        <v>223</v>
      </c>
      <c r="T193" t="s">
        <v>176</v>
      </c>
      <c r="U193">
        <v>2.4882833707658798E-3</v>
      </c>
      <c r="V193" t="s">
        <v>168</v>
      </c>
      <c r="AK193">
        <v>2048</v>
      </c>
      <c r="AL193" t="s">
        <v>157</v>
      </c>
      <c r="AM193">
        <v>0.18504999999999999</v>
      </c>
      <c r="AN193" t="s">
        <v>247</v>
      </c>
    </row>
    <row r="194" spans="9:40" x14ac:dyDescent="0.45">
      <c r="I194" t="s">
        <v>180</v>
      </c>
      <c r="J194" t="s">
        <v>262</v>
      </c>
      <c r="K194">
        <v>6.1134162816617321E-2</v>
      </c>
      <c r="L194" t="s">
        <v>168</v>
      </c>
      <c r="N194" t="s">
        <v>204</v>
      </c>
      <c r="O194" t="s">
        <v>262</v>
      </c>
      <c r="P194">
        <v>8.2828903601760741E-3</v>
      </c>
      <c r="Q194" t="s">
        <v>168</v>
      </c>
      <c r="S194" t="s">
        <v>223</v>
      </c>
      <c r="T194" t="s">
        <v>262</v>
      </c>
      <c r="U194">
        <v>1.4116492044226176E-2</v>
      </c>
      <c r="V194" t="s">
        <v>168</v>
      </c>
      <c r="AK194">
        <v>2048</v>
      </c>
      <c r="AL194" t="s">
        <v>161</v>
      </c>
      <c r="AM194">
        <v>0.24832500000000002</v>
      </c>
      <c r="AN194" t="s">
        <v>247</v>
      </c>
    </row>
    <row r="195" spans="9:40" x14ac:dyDescent="0.45">
      <c r="I195" t="s">
        <v>180</v>
      </c>
      <c r="J195" t="s">
        <v>263</v>
      </c>
      <c r="K195">
        <v>6.6435243073008632E-3</v>
      </c>
      <c r="L195" t="s">
        <v>168</v>
      </c>
      <c r="N195" t="s">
        <v>204</v>
      </c>
      <c r="O195" t="s">
        <v>263</v>
      </c>
      <c r="P195">
        <v>1.756871057283375E-3</v>
      </c>
      <c r="Q195" t="s">
        <v>168</v>
      </c>
      <c r="S195" t="s">
        <v>223</v>
      </c>
      <c r="T195" t="s">
        <v>263</v>
      </c>
      <c r="U195">
        <v>2.7272714361406833E-3</v>
      </c>
      <c r="V195" t="s">
        <v>168</v>
      </c>
      <c r="AK195">
        <v>2048</v>
      </c>
      <c r="AL195" t="s">
        <v>163</v>
      </c>
      <c r="AM195">
        <v>0.32740000000000002</v>
      </c>
      <c r="AN195" t="s">
        <v>247</v>
      </c>
    </row>
    <row r="196" spans="9:40" x14ac:dyDescent="0.45">
      <c r="I196" t="s">
        <v>180</v>
      </c>
      <c r="J196" t="s">
        <v>264</v>
      </c>
      <c r="K196">
        <v>1.1466642163032878E-2</v>
      </c>
      <c r="L196" t="s">
        <v>168</v>
      </c>
      <c r="N196" t="s">
        <v>204</v>
      </c>
      <c r="O196" t="s">
        <v>264</v>
      </c>
      <c r="P196">
        <v>9.1999604578439555E-3</v>
      </c>
      <c r="Q196" t="s">
        <v>168</v>
      </c>
      <c r="S196" t="s">
        <v>223</v>
      </c>
      <c r="T196" t="s">
        <v>264</v>
      </c>
      <c r="U196">
        <v>2.086284936858452E-2</v>
      </c>
      <c r="V196" t="s">
        <v>168</v>
      </c>
      <c r="AK196">
        <v>2048</v>
      </c>
      <c r="AL196" t="s">
        <v>249</v>
      </c>
      <c r="AM196">
        <v>0.25729999999999997</v>
      </c>
      <c r="AN196" t="s">
        <v>247</v>
      </c>
    </row>
    <row r="197" spans="9:40" x14ac:dyDescent="0.45">
      <c r="I197" t="s">
        <v>180</v>
      </c>
      <c r="J197" t="s">
        <v>265</v>
      </c>
      <c r="K197">
        <v>1.1519076546737882E-2</v>
      </c>
      <c r="L197" t="s">
        <v>168</v>
      </c>
      <c r="N197" t="s">
        <v>204</v>
      </c>
      <c r="O197" t="s">
        <v>265</v>
      </c>
      <c r="P197">
        <v>1.2243754713775829E-2</v>
      </c>
      <c r="Q197" t="s">
        <v>168</v>
      </c>
      <c r="S197" t="s">
        <v>223</v>
      </c>
      <c r="T197" t="s">
        <v>265</v>
      </c>
      <c r="U197">
        <v>2.2586241593909442E-2</v>
      </c>
      <c r="V197" t="s">
        <v>168</v>
      </c>
      <c r="AK197">
        <v>2048</v>
      </c>
      <c r="AL197" t="s">
        <v>251</v>
      </c>
      <c r="AM197">
        <v>0.21010000000000001</v>
      </c>
      <c r="AN197" t="s">
        <v>247</v>
      </c>
    </row>
    <row r="198" spans="9:40" x14ac:dyDescent="0.45">
      <c r="I198" t="s">
        <v>180</v>
      </c>
      <c r="J198" t="s">
        <v>266</v>
      </c>
      <c r="K198">
        <v>9.0253170626082655E-3</v>
      </c>
      <c r="L198" t="s">
        <v>168</v>
      </c>
      <c r="N198" t="s">
        <v>204</v>
      </c>
      <c r="O198" t="s">
        <v>266</v>
      </c>
      <c r="P198">
        <v>1.2044947266665212E-3</v>
      </c>
      <c r="Q198" t="s">
        <v>168</v>
      </c>
      <c r="S198" t="s">
        <v>223</v>
      </c>
      <c r="T198" t="s">
        <v>266</v>
      </c>
      <c r="U198">
        <v>2.500013887123083E-3</v>
      </c>
      <c r="V198" t="s">
        <v>168</v>
      </c>
      <c r="AK198">
        <v>2048</v>
      </c>
      <c r="AL198" t="s">
        <v>253</v>
      </c>
      <c r="AM198">
        <v>0.19950000000000001</v>
      </c>
      <c r="AN198" t="s">
        <v>247</v>
      </c>
    </row>
    <row r="199" spans="9:40" x14ac:dyDescent="0.45">
      <c r="I199" t="s">
        <v>180</v>
      </c>
      <c r="J199" t="s">
        <v>267</v>
      </c>
      <c r="K199">
        <v>1.0488511865809234E-2</v>
      </c>
      <c r="L199" t="s">
        <v>168</v>
      </c>
      <c r="N199" t="s">
        <v>204</v>
      </c>
      <c r="O199" t="s">
        <v>267</v>
      </c>
      <c r="P199">
        <v>1.2393052181037941E-3</v>
      </c>
      <c r="Q199" t="s">
        <v>168</v>
      </c>
      <c r="S199" t="s">
        <v>223</v>
      </c>
      <c r="T199" t="s">
        <v>267</v>
      </c>
      <c r="U199">
        <v>2.2668238761271867E-3</v>
      </c>
      <c r="V199" t="s">
        <v>168</v>
      </c>
      <c r="AK199">
        <v>2048</v>
      </c>
      <c r="AL199" t="s">
        <v>255</v>
      </c>
      <c r="AM199">
        <v>0.1996</v>
      </c>
      <c r="AN199" t="s">
        <v>247</v>
      </c>
    </row>
    <row r="200" spans="9:40" x14ac:dyDescent="0.45">
      <c r="I200" t="s">
        <v>180</v>
      </c>
      <c r="J200" t="s">
        <v>268</v>
      </c>
      <c r="K200">
        <v>6.0697490187282314E-2</v>
      </c>
      <c r="L200" t="s">
        <v>168</v>
      </c>
      <c r="N200" t="s">
        <v>204</v>
      </c>
      <c r="O200" t="s">
        <v>268</v>
      </c>
      <c r="P200">
        <v>9.7138954823703556E-3</v>
      </c>
      <c r="Q200" t="s">
        <v>168</v>
      </c>
      <c r="S200" t="s">
        <v>223</v>
      </c>
      <c r="T200" t="s">
        <v>268</v>
      </c>
      <c r="U200">
        <v>1.1277107466960805E-2</v>
      </c>
      <c r="V200" t="s">
        <v>168</v>
      </c>
      <c r="AK200">
        <v>2049</v>
      </c>
      <c r="AL200" t="s">
        <v>157</v>
      </c>
      <c r="AM200">
        <v>0.17115000000000002</v>
      </c>
      <c r="AN200" t="s">
        <v>247</v>
      </c>
    </row>
    <row r="201" spans="9:40" x14ac:dyDescent="0.45">
      <c r="I201" t="s">
        <v>180</v>
      </c>
      <c r="J201" t="s">
        <v>269</v>
      </c>
      <c r="K201">
        <v>7.2857678049706677E-3</v>
      </c>
      <c r="L201" t="s">
        <v>168</v>
      </c>
      <c r="N201" t="s">
        <v>204</v>
      </c>
      <c r="O201" t="s">
        <v>269</v>
      </c>
      <c r="P201">
        <v>2.4775720787412851E-3</v>
      </c>
      <c r="Q201" t="s">
        <v>168</v>
      </c>
      <c r="S201" t="s">
        <v>223</v>
      </c>
      <c r="T201" t="s">
        <v>269</v>
      </c>
      <c r="U201">
        <v>1.9730335838090045E-3</v>
      </c>
      <c r="V201" t="s">
        <v>168</v>
      </c>
      <c r="AK201">
        <v>2049</v>
      </c>
      <c r="AL201" t="s">
        <v>161</v>
      </c>
      <c r="AM201">
        <v>0.25587500000000002</v>
      </c>
      <c r="AN201" t="s">
        <v>247</v>
      </c>
    </row>
    <row r="202" spans="9:40" x14ac:dyDescent="0.45">
      <c r="I202" t="s">
        <v>180</v>
      </c>
      <c r="J202" t="s">
        <v>270</v>
      </c>
      <c r="K202">
        <v>9.5770704350864998E-3</v>
      </c>
      <c r="L202" t="s">
        <v>168</v>
      </c>
      <c r="N202" t="s">
        <v>204</v>
      </c>
      <c r="O202" t="s">
        <v>270</v>
      </c>
      <c r="P202">
        <v>1.2608857929869018E-2</v>
      </c>
      <c r="Q202" t="s">
        <v>168</v>
      </c>
      <c r="S202" t="s">
        <v>223</v>
      </c>
      <c r="T202" t="s">
        <v>270</v>
      </c>
      <c r="U202">
        <v>1.4994330759955387E-2</v>
      </c>
      <c r="V202" t="s">
        <v>168</v>
      </c>
      <c r="AK202">
        <v>2049</v>
      </c>
      <c r="AL202" t="s">
        <v>163</v>
      </c>
      <c r="AM202">
        <v>0.31590000000000001</v>
      </c>
      <c r="AN202" t="s">
        <v>247</v>
      </c>
    </row>
    <row r="203" spans="9:40" x14ac:dyDescent="0.45">
      <c r="I203" t="s">
        <v>180</v>
      </c>
      <c r="J203" t="s">
        <v>271</v>
      </c>
      <c r="K203">
        <v>6.943660647718803E-3</v>
      </c>
      <c r="L203" t="s">
        <v>168</v>
      </c>
      <c r="N203" t="s">
        <v>204</v>
      </c>
      <c r="O203" t="s">
        <v>271</v>
      </c>
      <c r="P203">
        <v>1.6090232445145014E-2</v>
      </c>
      <c r="Q203" t="s">
        <v>168</v>
      </c>
      <c r="S203" t="s">
        <v>223</v>
      </c>
      <c r="T203" t="s">
        <v>271</v>
      </c>
      <c r="U203">
        <v>1.6535653455712167E-2</v>
      </c>
      <c r="V203" t="s">
        <v>168</v>
      </c>
      <c r="AK203">
        <v>2049</v>
      </c>
      <c r="AL203" t="s">
        <v>249</v>
      </c>
      <c r="AM203">
        <v>0.25419999999999998</v>
      </c>
      <c r="AN203" t="s">
        <v>247</v>
      </c>
    </row>
    <row r="204" spans="9:40" x14ac:dyDescent="0.45">
      <c r="I204" t="s">
        <v>180</v>
      </c>
      <c r="J204" t="s">
        <v>272</v>
      </c>
      <c r="K204">
        <v>7.4568910402987611E-3</v>
      </c>
      <c r="L204" t="s">
        <v>168</v>
      </c>
      <c r="N204" t="s">
        <v>204</v>
      </c>
      <c r="O204" t="s">
        <v>272</v>
      </c>
      <c r="P204">
        <v>1.8364394288053901E-3</v>
      </c>
      <c r="Q204" t="s">
        <v>168</v>
      </c>
      <c r="S204" t="s">
        <v>223</v>
      </c>
      <c r="T204" t="s">
        <v>272</v>
      </c>
      <c r="U204">
        <v>1.9458013150952026E-3</v>
      </c>
      <c r="V204" t="s">
        <v>168</v>
      </c>
      <c r="AK204">
        <v>2049</v>
      </c>
      <c r="AL204" t="s">
        <v>251</v>
      </c>
      <c r="AM204">
        <v>0.23469999999999999</v>
      </c>
      <c r="AN204" t="s">
        <v>247</v>
      </c>
    </row>
    <row r="205" spans="9:40" x14ac:dyDescent="0.45">
      <c r="I205" t="s">
        <v>180</v>
      </c>
      <c r="J205" t="s">
        <v>273</v>
      </c>
      <c r="K205">
        <v>9.138693730113237E-3</v>
      </c>
      <c r="L205" t="s">
        <v>168</v>
      </c>
      <c r="N205" t="s">
        <v>204</v>
      </c>
      <c r="O205" t="s">
        <v>273</v>
      </c>
      <c r="P205">
        <v>1.7796132754624332E-3</v>
      </c>
      <c r="Q205" t="s">
        <v>168</v>
      </c>
      <c r="S205" t="s">
        <v>223</v>
      </c>
      <c r="T205" t="s">
        <v>273</v>
      </c>
      <c r="U205">
        <v>1.8204957017142352E-3</v>
      </c>
      <c r="V205" t="s">
        <v>168</v>
      </c>
      <c r="AK205">
        <v>2049</v>
      </c>
      <c r="AL205" t="s">
        <v>253</v>
      </c>
      <c r="AM205">
        <v>0.2233</v>
      </c>
      <c r="AN205" t="s">
        <v>247</v>
      </c>
    </row>
    <row r="206" spans="9:40" x14ac:dyDescent="0.45">
      <c r="I206" t="s">
        <v>180</v>
      </c>
      <c r="J206" t="s">
        <v>274</v>
      </c>
      <c r="K206">
        <v>5.3757213833616938E-2</v>
      </c>
      <c r="L206" t="s">
        <v>168</v>
      </c>
      <c r="N206" t="s">
        <v>204</v>
      </c>
      <c r="O206" t="s">
        <v>274</v>
      </c>
      <c r="P206">
        <v>1.2196921641918769E-2</v>
      </c>
      <c r="Q206" t="s">
        <v>168</v>
      </c>
      <c r="S206" t="s">
        <v>223</v>
      </c>
      <c r="T206" t="s">
        <v>274</v>
      </c>
      <c r="U206">
        <v>9.1813164204653189E-3</v>
      </c>
      <c r="V206" t="s">
        <v>168</v>
      </c>
      <c r="AK206">
        <v>2049</v>
      </c>
      <c r="AL206" t="s">
        <v>255</v>
      </c>
      <c r="AM206">
        <v>0.2127</v>
      </c>
      <c r="AN206" t="s">
        <v>247</v>
      </c>
    </row>
    <row r="207" spans="9:40" x14ac:dyDescent="0.45">
      <c r="I207" t="s">
        <v>180</v>
      </c>
      <c r="J207" t="s">
        <v>275</v>
      </c>
      <c r="K207">
        <v>6.2434482784699845E-3</v>
      </c>
      <c r="L207" t="s">
        <v>168</v>
      </c>
      <c r="N207" t="s">
        <v>204</v>
      </c>
      <c r="O207" t="s">
        <v>275</v>
      </c>
      <c r="P207">
        <v>2.2822007293918185E-3</v>
      </c>
      <c r="Q207" t="s">
        <v>168</v>
      </c>
      <c r="S207" t="s">
        <v>223</v>
      </c>
      <c r="T207" t="s">
        <v>275</v>
      </c>
      <c r="U207">
        <v>1.8182530265723907E-3</v>
      </c>
      <c r="V207" t="s">
        <v>168</v>
      </c>
      <c r="AK207">
        <v>2050</v>
      </c>
      <c r="AL207" t="s">
        <v>157</v>
      </c>
      <c r="AM207">
        <v>0.16880000000000001</v>
      </c>
      <c r="AN207" t="s">
        <v>247</v>
      </c>
    </row>
    <row r="208" spans="9:40" x14ac:dyDescent="0.45">
      <c r="I208" t="s">
        <v>180</v>
      </c>
      <c r="J208" t="s">
        <v>276</v>
      </c>
      <c r="K208">
        <v>5.0816908588971546E-3</v>
      </c>
      <c r="L208" t="s">
        <v>168</v>
      </c>
      <c r="N208" t="s">
        <v>204</v>
      </c>
      <c r="O208" t="s">
        <v>276</v>
      </c>
      <c r="P208">
        <v>1.4784803971769907E-2</v>
      </c>
      <c r="Q208" t="s">
        <v>168</v>
      </c>
      <c r="S208" t="s">
        <v>223</v>
      </c>
      <c r="T208" t="s">
        <v>276</v>
      </c>
      <c r="U208">
        <v>1.4428695214486085E-2</v>
      </c>
      <c r="V208" t="s">
        <v>168</v>
      </c>
      <c r="AK208">
        <v>2050</v>
      </c>
      <c r="AL208" t="s">
        <v>161</v>
      </c>
      <c r="AM208">
        <v>0.25054999999999999</v>
      </c>
      <c r="AN208" t="s">
        <v>247</v>
      </c>
    </row>
    <row r="209" spans="9:40" x14ac:dyDescent="0.45">
      <c r="I209" t="s">
        <v>180</v>
      </c>
      <c r="J209" t="s">
        <v>277</v>
      </c>
      <c r="K209">
        <v>2.7615632744332781E-3</v>
      </c>
      <c r="L209" t="s">
        <v>168</v>
      </c>
      <c r="N209" t="s">
        <v>204</v>
      </c>
      <c r="O209" t="s">
        <v>277</v>
      </c>
      <c r="P209">
        <v>9.2580782817972079E-2</v>
      </c>
      <c r="Q209" t="s">
        <v>168</v>
      </c>
      <c r="S209" t="s">
        <v>223</v>
      </c>
      <c r="T209" t="s">
        <v>277</v>
      </c>
      <c r="U209">
        <v>5.3683745278292033E-2</v>
      </c>
      <c r="V209" t="s">
        <v>168</v>
      </c>
      <c r="AK209">
        <v>2050</v>
      </c>
      <c r="AL209" t="s">
        <v>163</v>
      </c>
      <c r="AM209">
        <v>0.30120000000000002</v>
      </c>
      <c r="AN209" t="s">
        <v>247</v>
      </c>
    </row>
    <row r="210" spans="9:40" x14ac:dyDescent="0.45">
      <c r="I210" t="s">
        <v>180</v>
      </c>
      <c r="J210" t="s">
        <v>278</v>
      </c>
      <c r="K210">
        <v>7.1024418363233328E-3</v>
      </c>
      <c r="L210" t="s">
        <v>168</v>
      </c>
      <c r="N210" t="s">
        <v>204</v>
      </c>
      <c r="O210" t="s">
        <v>278</v>
      </c>
      <c r="P210">
        <v>1.0977472496911172E-2</v>
      </c>
      <c r="Q210" t="s">
        <v>168</v>
      </c>
      <c r="S210" t="s">
        <v>223</v>
      </c>
      <c r="T210" t="s">
        <v>278</v>
      </c>
      <c r="U210">
        <v>6.5692106398073571E-3</v>
      </c>
      <c r="V210" t="s">
        <v>168</v>
      </c>
      <c r="AK210">
        <v>2050</v>
      </c>
      <c r="AL210" t="s">
        <v>249</v>
      </c>
      <c r="AM210">
        <v>0.2581</v>
      </c>
      <c r="AN210" t="s">
        <v>247</v>
      </c>
    </row>
    <row r="211" spans="9:40" x14ac:dyDescent="0.45">
      <c r="I211" t="s">
        <v>180</v>
      </c>
      <c r="J211" t="s">
        <v>279</v>
      </c>
      <c r="K211">
        <v>1.1206763697190224E-2</v>
      </c>
      <c r="L211" t="s">
        <v>168</v>
      </c>
      <c r="N211" t="s">
        <v>204</v>
      </c>
      <c r="O211" t="s">
        <v>279</v>
      </c>
      <c r="P211">
        <v>1.0988110084725642E-2</v>
      </c>
      <c r="Q211" t="s">
        <v>168</v>
      </c>
      <c r="S211" t="s">
        <v>223</v>
      </c>
      <c r="T211" t="s">
        <v>279</v>
      </c>
      <c r="U211">
        <v>6.617345562170026E-3</v>
      </c>
      <c r="V211" t="s">
        <v>168</v>
      </c>
      <c r="AK211">
        <v>2050</v>
      </c>
      <c r="AL211" t="s">
        <v>251</v>
      </c>
      <c r="AM211">
        <v>0.22600000000000001</v>
      </c>
      <c r="AN211" t="s">
        <v>247</v>
      </c>
    </row>
    <row r="212" spans="9:40" x14ac:dyDescent="0.45">
      <c r="I212" t="s">
        <v>180</v>
      </c>
      <c r="J212" t="s">
        <v>280</v>
      </c>
      <c r="K212">
        <v>7.9602903013733448E-2</v>
      </c>
      <c r="L212" t="s">
        <v>168</v>
      </c>
      <c r="N212" t="s">
        <v>204</v>
      </c>
      <c r="O212" t="s">
        <v>280</v>
      </c>
      <c r="P212">
        <v>6.7555143043118174E-2</v>
      </c>
      <c r="Q212" t="s">
        <v>168</v>
      </c>
      <c r="S212" t="s">
        <v>223</v>
      </c>
      <c r="T212" t="s">
        <v>280</v>
      </c>
      <c r="U212">
        <v>3.9659709676039469E-2</v>
      </c>
      <c r="V212" t="s">
        <v>168</v>
      </c>
      <c r="AK212">
        <v>2050</v>
      </c>
      <c r="AL212" t="s">
        <v>253</v>
      </c>
      <c r="AM212">
        <v>0.19874999999999998</v>
      </c>
      <c r="AN212" t="s">
        <v>247</v>
      </c>
    </row>
    <row r="213" spans="9:40" x14ac:dyDescent="0.45">
      <c r="I213" t="s">
        <v>180</v>
      </c>
      <c r="J213" t="s">
        <v>281</v>
      </c>
      <c r="K213">
        <v>5.4983167719641077E-3</v>
      </c>
      <c r="L213" t="s">
        <v>168</v>
      </c>
      <c r="N213" t="s">
        <v>204</v>
      </c>
      <c r="O213" t="s">
        <v>281</v>
      </c>
      <c r="P213">
        <v>1.1757145673320422E-2</v>
      </c>
      <c r="Q213" t="s">
        <v>168</v>
      </c>
      <c r="S213" t="s">
        <v>223</v>
      </c>
      <c r="T213" t="s">
        <v>281</v>
      </c>
      <c r="U213">
        <v>6.788167289014102E-3</v>
      </c>
      <c r="V213" t="s">
        <v>168</v>
      </c>
      <c r="AK213">
        <v>2050</v>
      </c>
      <c r="AL213" t="s">
        <v>255</v>
      </c>
      <c r="AM213">
        <v>0.19420000000000001</v>
      </c>
      <c r="AN213" t="s">
        <v>247</v>
      </c>
    </row>
    <row r="214" spans="9:40" x14ac:dyDescent="0.45">
      <c r="I214" t="s">
        <v>180</v>
      </c>
      <c r="J214" t="s">
        <v>282</v>
      </c>
      <c r="K214">
        <v>5.5328263289750317E-4</v>
      </c>
      <c r="L214" t="s">
        <v>168</v>
      </c>
      <c r="N214" t="s">
        <v>204</v>
      </c>
      <c r="O214" t="s">
        <v>282</v>
      </c>
      <c r="P214">
        <v>8.1860553277818937E-2</v>
      </c>
      <c r="Q214" t="s">
        <v>168</v>
      </c>
      <c r="S214" t="s">
        <v>223</v>
      </c>
      <c r="T214" t="s">
        <v>282</v>
      </c>
      <c r="U214">
        <v>5.2081906683518725E-2</v>
      </c>
      <c r="V214" t="s">
        <v>168</v>
      </c>
    </row>
    <row r="215" spans="9:40" x14ac:dyDescent="0.45">
      <c r="I215" t="s">
        <v>180</v>
      </c>
      <c r="J215" t="s">
        <v>283</v>
      </c>
      <c r="K215">
        <v>0</v>
      </c>
      <c r="L215" t="s">
        <v>168</v>
      </c>
      <c r="N215" t="s">
        <v>204</v>
      </c>
      <c r="O215" t="s">
        <v>283</v>
      </c>
      <c r="P215">
        <v>3.5597460640088195E-2</v>
      </c>
      <c r="Q215" t="s">
        <v>168</v>
      </c>
      <c r="S215" t="s">
        <v>223</v>
      </c>
      <c r="T215" t="s">
        <v>283</v>
      </c>
      <c r="U215">
        <v>2.5376273962591105E-2</v>
      </c>
      <c r="V215" t="s">
        <v>168</v>
      </c>
    </row>
    <row r="216" spans="9:40" x14ac:dyDescent="0.45">
      <c r="I216" t="s">
        <v>180</v>
      </c>
      <c r="J216" t="s">
        <v>284</v>
      </c>
      <c r="K216">
        <v>3.7416376238600833E-3</v>
      </c>
      <c r="L216" t="s">
        <v>168</v>
      </c>
      <c r="N216" t="s">
        <v>204</v>
      </c>
      <c r="O216" t="s">
        <v>284</v>
      </c>
      <c r="P216">
        <v>4.1659105674070338E-3</v>
      </c>
      <c r="Q216" t="s">
        <v>168</v>
      </c>
      <c r="S216" t="s">
        <v>223</v>
      </c>
      <c r="T216" t="s">
        <v>284</v>
      </c>
      <c r="U216">
        <v>3.0936696914820858E-3</v>
      </c>
      <c r="V216" t="s">
        <v>168</v>
      </c>
    </row>
    <row r="217" spans="9:40" x14ac:dyDescent="0.45">
      <c r="I217" t="s">
        <v>180</v>
      </c>
      <c r="J217" t="s">
        <v>285</v>
      </c>
      <c r="K217">
        <v>6.2008969186088253E-3</v>
      </c>
      <c r="L217" t="s">
        <v>168</v>
      </c>
      <c r="N217" t="s">
        <v>204</v>
      </c>
      <c r="O217" t="s">
        <v>285</v>
      </c>
      <c r="P217">
        <v>4.0101787229773565E-3</v>
      </c>
      <c r="Q217" t="s">
        <v>168</v>
      </c>
      <c r="S217" t="s">
        <v>223</v>
      </c>
      <c r="T217" t="s">
        <v>285</v>
      </c>
      <c r="U217">
        <v>3.0216695269259753E-3</v>
      </c>
      <c r="V217" t="s">
        <v>168</v>
      </c>
    </row>
    <row r="218" spans="9:40" x14ac:dyDescent="0.45">
      <c r="I218" t="s">
        <v>180</v>
      </c>
      <c r="J218" t="s">
        <v>286</v>
      </c>
      <c r="K218">
        <v>4.1864700716656579E-2</v>
      </c>
      <c r="L218" t="s">
        <v>168</v>
      </c>
      <c r="N218" t="s">
        <v>204</v>
      </c>
      <c r="O218" t="s">
        <v>286</v>
      </c>
      <c r="P218">
        <v>2.1742133033280799E-2</v>
      </c>
      <c r="Q218" t="s">
        <v>168</v>
      </c>
      <c r="S218" t="s">
        <v>223</v>
      </c>
      <c r="T218" t="s">
        <v>286</v>
      </c>
      <c r="U218">
        <v>1.8294140395005789E-2</v>
      </c>
      <c r="V218" t="s">
        <v>168</v>
      </c>
    </row>
    <row r="219" spans="9:40" x14ac:dyDescent="0.45">
      <c r="I219" t="s">
        <v>180</v>
      </c>
      <c r="J219" t="s">
        <v>287</v>
      </c>
      <c r="K219">
        <v>1.3875619814306481E-4</v>
      </c>
      <c r="L219" t="s">
        <v>168</v>
      </c>
      <c r="N219" t="s">
        <v>204</v>
      </c>
      <c r="O219" t="s">
        <v>287</v>
      </c>
      <c r="P219">
        <v>3.5313766359297738E-3</v>
      </c>
      <c r="Q219" t="s">
        <v>168</v>
      </c>
      <c r="S219" t="s">
        <v>223</v>
      </c>
      <c r="T219" t="s">
        <v>287</v>
      </c>
      <c r="U219">
        <v>3.0680746998953544E-3</v>
      </c>
      <c r="V219" t="s">
        <v>168</v>
      </c>
    </row>
    <row r="220" spans="9:40" x14ac:dyDescent="0.45">
      <c r="I220" t="s">
        <v>180</v>
      </c>
      <c r="J220" t="s">
        <v>288</v>
      </c>
      <c r="K220">
        <v>0</v>
      </c>
      <c r="L220" t="s">
        <v>168</v>
      </c>
      <c r="N220" t="s">
        <v>204</v>
      </c>
      <c r="O220" t="s">
        <v>288</v>
      </c>
      <c r="P220">
        <v>2.4379585254519564E-2</v>
      </c>
      <c r="Q220" t="s">
        <v>168</v>
      </c>
      <c r="S220" t="s">
        <v>223</v>
      </c>
      <c r="T220" t="s">
        <v>288</v>
      </c>
      <c r="U220">
        <v>1.9638244137705582E-2</v>
      </c>
      <c r="V220" t="s">
        <v>168</v>
      </c>
    </row>
    <row r="221" spans="9:40" x14ac:dyDescent="0.45">
      <c r="I221" t="s">
        <v>181</v>
      </c>
      <c r="J221" t="s">
        <v>167</v>
      </c>
      <c r="K221">
        <v>1.3057475836023005E-3</v>
      </c>
      <c r="L221" t="s">
        <v>168</v>
      </c>
      <c r="N221" t="s">
        <v>205</v>
      </c>
      <c r="O221" t="s">
        <v>167</v>
      </c>
      <c r="P221">
        <v>5.702152492694295E-2</v>
      </c>
      <c r="Q221" t="s">
        <v>168</v>
      </c>
      <c r="S221" t="s">
        <v>224</v>
      </c>
      <c r="T221" t="s">
        <v>167</v>
      </c>
      <c r="U221">
        <v>7.4174175465549247E-2</v>
      </c>
      <c r="V221" t="s">
        <v>168</v>
      </c>
    </row>
    <row r="222" spans="9:40" x14ac:dyDescent="0.45">
      <c r="I222" t="s">
        <v>181</v>
      </c>
      <c r="J222" t="s">
        <v>169</v>
      </c>
      <c r="K222">
        <v>8.3001647698777263E-3</v>
      </c>
      <c r="L222" t="s">
        <v>168</v>
      </c>
      <c r="N222" t="s">
        <v>205</v>
      </c>
      <c r="O222" t="s">
        <v>169</v>
      </c>
      <c r="P222">
        <v>5.7485060458233256E-3</v>
      </c>
      <c r="Q222" t="s">
        <v>168</v>
      </c>
      <c r="S222" t="s">
        <v>224</v>
      </c>
      <c r="T222" t="s">
        <v>169</v>
      </c>
      <c r="U222">
        <v>9.6931263992165034E-3</v>
      </c>
      <c r="V222" t="s">
        <v>168</v>
      </c>
    </row>
    <row r="223" spans="9:40" x14ac:dyDescent="0.45">
      <c r="I223" t="s">
        <v>181</v>
      </c>
      <c r="J223" t="s">
        <v>170</v>
      </c>
      <c r="K223">
        <v>1.3255283834385692E-2</v>
      </c>
      <c r="L223" t="s">
        <v>168</v>
      </c>
      <c r="N223" t="s">
        <v>205</v>
      </c>
      <c r="O223" t="s">
        <v>170</v>
      </c>
      <c r="P223">
        <v>5.0444060974624456E-3</v>
      </c>
      <c r="Q223" t="s">
        <v>168</v>
      </c>
      <c r="S223" t="s">
        <v>224</v>
      </c>
      <c r="T223" t="s">
        <v>170</v>
      </c>
      <c r="U223">
        <v>9.8316798439719386E-3</v>
      </c>
      <c r="V223" t="s">
        <v>168</v>
      </c>
    </row>
    <row r="224" spans="9:40" x14ac:dyDescent="0.45">
      <c r="I224" t="s">
        <v>181</v>
      </c>
      <c r="J224" t="s">
        <v>256</v>
      </c>
      <c r="K224">
        <v>8.8619799480335729E-2</v>
      </c>
      <c r="L224" t="s">
        <v>168</v>
      </c>
      <c r="N224" t="s">
        <v>205</v>
      </c>
      <c r="O224" t="s">
        <v>256</v>
      </c>
      <c r="P224">
        <v>4.0795232076258188E-2</v>
      </c>
      <c r="Q224" t="s">
        <v>168</v>
      </c>
      <c r="S224" t="s">
        <v>224</v>
      </c>
      <c r="T224" t="s">
        <v>256</v>
      </c>
      <c r="U224">
        <v>6.1711153962727888E-2</v>
      </c>
      <c r="V224" t="s">
        <v>168</v>
      </c>
    </row>
    <row r="225" spans="9:22" x14ac:dyDescent="0.45">
      <c r="I225" t="s">
        <v>181</v>
      </c>
      <c r="J225" t="s">
        <v>257</v>
      </c>
      <c r="K225">
        <v>7.8780138406487794E-3</v>
      </c>
      <c r="L225" t="s">
        <v>168</v>
      </c>
      <c r="N225" t="s">
        <v>205</v>
      </c>
      <c r="O225" t="s">
        <v>257</v>
      </c>
      <c r="P225">
        <v>6.8011612539578886E-3</v>
      </c>
      <c r="Q225" t="s">
        <v>168</v>
      </c>
      <c r="S225" t="s">
        <v>224</v>
      </c>
      <c r="T225" t="s">
        <v>257</v>
      </c>
      <c r="U225">
        <v>1.056401051740511E-2</v>
      </c>
      <c r="V225" t="s">
        <v>168</v>
      </c>
    </row>
    <row r="226" spans="9:22" x14ac:dyDescent="0.45">
      <c r="I226" t="s">
        <v>181</v>
      </c>
      <c r="J226" t="s">
        <v>258</v>
      </c>
      <c r="K226">
        <v>1.884613541080854E-3</v>
      </c>
      <c r="L226" t="s">
        <v>168</v>
      </c>
      <c r="N226" t="s">
        <v>205</v>
      </c>
      <c r="O226" t="s">
        <v>258</v>
      </c>
      <c r="P226">
        <v>4.5587394896351358E-2</v>
      </c>
      <c r="Q226" t="s">
        <v>168</v>
      </c>
      <c r="S226" t="s">
        <v>224</v>
      </c>
      <c r="T226" t="s">
        <v>258</v>
      </c>
      <c r="U226">
        <v>7.0703052314375722E-2</v>
      </c>
      <c r="V226" t="s">
        <v>168</v>
      </c>
    </row>
    <row r="227" spans="9:22" x14ac:dyDescent="0.45">
      <c r="I227" t="s">
        <v>181</v>
      </c>
      <c r="J227" t="s">
        <v>171</v>
      </c>
      <c r="K227">
        <v>4.4739613445881503E-2</v>
      </c>
      <c r="L227" t="s">
        <v>168</v>
      </c>
      <c r="N227" t="s">
        <v>205</v>
      </c>
      <c r="O227" t="s">
        <v>171</v>
      </c>
      <c r="P227">
        <v>9.221026203925374E-2</v>
      </c>
      <c r="Q227" t="s">
        <v>168</v>
      </c>
      <c r="S227" t="s">
        <v>224</v>
      </c>
      <c r="T227" t="s">
        <v>171</v>
      </c>
      <c r="U227">
        <v>0.1264861006038546</v>
      </c>
      <c r="V227" t="s">
        <v>168</v>
      </c>
    </row>
    <row r="228" spans="9:22" x14ac:dyDescent="0.45">
      <c r="I228" t="s">
        <v>181</v>
      </c>
      <c r="J228" t="s">
        <v>172</v>
      </c>
      <c r="K228">
        <v>3.4027438151642581E-2</v>
      </c>
      <c r="L228" t="s">
        <v>168</v>
      </c>
      <c r="N228" t="s">
        <v>205</v>
      </c>
      <c r="O228" t="s">
        <v>172</v>
      </c>
      <c r="P228">
        <v>1.151771379332339E-2</v>
      </c>
      <c r="Q228" t="s">
        <v>168</v>
      </c>
      <c r="S228" t="s">
        <v>224</v>
      </c>
      <c r="T228" t="s">
        <v>172</v>
      </c>
      <c r="U228">
        <v>1.5747025181938896E-2</v>
      </c>
      <c r="V228" t="s">
        <v>168</v>
      </c>
    </row>
    <row r="229" spans="9:22" x14ac:dyDescent="0.45">
      <c r="I229" t="s">
        <v>181</v>
      </c>
      <c r="J229" t="s">
        <v>173</v>
      </c>
      <c r="K229">
        <v>3.9821232764429337E-2</v>
      </c>
      <c r="L229" t="s">
        <v>168</v>
      </c>
      <c r="N229" t="s">
        <v>205</v>
      </c>
      <c r="O229" t="s">
        <v>173</v>
      </c>
      <c r="P229">
        <v>1.4261670794386906E-2</v>
      </c>
      <c r="Q229" t="s">
        <v>168</v>
      </c>
      <c r="S229" t="s">
        <v>224</v>
      </c>
      <c r="T229" t="s">
        <v>173</v>
      </c>
      <c r="U229">
        <v>1.600929292937104E-2</v>
      </c>
      <c r="V229" t="s">
        <v>168</v>
      </c>
    </row>
    <row r="230" spans="9:22" x14ac:dyDescent="0.45">
      <c r="I230" t="s">
        <v>181</v>
      </c>
      <c r="J230" t="s">
        <v>259</v>
      </c>
      <c r="K230">
        <v>0.22539379159544493</v>
      </c>
      <c r="L230" t="s">
        <v>168</v>
      </c>
      <c r="N230" t="s">
        <v>205</v>
      </c>
      <c r="O230" t="s">
        <v>259</v>
      </c>
      <c r="P230">
        <v>0.1076406508656972</v>
      </c>
      <c r="Q230" t="s">
        <v>168</v>
      </c>
      <c r="S230" t="s">
        <v>224</v>
      </c>
      <c r="T230" t="s">
        <v>259</v>
      </c>
      <c r="U230">
        <v>0.10226322789886866</v>
      </c>
      <c r="V230" t="s">
        <v>168</v>
      </c>
    </row>
    <row r="231" spans="9:22" x14ac:dyDescent="0.45">
      <c r="I231" t="s">
        <v>181</v>
      </c>
      <c r="J231" t="s">
        <v>260</v>
      </c>
      <c r="K231">
        <v>2.4837174672881865E-2</v>
      </c>
      <c r="L231" t="s">
        <v>168</v>
      </c>
      <c r="N231" t="s">
        <v>205</v>
      </c>
      <c r="O231" t="s">
        <v>260</v>
      </c>
      <c r="P231">
        <v>1.8855761440752659E-2</v>
      </c>
      <c r="Q231" t="s">
        <v>168</v>
      </c>
      <c r="S231" t="s">
        <v>224</v>
      </c>
      <c r="T231" t="s">
        <v>260</v>
      </c>
      <c r="U231">
        <v>1.8277365635487472E-2</v>
      </c>
      <c r="V231" t="s">
        <v>168</v>
      </c>
    </row>
    <row r="232" spans="9:22" x14ac:dyDescent="0.45">
      <c r="I232" t="s">
        <v>181</v>
      </c>
      <c r="J232" t="s">
        <v>261</v>
      </c>
      <c r="K232">
        <v>3.0130168715578217E-2</v>
      </c>
      <c r="L232" t="s">
        <v>168</v>
      </c>
      <c r="N232" t="s">
        <v>205</v>
      </c>
      <c r="O232" t="s">
        <v>261</v>
      </c>
      <c r="P232">
        <v>9.2305791800348327E-2</v>
      </c>
      <c r="Q232" t="s">
        <v>168</v>
      </c>
      <c r="S232" t="s">
        <v>224</v>
      </c>
      <c r="T232" t="s">
        <v>261</v>
      </c>
      <c r="U232">
        <v>0.11545692198634545</v>
      </c>
      <c r="V232" t="s">
        <v>168</v>
      </c>
    </row>
    <row r="233" spans="9:22" x14ac:dyDescent="0.45">
      <c r="I233" t="s">
        <v>181</v>
      </c>
      <c r="J233" t="s">
        <v>174</v>
      </c>
      <c r="K233">
        <v>1.7341850609038732E-2</v>
      </c>
      <c r="L233" t="s">
        <v>168</v>
      </c>
      <c r="N233" t="s">
        <v>205</v>
      </c>
      <c r="O233" t="s">
        <v>174</v>
      </c>
      <c r="P233">
        <v>6.7595508019237596E-3</v>
      </c>
      <c r="Q233" t="s">
        <v>168</v>
      </c>
      <c r="S233" t="s">
        <v>224</v>
      </c>
      <c r="T233" t="s">
        <v>174</v>
      </c>
      <c r="U233">
        <v>5.2984981422625364E-3</v>
      </c>
      <c r="V233" t="s">
        <v>168</v>
      </c>
    </row>
    <row r="234" spans="9:22" x14ac:dyDescent="0.45">
      <c r="I234" t="s">
        <v>181</v>
      </c>
      <c r="J234" t="s">
        <v>175</v>
      </c>
      <c r="K234">
        <v>1.0419139760525407E-2</v>
      </c>
      <c r="L234" t="s">
        <v>168</v>
      </c>
      <c r="N234" t="s">
        <v>205</v>
      </c>
      <c r="O234" t="s">
        <v>175</v>
      </c>
      <c r="P234">
        <v>6.1935416208001002E-4</v>
      </c>
      <c r="Q234" t="s">
        <v>168</v>
      </c>
      <c r="S234" t="s">
        <v>224</v>
      </c>
      <c r="T234" t="s">
        <v>175</v>
      </c>
      <c r="U234">
        <v>5.9584955311753481E-4</v>
      </c>
      <c r="V234" t="s">
        <v>168</v>
      </c>
    </row>
    <row r="235" spans="9:22" x14ac:dyDescent="0.45">
      <c r="I235" t="s">
        <v>181</v>
      </c>
      <c r="J235" t="s">
        <v>176</v>
      </c>
      <c r="K235">
        <v>1.1343127529198494E-2</v>
      </c>
      <c r="L235" t="s">
        <v>168</v>
      </c>
      <c r="N235" t="s">
        <v>205</v>
      </c>
      <c r="O235" t="s">
        <v>176</v>
      </c>
      <c r="P235">
        <v>1.0234346600012136E-3</v>
      </c>
      <c r="Q235" t="s">
        <v>168</v>
      </c>
      <c r="S235" t="s">
        <v>224</v>
      </c>
      <c r="T235" t="s">
        <v>176</v>
      </c>
      <c r="U235">
        <v>5.8863685410888759E-4</v>
      </c>
      <c r="V235" t="s">
        <v>168</v>
      </c>
    </row>
    <row r="236" spans="9:22" x14ac:dyDescent="0.45">
      <c r="I236" t="s">
        <v>181</v>
      </c>
      <c r="J236" t="s">
        <v>262</v>
      </c>
      <c r="K236">
        <v>6.3196669917780224E-2</v>
      </c>
      <c r="L236" t="s">
        <v>168</v>
      </c>
      <c r="N236" t="s">
        <v>205</v>
      </c>
      <c r="O236" t="s">
        <v>262</v>
      </c>
      <c r="P236">
        <v>1.3029258503373787E-2</v>
      </c>
      <c r="Q236" t="s">
        <v>168</v>
      </c>
      <c r="S236" t="s">
        <v>224</v>
      </c>
      <c r="T236" t="s">
        <v>262</v>
      </c>
      <c r="U236">
        <v>6.6250022181818437E-3</v>
      </c>
      <c r="V236" t="s">
        <v>168</v>
      </c>
    </row>
    <row r="237" spans="9:22" x14ac:dyDescent="0.45">
      <c r="I237" t="s">
        <v>181</v>
      </c>
      <c r="J237" t="s">
        <v>263</v>
      </c>
      <c r="K237">
        <v>7.2814794340243646E-3</v>
      </c>
      <c r="L237" t="s">
        <v>168</v>
      </c>
      <c r="N237" t="s">
        <v>205</v>
      </c>
      <c r="O237" t="s">
        <v>263</v>
      </c>
      <c r="P237">
        <v>2.4409392404912112E-3</v>
      </c>
      <c r="Q237" t="s">
        <v>168</v>
      </c>
      <c r="S237" t="s">
        <v>224</v>
      </c>
      <c r="T237" t="s">
        <v>263</v>
      </c>
      <c r="U237">
        <v>1.4234251551094464E-3</v>
      </c>
      <c r="V237" t="s">
        <v>168</v>
      </c>
    </row>
    <row r="238" spans="9:22" x14ac:dyDescent="0.45">
      <c r="I238" t="s">
        <v>181</v>
      </c>
      <c r="J238" t="s">
        <v>264</v>
      </c>
      <c r="K238">
        <v>1.1864073586909238E-2</v>
      </c>
      <c r="L238" t="s">
        <v>168</v>
      </c>
      <c r="N238" t="s">
        <v>205</v>
      </c>
      <c r="O238" t="s">
        <v>264</v>
      </c>
      <c r="P238">
        <v>1.2040546753552624E-2</v>
      </c>
      <c r="Q238" t="s">
        <v>168</v>
      </c>
      <c r="S238" t="s">
        <v>224</v>
      </c>
      <c r="T238" t="s">
        <v>264</v>
      </c>
      <c r="U238">
        <v>5.9129428310810295E-3</v>
      </c>
      <c r="V238" t="s">
        <v>168</v>
      </c>
    </row>
    <row r="239" spans="9:22" x14ac:dyDescent="0.45">
      <c r="I239" t="s">
        <v>181</v>
      </c>
      <c r="J239" t="s">
        <v>265</v>
      </c>
      <c r="K239">
        <v>1.3583455647946264E-2</v>
      </c>
      <c r="L239" t="s">
        <v>168</v>
      </c>
      <c r="N239" t="s">
        <v>205</v>
      </c>
      <c r="O239" t="s">
        <v>265</v>
      </c>
      <c r="P239">
        <v>8.2897550319183874E-3</v>
      </c>
      <c r="Q239" t="s">
        <v>168</v>
      </c>
      <c r="S239" t="s">
        <v>224</v>
      </c>
      <c r="T239" t="s">
        <v>265</v>
      </c>
      <c r="U239">
        <v>8.0690607569084728E-3</v>
      </c>
      <c r="V239" t="s">
        <v>168</v>
      </c>
    </row>
    <row r="240" spans="9:22" x14ac:dyDescent="0.45">
      <c r="I240" t="s">
        <v>181</v>
      </c>
      <c r="J240" t="s">
        <v>266</v>
      </c>
      <c r="K240">
        <v>9.8757943059035753E-3</v>
      </c>
      <c r="L240" t="s">
        <v>168</v>
      </c>
      <c r="N240" t="s">
        <v>205</v>
      </c>
      <c r="O240" t="s">
        <v>266</v>
      </c>
      <c r="P240">
        <v>9.0134164677155911E-4</v>
      </c>
      <c r="Q240" t="s">
        <v>168</v>
      </c>
      <c r="S240" t="s">
        <v>224</v>
      </c>
      <c r="T240" t="s">
        <v>266</v>
      </c>
      <c r="U240">
        <v>9.177360702964613E-4</v>
      </c>
      <c r="V240" t="s">
        <v>168</v>
      </c>
    </row>
    <row r="241" spans="9:22" x14ac:dyDescent="0.45">
      <c r="I241" t="s">
        <v>181</v>
      </c>
      <c r="J241" t="s">
        <v>267</v>
      </c>
      <c r="K241">
        <v>1.1235659510017759E-2</v>
      </c>
      <c r="L241" t="s">
        <v>168</v>
      </c>
      <c r="N241" t="s">
        <v>205</v>
      </c>
      <c r="O241" t="s">
        <v>267</v>
      </c>
      <c r="P241">
        <v>1.7673249693502173E-3</v>
      </c>
      <c r="Q241" t="s">
        <v>168</v>
      </c>
      <c r="S241" t="s">
        <v>224</v>
      </c>
      <c r="T241" t="s">
        <v>267</v>
      </c>
      <c r="U241">
        <v>9.2084328351738391E-4</v>
      </c>
      <c r="V241" t="s">
        <v>168</v>
      </c>
    </row>
    <row r="242" spans="9:22" x14ac:dyDescent="0.45">
      <c r="I242" t="s">
        <v>181</v>
      </c>
      <c r="J242" t="s">
        <v>268</v>
      </c>
      <c r="K242">
        <v>6.391684928582296E-2</v>
      </c>
      <c r="L242" t="s">
        <v>168</v>
      </c>
      <c r="N242" t="s">
        <v>205</v>
      </c>
      <c r="O242" t="s">
        <v>268</v>
      </c>
      <c r="P242">
        <v>1.5306444545110293E-2</v>
      </c>
      <c r="Q242" t="s">
        <v>168</v>
      </c>
      <c r="S242" t="s">
        <v>224</v>
      </c>
      <c r="T242" t="s">
        <v>268</v>
      </c>
      <c r="U242">
        <v>8.6469094691140457E-3</v>
      </c>
      <c r="V242" t="s">
        <v>168</v>
      </c>
    </row>
    <row r="243" spans="9:22" x14ac:dyDescent="0.45">
      <c r="I243" t="s">
        <v>181</v>
      </c>
      <c r="J243" t="s">
        <v>269</v>
      </c>
      <c r="K243">
        <v>7.8077535318580487E-3</v>
      </c>
      <c r="L243" t="s">
        <v>168</v>
      </c>
      <c r="N243" t="s">
        <v>205</v>
      </c>
      <c r="O243" t="s">
        <v>269</v>
      </c>
      <c r="P243">
        <v>3.28050513855496E-3</v>
      </c>
      <c r="Q243" t="s">
        <v>168</v>
      </c>
      <c r="S243" t="s">
        <v>224</v>
      </c>
      <c r="T243" t="s">
        <v>269</v>
      </c>
      <c r="U243">
        <v>1.87128862232445E-3</v>
      </c>
      <c r="V243" t="s">
        <v>168</v>
      </c>
    </row>
    <row r="244" spans="9:22" x14ac:dyDescent="0.45">
      <c r="I244" t="s">
        <v>181</v>
      </c>
      <c r="J244" t="s">
        <v>270</v>
      </c>
      <c r="K244">
        <v>1.0197959647937564E-2</v>
      </c>
      <c r="L244" t="s">
        <v>168</v>
      </c>
      <c r="N244" t="s">
        <v>205</v>
      </c>
      <c r="O244" t="s">
        <v>270</v>
      </c>
      <c r="P244">
        <v>1.259117632287386E-2</v>
      </c>
      <c r="Q244" t="s">
        <v>168</v>
      </c>
      <c r="S244" t="s">
        <v>224</v>
      </c>
      <c r="T244" t="s">
        <v>270</v>
      </c>
      <c r="U244">
        <v>8.5386035643532903E-3</v>
      </c>
      <c r="V244" t="s">
        <v>168</v>
      </c>
    </row>
    <row r="245" spans="9:22" x14ac:dyDescent="0.45">
      <c r="I245" t="s">
        <v>181</v>
      </c>
      <c r="J245" t="s">
        <v>271</v>
      </c>
      <c r="K245">
        <v>8.6589218088021173E-3</v>
      </c>
      <c r="L245" t="s">
        <v>168</v>
      </c>
      <c r="N245" t="s">
        <v>205</v>
      </c>
      <c r="O245" t="s">
        <v>271</v>
      </c>
      <c r="P245">
        <v>2.5386188874639816E-2</v>
      </c>
      <c r="Q245" t="s">
        <v>168</v>
      </c>
      <c r="S245" t="s">
        <v>224</v>
      </c>
      <c r="T245" t="s">
        <v>271</v>
      </c>
      <c r="U245">
        <v>2.3727853676352703E-2</v>
      </c>
      <c r="V245" t="s">
        <v>168</v>
      </c>
    </row>
    <row r="246" spans="9:22" x14ac:dyDescent="0.45">
      <c r="I246" t="s">
        <v>181</v>
      </c>
      <c r="J246" t="s">
        <v>272</v>
      </c>
      <c r="K246">
        <v>8.5993928217550485E-3</v>
      </c>
      <c r="L246" t="s">
        <v>168</v>
      </c>
      <c r="N246" t="s">
        <v>205</v>
      </c>
      <c r="O246" t="s">
        <v>272</v>
      </c>
      <c r="P246">
        <v>1.7637572415763691E-3</v>
      </c>
      <c r="Q246" t="s">
        <v>168</v>
      </c>
      <c r="S246" t="s">
        <v>224</v>
      </c>
      <c r="T246" t="s">
        <v>272</v>
      </c>
      <c r="U246">
        <v>3.1847923229794588E-3</v>
      </c>
      <c r="V246" t="s">
        <v>168</v>
      </c>
    </row>
    <row r="247" spans="9:22" x14ac:dyDescent="0.45">
      <c r="I247" t="s">
        <v>181</v>
      </c>
      <c r="J247" t="s">
        <v>273</v>
      </c>
      <c r="K247">
        <v>1.0252765354670139E-2</v>
      </c>
      <c r="L247" t="s">
        <v>168</v>
      </c>
      <c r="N247" t="s">
        <v>205</v>
      </c>
      <c r="O247" t="s">
        <v>273</v>
      </c>
      <c r="P247">
        <v>1.6151290792802125E-3</v>
      </c>
      <c r="Q247" t="s">
        <v>168</v>
      </c>
      <c r="S247" t="s">
        <v>224</v>
      </c>
      <c r="T247" t="s">
        <v>273</v>
      </c>
      <c r="U247">
        <v>3.2485325981860586E-3</v>
      </c>
      <c r="V247" t="s">
        <v>168</v>
      </c>
    </row>
    <row r="248" spans="9:22" x14ac:dyDescent="0.45">
      <c r="I248" t="s">
        <v>181</v>
      </c>
      <c r="J248" t="s">
        <v>274</v>
      </c>
      <c r="K248">
        <v>5.6004323000912196E-2</v>
      </c>
      <c r="L248" t="s">
        <v>168</v>
      </c>
      <c r="N248" t="s">
        <v>205</v>
      </c>
      <c r="O248" t="s">
        <v>274</v>
      </c>
      <c r="P248">
        <v>1.9961405151769612E-2</v>
      </c>
      <c r="Q248" t="s">
        <v>168</v>
      </c>
      <c r="S248" t="s">
        <v>224</v>
      </c>
      <c r="T248" t="s">
        <v>274</v>
      </c>
      <c r="U248">
        <v>2.0619144968874951E-2</v>
      </c>
      <c r="V248" t="s">
        <v>168</v>
      </c>
    </row>
    <row r="249" spans="9:22" x14ac:dyDescent="0.45">
      <c r="I249" t="s">
        <v>181</v>
      </c>
      <c r="J249" t="s">
        <v>275</v>
      </c>
      <c r="K249">
        <v>6.6141829690398255E-3</v>
      </c>
      <c r="L249" t="s">
        <v>168</v>
      </c>
      <c r="N249" t="s">
        <v>205</v>
      </c>
      <c r="O249" t="s">
        <v>275</v>
      </c>
      <c r="P249">
        <v>4.2323748311826432E-3</v>
      </c>
      <c r="Q249" t="s">
        <v>168</v>
      </c>
      <c r="S249" t="s">
        <v>224</v>
      </c>
      <c r="T249" t="s">
        <v>275</v>
      </c>
      <c r="U249">
        <v>3.3156049271614832E-3</v>
      </c>
      <c r="V249" t="s">
        <v>168</v>
      </c>
    </row>
    <row r="250" spans="9:22" x14ac:dyDescent="0.45">
      <c r="I250" t="s">
        <v>181</v>
      </c>
      <c r="J250" t="s">
        <v>276</v>
      </c>
      <c r="K250">
        <v>5.1459487205598462E-3</v>
      </c>
      <c r="L250" t="s">
        <v>168</v>
      </c>
      <c r="N250" t="s">
        <v>205</v>
      </c>
      <c r="O250" t="s">
        <v>276</v>
      </c>
      <c r="P250">
        <v>1.8559268637772783E-2</v>
      </c>
      <c r="Q250" t="s">
        <v>168</v>
      </c>
      <c r="S250" t="s">
        <v>224</v>
      </c>
      <c r="T250" t="s">
        <v>276</v>
      </c>
      <c r="U250">
        <v>2.0810135606270971E-2</v>
      </c>
      <c r="V250" t="s">
        <v>168</v>
      </c>
    </row>
    <row r="251" spans="9:22" x14ac:dyDescent="0.45">
      <c r="I251" t="s">
        <v>181</v>
      </c>
      <c r="J251" t="s">
        <v>277</v>
      </c>
      <c r="K251">
        <v>3.1386107308001396E-3</v>
      </c>
      <c r="L251" t="s">
        <v>168</v>
      </c>
      <c r="N251" t="s">
        <v>205</v>
      </c>
      <c r="O251" t="s">
        <v>277</v>
      </c>
      <c r="P251">
        <v>7.4593468966676846E-2</v>
      </c>
      <c r="Q251" t="s">
        <v>168</v>
      </c>
      <c r="S251" t="s">
        <v>224</v>
      </c>
      <c r="T251" t="s">
        <v>277</v>
      </c>
      <c r="U251">
        <v>6.3520758660670862E-2</v>
      </c>
      <c r="V251" t="s">
        <v>168</v>
      </c>
    </row>
    <row r="252" spans="9:22" x14ac:dyDescent="0.45">
      <c r="I252" t="s">
        <v>181</v>
      </c>
      <c r="J252" t="s">
        <v>278</v>
      </c>
      <c r="K252">
        <v>7.3552335729081125E-3</v>
      </c>
      <c r="L252" t="s">
        <v>168</v>
      </c>
      <c r="N252" t="s">
        <v>205</v>
      </c>
      <c r="O252" t="s">
        <v>278</v>
      </c>
      <c r="P252">
        <v>8.9375222471152205E-3</v>
      </c>
      <c r="Q252" t="s">
        <v>168</v>
      </c>
      <c r="S252" t="s">
        <v>224</v>
      </c>
      <c r="T252" t="s">
        <v>278</v>
      </c>
      <c r="U252">
        <v>7.5850850728350142E-3</v>
      </c>
      <c r="V252" t="s">
        <v>168</v>
      </c>
    </row>
    <row r="253" spans="9:22" x14ac:dyDescent="0.45">
      <c r="I253" t="s">
        <v>181</v>
      </c>
      <c r="J253" t="s">
        <v>279</v>
      </c>
      <c r="K253">
        <v>1.0555349221795959E-2</v>
      </c>
      <c r="L253" t="s">
        <v>168</v>
      </c>
      <c r="N253" t="s">
        <v>205</v>
      </c>
      <c r="O253" t="s">
        <v>279</v>
      </c>
      <c r="P253">
        <v>8.5207810989005595E-3</v>
      </c>
      <c r="Q253" t="s">
        <v>168</v>
      </c>
      <c r="S253" t="s">
        <v>224</v>
      </c>
      <c r="T253" t="s">
        <v>279</v>
      </c>
      <c r="U253">
        <v>7.5808322667774656E-3</v>
      </c>
      <c r="V253" t="s">
        <v>168</v>
      </c>
    </row>
    <row r="254" spans="9:22" x14ac:dyDescent="0.45">
      <c r="I254" t="s">
        <v>181</v>
      </c>
      <c r="J254" t="s">
        <v>280</v>
      </c>
      <c r="K254">
        <v>7.070993407745832E-2</v>
      </c>
      <c r="L254" t="s">
        <v>168</v>
      </c>
      <c r="N254" t="s">
        <v>205</v>
      </c>
      <c r="O254" t="s">
        <v>280</v>
      </c>
      <c r="P254">
        <v>7.2371378886602347E-2</v>
      </c>
      <c r="Q254" t="s">
        <v>168</v>
      </c>
      <c r="S254" t="s">
        <v>224</v>
      </c>
      <c r="T254" t="s">
        <v>280</v>
      </c>
      <c r="U254">
        <v>4.5574815869916185E-2</v>
      </c>
      <c r="V254" t="s">
        <v>168</v>
      </c>
    </row>
    <row r="255" spans="9:22" x14ac:dyDescent="0.45">
      <c r="I255" t="s">
        <v>181</v>
      </c>
      <c r="J255" t="s">
        <v>281</v>
      </c>
      <c r="K255">
        <v>4.9794458751762291E-3</v>
      </c>
      <c r="L255" t="s">
        <v>168</v>
      </c>
      <c r="N255" t="s">
        <v>205</v>
      </c>
      <c r="O255" t="s">
        <v>281</v>
      </c>
      <c r="P255">
        <v>1.2190997673847726E-2</v>
      </c>
      <c r="Q255" t="s">
        <v>168</v>
      </c>
      <c r="S255" t="s">
        <v>224</v>
      </c>
      <c r="T255" t="s">
        <v>281</v>
      </c>
      <c r="U255">
        <v>7.5217416932454951E-3</v>
      </c>
      <c r="V255" t="s">
        <v>168</v>
      </c>
    </row>
    <row r="256" spans="9:22" x14ac:dyDescent="0.45">
      <c r="I256" t="s">
        <v>181</v>
      </c>
      <c r="J256" t="s">
        <v>282</v>
      </c>
      <c r="K256">
        <v>4.3865733917494677E-4</v>
      </c>
      <c r="L256" t="s">
        <v>168</v>
      </c>
      <c r="N256" t="s">
        <v>205</v>
      </c>
      <c r="O256" t="s">
        <v>282</v>
      </c>
      <c r="P256">
        <v>7.5484870234769269E-2</v>
      </c>
      <c r="Q256" t="s">
        <v>168</v>
      </c>
      <c r="S256" t="s">
        <v>224</v>
      </c>
      <c r="T256" t="s">
        <v>282</v>
      </c>
      <c r="U256">
        <v>5.3071579807916373E-2</v>
      </c>
      <c r="V256" t="s">
        <v>168</v>
      </c>
    </row>
    <row r="257" spans="9:22" x14ac:dyDescent="0.45">
      <c r="I257" t="s">
        <v>181</v>
      </c>
      <c r="J257" t="s">
        <v>283</v>
      </c>
      <c r="K257">
        <v>0</v>
      </c>
      <c r="L257" t="s">
        <v>168</v>
      </c>
      <c r="N257" t="s">
        <v>205</v>
      </c>
      <c r="O257" t="s">
        <v>283</v>
      </c>
      <c r="P257">
        <v>3.5566813147025131E-2</v>
      </c>
      <c r="Q257" t="s">
        <v>168</v>
      </c>
      <c r="S257" t="s">
        <v>224</v>
      </c>
      <c r="T257" t="s">
        <v>283</v>
      </c>
      <c r="U257">
        <v>1.8881749637916362E-2</v>
      </c>
      <c r="V257" t="s">
        <v>168</v>
      </c>
    </row>
    <row r="258" spans="9:22" x14ac:dyDescent="0.45">
      <c r="I258" t="s">
        <v>181</v>
      </c>
      <c r="J258" t="s">
        <v>284</v>
      </c>
      <c r="K258">
        <v>3.7538368612276161E-3</v>
      </c>
      <c r="L258" t="s">
        <v>168</v>
      </c>
      <c r="N258" t="s">
        <v>205</v>
      </c>
      <c r="O258" t="s">
        <v>284</v>
      </c>
      <c r="P258">
        <v>5.2886164198926826E-3</v>
      </c>
      <c r="Q258" t="s">
        <v>168</v>
      </c>
      <c r="S258" t="s">
        <v>224</v>
      </c>
      <c r="T258" t="s">
        <v>284</v>
      </c>
      <c r="U258">
        <v>2.4672438382383863E-3</v>
      </c>
      <c r="V258" t="s">
        <v>168</v>
      </c>
    </row>
    <row r="259" spans="9:22" x14ac:dyDescent="0.45">
      <c r="I259" t="s">
        <v>181</v>
      </c>
      <c r="J259" t="s">
        <v>285</v>
      </c>
      <c r="K259">
        <v>5.8773056585786528E-3</v>
      </c>
      <c r="L259" t="s">
        <v>168</v>
      </c>
      <c r="N259" t="s">
        <v>205</v>
      </c>
      <c r="O259" t="s">
        <v>285</v>
      </c>
      <c r="P259">
        <v>5.159093391105176E-3</v>
      </c>
      <c r="Q259" t="s">
        <v>168</v>
      </c>
      <c r="S259" t="s">
        <v>224</v>
      </c>
      <c r="T259" t="s">
        <v>285</v>
      </c>
      <c r="U259">
        <v>2.5566240118738474E-3</v>
      </c>
      <c r="V259" t="s">
        <v>168</v>
      </c>
    </row>
    <row r="260" spans="9:22" x14ac:dyDescent="0.45">
      <c r="I260" t="s">
        <v>181</v>
      </c>
      <c r="J260" t="s">
        <v>286</v>
      </c>
      <c r="K260">
        <v>3.9325993284281852E-2</v>
      </c>
      <c r="L260" t="s">
        <v>168</v>
      </c>
      <c r="N260" t="s">
        <v>205</v>
      </c>
      <c r="O260" t="s">
        <v>286</v>
      </c>
      <c r="P260">
        <v>2.6474160717443046E-2</v>
      </c>
      <c r="Q260" t="s">
        <v>168</v>
      </c>
      <c r="S260" t="s">
        <v>224</v>
      </c>
      <c r="T260" t="s">
        <v>286</v>
      </c>
      <c r="U260">
        <v>1.5571695946650197E-2</v>
      </c>
      <c r="V260" t="s">
        <v>168</v>
      </c>
    </row>
    <row r="261" spans="9:22" x14ac:dyDescent="0.45">
      <c r="I261" t="s">
        <v>181</v>
      </c>
      <c r="J261" t="s">
        <v>287</v>
      </c>
      <c r="K261">
        <v>3.3324354010982708E-4</v>
      </c>
      <c r="L261" t="s">
        <v>168</v>
      </c>
      <c r="N261" t="s">
        <v>205</v>
      </c>
      <c r="O261" t="s">
        <v>287</v>
      </c>
      <c r="P261">
        <v>3.6277893815782076E-3</v>
      </c>
      <c r="Q261" t="s">
        <v>168</v>
      </c>
      <c r="S261" t="s">
        <v>224</v>
      </c>
      <c r="T261" t="s">
        <v>287</v>
      </c>
      <c r="U261">
        <v>2.6388984697987288E-3</v>
      </c>
      <c r="V261" t="s">
        <v>168</v>
      </c>
    </row>
    <row r="262" spans="9:22" x14ac:dyDescent="0.45">
      <c r="I262" t="s">
        <v>181</v>
      </c>
      <c r="J262" t="s">
        <v>288</v>
      </c>
      <c r="K262">
        <v>0</v>
      </c>
      <c r="L262" t="s">
        <v>168</v>
      </c>
      <c r="N262" t="s">
        <v>205</v>
      </c>
      <c r="O262" t="s">
        <v>288</v>
      </c>
      <c r="P262">
        <v>2.4426676212261241E-2</v>
      </c>
      <c r="Q262" t="s">
        <v>168</v>
      </c>
      <c r="S262" t="s">
        <v>224</v>
      </c>
      <c r="T262" t="s">
        <v>288</v>
      </c>
      <c r="U262">
        <v>1.7796981364847489E-2</v>
      </c>
      <c r="V262" t="s">
        <v>168</v>
      </c>
    </row>
    <row r="263" spans="9:22" x14ac:dyDescent="0.45">
      <c r="I263" t="s">
        <v>182</v>
      </c>
      <c r="J263" t="s">
        <v>167</v>
      </c>
      <c r="K263">
        <v>1.2267121324052738E-3</v>
      </c>
      <c r="L263" t="s">
        <v>168</v>
      </c>
      <c r="N263" t="s">
        <v>206</v>
      </c>
      <c r="O263" t="s">
        <v>167</v>
      </c>
      <c r="P263">
        <v>6.6693032564204724E-2</v>
      </c>
      <c r="Q263" t="s">
        <v>168</v>
      </c>
      <c r="S263" t="s">
        <v>225</v>
      </c>
      <c r="T263" t="s">
        <v>167</v>
      </c>
      <c r="U263">
        <v>7.4743951856703517E-2</v>
      </c>
      <c r="V263" t="s">
        <v>168</v>
      </c>
    </row>
    <row r="264" spans="9:22" x14ac:dyDescent="0.45">
      <c r="I264" t="s">
        <v>182</v>
      </c>
      <c r="J264" t="s">
        <v>169</v>
      </c>
      <c r="K264">
        <v>6.9952228838227231E-3</v>
      </c>
      <c r="L264" t="s">
        <v>168</v>
      </c>
      <c r="N264" t="s">
        <v>206</v>
      </c>
      <c r="O264" t="s">
        <v>169</v>
      </c>
      <c r="P264">
        <v>8.0450488131153155E-3</v>
      </c>
      <c r="Q264" t="s">
        <v>168</v>
      </c>
      <c r="S264" t="s">
        <v>225</v>
      </c>
      <c r="T264" t="s">
        <v>169</v>
      </c>
      <c r="U264">
        <v>9.1079265860274788E-3</v>
      </c>
      <c r="V264" t="s">
        <v>168</v>
      </c>
    </row>
    <row r="265" spans="9:22" x14ac:dyDescent="0.45">
      <c r="I265" t="s">
        <v>182</v>
      </c>
      <c r="J265" t="s">
        <v>170</v>
      </c>
      <c r="K265">
        <v>1.0842938247521926E-2</v>
      </c>
      <c r="L265" t="s">
        <v>168</v>
      </c>
      <c r="N265" t="s">
        <v>206</v>
      </c>
      <c r="O265" t="s">
        <v>170</v>
      </c>
      <c r="P265">
        <v>7.5949930929458563E-3</v>
      </c>
      <c r="Q265" t="s">
        <v>168</v>
      </c>
      <c r="S265" t="s">
        <v>225</v>
      </c>
      <c r="T265" t="s">
        <v>170</v>
      </c>
      <c r="U265">
        <v>8.8397538129260534E-3</v>
      </c>
      <c r="V265" t="s">
        <v>168</v>
      </c>
    </row>
    <row r="266" spans="9:22" x14ac:dyDescent="0.45">
      <c r="I266" t="s">
        <v>182</v>
      </c>
      <c r="J266" t="s">
        <v>256</v>
      </c>
      <c r="K266">
        <v>7.3944477791360763E-2</v>
      </c>
      <c r="L266" t="s">
        <v>168</v>
      </c>
      <c r="N266" t="s">
        <v>206</v>
      </c>
      <c r="O266" t="s">
        <v>256</v>
      </c>
      <c r="P266">
        <v>5.5519225063147055E-2</v>
      </c>
      <c r="Q266" t="s">
        <v>168</v>
      </c>
      <c r="S266" t="s">
        <v>225</v>
      </c>
      <c r="T266" t="s">
        <v>256</v>
      </c>
      <c r="U266">
        <v>5.1899530283660317E-2</v>
      </c>
      <c r="V266" t="s">
        <v>168</v>
      </c>
    </row>
    <row r="267" spans="9:22" x14ac:dyDescent="0.45">
      <c r="I267" t="s">
        <v>182</v>
      </c>
      <c r="J267" t="s">
        <v>257</v>
      </c>
      <c r="K267">
        <v>6.8704737661269043E-3</v>
      </c>
      <c r="L267" t="s">
        <v>168</v>
      </c>
      <c r="N267" t="s">
        <v>206</v>
      </c>
      <c r="O267" t="s">
        <v>257</v>
      </c>
      <c r="P267">
        <v>9.8623928181271435E-3</v>
      </c>
      <c r="Q267" t="s">
        <v>168</v>
      </c>
      <c r="S267" t="s">
        <v>225</v>
      </c>
      <c r="T267" t="s">
        <v>257</v>
      </c>
      <c r="U267">
        <v>8.8311668659078312E-3</v>
      </c>
      <c r="V267" t="s">
        <v>168</v>
      </c>
    </row>
    <row r="268" spans="9:22" x14ac:dyDescent="0.45">
      <c r="I268" t="s">
        <v>182</v>
      </c>
      <c r="J268" t="s">
        <v>258</v>
      </c>
      <c r="K268">
        <v>1.8905838852896781E-3</v>
      </c>
      <c r="L268" t="s">
        <v>168</v>
      </c>
      <c r="N268" t="s">
        <v>206</v>
      </c>
      <c r="O268" t="s">
        <v>258</v>
      </c>
      <c r="P268">
        <v>5.5286767291720787E-2</v>
      </c>
      <c r="Q268" t="s">
        <v>168</v>
      </c>
      <c r="S268" t="s">
        <v>225</v>
      </c>
      <c r="T268" t="s">
        <v>258</v>
      </c>
      <c r="U268">
        <v>6.5132835328360186E-2</v>
      </c>
      <c r="V268" t="s">
        <v>168</v>
      </c>
    </row>
    <row r="269" spans="9:22" x14ac:dyDescent="0.45">
      <c r="I269" t="s">
        <v>182</v>
      </c>
      <c r="J269" t="s">
        <v>171</v>
      </c>
      <c r="K269">
        <v>4.6126966730993188E-2</v>
      </c>
      <c r="L269" t="s">
        <v>168</v>
      </c>
      <c r="N269" t="s">
        <v>206</v>
      </c>
      <c r="O269" t="s">
        <v>171</v>
      </c>
      <c r="P269">
        <v>8.3158932932261093E-2</v>
      </c>
      <c r="Q269" t="s">
        <v>168</v>
      </c>
      <c r="S269" t="s">
        <v>225</v>
      </c>
      <c r="T269" t="s">
        <v>171</v>
      </c>
      <c r="U269">
        <v>0.12763546577383159</v>
      </c>
      <c r="V269" t="s">
        <v>168</v>
      </c>
    </row>
    <row r="270" spans="9:22" x14ac:dyDescent="0.45">
      <c r="I270" t="s">
        <v>182</v>
      </c>
      <c r="J270" t="s">
        <v>172</v>
      </c>
      <c r="K270">
        <v>3.2850095830631788E-2</v>
      </c>
      <c r="L270" t="s">
        <v>168</v>
      </c>
      <c r="N270" t="s">
        <v>206</v>
      </c>
      <c r="O270" t="s">
        <v>172</v>
      </c>
      <c r="P270">
        <v>1.2392406820871107E-2</v>
      </c>
      <c r="Q270" t="s">
        <v>168</v>
      </c>
      <c r="S270" t="s">
        <v>225</v>
      </c>
      <c r="T270" t="s">
        <v>172</v>
      </c>
      <c r="U270">
        <v>1.4998748839673575E-2</v>
      </c>
      <c r="V270" t="s">
        <v>168</v>
      </c>
    </row>
    <row r="271" spans="9:22" x14ac:dyDescent="0.45">
      <c r="I271" t="s">
        <v>182</v>
      </c>
      <c r="J271" t="s">
        <v>173</v>
      </c>
      <c r="K271">
        <v>3.8174861755223548E-2</v>
      </c>
      <c r="L271" t="s">
        <v>168</v>
      </c>
      <c r="N271" t="s">
        <v>206</v>
      </c>
      <c r="O271" t="s">
        <v>173</v>
      </c>
      <c r="P271">
        <v>1.5187466195244834E-2</v>
      </c>
      <c r="Q271" t="s">
        <v>168</v>
      </c>
      <c r="S271" t="s">
        <v>225</v>
      </c>
      <c r="T271" t="s">
        <v>173</v>
      </c>
      <c r="U271">
        <v>1.4875821573492234E-2</v>
      </c>
      <c r="V271" t="s">
        <v>168</v>
      </c>
    </row>
    <row r="272" spans="9:22" x14ac:dyDescent="0.45">
      <c r="I272" t="s">
        <v>182</v>
      </c>
      <c r="J272" t="s">
        <v>259</v>
      </c>
      <c r="K272">
        <v>0.22496957166313741</v>
      </c>
      <c r="L272" t="s">
        <v>168</v>
      </c>
      <c r="N272" t="s">
        <v>206</v>
      </c>
      <c r="O272" t="s">
        <v>259</v>
      </c>
      <c r="P272">
        <v>0.1054237224651129</v>
      </c>
      <c r="Q272" t="s">
        <v>168</v>
      </c>
      <c r="S272" t="s">
        <v>225</v>
      </c>
      <c r="T272" t="s">
        <v>259</v>
      </c>
      <c r="U272">
        <v>8.9379944392433144E-2</v>
      </c>
      <c r="V272" t="s">
        <v>168</v>
      </c>
    </row>
    <row r="273" spans="9:22" x14ac:dyDescent="0.45">
      <c r="I273" t="s">
        <v>182</v>
      </c>
      <c r="J273" t="s">
        <v>260</v>
      </c>
      <c r="K273">
        <v>2.7022739090017879E-2</v>
      </c>
      <c r="L273" t="s">
        <v>168</v>
      </c>
      <c r="N273" t="s">
        <v>206</v>
      </c>
      <c r="O273" t="s">
        <v>260</v>
      </c>
      <c r="P273">
        <v>1.745233302189626E-2</v>
      </c>
      <c r="Q273" t="s">
        <v>168</v>
      </c>
      <c r="S273" t="s">
        <v>225</v>
      </c>
      <c r="T273" t="s">
        <v>260</v>
      </c>
      <c r="U273">
        <v>1.6234083974449257E-2</v>
      </c>
      <c r="V273" t="s">
        <v>168</v>
      </c>
    </row>
    <row r="274" spans="9:22" x14ac:dyDescent="0.45">
      <c r="I274" t="s">
        <v>182</v>
      </c>
      <c r="J274" t="s">
        <v>261</v>
      </c>
      <c r="K274">
        <v>3.3635665302420313E-2</v>
      </c>
      <c r="L274" t="s">
        <v>168</v>
      </c>
      <c r="N274" t="s">
        <v>206</v>
      </c>
      <c r="O274" t="s">
        <v>261</v>
      </c>
      <c r="P274">
        <v>8.6472666394093942E-2</v>
      </c>
      <c r="Q274" t="s">
        <v>168</v>
      </c>
      <c r="S274" t="s">
        <v>225</v>
      </c>
      <c r="T274" t="s">
        <v>261</v>
      </c>
      <c r="U274">
        <v>0.11310403550184284</v>
      </c>
      <c r="V274" t="s">
        <v>168</v>
      </c>
    </row>
    <row r="275" spans="9:22" x14ac:dyDescent="0.45">
      <c r="I275" t="s">
        <v>182</v>
      </c>
      <c r="J275" t="s">
        <v>174</v>
      </c>
      <c r="K275">
        <v>1.8513968488132304E-2</v>
      </c>
      <c r="L275" t="s">
        <v>168</v>
      </c>
      <c r="N275" t="s">
        <v>206</v>
      </c>
      <c r="O275" t="s">
        <v>174</v>
      </c>
      <c r="P275">
        <v>6.4911669586808895E-3</v>
      </c>
      <c r="Q275" t="s">
        <v>168</v>
      </c>
      <c r="S275" t="s">
        <v>225</v>
      </c>
      <c r="T275" t="s">
        <v>174</v>
      </c>
      <c r="U275">
        <v>8.7589994452586129E-3</v>
      </c>
      <c r="V275" t="s">
        <v>168</v>
      </c>
    </row>
    <row r="276" spans="9:22" x14ac:dyDescent="0.45">
      <c r="I276" t="s">
        <v>182</v>
      </c>
      <c r="J276" t="s">
        <v>175</v>
      </c>
      <c r="K276">
        <v>1.0801372141729404E-2</v>
      </c>
      <c r="L276" t="s">
        <v>168</v>
      </c>
      <c r="N276" t="s">
        <v>206</v>
      </c>
      <c r="O276" t="s">
        <v>175</v>
      </c>
      <c r="P276">
        <v>9.2462343957539774E-4</v>
      </c>
      <c r="Q276" t="s">
        <v>168</v>
      </c>
      <c r="S276" t="s">
        <v>225</v>
      </c>
      <c r="T276" t="s">
        <v>175</v>
      </c>
      <c r="U276">
        <v>1.0683698406924399E-3</v>
      </c>
      <c r="V276" t="s">
        <v>168</v>
      </c>
    </row>
    <row r="277" spans="9:22" x14ac:dyDescent="0.45">
      <c r="I277" t="s">
        <v>182</v>
      </c>
      <c r="J277" t="s">
        <v>176</v>
      </c>
      <c r="K277">
        <v>1.2020539575744334E-2</v>
      </c>
      <c r="L277" t="s">
        <v>168</v>
      </c>
      <c r="N277" t="s">
        <v>206</v>
      </c>
      <c r="O277" t="s">
        <v>176</v>
      </c>
      <c r="P277">
        <v>1.4551323395854349E-3</v>
      </c>
      <c r="Q277" t="s">
        <v>168</v>
      </c>
      <c r="S277" t="s">
        <v>225</v>
      </c>
      <c r="T277" t="s">
        <v>176</v>
      </c>
      <c r="U277">
        <v>1.0588519197260041E-3</v>
      </c>
      <c r="V277" t="s">
        <v>168</v>
      </c>
    </row>
    <row r="278" spans="9:22" x14ac:dyDescent="0.45">
      <c r="I278" t="s">
        <v>182</v>
      </c>
      <c r="J278" t="s">
        <v>262</v>
      </c>
      <c r="K278">
        <v>7.1257434171035375E-2</v>
      </c>
      <c r="L278" t="s">
        <v>168</v>
      </c>
      <c r="N278" t="s">
        <v>206</v>
      </c>
      <c r="O278" t="s">
        <v>262</v>
      </c>
      <c r="P278">
        <v>1.223971030427864E-2</v>
      </c>
      <c r="Q278" t="s">
        <v>168</v>
      </c>
      <c r="S278" t="s">
        <v>225</v>
      </c>
      <c r="T278" t="s">
        <v>262</v>
      </c>
      <c r="U278">
        <v>5.8910005313231569E-3</v>
      </c>
      <c r="V278" t="s">
        <v>168</v>
      </c>
    </row>
    <row r="279" spans="9:22" x14ac:dyDescent="0.45">
      <c r="I279" t="s">
        <v>182</v>
      </c>
      <c r="J279" t="s">
        <v>263</v>
      </c>
      <c r="K279">
        <v>9.1543455055956152E-3</v>
      </c>
      <c r="L279" t="s">
        <v>168</v>
      </c>
      <c r="N279" t="s">
        <v>206</v>
      </c>
      <c r="O279" t="s">
        <v>263</v>
      </c>
      <c r="P279">
        <v>2.2180096679335869E-3</v>
      </c>
      <c r="Q279" t="s">
        <v>168</v>
      </c>
      <c r="S279" t="s">
        <v>225</v>
      </c>
      <c r="T279" t="s">
        <v>263</v>
      </c>
      <c r="U279">
        <v>1.2588033621369677E-3</v>
      </c>
      <c r="V279" t="s">
        <v>168</v>
      </c>
    </row>
    <row r="280" spans="9:22" x14ac:dyDescent="0.45">
      <c r="I280" t="s">
        <v>182</v>
      </c>
      <c r="J280" t="s">
        <v>264</v>
      </c>
      <c r="K280">
        <v>1.388893427706538E-2</v>
      </c>
      <c r="L280" t="s">
        <v>168</v>
      </c>
      <c r="N280" t="s">
        <v>206</v>
      </c>
      <c r="O280" t="s">
        <v>264</v>
      </c>
      <c r="P280">
        <v>9.9635255284496998E-3</v>
      </c>
      <c r="Q280" t="s">
        <v>168</v>
      </c>
      <c r="S280" t="s">
        <v>225</v>
      </c>
      <c r="T280" t="s">
        <v>264</v>
      </c>
      <c r="U280">
        <v>8.9900609312493669E-3</v>
      </c>
      <c r="V280" t="s">
        <v>168</v>
      </c>
    </row>
    <row r="281" spans="9:22" x14ac:dyDescent="0.45">
      <c r="I281" t="s">
        <v>182</v>
      </c>
      <c r="J281" t="s">
        <v>265</v>
      </c>
      <c r="K281">
        <v>1.4974144436246199E-2</v>
      </c>
      <c r="L281" t="s">
        <v>168</v>
      </c>
      <c r="N281" t="s">
        <v>206</v>
      </c>
      <c r="O281" t="s">
        <v>265</v>
      </c>
      <c r="P281">
        <v>1.194224496894445E-2</v>
      </c>
      <c r="Q281" t="s">
        <v>168</v>
      </c>
      <c r="S281" t="s">
        <v>225</v>
      </c>
      <c r="T281" t="s">
        <v>265</v>
      </c>
      <c r="U281">
        <v>1.4756201927001401E-2</v>
      </c>
      <c r="V281" t="s">
        <v>168</v>
      </c>
    </row>
    <row r="282" spans="9:22" x14ac:dyDescent="0.45">
      <c r="I282" t="s">
        <v>182</v>
      </c>
      <c r="J282" t="s">
        <v>266</v>
      </c>
      <c r="K282">
        <v>1.0488971669575287E-2</v>
      </c>
      <c r="L282" t="s">
        <v>168</v>
      </c>
      <c r="N282" t="s">
        <v>206</v>
      </c>
      <c r="O282" t="s">
        <v>266</v>
      </c>
      <c r="P282">
        <v>1.4286847625638349E-3</v>
      </c>
      <c r="Q282" t="s">
        <v>168</v>
      </c>
      <c r="S282" t="s">
        <v>225</v>
      </c>
      <c r="T282" t="s">
        <v>266</v>
      </c>
      <c r="U282">
        <v>1.3538652658758956E-3</v>
      </c>
      <c r="V282" t="s">
        <v>168</v>
      </c>
    </row>
    <row r="283" spans="9:22" x14ac:dyDescent="0.45">
      <c r="I283" t="s">
        <v>182</v>
      </c>
      <c r="J283" t="s">
        <v>267</v>
      </c>
      <c r="K283">
        <v>1.177468651530335E-2</v>
      </c>
      <c r="L283" t="s">
        <v>168</v>
      </c>
      <c r="N283" t="s">
        <v>206</v>
      </c>
      <c r="O283" t="s">
        <v>267</v>
      </c>
      <c r="P283">
        <v>2.1696956898183766E-3</v>
      </c>
      <c r="Q283" t="s">
        <v>168</v>
      </c>
      <c r="S283" t="s">
        <v>225</v>
      </c>
      <c r="T283" t="s">
        <v>267</v>
      </c>
      <c r="U283">
        <v>1.2390066032217731E-3</v>
      </c>
      <c r="V283" t="s">
        <v>168</v>
      </c>
    </row>
    <row r="284" spans="9:22" x14ac:dyDescent="0.45">
      <c r="I284" t="s">
        <v>182</v>
      </c>
      <c r="J284" t="s">
        <v>268</v>
      </c>
      <c r="K284">
        <v>6.9227538655905613E-2</v>
      </c>
      <c r="L284" t="s">
        <v>168</v>
      </c>
      <c r="N284" t="s">
        <v>206</v>
      </c>
      <c r="O284" t="s">
        <v>268</v>
      </c>
      <c r="P284">
        <v>1.3948703706164639E-2</v>
      </c>
      <c r="Q284" t="s">
        <v>168</v>
      </c>
      <c r="S284" t="s">
        <v>225</v>
      </c>
      <c r="T284" t="s">
        <v>268</v>
      </c>
      <c r="U284">
        <v>8.344037367828341E-3</v>
      </c>
      <c r="V284" t="s">
        <v>168</v>
      </c>
    </row>
    <row r="285" spans="9:22" x14ac:dyDescent="0.45">
      <c r="I285" t="s">
        <v>182</v>
      </c>
      <c r="J285" t="s">
        <v>269</v>
      </c>
      <c r="K285">
        <v>9.0362831018962354E-3</v>
      </c>
      <c r="L285" t="s">
        <v>168</v>
      </c>
      <c r="N285" t="s">
        <v>206</v>
      </c>
      <c r="O285" t="s">
        <v>269</v>
      </c>
      <c r="P285">
        <v>2.8643725721333828E-3</v>
      </c>
      <c r="Q285" t="s">
        <v>168</v>
      </c>
      <c r="S285" t="s">
        <v>225</v>
      </c>
      <c r="T285" t="s">
        <v>269</v>
      </c>
      <c r="U285">
        <v>1.6800665480577808E-3</v>
      </c>
      <c r="V285" t="s">
        <v>168</v>
      </c>
    </row>
    <row r="286" spans="9:22" x14ac:dyDescent="0.45">
      <c r="I286" t="s">
        <v>182</v>
      </c>
      <c r="J286" t="s">
        <v>270</v>
      </c>
      <c r="K286">
        <v>1.1744719834647989E-2</v>
      </c>
      <c r="L286" t="s">
        <v>168</v>
      </c>
      <c r="N286" t="s">
        <v>206</v>
      </c>
      <c r="O286" t="s">
        <v>270</v>
      </c>
      <c r="P286">
        <v>1.7080377578084196E-2</v>
      </c>
      <c r="Q286" t="s">
        <v>168</v>
      </c>
      <c r="S286" t="s">
        <v>225</v>
      </c>
      <c r="T286" t="s">
        <v>270</v>
      </c>
      <c r="U286">
        <v>1.1366245166318699E-2</v>
      </c>
      <c r="V286" t="s">
        <v>168</v>
      </c>
    </row>
    <row r="287" spans="9:22" x14ac:dyDescent="0.45">
      <c r="I287" t="s">
        <v>182</v>
      </c>
      <c r="J287" t="s">
        <v>271</v>
      </c>
      <c r="K287">
        <v>9.3929924921696741E-3</v>
      </c>
      <c r="L287" t="s">
        <v>168</v>
      </c>
      <c r="N287" t="s">
        <v>206</v>
      </c>
      <c r="O287" t="s">
        <v>271</v>
      </c>
      <c r="P287">
        <v>1.2539867196983795E-2</v>
      </c>
      <c r="Q287" t="s">
        <v>168</v>
      </c>
      <c r="S287" t="s">
        <v>225</v>
      </c>
      <c r="T287" t="s">
        <v>271</v>
      </c>
      <c r="U287">
        <v>2.2919080758959813E-2</v>
      </c>
      <c r="V287" t="s">
        <v>168</v>
      </c>
    </row>
    <row r="288" spans="9:22" x14ac:dyDescent="0.45">
      <c r="I288" t="s">
        <v>182</v>
      </c>
      <c r="J288" t="s">
        <v>272</v>
      </c>
      <c r="K288">
        <v>8.2721581353347035E-3</v>
      </c>
      <c r="L288" t="s">
        <v>168</v>
      </c>
      <c r="N288" t="s">
        <v>206</v>
      </c>
      <c r="O288" t="s">
        <v>272</v>
      </c>
      <c r="P288">
        <v>1.1516127303479369E-3</v>
      </c>
      <c r="Q288" t="s">
        <v>168</v>
      </c>
      <c r="S288" t="s">
        <v>225</v>
      </c>
      <c r="T288" t="s">
        <v>272</v>
      </c>
      <c r="U288">
        <v>2.697548900277087E-3</v>
      </c>
      <c r="V288" t="s">
        <v>168</v>
      </c>
    </row>
    <row r="289" spans="9:22" x14ac:dyDescent="0.45">
      <c r="I289" t="s">
        <v>182</v>
      </c>
      <c r="J289" t="s">
        <v>273</v>
      </c>
      <c r="K289">
        <v>9.8007891706730892E-3</v>
      </c>
      <c r="L289" t="s">
        <v>168</v>
      </c>
      <c r="N289" t="s">
        <v>206</v>
      </c>
      <c r="O289" t="s">
        <v>273</v>
      </c>
      <c r="P289">
        <v>1.6270107144453439E-3</v>
      </c>
      <c r="Q289" t="s">
        <v>168</v>
      </c>
      <c r="S289" t="s">
        <v>225</v>
      </c>
      <c r="T289" t="s">
        <v>273</v>
      </c>
      <c r="U289">
        <v>2.7121352767712917E-3</v>
      </c>
      <c r="V289" t="s">
        <v>168</v>
      </c>
    </row>
    <row r="290" spans="9:22" x14ac:dyDescent="0.45">
      <c r="I290" t="s">
        <v>182</v>
      </c>
      <c r="J290" t="s">
        <v>274</v>
      </c>
      <c r="K290">
        <v>5.6379881394848924E-2</v>
      </c>
      <c r="L290" t="s">
        <v>168</v>
      </c>
      <c r="N290" t="s">
        <v>206</v>
      </c>
      <c r="O290" t="s">
        <v>274</v>
      </c>
      <c r="P290">
        <v>1.6802348227193568E-2</v>
      </c>
      <c r="Q290" t="s">
        <v>168</v>
      </c>
      <c r="S290" t="s">
        <v>225</v>
      </c>
      <c r="T290" t="s">
        <v>274</v>
      </c>
      <c r="U290">
        <v>1.7455754922786081E-2</v>
      </c>
      <c r="V290" t="s">
        <v>168</v>
      </c>
    </row>
    <row r="291" spans="9:22" x14ac:dyDescent="0.45">
      <c r="I291" t="s">
        <v>182</v>
      </c>
      <c r="J291" t="s">
        <v>275</v>
      </c>
      <c r="K291">
        <v>6.9479757802101381E-3</v>
      </c>
      <c r="L291" t="s">
        <v>168</v>
      </c>
      <c r="N291" t="s">
        <v>206</v>
      </c>
      <c r="O291" t="s">
        <v>275</v>
      </c>
      <c r="P291">
        <v>3.1843764087983988E-3</v>
      </c>
      <c r="Q291" t="s">
        <v>168</v>
      </c>
      <c r="S291" t="s">
        <v>225</v>
      </c>
      <c r="T291" t="s">
        <v>275</v>
      </c>
      <c r="U291">
        <v>3.1026297655422459E-3</v>
      </c>
      <c r="V291" t="s">
        <v>168</v>
      </c>
    </row>
    <row r="292" spans="9:22" x14ac:dyDescent="0.45">
      <c r="I292" t="s">
        <v>182</v>
      </c>
      <c r="J292" t="s">
        <v>276</v>
      </c>
      <c r="K292">
        <v>5.5958084709112066E-3</v>
      </c>
      <c r="L292" t="s">
        <v>168</v>
      </c>
      <c r="N292" t="s">
        <v>206</v>
      </c>
      <c r="O292" t="s">
        <v>276</v>
      </c>
      <c r="P292">
        <v>1.5286547744900292E-2</v>
      </c>
      <c r="Q292" t="s">
        <v>168</v>
      </c>
      <c r="S292" t="s">
        <v>225</v>
      </c>
      <c r="T292" t="s">
        <v>276</v>
      </c>
      <c r="U292">
        <v>2.2568731518214133E-2</v>
      </c>
      <c r="V292" t="s">
        <v>168</v>
      </c>
    </row>
    <row r="293" spans="9:22" x14ac:dyDescent="0.45">
      <c r="I293" t="s">
        <v>182</v>
      </c>
      <c r="J293" t="s">
        <v>277</v>
      </c>
      <c r="K293">
        <v>3.4088956524461742E-3</v>
      </c>
      <c r="L293" t="s">
        <v>168</v>
      </c>
      <c r="N293" t="s">
        <v>206</v>
      </c>
      <c r="O293" t="s">
        <v>277</v>
      </c>
      <c r="P293">
        <v>6.8558587939969939E-2</v>
      </c>
      <c r="Q293" t="s">
        <v>168</v>
      </c>
      <c r="S293" t="s">
        <v>225</v>
      </c>
      <c r="T293" t="s">
        <v>277</v>
      </c>
      <c r="U293">
        <v>6.6977282772221869E-2</v>
      </c>
      <c r="V293" t="s">
        <v>168</v>
      </c>
    </row>
    <row r="294" spans="9:22" x14ac:dyDescent="0.45">
      <c r="I294" t="s">
        <v>182</v>
      </c>
      <c r="J294" t="s">
        <v>278</v>
      </c>
      <c r="K294">
        <v>7.3510638715542677E-3</v>
      </c>
      <c r="L294" t="s">
        <v>168</v>
      </c>
      <c r="N294" t="s">
        <v>206</v>
      </c>
      <c r="O294" t="s">
        <v>278</v>
      </c>
      <c r="P294">
        <v>9.0681489394072307E-3</v>
      </c>
      <c r="Q294" t="s">
        <v>168</v>
      </c>
      <c r="S294" t="s">
        <v>225</v>
      </c>
      <c r="T294" t="s">
        <v>278</v>
      </c>
      <c r="U294">
        <v>8.3557445476629567E-3</v>
      </c>
      <c r="V294" t="s">
        <v>168</v>
      </c>
    </row>
    <row r="295" spans="9:22" x14ac:dyDescent="0.45">
      <c r="I295" t="s">
        <v>182</v>
      </c>
      <c r="J295" t="s">
        <v>279</v>
      </c>
      <c r="K295">
        <v>1.0304842352800931E-2</v>
      </c>
      <c r="L295" t="s">
        <v>168</v>
      </c>
      <c r="N295" t="s">
        <v>206</v>
      </c>
      <c r="O295" t="s">
        <v>279</v>
      </c>
      <c r="P295">
        <v>9.0659699043336948E-3</v>
      </c>
      <c r="Q295" t="s">
        <v>168</v>
      </c>
      <c r="S295" t="s">
        <v>225</v>
      </c>
      <c r="T295" t="s">
        <v>279</v>
      </c>
      <c r="U295">
        <v>8.4249916796944237E-3</v>
      </c>
      <c r="V295" t="s">
        <v>168</v>
      </c>
    </row>
    <row r="296" spans="9:22" x14ac:dyDescent="0.45">
      <c r="I296" t="s">
        <v>182</v>
      </c>
      <c r="J296" t="s">
        <v>280</v>
      </c>
      <c r="K296">
        <v>6.4695264715076417E-2</v>
      </c>
      <c r="L296" t="s">
        <v>168</v>
      </c>
      <c r="N296" t="s">
        <v>206</v>
      </c>
      <c r="O296" t="s">
        <v>280</v>
      </c>
      <c r="P296">
        <v>6.8140304226310011E-2</v>
      </c>
      <c r="Q296" t="s">
        <v>168</v>
      </c>
      <c r="S296" t="s">
        <v>225</v>
      </c>
      <c r="T296" t="s">
        <v>280</v>
      </c>
      <c r="U296">
        <v>5.1802559641453638E-2</v>
      </c>
      <c r="V296" t="s">
        <v>168</v>
      </c>
    </row>
    <row r="297" spans="9:22" x14ac:dyDescent="0.45">
      <c r="I297" t="s">
        <v>182</v>
      </c>
      <c r="J297" t="s">
        <v>281</v>
      </c>
      <c r="K297">
        <v>5.1736408859602758E-3</v>
      </c>
      <c r="L297" t="s">
        <v>168</v>
      </c>
      <c r="N297" t="s">
        <v>206</v>
      </c>
      <c r="O297" t="s">
        <v>281</v>
      </c>
      <c r="P297">
        <v>1.1606814210299247E-2</v>
      </c>
      <c r="Q297" t="s">
        <v>168</v>
      </c>
      <c r="S297" t="s">
        <v>225</v>
      </c>
      <c r="T297" t="s">
        <v>281</v>
      </c>
      <c r="U297">
        <v>8.8609712454434802E-3</v>
      </c>
      <c r="V297" t="s">
        <v>168</v>
      </c>
    </row>
    <row r="298" spans="9:22" x14ac:dyDescent="0.45">
      <c r="I298" t="s">
        <v>182</v>
      </c>
      <c r="J298" t="s">
        <v>282</v>
      </c>
      <c r="K298">
        <v>6.0352025137870439E-4</v>
      </c>
      <c r="L298" t="s">
        <v>168</v>
      </c>
      <c r="N298" t="s">
        <v>206</v>
      </c>
      <c r="O298" t="s">
        <v>282</v>
      </c>
      <c r="P298">
        <v>7.1224879477634673E-2</v>
      </c>
      <c r="Q298" t="s">
        <v>168</v>
      </c>
      <c r="S298" t="s">
        <v>225</v>
      </c>
      <c r="T298" t="s">
        <v>282</v>
      </c>
      <c r="U298">
        <v>6.0491120164812132E-2</v>
      </c>
      <c r="V298" t="s">
        <v>168</v>
      </c>
    </row>
    <row r="299" spans="9:22" x14ac:dyDescent="0.45">
      <c r="I299" t="s">
        <v>182</v>
      </c>
      <c r="J299" t="s">
        <v>283</v>
      </c>
      <c r="K299">
        <v>0</v>
      </c>
      <c r="L299" t="s">
        <v>168</v>
      </c>
      <c r="N299" t="s">
        <v>206</v>
      </c>
      <c r="O299" t="s">
        <v>283</v>
      </c>
      <c r="P299">
        <v>3.7881191256249606E-2</v>
      </c>
      <c r="Q299" t="s">
        <v>168</v>
      </c>
      <c r="S299" t="s">
        <v>225</v>
      </c>
      <c r="T299" t="s">
        <v>283</v>
      </c>
      <c r="U299">
        <v>2.1937152020709696E-2</v>
      </c>
      <c r="V299" t="s">
        <v>168</v>
      </c>
    </row>
    <row r="300" spans="9:22" x14ac:dyDescent="0.45">
      <c r="I300" t="s">
        <v>182</v>
      </c>
      <c r="J300" t="s">
        <v>284</v>
      </c>
      <c r="K300">
        <v>3.016120852888059E-3</v>
      </c>
      <c r="L300" t="s">
        <v>168</v>
      </c>
      <c r="N300" t="s">
        <v>206</v>
      </c>
      <c r="O300" t="s">
        <v>284</v>
      </c>
      <c r="P300">
        <v>5.0232109896899439E-3</v>
      </c>
      <c r="Q300" t="s">
        <v>168</v>
      </c>
      <c r="S300" t="s">
        <v>225</v>
      </c>
      <c r="T300" t="s">
        <v>284</v>
      </c>
      <c r="U300">
        <v>2.7544026648037719E-3</v>
      </c>
      <c r="V300" t="s">
        <v>168</v>
      </c>
    </row>
    <row r="301" spans="9:22" x14ac:dyDescent="0.45">
      <c r="I301" t="s">
        <v>182</v>
      </c>
      <c r="J301" t="s">
        <v>285</v>
      </c>
      <c r="K301">
        <v>4.9607667999863898E-3</v>
      </c>
      <c r="L301" t="s">
        <v>168</v>
      </c>
      <c r="N301" t="s">
        <v>206</v>
      </c>
      <c r="O301" t="s">
        <v>285</v>
      </c>
      <c r="P301">
        <v>4.947069501599839E-3</v>
      </c>
      <c r="Q301" t="s">
        <v>168</v>
      </c>
      <c r="S301" t="s">
        <v>225</v>
      </c>
      <c r="T301" t="s">
        <v>285</v>
      </c>
      <c r="U301">
        <v>2.6993151249940592E-3</v>
      </c>
      <c r="V301" t="s">
        <v>168</v>
      </c>
    </row>
    <row r="302" spans="9:22" x14ac:dyDescent="0.45">
      <c r="I302" t="s">
        <v>182</v>
      </c>
      <c r="J302" t="s">
        <v>286</v>
      </c>
      <c r="K302">
        <v>3.5711942618254243E-2</v>
      </c>
      <c r="L302" t="s">
        <v>168</v>
      </c>
      <c r="N302" t="s">
        <v>206</v>
      </c>
      <c r="O302" t="s">
        <v>286</v>
      </c>
      <c r="P302">
        <v>2.6970099091468792E-2</v>
      </c>
      <c r="Q302" t="s">
        <v>168</v>
      </c>
      <c r="S302" t="s">
        <v>225</v>
      </c>
      <c r="T302" t="s">
        <v>286</v>
      </c>
      <c r="U302">
        <v>1.6185977098503852E-2</v>
      </c>
      <c r="V302" t="s">
        <v>168</v>
      </c>
    </row>
    <row r="303" spans="9:22" x14ac:dyDescent="0.45">
      <c r="I303" t="s">
        <v>182</v>
      </c>
      <c r="J303" t="s">
        <v>287</v>
      </c>
      <c r="K303">
        <v>9.5108910368052533E-4</v>
      </c>
      <c r="L303" t="s">
        <v>168</v>
      </c>
      <c r="N303" t="s">
        <v>206</v>
      </c>
      <c r="O303" t="s">
        <v>287</v>
      </c>
      <c r="P303">
        <v>4.2000881829147478E-3</v>
      </c>
      <c r="Q303" t="s">
        <v>168</v>
      </c>
      <c r="S303" t="s">
        <v>225</v>
      </c>
      <c r="T303" t="s">
        <v>287</v>
      </c>
      <c r="U303">
        <v>2.6232188773568682E-3</v>
      </c>
      <c r="V303" t="s">
        <v>168</v>
      </c>
    </row>
    <row r="304" spans="9:22" x14ac:dyDescent="0.45">
      <c r="I304" t="s">
        <v>182</v>
      </c>
      <c r="J304" t="s">
        <v>288</v>
      </c>
      <c r="K304">
        <v>0</v>
      </c>
      <c r="L304" t="s">
        <v>168</v>
      </c>
      <c r="N304" t="s">
        <v>206</v>
      </c>
      <c r="O304" t="s">
        <v>288</v>
      </c>
      <c r="P304">
        <v>2.6906638268497134E-2</v>
      </c>
      <c r="Q304" t="s">
        <v>168</v>
      </c>
      <c r="S304" t="s">
        <v>225</v>
      </c>
      <c r="T304" t="s">
        <v>288</v>
      </c>
      <c r="U304">
        <v>1.6882609321795437E-2</v>
      </c>
      <c r="V304" t="s">
        <v>168</v>
      </c>
    </row>
    <row r="305" spans="9:22" x14ac:dyDescent="0.45">
      <c r="I305" t="s">
        <v>183</v>
      </c>
      <c r="J305" t="s">
        <v>167</v>
      </c>
      <c r="K305">
        <v>1.9525353543487936E-3</v>
      </c>
      <c r="L305" t="s">
        <v>168</v>
      </c>
      <c r="N305" t="s">
        <v>207</v>
      </c>
      <c r="O305" t="s">
        <v>167</v>
      </c>
      <c r="P305">
        <v>7.4195916562832337E-2</v>
      </c>
      <c r="Q305" t="s">
        <v>168</v>
      </c>
      <c r="S305" t="s">
        <v>226</v>
      </c>
      <c r="T305" t="s">
        <v>167</v>
      </c>
      <c r="U305">
        <v>7.0570225551127699E-2</v>
      </c>
      <c r="V305" t="s">
        <v>168</v>
      </c>
    </row>
    <row r="306" spans="9:22" x14ac:dyDescent="0.45">
      <c r="I306" t="s">
        <v>183</v>
      </c>
      <c r="J306" t="s">
        <v>169</v>
      </c>
      <c r="K306">
        <v>7.2205053656744303E-3</v>
      </c>
      <c r="L306" t="s">
        <v>168</v>
      </c>
      <c r="N306" t="s">
        <v>207</v>
      </c>
      <c r="O306" t="s">
        <v>169</v>
      </c>
      <c r="P306">
        <v>9.2854316014839688E-3</v>
      </c>
      <c r="Q306" t="s">
        <v>168</v>
      </c>
      <c r="S306" t="s">
        <v>226</v>
      </c>
      <c r="T306" t="s">
        <v>169</v>
      </c>
      <c r="U306">
        <v>8.8900612889737142E-3</v>
      </c>
      <c r="V306" t="s">
        <v>168</v>
      </c>
    </row>
    <row r="307" spans="9:22" x14ac:dyDescent="0.45">
      <c r="I307" t="s">
        <v>183</v>
      </c>
      <c r="J307" t="s">
        <v>170</v>
      </c>
      <c r="K307">
        <v>1.1030583059229878E-2</v>
      </c>
      <c r="L307" t="s">
        <v>168</v>
      </c>
      <c r="N307" t="s">
        <v>207</v>
      </c>
      <c r="O307" t="s">
        <v>170</v>
      </c>
      <c r="P307">
        <v>8.9724089180231153E-3</v>
      </c>
      <c r="Q307" t="s">
        <v>168</v>
      </c>
      <c r="S307" t="s">
        <v>226</v>
      </c>
      <c r="T307" t="s">
        <v>170</v>
      </c>
      <c r="U307">
        <v>9.0105946459319713E-3</v>
      </c>
      <c r="V307" t="s">
        <v>168</v>
      </c>
    </row>
    <row r="308" spans="9:22" x14ac:dyDescent="0.45">
      <c r="I308" t="s">
        <v>183</v>
      </c>
      <c r="J308" t="s">
        <v>256</v>
      </c>
      <c r="K308">
        <v>7.5417912560173175E-2</v>
      </c>
      <c r="L308" t="s">
        <v>168</v>
      </c>
      <c r="N308" t="s">
        <v>207</v>
      </c>
      <c r="O308" t="s">
        <v>256</v>
      </c>
      <c r="P308">
        <v>5.2811016664166592E-2</v>
      </c>
      <c r="Q308" t="s">
        <v>168</v>
      </c>
      <c r="S308" t="s">
        <v>226</v>
      </c>
      <c r="T308" t="s">
        <v>256</v>
      </c>
      <c r="U308">
        <v>5.3879717148530411E-2</v>
      </c>
      <c r="V308" t="s">
        <v>168</v>
      </c>
    </row>
    <row r="309" spans="9:22" x14ac:dyDescent="0.45">
      <c r="I309" t="s">
        <v>183</v>
      </c>
      <c r="J309" t="s">
        <v>257</v>
      </c>
      <c r="K309">
        <v>7.8425377587173894E-3</v>
      </c>
      <c r="L309" t="s">
        <v>168</v>
      </c>
      <c r="N309" t="s">
        <v>207</v>
      </c>
      <c r="O309" t="s">
        <v>257</v>
      </c>
      <c r="P309">
        <v>1.0186934805402715E-2</v>
      </c>
      <c r="Q309" t="s">
        <v>168</v>
      </c>
      <c r="S309" t="s">
        <v>226</v>
      </c>
      <c r="T309" t="s">
        <v>257</v>
      </c>
      <c r="U309">
        <v>9.365610958969919E-3</v>
      </c>
      <c r="V309" t="s">
        <v>168</v>
      </c>
    </row>
    <row r="310" spans="9:22" x14ac:dyDescent="0.45">
      <c r="I310" t="s">
        <v>183</v>
      </c>
      <c r="J310" t="s">
        <v>258</v>
      </c>
      <c r="K310">
        <v>2.4805525277758339E-3</v>
      </c>
      <c r="L310" t="s">
        <v>168</v>
      </c>
      <c r="N310" t="s">
        <v>207</v>
      </c>
      <c r="O310" t="s">
        <v>258</v>
      </c>
      <c r="P310">
        <v>6.5087501475974918E-2</v>
      </c>
      <c r="Q310" t="s">
        <v>168</v>
      </c>
      <c r="S310" t="s">
        <v>226</v>
      </c>
      <c r="T310" t="s">
        <v>258</v>
      </c>
      <c r="U310">
        <v>6.9536858378016125E-2</v>
      </c>
      <c r="V310" t="s">
        <v>168</v>
      </c>
    </row>
    <row r="311" spans="9:22" x14ac:dyDescent="0.45">
      <c r="I311" t="s">
        <v>183</v>
      </c>
      <c r="J311" t="s">
        <v>171</v>
      </c>
      <c r="K311">
        <v>4.4205596056888334E-2</v>
      </c>
      <c r="L311" t="s">
        <v>168</v>
      </c>
      <c r="N311" t="s">
        <v>207</v>
      </c>
      <c r="O311" t="s">
        <v>171</v>
      </c>
      <c r="P311">
        <v>0.10694988893008187</v>
      </c>
      <c r="Q311" t="s">
        <v>168</v>
      </c>
      <c r="S311" t="s">
        <v>226</v>
      </c>
      <c r="T311" t="s">
        <v>171</v>
      </c>
      <c r="U311">
        <v>0.12014538693999501</v>
      </c>
      <c r="V311" t="s">
        <v>168</v>
      </c>
    </row>
    <row r="312" spans="9:22" x14ac:dyDescent="0.45">
      <c r="I312" t="s">
        <v>183</v>
      </c>
      <c r="J312" t="s">
        <v>172</v>
      </c>
      <c r="K312">
        <v>3.1720219760898734E-2</v>
      </c>
      <c r="L312" t="s">
        <v>168</v>
      </c>
      <c r="N312" t="s">
        <v>207</v>
      </c>
      <c r="O312" t="s">
        <v>172</v>
      </c>
      <c r="P312">
        <v>1.2295142060666071E-2</v>
      </c>
      <c r="Q312" t="s">
        <v>168</v>
      </c>
      <c r="S312" t="s">
        <v>226</v>
      </c>
      <c r="T312" t="s">
        <v>172</v>
      </c>
      <c r="U312">
        <v>1.5419721409339483E-2</v>
      </c>
      <c r="V312" t="s">
        <v>168</v>
      </c>
    </row>
    <row r="313" spans="9:22" x14ac:dyDescent="0.45">
      <c r="I313" t="s">
        <v>183</v>
      </c>
      <c r="J313" t="s">
        <v>173</v>
      </c>
      <c r="K313">
        <v>3.6207990023673607E-2</v>
      </c>
      <c r="L313" t="s">
        <v>168</v>
      </c>
      <c r="N313" t="s">
        <v>207</v>
      </c>
      <c r="O313" t="s">
        <v>173</v>
      </c>
      <c r="P313">
        <v>1.1840690171160517E-2</v>
      </c>
      <c r="Q313" t="s">
        <v>168</v>
      </c>
      <c r="S313" t="s">
        <v>226</v>
      </c>
      <c r="T313" t="s">
        <v>173</v>
      </c>
      <c r="U313">
        <v>1.5559624399698586E-2</v>
      </c>
      <c r="V313" t="s">
        <v>168</v>
      </c>
    </row>
    <row r="314" spans="9:22" x14ac:dyDescent="0.45">
      <c r="I314" t="s">
        <v>183</v>
      </c>
      <c r="J314" t="s">
        <v>259</v>
      </c>
      <c r="K314">
        <v>0.23067219772417061</v>
      </c>
      <c r="L314" t="s">
        <v>168</v>
      </c>
      <c r="N314" t="s">
        <v>207</v>
      </c>
      <c r="O314" t="s">
        <v>259</v>
      </c>
      <c r="P314">
        <v>9.0274741239947318E-2</v>
      </c>
      <c r="Q314" t="s">
        <v>168</v>
      </c>
      <c r="S314" t="s">
        <v>226</v>
      </c>
      <c r="T314" t="s">
        <v>259</v>
      </c>
      <c r="U314">
        <v>9.4461959074145577E-2</v>
      </c>
      <c r="V314" t="s">
        <v>168</v>
      </c>
    </row>
    <row r="315" spans="9:22" x14ac:dyDescent="0.45">
      <c r="I315" t="s">
        <v>183</v>
      </c>
      <c r="J315" t="s">
        <v>260</v>
      </c>
      <c r="K315">
        <v>3.0079471440579774E-2</v>
      </c>
      <c r="L315" t="s">
        <v>168</v>
      </c>
      <c r="N315" t="s">
        <v>207</v>
      </c>
      <c r="O315" t="s">
        <v>260</v>
      </c>
      <c r="P315">
        <v>1.8451565408517171E-2</v>
      </c>
      <c r="Q315" t="s">
        <v>168</v>
      </c>
      <c r="S315" t="s">
        <v>226</v>
      </c>
      <c r="T315" t="s">
        <v>260</v>
      </c>
      <c r="U315">
        <v>1.7643170567797878E-2</v>
      </c>
      <c r="V315" t="s">
        <v>168</v>
      </c>
    </row>
    <row r="316" spans="9:22" x14ac:dyDescent="0.45">
      <c r="I316" t="s">
        <v>183</v>
      </c>
      <c r="J316" t="s">
        <v>261</v>
      </c>
      <c r="K316">
        <v>3.6110173781504835E-2</v>
      </c>
      <c r="L316" t="s">
        <v>168</v>
      </c>
      <c r="N316" t="s">
        <v>207</v>
      </c>
      <c r="O316" t="s">
        <v>261</v>
      </c>
      <c r="P316">
        <v>9.9214494780713355E-2</v>
      </c>
      <c r="Q316" t="s">
        <v>168</v>
      </c>
      <c r="S316" t="s">
        <v>226</v>
      </c>
      <c r="T316" t="s">
        <v>261</v>
      </c>
      <c r="U316">
        <v>0.12023154076947791</v>
      </c>
      <c r="V316" t="s">
        <v>168</v>
      </c>
    </row>
    <row r="317" spans="9:22" x14ac:dyDescent="0.45">
      <c r="I317" t="s">
        <v>183</v>
      </c>
      <c r="J317" t="s">
        <v>174</v>
      </c>
      <c r="K317">
        <v>1.5616452330613699E-2</v>
      </c>
      <c r="L317" t="s">
        <v>168</v>
      </c>
      <c r="N317" t="s">
        <v>207</v>
      </c>
      <c r="O317" t="s">
        <v>174</v>
      </c>
      <c r="P317">
        <v>2.1005849113484926E-2</v>
      </c>
      <c r="Q317" t="s">
        <v>168</v>
      </c>
      <c r="S317" t="s">
        <v>226</v>
      </c>
      <c r="T317" t="s">
        <v>174</v>
      </c>
      <c r="U317">
        <v>7.9060071684872914E-3</v>
      </c>
      <c r="V317" t="s">
        <v>168</v>
      </c>
    </row>
    <row r="318" spans="9:22" x14ac:dyDescent="0.45">
      <c r="I318" t="s">
        <v>183</v>
      </c>
      <c r="J318" t="s">
        <v>175</v>
      </c>
      <c r="K318">
        <v>9.4554200943849052E-3</v>
      </c>
      <c r="L318" t="s">
        <v>168</v>
      </c>
      <c r="N318" t="s">
        <v>207</v>
      </c>
      <c r="O318" t="s">
        <v>175</v>
      </c>
      <c r="P318">
        <v>2.2809698177098004E-3</v>
      </c>
      <c r="Q318" t="s">
        <v>168</v>
      </c>
      <c r="S318" t="s">
        <v>226</v>
      </c>
      <c r="T318" t="s">
        <v>175</v>
      </c>
      <c r="U318">
        <v>7.2885643145015843E-4</v>
      </c>
      <c r="V318" t="s">
        <v>168</v>
      </c>
    </row>
    <row r="319" spans="9:22" x14ac:dyDescent="0.45">
      <c r="I319" t="s">
        <v>183</v>
      </c>
      <c r="J319" t="s">
        <v>176</v>
      </c>
      <c r="K319">
        <v>1.0772815095631568E-2</v>
      </c>
      <c r="L319" t="s">
        <v>168</v>
      </c>
      <c r="N319" t="s">
        <v>207</v>
      </c>
      <c r="O319" t="s">
        <v>176</v>
      </c>
      <c r="P319">
        <v>2.4061251586599253E-3</v>
      </c>
      <c r="Q319" t="s">
        <v>168</v>
      </c>
      <c r="S319" t="s">
        <v>226</v>
      </c>
      <c r="T319" t="s">
        <v>176</v>
      </c>
      <c r="U319">
        <v>6.0877326874291297E-4</v>
      </c>
      <c r="V319" t="s">
        <v>168</v>
      </c>
    </row>
    <row r="320" spans="9:22" x14ac:dyDescent="0.45">
      <c r="I320" t="s">
        <v>183</v>
      </c>
      <c r="J320" t="s">
        <v>262</v>
      </c>
      <c r="K320">
        <v>6.5966316445010359E-2</v>
      </c>
      <c r="L320" t="s">
        <v>168</v>
      </c>
      <c r="N320" t="s">
        <v>207</v>
      </c>
      <c r="O320" t="s">
        <v>262</v>
      </c>
      <c r="P320">
        <v>1.5022931070771628E-2</v>
      </c>
      <c r="Q320" t="s">
        <v>168</v>
      </c>
      <c r="S320" t="s">
        <v>226</v>
      </c>
      <c r="T320" t="s">
        <v>262</v>
      </c>
      <c r="U320">
        <v>3.6862771254380579E-3</v>
      </c>
      <c r="V320" t="s">
        <v>168</v>
      </c>
    </row>
    <row r="321" spans="9:22" x14ac:dyDescent="0.45">
      <c r="I321" t="s">
        <v>183</v>
      </c>
      <c r="J321" t="s">
        <v>263</v>
      </c>
      <c r="K321">
        <v>8.8570304445911852E-3</v>
      </c>
      <c r="L321" t="s">
        <v>168</v>
      </c>
      <c r="N321" t="s">
        <v>207</v>
      </c>
      <c r="O321" t="s">
        <v>263</v>
      </c>
      <c r="P321">
        <v>2.9734836487584236E-3</v>
      </c>
      <c r="Q321" t="s">
        <v>168</v>
      </c>
      <c r="S321" t="s">
        <v>226</v>
      </c>
      <c r="T321" t="s">
        <v>263</v>
      </c>
      <c r="U321">
        <v>1.2143809861526725E-3</v>
      </c>
      <c r="V321" t="s">
        <v>168</v>
      </c>
    </row>
    <row r="322" spans="9:22" x14ac:dyDescent="0.45">
      <c r="I322" t="s">
        <v>183</v>
      </c>
      <c r="J322" t="s">
        <v>264</v>
      </c>
      <c r="K322">
        <v>1.3591048589990728E-2</v>
      </c>
      <c r="L322" t="s">
        <v>168</v>
      </c>
      <c r="N322" t="s">
        <v>207</v>
      </c>
      <c r="O322" t="s">
        <v>264</v>
      </c>
      <c r="P322">
        <v>1.8948007317481665E-2</v>
      </c>
      <c r="Q322" t="s">
        <v>168</v>
      </c>
      <c r="S322" t="s">
        <v>226</v>
      </c>
      <c r="T322" t="s">
        <v>264</v>
      </c>
      <c r="U322">
        <v>9.745470252301873E-3</v>
      </c>
      <c r="V322" t="s">
        <v>168</v>
      </c>
    </row>
    <row r="323" spans="9:22" x14ac:dyDescent="0.45">
      <c r="I323" t="s">
        <v>183</v>
      </c>
      <c r="J323" t="s">
        <v>265</v>
      </c>
      <c r="K323">
        <v>1.3200175980789179E-2</v>
      </c>
      <c r="L323" t="s">
        <v>168</v>
      </c>
      <c r="N323" t="s">
        <v>207</v>
      </c>
      <c r="O323" t="s">
        <v>265</v>
      </c>
      <c r="P323">
        <v>2.2059994941300946E-2</v>
      </c>
      <c r="Q323" t="s">
        <v>168</v>
      </c>
      <c r="S323" t="s">
        <v>226</v>
      </c>
      <c r="T323" t="s">
        <v>265</v>
      </c>
      <c r="U323">
        <v>1.2179751554395228E-2</v>
      </c>
      <c r="V323" t="s">
        <v>168</v>
      </c>
    </row>
    <row r="324" spans="9:22" x14ac:dyDescent="0.45">
      <c r="I324" t="s">
        <v>183</v>
      </c>
      <c r="J324" t="s">
        <v>266</v>
      </c>
      <c r="K324">
        <v>9.466401105975266E-3</v>
      </c>
      <c r="L324" t="s">
        <v>168</v>
      </c>
      <c r="N324" t="s">
        <v>207</v>
      </c>
      <c r="O324" t="s">
        <v>266</v>
      </c>
      <c r="P324">
        <v>2.4382487201603524E-3</v>
      </c>
      <c r="Q324" t="s">
        <v>168</v>
      </c>
      <c r="S324" t="s">
        <v>226</v>
      </c>
      <c r="T324" t="s">
        <v>266</v>
      </c>
      <c r="U324">
        <v>1.366562595738652E-3</v>
      </c>
      <c r="V324" t="s">
        <v>168</v>
      </c>
    </row>
    <row r="325" spans="9:22" x14ac:dyDescent="0.45">
      <c r="I325" t="s">
        <v>183</v>
      </c>
      <c r="J325" t="s">
        <v>267</v>
      </c>
      <c r="K325">
        <v>1.0620582898848398E-2</v>
      </c>
      <c r="L325" t="s">
        <v>168</v>
      </c>
      <c r="N325" t="s">
        <v>207</v>
      </c>
      <c r="O325" t="s">
        <v>267</v>
      </c>
      <c r="P325">
        <v>2.3594195629451668E-3</v>
      </c>
      <c r="Q325" t="s">
        <v>168</v>
      </c>
      <c r="S325" t="s">
        <v>226</v>
      </c>
      <c r="T325" t="s">
        <v>267</v>
      </c>
      <c r="U325">
        <v>1.1858517681523427E-3</v>
      </c>
      <c r="V325" t="s">
        <v>168</v>
      </c>
    </row>
    <row r="326" spans="9:22" x14ac:dyDescent="0.45">
      <c r="I326" t="s">
        <v>183</v>
      </c>
      <c r="J326" t="s">
        <v>268</v>
      </c>
      <c r="K326">
        <v>6.4955735485633145E-2</v>
      </c>
      <c r="L326" t="s">
        <v>168</v>
      </c>
      <c r="N326" t="s">
        <v>207</v>
      </c>
      <c r="O326" t="s">
        <v>268</v>
      </c>
      <c r="P326">
        <v>1.3923530562450976E-2</v>
      </c>
      <c r="Q326" t="s">
        <v>168</v>
      </c>
      <c r="S326" t="s">
        <v>226</v>
      </c>
      <c r="T326" t="s">
        <v>268</v>
      </c>
      <c r="U326">
        <v>7.0587686173514061E-3</v>
      </c>
      <c r="V326" t="s">
        <v>168</v>
      </c>
    </row>
    <row r="327" spans="9:22" x14ac:dyDescent="0.45">
      <c r="I327" t="s">
        <v>183</v>
      </c>
      <c r="J327" t="s">
        <v>269</v>
      </c>
      <c r="K327">
        <v>8.6668558452463393E-3</v>
      </c>
      <c r="L327" t="s">
        <v>168</v>
      </c>
      <c r="N327" t="s">
        <v>207</v>
      </c>
      <c r="O327" t="s">
        <v>269</v>
      </c>
      <c r="P327">
        <v>2.8716223640231934E-3</v>
      </c>
      <c r="Q327" t="s">
        <v>168</v>
      </c>
      <c r="S327" t="s">
        <v>226</v>
      </c>
      <c r="T327" t="s">
        <v>269</v>
      </c>
      <c r="U327">
        <v>1.9215255021178732E-3</v>
      </c>
      <c r="V327" t="s">
        <v>168</v>
      </c>
    </row>
    <row r="328" spans="9:22" x14ac:dyDescent="0.45">
      <c r="I328" t="s">
        <v>183</v>
      </c>
      <c r="J328" t="s">
        <v>270</v>
      </c>
      <c r="K328">
        <v>1.0630072029165258E-2</v>
      </c>
      <c r="L328" t="s">
        <v>168</v>
      </c>
      <c r="N328" t="s">
        <v>207</v>
      </c>
      <c r="O328" t="s">
        <v>270</v>
      </c>
      <c r="P328">
        <v>1.6570299547025075E-2</v>
      </c>
      <c r="Q328" t="s">
        <v>168</v>
      </c>
      <c r="S328" t="s">
        <v>226</v>
      </c>
      <c r="T328" t="s">
        <v>270</v>
      </c>
      <c r="U328">
        <v>1.2055221947346165E-2</v>
      </c>
      <c r="V328" t="s">
        <v>168</v>
      </c>
    </row>
    <row r="329" spans="9:22" x14ac:dyDescent="0.45">
      <c r="I329" t="s">
        <v>183</v>
      </c>
      <c r="J329" t="s">
        <v>271</v>
      </c>
      <c r="K329">
        <v>8.5470529352365942E-3</v>
      </c>
      <c r="L329" t="s">
        <v>168</v>
      </c>
      <c r="N329" t="s">
        <v>207</v>
      </c>
      <c r="O329" t="s">
        <v>271</v>
      </c>
      <c r="P329">
        <v>1.3908545171746113E-2</v>
      </c>
      <c r="Q329" t="s">
        <v>168</v>
      </c>
      <c r="S329" t="s">
        <v>226</v>
      </c>
      <c r="T329" t="s">
        <v>271</v>
      </c>
      <c r="U329">
        <v>1.9950080233649196E-2</v>
      </c>
      <c r="V329" t="s">
        <v>168</v>
      </c>
    </row>
    <row r="330" spans="9:22" x14ac:dyDescent="0.45">
      <c r="I330" t="s">
        <v>183</v>
      </c>
      <c r="J330" t="s">
        <v>272</v>
      </c>
      <c r="K330">
        <v>7.632957022342385E-3</v>
      </c>
      <c r="L330" t="s">
        <v>168</v>
      </c>
      <c r="N330" t="s">
        <v>207</v>
      </c>
      <c r="O330" t="s">
        <v>272</v>
      </c>
      <c r="P330">
        <v>1.3671879751865263E-3</v>
      </c>
      <c r="Q330" t="s">
        <v>168</v>
      </c>
      <c r="S330" t="s">
        <v>226</v>
      </c>
      <c r="T330" t="s">
        <v>272</v>
      </c>
      <c r="U330">
        <v>2.3221252849026327E-3</v>
      </c>
      <c r="V330" t="s">
        <v>168</v>
      </c>
    </row>
    <row r="331" spans="9:22" x14ac:dyDescent="0.45">
      <c r="I331" t="s">
        <v>183</v>
      </c>
      <c r="J331" t="s">
        <v>273</v>
      </c>
      <c r="K331">
        <v>8.8572622723042272E-3</v>
      </c>
      <c r="L331" t="s">
        <v>168</v>
      </c>
      <c r="N331" t="s">
        <v>207</v>
      </c>
      <c r="O331" t="s">
        <v>273</v>
      </c>
      <c r="P331">
        <v>1.1286718662700177E-3</v>
      </c>
      <c r="Q331" t="s">
        <v>168</v>
      </c>
      <c r="S331" t="s">
        <v>226</v>
      </c>
      <c r="T331" t="s">
        <v>273</v>
      </c>
      <c r="U331">
        <v>2.3398798501553472E-3</v>
      </c>
      <c r="V331" t="s">
        <v>168</v>
      </c>
    </row>
    <row r="332" spans="9:22" x14ac:dyDescent="0.45">
      <c r="I332" t="s">
        <v>183</v>
      </c>
      <c r="J332" t="s">
        <v>274</v>
      </c>
      <c r="K332">
        <v>5.5076262542150152E-2</v>
      </c>
      <c r="L332" t="s">
        <v>168</v>
      </c>
      <c r="N332" t="s">
        <v>207</v>
      </c>
      <c r="O332" t="s">
        <v>274</v>
      </c>
      <c r="P332">
        <v>1.0876712489418246E-2</v>
      </c>
      <c r="Q332" t="s">
        <v>168</v>
      </c>
      <c r="S332" t="s">
        <v>226</v>
      </c>
      <c r="T332" t="s">
        <v>274</v>
      </c>
      <c r="U332">
        <v>1.4856767203163946E-2</v>
      </c>
      <c r="V332" t="s">
        <v>168</v>
      </c>
    </row>
    <row r="333" spans="9:22" x14ac:dyDescent="0.45">
      <c r="I333" t="s">
        <v>183</v>
      </c>
      <c r="J333" t="s">
        <v>275</v>
      </c>
      <c r="K333">
        <v>7.0146336314094978E-3</v>
      </c>
      <c r="L333" t="s">
        <v>168</v>
      </c>
      <c r="N333" t="s">
        <v>207</v>
      </c>
      <c r="O333" t="s">
        <v>275</v>
      </c>
      <c r="P333">
        <v>2.7049637061286229E-3</v>
      </c>
      <c r="Q333" t="s">
        <v>168</v>
      </c>
      <c r="S333" t="s">
        <v>226</v>
      </c>
      <c r="T333" t="s">
        <v>275</v>
      </c>
      <c r="U333">
        <v>2.7188255433383459E-3</v>
      </c>
      <c r="V333" t="s">
        <v>168</v>
      </c>
    </row>
    <row r="334" spans="9:22" x14ac:dyDescent="0.45">
      <c r="I334" t="s">
        <v>183</v>
      </c>
      <c r="J334" t="s">
        <v>276</v>
      </c>
      <c r="K334">
        <v>5.314240145040461E-3</v>
      </c>
      <c r="L334" t="s">
        <v>168</v>
      </c>
      <c r="N334" t="s">
        <v>207</v>
      </c>
      <c r="O334" t="s">
        <v>276</v>
      </c>
      <c r="P334">
        <v>1.327353383312985E-2</v>
      </c>
      <c r="Q334" t="s">
        <v>168</v>
      </c>
      <c r="S334" t="s">
        <v>226</v>
      </c>
      <c r="T334" t="s">
        <v>276</v>
      </c>
      <c r="U334">
        <v>1.8794206313678334E-2</v>
      </c>
      <c r="V334" t="s">
        <v>168</v>
      </c>
    </row>
    <row r="335" spans="9:22" x14ac:dyDescent="0.45">
      <c r="I335" t="s">
        <v>183</v>
      </c>
      <c r="J335" t="s">
        <v>277</v>
      </c>
      <c r="K335">
        <v>5.0584315274851454E-3</v>
      </c>
      <c r="L335" t="s">
        <v>168</v>
      </c>
      <c r="N335" t="s">
        <v>207</v>
      </c>
      <c r="O335" t="s">
        <v>277</v>
      </c>
      <c r="P335">
        <v>5.5098832265098811E-2</v>
      </c>
      <c r="Q335" t="s">
        <v>168</v>
      </c>
      <c r="S335" t="s">
        <v>226</v>
      </c>
      <c r="T335" t="s">
        <v>277</v>
      </c>
      <c r="U335">
        <v>6.792718224640705E-2</v>
      </c>
      <c r="V335" t="s">
        <v>168</v>
      </c>
    </row>
    <row r="336" spans="9:22" x14ac:dyDescent="0.45">
      <c r="I336" t="s">
        <v>183</v>
      </c>
      <c r="J336" t="s">
        <v>278</v>
      </c>
      <c r="K336">
        <v>9.0108223643243866E-3</v>
      </c>
      <c r="L336" t="s">
        <v>168</v>
      </c>
      <c r="N336" t="s">
        <v>207</v>
      </c>
      <c r="O336" t="s">
        <v>278</v>
      </c>
      <c r="P336">
        <v>6.8807169041932873E-3</v>
      </c>
      <c r="Q336" t="s">
        <v>168</v>
      </c>
      <c r="S336" t="s">
        <v>226</v>
      </c>
      <c r="T336" t="s">
        <v>278</v>
      </c>
      <c r="U336">
        <v>8.2770381446549794E-3</v>
      </c>
      <c r="V336" t="s">
        <v>168</v>
      </c>
    </row>
    <row r="337" spans="9:22" x14ac:dyDescent="0.45">
      <c r="I337" t="s">
        <v>183</v>
      </c>
      <c r="J337" t="s">
        <v>279</v>
      </c>
      <c r="K337">
        <v>1.189245960419096E-2</v>
      </c>
      <c r="L337" t="s">
        <v>168</v>
      </c>
      <c r="N337" t="s">
        <v>207</v>
      </c>
      <c r="O337" t="s">
        <v>279</v>
      </c>
      <c r="P337">
        <v>6.9323164057444979E-3</v>
      </c>
      <c r="Q337" t="s">
        <v>168</v>
      </c>
      <c r="S337" t="s">
        <v>226</v>
      </c>
      <c r="T337" t="s">
        <v>279</v>
      </c>
      <c r="U337">
        <v>8.2599230569146715E-3</v>
      </c>
      <c r="V337" t="s">
        <v>168</v>
      </c>
    </row>
    <row r="338" spans="9:22" x14ac:dyDescent="0.45">
      <c r="I338" t="s">
        <v>183</v>
      </c>
      <c r="J338" t="s">
        <v>280</v>
      </c>
      <c r="K338">
        <v>7.2972013755106188E-2</v>
      </c>
      <c r="L338" t="s">
        <v>168</v>
      </c>
      <c r="N338" t="s">
        <v>207</v>
      </c>
      <c r="O338" t="s">
        <v>280</v>
      </c>
      <c r="P338">
        <v>4.6971096967257694E-2</v>
      </c>
      <c r="Q338" t="s">
        <v>168</v>
      </c>
      <c r="S338" t="s">
        <v>226</v>
      </c>
      <c r="T338" t="s">
        <v>280</v>
      </c>
      <c r="U338">
        <v>5.0397157731729175E-2</v>
      </c>
      <c r="V338" t="s">
        <v>168</v>
      </c>
    </row>
    <row r="339" spans="9:22" x14ac:dyDescent="0.45">
      <c r="I339" t="s">
        <v>183</v>
      </c>
      <c r="J339" t="s">
        <v>281</v>
      </c>
      <c r="K339">
        <v>6.2126764373418202E-3</v>
      </c>
      <c r="L339" t="s">
        <v>168</v>
      </c>
      <c r="N339" t="s">
        <v>207</v>
      </c>
      <c r="O339" t="s">
        <v>281</v>
      </c>
      <c r="P339">
        <v>8.1658445809988673E-3</v>
      </c>
      <c r="Q339" t="s">
        <v>168</v>
      </c>
      <c r="S339" t="s">
        <v>226</v>
      </c>
      <c r="T339" t="s">
        <v>281</v>
      </c>
      <c r="U339">
        <v>8.8275021756655456E-3</v>
      </c>
      <c r="V339" t="s">
        <v>168</v>
      </c>
    </row>
    <row r="340" spans="9:22" x14ac:dyDescent="0.45">
      <c r="I340" t="s">
        <v>183</v>
      </c>
      <c r="J340" t="s">
        <v>282</v>
      </c>
      <c r="K340">
        <v>9.9260016806149826E-4</v>
      </c>
      <c r="L340" t="s">
        <v>168</v>
      </c>
      <c r="N340" t="s">
        <v>207</v>
      </c>
      <c r="O340" t="s">
        <v>282</v>
      </c>
      <c r="P340">
        <v>5.4255182579463081E-2</v>
      </c>
      <c r="Q340" t="s">
        <v>168</v>
      </c>
      <c r="S340" t="s">
        <v>226</v>
      </c>
      <c r="T340" t="s">
        <v>282</v>
      </c>
      <c r="U340">
        <v>6.4139632261411297E-2</v>
      </c>
      <c r="V340" t="s">
        <v>168</v>
      </c>
    </row>
    <row r="341" spans="9:22" x14ac:dyDescent="0.45">
      <c r="I341" t="s">
        <v>183</v>
      </c>
      <c r="J341" t="s">
        <v>283</v>
      </c>
      <c r="K341">
        <v>0</v>
      </c>
      <c r="L341" t="s">
        <v>168</v>
      </c>
      <c r="N341" t="s">
        <v>207</v>
      </c>
      <c r="O341" t="s">
        <v>283</v>
      </c>
      <c r="P341">
        <v>3.4433612676283615E-2</v>
      </c>
      <c r="Q341" t="s">
        <v>168</v>
      </c>
      <c r="S341" t="s">
        <v>226</v>
      </c>
      <c r="T341" t="s">
        <v>283</v>
      </c>
      <c r="U341">
        <v>2.4030422214791517E-2</v>
      </c>
      <c r="V341" t="s">
        <v>168</v>
      </c>
    </row>
    <row r="342" spans="9:22" x14ac:dyDescent="0.45">
      <c r="I342" t="s">
        <v>183</v>
      </c>
      <c r="J342" t="s">
        <v>284</v>
      </c>
      <c r="K342">
        <v>3.1508282668020675E-3</v>
      </c>
      <c r="L342" t="s">
        <v>168</v>
      </c>
      <c r="N342" t="s">
        <v>207</v>
      </c>
      <c r="O342" t="s">
        <v>284</v>
      </c>
      <c r="P342">
        <v>4.7569135276206579E-3</v>
      </c>
      <c r="Q342" t="s">
        <v>168</v>
      </c>
      <c r="S342" t="s">
        <v>226</v>
      </c>
      <c r="T342" t="s">
        <v>284</v>
      </c>
      <c r="U342">
        <v>2.9466993531902181E-3</v>
      </c>
      <c r="V342" t="s">
        <v>168</v>
      </c>
    </row>
    <row r="343" spans="9:22" x14ac:dyDescent="0.45">
      <c r="I343" t="s">
        <v>183</v>
      </c>
      <c r="J343" t="s">
        <v>285</v>
      </c>
      <c r="K343">
        <v>4.9831092140621442E-3</v>
      </c>
      <c r="L343" t="s">
        <v>168</v>
      </c>
      <c r="N343" t="s">
        <v>207</v>
      </c>
      <c r="O343" t="s">
        <v>285</v>
      </c>
      <c r="P343">
        <v>4.7724912431903674E-3</v>
      </c>
      <c r="Q343" t="s">
        <v>168</v>
      </c>
      <c r="S343" t="s">
        <v>226</v>
      </c>
      <c r="T343" t="s">
        <v>285</v>
      </c>
      <c r="U343">
        <v>2.8419218976548965E-3</v>
      </c>
      <c r="V343" t="s">
        <v>168</v>
      </c>
    </row>
    <row r="344" spans="9:22" x14ac:dyDescent="0.45">
      <c r="I344" t="s">
        <v>183</v>
      </c>
      <c r="J344" t="s">
        <v>286</v>
      </c>
      <c r="K344">
        <v>3.400794866992523E-2</v>
      </c>
      <c r="L344" t="s">
        <v>168</v>
      </c>
      <c r="N344" t="s">
        <v>207</v>
      </c>
      <c r="O344" t="s">
        <v>286</v>
      </c>
      <c r="P344">
        <v>2.5723803139837888E-2</v>
      </c>
      <c r="Q344" t="s">
        <v>168</v>
      </c>
      <c r="S344" t="s">
        <v>226</v>
      </c>
      <c r="T344" t="s">
        <v>286</v>
      </c>
      <c r="U344">
        <v>1.5577837086889472E-2</v>
      </c>
      <c r="V344" t="s">
        <v>168</v>
      </c>
    </row>
    <row r="345" spans="9:22" x14ac:dyDescent="0.45">
      <c r="I345" t="s">
        <v>183</v>
      </c>
      <c r="J345" t="s">
        <v>287</v>
      </c>
      <c r="K345">
        <v>2.5375196847026741E-3</v>
      </c>
      <c r="L345" t="s">
        <v>168</v>
      </c>
      <c r="N345" t="s">
        <v>207</v>
      </c>
      <c r="O345" t="s">
        <v>287</v>
      </c>
      <c r="P345">
        <v>3.8324474214714091E-3</v>
      </c>
      <c r="Q345" t="s">
        <v>168</v>
      </c>
      <c r="S345" t="s">
        <v>226</v>
      </c>
      <c r="T345" t="s">
        <v>287</v>
      </c>
      <c r="U345">
        <v>2.5970181442073761E-3</v>
      </c>
      <c r="V345" t="s">
        <v>168</v>
      </c>
    </row>
    <row r="346" spans="9:22" x14ac:dyDescent="0.45">
      <c r="I346" t="s">
        <v>183</v>
      </c>
      <c r="J346" t="s">
        <v>288</v>
      </c>
      <c r="K346">
        <v>0</v>
      </c>
      <c r="L346" t="s">
        <v>168</v>
      </c>
      <c r="N346" t="s">
        <v>207</v>
      </c>
      <c r="O346" t="s">
        <v>288</v>
      </c>
      <c r="P346">
        <v>2.2490912803218795E-2</v>
      </c>
      <c r="Q346" t="s">
        <v>168</v>
      </c>
      <c r="S346" t="s">
        <v>226</v>
      </c>
      <c r="T346" t="s">
        <v>288</v>
      </c>
      <c r="U346">
        <v>1.8823862907918987E-2</v>
      </c>
      <c r="V346" t="s">
        <v>168</v>
      </c>
    </row>
    <row r="347" spans="9:22" x14ac:dyDescent="0.45">
      <c r="I347" t="s">
        <v>184</v>
      </c>
      <c r="J347" t="s">
        <v>167</v>
      </c>
      <c r="K347">
        <v>1.6377169592862357E-3</v>
      </c>
      <c r="L347" t="s">
        <v>168</v>
      </c>
      <c r="N347" t="s">
        <v>208</v>
      </c>
      <c r="O347" t="s">
        <v>167</v>
      </c>
      <c r="P347">
        <v>6.2819226090541511E-2</v>
      </c>
      <c r="Q347" t="s">
        <v>168</v>
      </c>
      <c r="S347" t="s">
        <v>227</v>
      </c>
      <c r="T347" t="s">
        <v>167</v>
      </c>
      <c r="U347">
        <v>6.9190871050094763E-2</v>
      </c>
      <c r="V347" t="s">
        <v>168</v>
      </c>
    </row>
    <row r="348" spans="9:22" x14ac:dyDescent="0.45">
      <c r="I348" t="s">
        <v>184</v>
      </c>
      <c r="J348" t="s">
        <v>169</v>
      </c>
      <c r="K348">
        <v>6.8800169956718827E-3</v>
      </c>
      <c r="L348" t="s">
        <v>168</v>
      </c>
      <c r="N348" t="s">
        <v>208</v>
      </c>
      <c r="O348" t="s">
        <v>169</v>
      </c>
      <c r="P348">
        <v>7.488750913952404E-3</v>
      </c>
      <c r="Q348" t="s">
        <v>168</v>
      </c>
      <c r="S348" t="s">
        <v>227</v>
      </c>
      <c r="T348" t="s">
        <v>169</v>
      </c>
      <c r="U348">
        <v>8.7060010259168447E-3</v>
      </c>
      <c r="V348" t="s">
        <v>168</v>
      </c>
    </row>
    <row r="349" spans="9:22" x14ac:dyDescent="0.45">
      <c r="I349" t="s">
        <v>184</v>
      </c>
      <c r="J349" t="s">
        <v>170</v>
      </c>
      <c r="K349">
        <v>1.0751321348216951E-2</v>
      </c>
      <c r="L349" t="s">
        <v>168</v>
      </c>
      <c r="N349" t="s">
        <v>208</v>
      </c>
      <c r="O349" t="s">
        <v>170</v>
      </c>
      <c r="P349">
        <v>7.2648170441467668E-3</v>
      </c>
      <c r="Q349" t="s">
        <v>168</v>
      </c>
      <c r="S349" t="s">
        <v>227</v>
      </c>
      <c r="T349" t="s">
        <v>170</v>
      </c>
      <c r="U349">
        <v>8.6214922808006411E-3</v>
      </c>
      <c r="V349" t="s">
        <v>168</v>
      </c>
    </row>
    <row r="350" spans="9:22" x14ac:dyDescent="0.45">
      <c r="I350" t="s">
        <v>184</v>
      </c>
      <c r="J350" t="s">
        <v>256</v>
      </c>
      <c r="K350">
        <v>7.3676700165182546E-2</v>
      </c>
      <c r="L350" t="s">
        <v>168</v>
      </c>
      <c r="N350" t="s">
        <v>208</v>
      </c>
      <c r="O350" t="s">
        <v>256</v>
      </c>
      <c r="P350">
        <v>4.3186996523822581E-2</v>
      </c>
      <c r="Q350" t="s">
        <v>168</v>
      </c>
      <c r="S350" t="s">
        <v>227</v>
      </c>
      <c r="T350" t="s">
        <v>256</v>
      </c>
      <c r="U350">
        <v>4.9309289787358511E-2</v>
      </c>
      <c r="V350" t="s">
        <v>168</v>
      </c>
    </row>
    <row r="351" spans="9:22" x14ac:dyDescent="0.45">
      <c r="I351" t="s">
        <v>184</v>
      </c>
      <c r="J351" t="s">
        <v>257</v>
      </c>
      <c r="K351">
        <v>7.1519803271004254E-3</v>
      </c>
      <c r="L351" t="s">
        <v>168</v>
      </c>
      <c r="N351" t="s">
        <v>208</v>
      </c>
      <c r="O351" t="s">
        <v>257</v>
      </c>
      <c r="P351">
        <v>7.6001628162375347E-3</v>
      </c>
      <c r="Q351" t="s">
        <v>168</v>
      </c>
      <c r="S351" t="s">
        <v>227</v>
      </c>
      <c r="T351" t="s">
        <v>257</v>
      </c>
      <c r="U351">
        <v>8.6432500567317789E-3</v>
      </c>
      <c r="V351" t="s">
        <v>168</v>
      </c>
    </row>
    <row r="352" spans="9:22" x14ac:dyDescent="0.45">
      <c r="I352" t="s">
        <v>184</v>
      </c>
      <c r="J352" t="s">
        <v>258</v>
      </c>
      <c r="K352">
        <v>2.0286216955057684E-3</v>
      </c>
      <c r="L352" t="s">
        <v>168</v>
      </c>
      <c r="N352" t="s">
        <v>208</v>
      </c>
      <c r="O352" t="s">
        <v>258</v>
      </c>
      <c r="P352">
        <v>5.4868465082378283E-2</v>
      </c>
      <c r="Q352" t="s">
        <v>168</v>
      </c>
      <c r="S352" t="s">
        <v>227</v>
      </c>
      <c r="T352" t="s">
        <v>258</v>
      </c>
      <c r="U352">
        <v>6.1755437993840374E-2</v>
      </c>
      <c r="V352" t="s">
        <v>168</v>
      </c>
    </row>
    <row r="353" spans="9:22" x14ac:dyDescent="0.45">
      <c r="I353" t="s">
        <v>184</v>
      </c>
      <c r="J353" t="s">
        <v>171</v>
      </c>
      <c r="K353">
        <v>4.3224057993845974E-2</v>
      </c>
      <c r="L353" t="s">
        <v>168</v>
      </c>
      <c r="N353" t="s">
        <v>208</v>
      </c>
      <c r="O353" t="s">
        <v>171</v>
      </c>
      <c r="P353">
        <v>0.12775854709139084</v>
      </c>
      <c r="Q353" t="s">
        <v>168</v>
      </c>
      <c r="S353" t="s">
        <v>227</v>
      </c>
      <c r="T353" t="s">
        <v>171</v>
      </c>
      <c r="U353">
        <v>0.10963525348680821</v>
      </c>
      <c r="V353" t="s">
        <v>168</v>
      </c>
    </row>
    <row r="354" spans="9:22" x14ac:dyDescent="0.45">
      <c r="I354" t="s">
        <v>184</v>
      </c>
      <c r="J354" t="s">
        <v>172</v>
      </c>
      <c r="K354">
        <v>3.1291297601975569E-2</v>
      </c>
      <c r="L354" t="s">
        <v>168</v>
      </c>
      <c r="N354" t="s">
        <v>208</v>
      </c>
      <c r="O354" t="s">
        <v>172</v>
      </c>
      <c r="P354">
        <v>1.342436513158555E-2</v>
      </c>
      <c r="Q354" t="s">
        <v>168</v>
      </c>
      <c r="S354" t="s">
        <v>227</v>
      </c>
      <c r="T354" t="s">
        <v>172</v>
      </c>
      <c r="U354">
        <v>1.4239570290559779E-2</v>
      </c>
      <c r="V354" t="s">
        <v>168</v>
      </c>
    </row>
    <row r="355" spans="9:22" x14ac:dyDescent="0.45">
      <c r="I355" t="s">
        <v>184</v>
      </c>
      <c r="J355" t="s">
        <v>173</v>
      </c>
      <c r="K355">
        <v>3.6549138736985641E-2</v>
      </c>
      <c r="L355" t="s">
        <v>168</v>
      </c>
      <c r="N355" t="s">
        <v>208</v>
      </c>
      <c r="O355" t="s">
        <v>173</v>
      </c>
      <c r="P355">
        <v>1.2939871392594839E-2</v>
      </c>
      <c r="Q355" t="s">
        <v>168</v>
      </c>
      <c r="S355" t="s">
        <v>227</v>
      </c>
      <c r="T355" t="s">
        <v>173</v>
      </c>
      <c r="U355">
        <v>1.4570929001918337E-2</v>
      </c>
      <c r="V355" t="s">
        <v>168</v>
      </c>
    </row>
    <row r="356" spans="9:22" x14ac:dyDescent="0.45">
      <c r="I356" t="s">
        <v>184</v>
      </c>
      <c r="J356" t="s">
        <v>259</v>
      </c>
      <c r="K356">
        <v>0.22767900141714686</v>
      </c>
      <c r="L356" t="s">
        <v>168</v>
      </c>
      <c r="N356" t="s">
        <v>208</v>
      </c>
      <c r="O356" t="s">
        <v>259</v>
      </c>
      <c r="P356">
        <v>7.3707591442289833E-2</v>
      </c>
      <c r="Q356" t="s">
        <v>168</v>
      </c>
      <c r="S356" t="s">
        <v>227</v>
      </c>
      <c r="T356" t="s">
        <v>259</v>
      </c>
      <c r="U356">
        <v>9.0927499535683923E-2</v>
      </c>
      <c r="V356" t="s">
        <v>168</v>
      </c>
    </row>
    <row r="357" spans="9:22" x14ac:dyDescent="0.45">
      <c r="I357" t="s">
        <v>184</v>
      </c>
      <c r="J357" t="s">
        <v>260</v>
      </c>
      <c r="K357">
        <v>2.8416663375332659E-2</v>
      </c>
      <c r="L357" t="s">
        <v>168</v>
      </c>
      <c r="N357" t="s">
        <v>208</v>
      </c>
      <c r="O357" t="s">
        <v>260</v>
      </c>
      <c r="P357">
        <v>1.535119717346595E-2</v>
      </c>
      <c r="Q357" t="s">
        <v>168</v>
      </c>
      <c r="S357" t="s">
        <v>227</v>
      </c>
      <c r="T357" t="s">
        <v>260</v>
      </c>
      <c r="U357">
        <v>1.6274222604586195E-2</v>
      </c>
      <c r="V357" t="s">
        <v>168</v>
      </c>
    </row>
    <row r="358" spans="9:22" x14ac:dyDescent="0.45">
      <c r="I358" t="s">
        <v>184</v>
      </c>
      <c r="J358" t="s">
        <v>261</v>
      </c>
      <c r="K358">
        <v>3.4910358971927721E-2</v>
      </c>
      <c r="L358" t="s">
        <v>168</v>
      </c>
      <c r="N358" t="s">
        <v>208</v>
      </c>
      <c r="O358" t="s">
        <v>261</v>
      </c>
      <c r="P358">
        <v>0.11158154207737214</v>
      </c>
      <c r="Q358" t="s">
        <v>168</v>
      </c>
      <c r="S358" t="s">
        <v>227</v>
      </c>
      <c r="T358" t="s">
        <v>261</v>
      </c>
      <c r="U358">
        <v>0.1034368560004188</v>
      </c>
      <c r="V358" t="s">
        <v>168</v>
      </c>
    </row>
    <row r="359" spans="9:22" x14ac:dyDescent="0.45">
      <c r="I359" t="s">
        <v>184</v>
      </c>
      <c r="J359" t="s">
        <v>174</v>
      </c>
      <c r="K359">
        <v>1.7145143814377765E-2</v>
      </c>
      <c r="L359" t="s">
        <v>168</v>
      </c>
      <c r="N359" t="s">
        <v>208</v>
      </c>
      <c r="O359" t="s">
        <v>174</v>
      </c>
      <c r="P359">
        <v>1.3698424127021725E-2</v>
      </c>
      <c r="Q359" t="s">
        <v>168</v>
      </c>
      <c r="S359" t="s">
        <v>227</v>
      </c>
      <c r="T359" t="s">
        <v>174</v>
      </c>
      <c r="U359">
        <v>9.559152404829855E-3</v>
      </c>
      <c r="V359" t="s">
        <v>168</v>
      </c>
    </row>
    <row r="360" spans="9:22" x14ac:dyDescent="0.45">
      <c r="I360" t="s">
        <v>184</v>
      </c>
      <c r="J360" t="s">
        <v>175</v>
      </c>
      <c r="K360">
        <v>1.0329170183840605E-2</v>
      </c>
      <c r="L360" t="s">
        <v>168</v>
      </c>
      <c r="N360" t="s">
        <v>208</v>
      </c>
      <c r="O360" t="s">
        <v>175</v>
      </c>
      <c r="P360">
        <v>1.5580817933882475E-3</v>
      </c>
      <c r="Q360" t="s">
        <v>168</v>
      </c>
      <c r="S360" t="s">
        <v>227</v>
      </c>
      <c r="T360" t="s">
        <v>175</v>
      </c>
      <c r="U360">
        <v>1.2516437869493366E-3</v>
      </c>
      <c r="V360" t="s">
        <v>168</v>
      </c>
    </row>
    <row r="361" spans="9:22" x14ac:dyDescent="0.45">
      <c r="I361" t="s">
        <v>184</v>
      </c>
      <c r="J361" t="s">
        <v>176</v>
      </c>
      <c r="K361">
        <v>1.1720795541759029E-2</v>
      </c>
      <c r="L361" t="s">
        <v>168</v>
      </c>
      <c r="N361" t="s">
        <v>208</v>
      </c>
      <c r="O361" t="s">
        <v>176</v>
      </c>
      <c r="P361">
        <v>1.5749883151755222E-3</v>
      </c>
      <c r="Q361" t="s">
        <v>168</v>
      </c>
      <c r="S361" t="s">
        <v>227</v>
      </c>
      <c r="T361" t="s">
        <v>176</v>
      </c>
      <c r="U361">
        <v>1.1265490233438968E-3</v>
      </c>
      <c r="V361" t="s">
        <v>168</v>
      </c>
    </row>
    <row r="362" spans="9:22" x14ac:dyDescent="0.45">
      <c r="I362" t="s">
        <v>184</v>
      </c>
      <c r="J362" t="s">
        <v>262</v>
      </c>
      <c r="K362">
        <v>6.9908810420736767E-2</v>
      </c>
      <c r="L362" t="s">
        <v>168</v>
      </c>
      <c r="N362" t="s">
        <v>208</v>
      </c>
      <c r="O362" t="s">
        <v>262</v>
      </c>
      <c r="P362">
        <v>8.5850401570827396E-3</v>
      </c>
      <c r="Q362" t="s">
        <v>168</v>
      </c>
      <c r="S362" t="s">
        <v>227</v>
      </c>
      <c r="T362" t="s">
        <v>262</v>
      </c>
      <c r="U362">
        <v>6.5808808174117389E-3</v>
      </c>
      <c r="V362" t="s">
        <v>168</v>
      </c>
    </row>
    <row r="363" spans="9:22" x14ac:dyDescent="0.45">
      <c r="I363" t="s">
        <v>184</v>
      </c>
      <c r="J363" t="s">
        <v>263</v>
      </c>
      <c r="K363">
        <v>8.9764207576257492E-3</v>
      </c>
      <c r="L363" t="s">
        <v>168</v>
      </c>
      <c r="N363" t="s">
        <v>208</v>
      </c>
      <c r="O363" t="s">
        <v>263</v>
      </c>
      <c r="P363">
        <v>1.4284991499113897E-3</v>
      </c>
      <c r="Q363" t="s">
        <v>168</v>
      </c>
      <c r="S363" t="s">
        <v>227</v>
      </c>
      <c r="T363" t="s">
        <v>263</v>
      </c>
      <c r="U363">
        <v>1.8246783562178789E-3</v>
      </c>
      <c r="V363" t="s">
        <v>168</v>
      </c>
    </row>
    <row r="364" spans="9:22" x14ac:dyDescent="0.45">
      <c r="I364" t="s">
        <v>184</v>
      </c>
      <c r="J364" t="s">
        <v>264</v>
      </c>
      <c r="K364">
        <v>1.3677909244917158E-2</v>
      </c>
      <c r="L364" t="s">
        <v>168</v>
      </c>
      <c r="N364" t="s">
        <v>208</v>
      </c>
      <c r="O364" t="s">
        <v>264</v>
      </c>
      <c r="P364">
        <v>1.003937995915357E-2</v>
      </c>
      <c r="Q364" t="s">
        <v>168</v>
      </c>
      <c r="S364" t="s">
        <v>227</v>
      </c>
      <c r="T364" t="s">
        <v>264</v>
      </c>
      <c r="U364">
        <v>1.1968973104523889E-2</v>
      </c>
      <c r="V364" t="s">
        <v>168</v>
      </c>
    </row>
    <row r="365" spans="9:22" x14ac:dyDescent="0.45">
      <c r="I365" t="s">
        <v>184</v>
      </c>
      <c r="J365" t="s">
        <v>265</v>
      </c>
      <c r="K365">
        <v>1.4534140343992558E-2</v>
      </c>
      <c r="L365" t="s">
        <v>168</v>
      </c>
      <c r="N365" t="s">
        <v>208</v>
      </c>
      <c r="O365" t="s">
        <v>265</v>
      </c>
      <c r="P365">
        <v>2.1819147033733083E-2</v>
      </c>
      <c r="Q365" t="s">
        <v>168</v>
      </c>
      <c r="S365" t="s">
        <v>227</v>
      </c>
      <c r="T365" t="s">
        <v>265</v>
      </c>
      <c r="U365">
        <v>1.5255148660026779E-2</v>
      </c>
      <c r="V365" t="s">
        <v>168</v>
      </c>
    </row>
    <row r="366" spans="9:22" x14ac:dyDescent="0.45">
      <c r="I366" t="s">
        <v>184</v>
      </c>
      <c r="J366" t="s">
        <v>266</v>
      </c>
      <c r="K366">
        <v>1.0326500464888306E-2</v>
      </c>
      <c r="L366" t="s">
        <v>168</v>
      </c>
      <c r="N366" t="s">
        <v>208</v>
      </c>
      <c r="O366" t="s">
        <v>266</v>
      </c>
      <c r="P366">
        <v>2.665010496421301E-3</v>
      </c>
      <c r="Q366" t="s">
        <v>168</v>
      </c>
      <c r="S366" t="s">
        <v>227</v>
      </c>
      <c r="T366" t="s">
        <v>266</v>
      </c>
      <c r="U366">
        <v>1.4461092018241803E-3</v>
      </c>
      <c r="V366" t="s">
        <v>168</v>
      </c>
    </row>
    <row r="367" spans="9:22" x14ac:dyDescent="0.45">
      <c r="I367" t="s">
        <v>184</v>
      </c>
      <c r="J367" t="s">
        <v>267</v>
      </c>
      <c r="K367">
        <v>1.1647999313679016E-2</v>
      </c>
      <c r="L367" t="s">
        <v>168</v>
      </c>
      <c r="N367" t="s">
        <v>208</v>
      </c>
      <c r="O367" t="s">
        <v>267</v>
      </c>
      <c r="P367">
        <v>2.6076387641291872E-3</v>
      </c>
      <c r="Q367" t="s">
        <v>168</v>
      </c>
      <c r="S367" t="s">
        <v>227</v>
      </c>
      <c r="T367" t="s">
        <v>267</v>
      </c>
      <c r="U367">
        <v>1.1777624795205697E-3</v>
      </c>
      <c r="V367" t="s">
        <v>168</v>
      </c>
    </row>
    <row r="368" spans="9:22" x14ac:dyDescent="0.45">
      <c r="I368" t="s">
        <v>184</v>
      </c>
      <c r="J368" t="s">
        <v>268</v>
      </c>
      <c r="K368">
        <v>6.9960552463292941E-2</v>
      </c>
      <c r="L368" t="s">
        <v>168</v>
      </c>
      <c r="N368" t="s">
        <v>208</v>
      </c>
      <c r="O368" t="s">
        <v>268</v>
      </c>
      <c r="P368">
        <v>1.1342173197502891E-2</v>
      </c>
      <c r="Q368" t="s">
        <v>168</v>
      </c>
      <c r="S368" t="s">
        <v>227</v>
      </c>
      <c r="T368" t="s">
        <v>268</v>
      </c>
      <c r="U368">
        <v>8.384841821505902E-3</v>
      </c>
      <c r="V368" t="s">
        <v>168</v>
      </c>
    </row>
    <row r="369" spans="9:22" x14ac:dyDescent="0.45">
      <c r="I369" t="s">
        <v>184</v>
      </c>
      <c r="J369" t="s">
        <v>269</v>
      </c>
      <c r="K369">
        <v>9.373918928822618E-3</v>
      </c>
      <c r="L369" t="s">
        <v>168</v>
      </c>
      <c r="N369" t="s">
        <v>208</v>
      </c>
      <c r="O369" t="s">
        <v>269</v>
      </c>
      <c r="P369">
        <v>2.0119600911800745E-3</v>
      </c>
      <c r="Q369" t="s">
        <v>168</v>
      </c>
      <c r="S369" t="s">
        <v>227</v>
      </c>
      <c r="T369" t="s">
        <v>269</v>
      </c>
      <c r="U369">
        <v>2.3162294552030766E-3</v>
      </c>
      <c r="V369" t="s">
        <v>168</v>
      </c>
    </row>
    <row r="370" spans="9:22" x14ac:dyDescent="0.45">
      <c r="I370" t="s">
        <v>184</v>
      </c>
      <c r="J370" t="s">
        <v>270</v>
      </c>
      <c r="K370">
        <v>1.1739720944422818E-2</v>
      </c>
      <c r="L370" t="s">
        <v>168</v>
      </c>
      <c r="N370" t="s">
        <v>208</v>
      </c>
      <c r="O370" t="s">
        <v>270</v>
      </c>
      <c r="P370">
        <v>1.5022875487782979E-2</v>
      </c>
      <c r="Q370" t="s">
        <v>168</v>
      </c>
      <c r="S370" t="s">
        <v>227</v>
      </c>
      <c r="T370" t="s">
        <v>270</v>
      </c>
      <c r="U370">
        <v>1.5920071861668113E-2</v>
      </c>
      <c r="V370" t="s">
        <v>168</v>
      </c>
    </row>
    <row r="371" spans="9:22" x14ac:dyDescent="0.45">
      <c r="I371" t="s">
        <v>184</v>
      </c>
      <c r="J371" t="s">
        <v>271</v>
      </c>
      <c r="K371">
        <v>8.3019756567228407E-3</v>
      </c>
      <c r="L371" t="s">
        <v>168</v>
      </c>
      <c r="N371" t="s">
        <v>208</v>
      </c>
      <c r="O371" t="s">
        <v>271</v>
      </c>
      <c r="P371">
        <v>2.5229742345198643E-2</v>
      </c>
      <c r="Q371" t="s">
        <v>168</v>
      </c>
      <c r="S371" t="s">
        <v>227</v>
      </c>
      <c r="T371" t="s">
        <v>271</v>
      </c>
      <c r="U371">
        <v>1.7558965126858051E-2</v>
      </c>
      <c r="V371" t="s">
        <v>168</v>
      </c>
    </row>
    <row r="372" spans="9:22" x14ac:dyDescent="0.45">
      <c r="I372" t="s">
        <v>184</v>
      </c>
      <c r="J372" t="s">
        <v>272</v>
      </c>
      <c r="K372">
        <v>7.254237278003119E-3</v>
      </c>
      <c r="L372" t="s">
        <v>168</v>
      </c>
      <c r="N372" t="s">
        <v>208</v>
      </c>
      <c r="O372" t="s">
        <v>272</v>
      </c>
      <c r="P372">
        <v>2.1059400730381889E-3</v>
      </c>
      <c r="Q372" t="s">
        <v>168</v>
      </c>
      <c r="S372" t="s">
        <v>227</v>
      </c>
      <c r="T372" t="s">
        <v>272</v>
      </c>
      <c r="U372">
        <v>1.9824383620273465E-3</v>
      </c>
      <c r="V372" t="s">
        <v>168</v>
      </c>
    </row>
    <row r="373" spans="9:22" x14ac:dyDescent="0.45">
      <c r="I373" t="s">
        <v>184</v>
      </c>
      <c r="J373" t="s">
        <v>273</v>
      </c>
      <c r="K373">
        <v>8.5765248062791809E-3</v>
      </c>
      <c r="L373" t="s">
        <v>168</v>
      </c>
      <c r="N373" t="s">
        <v>208</v>
      </c>
      <c r="O373" t="s">
        <v>273</v>
      </c>
      <c r="P373">
        <v>1.9369604862127031E-3</v>
      </c>
      <c r="Q373" t="s">
        <v>168</v>
      </c>
      <c r="S373" t="s">
        <v>227</v>
      </c>
      <c r="T373" t="s">
        <v>273</v>
      </c>
      <c r="U373">
        <v>1.9810102569793931E-3</v>
      </c>
      <c r="V373" t="s">
        <v>168</v>
      </c>
    </row>
    <row r="374" spans="9:22" x14ac:dyDescent="0.45">
      <c r="I374" t="s">
        <v>184</v>
      </c>
      <c r="J374" t="s">
        <v>274</v>
      </c>
      <c r="K374">
        <v>5.4436985280801445E-2</v>
      </c>
      <c r="L374" t="s">
        <v>168</v>
      </c>
      <c r="N374" t="s">
        <v>208</v>
      </c>
      <c r="O374" t="s">
        <v>274</v>
      </c>
      <c r="P374">
        <v>1.0530437882948149E-2</v>
      </c>
      <c r="Q374" t="s">
        <v>168</v>
      </c>
      <c r="S374" t="s">
        <v>227</v>
      </c>
      <c r="T374" t="s">
        <v>274</v>
      </c>
      <c r="U374">
        <v>1.4323504048924674E-2</v>
      </c>
      <c r="V374" t="s">
        <v>168</v>
      </c>
    </row>
    <row r="375" spans="9:22" x14ac:dyDescent="0.45">
      <c r="I375" t="s">
        <v>184</v>
      </c>
      <c r="J375" t="s">
        <v>275</v>
      </c>
      <c r="K375">
        <v>6.9531828711327853E-3</v>
      </c>
      <c r="L375" t="s">
        <v>168</v>
      </c>
      <c r="N375" t="s">
        <v>208</v>
      </c>
      <c r="O375" t="s">
        <v>275</v>
      </c>
      <c r="P375">
        <v>2.0028988486537457E-3</v>
      </c>
      <c r="Q375" t="s">
        <v>168</v>
      </c>
      <c r="S375" t="s">
        <v>227</v>
      </c>
      <c r="T375" t="s">
        <v>275</v>
      </c>
      <c r="U375">
        <v>2.7671440007313651E-3</v>
      </c>
      <c r="V375" t="s">
        <v>168</v>
      </c>
    </row>
    <row r="376" spans="9:22" x14ac:dyDescent="0.45">
      <c r="I376" t="s">
        <v>184</v>
      </c>
      <c r="J376" t="s">
        <v>276</v>
      </c>
      <c r="K376">
        <v>5.3427165727469167E-3</v>
      </c>
      <c r="L376" t="s">
        <v>168</v>
      </c>
      <c r="N376" t="s">
        <v>208</v>
      </c>
      <c r="O376" t="s">
        <v>276</v>
      </c>
      <c r="P376">
        <v>1.8103402654031622E-2</v>
      </c>
      <c r="Q376" t="s">
        <v>168</v>
      </c>
      <c r="S376" t="s">
        <v>227</v>
      </c>
      <c r="T376" t="s">
        <v>276</v>
      </c>
      <c r="U376">
        <v>1.798115545572038E-2</v>
      </c>
      <c r="V376" t="s">
        <v>168</v>
      </c>
    </row>
    <row r="377" spans="9:22" x14ac:dyDescent="0.45">
      <c r="I377" t="s">
        <v>184</v>
      </c>
      <c r="J377" t="s">
        <v>277</v>
      </c>
      <c r="K377">
        <v>4.3807535324300343E-3</v>
      </c>
      <c r="L377" t="s">
        <v>168</v>
      </c>
      <c r="N377" t="s">
        <v>208</v>
      </c>
      <c r="O377" t="s">
        <v>277</v>
      </c>
      <c r="P377">
        <v>7.0481247333761501E-2</v>
      </c>
      <c r="Q377" t="s">
        <v>168</v>
      </c>
      <c r="S377" t="s">
        <v>227</v>
      </c>
      <c r="T377" t="s">
        <v>277</v>
      </c>
      <c r="U377">
        <v>7.5959047271817862E-2</v>
      </c>
      <c r="V377" t="s">
        <v>168</v>
      </c>
    </row>
    <row r="378" spans="9:22" x14ac:dyDescent="0.45">
      <c r="I378" t="s">
        <v>184</v>
      </c>
      <c r="J378" t="s">
        <v>278</v>
      </c>
      <c r="K378">
        <v>8.2263752581327367E-3</v>
      </c>
      <c r="L378" t="s">
        <v>168</v>
      </c>
      <c r="N378" t="s">
        <v>208</v>
      </c>
      <c r="O378" t="s">
        <v>278</v>
      </c>
      <c r="P378">
        <v>9.0974085001539334E-3</v>
      </c>
      <c r="Q378" t="s">
        <v>168</v>
      </c>
      <c r="S378" t="s">
        <v>227</v>
      </c>
      <c r="T378" t="s">
        <v>278</v>
      </c>
      <c r="U378">
        <v>9.3366933882462894E-3</v>
      </c>
      <c r="V378" t="s">
        <v>168</v>
      </c>
    </row>
    <row r="379" spans="9:22" x14ac:dyDescent="0.45">
      <c r="I379" t="s">
        <v>184</v>
      </c>
      <c r="J379" t="s">
        <v>279</v>
      </c>
      <c r="K379">
        <v>1.1159067394831204E-2</v>
      </c>
      <c r="L379" t="s">
        <v>168</v>
      </c>
      <c r="N379" t="s">
        <v>208</v>
      </c>
      <c r="O379" t="s">
        <v>279</v>
      </c>
      <c r="P379">
        <v>9.1073523951830035E-3</v>
      </c>
      <c r="Q379" t="s">
        <v>168</v>
      </c>
      <c r="S379" t="s">
        <v>227</v>
      </c>
      <c r="T379" t="s">
        <v>279</v>
      </c>
      <c r="U379">
        <v>9.3531656597696036E-3</v>
      </c>
      <c r="V379" t="s">
        <v>168</v>
      </c>
    </row>
    <row r="380" spans="9:22" x14ac:dyDescent="0.45">
      <c r="I380" t="s">
        <v>184</v>
      </c>
      <c r="J380" t="s">
        <v>280</v>
      </c>
      <c r="K380">
        <v>7.0418160112831654E-2</v>
      </c>
      <c r="L380" t="s">
        <v>168</v>
      </c>
      <c r="N380" t="s">
        <v>208</v>
      </c>
      <c r="O380" t="s">
        <v>280</v>
      </c>
      <c r="P380">
        <v>5.3720759544392843E-2</v>
      </c>
      <c r="Q380" t="s">
        <v>168</v>
      </c>
      <c r="S380" t="s">
        <v>227</v>
      </c>
      <c r="T380" t="s">
        <v>280</v>
      </c>
      <c r="U380">
        <v>5.7524856346928749E-2</v>
      </c>
      <c r="V380" t="s">
        <v>168</v>
      </c>
    </row>
    <row r="381" spans="9:22" x14ac:dyDescent="0.45">
      <c r="I381" t="s">
        <v>184</v>
      </c>
      <c r="J381" t="s">
        <v>281</v>
      </c>
      <c r="K381">
        <v>6.0733647387172405E-3</v>
      </c>
      <c r="L381" t="s">
        <v>168</v>
      </c>
      <c r="N381" t="s">
        <v>208</v>
      </c>
      <c r="O381" t="s">
        <v>281</v>
      </c>
      <c r="P381">
        <v>9.4110569306972564E-3</v>
      </c>
      <c r="Q381" t="s">
        <v>168</v>
      </c>
      <c r="S381" t="s">
        <v>227</v>
      </c>
      <c r="T381" t="s">
        <v>281</v>
      </c>
      <c r="U381">
        <v>9.9568568867586978E-3</v>
      </c>
      <c r="V381" t="s">
        <v>168</v>
      </c>
    </row>
    <row r="382" spans="9:22" x14ac:dyDescent="0.45">
      <c r="I382" t="s">
        <v>184</v>
      </c>
      <c r="J382" t="s">
        <v>282</v>
      </c>
      <c r="K382">
        <v>7.7681899167826845E-4</v>
      </c>
      <c r="L382" t="s">
        <v>168</v>
      </c>
      <c r="N382" t="s">
        <v>208</v>
      </c>
      <c r="O382" t="s">
        <v>282</v>
      </c>
      <c r="P382">
        <v>7.0717035412624474E-2</v>
      </c>
      <c r="Q382" t="s">
        <v>168</v>
      </c>
      <c r="S382" t="s">
        <v>227</v>
      </c>
      <c r="T382" t="s">
        <v>282</v>
      </c>
      <c r="U382">
        <v>7.0573260265699128E-2</v>
      </c>
      <c r="V382" t="s">
        <v>168</v>
      </c>
    </row>
    <row r="383" spans="9:22" x14ac:dyDescent="0.45">
      <c r="I383" t="s">
        <v>184</v>
      </c>
      <c r="J383" t="s">
        <v>283</v>
      </c>
      <c r="K383">
        <v>0</v>
      </c>
      <c r="L383" t="s">
        <v>168</v>
      </c>
      <c r="N383" t="s">
        <v>208</v>
      </c>
      <c r="O383" t="s">
        <v>283</v>
      </c>
      <c r="P383">
        <v>3.2942368083706895E-2</v>
      </c>
      <c r="Q383" t="s">
        <v>168</v>
      </c>
      <c r="S383" t="s">
        <v>227</v>
      </c>
      <c r="T383" t="s">
        <v>283</v>
      </c>
      <c r="U383">
        <v>2.8281796902321112E-2</v>
      </c>
      <c r="V383" t="s">
        <v>168</v>
      </c>
    </row>
    <row r="384" spans="9:22" x14ac:dyDescent="0.45">
      <c r="I384" t="s">
        <v>184</v>
      </c>
      <c r="J384" t="s">
        <v>284</v>
      </c>
      <c r="K384">
        <v>3.0974668678528969E-3</v>
      </c>
      <c r="L384" t="s">
        <v>168</v>
      </c>
      <c r="N384" t="s">
        <v>208</v>
      </c>
      <c r="O384" t="s">
        <v>284</v>
      </c>
      <c r="P384">
        <v>4.5906481209231033E-3</v>
      </c>
      <c r="Q384" t="s">
        <v>168</v>
      </c>
      <c r="S384" t="s">
        <v>227</v>
      </c>
      <c r="T384" t="s">
        <v>284</v>
      </c>
      <c r="U384">
        <v>3.2118049102047262E-3</v>
      </c>
      <c r="V384" t="s">
        <v>168</v>
      </c>
    </row>
    <row r="385" spans="9:22" x14ac:dyDescent="0.45">
      <c r="I385" t="s">
        <v>184</v>
      </c>
      <c r="J385" t="s">
        <v>285</v>
      </c>
      <c r="K385">
        <v>5.153607320782439E-3</v>
      </c>
      <c r="L385" t="s">
        <v>168</v>
      </c>
      <c r="N385" t="s">
        <v>208</v>
      </c>
      <c r="O385" t="s">
        <v>285</v>
      </c>
      <c r="P385">
        <v>4.5291349342102584E-3</v>
      </c>
      <c r="Q385" t="s">
        <v>168</v>
      </c>
      <c r="S385" t="s">
        <v>227</v>
      </c>
      <c r="T385" t="s">
        <v>285</v>
      </c>
      <c r="U385">
        <v>3.1801066908562518E-3</v>
      </c>
      <c r="V385" t="s">
        <v>168</v>
      </c>
    </row>
    <row r="386" spans="9:22" x14ac:dyDescent="0.45">
      <c r="I386" t="s">
        <v>184</v>
      </c>
      <c r="J386" t="s">
        <v>286</v>
      </c>
      <c r="K386">
        <v>3.4898957824423239E-2</v>
      </c>
      <c r="L386" t="s">
        <v>168</v>
      </c>
      <c r="N386" t="s">
        <v>208</v>
      </c>
      <c r="O386" t="s">
        <v>286</v>
      </c>
      <c r="P386">
        <v>2.2762961172180619E-2</v>
      </c>
      <c r="Q386" t="s">
        <v>168</v>
      </c>
      <c r="S386" t="s">
        <v>227</v>
      </c>
      <c r="T386" t="s">
        <v>286</v>
      </c>
      <c r="U386">
        <v>1.8427865804959438E-2</v>
      </c>
      <c r="V386" t="s">
        <v>168</v>
      </c>
    </row>
    <row r="387" spans="9:22" x14ac:dyDescent="0.45">
      <c r="I387" t="s">
        <v>184</v>
      </c>
      <c r="J387" t="s">
        <v>287</v>
      </c>
      <c r="K387">
        <v>1.4118474821033782E-3</v>
      </c>
      <c r="L387" t="s">
        <v>168</v>
      </c>
      <c r="N387" t="s">
        <v>208</v>
      </c>
      <c r="O387" t="s">
        <v>287</v>
      </c>
      <c r="P387">
        <v>3.1083339225627046E-3</v>
      </c>
      <c r="Q387" t="s">
        <v>168</v>
      </c>
      <c r="S387" t="s">
        <v>227</v>
      </c>
      <c r="T387" t="s">
        <v>287</v>
      </c>
      <c r="U387">
        <v>3.1232920339139937E-3</v>
      </c>
      <c r="V387" t="s">
        <v>168</v>
      </c>
    </row>
    <row r="388" spans="9:22" x14ac:dyDescent="0.45">
      <c r="I388" t="s">
        <v>184</v>
      </c>
      <c r="J388" t="s">
        <v>288</v>
      </c>
      <c r="K388">
        <v>0</v>
      </c>
      <c r="L388" t="s">
        <v>168</v>
      </c>
      <c r="N388" t="s">
        <v>208</v>
      </c>
      <c r="O388" t="s">
        <v>288</v>
      </c>
      <c r="P388">
        <v>1.9277560007255817E-2</v>
      </c>
      <c r="Q388" t="s">
        <v>168</v>
      </c>
      <c r="S388" t="s">
        <v>227</v>
      </c>
      <c r="T388" t="s">
        <v>288</v>
      </c>
      <c r="U388">
        <v>2.2354322499537112E-2</v>
      </c>
      <c r="V388" t="s">
        <v>168</v>
      </c>
    </row>
    <row r="389" spans="9:22" x14ac:dyDescent="0.45">
      <c r="I389" t="s">
        <v>185</v>
      </c>
      <c r="J389" t="s">
        <v>167</v>
      </c>
      <c r="K389">
        <v>1.6315865690661913E-3</v>
      </c>
      <c r="L389" t="s">
        <v>168</v>
      </c>
      <c r="N389" t="s">
        <v>209</v>
      </c>
      <c r="O389" t="s">
        <v>167</v>
      </c>
      <c r="P389">
        <v>7.5978034007958065E-2</v>
      </c>
      <c r="Q389" t="s">
        <v>168</v>
      </c>
      <c r="S389" t="s">
        <v>228</v>
      </c>
      <c r="T389" t="s">
        <v>167</v>
      </c>
      <c r="U389">
        <v>5.5916499574841481E-2</v>
      </c>
      <c r="V389" t="s">
        <v>168</v>
      </c>
    </row>
    <row r="390" spans="9:22" x14ac:dyDescent="0.45">
      <c r="I390" t="s">
        <v>185</v>
      </c>
      <c r="J390" t="s">
        <v>169</v>
      </c>
      <c r="K390">
        <v>7.5092399967293241E-3</v>
      </c>
      <c r="L390" t="s">
        <v>168</v>
      </c>
      <c r="N390" t="s">
        <v>209</v>
      </c>
      <c r="O390" t="s">
        <v>169</v>
      </c>
      <c r="P390">
        <v>8.8322092098138474E-3</v>
      </c>
      <c r="Q390" t="s">
        <v>168</v>
      </c>
      <c r="S390" t="s">
        <v>228</v>
      </c>
      <c r="T390" t="s">
        <v>169</v>
      </c>
      <c r="U390">
        <v>6.9435779762990271E-3</v>
      </c>
      <c r="V390" t="s">
        <v>168</v>
      </c>
    </row>
    <row r="391" spans="9:22" x14ac:dyDescent="0.45">
      <c r="I391" t="s">
        <v>185</v>
      </c>
      <c r="J391" t="s">
        <v>170</v>
      </c>
      <c r="K391">
        <v>1.1702180310951424E-2</v>
      </c>
      <c r="L391" t="s">
        <v>168</v>
      </c>
      <c r="N391" t="s">
        <v>209</v>
      </c>
      <c r="O391" t="s">
        <v>170</v>
      </c>
      <c r="P391">
        <v>8.6354705674660318E-3</v>
      </c>
      <c r="Q391" t="s">
        <v>168</v>
      </c>
      <c r="S391" t="s">
        <v>228</v>
      </c>
      <c r="T391" t="s">
        <v>170</v>
      </c>
      <c r="U391">
        <v>7.2984196394391115E-3</v>
      </c>
      <c r="V391" t="s">
        <v>168</v>
      </c>
    </row>
    <row r="392" spans="9:22" x14ac:dyDescent="0.45">
      <c r="I392" t="s">
        <v>185</v>
      </c>
      <c r="J392" t="s">
        <v>256</v>
      </c>
      <c r="K392">
        <v>7.7870802188630128E-2</v>
      </c>
      <c r="L392" t="s">
        <v>168</v>
      </c>
      <c r="N392" t="s">
        <v>209</v>
      </c>
      <c r="O392" t="s">
        <v>256</v>
      </c>
      <c r="P392">
        <v>5.6163732621663409E-2</v>
      </c>
      <c r="Q392" t="s">
        <v>168</v>
      </c>
      <c r="S392" t="s">
        <v>228</v>
      </c>
      <c r="T392" t="s">
        <v>256</v>
      </c>
      <c r="U392">
        <v>4.2683998612294966E-2</v>
      </c>
      <c r="V392" t="s">
        <v>168</v>
      </c>
    </row>
    <row r="393" spans="9:22" x14ac:dyDescent="0.45">
      <c r="I393" t="s">
        <v>185</v>
      </c>
      <c r="J393" t="s">
        <v>257</v>
      </c>
      <c r="K393">
        <v>8.0971245856852562E-3</v>
      </c>
      <c r="L393" t="s">
        <v>168</v>
      </c>
      <c r="N393" t="s">
        <v>209</v>
      </c>
      <c r="O393" t="s">
        <v>257</v>
      </c>
      <c r="P393">
        <v>9.3514122763573293E-3</v>
      </c>
      <c r="Q393" t="s">
        <v>168</v>
      </c>
      <c r="S393" t="s">
        <v>228</v>
      </c>
      <c r="T393" t="s">
        <v>257</v>
      </c>
      <c r="U393">
        <v>7.1982908650316041E-3</v>
      </c>
      <c r="V393" t="s">
        <v>168</v>
      </c>
    </row>
    <row r="394" spans="9:22" x14ac:dyDescent="0.45">
      <c r="I394" t="s">
        <v>185</v>
      </c>
      <c r="J394" t="s">
        <v>258</v>
      </c>
      <c r="K394">
        <v>2.7989347324351354E-3</v>
      </c>
      <c r="L394" t="s">
        <v>168</v>
      </c>
      <c r="N394" t="s">
        <v>209</v>
      </c>
      <c r="O394" t="s">
        <v>258</v>
      </c>
      <c r="P394">
        <v>6.5390280034146764E-2</v>
      </c>
      <c r="Q394" t="s">
        <v>168</v>
      </c>
      <c r="S394" t="s">
        <v>228</v>
      </c>
      <c r="T394" t="s">
        <v>258</v>
      </c>
      <c r="U394">
        <v>5.1402560940920189E-2</v>
      </c>
      <c r="V394" t="s">
        <v>168</v>
      </c>
    </row>
    <row r="395" spans="9:22" x14ac:dyDescent="0.45">
      <c r="I395" t="s">
        <v>185</v>
      </c>
      <c r="J395" t="s">
        <v>171</v>
      </c>
      <c r="K395">
        <v>3.8474527438961875E-2</v>
      </c>
      <c r="L395" t="s">
        <v>168</v>
      </c>
      <c r="N395" t="s">
        <v>209</v>
      </c>
      <c r="O395" t="s">
        <v>171</v>
      </c>
      <c r="P395">
        <v>0.10991548849289312</v>
      </c>
      <c r="Q395" t="s">
        <v>168</v>
      </c>
      <c r="S395" t="s">
        <v>228</v>
      </c>
      <c r="T395" t="s">
        <v>171</v>
      </c>
      <c r="U395">
        <v>0.12921037457526138</v>
      </c>
      <c r="V395" t="s">
        <v>168</v>
      </c>
    </row>
    <row r="396" spans="9:22" x14ac:dyDescent="0.45">
      <c r="I396" t="s">
        <v>185</v>
      </c>
      <c r="J396" t="s">
        <v>172</v>
      </c>
      <c r="K396">
        <v>2.9797782696540896E-2</v>
      </c>
      <c r="L396" t="s">
        <v>168</v>
      </c>
      <c r="N396" t="s">
        <v>209</v>
      </c>
      <c r="O396" t="s">
        <v>172</v>
      </c>
      <c r="P396">
        <v>1.281120135684769E-2</v>
      </c>
      <c r="Q396" t="s">
        <v>168</v>
      </c>
      <c r="S396" t="s">
        <v>228</v>
      </c>
      <c r="T396" t="s">
        <v>172</v>
      </c>
      <c r="U396">
        <v>1.6304809053103119E-2</v>
      </c>
      <c r="V396" t="s">
        <v>168</v>
      </c>
    </row>
    <row r="397" spans="9:22" x14ac:dyDescent="0.45">
      <c r="I397" t="s">
        <v>185</v>
      </c>
      <c r="J397" t="s">
        <v>173</v>
      </c>
      <c r="K397">
        <v>3.4931165380246161E-2</v>
      </c>
      <c r="L397" t="s">
        <v>168</v>
      </c>
      <c r="N397" t="s">
        <v>209</v>
      </c>
      <c r="O397" t="s">
        <v>173</v>
      </c>
      <c r="P397">
        <v>1.2673403079730026E-2</v>
      </c>
      <c r="Q397" t="s">
        <v>168</v>
      </c>
      <c r="S397" t="s">
        <v>228</v>
      </c>
      <c r="T397" t="s">
        <v>173</v>
      </c>
      <c r="U397">
        <v>1.6276070090415318E-2</v>
      </c>
      <c r="V397" t="s">
        <v>168</v>
      </c>
    </row>
    <row r="398" spans="9:22" x14ac:dyDescent="0.45">
      <c r="I398" t="s">
        <v>185</v>
      </c>
      <c r="J398" t="s">
        <v>259</v>
      </c>
      <c r="K398">
        <v>0.22935011341495079</v>
      </c>
      <c r="L398" t="s">
        <v>168</v>
      </c>
      <c r="N398" t="s">
        <v>209</v>
      </c>
      <c r="O398" t="s">
        <v>259</v>
      </c>
      <c r="P398">
        <v>9.0501625790123441E-2</v>
      </c>
      <c r="Q398" t="s">
        <v>168</v>
      </c>
      <c r="S398" t="s">
        <v>228</v>
      </c>
      <c r="T398" t="s">
        <v>259</v>
      </c>
      <c r="U398">
        <v>9.4145265370959949E-2</v>
      </c>
      <c r="V398" t="s">
        <v>168</v>
      </c>
    </row>
    <row r="399" spans="9:22" x14ac:dyDescent="0.45">
      <c r="I399" t="s">
        <v>185</v>
      </c>
      <c r="J399" t="s">
        <v>260</v>
      </c>
      <c r="K399">
        <v>3.0965061171333564E-2</v>
      </c>
      <c r="L399" t="s">
        <v>168</v>
      </c>
      <c r="N399" t="s">
        <v>209</v>
      </c>
      <c r="O399" t="s">
        <v>260</v>
      </c>
      <c r="P399">
        <v>1.8240307116178821E-2</v>
      </c>
      <c r="Q399" t="s">
        <v>168</v>
      </c>
      <c r="S399" t="s">
        <v>228</v>
      </c>
      <c r="T399" t="s">
        <v>260</v>
      </c>
      <c r="U399">
        <v>1.619717713067113E-2</v>
      </c>
      <c r="V399" t="s">
        <v>168</v>
      </c>
    </row>
    <row r="400" spans="9:22" x14ac:dyDescent="0.45">
      <c r="I400" t="s">
        <v>185</v>
      </c>
      <c r="J400" t="s">
        <v>261</v>
      </c>
      <c r="K400">
        <v>3.7374871149304621E-2</v>
      </c>
      <c r="L400" t="s">
        <v>168</v>
      </c>
      <c r="N400" t="s">
        <v>209</v>
      </c>
      <c r="O400" t="s">
        <v>261</v>
      </c>
      <c r="P400">
        <v>0.10900308619373673</v>
      </c>
      <c r="Q400" t="s">
        <v>168</v>
      </c>
      <c r="S400" t="s">
        <v>228</v>
      </c>
      <c r="T400" t="s">
        <v>261</v>
      </c>
      <c r="U400">
        <v>0.11071637578303367</v>
      </c>
      <c r="V400" t="s">
        <v>168</v>
      </c>
    </row>
    <row r="401" spans="9:22" x14ac:dyDescent="0.45">
      <c r="I401" t="s">
        <v>185</v>
      </c>
      <c r="J401" t="s">
        <v>174</v>
      </c>
      <c r="K401">
        <v>1.4840167133087228E-2</v>
      </c>
      <c r="L401" t="s">
        <v>168</v>
      </c>
      <c r="N401" t="s">
        <v>209</v>
      </c>
      <c r="O401" t="s">
        <v>174</v>
      </c>
      <c r="P401">
        <v>1.8364044821148028E-2</v>
      </c>
      <c r="Q401" t="s">
        <v>168</v>
      </c>
      <c r="S401" t="s">
        <v>228</v>
      </c>
      <c r="T401" t="s">
        <v>174</v>
      </c>
      <c r="U401">
        <v>5.9577713147973953E-3</v>
      </c>
      <c r="V401" t="s">
        <v>168</v>
      </c>
    </row>
    <row r="402" spans="9:22" x14ac:dyDescent="0.45">
      <c r="I402" t="s">
        <v>185</v>
      </c>
      <c r="J402" t="s">
        <v>175</v>
      </c>
      <c r="K402">
        <v>9.4295360436353632E-3</v>
      </c>
      <c r="L402" t="s">
        <v>168</v>
      </c>
      <c r="N402" t="s">
        <v>209</v>
      </c>
      <c r="O402" t="s">
        <v>175</v>
      </c>
      <c r="P402">
        <v>2.2475282390400867E-3</v>
      </c>
      <c r="Q402" t="s">
        <v>168</v>
      </c>
      <c r="S402" t="s">
        <v>228</v>
      </c>
      <c r="T402" t="s">
        <v>175</v>
      </c>
      <c r="U402">
        <v>6.9055565332392646E-4</v>
      </c>
      <c r="V402" t="s">
        <v>168</v>
      </c>
    </row>
    <row r="403" spans="9:22" x14ac:dyDescent="0.45">
      <c r="I403" t="s">
        <v>185</v>
      </c>
      <c r="J403" t="s">
        <v>176</v>
      </c>
      <c r="K403">
        <v>1.0631615874565889E-2</v>
      </c>
      <c r="L403" t="s">
        <v>168</v>
      </c>
      <c r="N403" t="s">
        <v>209</v>
      </c>
      <c r="O403" t="s">
        <v>176</v>
      </c>
      <c r="P403">
        <v>2.2876234730363448E-3</v>
      </c>
      <c r="Q403" t="s">
        <v>168</v>
      </c>
      <c r="S403" t="s">
        <v>228</v>
      </c>
      <c r="T403" t="s">
        <v>176</v>
      </c>
      <c r="U403">
        <v>6.957742036477996E-4</v>
      </c>
      <c r="V403" t="s">
        <v>168</v>
      </c>
    </row>
    <row r="404" spans="9:22" x14ac:dyDescent="0.45">
      <c r="I404" t="s">
        <v>185</v>
      </c>
      <c r="J404" t="s">
        <v>262</v>
      </c>
      <c r="K404">
        <v>6.4885301465261988E-2</v>
      </c>
      <c r="L404" t="s">
        <v>168</v>
      </c>
      <c r="N404" t="s">
        <v>209</v>
      </c>
      <c r="O404" t="s">
        <v>262</v>
      </c>
      <c r="P404">
        <v>1.5637085766577474E-2</v>
      </c>
      <c r="Q404" t="s">
        <v>168</v>
      </c>
      <c r="S404" t="s">
        <v>228</v>
      </c>
      <c r="T404" t="s">
        <v>262</v>
      </c>
      <c r="U404">
        <v>5.7449287416043195E-3</v>
      </c>
      <c r="V404" t="s">
        <v>168</v>
      </c>
    </row>
    <row r="405" spans="9:22" x14ac:dyDescent="0.45">
      <c r="I405" t="s">
        <v>185</v>
      </c>
      <c r="J405" t="s">
        <v>263</v>
      </c>
      <c r="K405">
        <v>8.5463893018102588E-3</v>
      </c>
      <c r="L405" t="s">
        <v>168</v>
      </c>
      <c r="N405" t="s">
        <v>209</v>
      </c>
      <c r="O405" t="s">
        <v>263</v>
      </c>
      <c r="P405">
        <v>2.8529075011588956E-3</v>
      </c>
      <c r="Q405" t="s">
        <v>168</v>
      </c>
      <c r="S405" t="s">
        <v>228</v>
      </c>
      <c r="T405" t="s">
        <v>263</v>
      </c>
      <c r="U405">
        <v>1.3668002432983878E-3</v>
      </c>
      <c r="V405" t="s">
        <v>168</v>
      </c>
    </row>
    <row r="406" spans="9:22" x14ac:dyDescent="0.45">
      <c r="I406" t="s">
        <v>185</v>
      </c>
      <c r="J406" t="s">
        <v>264</v>
      </c>
      <c r="K406">
        <v>1.412299760916077E-2</v>
      </c>
      <c r="L406" t="s">
        <v>168</v>
      </c>
      <c r="N406" t="s">
        <v>209</v>
      </c>
      <c r="O406" t="s">
        <v>264</v>
      </c>
      <c r="P406">
        <v>1.8203466055472788E-2</v>
      </c>
      <c r="Q406" t="s">
        <v>168</v>
      </c>
      <c r="S406" t="s">
        <v>228</v>
      </c>
      <c r="T406" t="s">
        <v>264</v>
      </c>
      <c r="U406">
        <v>8.5276538037636716E-3</v>
      </c>
      <c r="V406" t="s">
        <v>168</v>
      </c>
    </row>
    <row r="407" spans="9:22" x14ac:dyDescent="0.45">
      <c r="I407" t="s">
        <v>185</v>
      </c>
      <c r="J407" t="s">
        <v>265</v>
      </c>
      <c r="K407">
        <v>1.1187351667214815E-2</v>
      </c>
      <c r="L407" t="s">
        <v>168</v>
      </c>
      <c r="N407" t="s">
        <v>209</v>
      </c>
      <c r="O407" t="s">
        <v>265</v>
      </c>
      <c r="P407">
        <v>1.9878499623637785E-2</v>
      </c>
      <c r="Q407" t="s">
        <v>168</v>
      </c>
      <c r="S407" t="s">
        <v>228</v>
      </c>
      <c r="T407" t="s">
        <v>265</v>
      </c>
      <c r="U407">
        <v>1.0930985442444951E-2</v>
      </c>
      <c r="V407" t="s">
        <v>168</v>
      </c>
    </row>
    <row r="408" spans="9:22" x14ac:dyDescent="0.45">
      <c r="I408" t="s">
        <v>185</v>
      </c>
      <c r="J408" t="s">
        <v>266</v>
      </c>
      <c r="K408">
        <v>8.8926433711545502E-3</v>
      </c>
      <c r="L408" t="s">
        <v>168</v>
      </c>
      <c r="N408" t="s">
        <v>209</v>
      </c>
      <c r="O408" t="s">
        <v>266</v>
      </c>
      <c r="P408">
        <v>2.499490781049996E-3</v>
      </c>
      <c r="Q408" t="s">
        <v>168</v>
      </c>
      <c r="S408" t="s">
        <v>228</v>
      </c>
      <c r="T408" t="s">
        <v>266</v>
      </c>
      <c r="U408">
        <v>1.021424445882176E-3</v>
      </c>
      <c r="V408" t="s">
        <v>168</v>
      </c>
    </row>
    <row r="409" spans="9:22" x14ac:dyDescent="0.45">
      <c r="I409" t="s">
        <v>185</v>
      </c>
      <c r="J409" t="s">
        <v>267</v>
      </c>
      <c r="K409">
        <v>1.0217456340986007E-2</v>
      </c>
      <c r="L409" t="s">
        <v>168</v>
      </c>
      <c r="N409" t="s">
        <v>209</v>
      </c>
      <c r="O409" t="s">
        <v>267</v>
      </c>
      <c r="P409">
        <v>2.6430844871889571E-3</v>
      </c>
      <c r="Q409" t="s">
        <v>168</v>
      </c>
      <c r="S409" t="s">
        <v>228</v>
      </c>
      <c r="T409" t="s">
        <v>267</v>
      </c>
      <c r="U409">
        <v>9.7491488648558406E-4</v>
      </c>
      <c r="V409" t="s">
        <v>168</v>
      </c>
    </row>
    <row r="410" spans="9:22" x14ac:dyDescent="0.45">
      <c r="I410" t="s">
        <v>185</v>
      </c>
      <c r="J410" t="s">
        <v>268</v>
      </c>
      <c r="K410">
        <v>6.221267975588618E-2</v>
      </c>
      <c r="L410" t="s">
        <v>168</v>
      </c>
      <c r="N410" t="s">
        <v>209</v>
      </c>
      <c r="O410" t="s">
        <v>268</v>
      </c>
      <c r="P410">
        <v>1.678056485063505E-2</v>
      </c>
      <c r="Q410" t="s">
        <v>168</v>
      </c>
      <c r="S410" t="s">
        <v>228</v>
      </c>
      <c r="T410" t="s">
        <v>268</v>
      </c>
      <c r="U410">
        <v>7.0043986582762827E-3</v>
      </c>
      <c r="V410" t="s">
        <v>168</v>
      </c>
    </row>
    <row r="411" spans="9:22" x14ac:dyDescent="0.45">
      <c r="I411" t="s">
        <v>185</v>
      </c>
      <c r="J411" t="s">
        <v>269</v>
      </c>
      <c r="K411">
        <v>8.2772230353405068E-3</v>
      </c>
      <c r="L411" t="s">
        <v>168</v>
      </c>
      <c r="N411" t="s">
        <v>209</v>
      </c>
      <c r="O411" t="s">
        <v>269</v>
      </c>
      <c r="P411">
        <v>2.9750176681330133E-3</v>
      </c>
      <c r="Q411" t="s">
        <v>168</v>
      </c>
      <c r="S411" t="s">
        <v>228</v>
      </c>
      <c r="T411" t="s">
        <v>269</v>
      </c>
      <c r="U411">
        <v>1.793824978570604E-3</v>
      </c>
      <c r="V411" t="s">
        <v>168</v>
      </c>
    </row>
    <row r="412" spans="9:22" x14ac:dyDescent="0.45">
      <c r="I412" t="s">
        <v>185</v>
      </c>
      <c r="J412" t="s">
        <v>270</v>
      </c>
      <c r="K412">
        <v>1.0506789221013552E-2</v>
      </c>
      <c r="L412" t="s">
        <v>168</v>
      </c>
      <c r="N412" t="s">
        <v>209</v>
      </c>
      <c r="O412" t="s">
        <v>270</v>
      </c>
      <c r="P412">
        <v>1.6412415524222894E-2</v>
      </c>
      <c r="Q412" t="s">
        <v>168</v>
      </c>
      <c r="S412" t="s">
        <v>228</v>
      </c>
      <c r="T412" t="s">
        <v>270</v>
      </c>
      <c r="U412">
        <v>1.1933452016625729E-2</v>
      </c>
      <c r="V412" t="s">
        <v>168</v>
      </c>
    </row>
    <row r="413" spans="9:22" x14ac:dyDescent="0.45">
      <c r="I413" t="s">
        <v>185</v>
      </c>
      <c r="J413" t="s">
        <v>271</v>
      </c>
      <c r="K413">
        <v>7.6385724140021396E-3</v>
      </c>
      <c r="L413" t="s">
        <v>168</v>
      </c>
      <c r="N413" t="s">
        <v>209</v>
      </c>
      <c r="O413" t="s">
        <v>271</v>
      </c>
      <c r="P413">
        <v>1.6621375610599946E-2</v>
      </c>
      <c r="Q413" t="s">
        <v>168</v>
      </c>
      <c r="S413" t="s">
        <v>228</v>
      </c>
      <c r="T413" t="s">
        <v>271</v>
      </c>
      <c r="U413">
        <v>2.0763715259773712E-2</v>
      </c>
      <c r="V413" t="s">
        <v>168</v>
      </c>
    </row>
    <row r="414" spans="9:22" x14ac:dyDescent="0.45">
      <c r="I414" t="s">
        <v>185</v>
      </c>
      <c r="J414" t="s">
        <v>272</v>
      </c>
      <c r="K414">
        <v>7.2966691540553713E-3</v>
      </c>
      <c r="L414" t="s">
        <v>168</v>
      </c>
      <c r="N414" t="s">
        <v>209</v>
      </c>
      <c r="O414" t="s">
        <v>272</v>
      </c>
      <c r="P414">
        <v>1.5582690872907078E-3</v>
      </c>
      <c r="Q414" t="s">
        <v>168</v>
      </c>
      <c r="S414" t="s">
        <v>228</v>
      </c>
      <c r="T414" t="s">
        <v>272</v>
      </c>
      <c r="U414">
        <v>2.1375808142600526E-3</v>
      </c>
      <c r="V414" t="s">
        <v>168</v>
      </c>
    </row>
    <row r="415" spans="9:22" x14ac:dyDescent="0.45">
      <c r="I415" t="s">
        <v>185</v>
      </c>
      <c r="J415" t="s">
        <v>273</v>
      </c>
      <c r="K415">
        <v>8.658414658743745E-3</v>
      </c>
      <c r="L415" t="s">
        <v>168</v>
      </c>
      <c r="N415" t="s">
        <v>209</v>
      </c>
      <c r="O415" t="s">
        <v>273</v>
      </c>
      <c r="P415">
        <v>1.6711609031447982E-3</v>
      </c>
      <c r="Q415" t="s">
        <v>168</v>
      </c>
      <c r="S415" t="s">
        <v>228</v>
      </c>
      <c r="T415" t="s">
        <v>273</v>
      </c>
      <c r="U415">
        <v>2.0715616048265326E-3</v>
      </c>
      <c r="V415" t="s">
        <v>168</v>
      </c>
    </row>
    <row r="416" spans="9:22" x14ac:dyDescent="0.45">
      <c r="I416" t="s">
        <v>185</v>
      </c>
      <c r="J416" t="s">
        <v>274</v>
      </c>
      <c r="K416">
        <v>5.4251036224287653E-2</v>
      </c>
      <c r="L416" t="s">
        <v>168</v>
      </c>
      <c r="N416" t="s">
        <v>209</v>
      </c>
      <c r="O416" t="s">
        <v>274</v>
      </c>
      <c r="P416">
        <v>1.6275638243831107E-2</v>
      </c>
      <c r="Q416" t="s">
        <v>168</v>
      </c>
      <c r="S416" t="s">
        <v>228</v>
      </c>
      <c r="T416" t="s">
        <v>274</v>
      </c>
      <c r="U416">
        <v>1.2940395365461153E-2</v>
      </c>
      <c r="V416" t="s">
        <v>168</v>
      </c>
    </row>
    <row r="417" spans="9:22" x14ac:dyDescent="0.45">
      <c r="I417" t="s">
        <v>185</v>
      </c>
      <c r="J417" t="s">
        <v>275</v>
      </c>
      <c r="K417">
        <v>6.8615715912933913E-3</v>
      </c>
      <c r="L417" t="s">
        <v>168</v>
      </c>
      <c r="N417" t="s">
        <v>209</v>
      </c>
      <c r="O417" t="s">
        <v>275</v>
      </c>
      <c r="P417">
        <v>3.3599694555469283E-3</v>
      </c>
      <c r="Q417" t="s">
        <v>168</v>
      </c>
      <c r="S417" t="s">
        <v>228</v>
      </c>
      <c r="T417" t="s">
        <v>275</v>
      </c>
      <c r="U417">
        <v>2.8280345892941943E-3</v>
      </c>
      <c r="V417" t="s">
        <v>168</v>
      </c>
    </row>
    <row r="418" spans="9:22" x14ac:dyDescent="0.45">
      <c r="I418" t="s">
        <v>185</v>
      </c>
      <c r="J418" t="s">
        <v>276</v>
      </c>
      <c r="K418">
        <v>5.4254389764465836E-3</v>
      </c>
      <c r="L418" t="s">
        <v>168</v>
      </c>
      <c r="N418" t="s">
        <v>209</v>
      </c>
      <c r="O418" t="s">
        <v>276</v>
      </c>
      <c r="P418">
        <v>1.7923607535691659E-2</v>
      </c>
      <c r="Q418" t="s">
        <v>168</v>
      </c>
      <c r="S418" t="s">
        <v>228</v>
      </c>
      <c r="T418" t="s">
        <v>276</v>
      </c>
      <c r="U418">
        <v>2.166656915374084E-2</v>
      </c>
      <c r="V418" t="s">
        <v>168</v>
      </c>
    </row>
    <row r="419" spans="9:22" x14ac:dyDescent="0.45">
      <c r="I419" t="s">
        <v>185</v>
      </c>
      <c r="J419" t="s">
        <v>277</v>
      </c>
      <c r="K419">
        <v>5.4065933926147284E-3</v>
      </c>
      <c r="L419" t="s">
        <v>168</v>
      </c>
      <c r="N419" t="s">
        <v>209</v>
      </c>
      <c r="O419" t="s">
        <v>277</v>
      </c>
      <c r="P419">
        <v>5.1275751661576087E-2</v>
      </c>
      <c r="Q419" t="s">
        <v>168</v>
      </c>
      <c r="S419" t="s">
        <v>228</v>
      </c>
      <c r="T419" t="s">
        <v>277</v>
      </c>
      <c r="U419">
        <v>8.7291703745364685E-2</v>
      </c>
      <c r="V419" t="s">
        <v>168</v>
      </c>
    </row>
    <row r="420" spans="9:22" x14ac:dyDescent="0.45">
      <c r="I420" t="s">
        <v>185</v>
      </c>
      <c r="J420" t="s">
        <v>278</v>
      </c>
      <c r="K420">
        <v>1.0337948210131814E-2</v>
      </c>
      <c r="L420" t="s">
        <v>168</v>
      </c>
      <c r="N420" t="s">
        <v>209</v>
      </c>
      <c r="O420" t="s">
        <v>278</v>
      </c>
      <c r="P420">
        <v>6.3441571179016212E-3</v>
      </c>
      <c r="Q420" t="s">
        <v>168</v>
      </c>
      <c r="S420" t="s">
        <v>228</v>
      </c>
      <c r="T420" t="s">
        <v>278</v>
      </c>
      <c r="U420">
        <v>1.0515127798047211E-2</v>
      </c>
      <c r="V420" t="s">
        <v>168</v>
      </c>
    </row>
    <row r="421" spans="9:22" x14ac:dyDescent="0.45">
      <c r="I421" t="s">
        <v>185</v>
      </c>
      <c r="J421" t="s">
        <v>279</v>
      </c>
      <c r="K421">
        <v>1.3741452701297133E-2</v>
      </c>
      <c r="L421" t="s">
        <v>168</v>
      </c>
      <c r="N421" t="s">
        <v>209</v>
      </c>
      <c r="O421" t="s">
        <v>279</v>
      </c>
      <c r="P421">
        <v>6.0532630610437487E-3</v>
      </c>
      <c r="Q421" t="s">
        <v>168</v>
      </c>
      <c r="S421" t="s">
        <v>228</v>
      </c>
      <c r="T421" t="s">
        <v>279</v>
      </c>
      <c r="U421">
        <v>1.0488347129471599E-2</v>
      </c>
      <c r="V421" t="s">
        <v>168</v>
      </c>
    </row>
    <row r="422" spans="9:22" x14ac:dyDescent="0.45">
      <c r="I422" t="s">
        <v>185</v>
      </c>
      <c r="J422" t="s">
        <v>280</v>
      </c>
      <c r="K422">
        <v>8.2044170886901802E-2</v>
      </c>
      <c r="L422" t="s">
        <v>168</v>
      </c>
      <c r="N422" t="s">
        <v>209</v>
      </c>
      <c r="O422" t="s">
        <v>280</v>
      </c>
      <c r="P422">
        <v>4.0325102876579838E-2</v>
      </c>
      <c r="Q422" t="s">
        <v>168</v>
      </c>
      <c r="S422" t="s">
        <v>228</v>
      </c>
      <c r="T422" t="s">
        <v>280</v>
      </c>
      <c r="U422">
        <v>6.1801034975160388E-2</v>
      </c>
      <c r="V422" t="s">
        <v>168</v>
      </c>
    </row>
    <row r="423" spans="9:22" x14ac:dyDescent="0.45">
      <c r="I423" t="s">
        <v>185</v>
      </c>
      <c r="J423" t="s">
        <v>281</v>
      </c>
      <c r="K423">
        <v>7.4055246163890892E-3</v>
      </c>
      <c r="L423" t="s">
        <v>168</v>
      </c>
      <c r="N423" t="s">
        <v>209</v>
      </c>
      <c r="O423" t="s">
        <v>281</v>
      </c>
      <c r="P423">
        <v>8.0505276245399406E-3</v>
      </c>
      <c r="Q423" t="s">
        <v>168</v>
      </c>
      <c r="S423" t="s">
        <v>228</v>
      </c>
      <c r="T423" t="s">
        <v>281</v>
      </c>
      <c r="U423">
        <v>1.0964223783518828E-2</v>
      </c>
      <c r="V423" t="s">
        <v>168</v>
      </c>
    </row>
    <row r="424" spans="9:22" x14ac:dyDescent="0.45">
      <c r="I424" t="s">
        <v>185</v>
      </c>
      <c r="J424" t="s">
        <v>282</v>
      </c>
      <c r="K424">
        <v>1.6520080765414402E-3</v>
      </c>
      <c r="L424" t="s">
        <v>168</v>
      </c>
      <c r="N424" t="s">
        <v>209</v>
      </c>
      <c r="O424" t="s">
        <v>282</v>
      </c>
      <c r="P424">
        <v>5.2742753456652421E-2</v>
      </c>
      <c r="Q424" t="s">
        <v>168</v>
      </c>
      <c r="S424" t="s">
        <v>228</v>
      </c>
      <c r="T424" t="s">
        <v>282</v>
      </c>
      <c r="U424">
        <v>7.796836375618757E-2</v>
      </c>
      <c r="V424" t="s">
        <v>168</v>
      </c>
    </row>
    <row r="425" spans="9:22" x14ac:dyDescent="0.45">
      <c r="I425" t="s">
        <v>185</v>
      </c>
      <c r="J425" t="s">
        <v>283</v>
      </c>
      <c r="K425">
        <v>0</v>
      </c>
      <c r="L425" t="s">
        <v>168</v>
      </c>
      <c r="N425" t="s">
        <v>209</v>
      </c>
      <c r="O425" t="s">
        <v>283</v>
      </c>
      <c r="P425">
        <v>2.5538894047459019E-2</v>
      </c>
      <c r="Q425" t="s">
        <v>168</v>
      </c>
      <c r="S425" t="s">
        <v>228</v>
      </c>
      <c r="T425" t="s">
        <v>283</v>
      </c>
      <c r="U425">
        <v>2.4272067222204621E-2</v>
      </c>
      <c r="V425" t="s">
        <v>168</v>
      </c>
    </row>
    <row r="426" spans="9:22" x14ac:dyDescent="0.45">
      <c r="I426" t="s">
        <v>185</v>
      </c>
      <c r="J426" t="s">
        <v>284</v>
      </c>
      <c r="K426">
        <v>2.7040058207382749E-3</v>
      </c>
      <c r="L426" t="s">
        <v>168</v>
      </c>
      <c r="N426" t="s">
        <v>209</v>
      </c>
      <c r="O426" t="s">
        <v>284</v>
      </c>
      <c r="P426">
        <v>3.6193117653367229E-3</v>
      </c>
      <c r="Q426" t="s">
        <v>168</v>
      </c>
      <c r="S426" t="s">
        <v>228</v>
      </c>
      <c r="T426" t="s">
        <v>284</v>
      </c>
      <c r="U426">
        <v>2.8816776868432416E-3</v>
      </c>
      <c r="V426" t="s">
        <v>168</v>
      </c>
    </row>
    <row r="427" spans="9:22" x14ac:dyDescent="0.45">
      <c r="I427" t="s">
        <v>185</v>
      </c>
      <c r="J427" t="s">
        <v>285</v>
      </c>
      <c r="K427">
        <v>4.7681554566978701E-3</v>
      </c>
      <c r="L427" t="s">
        <v>168</v>
      </c>
      <c r="N427" t="s">
        <v>209</v>
      </c>
      <c r="O427" t="s">
        <v>285</v>
      </c>
      <c r="P427">
        <v>3.5548980790079715E-3</v>
      </c>
      <c r="Q427" t="s">
        <v>168</v>
      </c>
      <c r="S427" t="s">
        <v>228</v>
      </c>
      <c r="T427" t="s">
        <v>285</v>
      </c>
      <c r="U427">
        <v>2.8750267455322481E-3</v>
      </c>
      <c r="V427" t="s">
        <v>168</v>
      </c>
    </row>
    <row r="428" spans="9:22" x14ac:dyDescent="0.45">
      <c r="I428" t="s">
        <v>185</v>
      </c>
      <c r="J428" t="s">
        <v>286</v>
      </c>
      <c r="K428">
        <v>3.4783052812599934E-2</v>
      </c>
      <c r="L428" t="s">
        <v>168</v>
      </c>
      <c r="N428" t="s">
        <v>209</v>
      </c>
      <c r="O428" t="s">
        <v>286</v>
      </c>
      <c r="P428">
        <v>2.1986360009562812E-2</v>
      </c>
      <c r="Q428" t="s">
        <v>168</v>
      </c>
      <c r="S428" t="s">
        <v>228</v>
      </c>
      <c r="T428" t="s">
        <v>286</v>
      </c>
      <c r="U428">
        <v>1.6437953942048465E-2</v>
      </c>
      <c r="V428" t="s">
        <v>168</v>
      </c>
    </row>
    <row r="429" spans="9:22" x14ac:dyDescent="0.45">
      <c r="I429" t="s">
        <v>185</v>
      </c>
      <c r="J429" t="s">
        <v>287</v>
      </c>
      <c r="K429">
        <v>2.771844553305381E-3</v>
      </c>
      <c r="L429" t="s">
        <v>168</v>
      </c>
      <c r="N429" t="s">
        <v>209</v>
      </c>
      <c r="O429" t="s">
        <v>287</v>
      </c>
      <c r="P429">
        <v>3.4494831498303657E-3</v>
      </c>
      <c r="Q429" t="s">
        <v>168</v>
      </c>
      <c r="S429" t="s">
        <v>228</v>
      </c>
      <c r="T429" t="s">
        <v>287</v>
      </c>
      <c r="U429">
        <v>2.6002181020431791E-3</v>
      </c>
      <c r="V429" t="s">
        <v>168</v>
      </c>
    </row>
    <row r="430" spans="9:22" x14ac:dyDescent="0.45">
      <c r="I430" t="s">
        <v>185</v>
      </c>
      <c r="J430" t="s">
        <v>288</v>
      </c>
      <c r="K430">
        <v>0</v>
      </c>
      <c r="L430" t="s">
        <v>168</v>
      </c>
      <c r="N430" t="s">
        <v>209</v>
      </c>
      <c r="O430" t="s">
        <v>288</v>
      </c>
      <c r="P430">
        <v>2.1371496776185724E-2</v>
      </c>
      <c r="Q430" t="s">
        <v>168</v>
      </c>
      <c r="S430" t="s">
        <v>228</v>
      </c>
      <c r="T430" t="s">
        <v>288</v>
      </c>
      <c r="U430">
        <v>1.8560494325229368E-2</v>
      </c>
      <c r="V430" t="s">
        <v>168</v>
      </c>
    </row>
    <row r="431" spans="9:22" x14ac:dyDescent="0.45">
      <c r="I431" t="s">
        <v>186</v>
      </c>
      <c r="J431" t="s">
        <v>167</v>
      </c>
      <c r="K431">
        <v>1.662831588770556E-3</v>
      </c>
      <c r="L431" t="s">
        <v>168</v>
      </c>
      <c r="N431" t="s">
        <v>210</v>
      </c>
      <c r="O431" t="s">
        <v>167</v>
      </c>
      <c r="P431">
        <v>7.3367383536215705E-2</v>
      </c>
      <c r="Q431" t="s">
        <v>168</v>
      </c>
      <c r="S431" t="s">
        <v>229</v>
      </c>
      <c r="T431" t="s">
        <v>167</v>
      </c>
      <c r="U431">
        <v>6.3584635432578487E-2</v>
      </c>
      <c r="V431" t="s">
        <v>168</v>
      </c>
    </row>
    <row r="432" spans="9:22" x14ac:dyDescent="0.45">
      <c r="I432" t="s">
        <v>186</v>
      </c>
      <c r="J432" t="s">
        <v>169</v>
      </c>
      <c r="K432">
        <v>7.7711697310517422E-3</v>
      </c>
      <c r="L432" t="s">
        <v>168</v>
      </c>
      <c r="N432" t="s">
        <v>210</v>
      </c>
      <c r="O432" t="s">
        <v>169</v>
      </c>
      <c r="P432">
        <v>8.2686160765390801E-3</v>
      </c>
      <c r="Q432" t="s">
        <v>168</v>
      </c>
      <c r="S432" t="s">
        <v>229</v>
      </c>
      <c r="T432" t="s">
        <v>169</v>
      </c>
      <c r="U432">
        <v>8.5200643017049986E-3</v>
      </c>
      <c r="V432" t="s">
        <v>168</v>
      </c>
    </row>
    <row r="433" spans="9:22" x14ac:dyDescent="0.45">
      <c r="I433" t="s">
        <v>186</v>
      </c>
      <c r="J433" t="s">
        <v>170</v>
      </c>
      <c r="K433">
        <v>1.1588426371118926E-2</v>
      </c>
      <c r="L433" t="s">
        <v>168</v>
      </c>
      <c r="N433" t="s">
        <v>210</v>
      </c>
      <c r="O433" t="s">
        <v>170</v>
      </c>
      <c r="P433">
        <v>7.8755091719551178E-3</v>
      </c>
      <c r="Q433" t="s">
        <v>168</v>
      </c>
      <c r="S433" t="s">
        <v>229</v>
      </c>
      <c r="T433" t="s">
        <v>170</v>
      </c>
      <c r="U433">
        <v>8.6422709796574147E-3</v>
      </c>
      <c r="V433" t="s">
        <v>168</v>
      </c>
    </row>
    <row r="434" spans="9:22" x14ac:dyDescent="0.45">
      <c r="I434" t="s">
        <v>186</v>
      </c>
      <c r="J434" t="s">
        <v>256</v>
      </c>
      <c r="K434">
        <v>7.7060634871042588E-2</v>
      </c>
      <c r="L434" t="s">
        <v>168</v>
      </c>
      <c r="N434" t="s">
        <v>210</v>
      </c>
      <c r="O434" t="s">
        <v>256</v>
      </c>
      <c r="P434">
        <v>5.2258987432086547E-2</v>
      </c>
      <c r="Q434" t="s">
        <v>168</v>
      </c>
      <c r="S434" t="s">
        <v>229</v>
      </c>
      <c r="T434" t="s">
        <v>256</v>
      </c>
      <c r="U434">
        <v>5.0944429518397193E-2</v>
      </c>
      <c r="V434" t="s">
        <v>168</v>
      </c>
    </row>
    <row r="435" spans="9:22" x14ac:dyDescent="0.45">
      <c r="I435" t="s">
        <v>186</v>
      </c>
      <c r="J435" t="s">
        <v>257</v>
      </c>
      <c r="K435">
        <v>8.0984788432025799E-3</v>
      </c>
      <c r="L435" t="s">
        <v>168</v>
      </c>
      <c r="N435" t="s">
        <v>210</v>
      </c>
      <c r="O435" t="s">
        <v>257</v>
      </c>
      <c r="P435">
        <v>9.1427852878903509E-3</v>
      </c>
      <c r="Q435" t="s">
        <v>168</v>
      </c>
      <c r="S435" t="s">
        <v>229</v>
      </c>
      <c r="T435" t="s">
        <v>257</v>
      </c>
      <c r="U435">
        <v>8.44654728887753E-3</v>
      </c>
      <c r="V435" t="s">
        <v>168</v>
      </c>
    </row>
    <row r="436" spans="9:22" x14ac:dyDescent="0.45">
      <c r="I436" t="s">
        <v>186</v>
      </c>
      <c r="J436" t="s">
        <v>258</v>
      </c>
      <c r="K436">
        <v>3.0298537727698636E-3</v>
      </c>
      <c r="L436" t="s">
        <v>168</v>
      </c>
      <c r="N436" t="s">
        <v>210</v>
      </c>
      <c r="O436" t="s">
        <v>258</v>
      </c>
      <c r="P436">
        <v>6.8662626830733736E-2</v>
      </c>
      <c r="Q436" t="s">
        <v>168</v>
      </c>
      <c r="S436" t="s">
        <v>229</v>
      </c>
      <c r="T436" t="s">
        <v>258</v>
      </c>
      <c r="U436">
        <v>5.8420744388017323E-2</v>
      </c>
      <c r="V436" t="s">
        <v>168</v>
      </c>
    </row>
    <row r="437" spans="9:22" x14ac:dyDescent="0.45">
      <c r="I437" t="s">
        <v>186</v>
      </c>
      <c r="J437" t="s">
        <v>171</v>
      </c>
      <c r="K437">
        <v>3.9660424987742512E-2</v>
      </c>
      <c r="L437" t="s">
        <v>168</v>
      </c>
      <c r="N437" t="s">
        <v>210</v>
      </c>
      <c r="O437" t="s">
        <v>171</v>
      </c>
      <c r="P437">
        <v>0.12473869310778286</v>
      </c>
      <c r="Q437" t="s">
        <v>168</v>
      </c>
      <c r="S437" t="s">
        <v>229</v>
      </c>
      <c r="T437" t="s">
        <v>171</v>
      </c>
      <c r="U437">
        <v>0.11109461940796689</v>
      </c>
      <c r="V437" t="s">
        <v>168</v>
      </c>
    </row>
    <row r="438" spans="9:22" x14ac:dyDescent="0.45">
      <c r="I438" t="s">
        <v>186</v>
      </c>
      <c r="J438" t="s">
        <v>172</v>
      </c>
      <c r="K438">
        <v>3.0666143372811736E-2</v>
      </c>
      <c r="L438" t="s">
        <v>168</v>
      </c>
      <c r="N438" t="s">
        <v>210</v>
      </c>
      <c r="O438" t="s">
        <v>172</v>
      </c>
      <c r="P438">
        <v>1.3898654523981251E-2</v>
      </c>
      <c r="Q438" t="s">
        <v>168</v>
      </c>
      <c r="S438" t="s">
        <v>229</v>
      </c>
      <c r="T438" t="s">
        <v>172</v>
      </c>
      <c r="U438">
        <v>1.4322385447418956E-2</v>
      </c>
      <c r="V438" t="s">
        <v>168</v>
      </c>
    </row>
    <row r="439" spans="9:22" x14ac:dyDescent="0.45">
      <c r="I439" t="s">
        <v>186</v>
      </c>
      <c r="J439" t="s">
        <v>173</v>
      </c>
      <c r="K439">
        <v>3.5796532265318946E-2</v>
      </c>
      <c r="L439" t="s">
        <v>168</v>
      </c>
      <c r="N439" t="s">
        <v>210</v>
      </c>
      <c r="O439" t="s">
        <v>173</v>
      </c>
      <c r="P439">
        <v>1.4144917973100911E-2</v>
      </c>
      <c r="Q439" t="s">
        <v>168</v>
      </c>
      <c r="S439" t="s">
        <v>229</v>
      </c>
      <c r="T439" t="s">
        <v>173</v>
      </c>
      <c r="U439">
        <v>1.4353779988652594E-2</v>
      </c>
      <c r="V439" t="s">
        <v>168</v>
      </c>
    </row>
    <row r="440" spans="9:22" x14ac:dyDescent="0.45">
      <c r="I440" t="s">
        <v>186</v>
      </c>
      <c r="J440" t="s">
        <v>259</v>
      </c>
      <c r="K440">
        <v>0.23191457041224328</v>
      </c>
      <c r="L440" t="s">
        <v>168</v>
      </c>
      <c r="N440" t="s">
        <v>210</v>
      </c>
      <c r="O440" t="s">
        <v>259</v>
      </c>
      <c r="P440">
        <v>9.2488417917116816E-2</v>
      </c>
      <c r="Q440" t="s">
        <v>168</v>
      </c>
      <c r="S440" t="s">
        <v>229</v>
      </c>
      <c r="T440" t="s">
        <v>259</v>
      </c>
      <c r="U440">
        <v>8.4437484998600154E-2</v>
      </c>
      <c r="V440" t="s">
        <v>168</v>
      </c>
    </row>
    <row r="441" spans="9:22" x14ac:dyDescent="0.45">
      <c r="I441" t="s">
        <v>186</v>
      </c>
      <c r="J441" t="s">
        <v>260</v>
      </c>
      <c r="K441">
        <v>3.0777875237320923E-2</v>
      </c>
      <c r="L441" t="s">
        <v>168</v>
      </c>
      <c r="N441" t="s">
        <v>210</v>
      </c>
      <c r="O441" t="s">
        <v>260</v>
      </c>
      <c r="P441">
        <v>1.6834937837484854E-2</v>
      </c>
      <c r="Q441" t="s">
        <v>168</v>
      </c>
      <c r="S441" t="s">
        <v>229</v>
      </c>
      <c r="T441" t="s">
        <v>260</v>
      </c>
      <c r="U441">
        <v>1.4381886190972764E-2</v>
      </c>
      <c r="V441" t="s">
        <v>168</v>
      </c>
    </row>
    <row r="442" spans="9:22" x14ac:dyDescent="0.45">
      <c r="I442" t="s">
        <v>186</v>
      </c>
      <c r="J442" t="s">
        <v>261</v>
      </c>
      <c r="K442">
        <v>3.719682178261758E-2</v>
      </c>
      <c r="L442" t="s">
        <v>168</v>
      </c>
      <c r="N442" t="s">
        <v>210</v>
      </c>
      <c r="O442" t="s">
        <v>261</v>
      </c>
      <c r="P442">
        <v>0.11063921775714554</v>
      </c>
      <c r="Q442" t="s">
        <v>168</v>
      </c>
      <c r="S442" t="s">
        <v>229</v>
      </c>
      <c r="T442" t="s">
        <v>261</v>
      </c>
      <c r="U442">
        <v>9.8562379301411221E-2</v>
      </c>
      <c r="V442" t="s">
        <v>168</v>
      </c>
    </row>
    <row r="443" spans="9:22" x14ac:dyDescent="0.45">
      <c r="I443" t="s">
        <v>186</v>
      </c>
      <c r="J443" t="s">
        <v>174</v>
      </c>
      <c r="K443">
        <v>1.3665623463445221E-2</v>
      </c>
      <c r="L443" t="s">
        <v>168</v>
      </c>
      <c r="N443" t="s">
        <v>210</v>
      </c>
      <c r="O443" t="s">
        <v>174</v>
      </c>
      <c r="P443">
        <v>2.4475385821478957E-2</v>
      </c>
      <c r="Q443" t="s">
        <v>168</v>
      </c>
      <c r="S443" t="s">
        <v>229</v>
      </c>
      <c r="T443" t="s">
        <v>174</v>
      </c>
      <c r="U443">
        <v>6.9255627615984515E-3</v>
      </c>
      <c r="V443" t="s">
        <v>168</v>
      </c>
    </row>
    <row r="444" spans="9:22" x14ac:dyDescent="0.45">
      <c r="I444" t="s">
        <v>186</v>
      </c>
      <c r="J444" t="s">
        <v>175</v>
      </c>
      <c r="K444">
        <v>9.0434729035872956E-3</v>
      </c>
      <c r="L444" t="s">
        <v>168</v>
      </c>
      <c r="N444" t="s">
        <v>210</v>
      </c>
      <c r="O444" t="s">
        <v>175</v>
      </c>
      <c r="P444">
        <v>2.6176828703812862E-3</v>
      </c>
      <c r="Q444" t="s">
        <v>168</v>
      </c>
      <c r="S444" t="s">
        <v>229</v>
      </c>
      <c r="T444" t="s">
        <v>175</v>
      </c>
      <c r="U444">
        <v>1.2512656069347114E-3</v>
      </c>
      <c r="V444" t="s">
        <v>168</v>
      </c>
    </row>
    <row r="445" spans="9:22" x14ac:dyDescent="0.45">
      <c r="I445" t="s">
        <v>186</v>
      </c>
      <c r="J445" t="s">
        <v>176</v>
      </c>
      <c r="K445">
        <v>1.0205478386312774E-2</v>
      </c>
      <c r="L445" t="s">
        <v>168</v>
      </c>
      <c r="N445" t="s">
        <v>210</v>
      </c>
      <c r="O445" t="s">
        <v>176</v>
      </c>
      <c r="P445">
        <v>2.5123242782375595E-3</v>
      </c>
      <c r="Q445" t="s">
        <v>168</v>
      </c>
      <c r="S445" t="s">
        <v>229</v>
      </c>
      <c r="T445" t="s">
        <v>176</v>
      </c>
      <c r="U445">
        <v>1.416894584274418E-3</v>
      </c>
      <c r="V445" t="s">
        <v>168</v>
      </c>
    </row>
    <row r="446" spans="9:22" x14ac:dyDescent="0.45">
      <c r="I446" t="s">
        <v>186</v>
      </c>
      <c r="J446" t="s">
        <v>262</v>
      </c>
      <c r="K446">
        <v>6.3402324055833001E-2</v>
      </c>
      <c r="L446" t="s">
        <v>168</v>
      </c>
      <c r="N446" t="s">
        <v>210</v>
      </c>
      <c r="O446" t="s">
        <v>262</v>
      </c>
      <c r="P446">
        <v>1.5044586056225353E-2</v>
      </c>
      <c r="Q446" t="s">
        <v>168</v>
      </c>
      <c r="S446" t="s">
        <v>229</v>
      </c>
      <c r="T446" t="s">
        <v>262</v>
      </c>
      <c r="U446">
        <v>6.8393291270729085E-3</v>
      </c>
      <c r="V446" t="s">
        <v>168</v>
      </c>
    </row>
    <row r="447" spans="9:22" x14ac:dyDescent="0.45">
      <c r="I447" t="s">
        <v>186</v>
      </c>
      <c r="J447" t="s">
        <v>263</v>
      </c>
      <c r="K447">
        <v>8.5490624901981265E-3</v>
      </c>
      <c r="L447" t="s">
        <v>168</v>
      </c>
      <c r="N447" t="s">
        <v>210</v>
      </c>
      <c r="O447" t="s">
        <v>263</v>
      </c>
      <c r="P447">
        <v>2.8041842791729507E-3</v>
      </c>
      <c r="Q447" t="s">
        <v>168</v>
      </c>
      <c r="S447" t="s">
        <v>229</v>
      </c>
      <c r="T447" t="s">
        <v>263</v>
      </c>
      <c r="U447">
        <v>8.6241831833769268E-4</v>
      </c>
      <c r="V447" t="s">
        <v>168</v>
      </c>
    </row>
    <row r="448" spans="9:22" x14ac:dyDescent="0.45">
      <c r="I448" t="s">
        <v>186</v>
      </c>
      <c r="J448" t="s">
        <v>264</v>
      </c>
      <c r="K448">
        <v>1.3245036156942067E-2</v>
      </c>
      <c r="L448" t="s">
        <v>168</v>
      </c>
      <c r="N448" t="s">
        <v>210</v>
      </c>
      <c r="O448" t="s">
        <v>264</v>
      </c>
      <c r="P448">
        <v>1.9554686912720026E-2</v>
      </c>
      <c r="Q448" t="s">
        <v>168</v>
      </c>
      <c r="S448" t="s">
        <v>229</v>
      </c>
      <c r="T448" t="s">
        <v>264</v>
      </c>
      <c r="U448">
        <v>5.6548969297075553E-3</v>
      </c>
      <c r="V448" t="s">
        <v>168</v>
      </c>
    </row>
    <row r="449" spans="9:22" x14ac:dyDescent="0.45">
      <c r="I449" t="s">
        <v>186</v>
      </c>
      <c r="J449" t="s">
        <v>265</v>
      </c>
      <c r="K449">
        <v>1.0295529807643431E-2</v>
      </c>
      <c r="L449" t="s">
        <v>168</v>
      </c>
      <c r="N449" t="s">
        <v>210</v>
      </c>
      <c r="O449" t="s">
        <v>265</v>
      </c>
      <c r="P449">
        <v>2.3689401807940665E-2</v>
      </c>
      <c r="Q449" t="s">
        <v>168</v>
      </c>
      <c r="S449" t="s">
        <v>229</v>
      </c>
      <c r="T449" t="s">
        <v>265</v>
      </c>
      <c r="U449">
        <v>1.5631397063667101E-2</v>
      </c>
      <c r="V449" t="s">
        <v>168</v>
      </c>
    </row>
    <row r="450" spans="9:22" x14ac:dyDescent="0.45">
      <c r="I450" t="s">
        <v>186</v>
      </c>
      <c r="J450" t="s">
        <v>266</v>
      </c>
      <c r="K450">
        <v>8.3669311062086141E-3</v>
      </c>
      <c r="L450" t="s">
        <v>168</v>
      </c>
      <c r="N450" t="s">
        <v>210</v>
      </c>
      <c r="O450" t="s">
        <v>266</v>
      </c>
      <c r="P450">
        <v>2.6214021281722203E-3</v>
      </c>
      <c r="Q450" t="s">
        <v>168</v>
      </c>
      <c r="S450" t="s">
        <v>229</v>
      </c>
      <c r="T450" t="s">
        <v>266</v>
      </c>
      <c r="U450">
        <v>2.2067525197821841E-3</v>
      </c>
      <c r="V450" t="s">
        <v>168</v>
      </c>
    </row>
    <row r="451" spans="9:22" x14ac:dyDescent="0.45">
      <c r="I451" t="s">
        <v>186</v>
      </c>
      <c r="J451" t="s">
        <v>267</v>
      </c>
      <c r="K451">
        <v>9.6260490587626833E-3</v>
      </c>
      <c r="L451" t="s">
        <v>168</v>
      </c>
      <c r="N451" t="s">
        <v>210</v>
      </c>
      <c r="O451" t="s">
        <v>267</v>
      </c>
      <c r="P451">
        <v>2.4586436610552474E-3</v>
      </c>
      <c r="Q451" t="s">
        <v>168</v>
      </c>
      <c r="S451" t="s">
        <v>229</v>
      </c>
      <c r="T451" t="s">
        <v>267</v>
      </c>
      <c r="U451">
        <v>2.123938104186809E-3</v>
      </c>
      <c r="V451" t="s">
        <v>168</v>
      </c>
    </row>
    <row r="452" spans="9:22" x14ac:dyDescent="0.45">
      <c r="I452" t="s">
        <v>186</v>
      </c>
      <c r="J452" t="s">
        <v>268</v>
      </c>
      <c r="K452">
        <v>6.1080704444429333E-2</v>
      </c>
      <c r="L452" t="s">
        <v>168</v>
      </c>
      <c r="N452" t="s">
        <v>210</v>
      </c>
      <c r="O452" t="s">
        <v>268</v>
      </c>
      <c r="P452">
        <v>1.3238050525104678E-2</v>
      </c>
      <c r="Q452" t="s">
        <v>168</v>
      </c>
      <c r="S452" t="s">
        <v>229</v>
      </c>
      <c r="T452" t="s">
        <v>268</v>
      </c>
      <c r="U452">
        <v>8.9838213910562858E-3</v>
      </c>
      <c r="V452" t="s">
        <v>168</v>
      </c>
    </row>
    <row r="453" spans="9:22" x14ac:dyDescent="0.45">
      <c r="I453" t="s">
        <v>186</v>
      </c>
      <c r="J453" t="s">
        <v>269</v>
      </c>
      <c r="K453">
        <v>8.317563456934669E-3</v>
      </c>
      <c r="L453" t="s">
        <v>168</v>
      </c>
      <c r="N453" t="s">
        <v>210</v>
      </c>
      <c r="O453" t="s">
        <v>269</v>
      </c>
      <c r="P453">
        <v>2.4239963886117382E-3</v>
      </c>
      <c r="Q453" t="s">
        <v>168</v>
      </c>
      <c r="S453" t="s">
        <v>229</v>
      </c>
      <c r="T453" t="s">
        <v>269</v>
      </c>
      <c r="U453">
        <v>1.0170177307753001E-3</v>
      </c>
      <c r="V453" t="s">
        <v>168</v>
      </c>
    </row>
    <row r="454" spans="9:22" x14ac:dyDescent="0.45">
      <c r="I454" t="s">
        <v>186</v>
      </c>
      <c r="J454" t="s">
        <v>270</v>
      </c>
      <c r="K454">
        <v>1.0192182026384711E-2</v>
      </c>
      <c r="L454" t="s">
        <v>168</v>
      </c>
      <c r="N454" t="s">
        <v>210</v>
      </c>
      <c r="O454" t="s">
        <v>270</v>
      </c>
      <c r="P454">
        <v>1.4512886103533061E-2</v>
      </c>
      <c r="Q454" t="s">
        <v>168</v>
      </c>
      <c r="S454" t="s">
        <v>229</v>
      </c>
      <c r="T454" t="s">
        <v>270</v>
      </c>
      <c r="U454">
        <v>8.0143226414597334E-3</v>
      </c>
      <c r="V454" t="s">
        <v>168</v>
      </c>
    </row>
    <row r="455" spans="9:22" x14ac:dyDescent="0.45">
      <c r="I455" t="s">
        <v>186</v>
      </c>
      <c r="J455" t="s">
        <v>271</v>
      </c>
      <c r="K455">
        <v>7.0726353188777565E-3</v>
      </c>
      <c r="L455" t="s">
        <v>168</v>
      </c>
      <c r="N455" t="s">
        <v>210</v>
      </c>
      <c r="O455" t="s">
        <v>271</v>
      </c>
      <c r="P455">
        <v>1.793228893307967E-2</v>
      </c>
      <c r="Q455" t="s">
        <v>168</v>
      </c>
      <c r="S455" t="s">
        <v>229</v>
      </c>
      <c r="T455" t="s">
        <v>271</v>
      </c>
      <c r="U455">
        <v>1.0929426946912514E-2</v>
      </c>
      <c r="V455" t="s">
        <v>168</v>
      </c>
    </row>
    <row r="456" spans="9:22" x14ac:dyDescent="0.45">
      <c r="I456" t="s">
        <v>186</v>
      </c>
      <c r="J456" t="s">
        <v>272</v>
      </c>
      <c r="K456">
        <v>6.9525586159304986E-3</v>
      </c>
      <c r="L456" t="s">
        <v>168</v>
      </c>
      <c r="N456" t="s">
        <v>210</v>
      </c>
      <c r="O456" t="s">
        <v>272</v>
      </c>
      <c r="P456">
        <v>1.9916583732140537E-3</v>
      </c>
      <c r="Q456" t="s">
        <v>168</v>
      </c>
      <c r="S456" t="s">
        <v>229</v>
      </c>
      <c r="T456" t="s">
        <v>272</v>
      </c>
      <c r="U456">
        <v>1.2136191551562023E-3</v>
      </c>
      <c r="V456" t="s">
        <v>168</v>
      </c>
    </row>
    <row r="457" spans="9:22" x14ac:dyDescent="0.45">
      <c r="I457" t="s">
        <v>186</v>
      </c>
      <c r="J457" t="s">
        <v>273</v>
      </c>
      <c r="K457">
        <v>8.4018076439221264E-3</v>
      </c>
      <c r="L457" t="s">
        <v>168</v>
      </c>
      <c r="N457" t="s">
        <v>210</v>
      </c>
      <c r="O457" t="s">
        <v>273</v>
      </c>
      <c r="P457">
        <v>2.0093425185147332E-3</v>
      </c>
      <c r="Q457" t="s">
        <v>168</v>
      </c>
      <c r="S457" t="s">
        <v>229</v>
      </c>
      <c r="T457" t="s">
        <v>273</v>
      </c>
      <c r="U457">
        <v>1.1957907747891386E-3</v>
      </c>
      <c r="V457" t="s">
        <v>168</v>
      </c>
    </row>
    <row r="458" spans="9:22" x14ac:dyDescent="0.45">
      <c r="I458" t="s">
        <v>186</v>
      </c>
      <c r="J458" t="s">
        <v>274</v>
      </c>
      <c r="K458">
        <v>5.1639145609221504E-2</v>
      </c>
      <c r="L458" t="s">
        <v>168</v>
      </c>
      <c r="N458" t="s">
        <v>210</v>
      </c>
      <c r="O458" t="s">
        <v>274</v>
      </c>
      <c r="P458">
        <v>1.2650565655209419E-2</v>
      </c>
      <c r="Q458" t="s">
        <v>168</v>
      </c>
      <c r="S458" t="s">
        <v>229</v>
      </c>
      <c r="T458" t="s">
        <v>274</v>
      </c>
      <c r="U458">
        <v>7.2713429259266245E-3</v>
      </c>
      <c r="V458" t="s">
        <v>168</v>
      </c>
    </row>
    <row r="459" spans="9:22" x14ac:dyDescent="0.45">
      <c r="I459" t="s">
        <v>186</v>
      </c>
      <c r="J459" t="s">
        <v>275</v>
      </c>
      <c r="K459">
        <v>6.3214093616845157E-3</v>
      </c>
      <c r="L459" t="s">
        <v>168</v>
      </c>
      <c r="N459" t="s">
        <v>210</v>
      </c>
      <c r="O459" t="s">
        <v>275</v>
      </c>
      <c r="P459">
        <v>2.5628904849501481E-3</v>
      </c>
      <c r="Q459" t="s">
        <v>168</v>
      </c>
      <c r="S459" t="s">
        <v>229</v>
      </c>
      <c r="T459" t="s">
        <v>275</v>
      </c>
      <c r="U459">
        <v>1.6651729846811913E-3</v>
      </c>
      <c r="V459" t="s">
        <v>168</v>
      </c>
    </row>
    <row r="460" spans="9:22" x14ac:dyDescent="0.45">
      <c r="I460" t="s">
        <v>186</v>
      </c>
      <c r="J460" t="s">
        <v>276</v>
      </c>
      <c r="K460">
        <v>4.7493824207209961E-3</v>
      </c>
      <c r="L460" t="s">
        <v>168</v>
      </c>
      <c r="N460" t="s">
        <v>210</v>
      </c>
      <c r="O460" t="s">
        <v>276</v>
      </c>
      <c r="P460">
        <v>1.5470413870691667E-2</v>
      </c>
      <c r="Q460" t="s">
        <v>168</v>
      </c>
      <c r="S460" t="s">
        <v>229</v>
      </c>
      <c r="T460" t="s">
        <v>276</v>
      </c>
      <c r="U460">
        <v>1.1106171531109234E-2</v>
      </c>
      <c r="V460" t="s">
        <v>168</v>
      </c>
    </row>
    <row r="461" spans="9:22" x14ac:dyDescent="0.45">
      <c r="I461" t="s">
        <v>186</v>
      </c>
      <c r="J461" t="s">
        <v>277</v>
      </c>
      <c r="K461">
        <v>6.292085520873709E-3</v>
      </c>
      <c r="L461" t="s">
        <v>168</v>
      </c>
      <c r="N461" t="s">
        <v>210</v>
      </c>
      <c r="O461" t="s">
        <v>277</v>
      </c>
      <c r="P461">
        <v>5.0904455520569124E-2</v>
      </c>
      <c r="Q461" t="s">
        <v>168</v>
      </c>
      <c r="S461" t="s">
        <v>229</v>
      </c>
      <c r="T461" t="s">
        <v>277</v>
      </c>
      <c r="U461">
        <v>9.1850153379575777E-2</v>
      </c>
      <c r="V461" t="s">
        <v>168</v>
      </c>
    </row>
    <row r="462" spans="9:22" x14ac:dyDescent="0.45">
      <c r="I462" t="s">
        <v>186</v>
      </c>
      <c r="J462" t="s">
        <v>278</v>
      </c>
      <c r="K462">
        <v>1.1159161044036525E-2</v>
      </c>
      <c r="L462" t="s">
        <v>168</v>
      </c>
      <c r="N462" t="s">
        <v>210</v>
      </c>
      <c r="O462" t="s">
        <v>278</v>
      </c>
      <c r="P462">
        <v>6.2777946445762203E-3</v>
      </c>
      <c r="Q462" t="s">
        <v>168</v>
      </c>
      <c r="S462" t="s">
        <v>229</v>
      </c>
      <c r="T462" t="s">
        <v>278</v>
      </c>
      <c r="U462">
        <v>1.1322529334459029E-2</v>
      </c>
      <c r="V462" t="s">
        <v>168</v>
      </c>
    </row>
    <row r="463" spans="9:22" x14ac:dyDescent="0.45">
      <c r="I463" t="s">
        <v>186</v>
      </c>
      <c r="J463" t="s">
        <v>279</v>
      </c>
      <c r="K463">
        <v>1.4512667449383376E-2</v>
      </c>
      <c r="L463" t="s">
        <v>168</v>
      </c>
      <c r="N463" t="s">
        <v>210</v>
      </c>
      <c r="O463" t="s">
        <v>279</v>
      </c>
      <c r="P463">
        <v>6.3397441982690293E-3</v>
      </c>
      <c r="Q463" t="s">
        <v>168</v>
      </c>
      <c r="S463" t="s">
        <v>229</v>
      </c>
      <c r="T463" t="s">
        <v>279</v>
      </c>
      <c r="U463">
        <v>1.1596144627578287E-2</v>
      </c>
      <c r="V463" t="s">
        <v>168</v>
      </c>
    </row>
    <row r="464" spans="9:22" x14ac:dyDescent="0.45">
      <c r="I464" t="s">
        <v>186</v>
      </c>
      <c r="J464" t="s">
        <v>280</v>
      </c>
      <c r="K464">
        <v>8.6618914079255399E-2</v>
      </c>
      <c r="L464" t="s">
        <v>168</v>
      </c>
      <c r="N464" t="s">
        <v>210</v>
      </c>
      <c r="O464" t="s">
        <v>280</v>
      </c>
      <c r="P464">
        <v>3.8725798502735435E-2</v>
      </c>
      <c r="Q464" t="s">
        <v>168</v>
      </c>
      <c r="S464" t="s">
        <v>229</v>
      </c>
      <c r="T464" t="s">
        <v>280</v>
      </c>
      <c r="U464">
        <v>7.2633666543632763E-2</v>
      </c>
      <c r="V464" t="s">
        <v>168</v>
      </c>
    </row>
    <row r="465" spans="9:22" x14ac:dyDescent="0.45">
      <c r="I465" t="s">
        <v>186</v>
      </c>
      <c r="J465" t="s">
        <v>281</v>
      </c>
      <c r="K465">
        <v>8.1878540618182515E-3</v>
      </c>
      <c r="L465" t="s">
        <v>168</v>
      </c>
      <c r="N465" t="s">
        <v>210</v>
      </c>
      <c r="O465" t="s">
        <v>281</v>
      </c>
      <c r="P465">
        <v>6.9221105349859223E-3</v>
      </c>
      <c r="Q465" t="s">
        <v>168</v>
      </c>
      <c r="S465" t="s">
        <v>229</v>
      </c>
      <c r="T465" t="s">
        <v>281</v>
      </c>
      <c r="U465">
        <v>1.2521006627775806E-2</v>
      </c>
      <c r="V465" t="s">
        <v>168</v>
      </c>
    </row>
    <row r="466" spans="9:22" x14ac:dyDescent="0.45">
      <c r="I466" t="s">
        <v>186</v>
      </c>
      <c r="J466" t="s">
        <v>282</v>
      </c>
      <c r="K466">
        <v>1.9875159164693072E-3</v>
      </c>
      <c r="L466" t="s">
        <v>168</v>
      </c>
      <c r="N466" t="s">
        <v>210</v>
      </c>
      <c r="O466" t="s">
        <v>282</v>
      </c>
      <c r="P466">
        <v>4.9346702394846113E-2</v>
      </c>
      <c r="Q466" t="s">
        <v>168</v>
      </c>
      <c r="S466" t="s">
        <v>229</v>
      </c>
      <c r="T466" t="s">
        <v>282</v>
      </c>
      <c r="U466">
        <v>8.9243177818996849E-2</v>
      </c>
      <c r="V466" t="s">
        <v>168</v>
      </c>
    </row>
    <row r="467" spans="9:22" x14ac:dyDescent="0.45">
      <c r="I467" t="s">
        <v>186</v>
      </c>
      <c r="J467" t="s">
        <v>283</v>
      </c>
      <c r="K467">
        <v>7.4912984705120101E-5</v>
      </c>
      <c r="L467" t="s">
        <v>168</v>
      </c>
      <c r="N467" t="s">
        <v>210</v>
      </c>
      <c r="O467" t="s">
        <v>283</v>
      </c>
      <c r="P467">
        <v>2.485524937713424E-2</v>
      </c>
      <c r="Q467" t="s">
        <v>168</v>
      </c>
      <c r="S467" t="s">
        <v>229</v>
      </c>
      <c r="T467" t="s">
        <v>283</v>
      </c>
      <c r="U467">
        <v>2.8201101210628798E-2</v>
      </c>
      <c r="V467" t="s">
        <v>168</v>
      </c>
    </row>
    <row r="468" spans="9:22" x14ac:dyDescent="0.45">
      <c r="I468" t="s">
        <v>186</v>
      </c>
      <c r="J468" t="s">
        <v>284</v>
      </c>
      <c r="K468">
        <v>3.0747974164132366E-3</v>
      </c>
      <c r="L468" t="s">
        <v>168</v>
      </c>
      <c r="N468" t="s">
        <v>210</v>
      </c>
      <c r="O468" t="s">
        <v>284</v>
      </c>
      <c r="P468">
        <v>3.1370457687413225E-3</v>
      </c>
      <c r="Q468" t="s">
        <v>168</v>
      </c>
      <c r="S468" t="s">
        <v>229</v>
      </c>
      <c r="T468" t="s">
        <v>284</v>
      </c>
      <c r="U468">
        <v>3.4839393479322894E-3</v>
      </c>
      <c r="V468" t="s">
        <v>168</v>
      </c>
    </row>
    <row r="469" spans="9:22" x14ac:dyDescent="0.45">
      <c r="I469" t="s">
        <v>186</v>
      </c>
      <c r="J469" t="s">
        <v>285</v>
      </c>
      <c r="K469">
        <v>4.9933821251856849E-3</v>
      </c>
      <c r="L469" t="s">
        <v>168</v>
      </c>
      <c r="N469" t="s">
        <v>210</v>
      </c>
      <c r="O469" t="s">
        <v>285</v>
      </c>
      <c r="P469">
        <v>3.0733332410912756E-3</v>
      </c>
      <c r="Q469" t="s">
        <v>168</v>
      </c>
      <c r="S469" t="s">
        <v>229</v>
      </c>
      <c r="T469" t="s">
        <v>285</v>
      </c>
      <c r="U469">
        <v>3.4733672594524458E-3</v>
      </c>
      <c r="V469" t="s">
        <v>168</v>
      </c>
    </row>
    <row r="470" spans="9:22" x14ac:dyDescent="0.45">
      <c r="I470" t="s">
        <v>186</v>
      </c>
      <c r="J470" t="s">
        <v>286</v>
      </c>
      <c r="K470">
        <v>3.395904935717016E-2</v>
      </c>
      <c r="L470" t="s">
        <v>168</v>
      </c>
      <c r="N470" t="s">
        <v>210</v>
      </c>
      <c r="O470" t="s">
        <v>286</v>
      </c>
      <c r="P470">
        <v>1.8390703059778208E-2</v>
      </c>
      <c r="Q470" t="s">
        <v>168</v>
      </c>
      <c r="S470" t="s">
        <v>229</v>
      </c>
      <c r="T470" t="s">
        <v>286</v>
      </c>
      <c r="U470">
        <v>1.8370543337430781E-2</v>
      </c>
      <c r="V470" t="s">
        <v>168</v>
      </c>
    </row>
    <row r="471" spans="9:22" x14ac:dyDescent="0.45">
      <c r="I471" t="s">
        <v>186</v>
      </c>
      <c r="J471" t="s">
        <v>287</v>
      </c>
      <c r="K471">
        <v>2.7890004816401776E-3</v>
      </c>
      <c r="L471" t="s">
        <v>168</v>
      </c>
      <c r="N471" t="s">
        <v>210</v>
      </c>
      <c r="O471" t="s">
        <v>287</v>
      </c>
      <c r="P471">
        <v>2.9573213950054023E-3</v>
      </c>
      <c r="Q471" t="s">
        <v>168</v>
      </c>
      <c r="S471" t="s">
        <v>229</v>
      </c>
      <c r="T471" t="s">
        <v>287</v>
      </c>
      <c r="U471">
        <v>3.2282499483078757E-3</v>
      </c>
      <c r="V471" t="s">
        <v>168</v>
      </c>
    </row>
    <row r="472" spans="9:22" x14ac:dyDescent="0.45">
      <c r="I472" t="s">
        <v>186</v>
      </c>
      <c r="J472" t="s">
        <v>288</v>
      </c>
      <c r="K472">
        <v>0</v>
      </c>
      <c r="L472" t="s">
        <v>168</v>
      </c>
      <c r="N472" t="s">
        <v>210</v>
      </c>
      <c r="O472" t="s">
        <v>288</v>
      </c>
      <c r="P472">
        <v>1.8178603241943196E-2</v>
      </c>
      <c r="Q472" t="s">
        <v>168</v>
      </c>
      <c r="S472" t="s">
        <v>229</v>
      </c>
      <c r="T472" t="s">
        <v>288</v>
      </c>
      <c r="U472">
        <v>2.4055752222547883E-2</v>
      </c>
      <c r="V472" t="s">
        <v>168</v>
      </c>
    </row>
    <row r="473" spans="9:22" x14ac:dyDescent="0.45">
      <c r="I473" t="s">
        <v>187</v>
      </c>
      <c r="J473" t="s">
        <v>167</v>
      </c>
      <c r="K473">
        <v>0</v>
      </c>
      <c r="L473" t="s">
        <v>168</v>
      </c>
      <c r="N473" t="s">
        <v>211</v>
      </c>
      <c r="O473" t="s">
        <v>167</v>
      </c>
      <c r="P473">
        <v>6.8680311118034201E-2</v>
      </c>
      <c r="Q473" t="s">
        <v>168</v>
      </c>
      <c r="S473" t="s">
        <v>230</v>
      </c>
      <c r="T473" t="s">
        <v>167</v>
      </c>
      <c r="U473">
        <v>6.8753518112299225E-2</v>
      </c>
      <c r="V473" t="s">
        <v>168</v>
      </c>
    </row>
    <row r="474" spans="9:22" x14ac:dyDescent="0.45">
      <c r="I474" t="s">
        <v>187</v>
      </c>
      <c r="J474" t="s">
        <v>169</v>
      </c>
      <c r="K474">
        <v>3.9444048358804407E-3</v>
      </c>
      <c r="L474" t="s">
        <v>168</v>
      </c>
      <c r="N474" t="s">
        <v>211</v>
      </c>
      <c r="O474" t="s">
        <v>169</v>
      </c>
      <c r="P474">
        <v>7.088281643294214E-3</v>
      </c>
      <c r="Q474" t="s">
        <v>168</v>
      </c>
      <c r="S474" t="s">
        <v>230</v>
      </c>
      <c r="T474" t="s">
        <v>169</v>
      </c>
      <c r="U474">
        <v>8.1860731652407242E-3</v>
      </c>
      <c r="V474" t="s">
        <v>168</v>
      </c>
    </row>
    <row r="475" spans="9:22" x14ac:dyDescent="0.45">
      <c r="I475" t="s">
        <v>187</v>
      </c>
      <c r="J475" t="s">
        <v>170</v>
      </c>
      <c r="K475">
        <v>8.8260594296330763E-3</v>
      </c>
      <c r="L475" t="s">
        <v>168</v>
      </c>
      <c r="N475" t="s">
        <v>211</v>
      </c>
      <c r="O475" t="s">
        <v>170</v>
      </c>
      <c r="P475">
        <v>6.7205866747290484E-3</v>
      </c>
      <c r="Q475" t="s">
        <v>168</v>
      </c>
      <c r="S475" t="s">
        <v>230</v>
      </c>
      <c r="T475" t="s">
        <v>170</v>
      </c>
      <c r="U475">
        <v>8.6723292452786302E-3</v>
      </c>
      <c r="V475" t="s">
        <v>168</v>
      </c>
    </row>
    <row r="476" spans="9:22" x14ac:dyDescent="0.45">
      <c r="I476" t="s">
        <v>187</v>
      </c>
      <c r="J476" t="s">
        <v>256</v>
      </c>
      <c r="K476">
        <v>7.9561289165417784E-2</v>
      </c>
      <c r="L476" t="s">
        <v>168</v>
      </c>
      <c r="N476" t="s">
        <v>211</v>
      </c>
      <c r="O476" t="s">
        <v>256</v>
      </c>
      <c r="P476">
        <v>6.1294241720854264E-2</v>
      </c>
      <c r="Q476" t="s">
        <v>168</v>
      </c>
      <c r="S476" t="s">
        <v>230</v>
      </c>
      <c r="T476" t="s">
        <v>256</v>
      </c>
      <c r="U476">
        <v>5.9956614327169339E-2</v>
      </c>
      <c r="V476" t="s">
        <v>168</v>
      </c>
    </row>
    <row r="477" spans="9:22" x14ac:dyDescent="0.45">
      <c r="I477" t="s">
        <v>187</v>
      </c>
      <c r="J477" t="s">
        <v>257</v>
      </c>
      <c r="K477">
        <v>1.1511231367731875E-2</v>
      </c>
      <c r="L477" t="s">
        <v>168</v>
      </c>
      <c r="N477" t="s">
        <v>211</v>
      </c>
      <c r="O477" t="s">
        <v>257</v>
      </c>
      <c r="P477">
        <v>1.0729986556844274E-2</v>
      </c>
      <c r="Q477" t="s">
        <v>168</v>
      </c>
      <c r="S477" t="s">
        <v>230</v>
      </c>
      <c r="T477" t="s">
        <v>257</v>
      </c>
      <c r="U477">
        <v>1.0177303156388318E-2</v>
      </c>
      <c r="V477" t="s">
        <v>168</v>
      </c>
    </row>
    <row r="478" spans="9:22" x14ac:dyDescent="0.45">
      <c r="I478" t="s">
        <v>187</v>
      </c>
      <c r="J478" t="s">
        <v>258</v>
      </c>
      <c r="K478">
        <v>9.491991966523056E-3</v>
      </c>
      <c r="L478" t="s">
        <v>168</v>
      </c>
      <c r="N478" t="s">
        <v>211</v>
      </c>
      <c r="O478" t="s">
        <v>258</v>
      </c>
      <c r="P478">
        <v>6.5748176022586383E-2</v>
      </c>
      <c r="Q478" t="s">
        <v>168</v>
      </c>
      <c r="S478" t="s">
        <v>230</v>
      </c>
      <c r="T478" t="s">
        <v>258</v>
      </c>
      <c r="U478">
        <v>6.8437122996472644E-2</v>
      </c>
      <c r="V478" t="s">
        <v>168</v>
      </c>
    </row>
    <row r="479" spans="9:22" x14ac:dyDescent="0.45">
      <c r="I479" t="s">
        <v>187</v>
      </c>
      <c r="J479" t="s">
        <v>171</v>
      </c>
      <c r="K479">
        <v>2.088368457520165E-2</v>
      </c>
      <c r="L479" t="s">
        <v>168</v>
      </c>
      <c r="N479" t="s">
        <v>211</v>
      </c>
      <c r="O479" t="s">
        <v>171</v>
      </c>
      <c r="P479">
        <v>9.8466583938092753E-2</v>
      </c>
      <c r="Q479" t="s">
        <v>168</v>
      </c>
      <c r="S479" t="s">
        <v>230</v>
      </c>
      <c r="T479" t="s">
        <v>171</v>
      </c>
      <c r="U479">
        <v>0.14090092856207079</v>
      </c>
      <c r="V479" t="s">
        <v>168</v>
      </c>
    </row>
    <row r="480" spans="9:22" x14ac:dyDescent="0.45">
      <c r="I480" t="s">
        <v>187</v>
      </c>
      <c r="J480" t="s">
        <v>172</v>
      </c>
      <c r="K480">
        <v>2.6077763945195537E-2</v>
      </c>
      <c r="L480" t="s">
        <v>168</v>
      </c>
      <c r="N480" t="s">
        <v>211</v>
      </c>
      <c r="O480" t="s">
        <v>172</v>
      </c>
      <c r="P480">
        <v>1.4203496742476151E-2</v>
      </c>
      <c r="Q480" t="s">
        <v>168</v>
      </c>
      <c r="S480" t="s">
        <v>230</v>
      </c>
      <c r="T480" t="s">
        <v>172</v>
      </c>
      <c r="U480">
        <v>1.7573022726829708E-2</v>
      </c>
      <c r="V480" t="s">
        <v>168</v>
      </c>
    </row>
    <row r="481" spans="9:22" x14ac:dyDescent="0.45">
      <c r="I481" t="s">
        <v>187</v>
      </c>
      <c r="J481" t="s">
        <v>173</v>
      </c>
      <c r="K481">
        <v>3.3183830842279619E-2</v>
      </c>
      <c r="L481" t="s">
        <v>168</v>
      </c>
      <c r="N481" t="s">
        <v>211</v>
      </c>
      <c r="O481" t="s">
        <v>173</v>
      </c>
      <c r="P481">
        <v>1.7696296987369596E-2</v>
      </c>
      <c r="Q481" t="s">
        <v>168</v>
      </c>
      <c r="S481" t="s">
        <v>230</v>
      </c>
      <c r="T481" t="s">
        <v>173</v>
      </c>
      <c r="U481">
        <v>1.7955797919270173E-2</v>
      </c>
      <c r="V481" t="s">
        <v>168</v>
      </c>
    </row>
    <row r="482" spans="9:22" x14ac:dyDescent="0.45">
      <c r="I482" t="s">
        <v>187</v>
      </c>
      <c r="J482" t="s">
        <v>259</v>
      </c>
      <c r="K482">
        <v>0.23772736370024738</v>
      </c>
      <c r="L482" t="s">
        <v>168</v>
      </c>
      <c r="N482" t="s">
        <v>211</v>
      </c>
      <c r="O482" t="s">
        <v>259</v>
      </c>
      <c r="P482">
        <v>0.14500224663102623</v>
      </c>
      <c r="Q482" t="s">
        <v>168</v>
      </c>
      <c r="S482" t="s">
        <v>230</v>
      </c>
      <c r="T482" t="s">
        <v>259</v>
      </c>
      <c r="U482">
        <v>0.10628742193232105</v>
      </c>
      <c r="V482" t="s">
        <v>168</v>
      </c>
    </row>
    <row r="483" spans="9:22" x14ac:dyDescent="0.45">
      <c r="I483" t="s">
        <v>187</v>
      </c>
      <c r="J483" t="s">
        <v>260</v>
      </c>
      <c r="K483">
        <v>3.5878820869616614E-2</v>
      </c>
      <c r="L483" t="s">
        <v>168</v>
      </c>
      <c r="N483" t="s">
        <v>211</v>
      </c>
      <c r="O483" t="s">
        <v>260</v>
      </c>
      <c r="P483">
        <v>2.4142045556655493E-2</v>
      </c>
      <c r="Q483" t="s">
        <v>168</v>
      </c>
      <c r="S483" t="s">
        <v>230</v>
      </c>
      <c r="T483" t="s">
        <v>260</v>
      </c>
      <c r="U483">
        <v>1.9624891316783268E-2</v>
      </c>
      <c r="V483" t="s">
        <v>168</v>
      </c>
    </row>
    <row r="484" spans="9:22" x14ac:dyDescent="0.45">
      <c r="I484" t="s">
        <v>187</v>
      </c>
      <c r="J484" t="s">
        <v>261</v>
      </c>
      <c r="K484">
        <v>5.962627391736653E-2</v>
      </c>
      <c r="L484" t="s">
        <v>168</v>
      </c>
      <c r="N484" t="s">
        <v>211</v>
      </c>
      <c r="O484" t="s">
        <v>261</v>
      </c>
      <c r="P484">
        <v>0.11303234460697918</v>
      </c>
      <c r="Q484" t="s">
        <v>168</v>
      </c>
      <c r="S484" t="s">
        <v>230</v>
      </c>
      <c r="T484" t="s">
        <v>261</v>
      </c>
      <c r="U484">
        <v>0.1402480540270781</v>
      </c>
      <c r="V484" t="s">
        <v>168</v>
      </c>
    </row>
    <row r="485" spans="9:22" x14ac:dyDescent="0.45">
      <c r="I485" t="s">
        <v>187</v>
      </c>
      <c r="J485" t="s">
        <v>174</v>
      </c>
      <c r="K485">
        <v>7.8315907189465492E-3</v>
      </c>
      <c r="L485" t="s">
        <v>168</v>
      </c>
      <c r="N485" t="s">
        <v>211</v>
      </c>
      <c r="O485" t="s">
        <v>174</v>
      </c>
      <c r="P485">
        <v>7.1765949259350306E-3</v>
      </c>
      <c r="Q485" t="s">
        <v>168</v>
      </c>
      <c r="S485" t="s">
        <v>230</v>
      </c>
      <c r="T485" t="s">
        <v>174</v>
      </c>
      <c r="U485">
        <v>3.5247946703251213E-3</v>
      </c>
      <c r="V485" t="s">
        <v>168</v>
      </c>
    </row>
    <row r="486" spans="9:22" x14ac:dyDescent="0.45">
      <c r="I486" t="s">
        <v>187</v>
      </c>
      <c r="J486" t="s">
        <v>175</v>
      </c>
      <c r="K486">
        <v>7.6707132061860162E-3</v>
      </c>
      <c r="L486" t="s">
        <v>168</v>
      </c>
      <c r="N486" t="s">
        <v>211</v>
      </c>
      <c r="O486" t="s">
        <v>175</v>
      </c>
      <c r="P486">
        <v>1.0614382827516045E-3</v>
      </c>
      <c r="Q486" t="s">
        <v>168</v>
      </c>
      <c r="S486" t="s">
        <v>230</v>
      </c>
      <c r="T486" t="s">
        <v>175</v>
      </c>
      <c r="U486">
        <v>3.5712360769388115E-4</v>
      </c>
      <c r="V486" t="s">
        <v>168</v>
      </c>
    </row>
    <row r="487" spans="9:22" x14ac:dyDescent="0.45">
      <c r="I487" t="s">
        <v>187</v>
      </c>
      <c r="J487" t="s">
        <v>176</v>
      </c>
      <c r="K487">
        <v>9.2088744036641218E-3</v>
      </c>
      <c r="L487" t="s">
        <v>168</v>
      </c>
      <c r="N487" t="s">
        <v>211</v>
      </c>
      <c r="O487" t="s">
        <v>176</v>
      </c>
      <c r="P487">
        <v>1.3344958299147927E-3</v>
      </c>
      <c r="Q487" t="s">
        <v>168</v>
      </c>
      <c r="S487" t="s">
        <v>230</v>
      </c>
      <c r="T487" t="s">
        <v>176</v>
      </c>
      <c r="U487">
        <v>3.2873761475044777E-4</v>
      </c>
      <c r="V487" t="s">
        <v>168</v>
      </c>
    </row>
    <row r="488" spans="9:22" x14ac:dyDescent="0.45">
      <c r="I488" t="s">
        <v>187</v>
      </c>
      <c r="J488" t="s">
        <v>262</v>
      </c>
      <c r="K488">
        <v>6.4241874954020617E-2</v>
      </c>
      <c r="L488" t="s">
        <v>168</v>
      </c>
      <c r="N488" t="s">
        <v>211</v>
      </c>
      <c r="O488" t="s">
        <v>262</v>
      </c>
      <c r="P488">
        <v>9.8769377467964742E-3</v>
      </c>
      <c r="Q488" t="s">
        <v>168</v>
      </c>
      <c r="S488" t="s">
        <v>230</v>
      </c>
      <c r="T488" t="s">
        <v>262</v>
      </c>
      <c r="U488">
        <v>3.2410438973440748E-3</v>
      </c>
      <c r="V488" t="s">
        <v>168</v>
      </c>
    </row>
    <row r="489" spans="9:22" x14ac:dyDescent="0.45">
      <c r="I489" t="s">
        <v>187</v>
      </c>
      <c r="J489" t="s">
        <v>263</v>
      </c>
      <c r="K489">
        <v>9.7403582543609951E-3</v>
      </c>
      <c r="L489" t="s">
        <v>168</v>
      </c>
      <c r="N489" t="s">
        <v>211</v>
      </c>
      <c r="O489" t="s">
        <v>263</v>
      </c>
      <c r="P489">
        <v>2.1700569429730248E-3</v>
      </c>
      <c r="Q489" t="s">
        <v>168</v>
      </c>
      <c r="S489" t="s">
        <v>230</v>
      </c>
      <c r="T489" t="s">
        <v>263</v>
      </c>
      <c r="U489">
        <v>1.3362030490448656E-3</v>
      </c>
      <c r="V489" t="s">
        <v>168</v>
      </c>
    </row>
    <row r="490" spans="9:22" x14ac:dyDescent="0.45">
      <c r="I490" t="s">
        <v>187</v>
      </c>
      <c r="J490" t="s">
        <v>264</v>
      </c>
      <c r="K490">
        <v>1.8964790214307865E-2</v>
      </c>
      <c r="L490" t="s">
        <v>168</v>
      </c>
      <c r="N490" t="s">
        <v>211</v>
      </c>
      <c r="O490" t="s">
        <v>264</v>
      </c>
      <c r="P490">
        <v>1.0933860866120904E-2</v>
      </c>
      <c r="Q490" t="s">
        <v>168</v>
      </c>
      <c r="S490" t="s">
        <v>230</v>
      </c>
      <c r="T490" t="s">
        <v>264</v>
      </c>
      <c r="U490">
        <v>9.281179188587247E-3</v>
      </c>
      <c r="V490" t="s">
        <v>168</v>
      </c>
    </row>
    <row r="491" spans="9:22" x14ac:dyDescent="0.45">
      <c r="I491" t="s">
        <v>187</v>
      </c>
      <c r="J491" t="s">
        <v>265</v>
      </c>
      <c r="K491">
        <v>4.9870316994810957E-3</v>
      </c>
      <c r="L491" t="s">
        <v>168</v>
      </c>
      <c r="N491" t="s">
        <v>211</v>
      </c>
      <c r="O491" t="s">
        <v>265</v>
      </c>
      <c r="P491">
        <v>8.1704685957517537E-3</v>
      </c>
      <c r="Q491" t="s">
        <v>168</v>
      </c>
      <c r="S491" t="s">
        <v>230</v>
      </c>
      <c r="T491" t="s">
        <v>265</v>
      </c>
      <c r="U491">
        <v>6.4191534072547563E-3</v>
      </c>
      <c r="V491" t="s">
        <v>168</v>
      </c>
    </row>
    <row r="492" spans="9:22" x14ac:dyDescent="0.45">
      <c r="I492" t="s">
        <v>187</v>
      </c>
      <c r="J492" t="s">
        <v>266</v>
      </c>
      <c r="K492">
        <v>6.9025747348350286E-3</v>
      </c>
      <c r="L492" t="s">
        <v>168</v>
      </c>
      <c r="N492" t="s">
        <v>211</v>
      </c>
      <c r="O492" t="s">
        <v>266</v>
      </c>
      <c r="P492">
        <v>1.3058735529765018E-3</v>
      </c>
      <c r="Q492" t="s">
        <v>168</v>
      </c>
      <c r="S492" t="s">
        <v>230</v>
      </c>
      <c r="T492" t="s">
        <v>266</v>
      </c>
      <c r="U492">
        <v>7.3615821122328202E-4</v>
      </c>
      <c r="V492" t="s">
        <v>168</v>
      </c>
    </row>
    <row r="493" spans="9:22" x14ac:dyDescent="0.45">
      <c r="I493" t="s">
        <v>187</v>
      </c>
      <c r="J493" t="s">
        <v>267</v>
      </c>
      <c r="K493">
        <v>8.4832384891921943E-3</v>
      </c>
      <c r="L493" t="s">
        <v>168</v>
      </c>
      <c r="N493" t="s">
        <v>211</v>
      </c>
      <c r="O493" t="s">
        <v>267</v>
      </c>
      <c r="P493">
        <v>1.6192788361581601E-3</v>
      </c>
      <c r="Q493" t="s">
        <v>168</v>
      </c>
      <c r="S493" t="s">
        <v>230</v>
      </c>
      <c r="T493" t="s">
        <v>267</v>
      </c>
      <c r="U493">
        <v>7.3854872581487327E-4</v>
      </c>
      <c r="V493" t="s">
        <v>168</v>
      </c>
    </row>
    <row r="494" spans="9:22" x14ac:dyDescent="0.45">
      <c r="I494" t="s">
        <v>187</v>
      </c>
      <c r="J494" t="s">
        <v>268</v>
      </c>
      <c r="K494">
        <v>6.0076511495108731E-2</v>
      </c>
      <c r="L494" t="s">
        <v>168</v>
      </c>
      <c r="N494" t="s">
        <v>211</v>
      </c>
      <c r="O494" t="s">
        <v>268</v>
      </c>
      <c r="P494">
        <v>1.0379229408680194E-2</v>
      </c>
      <c r="Q494" t="s">
        <v>168</v>
      </c>
      <c r="S494" t="s">
        <v>230</v>
      </c>
      <c r="T494" t="s">
        <v>268</v>
      </c>
      <c r="U494">
        <v>4.5539704441385533E-3</v>
      </c>
      <c r="V494" t="s">
        <v>168</v>
      </c>
    </row>
    <row r="495" spans="9:22" x14ac:dyDescent="0.45">
      <c r="I495" t="s">
        <v>187</v>
      </c>
      <c r="J495" t="s">
        <v>269</v>
      </c>
      <c r="K495">
        <v>9.0653225887705365E-3</v>
      </c>
      <c r="L495" t="s">
        <v>168</v>
      </c>
      <c r="N495" t="s">
        <v>211</v>
      </c>
      <c r="O495" t="s">
        <v>269</v>
      </c>
      <c r="P495">
        <v>2.2465477486327745E-3</v>
      </c>
      <c r="Q495" t="s">
        <v>168</v>
      </c>
      <c r="S495" t="s">
        <v>230</v>
      </c>
      <c r="T495" t="s">
        <v>269</v>
      </c>
      <c r="U495">
        <v>1.4000224255212238E-3</v>
      </c>
      <c r="V495" t="s">
        <v>168</v>
      </c>
    </row>
    <row r="496" spans="9:22" x14ac:dyDescent="0.45">
      <c r="I496" t="s">
        <v>187</v>
      </c>
      <c r="J496" t="s">
        <v>270</v>
      </c>
      <c r="K496">
        <v>1.5682209757162616E-2</v>
      </c>
      <c r="L496" t="s">
        <v>168</v>
      </c>
      <c r="N496" t="s">
        <v>211</v>
      </c>
      <c r="O496" t="s">
        <v>270</v>
      </c>
      <c r="P496">
        <v>8.3381557689848566E-3</v>
      </c>
      <c r="Q496" t="s">
        <v>168</v>
      </c>
      <c r="S496" t="s">
        <v>230</v>
      </c>
      <c r="T496" t="s">
        <v>270</v>
      </c>
      <c r="U496">
        <v>9.1317169347823971E-3</v>
      </c>
      <c r="V496" t="s">
        <v>168</v>
      </c>
    </row>
    <row r="497" spans="9:22" x14ac:dyDescent="0.45">
      <c r="I497" t="s">
        <v>187</v>
      </c>
      <c r="J497" t="s">
        <v>271</v>
      </c>
      <c r="K497">
        <v>2.6363876990003607E-3</v>
      </c>
      <c r="L497" t="s">
        <v>168</v>
      </c>
      <c r="N497" t="s">
        <v>211</v>
      </c>
      <c r="O497" t="s">
        <v>271</v>
      </c>
      <c r="P497">
        <v>1.6827917520588462E-2</v>
      </c>
      <c r="Q497" t="s">
        <v>168</v>
      </c>
      <c r="S497" t="s">
        <v>230</v>
      </c>
      <c r="T497" t="s">
        <v>271</v>
      </c>
      <c r="U497">
        <v>1.6836977499885716E-2</v>
      </c>
      <c r="V497" t="s">
        <v>168</v>
      </c>
    </row>
    <row r="498" spans="9:22" x14ac:dyDescent="0.45">
      <c r="I498" t="s">
        <v>187</v>
      </c>
      <c r="J498" t="s">
        <v>272</v>
      </c>
      <c r="K498">
        <v>5.2393028744181164E-3</v>
      </c>
      <c r="L498" t="s">
        <v>168</v>
      </c>
      <c r="N498" t="s">
        <v>211</v>
      </c>
      <c r="O498" t="s">
        <v>272</v>
      </c>
      <c r="P498">
        <v>1.7183409636501834E-3</v>
      </c>
      <c r="Q498" t="s">
        <v>168</v>
      </c>
      <c r="S498" t="s">
        <v>230</v>
      </c>
      <c r="T498" t="s">
        <v>272</v>
      </c>
      <c r="U498">
        <v>2.0657802138633798E-3</v>
      </c>
      <c r="V498" t="s">
        <v>168</v>
      </c>
    </row>
    <row r="499" spans="9:22" x14ac:dyDescent="0.45">
      <c r="I499" t="s">
        <v>187</v>
      </c>
      <c r="J499" t="s">
        <v>273</v>
      </c>
      <c r="K499">
        <v>7.2210463647946407E-3</v>
      </c>
      <c r="L499" t="s">
        <v>168</v>
      </c>
      <c r="N499" t="s">
        <v>211</v>
      </c>
      <c r="O499" t="s">
        <v>273</v>
      </c>
      <c r="P499">
        <v>2.3259501998269976E-3</v>
      </c>
      <c r="Q499" t="s">
        <v>168</v>
      </c>
      <c r="S499" t="s">
        <v>230</v>
      </c>
      <c r="T499" t="s">
        <v>273</v>
      </c>
      <c r="U499">
        <v>2.0841067769400215E-3</v>
      </c>
      <c r="V499" t="s">
        <v>168</v>
      </c>
    </row>
    <row r="500" spans="9:22" x14ac:dyDescent="0.45">
      <c r="I500" t="s">
        <v>187</v>
      </c>
      <c r="J500" t="s">
        <v>274</v>
      </c>
      <c r="K500">
        <v>5.0720935964868062E-2</v>
      </c>
      <c r="L500" t="s">
        <v>168</v>
      </c>
      <c r="N500" t="s">
        <v>211</v>
      </c>
      <c r="O500" t="s">
        <v>274</v>
      </c>
      <c r="P500">
        <v>2.4186954337059682E-2</v>
      </c>
      <c r="Q500" t="s">
        <v>168</v>
      </c>
      <c r="S500" t="s">
        <v>230</v>
      </c>
      <c r="T500" t="s">
        <v>274</v>
      </c>
      <c r="U500">
        <v>1.2387132673743719E-2</v>
      </c>
      <c r="V500" t="s">
        <v>168</v>
      </c>
    </row>
    <row r="501" spans="9:22" x14ac:dyDescent="0.45">
      <c r="I501" t="s">
        <v>187</v>
      </c>
      <c r="J501" t="s">
        <v>275</v>
      </c>
      <c r="K501">
        <v>7.403786349022971E-3</v>
      </c>
      <c r="L501" t="s">
        <v>168</v>
      </c>
      <c r="N501" t="s">
        <v>211</v>
      </c>
      <c r="O501" t="s">
        <v>275</v>
      </c>
      <c r="P501">
        <v>4.8998960641164187E-3</v>
      </c>
      <c r="Q501" t="s">
        <v>168</v>
      </c>
      <c r="S501" t="s">
        <v>230</v>
      </c>
      <c r="T501" t="s">
        <v>275</v>
      </c>
      <c r="U501">
        <v>2.1590090506676731E-3</v>
      </c>
      <c r="V501" t="s">
        <v>168</v>
      </c>
    </row>
    <row r="502" spans="9:22" x14ac:dyDescent="0.45">
      <c r="I502" t="s">
        <v>187</v>
      </c>
      <c r="J502" t="s">
        <v>276</v>
      </c>
      <c r="K502">
        <v>8.9906870963453855E-3</v>
      </c>
      <c r="L502" t="s">
        <v>168</v>
      </c>
      <c r="N502" t="s">
        <v>211</v>
      </c>
      <c r="O502" t="s">
        <v>276</v>
      </c>
      <c r="P502">
        <v>1.8894791875630621E-2</v>
      </c>
      <c r="Q502" t="s">
        <v>168</v>
      </c>
      <c r="S502" t="s">
        <v>230</v>
      </c>
      <c r="T502" t="s">
        <v>276</v>
      </c>
      <c r="U502">
        <v>1.5965900790526108E-2</v>
      </c>
      <c r="V502" t="s">
        <v>168</v>
      </c>
    </row>
    <row r="503" spans="9:22" x14ac:dyDescent="0.45">
      <c r="I503" t="s">
        <v>187</v>
      </c>
      <c r="J503" t="s">
        <v>277</v>
      </c>
      <c r="K503">
        <v>1.3666066208935174E-3</v>
      </c>
      <c r="L503" t="s">
        <v>168</v>
      </c>
      <c r="N503" t="s">
        <v>211</v>
      </c>
      <c r="O503" t="s">
        <v>277</v>
      </c>
      <c r="P503">
        <v>4.8368602188461299E-2</v>
      </c>
      <c r="Q503" t="s">
        <v>168</v>
      </c>
      <c r="S503" t="s">
        <v>230</v>
      </c>
      <c r="T503" t="s">
        <v>277</v>
      </c>
      <c r="U503">
        <v>5.7857194379399304E-2</v>
      </c>
      <c r="V503" t="s">
        <v>168</v>
      </c>
    </row>
    <row r="504" spans="9:22" x14ac:dyDescent="0.45">
      <c r="I504" t="s">
        <v>187</v>
      </c>
      <c r="J504" t="s">
        <v>278</v>
      </c>
      <c r="K504">
        <v>7.1511031445500774E-3</v>
      </c>
      <c r="L504" t="s">
        <v>168</v>
      </c>
      <c r="N504" t="s">
        <v>211</v>
      </c>
      <c r="O504" t="s">
        <v>278</v>
      </c>
      <c r="P504">
        <v>5.4270392789931062E-3</v>
      </c>
      <c r="Q504" t="s">
        <v>168</v>
      </c>
      <c r="S504" t="s">
        <v>230</v>
      </c>
      <c r="T504" t="s">
        <v>278</v>
      </c>
      <c r="U504">
        <v>7.174648015117106E-3</v>
      </c>
      <c r="V504" t="s">
        <v>168</v>
      </c>
    </row>
    <row r="505" spans="9:22" x14ac:dyDescent="0.45">
      <c r="I505" t="s">
        <v>187</v>
      </c>
      <c r="J505" t="s">
        <v>279</v>
      </c>
      <c r="K505">
        <v>1.1509441157172031E-2</v>
      </c>
      <c r="L505" t="s">
        <v>168</v>
      </c>
      <c r="N505" t="s">
        <v>211</v>
      </c>
      <c r="O505" t="s">
        <v>279</v>
      </c>
      <c r="P505">
        <v>5.7799964105174307E-3</v>
      </c>
      <c r="Q505" t="s">
        <v>168</v>
      </c>
      <c r="S505" t="s">
        <v>230</v>
      </c>
      <c r="T505" t="s">
        <v>279</v>
      </c>
      <c r="U505">
        <v>7.0705618498128221E-3</v>
      </c>
      <c r="V505" t="s">
        <v>168</v>
      </c>
    </row>
    <row r="506" spans="9:22" x14ac:dyDescent="0.45">
      <c r="I506" t="s">
        <v>187</v>
      </c>
      <c r="J506" t="s">
        <v>280</v>
      </c>
      <c r="K506">
        <v>8.511399398452521E-2</v>
      </c>
      <c r="L506" t="s">
        <v>168</v>
      </c>
      <c r="N506" t="s">
        <v>211</v>
      </c>
      <c r="O506" t="s">
        <v>280</v>
      </c>
      <c r="P506">
        <v>4.3186443393024077E-2</v>
      </c>
      <c r="Q506" t="s">
        <v>168</v>
      </c>
      <c r="S506" t="s">
        <v>230</v>
      </c>
      <c r="T506" t="s">
        <v>280</v>
      </c>
      <c r="U506">
        <v>4.2069161885807171E-2</v>
      </c>
      <c r="V506" t="s">
        <v>168</v>
      </c>
    </row>
    <row r="507" spans="9:22" x14ac:dyDescent="0.45">
      <c r="I507" t="s">
        <v>187</v>
      </c>
      <c r="J507" t="s">
        <v>281</v>
      </c>
      <c r="K507">
        <v>1.1011450332131332E-2</v>
      </c>
      <c r="L507" t="s">
        <v>168</v>
      </c>
      <c r="N507" t="s">
        <v>211</v>
      </c>
      <c r="O507" t="s">
        <v>281</v>
      </c>
      <c r="P507">
        <v>7.0409551166129673E-3</v>
      </c>
      <c r="Q507" t="s">
        <v>168</v>
      </c>
      <c r="S507" t="s">
        <v>230</v>
      </c>
      <c r="T507" t="s">
        <v>281</v>
      </c>
      <c r="U507">
        <v>7.3928797576001308E-3</v>
      </c>
      <c r="V507" t="s">
        <v>168</v>
      </c>
    </row>
    <row r="508" spans="9:22" x14ac:dyDescent="0.45">
      <c r="I508" t="s">
        <v>187</v>
      </c>
      <c r="J508" t="s">
        <v>282</v>
      </c>
      <c r="K508">
        <v>7.4922263505717368E-3</v>
      </c>
      <c r="L508" t="s">
        <v>168</v>
      </c>
      <c r="N508" t="s">
        <v>211</v>
      </c>
      <c r="O508" t="s">
        <v>282</v>
      </c>
      <c r="P508">
        <v>4.6184879788375578E-2</v>
      </c>
      <c r="Q508" t="s">
        <v>168</v>
      </c>
      <c r="S508" t="s">
        <v>230</v>
      </c>
      <c r="T508" t="s">
        <v>282</v>
      </c>
      <c r="U508">
        <v>5.4473470780520894E-2</v>
      </c>
      <c r="V508" t="s">
        <v>168</v>
      </c>
    </row>
    <row r="509" spans="9:22" x14ac:dyDescent="0.45">
      <c r="I509" t="s">
        <v>187</v>
      </c>
      <c r="J509" t="s">
        <v>283</v>
      </c>
      <c r="K509">
        <v>0</v>
      </c>
      <c r="L509" t="s">
        <v>168</v>
      </c>
      <c r="N509" t="s">
        <v>211</v>
      </c>
      <c r="O509" t="s">
        <v>283</v>
      </c>
      <c r="P509">
        <v>2.4557584199673979E-2</v>
      </c>
      <c r="Q509" t="s">
        <v>168</v>
      </c>
      <c r="S509" t="s">
        <v>230</v>
      </c>
      <c r="T509" t="s">
        <v>283</v>
      </c>
      <c r="U509">
        <v>2.2437225554294653E-2</v>
      </c>
      <c r="V509" t="s">
        <v>168</v>
      </c>
    </row>
    <row r="510" spans="9:22" x14ac:dyDescent="0.45">
      <c r="I510" t="s">
        <v>187</v>
      </c>
      <c r="J510" t="s">
        <v>284</v>
      </c>
      <c r="K510">
        <v>1.3798389474588874E-3</v>
      </c>
      <c r="L510" t="s">
        <v>168</v>
      </c>
      <c r="N510" t="s">
        <v>211</v>
      </c>
      <c r="O510" t="s">
        <v>284</v>
      </c>
      <c r="P510">
        <v>3.7804721008425413E-3</v>
      </c>
      <c r="Q510" t="s">
        <v>168</v>
      </c>
      <c r="S510" t="s">
        <v>230</v>
      </c>
      <c r="T510" t="s">
        <v>284</v>
      </c>
      <c r="U510">
        <v>2.7325507001851384E-3</v>
      </c>
      <c r="V510" t="s">
        <v>168</v>
      </c>
    </row>
    <row r="511" spans="9:22" x14ac:dyDescent="0.45">
      <c r="I511" t="s">
        <v>187</v>
      </c>
      <c r="J511" t="s">
        <v>285</v>
      </c>
      <c r="K511">
        <v>3.6578771043698478E-3</v>
      </c>
      <c r="L511" t="s">
        <v>168</v>
      </c>
      <c r="N511" t="s">
        <v>211</v>
      </c>
      <c r="O511" t="s">
        <v>285</v>
      </c>
      <c r="P511">
        <v>3.6635220021683473E-3</v>
      </c>
      <c r="Q511" t="s">
        <v>168</v>
      </c>
      <c r="S511" t="s">
        <v>230</v>
      </c>
      <c r="T511" t="s">
        <v>285</v>
      </c>
      <c r="U511">
        <v>2.7372980077527771E-3</v>
      </c>
      <c r="V511" t="s">
        <v>168</v>
      </c>
    </row>
    <row r="512" spans="9:22" x14ac:dyDescent="0.45">
      <c r="I512" t="s">
        <v>187</v>
      </c>
      <c r="J512" t="s">
        <v>286</v>
      </c>
      <c r="K512">
        <v>3.3390114064464266E-2</v>
      </c>
      <c r="L512" t="s">
        <v>168</v>
      </c>
      <c r="N512" t="s">
        <v>211</v>
      </c>
      <c r="O512" t="s">
        <v>286</v>
      </c>
      <c r="P512">
        <v>2.4433186971439293E-2</v>
      </c>
      <c r="Q512" t="s">
        <v>168</v>
      </c>
      <c r="S512" t="s">
        <v>230</v>
      </c>
      <c r="T512" t="s">
        <v>286</v>
      </c>
      <c r="U512">
        <v>1.6583405724799868E-2</v>
      </c>
      <c r="V512" t="s">
        <v>168</v>
      </c>
    </row>
    <row r="513" spans="9:22" x14ac:dyDescent="0.45">
      <c r="I513" t="s">
        <v>187</v>
      </c>
      <c r="J513" t="s">
        <v>287</v>
      </c>
      <c r="K513">
        <v>3.9913208620202013E-3</v>
      </c>
      <c r="L513" t="s">
        <v>168</v>
      </c>
      <c r="N513" t="s">
        <v>211</v>
      </c>
      <c r="O513" t="s">
        <v>287</v>
      </c>
      <c r="P513">
        <v>3.3398034628816012E-3</v>
      </c>
      <c r="Q513" t="s">
        <v>168</v>
      </c>
      <c r="S513" t="s">
        <v>230</v>
      </c>
      <c r="T513" t="s">
        <v>287</v>
      </c>
      <c r="U513">
        <v>2.6104962557287189E-3</v>
      </c>
      <c r="V513" t="s">
        <v>168</v>
      </c>
    </row>
    <row r="514" spans="9:22" x14ac:dyDescent="0.45">
      <c r="I514" t="s">
        <v>187</v>
      </c>
      <c r="J514" t="s">
        <v>288</v>
      </c>
      <c r="K514">
        <v>2.1560759522635626E-3</v>
      </c>
      <c r="L514" t="s">
        <v>168</v>
      </c>
      <c r="N514" t="s">
        <v>211</v>
      </c>
      <c r="O514" t="s">
        <v>288</v>
      </c>
      <c r="P514">
        <v>1.7966127421519967E-2</v>
      </c>
      <c r="Q514" t="s">
        <v>168</v>
      </c>
      <c r="S514" t="s">
        <v>230</v>
      </c>
      <c r="T514" t="s">
        <v>288</v>
      </c>
      <c r="U514">
        <v>1.7540470419675522E-2</v>
      </c>
      <c r="V514" t="s">
        <v>168</v>
      </c>
    </row>
    <row r="515" spans="9:22" x14ac:dyDescent="0.45">
      <c r="I515" t="s">
        <v>188</v>
      </c>
      <c r="J515" t="s">
        <v>167</v>
      </c>
      <c r="K515">
        <v>0</v>
      </c>
      <c r="L515" t="s">
        <v>168</v>
      </c>
      <c r="N515" t="s">
        <v>212</v>
      </c>
      <c r="O515" t="s">
        <v>167</v>
      </c>
      <c r="P515">
        <v>8.2824760551566429E-2</v>
      </c>
      <c r="Q515" t="s">
        <v>168</v>
      </c>
      <c r="S515" t="s">
        <v>231</v>
      </c>
      <c r="T515" t="s">
        <v>167</v>
      </c>
      <c r="U515">
        <v>8.4801301394065845E-2</v>
      </c>
      <c r="V515" t="s">
        <v>168</v>
      </c>
    </row>
    <row r="516" spans="9:22" x14ac:dyDescent="0.45">
      <c r="I516" t="s">
        <v>188</v>
      </c>
      <c r="J516" t="s">
        <v>169</v>
      </c>
      <c r="K516">
        <v>5.7036362915102211E-3</v>
      </c>
      <c r="L516" t="s">
        <v>168</v>
      </c>
      <c r="N516" t="s">
        <v>212</v>
      </c>
      <c r="O516" t="s">
        <v>169</v>
      </c>
      <c r="P516">
        <v>8.819734255164564E-3</v>
      </c>
      <c r="Q516" t="s">
        <v>168</v>
      </c>
      <c r="S516" t="s">
        <v>231</v>
      </c>
      <c r="T516" t="s">
        <v>169</v>
      </c>
      <c r="U516">
        <v>9.3620288340560149E-3</v>
      </c>
      <c r="V516" t="s">
        <v>168</v>
      </c>
    </row>
    <row r="517" spans="9:22" x14ac:dyDescent="0.45">
      <c r="I517" t="s">
        <v>188</v>
      </c>
      <c r="J517" t="s">
        <v>170</v>
      </c>
      <c r="K517">
        <v>9.9335973496695543E-3</v>
      </c>
      <c r="L517" t="s">
        <v>168</v>
      </c>
      <c r="N517" t="s">
        <v>212</v>
      </c>
      <c r="O517" t="s">
        <v>170</v>
      </c>
      <c r="P517">
        <v>8.1674729908492259E-3</v>
      </c>
      <c r="Q517" t="s">
        <v>168</v>
      </c>
      <c r="S517" t="s">
        <v>231</v>
      </c>
      <c r="T517" t="s">
        <v>170</v>
      </c>
      <c r="U517">
        <v>9.3576368824383523E-3</v>
      </c>
      <c r="V517" t="s">
        <v>168</v>
      </c>
    </row>
    <row r="518" spans="9:22" x14ac:dyDescent="0.45">
      <c r="I518" t="s">
        <v>188</v>
      </c>
      <c r="J518" t="s">
        <v>256</v>
      </c>
      <c r="K518">
        <v>8.1381086786966345E-2</v>
      </c>
      <c r="L518" t="s">
        <v>168</v>
      </c>
      <c r="N518" t="s">
        <v>212</v>
      </c>
      <c r="O518" t="s">
        <v>256</v>
      </c>
      <c r="P518">
        <v>7.2521885354431131E-2</v>
      </c>
      <c r="Q518" t="s">
        <v>168</v>
      </c>
      <c r="S518" t="s">
        <v>231</v>
      </c>
      <c r="T518" t="s">
        <v>256</v>
      </c>
      <c r="U518">
        <v>6.7572227464895981E-2</v>
      </c>
      <c r="V518" t="s">
        <v>168</v>
      </c>
    </row>
    <row r="519" spans="9:22" x14ac:dyDescent="0.45">
      <c r="I519" t="s">
        <v>188</v>
      </c>
      <c r="J519" t="s">
        <v>257</v>
      </c>
      <c r="K519">
        <v>1.1022127819590973E-2</v>
      </c>
      <c r="L519" t="s">
        <v>168</v>
      </c>
      <c r="N519" t="s">
        <v>212</v>
      </c>
      <c r="O519" t="s">
        <v>257</v>
      </c>
      <c r="P519">
        <v>1.395147629641072E-2</v>
      </c>
      <c r="Q519" t="s">
        <v>168</v>
      </c>
      <c r="S519" t="s">
        <v>231</v>
      </c>
      <c r="T519" t="s">
        <v>257</v>
      </c>
      <c r="U519">
        <v>1.2406557834595424E-2</v>
      </c>
      <c r="V519" t="s">
        <v>168</v>
      </c>
    </row>
    <row r="520" spans="9:22" x14ac:dyDescent="0.45">
      <c r="I520" t="s">
        <v>188</v>
      </c>
      <c r="J520" t="s">
        <v>258</v>
      </c>
      <c r="K520">
        <v>8.3952947198688375E-3</v>
      </c>
      <c r="L520" t="s">
        <v>168</v>
      </c>
      <c r="N520" t="s">
        <v>212</v>
      </c>
      <c r="O520" t="s">
        <v>258</v>
      </c>
      <c r="P520">
        <v>8.3463611437794918E-2</v>
      </c>
      <c r="Q520" t="s">
        <v>168</v>
      </c>
      <c r="S520" t="s">
        <v>231</v>
      </c>
      <c r="T520" t="s">
        <v>258</v>
      </c>
      <c r="U520">
        <v>8.0773672049337705E-2</v>
      </c>
      <c r="V520" t="s">
        <v>168</v>
      </c>
    </row>
    <row r="521" spans="9:22" x14ac:dyDescent="0.45">
      <c r="I521" t="s">
        <v>188</v>
      </c>
      <c r="J521" t="s">
        <v>171</v>
      </c>
      <c r="K521">
        <v>2.3684316593723477E-2</v>
      </c>
      <c r="L521" t="s">
        <v>168</v>
      </c>
      <c r="N521" t="s">
        <v>212</v>
      </c>
      <c r="O521" t="s">
        <v>171</v>
      </c>
      <c r="P521">
        <v>0.13601426980877046</v>
      </c>
      <c r="Q521" t="s">
        <v>168</v>
      </c>
      <c r="S521" t="s">
        <v>231</v>
      </c>
      <c r="T521" t="s">
        <v>171</v>
      </c>
      <c r="U521">
        <v>0.15810487236538726</v>
      </c>
      <c r="V521" t="s">
        <v>168</v>
      </c>
    </row>
    <row r="522" spans="9:22" x14ac:dyDescent="0.45">
      <c r="I522" t="s">
        <v>188</v>
      </c>
      <c r="J522" t="s">
        <v>172</v>
      </c>
      <c r="K522">
        <v>2.7787992650962476E-2</v>
      </c>
      <c r="L522" t="s">
        <v>168</v>
      </c>
      <c r="N522" t="s">
        <v>212</v>
      </c>
      <c r="O522" t="s">
        <v>172</v>
      </c>
      <c r="P522">
        <v>1.5708488409096034E-2</v>
      </c>
      <c r="Q522" t="s">
        <v>168</v>
      </c>
      <c r="S522" t="s">
        <v>231</v>
      </c>
      <c r="T522" t="s">
        <v>172</v>
      </c>
      <c r="U522">
        <v>1.912487386341016E-2</v>
      </c>
      <c r="V522" t="s">
        <v>168</v>
      </c>
    </row>
    <row r="523" spans="9:22" x14ac:dyDescent="0.45">
      <c r="I523" t="s">
        <v>188</v>
      </c>
      <c r="J523" t="s">
        <v>173</v>
      </c>
      <c r="K523">
        <v>3.4857444674556051E-2</v>
      </c>
      <c r="L523" t="s">
        <v>168</v>
      </c>
      <c r="N523" t="s">
        <v>212</v>
      </c>
      <c r="O523" t="s">
        <v>173</v>
      </c>
      <c r="P523">
        <v>1.5903130071922567E-2</v>
      </c>
      <c r="Q523" t="s">
        <v>168</v>
      </c>
      <c r="S523" t="s">
        <v>231</v>
      </c>
      <c r="T523" t="s">
        <v>173</v>
      </c>
      <c r="U523">
        <v>1.8928548400235154E-2</v>
      </c>
      <c r="V523" t="s">
        <v>168</v>
      </c>
    </row>
    <row r="524" spans="9:22" x14ac:dyDescent="0.45">
      <c r="I524" t="s">
        <v>188</v>
      </c>
      <c r="J524" t="s">
        <v>259</v>
      </c>
      <c r="K524">
        <v>0.23611917918432104</v>
      </c>
      <c r="L524" t="s">
        <v>168</v>
      </c>
      <c r="N524" t="s">
        <v>212</v>
      </c>
      <c r="O524" t="s">
        <v>259</v>
      </c>
      <c r="P524">
        <v>0.13055343903890279</v>
      </c>
      <c r="Q524" t="s">
        <v>168</v>
      </c>
      <c r="S524" t="s">
        <v>231</v>
      </c>
      <c r="T524" t="s">
        <v>259</v>
      </c>
      <c r="U524">
        <v>0.10889433541837167</v>
      </c>
      <c r="V524" t="s">
        <v>168</v>
      </c>
    </row>
    <row r="525" spans="9:22" x14ac:dyDescent="0.45">
      <c r="I525" t="s">
        <v>188</v>
      </c>
      <c r="J525" t="s">
        <v>260</v>
      </c>
      <c r="K525">
        <v>3.4383661971996597E-2</v>
      </c>
      <c r="L525" t="s">
        <v>168</v>
      </c>
      <c r="N525" t="s">
        <v>212</v>
      </c>
      <c r="O525" t="s">
        <v>260</v>
      </c>
      <c r="P525">
        <v>2.4378041567991969E-2</v>
      </c>
      <c r="Q525" t="s">
        <v>168</v>
      </c>
      <c r="S525" t="s">
        <v>231</v>
      </c>
      <c r="T525" t="s">
        <v>260</v>
      </c>
      <c r="U525">
        <v>1.9817775471289194E-2</v>
      </c>
      <c r="V525" t="s">
        <v>168</v>
      </c>
    </row>
    <row r="526" spans="9:22" x14ac:dyDescent="0.45">
      <c r="I526" t="s">
        <v>188</v>
      </c>
      <c r="J526" t="s">
        <v>261</v>
      </c>
      <c r="K526">
        <v>5.518115771211507E-2</v>
      </c>
      <c r="L526" t="s">
        <v>168</v>
      </c>
      <c r="N526" t="s">
        <v>212</v>
      </c>
      <c r="O526" t="s">
        <v>261</v>
      </c>
      <c r="P526">
        <v>0.13422596971873257</v>
      </c>
      <c r="Q526" t="s">
        <v>168</v>
      </c>
      <c r="S526" t="s">
        <v>231</v>
      </c>
      <c r="T526" t="s">
        <v>261</v>
      </c>
      <c r="U526">
        <v>0.14650312824258127</v>
      </c>
      <c r="V526" t="s">
        <v>168</v>
      </c>
    </row>
    <row r="527" spans="9:22" x14ac:dyDescent="0.45">
      <c r="I527" t="s">
        <v>188</v>
      </c>
      <c r="J527" t="s">
        <v>174</v>
      </c>
      <c r="K527">
        <v>8.6199746096709169E-3</v>
      </c>
      <c r="L527" t="s">
        <v>168</v>
      </c>
      <c r="N527" t="s">
        <v>212</v>
      </c>
      <c r="O527" t="s">
        <v>174</v>
      </c>
      <c r="P527">
        <v>8.1804723292993372E-4</v>
      </c>
      <c r="Q527" t="s">
        <v>168</v>
      </c>
      <c r="S527" t="s">
        <v>231</v>
      </c>
      <c r="T527" t="s">
        <v>174</v>
      </c>
      <c r="U527">
        <v>1.7048973748724535E-3</v>
      </c>
      <c r="V527" t="s">
        <v>168</v>
      </c>
    </row>
    <row r="528" spans="9:22" x14ac:dyDescent="0.45">
      <c r="I528" t="s">
        <v>188</v>
      </c>
      <c r="J528" t="s">
        <v>175</v>
      </c>
      <c r="K528">
        <v>7.9892333218411042E-3</v>
      </c>
      <c r="L528" t="s">
        <v>168</v>
      </c>
      <c r="N528" t="s">
        <v>212</v>
      </c>
      <c r="O528" t="s">
        <v>175</v>
      </c>
      <c r="P528">
        <v>6.8413005092197047E-5</v>
      </c>
      <c r="Q528" t="s">
        <v>168</v>
      </c>
      <c r="S528" t="s">
        <v>231</v>
      </c>
      <c r="T528" t="s">
        <v>175</v>
      </c>
      <c r="U528">
        <v>1.7366298726331463E-4</v>
      </c>
      <c r="V528" t="s">
        <v>168</v>
      </c>
    </row>
    <row r="529" spans="9:22" x14ac:dyDescent="0.45">
      <c r="I529" t="s">
        <v>188</v>
      </c>
      <c r="J529" t="s">
        <v>176</v>
      </c>
      <c r="K529">
        <v>9.407909629933953E-3</v>
      </c>
      <c r="L529" t="s">
        <v>168</v>
      </c>
      <c r="N529" t="s">
        <v>212</v>
      </c>
      <c r="O529" t="s">
        <v>176</v>
      </c>
      <c r="P529">
        <v>5.2896549630956162E-5</v>
      </c>
      <c r="Q529" t="s">
        <v>168</v>
      </c>
      <c r="S529" t="s">
        <v>231</v>
      </c>
      <c r="T529" t="s">
        <v>176</v>
      </c>
      <c r="U529">
        <v>1.8198479296054287E-4</v>
      </c>
      <c r="V529" t="s">
        <v>168</v>
      </c>
    </row>
    <row r="530" spans="9:22" x14ac:dyDescent="0.45">
      <c r="I530" t="s">
        <v>188</v>
      </c>
      <c r="J530" t="s">
        <v>262</v>
      </c>
      <c r="K530">
        <v>6.2682126622407366E-2</v>
      </c>
      <c r="L530" t="s">
        <v>168</v>
      </c>
      <c r="N530" t="s">
        <v>212</v>
      </c>
      <c r="O530" t="s">
        <v>262</v>
      </c>
      <c r="P530">
        <v>7.3296352549880759E-3</v>
      </c>
      <c r="Q530" t="s">
        <v>168</v>
      </c>
      <c r="S530" t="s">
        <v>231</v>
      </c>
      <c r="T530" t="s">
        <v>262</v>
      </c>
      <c r="U530">
        <v>1.7903229487796746E-3</v>
      </c>
      <c r="V530" t="s">
        <v>168</v>
      </c>
    </row>
    <row r="531" spans="9:22" x14ac:dyDescent="0.45">
      <c r="I531" t="s">
        <v>188</v>
      </c>
      <c r="J531" t="s">
        <v>263</v>
      </c>
      <c r="K531">
        <v>8.8948856910367191E-3</v>
      </c>
      <c r="L531" t="s">
        <v>168</v>
      </c>
      <c r="N531" t="s">
        <v>212</v>
      </c>
      <c r="O531" t="s">
        <v>263</v>
      </c>
      <c r="P531">
        <v>2.3689781513611665E-3</v>
      </c>
      <c r="Q531" t="s">
        <v>168</v>
      </c>
      <c r="S531" t="s">
        <v>231</v>
      </c>
      <c r="T531" t="s">
        <v>263</v>
      </c>
      <c r="U531">
        <v>7.4269634639866707E-4</v>
      </c>
      <c r="V531" t="s">
        <v>168</v>
      </c>
    </row>
    <row r="532" spans="9:22" x14ac:dyDescent="0.45">
      <c r="I532" t="s">
        <v>188</v>
      </c>
      <c r="J532" t="s">
        <v>264</v>
      </c>
      <c r="K532">
        <v>1.7115043473424886E-2</v>
      </c>
      <c r="L532" t="s">
        <v>168</v>
      </c>
      <c r="N532" t="s">
        <v>212</v>
      </c>
      <c r="O532" t="s">
        <v>264</v>
      </c>
      <c r="P532">
        <v>8.8443329781005085E-3</v>
      </c>
      <c r="Q532" t="s">
        <v>168</v>
      </c>
      <c r="S532" t="s">
        <v>231</v>
      </c>
      <c r="T532" t="s">
        <v>264</v>
      </c>
      <c r="U532">
        <v>5.1703179669640295E-3</v>
      </c>
      <c r="V532" t="s">
        <v>168</v>
      </c>
    </row>
    <row r="533" spans="9:22" x14ac:dyDescent="0.45">
      <c r="I533" t="s">
        <v>188</v>
      </c>
      <c r="J533" t="s">
        <v>265</v>
      </c>
      <c r="K533">
        <v>6.2290410467395552E-3</v>
      </c>
      <c r="L533" t="s">
        <v>168</v>
      </c>
      <c r="N533" t="s">
        <v>212</v>
      </c>
      <c r="O533" t="s">
        <v>265</v>
      </c>
      <c r="P533">
        <v>1.9029673591380092E-3</v>
      </c>
      <c r="Q533" t="s">
        <v>168</v>
      </c>
      <c r="S533" t="s">
        <v>231</v>
      </c>
      <c r="T533" t="s">
        <v>265</v>
      </c>
      <c r="U533">
        <v>3.7124824518231909E-3</v>
      </c>
      <c r="V533" t="s">
        <v>168</v>
      </c>
    </row>
    <row r="534" spans="9:22" x14ac:dyDescent="0.45">
      <c r="I534" t="s">
        <v>188</v>
      </c>
      <c r="J534" t="s">
        <v>266</v>
      </c>
      <c r="K534">
        <v>7.3988928220232878E-3</v>
      </c>
      <c r="L534" t="s">
        <v>168</v>
      </c>
      <c r="N534" t="s">
        <v>212</v>
      </c>
      <c r="O534" t="s">
        <v>266</v>
      </c>
      <c r="P534">
        <v>1.2782422118032217E-4</v>
      </c>
      <c r="Q534" t="s">
        <v>168</v>
      </c>
      <c r="S534" t="s">
        <v>231</v>
      </c>
      <c r="T534" t="s">
        <v>266</v>
      </c>
      <c r="U534">
        <v>3.6561416918487509E-4</v>
      </c>
      <c r="V534" t="s">
        <v>168</v>
      </c>
    </row>
    <row r="535" spans="9:22" x14ac:dyDescent="0.45">
      <c r="I535" t="s">
        <v>188</v>
      </c>
      <c r="J535" t="s">
        <v>267</v>
      </c>
      <c r="K535">
        <v>9.0753850008205069E-3</v>
      </c>
      <c r="L535" t="s">
        <v>168</v>
      </c>
      <c r="N535" t="s">
        <v>212</v>
      </c>
      <c r="O535" t="s">
        <v>267</v>
      </c>
      <c r="P535">
        <v>1.1552884126760981E-4</v>
      </c>
      <c r="Q535" t="s">
        <v>168</v>
      </c>
      <c r="S535" t="s">
        <v>231</v>
      </c>
      <c r="T535" t="s">
        <v>267</v>
      </c>
      <c r="U535">
        <v>3.6143044967274326E-4</v>
      </c>
      <c r="V535" t="s">
        <v>168</v>
      </c>
    </row>
    <row r="536" spans="9:22" x14ac:dyDescent="0.45">
      <c r="I536" t="s">
        <v>188</v>
      </c>
      <c r="J536" t="s">
        <v>268</v>
      </c>
      <c r="K536">
        <v>5.8724956881009434E-2</v>
      </c>
      <c r="L536" t="s">
        <v>168</v>
      </c>
      <c r="N536" t="s">
        <v>212</v>
      </c>
      <c r="O536" t="s">
        <v>268</v>
      </c>
      <c r="P536">
        <v>5.2250778641595086E-3</v>
      </c>
      <c r="Q536" t="s">
        <v>168</v>
      </c>
      <c r="S536" t="s">
        <v>231</v>
      </c>
      <c r="T536" t="s">
        <v>268</v>
      </c>
      <c r="U536">
        <v>2.6180345120848914E-3</v>
      </c>
      <c r="V536" t="s">
        <v>168</v>
      </c>
    </row>
    <row r="537" spans="9:22" x14ac:dyDescent="0.45">
      <c r="I537" t="s">
        <v>188</v>
      </c>
      <c r="J537" t="s">
        <v>269</v>
      </c>
      <c r="K537">
        <v>8.0880811171821707E-3</v>
      </c>
      <c r="L537" t="s">
        <v>168</v>
      </c>
      <c r="N537" t="s">
        <v>212</v>
      </c>
      <c r="O537" t="s">
        <v>269</v>
      </c>
      <c r="P537">
        <v>1.647240750548668E-3</v>
      </c>
      <c r="Q537" t="s">
        <v>168</v>
      </c>
      <c r="S537" t="s">
        <v>231</v>
      </c>
      <c r="T537" t="s">
        <v>269</v>
      </c>
      <c r="U537">
        <v>8.4973816921751072E-4</v>
      </c>
      <c r="V537" t="s">
        <v>168</v>
      </c>
    </row>
    <row r="538" spans="9:22" x14ac:dyDescent="0.45">
      <c r="I538" t="s">
        <v>188</v>
      </c>
      <c r="J538" t="s">
        <v>270</v>
      </c>
      <c r="K538">
        <v>1.3608144605360247E-2</v>
      </c>
      <c r="L538" t="s">
        <v>168</v>
      </c>
      <c r="N538" t="s">
        <v>212</v>
      </c>
      <c r="O538" t="s">
        <v>270</v>
      </c>
      <c r="P538">
        <v>3.802096879698875E-3</v>
      </c>
      <c r="Q538" t="s">
        <v>168</v>
      </c>
      <c r="S538" t="s">
        <v>231</v>
      </c>
      <c r="T538" t="s">
        <v>270</v>
      </c>
      <c r="U538">
        <v>4.7837562508547442E-3</v>
      </c>
      <c r="V538" t="s">
        <v>168</v>
      </c>
    </row>
    <row r="539" spans="9:22" x14ac:dyDescent="0.45">
      <c r="I539" t="s">
        <v>188</v>
      </c>
      <c r="J539" t="s">
        <v>271</v>
      </c>
      <c r="K539">
        <v>3.0333741438872529E-3</v>
      </c>
      <c r="L539" t="s">
        <v>168</v>
      </c>
      <c r="N539" t="s">
        <v>212</v>
      </c>
      <c r="O539" t="s">
        <v>271</v>
      </c>
      <c r="P539">
        <v>6.9540729131178361E-3</v>
      </c>
      <c r="Q539" t="s">
        <v>168</v>
      </c>
      <c r="S539" t="s">
        <v>231</v>
      </c>
      <c r="T539" t="s">
        <v>271</v>
      </c>
      <c r="U539">
        <v>1.1717365668746862E-2</v>
      </c>
      <c r="V539" t="s">
        <v>168</v>
      </c>
    </row>
    <row r="540" spans="9:22" x14ac:dyDescent="0.45">
      <c r="I540" t="s">
        <v>188</v>
      </c>
      <c r="J540" t="s">
        <v>272</v>
      </c>
      <c r="K540">
        <v>5.7363792522810543E-3</v>
      </c>
      <c r="L540" t="s">
        <v>168</v>
      </c>
      <c r="N540" t="s">
        <v>212</v>
      </c>
      <c r="O540" t="s">
        <v>272</v>
      </c>
      <c r="P540">
        <v>5.6802242876464863E-4</v>
      </c>
      <c r="Q540" t="s">
        <v>168</v>
      </c>
      <c r="S540" t="s">
        <v>231</v>
      </c>
      <c r="T540" t="s">
        <v>272</v>
      </c>
      <c r="U540">
        <v>1.6475762667730635E-3</v>
      </c>
      <c r="V540" t="s">
        <v>168</v>
      </c>
    </row>
    <row r="541" spans="9:22" x14ac:dyDescent="0.45">
      <c r="I541" t="s">
        <v>188</v>
      </c>
      <c r="J541" t="s">
        <v>273</v>
      </c>
      <c r="K541">
        <v>7.7283470006274217E-3</v>
      </c>
      <c r="L541" t="s">
        <v>168</v>
      </c>
      <c r="N541" t="s">
        <v>212</v>
      </c>
      <c r="O541" t="s">
        <v>273</v>
      </c>
      <c r="P541">
        <v>6.6995652085666691E-4</v>
      </c>
      <c r="Q541" t="s">
        <v>168</v>
      </c>
      <c r="S541" t="s">
        <v>231</v>
      </c>
      <c r="T541" t="s">
        <v>273</v>
      </c>
      <c r="U541">
        <v>1.5799430056855632E-3</v>
      </c>
      <c r="V541" t="s">
        <v>168</v>
      </c>
    </row>
    <row r="542" spans="9:22" x14ac:dyDescent="0.45">
      <c r="I542" t="s">
        <v>188</v>
      </c>
      <c r="J542" t="s">
        <v>274</v>
      </c>
      <c r="K542">
        <v>5.208611049067572E-2</v>
      </c>
      <c r="L542" t="s">
        <v>168</v>
      </c>
      <c r="N542" t="s">
        <v>212</v>
      </c>
      <c r="O542" t="s">
        <v>274</v>
      </c>
      <c r="P542">
        <v>9.4540291103821124E-3</v>
      </c>
      <c r="Q542" t="s">
        <v>168</v>
      </c>
      <c r="S542" t="s">
        <v>231</v>
      </c>
      <c r="T542" t="s">
        <v>274</v>
      </c>
      <c r="U542">
        <v>1.1640849760060508E-2</v>
      </c>
      <c r="V542" t="s">
        <v>168</v>
      </c>
    </row>
    <row r="543" spans="9:22" x14ac:dyDescent="0.45">
      <c r="I543" t="s">
        <v>188</v>
      </c>
      <c r="J543" t="s">
        <v>275</v>
      </c>
      <c r="K543">
        <v>7.1779431285815586E-3</v>
      </c>
      <c r="L543" t="s">
        <v>168</v>
      </c>
      <c r="N543" t="s">
        <v>212</v>
      </c>
      <c r="O543" t="s">
        <v>275</v>
      </c>
      <c r="P543">
        <v>2.4825653758992895E-3</v>
      </c>
      <c r="Q543" t="s">
        <v>168</v>
      </c>
      <c r="S543" t="s">
        <v>231</v>
      </c>
      <c r="T543" t="s">
        <v>275</v>
      </c>
      <c r="U543">
        <v>2.2579505115909279E-3</v>
      </c>
      <c r="V543" t="s">
        <v>168</v>
      </c>
    </row>
    <row r="544" spans="9:22" x14ac:dyDescent="0.45">
      <c r="I544" t="s">
        <v>188</v>
      </c>
      <c r="J544" t="s">
        <v>276</v>
      </c>
      <c r="K544">
        <v>8.268893085737198E-3</v>
      </c>
      <c r="L544" t="s">
        <v>168</v>
      </c>
      <c r="N544" t="s">
        <v>212</v>
      </c>
      <c r="O544" t="s">
        <v>276</v>
      </c>
      <c r="P544">
        <v>1.1641082929175936E-2</v>
      </c>
      <c r="Q544" t="s">
        <v>168</v>
      </c>
      <c r="S544" t="s">
        <v>231</v>
      </c>
      <c r="T544" t="s">
        <v>276</v>
      </c>
      <c r="U544">
        <v>1.1626260575455008E-2</v>
      </c>
      <c r="V544" t="s">
        <v>168</v>
      </c>
    </row>
    <row r="545" spans="9:22" x14ac:dyDescent="0.45">
      <c r="I545" t="s">
        <v>188</v>
      </c>
      <c r="J545" t="s">
        <v>277</v>
      </c>
      <c r="K545">
        <v>1.9807306117227154E-3</v>
      </c>
      <c r="L545" t="s">
        <v>168</v>
      </c>
      <c r="N545" t="s">
        <v>212</v>
      </c>
      <c r="O545" t="s">
        <v>277</v>
      </c>
      <c r="P545">
        <v>5.5701917742682225E-2</v>
      </c>
      <c r="Q545" t="s">
        <v>168</v>
      </c>
      <c r="S545" t="s">
        <v>231</v>
      </c>
      <c r="T545" t="s">
        <v>277</v>
      </c>
      <c r="U545">
        <v>4.8466409165520231E-2</v>
      </c>
      <c r="V545" t="s">
        <v>168</v>
      </c>
    </row>
    <row r="546" spans="9:22" x14ac:dyDescent="0.45">
      <c r="I546" t="s">
        <v>188</v>
      </c>
      <c r="J546" t="s">
        <v>278</v>
      </c>
      <c r="K546">
        <v>7.5110854533893172E-3</v>
      </c>
      <c r="L546" t="s">
        <v>168</v>
      </c>
      <c r="N546" t="s">
        <v>212</v>
      </c>
      <c r="O546" t="s">
        <v>278</v>
      </c>
      <c r="P546">
        <v>6.1707518763425397E-3</v>
      </c>
      <c r="Q546" t="s">
        <v>168</v>
      </c>
      <c r="S546" t="s">
        <v>231</v>
      </c>
      <c r="T546" t="s">
        <v>278</v>
      </c>
      <c r="U546">
        <v>6.1993296763325689E-3</v>
      </c>
      <c r="V546" t="s">
        <v>168</v>
      </c>
    </row>
    <row r="547" spans="9:22" x14ac:dyDescent="0.45">
      <c r="I547" t="s">
        <v>188</v>
      </c>
      <c r="J547" t="s">
        <v>279</v>
      </c>
      <c r="K547">
        <v>1.1907776171901217E-2</v>
      </c>
      <c r="L547" t="s">
        <v>168</v>
      </c>
      <c r="N547" t="s">
        <v>212</v>
      </c>
      <c r="O547" t="s">
        <v>279</v>
      </c>
      <c r="P547">
        <v>5.572107525976068E-3</v>
      </c>
      <c r="Q547" t="s">
        <v>168</v>
      </c>
      <c r="S547" t="s">
        <v>231</v>
      </c>
      <c r="T547" t="s">
        <v>279</v>
      </c>
      <c r="U547">
        <v>6.2584011932661993E-3</v>
      </c>
      <c r="V547" t="s">
        <v>168</v>
      </c>
    </row>
    <row r="548" spans="9:22" x14ac:dyDescent="0.45">
      <c r="I548" t="s">
        <v>188</v>
      </c>
      <c r="J548" t="s">
        <v>280</v>
      </c>
      <c r="K548">
        <v>8.5210124963459796E-2</v>
      </c>
      <c r="L548" t="s">
        <v>168</v>
      </c>
      <c r="N548" t="s">
        <v>212</v>
      </c>
      <c r="O548" t="s">
        <v>280</v>
      </c>
      <c r="P548">
        <v>3.5730754189493931E-2</v>
      </c>
      <c r="Q548" t="s">
        <v>168</v>
      </c>
      <c r="S548" t="s">
        <v>231</v>
      </c>
      <c r="T548" t="s">
        <v>280</v>
      </c>
      <c r="U548">
        <v>3.7670828467260012E-2</v>
      </c>
      <c r="V548" t="s">
        <v>168</v>
      </c>
    </row>
    <row r="549" spans="9:22" x14ac:dyDescent="0.45">
      <c r="I549" t="s">
        <v>188</v>
      </c>
      <c r="J549" t="s">
        <v>281</v>
      </c>
      <c r="K549">
        <v>1.0279480131429567E-2</v>
      </c>
      <c r="L549" t="s">
        <v>168</v>
      </c>
      <c r="N549" t="s">
        <v>212</v>
      </c>
      <c r="O549" t="s">
        <v>281</v>
      </c>
      <c r="P549">
        <v>5.9795179006818192E-3</v>
      </c>
      <c r="Q549" t="s">
        <v>168</v>
      </c>
      <c r="S549" t="s">
        <v>231</v>
      </c>
      <c r="T549" t="s">
        <v>281</v>
      </c>
      <c r="U549">
        <v>6.3276124786514351E-3</v>
      </c>
      <c r="V549" t="s">
        <v>168</v>
      </c>
    </row>
    <row r="550" spans="9:22" x14ac:dyDescent="0.45">
      <c r="I550" t="s">
        <v>188</v>
      </c>
      <c r="J550" t="s">
        <v>282</v>
      </c>
      <c r="K550">
        <v>6.3818039050031793E-3</v>
      </c>
      <c r="L550" t="s">
        <v>168</v>
      </c>
      <c r="N550" t="s">
        <v>212</v>
      </c>
      <c r="O550" t="s">
        <v>282</v>
      </c>
      <c r="P550">
        <v>4.1330509132320663E-2</v>
      </c>
      <c r="Q550" t="s">
        <v>168</v>
      </c>
      <c r="S550" t="s">
        <v>231</v>
      </c>
      <c r="T550" t="s">
        <v>282</v>
      </c>
      <c r="U550">
        <v>4.5341676031398076E-2</v>
      </c>
      <c r="V550" t="s">
        <v>168</v>
      </c>
    </row>
    <row r="551" spans="9:22" x14ac:dyDescent="0.45">
      <c r="I551" t="s">
        <v>188</v>
      </c>
      <c r="J551" t="s">
        <v>283</v>
      </c>
      <c r="K551">
        <v>0</v>
      </c>
      <c r="L551" t="s">
        <v>168</v>
      </c>
      <c r="N551" t="s">
        <v>212</v>
      </c>
      <c r="O551" t="s">
        <v>283</v>
      </c>
      <c r="P551">
        <v>2.1135920815047834E-2</v>
      </c>
      <c r="Q551" t="s">
        <v>168</v>
      </c>
      <c r="S551" t="s">
        <v>231</v>
      </c>
      <c r="T551" t="s">
        <v>283</v>
      </c>
      <c r="U551">
        <v>1.8588470830981953E-2</v>
      </c>
      <c r="V551" t="s">
        <v>168</v>
      </c>
    </row>
    <row r="552" spans="9:22" x14ac:dyDescent="0.45">
      <c r="I552" t="s">
        <v>188</v>
      </c>
      <c r="J552" t="s">
        <v>284</v>
      </c>
      <c r="K552">
        <v>2.0904380674890096E-3</v>
      </c>
      <c r="L552" t="s">
        <v>168</v>
      </c>
      <c r="N552" t="s">
        <v>212</v>
      </c>
      <c r="O552" t="s">
        <v>284</v>
      </c>
      <c r="P552">
        <v>3.2047545577708692E-3</v>
      </c>
      <c r="Q552" t="s">
        <v>168</v>
      </c>
      <c r="S552" t="s">
        <v>231</v>
      </c>
      <c r="T552" t="s">
        <v>284</v>
      </c>
      <c r="U552">
        <v>2.0419430209578713E-3</v>
      </c>
      <c r="V552" t="s">
        <v>168</v>
      </c>
    </row>
    <row r="553" spans="9:22" x14ac:dyDescent="0.45">
      <c r="I553" t="s">
        <v>188</v>
      </c>
      <c r="J553" t="s">
        <v>285</v>
      </c>
      <c r="K553">
        <v>4.1173944135578806E-3</v>
      </c>
      <c r="L553" t="s">
        <v>168</v>
      </c>
      <c r="N553" t="s">
        <v>212</v>
      </c>
      <c r="O553" t="s">
        <v>285</v>
      </c>
      <c r="P553">
        <v>3.1053533640522071E-3</v>
      </c>
      <c r="Q553" t="s">
        <v>168</v>
      </c>
      <c r="S553" t="s">
        <v>231</v>
      </c>
      <c r="T553" t="s">
        <v>285</v>
      </c>
      <c r="U553">
        <v>2.042784380970815E-3</v>
      </c>
      <c r="V553" t="s">
        <v>168</v>
      </c>
    </row>
    <row r="554" spans="9:22" x14ac:dyDescent="0.45">
      <c r="I554" t="s">
        <v>188</v>
      </c>
      <c r="J554" t="s">
        <v>286</v>
      </c>
      <c r="K554">
        <v>3.4473740554180336E-2</v>
      </c>
      <c r="L554" t="s">
        <v>168</v>
      </c>
      <c r="N554" t="s">
        <v>212</v>
      </c>
      <c r="O554" t="s">
        <v>286</v>
      </c>
      <c r="P554">
        <v>1.6915055086739926E-2</v>
      </c>
      <c r="Q554" t="s">
        <v>168</v>
      </c>
      <c r="S554" t="s">
        <v>231</v>
      </c>
      <c r="T554" t="s">
        <v>286</v>
      </c>
      <c r="U554">
        <v>1.223069132677328E-2</v>
      </c>
      <c r="V554" t="s">
        <v>168</v>
      </c>
    </row>
    <row r="555" spans="9:22" x14ac:dyDescent="0.45">
      <c r="I555" t="s">
        <v>188</v>
      </c>
      <c r="J555" t="s">
        <v>287</v>
      </c>
      <c r="K555">
        <v>3.6989693379810853E-3</v>
      </c>
      <c r="L555" t="s">
        <v>168</v>
      </c>
      <c r="N555" t="s">
        <v>212</v>
      </c>
      <c r="O555" t="s">
        <v>287</v>
      </c>
      <c r="P555">
        <v>2.2722593379174657E-3</v>
      </c>
      <c r="Q555" t="s">
        <v>168</v>
      </c>
      <c r="S555" t="s">
        <v>231</v>
      </c>
      <c r="T555" t="s">
        <v>287</v>
      </c>
      <c r="U555">
        <v>1.9321825144400988E-3</v>
      </c>
      <c r="V555" t="s">
        <v>168</v>
      </c>
    </row>
    <row r="556" spans="9:22" x14ac:dyDescent="0.45">
      <c r="I556" t="s">
        <v>188</v>
      </c>
      <c r="J556" t="s">
        <v>288</v>
      </c>
      <c r="K556">
        <v>2.0342387113635512E-3</v>
      </c>
      <c r="L556" t="s">
        <v>168</v>
      </c>
      <c r="N556" t="s">
        <v>212</v>
      </c>
      <c r="O556" t="s">
        <v>288</v>
      </c>
      <c r="P556">
        <v>1.2276050603043005E-2</v>
      </c>
      <c r="Q556" t="s">
        <v>168</v>
      </c>
      <c r="S556" t="s">
        <v>231</v>
      </c>
      <c r="T556" t="s">
        <v>288</v>
      </c>
      <c r="U556">
        <v>1.4327828484393484E-2</v>
      </c>
      <c r="V556" t="s">
        <v>168</v>
      </c>
    </row>
    <row r="557" spans="9:22" x14ac:dyDescent="0.45">
      <c r="I557" t="s">
        <v>189</v>
      </c>
      <c r="J557" t="s">
        <v>167</v>
      </c>
      <c r="K557">
        <v>0</v>
      </c>
      <c r="L557" t="s">
        <v>168</v>
      </c>
      <c r="N557" t="s">
        <v>213</v>
      </c>
      <c r="O557" t="s">
        <v>167</v>
      </c>
      <c r="P557">
        <v>6.1411603445131691E-2</v>
      </c>
      <c r="Q557" t="s">
        <v>168</v>
      </c>
      <c r="S557" t="s">
        <v>232</v>
      </c>
      <c r="T557" t="s">
        <v>167</v>
      </c>
      <c r="U557">
        <v>8.4537206503642562E-2</v>
      </c>
      <c r="V557" t="s">
        <v>168</v>
      </c>
    </row>
    <row r="558" spans="9:22" x14ac:dyDescent="0.45">
      <c r="I558" t="s">
        <v>189</v>
      </c>
      <c r="J558" t="s">
        <v>169</v>
      </c>
      <c r="K558">
        <v>5.6909938891325611E-3</v>
      </c>
      <c r="L558" t="s">
        <v>168</v>
      </c>
      <c r="N558" t="s">
        <v>213</v>
      </c>
      <c r="O558" t="s">
        <v>169</v>
      </c>
      <c r="P558">
        <v>6.9256741920536548E-3</v>
      </c>
      <c r="Q558" t="s">
        <v>168</v>
      </c>
      <c r="S558" t="s">
        <v>232</v>
      </c>
      <c r="T558" t="s">
        <v>169</v>
      </c>
      <c r="U558">
        <v>1.1120944334641735E-2</v>
      </c>
      <c r="V558" t="s">
        <v>168</v>
      </c>
    </row>
    <row r="559" spans="9:22" x14ac:dyDescent="0.45">
      <c r="I559" t="s">
        <v>189</v>
      </c>
      <c r="J559" t="s">
        <v>170</v>
      </c>
      <c r="K559">
        <v>9.6386843521041755E-3</v>
      </c>
      <c r="L559" t="s">
        <v>168</v>
      </c>
      <c r="N559" t="s">
        <v>213</v>
      </c>
      <c r="O559" t="s">
        <v>170</v>
      </c>
      <c r="P559">
        <v>7.3920513744018925E-3</v>
      </c>
      <c r="Q559" t="s">
        <v>168</v>
      </c>
      <c r="S559" t="s">
        <v>232</v>
      </c>
      <c r="T559" t="s">
        <v>170</v>
      </c>
      <c r="U559">
        <v>1.1447531375733493E-2</v>
      </c>
      <c r="V559" t="s">
        <v>168</v>
      </c>
    </row>
    <row r="560" spans="9:22" x14ac:dyDescent="0.45">
      <c r="I560" t="s">
        <v>189</v>
      </c>
      <c r="J560" t="s">
        <v>256</v>
      </c>
      <c r="K560">
        <v>7.8507267692166371E-2</v>
      </c>
      <c r="L560" t="s">
        <v>168</v>
      </c>
      <c r="N560" t="s">
        <v>213</v>
      </c>
      <c r="O560" t="s">
        <v>256</v>
      </c>
      <c r="P560">
        <v>5.6572396446743327E-2</v>
      </c>
      <c r="Q560" t="s">
        <v>168</v>
      </c>
      <c r="S560" t="s">
        <v>232</v>
      </c>
      <c r="T560" t="s">
        <v>256</v>
      </c>
      <c r="U560">
        <v>7.3462788229946313E-2</v>
      </c>
      <c r="V560" t="s">
        <v>168</v>
      </c>
    </row>
    <row r="561" spans="9:22" x14ac:dyDescent="0.45">
      <c r="I561" t="s">
        <v>189</v>
      </c>
      <c r="J561" t="s">
        <v>257</v>
      </c>
      <c r="K561">
        <v>1.0059370250555541E-2</v>
      </c>
      <c r="L561" t="s">
        <v>168</v>
      </c>
      <c r="N561" t="s">
        <v>213</v>
      </c>
      <c r="O561" t="s">
        <v>257</v>
      </c>
      <c r="P561">
        <v>1.0445824427121921E-2</v>
      </c>
      <c r="Q561" t="s">
        <v>168</v>
      </c>
      <c r="S561" t="s">
        <v>232</v>
      </c>
      <c r="T561" t="s">
        <v>257</v>
      </c>
      <c r="U561">
        <v>1.20667606695693E-2</v>
      </c>
      <c r="V561" t="s">
        <v>168</v>
      </c>
    </row>
    <row r="562" spans="9:22" x14ac:dyDescent="0.45">
      <c r="I562" t="s">
        <v>189</v>
      </c>
      <c r="J562" t="s">
        <v>258</v>
      </c>
      <c r="K562">
        <v>7.1788952535093509E-3</v>
      </c>
      <c r="L562" t="s">
        <v>168</v>
      </c>
      <c r="N562" t="s">
        <v>213</v>
      </c>
      <c r="O562" t="s">
        <v>258</v>
      </c>
      <c r="P562">
        <v>6.7029109163717362E-2</v>
      </c>
      <c r="Q562" t="s">
        <v>168</v>
      </c>
      <c r="S562" t="s">
        <v>232</v>
      </c>
      <c r="T562" t="s">
        <v>258</v>
      </c>
      <c r="U562">
        <v>7.5452404520284816E-2</v>
      </c>
      <c r="V562" t="s">
        <v>168</v>
      </c>
    </row>
    <row r="563" spans="9:22" x14ac:dyDescent="0.45">
      <c r="I563" t="s">
        <v>189</v>
      </c>
      <c r="J563" t="s">
        <v>171</v>
      </c>
      <c r="K563">
        <v>2.6728956012183332E-2</v>
      </c>
      <c r="L563" t="s">
        <v>168</v>
      </c>
      <c r="N563" t="s">
        <v>213</v>
      </c>
      <c r="O563" t="s">
        <v>171</v>
      </c>
      <c r="P563">
        <v>0.12840446153419605</v>
      </c>
      <c r="Q563" t="s">
        <v>168</v>
      </c>
      <c r="S563" t="s">
        <v>232</v>
      </c>
      <c r="T563" t="s">
        <v>171</v>
      </c>
      <c r="U563">
        <v>0.14424018220573259</v>
      </c>
      <c r="V563" t="s">
        <v>168</v>
      </c>
    </row>
    <row r="564" spans="9:22" x14ac:dyDescent="0.45">
      <c r="I564" t="s">
        <v>189</v>
      </c>
      <c r="J564" t="s">
        <v>172</v>
      </c>
      <c r="K564">
        <v>2.8567473637359748E-2</v>
      </c>
      <c r="L564" t="s">
        <v>168</v>
      </c>
      <c r="N564" t="s">
        <v>213</v>
      </c>
      <c r="O564" t="s">
        <v>172</v>
      </c>
      <c r="P564">
        <v>1.6154960814602916E-2</v>
      </c>
      <c r="Q564" t="s">
        <v>168</v>
      </c>
      <c r="S564" t="s">
        <v>232</v>
      </c>
      <c r="T564" t="s">
        <v>172</v>
      </c>
      <c r="U564">
        <v>1.7098030831351214E-2</v>
      </c>
      <c r="V564" t="s">
        <v>168</v>
      </c>
    </row>
    <row r="565" spans="9:22" x14ac:dyDescent="0.45">
      <c r="I565" t="s">
        <v>189</v>
      </c>
      <c r="J565" t="s">
        <v>173</v>
      </c>
      <c r="K565">
        <v>3.5149627470219387E-2</v>
      </c>
      <c r="L565" t="s">
        <v>168</v>
      </c>
      <c r="N565" t="s">
        <v>213</v>
      </c>
      <c r="O565" t="s">
        <v>173</v>
      </c>
      <c r="P565">
        <v>1.6986365085758442E-2</v>
      </c>
      <c r="Q565" t="s">
        <v>168</v>
      </c>
      <c r="S565" t="s">
        <v>232</v>
      </c>
      <c r="T565" t="s">
        <v>173</v>
      </c>
      <c r="U565">
        <v>1.6856151703760928E-2</v>
      </c>
      <c r="V565" t="s">
        <v>168</v>
      </c>
    </row>
    <row r="566" spans="9:22" x14ac:dyDescent="0.45">
      <c r="I566" t="s">
        <v>189</v>
      </c>
      <c r="J566" t="s">
        <v>259</v>
      </c>
      <c r="K566">
        <v>0.23736643576552013</v>
      </c>
      <c r="L566" t="s">
        <v>168</v>
      </c>
      <c r="N566" t="s">
        <v>213</v>
      </c>
      <c r="O566" t="s">
        <v>259</v>
      </c>
      <c r="P566">
        <v>0.11519952945983392</v>
      </c>
      <c r="Q566" t="s">
        <v>168</v>
      </c>
      <c r="S566" t="s">
        <v>232</v>
      </c>
      <c r="T566" t="s">
        <v>259</v>
      </c>
      <c r="U566">
        <v>0.10488150780087341</v>
      </c>
      <c r="V566" t="s">
        <v>168</v>
      </c>
    </row>
    <row r="567" spans="9:22" x14ac:dyDescent="0.45">
      <c r="I567" t="s">
        <v>189</v>
      </c>
      <c r="J567" t="s">
        <v>260</v>
      </c>
      <c r="K567">
        <v>3.3346936832707431E-2</v>
      </c>
      <c r="L567" t="s">
        <v>168</v>
      </c>
      <c r="N567" t="s">
        <v>213</v>
      </c>
      <c r="O567" t="s">
        <v>260</v>
      </c>
      <c r="P567">
        <v>2.2080253185445611E-2</v>
      </c>
      <c r="Q567" t="s">
        <v>168</v>
      </c>
      <c r="S567" t="s">
        <v>232</v>
      </c>
      <c r="T567" t="s">
        <v>260</v>
      </c>
      <c r="U567">
        <v>1.9636680244237564E-2</v>
      </c>
      <c r="V567" t="s">
        <v>168</v>
      </c>
    </row>
    <row r="568" spans="9:22" x14ac:dyDescent="0.45">
      <c r="I568" t="s">
        <v>189</v>
      </c>
      <c r="J568" t="s">
        <v>261</v>
      </c>
      <c r="K568">
        <v>5.1201288245365233E-2</v>
      </c>
      <c r="L568" t="s">
        <v>168</v>
      </c>
      <c r="N568" t="s">
        <v>213</v>
      </c>
      <c r="O568" t="s">
        <v>261</v>
      </c>
      <c r="P568">
        <v>0.13891120143771765</v>
      </c>
      <c r="Q568" t="s">
        <v>168</v>
      </c>
      <c r="S568" t="s">
        <v>232</v>
      </c>
      <c r="T568" t="s">
        <v>261</v>
      </c>
      <c r="U568">
        <v>0.13132097484050617</v>
      </c>
      <c r="V568" t="s">
        <v>168</v>
      </c>
    </row>
    <row r="569" spans="9:22" x14ac:dyDescent="0.45">
      <c r="I569" t="s">
        <v>189</v>
      </c>
      <c r="J569" t="s">
        <v>174</v>
      </c>
      <c r="K569">
        <v>9.3630787778839278E-3</v>
      </c>
      <c r="L569" t="s">
        <v>168</v>
      </c>
      <c r="N569" t="s">
        <v>213</v>
      </c>
      <c r="O569" t="s">
        <v>174</v>
      </c>
      <c r="P569">
        <v>3.1693275657749521E-3</v>
      </c>
      <c r="Q569" t="s">
        <v>168</v>
      </c>
      <c r="S569" t="s">
        <v>232</v>
      </c>
      <c r="T569" t="s">
        <v>174</v>
      </c>
      <c r="U569">
        <v>2.857923057369352E-3</v>
      </c>
      <c r="V569" t="s">
        <v>168</v>
      </c>
    </row>
    <row r="570" spans="9:22" x14ac:dyDescent="0.45">
      <c r="I570" t="s">
        <v>189</v>
      </c>
      <c r="J570" t="s">
        <v>175</v>
      </c>
      <c r="K570">
        <v>8.2492930869931605E-3</v>
      </c>
      <c r="L570" t="s">
        <v>168</v>
      </c>
      <c r="N570" t="s">
        <v>213</v>
      </c>
      <c r="O570" t="s">
        <v>175</v>
      </c>
      <c r="P570">
        <v>3.0766474775935652E-4</v>
      </c>
      <c r="Q570" t="s">
        <v>168</v>
      </c>
      <c r="S570" t="s">
        <v>232</v>
      </c>
      <c r="T570" t="s">
        <v>175</v>
      </c>
      <c r="U570">
        <v>4.275249551348817E-4</v>
      </c>
      <c r="V570" t="s">
        <v>168</v>
      </c>
    </row>
    <row r="571" spans="9:22" x14ac:dyDescent="0.45">
      <c r="I571" t="s">
        <v>189</v>
      </c>
      <c r="J571" t="s">
        <v>176</v>
      </c>
      <c r="K571">
        <v>9.727954468050597E-3</v>
      </c>
      <c r="L571" t="s">
        <v>168</v>
      </c>
      <c r="N571" t="s">
        <v>213</v>
      </c>
      <c r="O571" t="s">
        <v>176</v>
      </c>
      <c r="P571">
        <v>2.976717201342097E-4</v>
      </c>
      <c r="Q571" t="s">
        <v>168</v>
      </c>
      <c r="S571" t="s">
        <v>232</v>
      </c>
      <c r="T571" t="s">
        <v>176</v>
      </c>
      <c r="U571">
        <v>4.5406716774037102E-4</v>
      </c>
      <c r="V571" t="s">
        <v>168</v>
      </c>
    </row>
    <row r="572" spans="9:22" x14ac:dyDescent="0.45">
      <c r="I572" t="s">
        <v>189</v>
      </c>
      <c r="J572" t="s">
        <v>262</v>
      </c>
      <c r="K572">
        <v>6.3462802013027245E-2</v>
      </c>
      <c r="L572" t="s">
        <v>168</v>
      </c>
      <c r="N572" t="s">
        <v>213</v>
      </c>
      <c r="O572" t="s">
        <v>262</v>
      </c>
      <c r="P572">
        <v>6.2448815277735079E-3</v>
      </c>
      <c r="Q572" t="s">
        <v>168</v>
      </c>
      <c r="S572" t="s">
        <v>232</v>
      </c>
      <c r="T572" t="s">
        <v>262</v>
      </c>
      <c r="U572">
        <v>3.2371667701200282E-3</v>
      </c>
      <c r="V572" t="s">
        <v>168</v>
      </c>
    </row>
    <row r="573" spans="9:22" x14ac:dyDescent="0.45">
      <c r="I573" t="s">
        <v>189</v>
      </c>
      <c r="J573" t="s">
        <v>263</v>
      </c>
      <c r="K573">
        <v>9.0978168701722206E-3</v>
      </c>
      <c r="L573" t="s">
        <v>168</v>
      </c>
      <c r="N573" t="s">
        <v>213</v>
      </c>
      <c r="O573" t="s">
        <v>263</v>
      </c>
      <c r="P573">
        <v>2.5550962323635457E-3</v>
      </c>
      <c r="Q573" t="s">
        <v>168</v>
      </c>
      <c r="S573" t="s">
        <v>232</v>
      </c>
      <c r="T573" t="s">
        <v>263</v>
      </c>
      <c r="U573">
        <v>8.6372341012353729E-4</v>
      </c>
      <c r="V573" t="s">
        <v>168</v>
      </c>
    </row>
    <row r="574" spans="9:22" x14ac:dyDescent="0.45">
      <c r="I574" t="s">
        <v>189</v>
      </c>
      <c r="J574" t="s">
        <v>264</v>
      </c>
      <c r="K574">
        <v>1.6531525451771143E-2</v>
      </c>
      <c r="L574" t="s">
        <v>168</v>
      </c>
      <c r="N574" t="s">
        <v>213</v>
      </c>
      <c r="O574" t="s">
        <v>264</v>
      </c>
      <c r="P574">
        <v>1.1756534819839414E-2</v>
      </c>
      <c r="Q574" t="s">
        <v>168</v>
      </c>
      <c r="S574" t="s">
        <v>232</v>
      </c>
      <c r="T574" t="s">
        <v>264</v>
      </c>
      <c r="U574">
        <v>4.7662611434446129E-3</v>
      </c>
      <c r="V574" t="s">
        <v>168</v>
      </c>
    </row>
    <row r="575" spans="9:22" x14ac:dyDescent="0.45">
      <c r="I575" t="s">
        <v>189</v>
      </c>
      <c r="J575" t="s">
        <v>265</v>
      </c>
      <c r="K575">
        <v>7.8576503953387625E-3</v>
      </c>
      <c r="L575" t="s">
        <v>168</v>
      </c>
      <c r="N575" t="s">
        <v>213</v>
      </c>
      <c r="O575" t="s">
        <v>265</v>
      </c>
      <c r="P575">
        <v>5.6475040438410647E-3</v>
      </c>
      <c r="Q575" t="s">
        <v>168</v>
      </c>
      <c r="S575" t="s">
        <v>232</v>
      </c>
      <c r="T575" t="s">
        <v>265</v>
      </c>
      <c r="U575">
        <v>7.3363425120903459E-3</v>
      </c>
      <c r="V575" t="s">
        <v>168</v>
      </c>
    </row>
    <row r="576" spans="9:22" x14ac:dyDescent="0.45">
      <c r="I576" t="s">
        <v>189</v>
      </c>
      <c r="J576" t="s">
        <v>266</v>
      </c>
      <c r="K576">
        <v>7.8994785425936034E-3</v>
      </c>
      <c r="L576" t="s">
        <v>168</v>
      </c>
      <c r="N576" t="s">
        <v>213</v>
      </c>
      <c r="O576" t="s">
        <v>266</v>
      </c>
      <c r="P576">
        <v>5.8076224779890712E-4</v>
      </c>
      <c r="Q576" t="s">
        <v>168</v>
      </c>
      <c r="S576" t="s">
        <v>232</v>
      </c>
      <c r="T576" t="s">
        <v>266</v>
      </c>
      <c r="U576">
        <v>8.9111575085547626E-4</v>
      </c>
      <c r="V576" t="s">
        <v>168</v>
      </c>
    </row>
    <row r="577" spans="9:22" x14ac:dyDescent="0.45">
      <c r="I577" t="s">
        <v>189</v>
      </c>
      <c r="J577" t="s">
        <v>267</v>
      </c>
      <c r="K577">
        <v>9.3591573125811154E-3</v>
      </c>
      <c r="L577" t="s">
        <v>168</v>
      </c>
      <c r="N577" t="s">
        <v>213</v>
      </c>
      <c r="O577" t="s">
        <v>267</v>
      </c>
      <c r="P577">
        <v>6.0663310252377905E-4</v>
      </c>
      <c r="Q577" t="s">
        <v>168</v>
      </c>
      <c r="S577" t="s">
        <v>232</v>
      </c>
      <c r="T577" t="s">
        <v>267</v>
      </c>
      <c r="U577">
        <v>8.5667843611264972E-4</v>
      </c>
      <c r="V577" t="s">
        <v>168</v>
      </c>
    </row>
    <row r="578" spans="9:22" x14ac:dyDescent="0.45">
      <c r="I578" t="s">
        <v>189</v>
      </c>
      <c r="J578" t="s">
        <v>268</v>
      </c>
      <c r="K578">
        <v>6.120750768722763E-2</v>
      </c>
      <c r="L578" t="s">
        <v>168</v>
      </c>
      <c r="N578" t="s">
        <v>213</v>
      </c>
      <c r="O578" t="s">
        <v>268</v>
      </c>
      <c r="P578">
        <v>6.984760080809802E-3</v>
      </c>
      <c r="Q578" t="s">
        <v>168</v>
      </c>
      <c r="S578" t="s">
        <v>232</v>
      </c>
      <c r="T578" t="s">
        <v>268</v>
      </c>
      <c r="U578">
        <v>7.2015786734099104E-3</v>
      </c>
      <c r="V578" t="s">
        <v>168</v>
      </c>
    </row>
    <row r="579" spans="9:22" x14ac:dyDescent="0.45">
      <c r="I579" t="s">
        <v>189</v>
      </c>
      <c r="J579" t="s">
        <v>269</v>
      </c>
      <c r="K579">
        <v>8.4135316721841037E-3</v>
      </c>
      <c r="L579" t="s">
        <v>168</v>
      </c>
      <c r="N579" t="s">
        <v>213</v>
      </c>
      <c r="O579" t="s">
        <v>269</v>
      </c>
      <c r="P579">
        <v>2.5072894685815366E-3</v>
      </c>
      <c r="Q579" t="s">
        <v>168</v>
      </c>
      <c r="S579" t="s">
        <v>232</v>
      </c>
      <c r="T579" t="s">
        <v>269</v>
      </c>
      <c r="U579">
        <v>1.5002310829499476E-3</v>
      </c>
      <c r="V579" t="s">
        <v>168</v>
      </c>
    </row>
    <row r="580" spans="9:22" x14ac:dyDescent="0.45">
      <c r="I580" t="s">
        <v>189</v>
      </c>
      <c r="J580" t="s">
        <v>270</v>
      </c>
      <c r="K580">
        <v>1.368945113712719E-2</v>
      </c>
      <c r="L580" t="s">
        <v>168</v>
      </c>
      <c r="N580" t="s">
        <v>213</v>
      </c>
      <c r="O580" t="s">
        <v>270</v>
      </c>
      <c r="P580">
        <v>1.1848509213980708E-2</v>
      </c>
      <c r="Q580" t="s">
        <v>168</v>
      </c>
      <c r="S580" t="s">
        <v>232</v>
      </c>
      <c r="T580" t="s">
        <v>270</v>
      </c>
      <c r="U580">
        <v>6.7940561455675386E-3</v>
      </c>
      <c r="V580" t="s">
        <v>168</v>
      </c>
    </row>
    <row r="581" spans="9:22" x14ac:dyDescent="0.45">
      <c r="I581" t="s">
        <v>189</v>
      </c>
      <c r="J581" t="s">
        <v>271</v>
      </c>
      <c r="K581">
        <v>3.8396716448789343E-3</v>
      </c>
      <c r="L581" t="s">
        <v>168</v>
      </c>
      <c r="N581" t="s">
        <v>213</v>
      </c>
      <c r="O581" t="s">
        <v>271</v>
      </c>
      <c r="P581">
        <v>1.3599113006457577E-2</v>
      </c>
      <c r="Q581" t="s">
        <v>168</v>
      </c>
      <c r="S581" t="s">
        <v>232</v>
      </c>
      <c r="T581" t="s">
        <v>271</v>
      </c>
      <c r="U581">
        <v>1.4897910398333099E-2</v>
      </c>
      <c r="V581" t="s">
        <v>168</v>
      </c>
    </row>
    <row r="582" spans="9:22" x14ac:dyDescent="0.45">
      <c r="I582" t="s">
        <v>189</v>
      </c>
      <c r="J582" t="s">
        <v>272</v>
      </c>
      <c r="K582">
        <v>6.3138935675666214E-3</v>
      </c>
      <c r="L582" t="s">
        <v>168</v>
      </c>
      <c r="N582" t="s">
        <v>213</v>
      </c>
      <c r="O582" t="s">
        <v>272</v>
      </c>
      <c r="P582">
        <v>1.6808949632809605E-3</v>
      </c>
      <c r="Q582" t="s">
        <v>168</v>
      </c>
      <c r="S582" t="s">
        <v>232</v>
      </c>
      <c r="T582" t="s">
        <v>272</v>
      </c>
      <c r="U582">
        <v>1.9153739526947796E-3</v>
      </c>
      <c r="V582" t="s">
        <v>168</v>
      </c>
    </row>
    <row r="583" spans="9:22" x14ac:dyDescent="0.45">
      <c r="I583" t="s">
        <v>189</v>
      </c>
      <c r="J583" t="s">
        <v>273</v>
      </c>
      <c r="K583">
        <v>7.9095547704078391E-3</v>
      </c>
      <c r="L583" t="s">
        <v>168</v>
      </c>
      <c r="N583" t="s">
        <v>213</v>
      </c>
      <c r="O583" t="s">
        <v>273</v>
      </c>
      <c r="P583">
        <v>1.7760985516810711E-3</v>
      </c>
      <c r="Q583" t="s">
        <v>168</v>
      </c>
      <c r="S583" t="s">
        <v>232</v>
      </c>
      <c r="T583" t="s">
        <v>273</v>
      </c>
      <c r="U583">
        <v>1.8302349868440314E-3</v>
      </c>
      <c r="V583" t="s">
        <v>168</v>
      </c>
    </row>
    <row r="584" spans="9:22" x14ac:dyDescent="0.45">
      <c r="I584" t="s">
        <v>189</v>
      </c>
      <c r="J584" t="s">
        <v>274</v>
      </c>
      <c r="K584">
        <v>5.2544943695521519E-2</v>
      </c>
      <c r="L584" t="s">
        <v>168</v>
      </c>
      <c r="N584" t="s">
        <v>213</v>
      </c>
      <c r="O584" t="s">
        <v>274</v>
      </c>
      <c r="P584">
        <v>1.3791175774711631E-2</v>
      </c>
      <c r="Q584" t="s">
        <v>168</v>
      </c>
      <c r="S584" t="s">
        <v>232</v>
      </c>
      <c r="T584" t="s">
        <v>274</v>
      </c>
      <c r="U584">
        <v>1.3126996648535267E-2</v>
      </c>
      <c r="V584" t="s">
        <v>168</v>
      </c>
    </row>
    <row r="585" spans="9:22" x14ac:dyDescent="0.45">
      <c r="I585" t="s">
        <v>189</v>
      </c>
      <c r="J585" t="s">
        <v>275</v>
      </c>
      <c r="K585">
        <v>7.0623833509499516E-3</v>
      </c>
      <c r="L585" t="s">
        <v>168</v>
      </c>
      <c r="N585" t="s">
        <v>213</v>
      </c>
      <c r="O585" t="s">
        <v>275</v>
      </c>
      <c r="P585">
        <v>3.1246324385167516E-3</v>
      </c>
      <c r="Q585" t="s">
        <v>168</v>
      </c>
      <c r="S585" t="s">
        <v>232</v>
      </c>
      <c r="T585" t="s">
        <v>275</v>
      </c>
      <c r="U585">
        <v>2.2594026975173518E-3</v>
      </c>
      <c r="V585" t="s">
        <v>168</v>
      </c>
    </row>
    <row r="586" spans="9:22" x14ac:dyDescent="0.45">
      <c r="I586" t="s">
        <v>189</v>
      </c>
      <c r="J586" t="s">
        <v>276</v>
      </c>
      <c r="K586">
        <v>7.9298936232686801E-3</v>
      </c>
      <c r="L586" t="s">
        <v>168</v>
      </c>
      <c r="N586" t="s">
        <v>213</v>
      </c>
      <c r="O586" t="s">
        <v>276</v>
      </c>
      <c r="P586">
        <v>1.6281767822455363E-2</v>
      </c>
      <c r="Q586" t="s">
        <v>168</v>
      </c>
      <c r="S586" t="s">
        <v>232</v>
      </c>
      <c r="T586" t="s">
        <v>276</v>
      </c>
      <c r="U586">
        <v>1.1731478292705759E-2</v>
      </c>
      <c r="V586" t="s">
        <v>168</v>
      </c>
    </row>
    <row r="587" spans="9:22" x14ac:dyDescent="0.45">
      <c r="I587" t="s">
        <v>189</v>
      </c>
      <c r="J587" t="s">
        <v>277</v>
      </c>
      <c r="K587">
        <v>2.7470272421768142E-3</v>
      </c>
      <c r="L587" t="s">
        <v>168</v>
      </c>
      <c r="N587" t="s">
        <v>213</v>
      </c>
      <c r="O587" t="s">
        <v>277</v>
      </c>
      <c r="P587">
        <v>5.8985904877860172E-2</v>
      </c>
      <c r="Q587" t="s">
        <v>168</v>
      </c>
      <c r="S587" t="s">
        <v>232</v>
      </c>
      <c r="T587" t="s">
        <v>277</v>
      </c>
      <c r="U587">
        <v>5.2733628294368826E-2</v>
      </c>
      <c r="V587" t="s">
        <v>168</v>
      </c>
    </row>
    <row r="588" spans="9:22" x14ac:dyDescent="0.45">
      <c r="I588" t="s">
        <v>189</v>
      </c>
      <c r="J588" t="s">
        <v>278</v>
      </c>
      <c r="K588">
        <v>8.3889972001734113E-3</v>
      </c>
      <c r="L588" t="s">
        <v>168</v>
      </c>
      <c r="N588" t="s">
        <v>213</v>
      </c>
      <c r="O588" t="s">
        <v>278</v>
      </c>
      <c r="P588">
        <v>7.0483583653756223E-3</v>
      </c>
      <c r="Q588" t="s">
        <v>168</v>
      </c>
      <c r="S588" t="s">
        <v>232</v>
      </c>
      <c r="T588" t="s">
        <v>278</v>
      </c>
      <c r="U588">
        <v>6.4776474660589896E-3</v>
      </c>
      <c r="V588" t="s">
        <v>168</v>
      </c>
    </row>
    <row r="589" spans="9:22" x14ac:dyDescent="0.45">
      <c r="I589" t="s">
        <v>189</v>
      </c>
      <c r="J589" t="s">
        <v>279</v>
      </c>
      <c r="K589">
        <v>1.2367243494184159E-2</v>
      </c>
      <c r="L589" t="s">
        <v>168</v>
      </c>
      <c r="N589" t="s">
        <v>213</v>
      </c>
      <c r="O589" t="s">
        <v>279</v>
      </c>
      <c r="P589">
        <v>6.9009624300717795E-3</v>
      </c>
      <c r="Q589" t="s">
        <v>168</v>
      </c>
      <c r="S589" t="s">
        <v>232</v>
      </c>
      <c r="T589" t="s">
        <v>279</v>
      </c>
      <c r="U589">
        <v>6.4164449529876492E-3</v>
      </c>
      <c r="V589" t="s">
        <v>168</v>
      </c>
    </row>
    <row r="590" spans="9:22" x14ac:dyDescent="0.45">
      <c r="I590" t="s">
        <v>189</v>
      </c>
      <c r="J590" t="s">
        <v>280</v>
      </c>
      <c r="K590">
        <v>8.2441240710138142E-2</v>
      </c>
      <c r="L590" t="s">
        <v>168</v>
      </c>
      <c r="N590" t="s">
        <v>213</v>
      </c>
      <c r="O590" t="s">
        <v>280</v>
      </c>
      <c r="P590">
        <v>4.2253844099883218E-2</v>
      </c>
      <c r="Q590" t="s">
        <v>168</v>
      </c>
      <c r="S590" t="s">
        <v>232</v>
      </c>
      <c r="T590" t="s">
        <v>280</v>
      </c>
      <c r="U590">
        <v>3.9699498577151722E-2</v>
      </c>
      <c r="V590" t="s">
        <v>168</v>
      </c>
    </row>
    <row r="591" spans="9:22" x14ac:dyDescent="0.45">
      <c r="I591" t="s">
        <v>189</v>
      </c>
      <c r="J591" t="s">
        <v>281</v>
      </c>
      <c r="K591">
        <v>9.4195223085389249E-3</v>
      </c>
      <c r="L591" t="s">
        <v>168</v>
      </c>
      <c r="N591" t="s">
        <v>213</v>
      </c>
      <c r="O591" t="s">
        <v>281</v>
      </c>
      <c r="P591">
        <v>7.8909955677199158E-3</v>
      </c>
      <c r="Q591" t="s">
        <v>168</v>
      </c>
      <c r="S591" t="s">
        <v>232</v>
      </c>
      <c r="T591" t="s">
        <v>281</v>
      </c>
      <c r="U591">
        <v>6.9561052388949236E-3</v>
      </c>
      <c r="V591" t="s">
        <v>168</v>
      </c>
    </row>
    <row r="592" spans="9:22" x14ac:dyDescent="0.45">
      <c r="I592" t="s">
        <v>189</v>
      </c>
      <c r="J592" t="s">
        <v>282</v>
      </c>
      <c r="K592">
        <v>4.6803943252238991E-3</v>
      </c>
      <c r="L592" t="s">
        <v>168</v>
      </c>
      <c r="N592" t="s">
        <v>213</v>
      </c>
      <c r="O592" t="s">
        <v>282</v>
      </c>
      <c r="P592">
        <v>5.9138246099530847E-2</v>
      </c>
      <c r="Q592" t="s">
        <v>168</v>
      </c>
      <c r="S592" t="s">
        <v>232</v>
      </c>
      <c r="T592" t="s">
        <v>282</v>
      </c>
      <c r="U592">
        <v>4.6372331758068507E-2</v>
      </c>
      <c r="V592" t="s">
        <v>168</v>
      </c>
    </row>
    <row r="593" spans="9:22" x14ac:dyDescent="0.45">
      <c r="I593" t="s">
        <v>189</v>
      </c>
      <c r="J593" t="s">
        <v>283</v>
      </c>
      <c r="K593">
        <v>0</v>
      </c>
      <c r="L593" t="s">
        <v>168</v>
      </c>
      <c r="N593" t="s">
        <v>213</v>
      </c>
      <c r="O593" t="s">
        <v>283</v>
      </c>
      <c r="P593">
        <v>2.455849790431841E-2</v>
      </c>
      <c r="Q593" t="s">
        <v>168</v>
      </c>
      <c r="S593" t="s">
        <v>232</v>
      </c>
      <c r="T593" t="s">
        <v>283</v>
      </c>
      <c r="U593">
        <v>2.0544318811690089E-2</v>
      </c>
      <c r="V593" t="s">
        <v>168</v>
      </c>
    </row>
    <row r="594" spans="9:22" x14ac:dyDescent="0.45">
      <c r="I594" t="s">
        <v>189</v>
      </c>
      <c r="J594" t="s">
        <v>284</v>
      </c>
      <c r="K594">
        <v>2.505706758567954E-3</v>
      </c>
      <c r="L594" t="s">
        <v>168</v>
      </c>
      <c r="N594" t="s">
        <v>213</v>
      </c>
      <c r="O594" t="s">
        <v>284</v>
      </c>
      <c r="P594">
        <v>3.0388280701180883E-3</v>
      </c>
      <c r="Q594" t="s">
        <v>168</v>
      </c>
      <c r="S594" t="s">
        <v>232</v>
      </c>
      <c r="T594" t="s">
        <v>284</v>
      </c>
      <c r="U594">
        <v>2.3552369402097895E-3</v>
      </c>
      <c r="V594" t="s">
        <v>168</v>
      </c>
    </row>
    <row r="595" spans="9:22" x14ac:dyDescent="0.45">
      <c r="I595" t="s">
        <v>189</v>
      </c>
      <c r="J595" t="s">
        <v>285</v>
      </c>
      <c r="K595">
        <v>4.6083393335465545E-3</v>
      </c>
      <c r="L595" t="s">
        <v>168</v>
      </c>
      <c r="N595" t="s">
        <v>213</v>
      </c>
      <c r="O595" t="s">
        <v>285</v>
      </c>
      <c r="P595">
        <v>2.9718204237793723E-3</v>
      </c>
      <c r="Q595" t="s">
        <v>168</v>
      </c>
      <c r="S595" t="s">
        <v>232</v>
      </c>
      <c r="T595" t="s">
        <v>285</v>
      </c>
      <c r="U595">
        <v>2.2899338562692132E-3</v>
      </c>
      <c r="V595" t="s">
        <v>168</v>
      </c>
    </row>
    <row r="596" spans="9:22" x14ac:dyDescent="0.45">
      <c r="I596" t="s">
        <v>189</v>
      </c>
      <c r="J596" t="s">
        <v>286</v>
      </c>
      <c r="K596">
        <v>3.5302114632316806E-2</v>
      </c>
      <c r="L596" t="s">
        <v>168</v>
      </c>
      <c r="N596" t="s">
        <v>213</v>
      </c>
      <c r="O596" t="s">
        <v>286</v>
      </c>
      <c r="P596">
        <v>1.6612989039724822E-2</v>
      </c>
      <c r="Q596" t="s">
        <v>168</v>
      </c>
      <c r="S596" t="s">
        <v>232</v>
      </c>
      <c r="T596" t="s">
        <v>286</v>
      </c>
      <c r="U596">
        <v>1.3546228435731132E-2</v>
      </c>
      <c r="V596" t="s">
        <v>168</v>
      </c>
    </row>
    <row r="597" spans="9:22" x14ac:dyDescent="0.45">
      <c r="I597" t="s">
        <v>189</v>
      </c>
      <c r="J597" t="s">
        <v>287</v>
      </c>
      <c r="K597">
        <v>3.4935162059479149E-3</v>
      </c>
      <c r="L597" t="s">
        <v>168</v>
      </c>
      <c r="N597" t="s">
        <v>213</v>
      </c>
      <c r="O597" t="s">
        <v>287</v>
      </c>
      <c r="P597">
        <v>2.6876651093505391E-3</v>
      </c>
      <c r="Q597" t="s">
        <v>168</v>
      </c>
      <c r="S597" t="s">
        <v>232</v>
      </c>
      <c r="T597" t="s">
        <v>287</v>
      </c>
      <c r="U597">
        <v>2.2280992657963839E-3</v>
      </c>
      <c r="V597" t="s">
        <v>168</v>
      </c>
    </row>
    <row r="598" spans="9:22" x14ac:dyDescent="0.45">
      <c r="I598" t="s">
        <v>189</v>
      </c>
      <c r="J598" t="s">
        <v>288</v>
      </c>
      <c r="K598">
        <v>1.5038032081835976E-4</v>
      </c>
      <c r="L598" t="s">
        <v>168</v>
      </c>
      <c r="N598" t="s">
        <v>213</v>
      </c>
      <c r="O598" t="s">
        <v>288</v>
      </c>
      <c r="P598">
        <v>1.7638140117251903E-2</v>
      </c>
      <c r="Q598" t="s">
        <v>168</v>
      </c>
      <c r="S598" t="s">
        <v>232</v>
      </c>
      <c r="T598" t="s">
        <v>288</v>
      </c>
      <c r="U598">
        <v>1.5311297060940076E-2</v>
      </c>
      <c r="V598" t="s">
        <v>168</v>
      </c>
    </row>
    <row r="599" spans="9:22" x14ac:dyDescent="0.45">
      <c r="I599" t="s">
        <v>190</v>
      </c>
      <c r="J599" t="s">
        <v>167</v>
      </c>
      <c r="K599">
        <v>0</v>
      </c>
      <c r="L599" t="s">
        <v>168</v>
      </c>
      <c r="N599" t="s">
        <v>214</v>
      </c>
      <c r="O599" t="s">
        <v>167</v>
      </c>
      <c r="P599">
        <v>7.6129805188991248E-2</v>
      </c>
      <c r="Q599" t="s">
        <v>168</v>
      </c>
      <c r="S599" t="s">
        <v>233</v>
      </c>
      <c r="T599" t="s">
        <v>167</v>
      </c>
      <c r="U599">
        <v>8.0333282983695853E-2</v>
      </c>
      <c r="V599" t="s">
        <v>168</v>
      </c>
    </row>
    <row r="600" spans="9:22" x14ac:dyDescent="0.45">
      <c r="I600" t="s">
        <v>190</v>
      </c>
      <c r="J600" t="s">
        <v>169</v>
      </c>
      <c r="K600">
        <v>5.4390947707566679E-3</v>
      </c>
      <c r="L600" t="s">
        <v>168</v>
      </c>
      <c r="N600" t="s">
        <v>214</v>
      </c>
      <c r="O600" t="s">
        <v>169</v>
      </c>
      <c r="P600">
        <v>9.3033798860237774E-3</v>
      </c>
      <c r="Q600" t="s">
        <v>168</v>
      </c>
      <c r="S600" t="s">
        <v>233</v>
      </c>
      <c r="T600" t="s">
        <v>169</v>
      </c>
      <c r="U600">
        <v>1.0474734447556311E-2</v>
      </c>
      <c r="V600" t="s">
        <v>168</v>
      </c>
    </row>
    <row r="601" spans="9:22" x14ac:dyDescent="0.45">
      <c r="I601" t="s">
        <v>190</v>
      </c>
      <c r="J601" t="s">
        <v>170</v>
      </c>
      <c r="K601">
        <v>9.6915559562359751E-3</v>
      </c>
      <c r="L601" t="s">
        <v>168</v>
      </c>
      <c r="N601" t="s">
        <v>214</v>
      </c>
      <c r="O601" t="s">
        <v>170</v>
      </c>
      <c r="P601">
        <v>9.4106361249893071E-3</v>
      </c>
      <c r="Q601" t="s">
        <v>168</v>
      </c>
      <c r="S601" t="s">
        <v>233</v>
      </c>
      <c r="T601" t="s">
        <v>170</v>
      </c>
      <c r="U601">
        <v>1.04130334506697E-2</v>
      </c>
      <c r="V601" t="s">
        <v>168</v>
      </c>
    </row>
    <row r="602" spans="9:22" x14ac:dyDescent="0.45">
      <c r="I602" t="s">
        <v>190</v>
      </c>
      <c r="J602" t="s">
        <v>256</v>
      </c>
      <c r="K602">
        <v>7.6446208824490144E-2</v>
      </c>
      <c r="L602" t="s">
        <v>168</v>
      </c>
      <c r="N602" t="s">
        <v>214</v>
      </c>
      <c r="O602" t="s">
        <v>256</v>
      </c>
      <c r="P602">
        <v>6.1169202064261533E-2</v>
      </c>
      <c r="Q602" t="s">
        <v>168</v>
      </c>
      <c r="S602" t="s">
        <v>233</v>
      </c>
      <c r="T602" t="s">
        <v>256</v>
      </c>
      <c r="U602">
        <v>6.0841799808246895E-2</v>
      </c>
      <c r="V602" t="s">
        <v>168</v>
      </c>
    </row>
    <row r="603" spans="9:22" x14ac:dyDescent="0.45">
      <c r="I603" t="s">
        <v>190</v>
      </c>
      <c r="J603" t="s">
        <v>257</v>
      </c>
      <c r="K603">
        <v>9.2783734536730569E-3</v>
      </c>
      <c r="L603" t="s">
        <v>168</v>
      </c>
      <c r="N603" t="s">
        <v>214</v>
      </c>
      <c r="O603" t="s">
        <v>257</v>
      </c>
      <c r="P603">
        <v>9.9308163002067348E-3</v>
      </c>
      <c r="Q603" t="s">
        <v>168</v>
      </c>
      <c r="S603" t="s">
        <v>233</v>
      </c>
      <c r="T603" t="s">
        <v>257</v>
      </c>
      <c r="U603">
        <v>9.8052289351975401E-3</v>
      </c>
      <c r="V603" t="s">
        <v>168</v>
      </c>
    </row>
    <row r="604" spans="9:22" x14ac:dyDescent="0.45">
      <c r="I604" t="s">
        <v>190</v>
      </c>
      <c r="J604" t="s">
        <v>258</v>
      </c>
      <c r="K604">
        <v>4.55843227993804E-3</v>
      </c>
      <c r="L604" t="s">
        <v>168</v>
      </c>
      <c r="N604" t="s">
        <v>214</v>
      </c>
      <c r="O604" t="s">
        <v>258</v>
      </c>
      <c r="P604">
        <v>6.745802486541852E-2</v>
      </c>
      <c r="Q604" t="s">
        <v>168</v>
      </c>
      <c r="S604" t="s">
        <v>233</v>
      </c>
      <c r="T604" t="s">
        <v>258</v>
      </c>
      <c r="U604">
        <v>6.5506053703533074E-2</v>
      </c>
      <c r="V604" t="s">
        <v>168</v>
      </c>
    </row>
    <row r="605" spans="9:22" x14ac:dyDescent="0.45">
      <c r="I605" t="s">
        <v>190</v>
      </c>
      <c r="J605" t="s">
        <v>171</v>
      </c>
      <c r="K605">
        <v>3.1542878233474361E-2</v>
      </c>
      <c r="L605" t="s">
        <v>168</v>
      </c>
      <c r="N605" t="s">
        <v>214</v>
      </c>
      <c r="O605" t="s">
        <v>171</v>
      </c>
      <c r="P605">
        <v>0.1220913382991923</v>
      </c>
      <c r="Q605" t="s">
        <v>168</v>
      </c>
      <c r="S605" t="s">
        <v>233</v>
      </c>
      <c r="T605" t="s">
        <v>171</v>
      </c>
      <c r="U605">
        <v>0.13866544422185778</v>
      </c>
      <c r="V605" t="s">
        <v>168</v>
      </c>
    </row>
    <row r="606" spans="9:22" x14ac:dyDescent="0.45">
      <c r="I606" t="s">
        <v>190</v>
      </c>
      <c r="J606" t="s">
        <v>172</v>
      </c>
      <c r="K606">
        <v>2.9414519159393193E-2</v>
      </c>
      <c r="L606" t="s">
        <v>168</v>
      </c>
      <c r="N606" t="s">
        <v>214</v>
      </c>
      <c r="O606" t="s">
        <v>172</v>
      </c>
      <c r="P606">
        <v>1.5458571545858092E-2</v>
      </c>
      <c r="Q606" t="s">
        <v>168</v>
      </c>
      <c r="S606" t="s">
        <v>233</v>
      </c>
      <c r="T606" t="s">
        <v>172</v>
      </c>
      <c r="U606">
        <v>1.5913332065784699E-2</v>
      </c>
      <c r="V606" t="s">
        <v>168</v>
      </c>
    </row>
    <row r="607" spans="9:22" x14ac:dyDescent="0.45">
      <c r="I607" t="s">
        <v>190</v>
      </c>
      <c r="J607" t="s">
        <v>173</v>
      </c>
      <c r="K607">
        <v>3.5498408556822431E-2</v>
      </c>
      <c r="L607" t="s">
        <v>168</v>
      </c>
      <c r="N607" t="s">
        <v>214</v>
      </c>
      <c r="O607" t="s">
        <v>173</v>
      </c>
      <c r="P607">
        <v>1.606851130899891E-2</v>
      </c>
      <c r="Q607" t="s">
        <v>168</v>
      </c>
      <c r="S607" t="s">
        <v>233</v>
      </c>
      <c r="T607" t="s">
        <v>173</v>
      </c>
      <c r="U607">
        <v>1.5785982255415582E-2</v>
      </c>
      <c r="V607" t="s">
        <v>168</v>
      </c>
    </row>
    <row r="608" spans="9:22" x14ac:dyDescent="0.45">
      <c r="I608" t="s">
        <v>190</v>
      </c>
      <c r="J608" t="s">
        <v>259</v>
      </c>
      <c r="K608">
        <v>0.23575251306692285</v>
      </c>
      <c r="L608" t="s">
        <v>168</v>
      </c>
      <c r="N608" t="s">
        <v>214</v>
      </c>
      <c r="O608" t="s">
        <v>259</v>
      </c>
      <c r="P608">
        <v>0.10881763658373408</v>
      </c>
      <c r="Q608" t="s">
        <v>168</v>
      </c>
      <c r="S608" t="s">
        <v>233</v>
      </c>
      <c r="T608" t="s">
        <v>259</v>
      </c>
      <c r="U608">
        <v>9.7127597321856982E-2</v>
      </c>
      <c r="V608" t="s">
        <v>168</v>
      </c>
    </row>
    <row r="609" spans="9:22" x14ac:dyDescent="0.45">
      <c r="I609" t="s">
        <v>190</v>
      </c>
      <c r="J609" t="s">
        <v>260</v>
      </c>
      <c r="K609">
        <v>3.3222846773086782E-2</v>
      </c>
      <c r="L609" t="s">
        <v>168</v>
      </c>
      <c r="N609" t="s">
        <v>214</v>
      </c>
      <c r="O609" t="s">
        <v>260</v>
      </c>
      <c r="P609">
        <v>1.9264499893194845E-2</v>
      </c>
      <c r="Q609" t="s">
        <v>168</v>
      </c>
      <c r="S609" t="s">
        <v>233</v>
      </c>
      <c r="T609" t="s">
        <v>260</v>
      </c>
      <c r="U609">
        <v>1.7482045798959438E-2</v>
      </c>
      <c r="V609" t="s">
        <v>168</v>
      </c>
    </row>
    <row r="610" spans="9:22" x14ac:dyDescent="0.45">
      <c r="I610" t="s">
        <v>190</v>
      </c>
      <c r="J610" t="s">
        <v>261</v>
      </c>
      <c r="K610">
        <v>4.9377666139811663E-2</v>
      </c>
      <c r="L610" t="s">
        <v>168</v>
      </c>
      <c r="N610" t="s">
        <v>214</v>
      </c>
      <c r="O610" t="s">
        <v>261</v>
      </c>
      <c r="P610">
        <v>0.11477808457534287</v>
      </c>
      <c r="Q610" t="s">
        <v>168</v>
      </c>
      <c r="S610" t="s">
        <v>233</v>
      </c>
      <c r="T610" t="s">
        <v>261</v>
      </c>
      <c r="U610">
        <v>0.12596137154275258</v>
      </c>
      <c r="V610" t="s">
        <v>168</v>
      </c>
    </row>
    <row r="611" spans="9:22" x14ac:dyDescent="0.45">
      <c r="I611" t="s">
        <v>190</v>
      </c>
      <c r="J611" t="s">
        <v>174</v>
      </c>
      <c r="K611">
        <v>1.0866600282202734E-2</v>
      </c>
      <c r="L611" t="s">
        <v>168</v>
      </c>
      <c r="N611" t="s">
        <v>214</v>
      </c>
      <c r="O611" t="s">
        <v>174</v>
      </c>
      <c r="P611">
        <v>6.4906908888607432E-3</v>
      </c>
      <c r="Q611" t="s">
        <v>168</v>
      </c>
      <c r="S611" t="s">
        <v>233</v>
      </c>
      <c r="T611" t="s">
        <v>174</v>
      </c>
      <c r="U611">
        <v>6.9186611050589203E-3</v>
      </c>
      <c r="V611" t="s">
        <v>168</v>
      </c>
    </row>
    <row r="612" spans="9:22" x14ac:dyDescent="0.45">
      <c r="I612" t="s">
        <v>190</v>
      </c>
      <c r="J612" t="s">
        <v>175</v>
      </c>
      <c r="K612">
        <v>8.7639573257551878E-3</v>
      </c>
      <c r="L612" t="s">
        <v>168</v>
      </c>
      <c r="N612" t="s">
        <v>214</v>
      </c>
      <c r="O612" t="s">
        <v>175</v>
      </c>
      <c r="P612">
        <v>7.8046182108044472E-4</v>
      </c>
      <c r="Q612" t="s">
        <v>168</v>
      </c>
      <c r="S612" t="s">
        <v>233</v>
      </c>
      <c r="T612" t="s">
        <v>175</v>
      </c>
      <c r="U612">
        <v>8.204774223934515E-4</v>
      </c>
      <c r="V612" t="s">
        <v>168</v>
      </c>
    </row>
    <row r="613" spans="9:22" x14ac:dyDescent="0.45">
      <c r="I613" t="s">
        <v>190</v>
      </c>
      <c r="J613" t="s">
        <v>176</v>
      </c>
      <c r="K613">
        <v>1.0074103471092192E-2</v>
      </c>
      <c r="L613" t="s">
        <v>168</v>
      </c>
      <c r="N613" t="s">
        <v>214</v>
      </c>
      <c r="O613" t="s">
        <v>176</v>
      </c>
      <c r="P613">
        <v>8.2512488699120205E-4</v>
      </c>
      <c r="Q613" t="s">
        <v>168</v>
      </c>
      <c r="S613" t="s">
        <v>233</v>
      </c>
      <c r="T613" t="s">
        <v>176</v>
      </c>
      <c r="U613">
        <v>8.1706959389869782E-4</v>
      </c>
      <c r="V613" t="s">
        <v>168</v>
      </c>
    </row>
    <row r="614" spans="9:22" x14ac:dyDescent="0.45">
      <c r="I614" t="s">
        <v>190</v>
      </c>
      <c r="J614" t="s">
        <v>262</v>
      </c>
      <c r="K614">
        <v>6.4991920233015185E-2</v>
      </c>
      <c r="L614" t="s">
        <v>168</v>
      </c>
      <c r="N614" t="s">
        <v>214</v>
      </c>
      <c r="O614" t="s">
        <v>262</v>
      </c>
      <c r="P614">
        <v>8.9797691852054589E-3</v>
      </c>
      <c r="Q614" t="s">
        <v>168</v>
      </c>
      <c r="S614" t="s">
        <v>233</v>
      </c>
      <c r="T614" t="s">
        <v>262</v>
      </c>
      <c r="U614">
        <v>5.3009051209359972E-3</v>
      </c>
      <c r="V614" t="s">
        <v>168</v>
      </c>
    </row>
    <row r="615" spans="9:22" x14ac:dyDescent="0.45">
      <c r="I615" t="s">
        <v>190</v>
      </c>
      <c r="J615" t="s">
        <v>263</v>
      </c>
      <c r="K615">
        <v>9.3142743095985907E-3</v>
      </c>
      <c r="L615" t="s">
        <v>168</v>
      </c>
      <c r="N615" t="s">
        <v>214</v>
      </c>
      <c r="O615" t="s">
        <v>263</v>
      </c>
      <c r="P615">
        <v>1.988959021893907E-3</v>
      </c>
      <c r="Q615" t="s">
        <v>168</v>
      </c>
      <c r="S615" t="s">
        <v>233</v>
      </c>
      <c r="T615" t="s">
        <v>263</v>
      </c>
      <c r="U615">
        <v>1.1940813888111886E-3</v>
      </c>
      <c r="V615" t="s">
        <v>168</v>
      </c>
    </row>
    <row r="616" spans="9:22" x14ac:dyDescent="0.45">
      <c r="I616" t="s">
        <v>190</v>
      </c>
      <c r="J616" t="s">
        <v>264</v>
      </c>
      <c r="K616">
        <v>1.6584808240209033E-2</v>
      </c>
      <c r="L616" t="s">
        <v>168</v>
      </c>
      <c r="N616" t="s">
        <v>214</v>
      </c>
      <c r="O616" t="s">
        <v>264</v>
      </c>
      <c r="P616">
        <v>8.5557343085231E-3</v>
      </c>
      <c r="Q616" t="s">
        <v>168</v>
      </c>
      <c r="S616" t="s">
        <v>233</v>
      </c>
      <c r="T616" t="s">
        <v>264</v>
      </c>
      <c r="U616">
        <v>8.722773736268211E-3</v>
      </c>
      <c r="V616" t="s">
        <v>168</v>
      </c>
    </row>
    <row r="617" spans="9:22" x14ac:dyDescent="0.45">
      <c r="I617" t="s">
        <v>190</v>
      </c>
      <c r="J617" t="s">
        <v>265</v>
      </c>
      <c r="K617">
        <v>9.1090949949979971E-3</v>
      </c>
      <c r="L617" t="s">
        <v>168</v>
      </c>
      <c r="N617" t="s">
        <v>214</v>
      </c>
      <c r="O617" t="s">
        <v>265</v>
      </c>
      <c r="P617">
        <v>1.0742922654782694E-2</v>
      </c>
      <c r="Q617" t="s">
        <v>168</v>
      </c>
      <c r="S617" t="s">
        <v>233</v>
      </c>
      <c r="T617" t="s">
        <v>265</v>
      </c>
      <c r="U617">
        <v>1.1523559737663837E-2</v>
      </c>
      <c r="V617" t="s">
        <v>168</v>
      </c>
    </row>
    <row r="618" spans="9:22" x14ac:dyDescent="0.45">
      <c r="I618" t="s">
        <v>190</v>
      </c>
      <c r="J618" t="s">
        <v>266</v>
      </c>
      <c r="K618">
        <v>7.9970929812903917E-3</v>
      </c>
      <c r="L618" t="s">
        <v>168</v>
      </c>
      <c r="N618" t="s">
        <v>214</v>
      </c>
      <c r="O618" t="s">
        <v>266</v>
      </c>
      <c r="P618">
        <v>1.1172326458195278E-3</v>
      </c>
      <c r="Q618" t="s">
        <v>168</v>
      </c>
      <c r="S618" t="s">
        <v>233</v>
      </c>
      <c r="T618" t="s">
        <v>266</v>
      </c>
      <c r="U618">
        <v>1.2599249180931813E-3</v>
      </c>
      <c r="V618" t="s">
        <v>168</v>
      </c>
    </row>
    <row r="619" spans="9:22" x14ac:dyDescent="0.45">
      <c r="I619" t="s">
        <v>190</v>
      </c>
      <c r="J619" t="s">
        <v>267</v>
      </c>
      <c r="K619">
        <v>9.3326845046126927E-3</v>
      </c>
      <c r="L619" t="s">
        <v>168</v>
      </c>
      <c r="N619" t="s">
        <v>214</v>
      </c>
      <c r="O619" t="s">
        <v>267</v>
      </c>
      <c r="P619">
        <v>1.1180388487164227E-3</v>
      </c>
      <c r="Q619" t="s">
        <v>168</v>
      </c>
      <c r="S619" t="s">
        <v>233</v>
      </c>
      <c r="T619" t="s">
        <v>267</v>
      </c>
      <c r="U619">
        <v>1.2264617321084087E-3</v>
      </c>
      <c r="V619" t="s">
        <v>168</v>
      </c>
    </row>
    <row r="620" spans="9:22" x14ac:dyDescent="0.45">
      <c r="I620" t="s">
        <v>190</v>
      </c>
      <c r="J620" t="s">
        <v>268</v>
      </c>
      <c r="K620">
        <v>6.1295138369565565E-2</v>
      </c>
      <c r="L620" t="s">
        <v>168</v>
      </c>
      <c r="N620" t="s">
        <v>214</v>
      </c>
      <c r="O620" t="s">
        <v>268</v>
      </c>
      <c r="P620">
        <v>1.0244403663350398E-2</v>
      </c>
      <c r="Q620" t="s">
        <v>168</v>
      </c>
      <c r="S620" t="s">
        <v>233</v>
      </c>
      <c r="T620" t="s">
        <v>268</v>
      </c>
      <c r="U620">
        <v>7.6931715450024533E-3</v>
      </c>
      <c r="V620" t="s">
        <v>168</v>
      </c>
    </row>
    <row r="621" spans="9:22" x14ac:dyDescent="0.45">
      <c r="I621" t="s">
        <v>190</v>
      </c>
      <c r="J621" t="s">
        <v>269</v>
      </c>
      <c r="K621">
        <v>8.7894723095682647E-3</v>
      </c>
      <c r="L621" t="s">
        <v>168</v>
      </c>
      <c r="N621" t="s">
        <v>214</v>
      </c>
      <c r="O621" t="s">
        <v>269</v>
      </c>
      <c r="P621">
        <v>2.2115997667707904E-3</v>
      </c>
      <c r="Q621" t="s">
        <v>168</v>
      </c>
      <c r="S621" t="s">
        <v>233</v>
      </c>
      <c r="T621" t="s">
        <v>269</v>
      </c>
      <c r="U621">
        <v>1.486190862367832E-3</v>
      </c>
      <c r="V621" t="s">
        <v>168</v>
      </c>
    </row>
    <row r="622" spans="9:22" x14ac:dyDescent="0.45">
      <c r="I622" t="s">
        <v>190</v>
      </c>
      <c r="J622" t="s">
        <v>270</v>
      </c>
      <c r="K622">
        <v>1.4135108674598966E-2</v>
      </c>
      <c r="L622" t="s">
        <v>168</v>
      </c>
      <c r="N622" t="s">
        <v>214</v>
      </c>
      <c r="O622" t="s">
        <v>270</v>
      </c>
      <c r="P622">
        <v>1.0511832053900133E-2</v>
      </c>
      <c r="Q622" t="s">
        <v>168</v>
      </c>
      <c r="S622" t="s">
        <v>233</v>
      </c>
      <c r="T622" t="s">
        <v>270</v>
      </c>
      <c r="U622">
        <v>1.0202697779811106E-2</v>
      </c>
      <c r="V622" t="s">
        <v>168</v>
      </c>
    </row>
    <row r="623" spans="9:22" x14ac:dyDescent="0.45">
      <c r="I623" t="s">
        <v>190</v>
      </c>
      <c r="J623" t="s">
        <v>271</v>
      </c>
      <c r="K623">
        <v>5.1420577769848387E-3</v>
      </c>
      <c r="L623" t="s">
        <v>168</v>
      </c>
      <c r="N623" t="s">
        <v>214</v>
      </c>
      <c r="O623" t="s">
        <v>271</v>
      </c>
      <c r="P623">
        <v>1.7429419641489561E-2</v>
      </c>
      <c r="Q623" t="s">
        <v>168</v>
      </c>
      <c r="S623" t="s">
        <v>233</v>
      </c>
      <c r="T623" t="s">
        <v>271</v>
      </c>
      <c r="U623">
        <v>1.6890885204395321E-2</v>
      </c>
      <c r="V623" t="s">
        <v>168</v>
      </c>
    </row>
    <row r="624" spans="9:22" x14ac:dyDescent="0.45">
      <c r="I624" t="s">
        <v>190</v>
      </c>
      <c r="J624" t="s">
        <v>272</v>
      </c>
      <c r="K624">
        <v>7.2966864018263189E-3</v>
      </c>
      <c r="L624" t="s">
        <v>168</v>
      </c>
      <c r="N624" t="s">
        <v>214</v>
      </c>
      <c r="O624" t="s">
        <v>272</v>
      </c>
      <c r="P624">
        <v>2.4910794052084295E-3</v>
      </c>
      <c r="Q624" t="s">
        <v>168</v>
      </c>
      <c r="S624" t="s">
        <v>233</v>
      </c>
      <c r="T624" t="s">
        <v>272</v>
      </c>
      <c r="U624">
        <v>1.9493035706251247E-3</v>
      </c>
      <c r="V624" t="s">
        <v>168</v>
      </c>
    </row>
    <row r="625" spans="9:22" x14ac:dyDescent="0.45">
      <c r="I625" t="s">
        <v>190</v>
      </c>
      <c r="J625" t="s">
        <v>273</v>
      </c>
      <c r="K625">
        <v>8.8347875291343043E-3</v>
      </c>
      <c r="L625" t="s">
        <v>168</v>
      </c>
      <c r="N625" t="s">
        <v>214</v>
      </c>
      <c r="O625" t="s">
        <v>273</v>
      </c>
      <c r="P625">
        <v>2.5615457896408025E-3</v>
      </c>
      <c r="Q625" t="s">
        <v>168</v>
      </c>
      <c r="S625" t="s">
        <v>233</v>
      </c>
      <c r="T625" t="s">
        <v>273</v>
      </c>
      <c r="U625">
        <v>1.9060360907743282E-3</v>
      </c>
      <c r="V625" t="s">
        <v>168</v>
      </c>
    </row>
    <row r="626" spans="9:22" x14ac:dyDescent="0.45">
      <c r="I626" t="s">
        <v>190</v>
      </c>
      <c r="J626" t="s">
        <v>274</v>
      </c>
      <c r="K626">
        <v>5.3704303934318284E-2</v>
      </c>
      <c r="L626" t="s">
        <v>168</v>
      </c>
      <c r="N626" t="s">
        <v>214</v>
      </c>
      <c r="O626" t="s">
        <v>274</v>
      </c>
      <c r="P626">
        <v>1.8075228054602249E-2</v>
      </c>
      <c r="Q626" t="s">
        <v>168</v>
      </c>
      <c r="S626" t="s">
        <v>233</v>
      </c>
      <c r="T626" t="s">
        <v>274</v>
      </c>
      <c r="U626">
        <v>1.2480620370095247E-2</v>
      </c>
      <c r="V626" t="s">
        <v>168</v>
      </c>
    </row>
    <row r="627" spans="9:22" x14ac:dyDescent="0.45">
      <c r="I627" t="s">
        <v>190</v>
      </c>
      <c r="J627" t="s">
        <v>275</v>
      </c>
      <c r="K627">
        <v>7.3196802220597693E-3</v>
      </c>
      <c r="L627" t="s">
        <v>168</v>
      </c>
      <c r="N627" t="s">
        <v>214</v>
      </c>
      <c r="O627" t="s">
        <v>275</v>
      </c>
      <c r="P627">
        <v>3.125207244126826E-3</v>
      </c>
      <c r="Q627" t="s">
        <v>168</v>
      </c>
      <c r="S627" t="s">
        <v>233</v>
      </c>
      <c r="T627" t="s">
        <v>275</v>
      </c>
      <c r="U627">
        <v>2.2139883511724523E-3</v>
      </c>
      <c r="V627" t="s">
        <v>168</v>
      </c>
    </row>
    <row r="628" spans="9:22" x14ac:dyDescent="0.45">
      <c r="I628" t="s">
        <v>190</v>
      </c>
      <c r="J628" t="s">
        <v>276</v>
      </c>
      <c r="K628">
        <v>8.2954436749235645E-3</v>
      </c>
      <c r="L628" t="s">
        <v>168</v>
      </c>
      <c r="N628" t="s">
        <v>214</v>
      </c>
      <c r="O628" t="s">
        <v>276</v>
      </c>
      <c r="P628">
        <v>1.6826764825292106E-2</v>
      </c>
      <c r="Q628" t="s">
        <v>168</v>
      </c>
      <c r="S628" t="s">
        <v>233</v>
      </c>
      <c r="T628" t="s">
        <v>276</v>
      </c>
      <c r="U628">
        <v>1.5900398850047945E-2</v>
      </c>
      <c r="V628" t="s">
        <v>168</v>
      </c>
    </row>
    <row r="629" spans="9:22" x14ac:dyDescent="0.45">
      <c r="I629" t="s">
        <v>190</v>
      </c>
      <c r="J629" t="s">
        <v>277</v>
      </c>
      <c r="K629">
        <v>2.5286158997487444E-3</v>
      </c>
      <c r="L629" t="s">
        <v>168</v>
      </c>
      <c r="N629" t="s">
        <v>214</v>
      </c>
      <c r="O629" t="s">
        <v>277</v>
      </c>
      <c r="P629">
        <v>6.029604567465862E-2</v>
      </c>
      <c r="Q629" t="s">
        <v>168</v>
      </c>
      <c r="S629" t="s">
        <v>233</v>
      </c>
      <c r="T629" t="s">
        <v>277</v>
      </c>
      <c r="U629">
        <v>6.1484682097445849E-2</v>
      </c>
      <c r="V629" t="s">
        <v>168</v>
      </c>
    </row>
    <row r="630" spans="9:22" x14ac:dyDescent="0.45">
      <c r="I630" t="s">
        <v>190</v>
      </c>
      <c r="J630" t="s">
        <v>278</v>
      </c>
      <c r="K630">
        <v>7.6572786612893306E-3</v>
      </c>
      <c r="L630" t="s">
        <v>168</v>
      </c>
      <c r="N630" t="s">
        <v>214</v>
      </c>
      <c r="O630" t="s">
        <v>278</v>
      </c>
      <c r="P630">
        <v>7.2239543099648987E-3</v>
      </c>
      <c r="Q630" t="s">
        <v>168</v>
      </c>
      <c r="S630" t="s">
        <v>233</v>
      </c>
      <c r="T630" t="s">
        <v>278</v>
      </c>
      <c r="U630">
        <v>7.2539645039668222E-3</v>
      </c>
      <c r="V630" t="s">
        <v>168</v>
      </c>
    </row>
    <row r="631" spans="9:22" x14ac:dyDescent="0.45">
      <c r="I631" t="s">
        <v>190</v>
      </c>
      <c r="J631" t="s">
        <v>279</v>
      </c>
      <c r="K631">
        <v>1.1426286594583269E-2</v>
      </c>
      <c r="L631" t="s">
        <v>168</v>
      </c>
      <c r="N631" t="s">
        <v>214</v>
      </c>
      <c r="O631" t="s">
        <v>279</v>
      </c>
      <c r="P631">
        <v>7.4812353968058617E-3</v>
      </c>
      <c r="Q631" t="s">
        <v>168</v>
      </c>
      <c r="S631" t="s">
        <v>233</v>
      </c>
      <c r="T631" t="s">
        <v>279</v>
      </c>
      <c r="U631">
        <v>7.0444199787031859E-3</v>
      </c>
      <c r="V631" t="s">
        <v>168</v>
      </c>
    </row>
    <row r="632" spans="9:22" x14ac:dyDescent="0.45">
      <c r="I632" t="s">
        <v>190</v>
      </c>
      <c r="J632" t="s">
        <v>280</v>
      </c>
      <c r="K632">
        <v>7.8638199277779819E-2</v>
      </c>
      <c r="L632" t="s">
        <v>168</v>
      </c>
      <c r="N632" t="s">
        <v>214</v>
      </c>
      <c r="O632" t="s">
        <v>280</v>
      </c>
      <c r="P632">
        <v>4.7511150938247551E-2</v>
      </c>
      <c r="Q632" t="s">
        <v>168</v>
      </c>
      <c r="S632" t="s">
        <v>233</v>
      </c>
      <c r="T632" t="s">
        <v>280</v>
      </c>
      <c r="U632">
        <v>4.1446144079020877E-2</v>
      </c>
      <c r="V632" t="s">
        <v>168</v>
      </c>
    </row>
    <row r="633" spans="9:22" x14ac:dyDescent="0.45">
      <c r="I633" t="s">
        <v>190</v>
      </c>
      <c r="J633" t="s">
        <v>281</v>
      </c>
      <c r="K633">
        <v>8.6454483514907081E-3</v>
      </c>
      <c r="L633" t="s">
        <v>168</v>
      </c>
      <c r="N633" t="s">
        <v>214</v>
      </c>
      <c r="O633" t="s">
        <v>281</v>
      </c>
      <c r="P633">
        <v>7.9707310102008697E-3</v>
      </c>
      <c r="Q633" t="s">
        <v>168</v>
      </c>
      <c r="S633" t="s">
        <v>233</v>
      </c>
      <c r="T633" t="s">
        <v>281</v>
      </c>
      <c r="U633">
        <v>7.1454123532888048E-3</v>
      </c>
      <c r="V633" t="s">
        <v>168</v>
      </c>
    </row>
    <row r="634" spans="9:22" x14ac:dyDescent="0.45">
      <c r="I634" t="s">
        <v>190</v>
      </c>
      <c r="J634" t="s">
        <v>282</v>
      </c>
      <c r="K634">
        <v>3.6474237256057668E-3</v>
      </c>
      <c r="L634" t="s">
        <v>168</v>
      </c>
      <c r="N634" t="s">
        <v>214</v>
      </c>
      <c r="O634" t="s">
        <v>282</v>
      </c>
      <c r="P634">
        <v>5.4186178907916688E-2</v>
      </c>
      <c r="Q634" t="s">
        <v>168</v>
      </c>
      <c r="S634" t="s">
        <v>233</v>
      </c>
      <c r="T634" t="s">
        <v>282</v>
      </c>
      <c r="U634">
        <v>5.3622595388775403E-2</v>
      </c>
      <c r="V634" t="s">
        <v>168</v>
      </c>
    </row>
    <row r="635" spans="9:22" x14ac:dyDescent="0.45">
      <c r="I635" t="s">
        <v>190</v>
      </c>
      <c r="J635" t="s">
        <v>283</v>
      </c>
      <c r="K635">
        <v>0</v>
      </c>
      <c r="L635" t="s">
        <v>168</v>
      </c>
      <c r="N635" t="s">
        <v>214</v>
      </c>
      <c r="O635" t="s">
        <v>283</v>
      </c>
      <c r="P635">
        <v>2.0199079675761122E-2</v>
      </c>
      <c r="Q635" t="s">
        <v>168</v>
      </c>
      <c r="S635" t="s">
        <v>233</v>
      </c>
      <c r="T635" t="s">
        <v>283</v>
      </c>
      <c r="U635">
        <v>2.2153831566297029E-2</v>
      </c>
      <c r="V635" t="s">
        <v>168</v>
      </c>
    </row>
    <row r="636" spans="9:22" x14ac:dyDescent="0.45">
      <c r="I636" t="s">
        <v>190</v>
      </c>
      <c r="J636" t="s">
        <v>284</v>
      </c>
      <c r="K636">
        <v>2.4891709811901636E-3</v>
      </c>
      <c r="L636" t="s">
        <v>168</v>
      </c>
      <c r="N636" t="s">
        <v>214</v>
      </c>
      <c r="O636" t="s">
        <v>284</v>
      </c>
      <c r="P636">
        <v>2.5405907897689717E-3</v>
      </c>
      <c r="Q636" t="s">
        <v>168</v>
      </c>
      <c r="S636" t="s">
        <v>233</v>
      </c>
      <c r="T636" t="s">
        <v>284</v>
      </c>
      <c r="U636">
        <v>2.6665702748901133E-3</v>
      </c>
      <c r="V636" t="s">
        <v>168</v>
      </c>
    </row>
    <row r="637" spans="9:22" x14ac:dyDescent="0.45">
      <c r="I637" t="s">
        <v>190</v>
      </c>
      <c r="J637" t="s">
        <v>285</v>
      </c>
      <c r="K637">
        <v>4.5696476376814212E-3</v>
      </c>
      <c r="L637" t="s">
        <v>168</v>
      </c>
      <c r="N637" t="s">
        <v>214</v>
      </c>
      <c r="O637" t="s">
        <v>285</v>
      </c>
      <c r="P637">
        <v>2.5408682333651726E-3</v>
      </c>
      <c r="Q637" t="s">
        <v>168</v>
      </c>
      <c r="S637" t="s">
        <v>233</v>
      </c>
      <c r="T637" t="s">
        <v>285</v>
      </c>
      <c r="U637">
        <v>2.687368922603516E-3</v>
      </c>
      <c r="V637" t="s">
        <v>168</v>
      </c>
    </row>
    <row r="638" spans="9:22" x14ac:dyDescent="0.45">
      <c r="I638" t="s">
        <v>190</v>
      </c>
      <c r="J638" t="s">
        <v>286</v>
      </c>
      <c r="K638">
        <v>3.5021073627092718E-2</v>
      </c>
      <c r="L638" t="s">
        <v>168</v>
      </c>
      <c r="N638" t="s">
        <v>214</v>
      </c>
      <c r="O638" t="s">
        <v>286</v>
      </c>
      <c r="P638">
        <v>1.6206583041485697E-2</v>
      </c>
      <c r="Q638" t="s">
        <v>168</v>
      </c>
      <c r="S638" t="s">
        <v>233</v>
      </c>
      <c r="T638" t="s">
        <v>286</v>
      </c>
      <c r="U638">
        <v>1.5961358273069257E-2</v>
      </c>
      <c r="V638" t="s">
        <v>168</v>
      </c>
    </row>
    <row r="639" spans="9:22" x14ac:dyDescent="0.45">
      <c r="I639" t="s">
        <v>190</v>
      </c>
      <c r="J639" t="s">
        <v>287</v>
      </c>
      <c r="K639">
        <v>3.3071427931777968E-3</v>
      </c>
      <c r="L639" t="s">
        <v>168</v>
      </c>
      <c r="N639" t="s">
        <v>214</v>
      </c>
      <c r="O639" t="s">
        <v>287</v>
      </c>
      <c r="P639">
        <v>2.5830574926712009E-3</v>
      </c>
      <c r="Q639" t="s">
        <v>168</v>
      </c>
      <c r="S639" t="s">
        <v>233</v>
      </c>
      <c r="T639" t="s">
        <v>287</v>
      </c>
      <c r="U639">
        <v>2.7124925752316496E-3</v>
      </c>
      <c r="V639" t="s">
        <v>168</v>
      </c>
    </row>
    <row r="640" spans="9:22" x14ac:dyDescent="0.45">
      <c r="I640" t="s">
        <v>190</v>
      </c>
      <c r="J640" t="s">
        <v>288</v>
      </c>
      <c r="K640">
        <v>0</v>
      </c>
      <c r="L640" t="s">
        <v>168</v>
      </c>
      <c r="N640" t="s">
        <v>214</v>
      </c>
      <c r="O640" t="s">
        <v>288</v>
      </c>
      <c r="P640">
        <v>1.73040031866908E-2</v>
      </c>
      <c r="Q640" t="s">
        <v>168</v>
      </c>
      <c r="S640" t="s">
        <v>233</v>
      </c>
      <c r="T640" t="s">
        <v>288</v>
      </c>
      <c r="U640">
        <v>1.9004046071658481E-2</v>
      </c>
      <c r="V640" t="s">
        <v>168</v>
      </c>
    </row>
    <row r="641" spans="9:22" x14ac:dyDescent="0.45">
      <c r="I641" t="s">
        <v>191</v>
      </c>
      <c r="J641" t="s">
        <v>167</v>
      </c>
      <c r="K641">
        <v>0</v>
      </c>
      <c r="L641" t="s">
        <v>168</v>
      </c>
      <c r="N641" t="s">
        <v>215</v>
      </c>
      <c r="O641" t="s">
        <v>167</v>
      </c>
      <c r="P641">
        <v>7.7005101471764079E-2</v>
      </c>
      <c r="Q641" t="s">
        <v>168</v>
      </c>
      <c r="S641" t="s">
        <v>234</v>
      </c>
      <c r="T641" t="s">
        <v>167</v>
      </c>
      <c r="U641">
        <v>8.3521699184469098E-2</v>
      </c>
      <c r="V641" t="s">
        <v>168</v>
      </c>
    </row>
    <row r="642" spans="9:22" x14ac:dyDescent="0.45">
      <c r="I642" t="s">
        <v>191</v>
      </c>
      <c r="J642" t="s">
        <v>169</v>
      </c>
      <c r="K642">
        <v>4.313165327807171E-3</v>
      </c>
      <c r="L642" t="s">
        <v>168</v>
      </c>
      <c r="N642" t="s">
        <v>215</v>
      </c>
      <c r="O642" t="s">
        <v>169</v>
      </c>
      <c r="P642">
        <v>9.9609506928929458E-3</v>
      </c>
      <c r="Q642" t="s">
        <v>168</v>
      </c>
      <c r="S642" t="s">
        <v>234</v>
      </c>
      <c r="T642" t="s">
        <v>169</v>
      </c>
      <c r="U642">
        <v>1.0073658786964212E-2</v>
      </c>
      <c r="V642" t="s">
        <v>168</v>
      </c>
    </row>
    <row r="643" spans="9:22" x14ac:dyDescent="0.45">
      <c r="I643" t="s">
        <v>191</v>
      </c>
      <c r="J643" t="s">
        <v>170</v>
      </c>
      <c r="K643">
        <v>8.5759883763981189E-3</v>
      </c>
      <c r="L643" t="s">
        <v>168</v>
      </c>
      <c r="N643" t="s">
        <v>215</v>
      </c>
      <c r="O643" t="s">
        <v>170</v>
      </c>
      <c r="P643">
        <v>1.0056852026462466E-2</v>
      </c>
      <c r="Q643" t="s">
        <v>168</v>
      </c>
      <c r="S643" t="s">
        <v>234</v>
      </c>
      <c r="T643" t="s">
        <v>170</v>
      </c>
      <c r="U643">
        <v>1.0063844027529713E-2</v>
      </c>
      <c r="V643" t="s">
        <v>168</v>
      </c>
    </row>
    <row r="644" spans="9:22" x14ac:dyDescent="0.45">
      <c r="I644" t="s">
        <v>191</v>
      </c>
      <c r="J644" t="s">
        <v>256</v>
      </c>
      <c r="K644">
        <v>7.2407943865301208E-2</v>
      </c>
      <c r="L644" t="s">
        <v>168</v>
      </c>
      <c r="N644" t="s">
        <v>215</v>
      </c>
      <c r="O644" t="s">
        <v>256</v>
      </c>
      <c r="P644">
        <v>6.7729132028707922E-2</v>
      </c>
      <c r="Q644" t="s">
        <v>168</v>
      </c>
      <c r="S644" t="s">
        <v>234</v>
      </c>
      <c r="T644" t="s">
        <v>256</v>
      </c>
      <c r="U644">
        <v>6.2605977723163758E-2</v>
      </c>
      <c r="V644" t="s">
        <v>168</v>
      </c>
    </row>
    <row r="645" spans="9:22" x14ac:dyDescent="0.45">
      <c r="I645" t="s">
        <v>191</v>
      </c>
      <c r="J645" t="s">
        <v>257</v>
      </c>
      <c r="K645">
        <v>8.4273741448873327E-3</v>
      </c>
      <c r="L645" t="s">
        <v>168</v>
      </c>
      <c r="N645" t="s">
        <v>215</v>
      </c>
      <c r="O645" t="s">
        <v>257</v>
      </c>
      <c r="P645">
        <v>1.1554848829138981E-2</v>
      </c>
      <c r="Q645" t="s">
        <v>168</v>
      </c>
      <c r="S645" t="s">
        <v>234</v>
      </c>
      <c r="T645" t="s">
        <v>257</v>
      </c>
      <c r="U645">
        <v>1.0257765762153591E-2</v>
      </c>
      <c r="V645" t="s">
        <v>168</v>
      </c>
    </row>
    <row r="646" spans="9:22" x14ac:dyDescent="0.45">
      <c r="I646" t="s">
        <v>191</v>
      </c>
      <c r="J646" t="s">
        <v>258</v>
      </c>
      <c r="K646">
        <v>5.4037167789594189E-3</v>
      </c>
      <c r="L646" t="s">
        <v>168</v>
      </c>
      <c r="N646" t="s">
        <v>215</v>
      </c>
      <c r="O646" t="s">
        <v>258</v>
      </c>
      <c r="P646">
        <v>7.2300845543772571E-2</v>
      </c>
      <c r="Q646" t="s">
        <v>168</v>
      </c>
      <c r="S646" t="s">
        <v>234</v>
      </c>
      <c r="T646" t="s">
        <v>258</v>
      </c>
      <c r="U646">
        <v>7.1523698848541914E-2</v>
      </c>
      <c r="V646" t="s">
        <v>168</v>
      </c>
    </row>
    <row r="647" spans="9:22" x14ac:dyDescent="0.45">
      <c r="I647" t="s">
        <v>191</v>
      </c>
      <c r="J647" t="s">
        <v>171</v>
      </c>
      <c r="K647">
        <v>2.7268451041952971E-2</v>
      </c>
      <c r="L647" t="s">
        <v>168</v>
      </c>
      <c r="N647" t="s">
        <v>215</v>
      </c>
      <c r="O647" t="s">
        <v>171</v>
      </c>
      <c r="P647">
        <v>0.13039851272097513</v>
      </c>
      <c r="Q647" t="s">
        <v>168</v>
      </c>
      <c r="S647" t="s">
        <v>234</v>
      </c>
      <c r="T647" t="s">
        <v>171</v>
      </c>
      <c r="U647">
        <v>0.12579227950988892</v>
      </c>
      <c r="V647" t="s">
        <v>168</v>
      </c>
    </row>
    <row r="648" spans="9:22" x14ac:dyDescent="0.45">
      <c r="I648" t="s">
        <v>191</v>
      </c>
      <c r="J648" t="s">
        <v>172</v>
      </c>
      <c r="K648">
        <v>2.8733771471511786E-2</v>
      </c>
      <c r="L648" t="s">
        <v>168</v>
      </c>
      <c r="N648" t="s">
        <v>215</v>
      </c>
      <c r="O648" t="s">
        <v>172</v>
      </c>
      <c r="P648">
        <v>1.5719597050042115E-2</v>
      </c>
      <c r="Q648" t="s">
        <v>168</v>
      </c>
      <c r="S648" t="s">
        <v>234</v>
      </c>
      <c r="T648" t="s">
        <v>172</v>
      </c>
      <c r="U648">
        <v>1.533326500610937E-2</v>
      </c>
      <c r="V648" t="s">
        <v>168</v>
      </c>
    </row>
    <row r="649" spans="9:22" x14ac:dyDescent="0.45">
      <c r="I649" t="s">
        <v>191</v>
      </c>
      <c r="J649" t="s">
        <v>173</v>
      </c>
      <c r="K649">
        <v>3.5844587616808782E-2</v>
      </c>
      <c r="L649" t="s">
        <v>168</v>
      </c>
      <c r="N649" t="s">
        <v>215</v>
      </c>
      <c r="O649" t="s">
        <v>173</v>
      </c>
      <c r="P649">
        <v>1.5856096599924357E-2</v>
      </c>
      <c r="Q649" t="s">
        <v>168</v>
      </c>
      <c r="S649" t="s">
        <v>234</v>
      </c>
      <c r="T649" t="s">
        <v>173</v>
      </c>
      <c r="U649">
        <v>1.5521059189556567E-2</v>
      </c>
      <c r="V649" t="s">
        <v>168</v>
      </c>
    </row>
    <row r="650" spans="9:22" x14ac:dyDescent="0.45">
      <c r="I650" t="s">
        <v>191</v>
      </c>
      <c r="J650" t="s">
        <v>259</v>
      </c>
      <c r="K650">
        <v>0.23959349620990766</v>
      </c>
      <c r="L650" t="s">
        <v>168</v>
      </c>
      <c r="N650" t="s">
        <v>215</v>
      </c>
      <c r="O650" t="s">
        <v>259</v>
      </c>
      <c r="P650">
        <v>0.10703761782947807</v>
      </c>
      <c r="Q650" t="s">
        <v>168</v>
      </c>
      <c r="S650" t="s">
        <v>234</v>
      </c>
      <c r="T650" t="s">
        <v>259</v>
      </c>
      <c r="U650">
        <v>0.10269540498447323</v>
      </c>
      <c r="V650" t="s">
        <v>168</v>
      </c>
    </row>
    <row r="651" spans="9:22" x14ac:dyDescent="0.45">
      <c r="I651" t="s">
        <v>191</v>
      </c>
      <c r="J651" t="s">
        <v>260</v>
      </c>
      <c r="K651">
        <v>3.2971106118449396E-2</v>
      </c>
      <c r="L651" t="s">
        <v>168</v>
      </c>
      <c r="N651" t="s">
        <v>215</v>
      </c>
      <c r="O651" t="s">
        <v>260</v>
      </c>
      <c r="P651">
        <v>1.9493978699292924E-2</v>
      </c>
      <c r="Q651" t="s">
        <v>168</v>
      </c>
      <c r="S651" t="s">
        <v>234</v>
      </c>
      <c r="T651" t="s">
        <v>260</v>
      </c>
      <c r="U651">
        <v>1.8487208383634209E-2</v>
      </c>
      <c r="V651" t="s">
        <v>168</v>
      </c>
    </row>
    <row r="652" spans="9:22" x14ac:dyDescent="0.45">
      <c r="I652" t="s">
        <v>191</v>
      </c>
      <c r="J652" t="s">
        <v>261</v>
      </c>
      <c r="K652">
        <v>5.108493181366159E-2</v>
      </c>
      <c r="L652" t="s">
        <v>168</v>
      </c>
      <c r="N652" t="s">
        <v>215</v>
      </c>
      <c r="O652" t="s">
        <v>261</v>
      </c>
      <c r="P652">
        <v>0.12395703960622553</v>
      </c>
      <c r="Q652" t="s">
        <v>168</v>
      </c>
      <c r="S652" t="s">
        <v>234</v>
      </c>
      <c r="T652" t="s">
        <v>261</v>
      </c>
      <c r="U652">
        <v>0.11466210047861385</v>
      </c>
      <c r="V652" t="s">
        <v>168</v>
      </c>
    </row>
    <row r="653" spans="9:22" x14ac:dyDescent="0.45">
      <c r="I653" t="s">
        <v>191</v>
      </c>
      <c r="J653" t="s">
        <v>174</v>
      </c>
      <c r="K653">
        <v>1.0438962995034133E-2</v>
      </c>
      <c r="L653" t="s">
        <v>168</v>
      </c>
      <c r="N653" t="s">
        <v>215</v>
      </c>
      <c r="O653" t="s">
        <v>174</v>
      </c>
      <c r="P653">
        <v>7.4800207647056855E-3</v>
      </c>
      <c r="Q653" t="s">
        <v>168</v>
      </c>
      <c r="S653" t="s">
        <v>234</v>
      </c>
      <c r="T653" t="s">
        <v>174</v>
      </c>
      <c r="U653">
        <v>9.7183753059667758E-3</v>
      </c>
      <c r="V653" t="s">
        <v>168</v>
      </c>
    </row>
    <row r="654" spans="9:22" x14ac:dyDescent="0.45">
      <c r="I654" t="s">
        <v>191</v>
      </c>
      <c r="J654" t="s">
        <v>175</v>
      </c>
      <c r="K654">
        <v>8.9557733438682067E-3</v>
      </c>
      <c r="L654" t="s">
        <v>168</v>
      </c>
      <c r="N654" t="s">
        <v>215</v>
      </c>
      <c r="O654" t="s">
        <v>175</v>
      </c>
      <c r="P654">
        <v>7.5905221651635885E-4</v>
      </c>
      <c r="Q654" t="s">
        <v>168</v>
      </c>
      <c r="S654" t="s">
        <v>234</v>
      </c>
      <c r="T654" t="s">
        <v>175</v>
      </c>
      <c r="U654">
        <v>1.1901550892211015E-3</v>
      </c>
      <c r="V654" t="s">
        <v>168</v>
      </c>
    </row>
    <row r="655" spans="9:22" x14ac:dyDescent="0.45">
      <c r="I655" t="s">
        <v>191</v>
      </c>
      <c r="J655" t="s">
        <v>176</v>
      </c>
      <c r="K655">
        <v>1.0330537732555083E-2</v>
      </c>
      <c r="L655" t="s">
        <v>168</v>
      </c>
      <c r="N655" t="s">
        <v>215</v>
      </c>
      <c r="O655" t="s">
        <v>176</v>
      </c>
      <c r="P655">
        <v>7.3258650657436516E-4</v>
      </c>
      <c r="Q655" t="s">
        <v>168</v>
      </c>
      <c r="S655" t="s">
        <v>234</v>
      </c>
      <c r="T655" t="s">
        <v>176</v>
      </c>
      <c r="U655">
        <v>1.2011851146194537E-3</v>
      </c>
      <c r="V655" t="s">
        <v>168</v>
      </c>
    </row>
    <row r="656" spans="9:22" x14ac:dyDescent="0.45">
      <c r="I656" t="s">
        <v>191</v>
      </c>
      <c r="J656" t="s">
        <v>262</v>
      </c>
      <c r="K656">
        <v>6.5640860632982356E-2</v>
      </c>
      <c r="L656" t="s">
        <v>168</v>
      </c>
      <c r="N656" t="s">
        <v>215</v>
      </c>
      <c r="O656" t="s">
        <v>262</v>
      </c>
      <c r="P656">
        <v>7.4279335347382097E-3</v>
      </c>
      <c r="Q656" t="s">
        <v>168</v>
      </c>
      <c r="S656" t="s">
        <v>234</v>
      </c>
      <c r="T656" t="s">
        <v>262</v>
      </c>
      <c r="U656">
        <v>9.3471930860571893E-3</v>
      </c>
      <c r="V656" t="s">
        <v>168</v>
      </c>
    </row>
    <row r="657" spans="9:22" x14ac:dyDescent="0.45">
      <c r="I657" t="s">
        <v>191</v>
      </c>
      <c r="J657" t="s">
        <v>263</v>
      </c>
      <c r="K657">
        <v>8.8281601837870184E-3</v>
      </c>
      <c r="L657" t="s">
        <v>168</v>
      </c>
      <c r="N657" t="s">
        <v>215</v>
      </c>
      <c r="O657" t="s">
        <v>263</v>
      </c>
      <c r="P657">
        <v>2.0202154310873374E-3</v>
      </c>
      <c r="Q657" t="s">
        <v>168</v>
      </c>
      <c r="S657" t="s">
        <v>234</v>
      </c>
      <c r="T657" t="s">
        <v>263</v>
      </c>
      <c r="U657">
        <v>2.1250043089005499E-3</v>
      </c>
      <c r="V657" t="s">
        <v>168</v>
      </c>
    </row>
    <row r="658" spans="9:22" x14ac:dyDescent="0.45">
      <c r="I658" t="s">
        <v>191</v>
      </c>
      <c r="J658" t="s">
        <v>264</v>
      </c>
      <c r="K658">
        <v>1.6290939885577466E-2</v>
      </c>
      <c r="L658" t="s">
        <v>168</v>
      </c>
      <c r="N658" t="s">
        <v>215</v>
      </c>
      <c r="O658" t="s">
        <v>264</v>
      </c>
      <c r="P658">
        <v>1.121625322368389E-2</v>
      </c>
      <c r="Q658" t="s">
        <v>168</v>
      </c>
      <c r="S658" t="s">
        <v>234</v>
      </c>
      <c r="T658" t="s">
        <v>264</v>
      </c>
      <c r="U658">
        <v>1.2373388893548932E-2</v>
      </c>
      <c r="V658" t="s">
        <v>168</v>
      </c>
    </row>
    <row r="659" spans="9:22" x14ac:dyDescent="0.45">
      <c r="I659" t="s">
        <v>191</v>
      </c>
      <c r="J659" t="s">
        <v>265</v>
      </c>
      <c r="K659">
        <v>8.6545541780965792E-3</v>
      </c>
      <c r="L659" t="s">
        <v>168</v>
      </c>
      <c r="N659" t="s">
        <v>215</v>
      </c>
      <c r="O659" t="s">
        <v>265</v>
      </c>
      <c r="P659">
        <v>1.0814511854374407E-2</v>
      </c>
      <c r="Q659" t="s">
        <v>168</v>
      </c>
      <c r="S659" t="s">
        <v>234</v>
      </c>
      <c r="T659" t="s">
        <v>265</v>
      </c>
      <c r="U659">
        <v>1.2982943758864862E-2</v>
      </c>
      <c r="V659" t="s">
        <v>168</v>
      </c>
    </row>
    <row r="660" spans="9:22" x14ac:dyDescent="0.45">
      <c r="I660" t="s">
        <v>191</v>
      </c>
      <c r="J660" t="s">
        <v>266</v>
      </c>
      <c r="K660">
        <v>8.1977981421526604E-3</v>
      </c>
      <c r="L660" t="s">
        <v>168</v>
      </c>
      <c r="N660" t="s">
        <v>215</v>
      </c>
      <c r="O660" t="s">
        <v>266</v>
      </c>
      <c r="P660">
        <v>1.1861960263815747E-3</v>
      </c>
      <c r="Q660" t="s">
        <v>168</v>
      </c>
      <c r="S660" t="s">
        <v>234</v>
      </c>
      <c r="T660" t="s">
        <v>266</v>
      </c>
      <c r="U660">
        <v>1.3962553960445278E-3</v>
      </c>
      <c r="V660" t="s">
        <v>168</v>
      </c>
    </row>
    <row r="661" spans="9:22" x14ac:dyDescent="0.45">
      <c r="I661" t="s">
        <v>191</v>
      </c>
      <c r="J661" t="s">
        <v>267</v>
      </c>
      <c r="K661">
        <v>9.8157150071089168E-3</v>
      </c>
      <c r="L661" t="s">
        <v>168</v>
      </c>
      <c r="N661" t="s">
        <v>215</v>
      </c>
      <c r="O661" t="s">
        <v>267</v>
      </c>
      <c r="P661">
        <v>1.1844578726518788E-3</v>
      </c>
      <c r="Q661" t="s">
        <v>168</v>
      </c>
      <c r="S661" t="s">
        <v>234</v>
      </c>
      <c r="T661" t="s">
        <v>267</v>
      </c>
      <c r="U661">
        <v>1.3397069437403352E-3</v>
      </c>
      <c r="V661" t="s">
        <v>168</v>
      </c>
    </row>
    <row r="662" spans="9:22" x14ac:dyDescent="0.45">
      <c r="I662" t="s">
        <v>191</v>
      </c>
      <c r="J662" t="s">
        <v>268</v>
      </c>
      <c r="K662">
        <v>6.3095916363126184E-2</v>
      </c>
      <c r="L662" t="s">
        <v>168</v>
      </c>
      <c r="N662" t="s">
        <v>215</v>
      </c>
      <c r="O662" t="s">
        <v>268</v>
      </c>
      <c r="P662">
        <v>1.0375727162787214E-2</v>
      </c>
      <c r="Q662" t="s">
        <v>168</v>
      </c>
      <c r="S662" t="s">
        <v>234</v>
      </c>
      <c r="T662" t="s">
        <v>268</v>
      </c>
      <c r="U662">
        <v>9.6791192233112843E-3</v>
      </c>
      <c r="V662" t="s">
        <v>168</v>
      </c>
    </row>
    <row r="663" spans="9:22" x14ac:dyDescent="0.45">
      <c r="I663" t="s">
        <v>191</v>
      </c>
      <c r="J663" t="s">
        <v>269</v>
      </c>
      <c r="K663">
        <v>8.3512442278388839E-3</v>
      </c>
      <c r="L663" t="s">
        <v>168</v>
      </c>
      <c r="N663" t="s">
        <v>215</v>
      </c>
      <c r="O663" t="s">
        <v>269</v>
      </c>
      <c r="P663">
        <v>2.3424086132932641E-3</v>
      </c>
      <c r="Q663" t="s">
        <v>168</v>
      </c>
      <c r="S663" t="s">
        <v>234</v>
      </c>
      <c r="T663" t="s">
        <v>269</v>
      </c>
      <c r="U663">
        <v>2.0859960241950207E-3</v>
      </c>
      <c r="V663" t="s">
        <v>168</v>
      </c>
    </row>
    <row r="664" spans="9:22" x14ac:dyDescent="0.45">
      <c r="I664" t="s">
        <v>191</v>
      </c>
      <c r="J664" t="s">
        <v>270</v>
      </c>
      <c r="K664">
        <v>1.3679480783888233E-2</v>
      </c>
      <c r="L664" t="s">
        <v>168</v>
      </c>
      <c r="N664" t="s">
        <v>215</v>
      </c>
      <c r="O664" t="s">
        <v>270</v>
      </c>
      <c r="P664">
        <v>1.2564400217474594E-2</v>
      </c>
      <c r="Q664" t="s">
        <v>168</v>
      </c>
      <c r="S664" t="s">
        <v>234</v>
      </c>
      <c r="T664" t="s">
        <v>270</v>
      </c>
      <c r="U664">
        <v>1.3009683694879528E-2</v>
      </c>
      <c r="V664" t="s">
        <v>168</v>
      </c>
    </row>
    <row r="665" spans="9:22" x14ac:dyDescent="0.45">
      <c r="I665" t="s">
        <v>191</v>
      </c>
      <c r="J665" t="s">
        <v>271</v>
      </c>
      <c r="K665">
        <v>4.2117222786539673E-3</v>
      </c>
      <c r="L665" t="s">
        <v>168</v>
      </c>
      <c r="N665" t="s">
        <v>215</v>
      </c>
      <c r="O665" t="s">
        <v>271</v>
      </c>
      <c r="P665">
        <v>1.4252799313588332E-2</v>
      </c>
      <c r="Q665" t="s">
        <v>168</v>
      </c>
      <c r="S665" t="s">
        <v>234</v>
      </c>
      <c r="T665" t="s">
        <v>271</v>
      </c>
      <c r="U665">
        <v>1.3948601876692149E-2</v>
      </c>
      <c r="V665" t="s">
        <v>168</v>
      </c>
    </row>
    <row r="666" spans="9:22" x14ac:dyDescent="0.45">
      <c r="I666" t="s">
        <v>191</v>
      </c>
      <c r="J666" t="s">
        <v>272</v>
      </c>
      <c r="K666">
        <v>6.946515110033912E-3</v>
      </c>
      <c r="L666" t="s">
        <v>168</v>
      </c>
      <c r="N666" t="s">
        <v>215</v>
      </c>
      <c r="O666" t="s">
        <v>272</v>
      </c>
      <c r="P666">
        <v>1.8247984587783095E-3</v>
      </c>
      <c r="Q666" t="s">
        <v>168</v>
      </c>
      <c r="S666" t="s">
        <v>234</v>
      </c>
      <c r="T666" t="s">
        <v>272</v>
      </c>
      <c r="U666">
        <v>1.8357984383526806E-3</v>
      </c>
      <c r="V666" t="s">
        <v>168</v>
      </c>
    </row>
    <row r="667" spans="9:22" x14ac:dyDescent="0.45">
      <c r="I667" t="s">
        <v>191</v>
      </c>
      <c r="J667" t="s">
        <v>273</v>
      </c>
      <c r="K667">
        <v>8.702990918855567E-3</v>
      </c>
      <c r="L667" t="s">
        <v>168</v>
      </c>
      <c r="N667" t="s">
        <v>215</v>
      </c>
      <c r="O667" t="s">
        <v>273</v>
      </c>
      <c r="P667">
        <v>1.8620402178150576E-3</v>
      </c>
      <c r="Q667" t="s">
        <v>168</v>
      </c>
      <c r="S667" t="s">
        <v>234</v>
      </c>
      <c r="T667" t="s">
        <v>273</v>
      </c>
      <c r="U667">
        <v>1.812822468167933E-3</v>
      </c>
      <c r="V667" t="s">
        <v>168</v>
      </c>
    </row>
    <row r="668" spans="9:22" x14ac:dyDescent="0.45">
      <c r="I668" t="s">
        <v>191</v>
      </c>
      <c r="J668" t="s">
        <v>274</v>
      </c>
      <c r="K668">
        <v>5.5352496092046413E-2</v>
      </c>
      <c r="L668" t="s">
        <v>168</v>
      </c>
      <c r="N668" t="s">
        <v>215</v>
      </c>
      <c r="O668" t="s">
        <v>274</v>
      </c>
      <c r="P668">
        <v>1.4005096280045017E-2</v>
      </c>
      <c r="Q668" t="s">
        <v>168</v>
      </c>
      <c r="S668" t="s">
        <v>234</v>
      </c>
      <c r="T668" t="s">
        <v>274</v>
      </c>
      <c r="U668">
        <v>1.2080706929906803E-2</v>
      </c>
      <c r="V668" t="s">
        <v>168</v>
      </c>
    </row>
    <row r="669" spans="9:22" x14ac:dyDescent="0.45">
      <c r="I669" t="s">
        <v>191</v>
      </c>
      <c r="J669" t="s">
        <v>275</v>
      </c>
      <c r="K669">
        <v>7.8421144660238869E-3</v>
      </c>
      <c r="L669" t="s">
        <v>168</v>
      </c>
      <c r="N669" t="s">
        <v>215</v>
      </c>
      <c r="O669" t="s">
        <v>275</v>
      </c>
      <c r="P669">
        <v>2.6688535201373599E-3</v>
      </c>
      <c r="Q669" t="s">
        <v>168</v>
      </c>
      <c r="S669" t="s">
        <v>234</v>
      </c>
      <c r="T669" t="s">
        <v>275</v>
      </c>
      <c r="U669">
        <v>2.2677543255772161E-3</v>
      </c>
      <c r="V669" t="s">
        <v>168</v>
      </c>
    </row>
    <row r="670" spans="9:22" x14ac:dyDescent="0.45">
      <c r="I670" t="s">
        <v>191</v>
      </c>
      <c r="J670" t="s">
        <v>276</v>
      </c>
      <c r="K670">
        <v>9.0906746288489503E-3</v>
      </c>
      <c r="L670" t="s">
        <v>168</v>
      </c>
      <c r="N670" t="s">
        <v>215</v>
      </c>
      <c r="O670" t="s">
        <v>276</v>
      </c>
      <c r="P670">
        <v>1.5563357845299599E-2</v>
      </c>
      <c r="Q670" t="s">
        <v>168</v>
      </c>
      <c r="S670" t="s">
        <v>234</v>
      </c>
      <c r="T670" t="s">
        <v>276</v>
      </c>
      <c r="U670">
        <v>1.2094775317313601E-2</v>
      </c>
      <c r="V670" t="s">
        <v>168</v>
      </c>
    </row>
    <row r="671" spans="9:22" x14ac:dyDescent="0.45">
      <c r="I671" t="s">
        <v>191</v>
      </c>
      <c r="J671" t="s">
        <v>277</v>
      </c>
      <c r="K671">
        <v>2.3085129231653753E-3</v>
      </c>
      <c r="L671" t="s">
        <v>168</v>
      </c>
      <c r="N671" t="s">
        <v>215</v>
      </c>
      <c r="O671" t="s">
        <v>277</v>
      </c>
      <c r="P671">
        <v>4.9709207986767381E-2</v>
      </c>
      <c r="Q671" t="s">
        <v>168</v>
      </c>
      <c r="S671" t="s">
        <v>234</v>
      </c>
      <c r="T671" t="s">
        <v>277</v>
      </c>
      <c r="U671">
        <v>5.8226958753224159E-2</v>
      </c>
      <c r="V671" t="s">
        <v>168</v>
      </c>
    </row>
    <row r="672" spans="9:22" x14ac:dyDescent="0.45">
      <c r="I672" t="s">
        <v>191</v>
      </c>
      <c r="J672" t="s">
        <v>278</v>
      </c>
      <c r="K672">
        <v>7.1480896971075243E-3</v>
      </c>
      <c r="L672" t="s">
        <v>168</v>
      </c>
      <c r="N672" t="s">
        <v>215</v>
      </c>
      <c r="O672" t="s">
        <v>278</v>
      </c>
      <c r="P672">
        <v>6.1327514647508061E-3</v>
      </c>
      <c r="Q672" t="s">
        <v>168</v>
      </c>
      <c r="S672" t="s">
        <v>234</v>
      </c>
      <c r="T672" t="s">
        <v>278</v>
      </c>
      <c r="U672">
        <v>6.5532960972099928E-3</v>
      </c>
      <c r="V672" t="s">
        <v>168</v>
      </c>
    </row>
    <row r="673" spans="9:22" x14ac:dyDescent="0.45">
      <c r="I673" t="s">
        <v>191</v>
      </c>
      <c r="J673" t="s">
        <v>279</v>
      </c>
      <c r="K673">
        <v>1.1005617270190272E-2</v>
      </c>
      <c r="L673" t="s">
        <v>168</v>
      </c>
      <c r="N673" t="s">
        <v>215</v>
      </c>
      <c r="O673" t="s">
        <v>279</v>
      </c>
      <c r="P673">
        <v>6.1321384749114935E-3</v>
      </c>
      <c r="Q673" t="s">
        <v>168</v>
      </c>
      <c r="S673" t="s">
        <v>234</v>
      </c>
      <c r="T673" t="s">
        <v>279</v>
      </c>
      <c r="U673">
        <v>6.6086364838392761E-3</v>
      </c>
      <c r="V673" t="s">
        <v>168</v>
      </c>
    </row>
    <row r="674" spans="9:22" x14ac:dyDescent="0.45">
      <c r="I674" t="s">
        <v>191</v>
      </c>
      <c r="J674" t="s">
        <v>280</v>
      </c>
      <c r="K674">
        <v>8.0203990909652703E-2</v>
      </c>
      <c r="L674" t="s">
        <v>168</v>
      </c>
      <c r="N674" t="s">
        <v>215</v>
      </c>
      <c r="O674" t="s">
        <v>280</v>
      </c>
      <c r="P674">
        <v>3.9344125688942785E-2</v>
      </c>
      <c r="Q674" t="s">
        <v>168</v>
      </c>
      <c r="S674" t="s">
        <v>234</v>
      </c>
      <c r="T674" t="s">
        <v>280</v>
      </c>
      <c r="U674">
        <v>4.1480076086528012E-2</v>
      </c>
      <c r="V674" t="s">
        <v>168</v>
      </c>
    </row>
    <row r="675" spans="9:22" x14ac:dyDescent="0.45">
      <c r="I675" t="s">
        <v>191</v>
      </c>
      <c r="J675" t="s">
        <v>281</v>
      </c>
      <c r="K675">
        <v>9.3443861727649808E-3</v>
      </c>
      <c r="L675" t="s">
        <v>168</v>
      </c>
      <c r="N675" t="s">
        <v>215</v>
      </c>
      <c r="O675" t="s">
        <v>281</v>
      </c>
      <c r="P675">
        <v>6.5069543896616507E-3</v>
      </c>
      <c r="Q675" t="s">
        <v>168</v>
      </c>
      <c r="S675" t="s">
        <v>234</v>
      </c>
      <c r="T675" t="s">
        <v>281</v>
      </c>
      <c r="U675">
        <v>7.2150017829079637E-3</v>
      </c>
      <c r="V675" t="s">
        <v>168</v>
      </c>
    </row>
    <row r="676" spans="9:22" x14ac:dyDescent="0.45">
      <c r="I676" t="s">
        <v>191</v>
      </c>
      <c r="J676" t="s">
        <v>282</v>
      </c>
      <c r="K676">
        <v>4.7035656826976829E-3</v>
      </c>
      <c r="L676" t="s">
        <v>168</v>
      </c>
      <c r="N676" t="s">
        <v>215</v>
      </c>
      <c r="O676" t="s">
        <v>282</v>
      </c>
      <c r="P676">
        <v>4.4237339409112932E-2</v>
      </c>
      <c r="Q676" t="s">
        <v>168</v>
      </c>
      <c r="S676" t="s">
        <v>234</v>
      </c>
      <c r="T676" t="s">
        <v>282</v>
      </c>
      <c r="U676">
        <v>5.2767581889225111E-2</v>
      </c>
      <c r="V676" t="s">
        <v>168</v>
      </c>
    </row>
    <row r="677" spans="9:22" x14ac:dyDescent="0.45">
      <c r="I677" t="s">
        <v>191</v>
      </c>
      <c r="J677" t="s">
        <v>283</v>
      </c>
      <c r="K677">
        <v>0</v>
      </c>
      <c r="L677" t="s">
        <v>168</v>
      </c>
      <c r="N677" t="s">
        <v>215</v>
      </c>
      <c r="O677" t="s">
        <v>283</v>
      </c>
      <c r="P677">
        <v>2.3495397205885549E-2</v>
      </c>
      <c r="Q677" t="s">
        <v>168</v>
      </c>
      <c r="S677" t="s">
        <v>234</v>
      </c>
      <c r="T677" t="s">
        <v>283</v>
      </c>
      <c r="U677">
        <v>2.2379789610535699E-2</v>
      </c>
      <c r="V677" t="s">
        <v>168</v>
      </c>
    </row>
    <row r="678" spans="9:22" x14ac:dyDescent="0.45">
      <c r="I678" t="s">
        <v>191</v>
      </c>
      <c r="J678" t="s">
        <v>284</v>
      </c>
      <c r="K678">
        <v>2.0564051620165823E-3</v>
      </c>
      <c r="L678" t="s">
        <v>168</v>
      </c>
      <c r="N678" t="s">
        <v>215</v>
      </c>
      <c r="O678" t="s">
        <v>284</v>
      </c>
      <c r="P678">
        <v>2.6950732320548229E-3</v>
      </c>
      <c r="Q678" t="s">
        <v>168</v>
      </c>
      <c r="S678" t="s">
        <v>234</v>
      </c>
      <c r="T678" t="s">
        <v>284</v>
      </c>
      <c r="U678">
        <v>2.6809642782658089E-3</v>
      </c>
      <c r="V678" t="s">
        <v>168</v>
      </c>
    </row>
    <row r="679" spans="9:22" x14ac:dyDescent="0.45">
      <c r="I679" t="s">
        <v>191</v>
      </c>
      <c r="J679" t="s">
        <v>285</v>
      </c>
      <c r="K679">
        <v>4.1418741335365553E-3</v>
      </c>
      <c r="L679" t="s">
        <v>168</v>
      </c>
      <c r="N679" t="s">
        <v>215</v>
      </c>
      <c r="O679" t="s">
        <v>285</v>
      </c>
      <c r="P679">
        <v>2.6520284568291737E-3</v>
      </c>
      <c r="Q679" t="s">
        <v>168</v>
      </c>
      <c r="S679" t="s">
        <v>234</v>
      </c>
      <c r="T679" t="s">
        <v>285</v>
      </c>
      <c r="U679">
        <v>2.6773894606097288E-3</v>
      </c>
      <c r="V679" t="s">
        <v>168</v>
      </c>
    </row>
    <row r="680" spans="9:22" x14ac:dyDescent="0.45">
      <c r="I680" t="s">
        <v>191</v>
      </c>
      <c r="J680" t="s">
        <v>286</v>
      </c>
      <c r="K680">
        <v>3.6334137691997413E-2</v>
      </c>
      <c r="L680" t="s">
        <v>168</v>
      </c>
      <c r="N680" t="s">
        <v>215</v>
      </c>
      <c r="O680" t="s">
        <v>286</v>
      </c>
      <c r="P680">
        <v>1.5933148139240495E-2</v>
      </c>
      <c r="Q680" t="s">
        <v>168</v>
      </c>
      <c r="S680" t="s">
        <v>234</v>
      </c>
      <c r="T680" t="s">
        <v>286</v>
      </c>
      <c r="U680">
        <v>1.6450384025356195E-2</v>
      </c>
      <c r="V680" t="s">
        <v>168</v>
      </c>
    </row>
    <row r="681" spans="9:22" x14ac:dyDescent="0.45">
      <c r="I681" t="s">
        <v>191</v>
      </c>
      <c r="J681" t="s">
        <v>287</v>
      </c>
      <c r="K681">
        <v>3.6955770628633619E-3</v>
      </c>
      <c r="L681" t="s">
        <v>168</v>
      </c>
      <c r="N681" t="s">
        <v>215</v>
      </c>
      <c r="O681" t="s">
        <v>287</v>
      </c>
      <c r="P681">
        <v>2.8657789476714489E-3</v>
      </c>
      <c r="Q681" t="s">
        <v>168</v>
      </c>
      <c r="S681" t="s">
        <v>234</v>
      </c>
      <c r="T681" t="s">
        <v>287</v>
      </c>
      <c r="U681">
        <v>2.7070692847525769E-3</v>
      </c>
      <c r="V681" t="s">
        <v>168</v>
      </c>
    </row>
    <row r="682" spans="9:22" x14ac:dyDescent="0.45">
      <c r="I682" t="s">
        <v>191</v>
      </c>
      <c r="J682" t="s">
        <v>288</v>
      </c>
      <c r="K682">
        <v>6.8535578863357264E-6</v>
      </c>
      <c r="L682" t="s">
        <v>168</v>
      </c>
      <c r="N682" t="s">
        <v>215</v>
      </c>
      <c r="O682" t="s">
        <v>288</v>
      </c>
      <c r="P682">
        <v>2.0944774445564092E-2</v>
      </c>
      <c r="Q682" t="s">
        <v>168</v>
      </c>
      <c r="S682" t="s">
        <v>234</v>
      </c>
      <c r="T682" t="s">
        <v>288</v>
      </c>
      <c r="U682">
        <v>1.9225424167093233E-2</v>
      </c>
      <c r="V682" t="s">
        <v>168</v>
      </c>
    </row>
    <row r="683" spans="9:22" x14ac:dyDescent="0.45">
      <c r="I683" t="s">
        <v>192</v>
      </c>
      <c r="J683" t="s">
        <v>167</v>
      </c>
      <c r="K683">
        <v>0</v>
      </c>
      <c r="L683" t="s">
        <v>168</v>
      </c>
      <c r="N683" t="s">
        <v>216</v>
      </c>
      <c r="O683" t="s">
        <v>167</v>
      </c>
      <c r="P683">
        <v>8.2890073680358708E-2</v>
      </c>
      <c r="Q683" t="s">
        <v>168</v>
      </c>
      <c r="S683" t="s">
        <v>235</v>
      </c>
      <c r="T683" t="s">
        <v>167</v>
      </c>
      <c r="U683">
        <v>8.5255842282371638E-2</v>
      </c>
      <c r="V683" t="s">
        <v>168</v>
      </c>
    </row>
    <row r="684" spans="9:22" x14ac:dyDescent="0.45">
      <c r="I684" t="s">
        <v>192</v>
      </c>
      <c r="J684" t="s">
        <v>169</v>
      </c>
      <c r="K684">
        <v>1.7837246821318304E-3</v>
      </c>
      <c r="L684" t="s">
        <v>168</v>
      </c>
      <c r="N684" t="s">
        <v>216</v>
      </c>
      <c r="O684" t="s">
        <v>169</v>
      </c>
      <c r="P684">
        <v>1.000246079449778E-2</v>
      </c>
      <c r="Q684" t="s">
        <v>168</v>
      </c>
      <c r="S684" t="s">
        <v>235</v>
      </c>
      <c r="T684" t="s">
        <v>169</v>
      </c>
      <c r="U684">
        <v>1.0539497417150543E-2</v>
      </c>
      <c r="V684" t="s">
        <v>168</v>
      </c>
    </row>
    <row r="685" spans="9:22" x14ac:dyDescent="0.45">
      <c r="I685" t="s">
        <v>192</v>
      </c>
      <c r="J685" t="s">
        <v>170</v>
      </c>
      <c r="K685">
        <v>6.6976954241789654E-3</v>
      </c>
      <c r="L685" t="s">
        <v>168</v>
      </c>
      <c r="N685" t="s">
        <v>216</v>
      </c>
      <c r="O685" t="s">
        <v>170</v>
      </c>
      <c r="P685">
        <v>1.0120459906522218E-2</v>
      </c>
      <c r="Q685" t="s">
        <v>168</v>
      </c>
      <c r="S685" t="s">
        <v>235</v>
      </c>
      <c r="T685" t="s">
        <v>170</v>
      </c>
      <c r="U685">
        <v>1.0581711705164816E-2</v>
      </c>
      <c r="V685" t="s">
        <v>168</v>
      </c>
    </row>
    <row r="686" spans="9:22" x14ac:dyDescent="0.45">
      <c r="I686" t="s">
        <v>192</v>
      </c>
      <c r="J686" t="s">
        <v>256</v>
      </c>
      <c r="K686">
        <v>7.2397051123384709E-2</v>
      </c>
      <c r="L686" t="s">
        <v>168</v>
      </c>
      <c r="N686" t="s">
        <v>216</v>
      </c>
      <c r="O686" t="s">
        <v>256</v>
      </c>
      <c r="P686">
        <v>8.4630862079938696E-2</v>
      </c>
      <c r="Q686" t="s">
        <v>168</v>
      </c>
      <c r="S686" t="s">
        <v>235</v>
      </c>
      <c r="T686" t="s">
        <v>256</v>
      </c>
      <c r="U686">
        <v>7.0317834517670069E-2</v>
      </c>
      <c r="V686" t="s">
        <v>168</v>
      </c>
    </row>
    <row r="687" spans="9:22" x14ac:dyDescent="0.45">
      <c r="I687" t="s">
        <v>192</v>
      </c>
      <c r="J687" t="s">
        <v>257</v>
      </c>
      <c r="K687">
        <v>9.3009715928267199E-3</v>
      </c>
      <c r="L687" t="s">
        <v>168</v>
      </c>
      <c r="N687" t="s">
        <v>216</v>
      </c>
      <c r="O687" t="s">
        <v>257</v>
      </c>
      <c r="P687">
        <v>1.4071523557040982E-2</v>
      </c>
      <c r="Q687" t="s">
        <v>168</v>
      </c>
      <c r="S687" t="s">
        <v>235</v>
      </c>
      <c r="T687" t="s">
        <v>257</v>
      </c>
      <c r="U687">
        <v>1.2482627261925143E-2</v>
      </c>
      <c r="V687" t="s">
        <v>168</v>
      </c>
    </row>
    <row r="688" spans="9:22" x14ac:dyDescent="0.45">
      <c r="I688" t="s">
        <v>192</v>
      </c>
      <c r="J688" t="s">
        <v>258</v>
      </c>
      <c r="K688">
        <v>5.5007432813915791E-3</v>
      </c>
      <c r="L688" t="s">
        <v>168</v>
      </c>
      <c r="N688" t="s">
        <v>216</v>
      </c>
      <c r="O688" t="s">
        <v>258</v>
      </c>
      <c r="P688">
        <v>8.1767415783735517E-2</v>
      </c>
      <c r="Q688" t="s">
        <v>168</v>
      </c>
      <c r="S688" t="s">
        <v>235</v>
      </c>
      <c r="T688" t="s">
        <v>258</v>
      </c>
      <c r="U688">
        <v>8.3041702530176953E-2</v>
      </c>
      <c r="V688" t="s">
        <v>168</v>
      </c>
    </row>
    <row r="689" spans="9:22" x14ac:dyDescent="0.45">
      <c r="I689" t="s">
        <v>192</v>
      </c>
      <c r="J689" t="s">
        <v>171</v>
      </c>
      <c r="K689">
        <v>2.3744485040755194E-2</v>
      </c>
      <c r="L689" t="s">
        <v>168</v>
      </c>
      <c r="N689" t="s">
        <v>216</v>
      </c>
      <c r="O689" t="s">
        <v>171</v>
      </c>
      <c r="P689">
        <v>0.1311738596255656</v>
      </c>
      <c r="Q689" t="s">
        <v>168</v>
      </c>
      <c r="S689" t="s">
        <v>235</v>
      </c>
      <c r="T689" t="s">
        <v>171</v>
      </c>
      <c r="U689">
        <v>0.13603130017673362</v>
      </c>
      <c r="V689" t="s">
        <v>168</v>
      </c>
    </row>
    <row r="690" spans="9:22" x14ac:dyDescent="0.45">
      <c r="I690" t="s">
        <v>192</v>
      </c>
      <c r="J690" t="s">
        <v>172</v>
      </c>
      <c r="K690">
        <v>2.5848154892384217E-2</v>
      </c>
      <c r="L690" t="s">
        <v>168</v>
      </c>
      <c r="N690" t="s">
        <v>216</v>
      </c>
      <c r="O690" t="s">
        <v>172</v>
      </c>
      <c r="P690">
        <v>1.6000647134015854E-2</v>
      </c>
      <c r="Q690" t="s">
        <v>168</v>
      </c>
      <c r="S690" t="s">
        <v>235</v>
      </c>
      <c r="T690" t="s">
        <v>172</v>
      </c>
      <c r="U690">
        <v>1.7418985769971647E-2</v>
      </c>
      <c r="V690" t="s">
        <v>168</v>
      </c>
    </row>
    <row r="691" spans="9:22" x14ac:dyDescent="0.45">
      <c r="I691" t="s">
        <v>192</v>
      </c>
      <c r="J691" t="s">
        <v>173</v>
      </c>
      <c r="K691">
        <v>3.427379860597516E-2</v>
      </c>
      <c r="L691" t="s">
        <v>168</v>
      </c>
      <c r="N691" t="s">
        <v>216</v>
      </c>
      <c r="O691" t="s">
        <v>173</v>
      </c>
      <c r="P691">
        <v>1.6985764293070926E-2</v>
      </c>
      <c r="Q691" t="s">
        <v>168</v>
      </c>
      <c r="S691" t="s">
        <v>235</v>
      </c>
      <c r="T691" t="s">
        <v>173</v>
      </c>
      <c r="U691">
        <v>1.7495383182465161E-2</v>
      </c>
      <c r="V691" t="s">
        <v>168</v>
      </c>
    </row>
    <row r="692" spans="9:22" x14ac:dyDescent="0.45">
      <c r="I692" t="s">
        <v>192</v>
      </c>
      <c r="J692" t="s">
        <v>259</v>
      </c>
      <c r="K692">
        <v>0.2426439365807479</v>
      </c>
      <c r="L692" t="s">
        <v>168</v>
      </c>
      <c r="N692" t="s">
        <v>216</v>
      </c>
      <c r="O692" t="s">
        <v>259</v>
      </c>
      <c r="P692">
        <v>0.12432824814695968</v>
      </c>
      <c r="Q692" t="s">
        <v>168</v>
      </c>
      <c r="S692" t="s">
        <v>235</v>
      </c>
      <c r="T692" t="s">
        <v>259</v>
      </c>
      <c r="U692">
        <v>0.11327640754288008</v>
      </c>
      <c r="V692" t="s">
        <v>168</v>
      </c>
    </row>
    <row r="693" spans="9:22" x14ac:dyDescent="0.45">
      <c r="I693" t="s">
        <v>192</v>
      </c>
      <c r="J693" t="s">
        <v>260</v>
      </c>
      <c r="K693">
        <v>3.3821845111902143E-2</v>
      </c>
      <c r="L693" t="s">
        <v>168</v>
      </c>
      <c r="N693" t="s">
        <v>216</v>
      </c>
      <c r="O693" t="s">
        <v>260</v>
      </c>
      <c r="P693">
        <v>2.3407941832749548E-2</v>
      </c>
      <c r="Q693" t="s">
        <v>168</v>
      </c>
      <c r="S693" t="s">
        <v>235</v>
      </c>
      <c r="T693" t="s">
        <v>260</v>
      </c>
      <c r="U693">
        <v>2.0578815191507869E-2</v>
      </c>
      <c r="V693" t="s">
        <v>168</v>
      </c>
    </row>
    <row r="694" spans="9:22" x14ac:dyDescent="0.45">
      <c r="I694" t="s">
        <v>192</v>
      </c>
      <c r="J694" t="s">
        <v>261</v>
      </c>
      <c r="K694">
        <v>5.4109766601597255E-2</v>
      </c>
      <c r="L694" t="s">
        <v>168</v>
      </c>
      <c r="N694" t="s">
        <v>216</v>
      </c>
      <c r="O694" t="s">
        <v>261</v>
      </c>
      <c r="P694">
        <v>0.13353430560393778</v>
      </c>
      <c r="Q694" t="s">
        <v>168</v>
      </c>
      <c r="S694" t="s">
        <v>235</v>
      </c>
      <c r="T694" t="s">
        <v>261</v>
      </c>
      <c r="U694">
        <v>0.13308139708996347</v>
      </c>
      <c r="V694" t="s">
        <v>168</v>
      </c>
    </row>
    <row r="695" spans="9:22" x14ac:dyDescent="0.45">
      <c r="I695" t="s">
        <v>192</v>
      </c>
      <c r="J695" t="s">
        <v>174</v>
      </c>
      <c r="K695">
        <v>1.1135144911400793E-2</v>
      </c>
      <c r="L695" t="s">
        <v>168</v>
      </c>
      <c r="N695" t="s">
        <v>216</v>
      </c>
      <c r="O695" t="s">
        <v>174</v>
      </c>
      <c r="P695">
        <v>1.882696845546594E-3</v>
      </c>
      <c r="Q695" t="s">
        <v>168</v>
      </c>
      <c r="S695" t="s">
        <v>235</v>
      </c>
      <c r="T695" t="s">
        <v>174</v>
      </c>
      <c r="U695">
        <v>4.263106578782391E-3</v>
      </c>
      <c r="V695" t="s">
        <v>168</v>
      </c>
    </row>
    <row r="696" spans="9:22" x14ac:dyDescent="0.45">
      <c r="I696" t="s">
        <v>192</v>
      </c>
      <c r="J696" t="s">
        <v>175</v>
      </c>
      <c r="K696">
        <v>1.0049230853228808E-2</v>
      </c>
      <c r="L696" t="s">
        <v>168</v>
      </c>
      <c r="N696" t="s">
        <v>216</v>
      </c>
      <c r="O696" t="s">
        <v>175</v>
      </c>
      <c r="P696">
        <v>2.6315616549969035E-4</v>
      </c>
      <c r="Q696" t="s">
        <v>168</v>
      </c>
      <c r="S696" t="s">
        <v>235</v>
      </c>
      <c r="T696" t="s">
        <v>175</v>
      </c>
      <c r="U696">
        <v>3.7806805156913737E-4</v>
      </c>
      <c r="V696" t="s">
        <v>168</v>
      </c>
    </row>
    <row r="697" spans="9:22" x14ac:dyDescent="0.45">
      <c r="I697" t="s">
        <v>192</v>
      </c>
      <c r="J697" t="s">
        <v>176</v>
      </c>
      <c r="K697">
        <v>1.2020460498637331E-2</v>
      </c>
      <c r="L697" t="s">
        <v>168</v>
      </c>
      <c r="N697" t="s">
        <v>216</v>
      </c>
      <c r="O697" t="s">
        <v>176</v>
      </c>
      <c r="P697">
        <v>3.1521303822887743E-4</v>
      </c>
      <c r="Q697" t="s">
        <v>168</v>
      </c>
      <c r="S697" t="s">
        <v>235</v>
      </c>
      <c r="T697" t="s">
        <v>176</v>
      </c>
      <c r="U697">
        <v>3.6160981950884272E-4</v>
      </c>
      <c r="V697" t="s">
        <v>168</v>
      </c>
    </row>
    <row r="698" spans="9:22" x14ac:dyDescent="0.45">
      <c r="I698" t="s">
        <v>192</v>
      </c>
      <c r="J698" t="s">
        <v>262</v>
      </c>
      <c r="K698">
        <v>7.5776013913077131E-2</v>
      </c>
      <c r="L698" t="s">
        <v>168</v>
      </c>
      <c r="N698" t="s">
        <v>216</v>
      </c>
      <c r="O698" t="s">
        <v>262</v>
      </c>
      <c r="P698">
        <v>4.0746131989350181E-3</v>
      </c>
      <c r="Q698" t="s">
        <v>168</v>
      </c>
      <c r="S698" t="s">
        <v>235</v>
      </c>
      <c r="T698" t="s">
        <v>262</v>
      </c>
      <c r="U698">
        <v>3.6561155794411445E-3</v>
      </c>
      <c r="V698" t="s">
        <v>168</v>
      </c>
    </row>
    <row r="699" spans="9:22" x14ac:dyDescent="0.45">
      <c r="I699" t="s">
        <v>192</v>
      </c>
      <c r="J699" t="s">
        <v>263</v>
      </c>
      <c r="K699">
        <v>1.0178108338680119E-2</v>
      </c>
      <c r="L699" t="s">
        <v>168</v>
      </c>
      <c r="N699" t="s">
        <v>216</v>
      </c>
      <c r="O699" t="s">
        <v>263</v>
      </c>
      <c r="P699">
        <v>1.1586006247611127E-3</v>
      </c>
      <c r="Q699" t="s">
        <v>168</v>
      </c>
      <c r="S699" t="s">
        <v>235</v>
      </c>
      <c r="T699" t="s">
        <v>263</v>
      </c>
      <c r="U699">
        <v>9.6698364935966438E-4</v>
      </c>
      <c r="V699" t="s">
        <v>168</v>
      </c>
    </row>
    <row r="700" spans="9:22" x14ac:dyDescent="0.45">
      <c r="I700" t="s">
        <v>192</v>
      </c>
      <c r="J700" t="s">
        <v>264</v>
      </c>
      <c r="K700">
        <v>2.1393018597651327E-2</v>
      </c>
      <c r="L700" t="s">
        <v>168</v>
      </c>
      <c r="N700" t="s">
        <v>216</v>
      </c>
      <c r="O700" t="s">
        <v>264</v>
      </c>
      <c r="P700">
        <v>4.0972874295978554E-3</v>
      </c>
      <c r="Q700" t="s">
        <v>168</v>
      </c>
      <c r="S700" t="s">
        <v>235</v>
      </c>
      <c r="T700" t="s">
        <v>264</v>
      </c>
      <c r="U700">
        <v>5.2394504488438819E-3</v>
      </c>
      <c r="V700" t="s">
        <v>168</v>
      </c>
    </row>
    <row r="701" spans="9:22" x14ac:dyDescent="0.45">
      <c r="I701" t="s">
        <v>192</v>
      </c>
      <c r="J701" t="s">
        <v>265</v>
      </c>
      <c r="K701">
        <v>8.8460731456617651E-3</v>
      </c>
      <c r="L701" t="s">
        <v>168</v>
      </c>
      <c r="N701" t="s">
        <v>216</v>
      </c>
      <c r="O701" t="s">
        <v>265</v>
      </c>
      <c r="P701">
        <v>5.7500788193412915E-3</v>
      </c>
      <c r="Q701" t="s">
        <v>168</v>
      </c>
      <c r="S701" t="s">
        <v>235</v>
      </c>
      <c r="T701" t="s">
        <v>265</v>
      </c>
      <c r="U701">
        <v>7.2420973030115779E-3</v>
      </c>
      <c r="V701" t="s">
        <v>168</v>
      </c>
    </row>
    <row r="702" spans="9:22" x14ac:dyDescent="0.45">
      <c r="I702" t="s">
        <v>192</v>
      </c>
      <c r="J702" t="s">
        <v>266</v>
      </c>
      <c r="K702">
        <v>8.744533490102983E-3</v>
      </c>
      <c r="L702" t="s">
        <v>168</v>
      </c>
      <c r="N702" t="s">
        <v>216</v>
      </c>
      <c r="O702" t="s">
        <v>266</v>
      </c>
      <c r="P702">
        <v>6.2933133657230877E-4</v>
      </c>
      <c r="Q702" t="s">
        <v>168</v>
      </c>
      <c r="S702" t="s">
        <v>235</v>
      </c>
      <c r="T702" t="s">
        <v>266</v>
      </c>
      <c r="U702">
        <v>8.9950479154794673E-4</v>
      </c>
      <c r="V702" t="s">
        <v>168</v>
      </c>
    </row>
    <row r="703" spans="9:22" x14ac:dyDescent="0.45">
      <c r="I703" t="s">
        <v>192</v>
      </c>
      <c r="J703" t="s">
        <v>267</v>
      </c>
      <c r="K703">
        <v>1.0733970771879727E-2</v>
      </c>
      <c r="L703" t="s">
        <v>168</v>
      </c>
      <c r="N703" t="s">
        <v>216</v>
      </c>
      <c r="O703" t="s">
        <v>267</v>
      </c>
      <c r="P703">
        <v>6.0922979536716685E-4</v>
      </c>
      <c r="Q703" t="s">
        <v>168</v>
      </c>
      <c r="S703" t="s">
        <v>235</v>
      </c>
      <c r="T703" t="s">
        <v>267</v>
      </c>
      <c r="U703">
        <v>8.9273898276475067E-4</v>
      </c>
      <c r="V703" t="s">
        <v>168</v>
      </c>
    </row>
    <row r="704" spans="9:22" x14ac:dyDescent="0.45">
      <c r="I704" t="s">
        <v>192</v>
      </c>
      <c r="J704" t="s">
        <v>268</v>
      </c>
      <c r="K704">
        <v>6.8956185964902772E-2</v>
      </c>
      <c r="L704" t="s">
        <v>168</v>
      </c>
      <c r="N704" t="s">
        <v>216</v>
      </c>
      <c r="O704" t="s">
        <v>268</v>
      </c>
      <c r="P704">
        <v>7.463143508015772E-3</v>
      </c>
      <c r="Q704" t="s">
        <v>168</v>
      </c>
      <c r="S704" t="s">
        <v>235</v>
      </c>
      <c r="T704" t="s">
        <v>268</v>
      </c>
      <c r="U704">
        <v>6.6831440738356037E-3</v>
      </c>
      <c r="V704" t="s">
        <v>168</v>
      </c>
    </row>
    <row r="705" spans="9:22" x14ac:dyDescent="0.45">
      <c r="I705" t="s">
        <v>192</v>
      </c>
      <c r="J705" t="s">
        <v>269</v>
      </c>
      <c r="K705">
        <v>9.3733535526219717E-3</v>
      </c>
      <c r="L705" t="s">
        <v>168</v>
      </c>
      <c r="N705" t="s">
        <v>216</v>
      </c>
      <c r="O705" t="s">
        <v>269</v>
      </c>
      <c r="P705">
        <v>1.7368348274652073E-3</v>
      </c>
      <c r="Q705" t="s">
        <v>168</v>
      </c>
      <c r="S705" t="s">
        <v>235</v>
      </c>
      <c r="T705" t="s">
        <v>269</v>
      </c>
      <c r="U705">
        <v>1.6146711601973112E-3</v>
      </c>
      <c r="V705" t="s">
        <v>168</v>
      </c>
    </row>
    <row r="706" spans="9:22" x14ac:dyDescent="0.45">
      <c r="I706" t="s">
        <v>192</v>
      </c>
      <c r="J706" t="s">
        <v>270</v>
      </c>
      <c r="K706">
        <v>1.8871296884292031E-2</v>
      </c>
      <c r="L706" t="s">
        <v>168</v>
      </c>
      <c r="N706" t="s">
        <v>216</v>
      </c>
      <c r="O706" t="s">
        <v>270</v>
      </c>
      <c r="P706">
        <v>6.5616839226411254E-3</v>
      </c>
      <c r="Q706" t="s">
        <v>168</v>
      </c>
      <c r="S706" t="s">
        <v>235</v>
      </c>
      <c r="T706" t="s">
        <v>270</v>
      </c>
      <c r="U706">
        <v>9.5715267138166121E-3</v>
      </c>
      <c r="V706" t="s">
        <v>168</v>
      </c>
    </row>
    <row r="707" spans="9:22" x14ac:dyDescent="0.45">
      <c r="I707" t="s">
        <v>192</v>
      </c>
      <c r="J707" t="s">
        <v>271</v>
      </c>
      <c r="K707">
        <v>3.0391775137932346E-3</v>
      </c>
      <c r="L707" t="s">
        <v>168</v>
      </c>
      <c r="N707" t="s">
        <v>216</v>
      </c>
      <c r="O707" t="s">
        <v>271</v>
      </c>
      <c r="P707">
        <v>9.8577069713682679E-3</v>
      </c>
      <c r="Q707" t="s">
        <v>168</v>
      </c>
      <c r="S707" t="s">
        <v>235</v>
      </c>
      <c r="T707" t="s">
        <v>271</v>
      </c>
      <c r="U707">
        <v>1.3494663896675469E-2</v>
      </c>
      <c r="V707" t="s">
        <v>168</v>
      </c>
    </row>
    <row r="708" spans="9:22" x14ac:dyDescent="0.45">
      <c r="I708" t="s">
        <v>192</v>
      </c>
      <c r="J708" t="s">
        <v>272</v>
      </c>
      <c r="K708">
        <v>5.1660417229211089E-3</v>
      </c>
      <c r="L708" t="s">
        <v>168</v>
      </c>
      <c r="N708" t="s">
        <v>216</v>
      </c>
      <c r="O708" t="s">
        <v>272</v>
      </c>
      <c r="P708">
        <v>1.3450565267635161E-3</v>
      </c>
      <c r="Q708" t="s">
        <v>168</v>
      </c>
      <c r="S708" t="s">
        <v>235</v>
      </c>
      <c r="T708" t="s">
        <v>272</v>
      </c>
      <c r="U708">
        <v>2.001134232760196E-3</v>
      </c>
      <c r="V708" t="s">
        <v>168</v>
      </c>
    </row>
    <row r="709" spans="9:22" x14ac:dyDescent="0.45">
      <c r="I709" t="s">
        <v>192</v>
      </c>
      <c r="J709" t="s">
        <v>273</v>
      </c>
      <c r="K709">
        <v>7.2737184910900256E-3</v>
      </c>
      <c r="L709" t="s">
        <v>168</v>
      </c>
      <c r="N709" t="s">
        <v>216</v>
      </c>
      <c r="O709" t="s">
        <v>273</v>
      </c>
      <c r="P709">
        <v>1.482826955279281E-3</v>
      </c>
      <c r="Q709" t="s">
        <v>168</v>
      </c>
      <c r="S709" t="s">
        <v>235</v>
      </c>
      <c r="T709" t="s">
        <v>273</v>
      </c>
      <c r="U709">
        <v>2.08124029006572E-3</v>
      </c>
      <c r="V709" t="s">
        <v>168</v>
      </c>
    </row>
    <row r="710" spans="9:22" x14ac:dyDescent="0.45">
      <c r="I710" t="s">
        <v>192</v>
      </c>
      <c r="J710" t="s">
        <v>274</v>
      </c>
      <c r="K710">
        <v>5.3230815330471311E-2</v>
      </c>
      <c r="L710" t="s">
        <v>168</v>
      </c>
      <c r="N710" t="s">
        <v>216</v>
      </c>
      <c r="O710" t="s">
        <v>274</v>
      </c>
      <c r="P710">
        <v>1.2977409425591316E-2</v>
      </c>
      <c r="Q710" t="s">
        <v>168</v>
      </c>
      <c r="S710" t="s">
        <v>235</v>
      </c>
      <c r="T710" t="s">
        <v>274</v>
      </c>
      <c r="U710">
        <v>1.445862861165181E-2</v>
      </c>
      <c r="V710" t="s">
        <v>168</v>
      </c>
    </row>
    <row r="711" spans="9:22" x14ac:dyDescent="0.45">
      <c r="I711" t="s">
        <v>192</v>
      </c>
      <c r="J711" t="s">
        <v>275</v>
      </c>
      <c r="K711">
        <v>7.1659645750821047E-3</v>
      </c>
      <c r="L711" t="s">
        <v>168</v>
      </c>
      <c r="N711" t="s">
        <v>216</v>
      </c>
      <c r="O711" t="s">
        <v>275</v>
      </c>
      <c r="P711">
        <v>2.510753180232729E-3</v>
      </c>
      <c r="Q711" t="s">
        <v>168</v>
      </c>
      <c r="S711" t="s">
        <v>235</v>
      </c>
      <c r="T711" t="s">
        <v>275</v>
      </c>
      <c r="U711">
        <v>2.7767776761717373E-3</v>
      </c>
      <c r="V711" t="s">
        <v>168</v>
      </c>
    </row>
    <row r="712" spans="9:22" x14ac:dyDescent="0.45">
      <c r="I712" t="s">
        <v>192</v>
      </c>
      <c r="J712" t="s">
        <v>276</v>
      </c>
      <c r="K712">
        <v>9.4864176355710199E-3</v>
      </c>
      <c r="L712" t="s">
        <v>168</v>
      </c>
      <c r="N712" t="s">
        <v>216</v>
      </c>
      <c r="O712" t="s">
        <v>276</v>
      </c>
      <c r="P712">
        <v>9.702814481540388E-3</v>
      </c>
      <c r="Q712" t="s">
        <v>168</v>
      </c>
      <c r="S712" t="s">
        <v>235</v>
      </c>
      <c r="T712" t="s">
        <v>276</v>
      </c>
      <c r="U712">
        <v>1.7250724435184172E-2</v>
      </c>
      <c r="V712" t="s">
        <v>168</v>
      </c>
    </row>
    <row r="713" spans="9:22" x14ac:dyDescent="0.45">
      <c r="I713" t="s">
        <v>192</v>
      </c>
      <c r="J713" t="s">
        <v>277</v>
      </c>
      <c r="K713">
        <v>6.0329207473427591E-4</v>
      </c>
      <c r="L713" t="s">
        <v>168</v>
      </c>
      <c r="N713" t="s">
        <v>216</v>
      </c>
      <c r="O713" t="s">
        <v>277</v>
      </c>
      <c r="P713">
        <v>4.4572174021666584E-2</v>
      </c>
      <c r="Q713" t="s">
        <v>168</v>
      </c>
      <c r="S713" t="s">
        <v>235</v>
      </c>
      <c r="T713" t="s">
        <v>277</v>
      </c>
      <c r="U713">
        <v>3.9241109232416839E-2</v>
      </c>
      <c r="V713" t="s">
        <v>168</v>
      </c>
    </row>
    <row r="714" spans="9:22" x14ac:dyDescent="0.45">
      <c r="I714" t="s">
        <v>192</v>
      </c>
      <c r="J714" t="s">
        <v>278</v>
      </c>
      <c r="K714">
        <v>3.4458675449672363E-3</v>
      </c>
      <c r="L714" t="s">
        <v>168</v>
      </c>
      <c r="N714" t="s">
        <v>216</v>
      </c>
      <c r="O714" t="s">
        <v>278</v>
      </c>
      <c r="P714">
        <v>5.4972403790275043E-3</v>
      </c>
      <c r="Q714" t="s">
        <v>168</v>
      </c>
      <c r="S714" t="s">
        <v>235</v>
      </c>
      <c r="T714" t="s">
        <v>278</v>
      </c>
      <c r="U714">
        <v>4.8609883453885625E-3</v>
      </c>
      <c r="V714" t="s">
        <v>168</v>
      </c>
    </row>
    <row r="715" spans="9:22" x14ac:dyDescent="0.45">
      <c r="I715" t="s">
        <v>192</v>
      </c>
      <c r="J715" t="s">
        <v>279</v>
      </c>
      <c r="K715">
        <v>7.3112506706024382E-3</v>
      </c>
      <c r="L715" t="s">
        <v>168</v>
      </c>
      <c r="N715" t="s">
        <v>216</v>
      </c>
      <c r="O715" t="s">
        <v>279</v>
      </c>
      <c r="P715">
        <v>5.6178535906813007E-3</v>
      </c>
      <c r="Q715" t="s">
        <v>168</v>
      </c>
      <c r="S715" t="s">
        <v>235</v>
      </c>
      <c r="T715" t="s">
        <v>279</v>
      </c>
      <c r="U715">
        <v>5.0530355551258385E-3</v>
      </c>
      <c r="V715" t="s">
        <v>168</v>
      </c>
    </row>
    <row r="716" spans="9:22" x14ac:dyDescent="0.45">
      <c r="I716" t="s">
        <v>192</v>
      </c>
      <c r="J716" t="s">
        <v>280</v>
      </c>
      <c r="K716">
        <v>6.8879972801073136E-2</v>
      </c>
      <c r="L716" t="s">
        <v>168</v>
      </c>
      <c r="N716" t="s">
        <v>216</v>
      </c>
      <c r="O716" t="s">
        <v>280</v>
      </c>
      <c r="P716">
        <v>4.6062102648695188E-2</v>
      </c>
      <c r="Q716" t="s">
        <v>168</v>
      </c>
      <c r="S716" t="s">
        <v>235</v>
      </c>
      <c r="T716" t="s">
        <v>280</v>
      </c>
      <c r="U716">
        <v>3.3602745103772605E-2</v>
      </c>
      <c r="V716" t="s">
        <v>168</v>
      </c>
    </row>
    <row r="717" spans="9:22" x14ac:dyDescent="0.45">
      <c r="I717" t="s">
        <v>192</v>
      </c>
      <c r="J717" t="s">
        <v>281</v>
      </c>
      <c r="K717">
        <v>8.3514047486137385E-3</v>
      </c>
      <c r="L717" t="s">
        <v>168</v>
      </c>
      <c r="N717" t="s">
        <v>216</v>
      </c>
      <c r="O717" t="s">
        <v>281</v>
      </c>
      <c r="P717">
        <v>7.4273691635681136E-3</v>
      </c>
      <c r="Q717" t="s">
        <v>168</v>
      </c>
      <c r="S717" t="s">
        <v>235</v>
      </c>
      <c r="T717" t="s">
        <v>281</v>
      </c>
      <c r="U717">
        <v>5.6806850109476642E-3</v>
      </c>
      <c r="V717" t="s">
        <v>168</v>
      </c>
    </row>
    <row r="718" spans="9:22" x14ac:dyDescent="0.45">
      <c r="I718" t="s">
        <v>192</v>
      </c>
      <c r="J718" t="s">
        <v>282</v>
      </c>
      <c r="K718">
        <v>4.0310893474177645E-3</v>
      </c>
      <c r="L718" t="s">
        <v>168</v>
      </c>
      <c r="N718" t="s">
        <v>216</v>
      </c>
      <c r="O718" t="s">
        <v>282</v>
      </c>
      <c r="P718">
        <v>4.0214650946605639E-2</v>
      </c>
      <c r="Q718" t="s">
        <v>168</v>
      </c>
      <c r="S718" t="s">
        <v>235</v>
      </c>
      <c r="T718" t="s">
        <v>282</v>
      </c>
      <c r="U718">
        <v>3.8100544117841431E-2</v>
      </c>
      <c r="V718" t="s">
        <v>168</v>
      </c>
    </row>
    <row r="719" spans="9:22" x14ac:dyDescent="0.45">
      <c r="I719" t="s">
        <v>192</v>
      </c>
      <c r="J719" t="s">
        <v>283</v>
      </c>
      <c r="K719">
        <v>0</v>
      </c>
      <c r="L719" t="s">
        <v>168</v>
      </c>
      <c r="N719" t="s">
        <v>216</v>
      </c>
      <c r="O719" t="s">
        <v>283</v>
      </c>
      <c r="P719">
        <v>1.9178279867381461E-2</v>
      </c>
      <c r="Q719" t="s">
        <v>168</v>
      </c>
      <c r="S719" t="s">
        <v>235</v>
      </c>
      <c r="T719" t="s">
        <v>283</v>
      </c>
      <c r="U719">
        <v>2.461580887490494E-2</v>
      </c>
      <c r="V719" t="s">
        <v>168</v>
      </c>
    </row>
    <row r="720" spans="9:22" x14ac:dyDescent="0.45">
      <c r="I720" t="s">
        <v>192</v>
      </c>
      <c r="J720" t="s">
        <v>284</v>
      </c>
      <c r="K720">
        <v>0</v>
      </c>
      <c r="L720" t="s">
        <v>168</v>
      </c>
      <c r="N720" t="s">
        <v>216</v>
      </c>
      <c r="O720" t="s">
        <v>284</v>
      </c>
      <c r="P720">
        <v>1.9030595454125486E-3</v>
      </c>
      <c r="Q720" t="s">
        <v>168</v>
      </c>
      <c r="S720" t="s">
        <v>235</v>
      </c>
      <c r="T720" t="s">
        <v>284</v>
      </c>
      <c r="U720">
        <v>2.7441754363009144E-3</v>
      </c>
      <c r="V720" t="s">
        <v>168</v>
      </c>
    </row>
    <row r="721" spans="9:22" x14ac:dyDescent="0.45">
      <c r="I721" t="s">
        <v>192</v>
      </c>
      <c r="J721" t="s">
        <v>285</v>
      </c>
      <c r="K721">
        <v>3.9073825728671938E-3</v>
      </c>
      <c r="L721" t="s">
        <v>168</v>
      </c>
      <c r="N721" t="s">
        <v>216</v>
      </c>
      <c r="O721" t="s">
        <v>285</v>
      </c>
      <c r="P721">
        <v>1.735016130106196E-3</v>
      </c>
      <c r="Q721" t="s">
        <v>168</v>
      </c>
      <c r="S721" t="s">
        <v>235</v>
      </c>
      <c r="T721" t="s">
        <v>285</v>
      </c>
      <c r="U721">
        <v>2.6588712301565888E-3</v>
      </c>
      <c r="V721" t="s">
        <v>168</v>
      </c>
    </row>
    <row r="722" spans="9:22" x14ac:dyDescent="0.45">
      <c r="I722" t="s">
        <v>192</v>
      </c>
      <c r="J722" t="s">
        <v>286</v>
      </c>
      <c r="K722">
        <v>3.783101238302522E-2</v>
      </c>
      <c r="L722" t="s">
        <v>168</v>
      </c>
      <c r="N722" t="s">
        <v>216</v>
      </c>
      <c r="O722" t="s">
        <v>286</v>
      </c>
      <c r="P722">
        <v>1.0995116656207417E-2</v>
      </c>
      <c r="Q722" t="s">
        <v>168</v>
      </c>
      <c r="S722" t="s">
        <v>235</v>
      </c>
      <c r="T722" t="s">
        <v>286</v>
      </c>
      <c r="U722">
        <v>1.4730444824897639E-2</v>
      </c>
      <c r="V722" t="s">
        <v>168</v>
      </c>
    </row>
    <row r="723" spans="9:22" x14ac:dyDescent="0.45">
      <c r="I723" t="s">
        <v>192</v>
      </c>
      <c r="J723" t="s">
        <v>287</v>
      </c>
      <c r="K723">
        <v>4.0770287283565182E-3</v>
      </c>
      <c r="L723" t="s">
        <v>168</v>
      </c>
      <c r="N723" t="s">
        <v>216</v>
      </c>
      <c r="O723" t="s">
        <v>287</v>
      </c>
      <c r="P723">
        <v>1.9358260801303905E-3</v>
      </c>
      <c r="Q723" t="s">
        <v>168</v>
      </c>
      <c r="S723" t="s">
        <v>235</v>
      </c>
      <c r="T723" t="s">
        <v>287</v>
      </c>
      <c r="U723">
        <v>2.7604349308345466E-3</v>
      </c>
      <c r="V723" t="s">
        <v>168</v>
      </c>
    </row>
    <row r="724" spans="9:22" x14ac:dyDescent="0.45">
      <c r="I724" t="s">
        <v>192</v>
      </c>
      <c r="J724" t="s">
        <v>288</v>
      </c>
      <c r="K724">
        <v>0</v>
      </c>
      <c r="L724" t="s">
        <v>168</v>
      </c>
      <c r="N724" t="s">
        <v>216</v>
      </c>
      <c r="O724" t="s">
        <v>288</v>
      </c>
      <c r="P724">
        <v>1.3529311479373845E-2</v>
      </c>
      <c r="Q724" t="s">
        <v>168</v>
      </c>
      <c r="S724" t="s">
        <v>235</v>
      </c>
      <c r="T724" t="s">
        <v>288</v>
      </c>
      <c r="U724">
        <v>2.2017466374244107E-2</v>
      </c>
      <c r="V724" t="s">
        <v>168</v>
      </c>
    </row>
    <row r="725" spans="9:22" x14ac:dyDescent="0.45">
      <c r="I725" t="s">
        <v>193</v>
      </c>
      <c r="J725" t="s">
        <v>167</v>
      </c>
      <c r="K725">
        <v>0</v>
      </c>
      <c r="L725" t="s">
        <v>168</v>
      </c>
      <c r="N725" t="s">
        <v>217</v>
      </c>
      <c r="O725" t="s">
        <v>167</v>
      </c>
      <c r="P725">
        <v>8.8077228208730568E-2</v>
      </c>
      <c r="Q725" t="s">
        <v>168</v>
      </c>
      <c r="S725" t="s">
        <v>236</v>
      </c>
      <c r="T725" t="s">
        <v>167</v>
      </c>
      <c r="U725">
        <v>8.0671827190574655E-2</v>
      </c>
      <c r="V725" t="s">
        <v>168</v>
      </c>
    </row>
    <row r="726" spans="9:22" x14ac:dyDescent="0.45">
      <c r="I726" t="s">
        <v>193</v>
      </c>
      <c r="J726" t="s">
        <v>169</v>
      </c>
      <c r="K726">
        <v>1.805085266228891E-3</v>
      </c>
      <c r="L726" t="s">
        <v>168</v>
      </c>
      <c r="N726" t="s">
        <v>217</v>
      </c>
      <c r="O726" t="s">
        <v>169</v>
      </c>
      <c r="P726">
        <v>1.0015754444216547E-2</v>
      </c>
      <c r="Q726" t="s">
        <v>168</v>
      </c>
      <c r="S726" t="s">
        <v>236</v>
      </c>
      <c r="T726" t="s">
        <v>169</v>
      </c>
      <c r="U726">
        <v>1.0595838535307475E-2</v>
      </c>
      <c r="V726" t="s">
        <v>168</v>
      </c>
    </row>
    <row r="727" spans="9:22" x14ac:dyDescent="0.45">
      <c r="I727" t="s">
        <v>193</v>
      </c>
      <c r="J727" t="s">
        <v>170</v>
      </c>
      <c r="K727">
        <v>7.9295747079209961E-3</v>
      </c>
      <c r="L727" t="s">
        <v>168</v>
      </c>
      <c r="N727" t="s">
        <v>217</v>
      </c>
      <c r="O727" t="s">
        <v>170</v>
      </c>
      <c r="P727">
        <v>9.4715498295999401E-3</v>
      </c>
      <c r="Q727" t="s">
        <v>168</v>
      </c>
      <c r="S727" t="s">
        <v>236</v>
      </c>
      <c r="T727" t="s">
        <v>170</v>
      </c>
      <c r="U727">
        <v>1.0680651980462832E-2</v>
      </c>
      <c r="V727" t="s">
        <v>168</v>
      </c>
    </row>
    <row r="728" spans="9:22" x14ac:dyDescent="0.45">
      <c r="I728" t="s">
        <v>193</v>
      </c>
      <c r="J728" t="s">
        <v>256</v>
      </c>
      <c r="K728">
        <v>8.273243586676407E-2</v>
      </c>
      <c r="L728" t="s">
        <v>168</v>
      </c>
      <c r="N728" t="s">
        <v>217</v>
      </c>
      <c r="O728" t="s">
        <v>256</v>
      </c>
      <c r="P728">
        <v>7.515597782961321E-2</v>
      </c>
      <c r="Q728" t="s">
        <v>168</v>
      </c>
      <c r="S728" t="s">
        <v>236</v>
      </c>
      <c r="T728" t="s">
        <v>256</v>
      </c>
      <c r="U728">
        <v>6.5436225058654443E-2</v>
      </c>
      <c r="V728" t="s">
        <v>168</v>
      </c>
    </row>
    <row r="729" spans="9:22" x14ac:dyDescent="0.45">
      <c r="I729" t="s">
        <v>193</v>
      </c>
      <c r="J729" t="s">
        <v>257</v>
      </c>
      <c r="K729">
        <v>1.0808046919430304E-2</v>
      </c>
      <c r="L729" t="s">
        <v>168</v>
      </c>
      <c r="N729" t="s">
        <v>217</v>
      </c>
      <c r="O729" t="s">
        <v>257</v>
      </c>
      <c r="P729">
        <v>1.291559284783666E-2</v>
      </c>
      <c r="Q729" t="s">
        <v>168</v>
      </c>
      <c r="S729" t="s">
        <v>236</v>
      </c>
      <c r="T729" t="s">
        <v>257</v>
      </c>
      <c r="U729">
        <v>1.1089232932642495E-2</v>
      </c>
      <c r="V729" t="s">
        <v>168</v>
      </c>
    </row>
    <row r="730" spans="9:22" x14ac:dyDescent="0.45">
      <c r="I730" t="s">
        <v>193</v>
      </c>
      <c r="J730" t="s">
        <v>258</v>
      </c>
      <c r="K730">
        <v>7.0016407688193866E-3</v>
      </c>
      <c r="L730" t="s">
        <v>168</v>
      </c>
      <c r="N730" t="s">
        <v>217</v>
      </c>
      <c r="O730" t="s">
        <v>258</v>
      </c>
      <c r="P730">
        <v>8.4486441701584411E-2</v>
      </c>
      <c r="Q730" t="s">
        <v>168</v>
      </c>
      <c r="S730" t="s">
        <v>236</v>
      </c>
      <c r="T730" t="s">
        <v>258</v>
      </c>
      <c r="U730">
        <v>7.4110401825838612E-2</v>
      </c>
      <c r="V730" t="s">
        <v>168</v>
      </c>
    </row>
    <row r="731" spans="9:22" x14ac:dyDescent="0.45">
      <c r="I731" t="s">
        <v>193</v>
      </c>
      <c r="J731" t="s">
        <v>171</v>
      </c>
      <c r="K731">
        <v>2.1537805073123011E-2</v>
      </c>
      <c r="L731" t="s">
        <v>168</v>
      </c>
      <c r="N731" t="s">
        <v>217</v>
      </c>
      <c r="O731" t="s">
        <v>171</v>
      </c>
      <c r="P731">
        <v>0.13109739080671237</v>
      </c>
      <c r="Q731" t="s">
        <v>168</v>
      </c>
      <c r="S731" t="s">
        <v>236</v>
      </c>
      <c r="T731" t="s">
        <v>171</v>
      </c>
      <c r="U731">
        <v>0.1409930128485091</v>
      </c>
      <c r="V731" t="s">
        <v>168</v>
      </c>
    </row>
    <row r="732" spans="9:22" x14ac:dyDescent="0.45">
      <c r="I732" t="s">
        <v>193</v>
      </c>
      <c r="J732" t="s">
        <v>172</v>
      </c>
      <c r="K732">
        <v>2.5403617647843151E-2</v>
      </c>
      <c r="L732" t="s">
        <v>168</v>
      </c>
      <c r="N732" t="s">
        <v>217</v>
      </c>
      <c r="O732" t="s">
        <v>172</v>
      </c>
      <c r="P732">
        <v>1.531496929047611E-2</v>
      </c>
      <c r="Q732" t="s">
        <v>168</v>
      </c>
      <c r="S732" t="s">
        <v>236</v>
      </c>
      <c r="T732" t="s">
        <v>172</v>
      </c>
      <c r="U732">
        <v>1.6693984497692643E-2</v>
      </c>
      <c r="V732" t="s">
        <v>168</v>
      </c>
    </row>
    <row r="733" spans="9:22" x14ac:dyDescent="0.45">
      <c r="I733" t="s">
        <v>193</v>
      </c>
      <c r="J733" t="s">
        <v>173</v>
      </c>
      <c r="K733">
        <v>3.3777461802282194E-2</v>
      </c>
      <c r="L733" t="s">
        <v>168</v>
      </c>
      <c r="N733" t="s">
        <v>217</v>
      </c>
      <c r="O733" t="s">
        <v>173</v>
      </c>
      <c r="P733">
        <v>1.5265120646769414E-2</v>
      </c>
      <c r="Q733" t="s">
        <v>168</v>
      </c>
      <c r="S733" t="s">
        <v>236</v>
      </c>
      <c r="T733" t="s">
        <v>173</v>
      </c>
      <c r="U733">
        <v>1.6355258182336522E-2</v>
      </c>
      <c r="V733" t="s">
        <v>168</v>
      </c>
    </row>
    <row r="734" spans="9:22" x14ac:dyDescent="0.45">
      <c r="I734" t="s">
        <v>193</v>
      </c>
      <c r="J734" t="s">
        <v>259</v>
      </c>
      <c r="K734">
        <v>0.23509734261394877</v>
      </c>
      <c r="L734" t="s">
        <v>168</v>
      </c>
      <c r="N734" t="s">
        <v>217</v>
      </c>
      <c r="O734" t="s">
        <v>259</v>
      </c>
      <c r="P734">
        <v>0.10045340419899391</v>
      </c>
      <c r="Q734" t="s">
        <v>168</v>
      </c>
      <c r="S734" t="s">
        <v>236</v>
      </c>
      <c r="T734" t="s">
        <v>259</v>
      </c>
      <c r="U734">
        <v>9.4039913711765288E-2</v>
      </c>
      <c r="V734" t="s">
        <v>168</v>
      </c>
    </row>
    <row r="735" spans="9:22" x14ac:dyDescent="0.45">
      <c r="I735" t="s">
        <v>193</v>
      </c>
      <c r="J735" t="s">
        <v>260</v>
      </c>
      <c r="K735">
        <v>3.1488706949286342E-2</v>
      </c>
      <c r="L735" t="s">
        <v>168</v>
      </c>
      <c r="N735" t="s">
        <v>217</v>
      </c>
      <c r="O735" t="s">
        <v>260</v>
      </c>
      <c r="P735">
        <v>1.8218078600501869E-2</v>
      </c>
      <c r="Q735" t="s">
        <v>168</v>
      </c>
      <c r="S735" t="s">
        <v>236</v>
      </c>
      <c r="T735" t="s">
        <v>260</v>
      </c>
      <c r="U735">
        <v>1.5495788425903536E-2</v>
      </c>
      <c r="V735" t="s">
        <v>168</v>
      </c>
    </row>
    <row r="736" spans="9:22" x14ac:dyDescent="0.45">
      <c r="I736" t="s">
        <v>193</v>
      </c>
      <c r="J736" t="s">
        <v>261</v>
      </c>
      <c r="K736">
        <v>5.182325990652268E-2</v>
      </c>
      <c r="L736" t="s">
        <v>168</v>
      </c>
      <c r="N736" t="s">
        <v>217</v>
      </c>
      <c r="O736" t="s">
        <v>261</v>
      </c>
      <c r="P736">
        <v>0.12427854703152698</v>
      </c>
      <c r="Q736" t="s">
        <v>168</v>
      </c>
      <c r="S736" t="s">
        <v>236</v>
      </c>
      <c r="T736" t="s">
        <v>261</v>
      </c>
      <c r="U736">
        <v>0.11696907136670882</v>
      </c>
      <c r="V736" t="s">
        <v>168</v>
      </c>
    </row>
    <row r="737" spans="9:22" x14ac:dyDescent="0.45">
      <c r="I737" t="s">
        <v>193</v>
      </c>
      <c r="J737" t="s">
        <v>174</v>
      </c>
      <c r="K737">
        <v>1.0201761500686987E-2</v>
      </c>
      <c r="L737" t="s">
        <v>168</v>
      </c>
      <c r="N737" t="s">
        <v>217</v>
      </c>
      <c r="O737" t="s">
        <v>174</v>
      </c>
      <c r="P737">
        <v>1.4959799794743513E-2</v>
      </c>
      <c r="Q737" t="s">
        <v>168</v>
      </c>
      <c r="S737" t="s">
        <v>236</v>
      </c>
      <c r="T737" t="s">
        <v>174</v>
      </c>
      <c r="U737">
        <v>9.9812507191138714E-3</v>
      </c>
      <c r="V737" t="s">
        <v>168</v>
      </c>
    </row>
    <row r="738" spans="9:22" x14ac:dyDescent="0.45">
      <c r="I738" t="s">
        <v>193</v>
      </c>
      <c r="J738" t="s">
        <v>175</v>
      </c>
      <c r="K738">
        <v>9.6721748756309484E-3</v>
      </c>
      <c r="L738" t="s">
        <v>168</v>
      </c>
      <c r="N738" t="s">
        <v>217</v>
      </c>
      <c r="O738" t="s">
        <v>175</v>
      </c>
      <c r="P738">
        <v>1.2350016481936143E-3</v>
      </c>
      <c r="Q738" t="s">
        <v>168</v>
      </c>
      <c r="S738" t="s">
        <v>236</v>
      </c>
      <c r="T738" t="s">
        <v>175</v>
      </c>
      <c r="U738">
        <v>1.1520214295267922E-3</v>
      </c>
      <c r="V738" t="s">
        <v>168</v>
      </c>
    </row>
    <row r="739" spans="9:22" x14ac:dyDescent="0.45">
      <c r="I739" t="s">
        <v>193</v>
      </c>
      <c r="J739" t="s">
        <v>176</v>
      </c>
      <c r="K739">
        <v>1.175603666128777E-2</v>
      </c>
      <c r="L739" t="s">
        <v>168</v>
      </c>
      <c r="N739" t="s">
        <v>217</v>
      </c>
      <c r="O739" t="s">
        <v>176</v>
      </c>
      <c r="P739">
        <v>8.6400905948101235E-4</v>
      </c>
      <c r="Q739" t="s">
        <v>168</v>
      </c>
      <c r="S739" t="s">
        <v>236</v>
      </c>
      <c r="T739" t="s">
        <v>176</v>
      </c>
      <c r="U739">
        <v>1.0487770702834738E-3</v>
      </c>
      <c r="V739" t="s">
        <v>168</v>
      </c>
    </row>
    <row r="740" spans="9:22" x14ac:dyDescent="0.45">
      <c r="I740" t="s">
        <v>193</v>
      </c>
      <c r="J740" t="s">
        <v>262</v>
      </c>
      <c r="K740">
        <v>7.1502625406689765E-2</v>
      </c>
      <c r="L740" t="s">
        <v>168</v>
      </c>
      <c r="N740" t="s">
        <v>217</v>
      </c>
      <c r="O740" t="s">
        <v>262</v>
      </c>
      <c r="P740">
        <v>4.3410411959409435E-3</v>
      </c>
      <c r="Q740" t="s">
        <v>168</v>
      </c>
      <c r="S740" t="s">
        <v>236</v>
      </c>
      <c r="T740" t="s">
        <v>262</v>
      </c>
      <c r="U740">
        <v>6.0842905432467332E-3</v>
      </c>
      <c r="V740" t="s">
        <v>168</v>
      </c>
    </row>
    <row r="741" spans="9:22" x14ac:dyDescent="0.45">
      <c r="I741" t="s">
        <v>193</v>
      </c>
      <c r="J741" t="s">
        <v>263</v>
      </c>
      <c r="K741">
        <v>9.3227502481263089E-3</v>
      </c>
      <c r="L741" t="s">
        <v>168</v>
      </c>
      <c r="N741" t="s">
        <v>217</v>
      </c>
      <c r="O741" t="s">
        <v>263</v>
      </c>
      <c r="P741">
        <v>1.0672690142648756E-3</v>
      </c>
      <c r="Q741" t="s">
        <v>168</v>
      </c>
      <c r="S741" t="s">
        <v>236</v>
      </c>
      <c r="T741" t="s">
        <v>263</v>
      </c>
      <c r="U741">
        <v>1.1703783940457224E-3</v>
      </c>
      <c r="V741" t="s">
        <v>168</v>
      </c>
    </row>
    <row r="742" spans="9:22" x14ac:dyDescent="0.45">
      <c r="I742" t="s">
        <v>193</v>
      </c>
      <c r="J742" t="s">
        <v>264</v>
      </c>
      <c r="K742">
        <v>2.043117024592573E-2</v>
      </c>
      <c r="L742" t="s">
        <v>168</v>
      </c>
      <c r="N742" t="s">
        <v>217</v>
      </c>
      <c r="O742" t="s">
        <v>264</v>
      </c>
      <c r="P742">
        <v>8.7123663844711641E-3</v>
      </c>
      <c r="Q742" t="s">
        <v>168</v>
      </c>
      <c r="S742" t="s">
        <v>236</v>
      </c>
      <c r="T742" t="s">
        <v>264</v>
      </c>
      <c r="U742">
        <v>9.0151262931083918E-3</v>
      </c>
      <c r="V742" t="s">
        <v>168</v>
      </c>
    </row>
    <row r="743" spans="9:22" x14ac:dyDescent="0.45">
      <c r="I743" t="s">
        <v>193</v>
      </c>
      <c r="J743" t="s">
        <v>265</v>
      </c>
      <c r="K743">
        <v>7.9990383083650678E-3</v>
      </c>
      <c r="L743" t="s">
        <v>168</v>
      </c>
      <c r="N743" t="s">
        <v>217</v>
      </c>
      <c r="O743" t="s">
        <v>265</v>
      </c>
      <c r="P743">
        <v>1.7446833264182674E-2</v>
      </c>
      <c r="Q743" t="s">
        <v>168</v>
      </c>
      <c r="S743" t="s">
        <v>236</v>
      </c>
      <c r="T743" t="s">
        <v>265</v>
      </c>
      <c r="U743">
        <v>1.3487981611901888E-2</v>
      </c>
      <c r="V743" t="s">
        <v>168</v>
      </c>
    </row>
    <row r="744" spans="9:22" x14ac:dyDescent="0.45">
      <c r="I744" t="s">
        <v>193</v>
      </c>
      <c r="J744" t="s">
        <v>266</v>
      </c>
      <c r="K744">
        <v>8.1204900352932052E-3</v>
      </c>
      <c r="L744" t="s">
        <v>168</v>
      </c>
      <c r="N744" t="s">
        <v>217</v>
      </c>
      <c r="O744" t="s">
        <v>266</v>
      </c>
      <c r="P744">
        <v>1.4180476979344489E-3</v>
      </c>
      <c r="Q744" t="s">
        <v>168</v>
      </c>
      <c r="S744" t="s">
        <v>236</v>
      </c>
      <c r="T744" t="s">
        <v>266</v>
      </c>
      <c r="U744">
        <v>1.5018165125940137E-3</v>
      </c>
      <c r="V744" t="s">
        <v>168</v>
      </c>
    </row>
    <row r="745" spans="9:22" x14ac:dyDescent="0.45">
      <c r="I745" t="s">
        <v>193</v>
      </c>
      <c r="J745" t="s">
        <v>267</v>
      </c>
      <c r="K745">
        <v>1.0073347862675415E-2</v>
      </c>
      <c r="L745" t="s">
        <v>168</v>
      </c>
      <c r="N745" t="s">
        <v>217</v>
      </c>
      <c r="O745" t="s">
        <v>267</v>
      </c>
      <c r="P745">
        <v>1.1187065102342966E-3</v>
      </c>
      <c r="Q745" t="s">
        <v>168</v>
      </c>
      <c r="S745" t="s">
        <v>236</v>
      </c>
      <c r="T745" t="s">
        <v>267</v>
      </c>
      <c r="U745">
        <v>1.4845508601519591E-3</v>
      </c>
      <c r="V745" t="s">
        <v>168</v>
      </c>
    </row>
    <row r="746" spans="9:22" x14ac:dyDescent="0.45">
      <c r="I746" t="s">
        <v>193</v>
      </c>
      <c r="J746" t="s">
        <v>268</v>
      </c>
      <c r="K746">
        <v>6.8007539587065013E-2</v>
      </c>
      <c r="L746" t="s">
        <v>168</v>
      </c>
      <c r="N746" t="s">
        <v>217</v>
      </c>
      <c r="O746" t="s">
        <v>268</v>
      </c>
      <c r="P746">
        <v>5.7493340636287985E-3</v>
      </c>
      <c r="Q746" t="s">
        <v>168</v>
      </c>
      <c r="S746" t="s">
        <v>236</v>
      </c>
      <c r="T746" t="s">
        <v>268</v>
      </c>
      <c r="U746">
        <v>9.6258005019456885E-3</v>
      </c>
      <c r="V746" t="s">
        <v>168</v>
      </c>
    </row>
    <row r="747" spans="9:22" x14ac:dyDescent="0.45">
      <c r="I747" t="s">
        <v>193</v>
      </c>
      <c r="J747" t="s">
        <v>269</v>
      </c>
      <c r="K747">
        <v>9.6433017749460882E-3</v>
      </c>
      <c r="L747" t="s">
        <v>168</v>
      </c>
      <c r="N747" t="s">
        <v>217</v>
      </c>
      <c r="O747" t="s">
        <v>269</v>
      </c>
      <c r="P747">
        <v>1.2952468641063003E-3</v>
      </c>
      <c r="Q747" t="s">
        <v>168</v>
      </c>
      <c r="S747" t="s">
        <v>236</v>
      </c>
      <c r="T747" t="s">
        <v>269</v>
      </c>
      <c r="U747">
        <v>1.9361043912830063E-3</v>
      </c>
      <c r="V747" t="s">
        <v>168</v>
      </c>
    </row>
    <row r="748" spans="9:22" x14ac:dyDescent="0.45">
      <c r="I748" t="s">
        <v>193</v>
      </c>
      <c r="J748" t="s">
        <v>270</v>
      </c>
      <c r="K748">
        <v>1.9002394961759674E-2</v>
      </c>
      <c r="L748" t="s">
        <v>168</v>
      </c>
      <c r="N748" t="s">
        <v>217</v>
      </c>
      <c r="O748" t="s">
        <v>270</v>
      </c>
      <c r="P748">
        <v>1.1909922220507243E-2</v>
      </c>
      <c r="Q748" t="s">
        <v>168</v>
      </c>
      <c r="S748" t="s">
        <v>236</v>
      </c>
      <c r="T748" t="s">
        <v>270</v>
      </c>
      <c r="U748">
        <v>1.2856168121607241E-2</v>
      </c>
      <c r="V748" t="s">
        <v>168</v>
      </c>
    </row>
    <row r="749" spans="9:22" x14ac:dyDescent="0.45">
      <c r="I749" t="s">
        <v>193</v>
      </c>
      <c r="J749" t="s">
        <v>271</v>
      </c>
      <c r="K749">
        <v>2.8104479170569492E-3</v>
      </c>
      <c r="L749" t="s">
        <v>168</v>
      </c>
      <c r="N749" t="s">
        <v>217</v>
      </c>
      <c r="O749" t="s">
        <v>271</v>
      </c>
      <c r="P749">
        <v>8.8200189210573387E-3</v>
      </c>
      <c r="Q749" t="s">
        <v>168</v>
      </c>
      <c r="S749" t="s">
        <v>236</v>
      </c>
      <c r="T749" t="s">
        <v>271</v>
      </c>
      <c r="U749">
        <v>1.3747215978019379E-2</v>
      </c>
      <c r="V749" t="s">
        <v>168</v>
      </c>
    </row>
    <row r="750" spans="9:22" x14ac:dyDescent="0.45">
      <c r="I750" t="s">
        <v>193</v>
      </c>
      <c r="J750" t="s">
        <v>272</v>
      </c>
      <c r="K750">
        <v>5.3176105120886896E-3</v>
      </c>
      <c r="L750" t="s">
        <v>168</v>
      </c>
      <c r="N750" t="s">
        <v>217</v>
      </c>
      <c r="O750" t="s">
        <v>272</v>
      </c>
      <c r="P750">
        <v>1.3315797710078891E-3</v>
      </c>
      <c r="Q750" t="s">
        <v>168</v>
      </c>
      <c r="S750" t="s">
        <v>236</v>
      </c>
      <c r="T750" t="s">
        <v>272</v>
      </c>
      <c r="U750">
        <v>1.7825066759657353E-3</v>
      </c>
      <c r="V750" t="s">
        <v>168</v>
      </c>
    </row>
    <row r="751" spans="9:22" x14ac:dyDescent="0.45">
      <c r="I751" t="s">
        <v>193</v>
      </c>
      <c r="J751" t="s">
        <v>273</v>
      </c>
      <c r="K751">
        <v>7.8892049747539186E-3</v>
      </c>
      <c r="L751" t="s">
        <v>168</v>
      </c>
      <c r="N751" t="s">
        <v>217</v>
      </c>
      <c r="O751" t="s">
        <v>273</v>
      </c>
      <c r="P751">
        <v>1.3950505631444684E-3</v>
      </c>
      <c r="Q751" t="s">
        <v>168</v>
      </c>
      <c r="S751" t="s">
        <v>236</v>
      </c>
      <c r="T751" t="s">
        <v>273</v>
      </c>
      <c r="U751">
        <v>1.7878704267310366E-3</v>
      </c>
      <c r="V751" t="s">
        <v>168</v>
      </c>
    </row>
    <row r="752" spans="9:22" x14ac:dyDescent="0.45">
      <c r="I752" t="s">
        <v>193</v>
      </c>
      <c r="J752" t="s">
        <v>274</v>
      </c>
      <c r="K752">
        <v>5.5438814959279409E-2</v>
      </c>
      <c r="L752" t="s">
        <v>168</v>
      </c>
      <c r="N752" t="s">
        <v>217</v>
      </c>
      <c r="O752" t="s">
        <v>274</v>
      </c>
      <c r="P752">
        <v>9.7256551336352901E-3</v>
      </c>
      <c r="Q752" t="s">
        <v>168</v>
      </c>
      <c r="S752" t="s">
        <v>236</v>
      </c>
      <c r="T752" t="s">
        <v>274</v>
      </c>
      <c r="U752">
        <v>9.5202272337121373E-3</v>
      </c>
      <c r="V752" t="s">
        <v>168</v>
      </c>
    </row>
    <row r="753" spans="9:22" x14ac:dyDescent="0.45">
      <c r="I753" t="s">
        <v>193</v>
      </c>
      <c r="J753" t="s">
        <v>275</v>
      </c>
      <c r="K753">
        <v>7.7046043491812259E-3</v>
      </c>
      <c r="L753" t="s">
        <v>168</v>
      </c>
      <c r="N753" t="s">
        <v>217</v>
      </c>
      <c r="O753" t="s">
        <v>275</v>
      </c>
      <c r="P753">
        <v>1.9772543038044685E-3</v>
      </c>
      <c r="Q753" t="s">
        <v>168</v>
      </c>
      <c r="S753" t="s">
        <v>236</v>
      </c>
      <c r="T753" t="s">
        <v>275</v>
      </c>
      <c r="U753">
        <v>1.5512108322526638E-3</v>
      </c>
      <c r="V753" t="s">
        <v>168</v>
      </c>
    </row>
    <row r="754" spans="9:22" x14ac:dyDescent="0.45">
      <c r="I754" t="s">
        <v>193</v>
      </c>
      <c r="J754" t="s">
        <v>276</v>
      </c>
      <c r="K754">
        <v>1.0549538981912342E-2</v>
      </c>
      <c r="L754" t="s">
        <v>168</v>
      </c>
      <c r="N754" t="s">
        <v>217</v>
      </c>
      <c r="O754" t="s">
        <v>276</v>
      </c>
      <c r="P754">
        <v>1.0694736989872576E-2</v>
      </c>
      <c r="Q754" t="s">
        <v>168</v>
      </c>
      <c r="S754" t="s">
        <v>236</v>
      </c>
      <c r="T754" t="s">
        <v>276</v>
      </c>
      <c r="U754">
        <v>1.3639711908598289E-2</v>
      </c>
      <c r="V754" t="s">
        <v>168</v>
      </c>
    </row>
    <row r="755" spans="9:22" x14ac:dyDescent="0.45">
      <c r="I755" t="s">
        <v>193</v>
      </c>
      <c r="J755" t="s">
        <v>277</v>
      </c>
      <c r="K755">
        <v>3.4493519668107918E-4</v>
      </c>
      <c r="L755" t="s">
        <v>168</v>
      </c>
      <c r="N755" t="s">
        <v>217</v>
      </c>
      <c r="O755" t="s">
        <v>277</v>
      </c>
      <c r="P755">
        <v>4.4314729086737822E-2</v>
      </c>
      <c r="Q755" t="s">
        <v>168</v>
      </c>
      <c r="S755" t="s">
        <v>236</v>
      </c>
      <c r="T755" t="s">
        <v>277</v>
      </c>
      <c r="U755">
        <v>5.1320464741398938E-2</v>
      </c>
      <c r="V755" t="s">
        <v>168</v>
      </c>
    </row>
    <row r="756" spans="9:22" x14ac:dyDescent="0.45">
      <c r="I756" t="s">
        <v>193</v>
      </c>
      <c r="J756" t="s">
        <v>278</v>
      </c>
      <c r="K756">
        <v>3.6524558039918911E-3</v>
      </c>
      <c r="L756" t="s">
        <v>168</v>
      </c>
      <c r="N756" t="s">
        <v>217</v>
      </c>
      <c r="O756" t="s">
        <v>278</v>
      </c>
      <c r="P756">
        <v>6.0039241397151439E-3</v>
      </c>
      <c r="Q756" t="s">
        <v>168</v>
      </c>
      <c r="S756" t="s">
        <v>236</v>
      </c>
      <c r="T756" t="s">
        <v>278</v>
      </c>
      <c r="U756">
        <v>6.0105791430359609E-3</v>
      </c>
      <c r="V756" t="s">
        <v>168</v>
      </c>
    </row>
    <row r="757" spans="9:22" x14ac:dyDescent="0.45">
      <c r="I757" t="s">
        <v>193</v>
      </c>
      <c r="J757" t="s">
        <v>279</v>
      </c>
      <c r="K757">
        <v>8.0716733118326878E-3</v>
      </c>
      <c r="L757" t="s">
        <v>168</v>
      </c>
      <c r="N757" t="s">
        <v>217</v>
      </c>
      <c r="O757" t="s">
        <v>279</v>
      </c>
      <c r="P757">
        <v>6.1181515425017237E-3</v>
      </c>
      <c r="Q757" t="s">
        <v>168</v>
      </c>
      <c r="S757" t="s">
        <v>236</v>
      </c>
      <c r="T757" t="s">
        <v>279</v>
      </c>
      <c r="U757">
        <v>5.9801638553186572E-3</v>
      </c>
      <c r="V757" t="s">
        <v>168</v>
      </c>
    </row>
    <row r="758" spans="9:22" x14ac:dyDescent="0.45">
      <c r="I758" t="s">
        <v>193</v>
      </c>
      <c r="J758" t="s">
        <v>280</v>
      </c>
      <c r="K758">
        <v>7.101010088877506E-2</v>
      </c>
      <c r="L758" t="s">
        <v>168</v>
      </c>
      <c r="N758" t="s">
        <v>217</v>
      </c>
      <c r="O758" t="s">
        <v>280</v>
      </c>
      <c r="P758">
        <v>4.2012695519487477E-2</v>
      </c>
      <c r="Q758" t="s">
        <v>168</v>
      </c>
      <c r="S758" t="s">
        <v>236</v>
      </c>
      <c r="T758" t="s">
        <v>280</v>
      </c>
      <c r="U758">
        <v>3.3778927838704807E-2</v>
      </c>
      <c r="V758" t="s">
        <v>168</v>
      </c>
    </row>
    <row r="759" spans="9:22" x14ac:dyDescent="0.45">
      <c r="I759" t="s">
        <v>193</v>
      </c>
      <c r="J759" t="s">
        <v>281</v>
      </c>
      <c r="K759">
        <v>8.3632445437629918E-3</v>
      </c>
      <c r="L759" t="s">
        <v>168</v>
      </c>
      <c r="N759" t="s">
        <v>217</v>
      </c>
      <c r="O759" t="s">
        <v>281</v>
      </c>
      <c r="P759">
        <v>6.9268606662766128E-3</v>
      </c>
      <c r="Q759" t="s">
        <v>168</v>
      </c>
      <c r="S759" t="s">
        <v>236</v>
      </c>
      <c r="T759" t="s">
        <v>281</v>
      </c>
      <c r="U759">
        <v>5.4250005758144232E-3</v>
      </c>
      <c r="V759" t="s">
        <v>168</v>
      </c>
    </row>
    <row r="760" spans="9:22" x14ac:dyDescent="0.45">
      <c r="I760" t="s">
        <v>193</v>
      </c>
      <c r="J760" t="s">
        <v>282</v>
      </c>
      <c r="K760">
        <v>4.3095546007391903E-3</v>
      </c>
      <c r="L760" t="s">
        <v>168</v>
      </c>
      <c r="N760" t="s">
        <v>217</v>
      </c>
      <c r="O760" t="s">
        <v>282</v>
      </c>
      <c r="P760">
        <v>4.3053812940570702E-2</v>
      </c>
      <c r="Q760" t="s">
        <v>168</v>
      </c>
      <c r="S760" t="s">
        <v>236</v>
      </c>
      <c r="T760" t="s">
        <v>282</v>
      </c>
      <c r="U760">
        <v>4.3921245487573618E-2</v>
      </c>
      <c r="V760" t="s">
        <v>168</v>
      </c>
    </row>
    <row r="761" spans="9:22" x14ac:dyDescent="0.45">
      <c r="I761" t="s">
        <v>193</v>
      </c>
      <c r="J761" t="s">
        <v>283</v>
      </c>
      <c r="K761">
        <v>0</v>
      </c>
      <c r="L761" t="s">
        <v>168</v>
      </c>
      <c r="N761" t="s">
        <v>217</v>
      </c>
      <c r="O761" t="s">
        <v>283</v>
      </c>
      <c r="P761">
        <v>2.4463670796033898E-2</v>
      </c>
      <c r="Q761" t="s">
        <v>168</v>
      </c>
      <c r="S761" t="s">
        <v>236</v>
      </c>
      <c r="T761" t="s">
        <v>283</v>
      </c>
      <c r="U761">
        <v>2.8266846820103476E-2</v>
      </c>
      <c r="V761" t="s">
        <v>168</v>
      </c>
    </row>
    <row r="762" spans="9:22" x14ac:dyDescent="0.45">
      <c r="I762" t="s">
        <v>193</v>
      </c>
      <c r="J762" t="s">
        <v>284</v>
      </c>
      <c r="K762">
        <v>0</v>
      </c>
      <c r="L762" t="s">
        <v>168</v>
      </c>
      <c r="N762" t="s">
        <v>217</v>
      </c>
      <c r="O762" t="s">
        <v>284</v>
      </c>
      <c r="P762">
        <v>2.8252769244141553E-3</v>
      </c>
      <c r="Q762" t="s">
        <v>168</v>
      </c>
      <c r="S762" t="s">
        <v>236</v>
      </c>
      <c r="T762" t="s">
        <v>284</v>
      </c>
      <c r="U762">
        <v>3.5295599377112392E-3</v>
      </c>
      <c r="V762" t="s">
        <v>168</v>
      </c>
    </row>
    <row r="763" spans="9:22" x14ac:dyDescent="0.45">
      <c r="I763" t="s">
        <v>193</v>
      </c>
      <c r="J763" t="s">
        <v>285</v>
      </c>
      <c r="K763">
        <v>4.2721323318497418E-3</v>
      </c>
      <c r="L763" t="s">
        <v>168</v>
      </c>
      <c r="N763" t="s">
        <v>217</v>
      </c>
      <c r="O763" t="s">
        <v>285</v>
      </c>
      <c r="P763">
        <v>2.7959683736297133E-3</v>
      </c>
      <c r="Q763" t="s">
        <v>168</v>
      </c>
      <c r="S763" t="s">
        <v>236</v>
      </c>
      <c r="T763" t="s">
        <v>285</v>
      </c>
      <c r="U763">
        <v>3.5960850917912211E-3</v>
      </c>
      <c r="V763" t="s">
        <v>168</v>
      </c>
    </row>
    <row r="764" spans="9:22" x14ac:dyDescent="0.45">
      <c r="I764" t="s">
        <v>193</v>
      </c>
      <c r="J764" t="s">
        <v>286</v>
      </c>
      <c r="K764">
        <v>4.0431295212060174E-2</v>
      </c>
      <c r="L764" t="s">
        <v>168</v>
      </c>
      <c r="N764" t="s">
        <v>217</v>
      </c>
      <c r="O764" t="s">
        <v>286</v>
      </c>
      <c r="P764">
        <v>1.4303005080660533E-2</v>
      </c>
      <c r="Q764" t="s">
        <v>168</v>
      </c>
      <c r="S764" t="s">
        <v>236</v>
      </c>
      <c r="T764" t="s">
        <v>286</v>
      </c>
      <c r="U764">
        <v>2.2664398657830619E-2</v>
      </c>
      <c r="V764" t="s">
        <v>168</v>
      </c>
    </row>
    <row r="765" spans="9:22" x14ac:dyDescent="0.45">
      <c r="I765" t="s">
        <v>193</v>
      </c>
      <c r="J765" t="s">
        <v>287</v>
      </c>
      <c r="K765">
        <v>4.6967774254134537E-3</v>
      </c>
      <c r="L765" t="s">
        <v>168</v>
      </c>
      <c r="N765" t="s">
        <v>217</v>
      </c>
      <c r="O765" t="s">
        <v>287</v>
      </c>
      <c r="P765">
        <v>2.0572558856032713E-3</v>
      </c>
      <c r="Q765" t="s">
        <v>168</v>
      </c>
      <c r="S765" t="s">
        <v>236</v>
      </c>
      <c r="T765" t="s">
        <v>287</v>
      </c>
      <c r="U765">
        <v>3.8161780227523459E-3</v>
      </c>
      <c r="V765" t="s">
        <v>168</v>
      </c>
    </row>
    <row r="766" spans="9:22" x14ac:dyDescent="0.45">
      <c r="I766" t="s">
        <v>193</v>
      </c>
      <c r="J766" t="s">
        <v>288</v>
      </c>
      <c r="K766">
        <v>0</v>
      </c>
      <c r="L766" t="s">
        <v>168</v>
      </c>
      <c r="N766" t="s">
        <v>217</v>
      </c>
      <c r="O766" t="s">
        <v>288</v>
      </c>
      <c r="P766">
        <v>1.6312720207596585E-2</v>
      </c>
      <c r="Q766" t="s">
        <v>168</v>
      </c>
      <c r="S766" t="s">
        <v>236</v>
      </c>
      <c r="T766" t="s">
        <v>288</v>
      </c>
      <c r="U766">
        <v>2.7186333767484326E-2</v>
      </c>
      <c r="V766" t="s">
        <v>168</v>
      </c>
    </row>
    <row r="767" spans="9:22" x14ac:dyDescent="0.45">
      <c r="I767" t="s">
        <v>194</v>
      </c>
      <c r="J767" t="s">
        <v>167</v>
      </c>
      <c r="K767">
        <v>0</v>
      </c>
      <c r="L767" t="s">
        <v>168</v>
      </c>
      <c r="N767" t="s">
        <v>218</v>
      </c>
      <c r="O767" t="s">
        <v>167</v>
      </c>
      <c r="P767">
        <v>8.7818064750543351E-2</v>
      </c>
      <c r="Q767" t="s">
        <v>168</v>
      </c>
      <c r="S767" t="s">
        <v>237</v>
      </c>
      <c r="T767" t="s">
        <v>167</v>
      </c>
      <c r="U767">
        <v>7.6856701555165427E-2</v>
      </c>
      <c r="V767" t="s">
        <v>168</v>
      </c>
    </row>
    <row r="768" spans="9:22" x14ac:dyDescent="0.45">
      <c r="I768" t="s">
        <v>194</v>
      </c>
      <c r="J768" t="s">
        <v>169</v>
      </c>
      <c r="K768">
        <v>2.7244222263183315E-3</v>
      </c>
      <c r="L768" t="s">
        <v>168</v>
      </c>
      <c r="N768" t="s">
        <v>218</v>
      </c>
      <c r="O768" t="s">
        <v>169</v>
      </c>
      <c r="P768">
        <v>1.008821074922232E-2</v>
      </c>
      <c r="Q768" t="s">
        <v>168</v>
      </c>
      <c r="S768" t="s">
        <v>237</v>
      </c>
      <c r="T768" t="s">
        <v>169</v>
      </c>
      <c r="U768">
        <v>1.0340630796562972E-2</v>
      </c>
      <c r="V768" t="s">
        <v>168</v>
      </c>
    </row>
    <row r="769" spans="9:22" x14ac:dyDescent="0.45">
      <c r="I769" t="s">
        <v>194</v>
      </c>
      <c r="J769" t="s">
        <v>170</v>
      </c>
      <c r="K769">
        <v>7.5619800365149068E-3</v>
      </c>
      <c r="L769" t="s">
        <v>168</v>
      </c>
      <c r="N769" t="s">
        <v>218</v>
      </c>
      <c r="O769" t="s">
        <v>170</v>
      </c>
      <c r="P769">
        <v>9.7172367543308363E-3</v>
      </c>
      <c r="Q769" t="s">
        <v>168</v>
      </c>
      <c r="S769" t="s">
        <v>237</v>
      </c>
      <c r="T769" t="s">
        <v>170</v>
      </c>
      <c r="U769">
        <v>1.0535618175601388E-2</v>
      </c>
      <c r="V769" t="s">
        <v>168</v>
      </c>
    </row>
    <row r="770" spans="9:22" x14ac:dyDescent="0.45">
      <c r="I770" t="s">
        <v>194</v>
      </c>
      <c r="J770" t="s">
        <v>256</v>
      </c>
      <c r="K770">
        <v>7.2800999503948971E-2</v>
      </c>
      <c r="L770" t="s">
        <v>168</v>
      </c>
      <c r="N770" t="s">
        <v>218</v>
      </c>
      <c r="O770" t="s">
        <v>256</v>
      </c>
      <c r="P770">
        <v>7.0403245315097715E-2</v>
      </c>
      <c r="Q770" t="s">
        <v>168</v>
      </c>
      <c r="S770" t="s">
        <v>237</v>
      </c>
      <c r="T770" t="s">
        <v>256</v>
      </c>
      <c r="U770">
        <v>6.6234738814923894E-2</v>
      </c>
      <c r="V770" t="s">
        <v>168</v>
      </c>
    </row>
    <row r="771" spans="9:22" x14ac:dyDescent="0.45">
      <c r="I771" t="s">
        <v>194</v>
      </c>
      <c r="J771" t="s">
        <v>257</v>
      </c>
      <c r="K771">
        <v>9.2339397396325271E-3</v>
      </c>
      <c r="L771" t="s">
        <v>168</v>
      </c>
      <c r="N771" t="s">
        <v>218</v>
      </c>
      <c r="O771" t="s">
        <v>257</v>
      </c>
      <c r="P771">
        <v>1.2355061533010364E-2</v>
      </c>
      <c r="Q771" t="s">
        <v>168</v>
      </c>
      <c r="S771" t="s">
        <v>237</v>
      </c>
      <c r="T771" t="s">
        <v>257</v>
      </c>
      <c r="U771">
        <v>1.1215369831654E-2</v>
      </c>
      <c r="V771" t="s">
        <v>168</v>
      </c>
    </row>
    <row r="772" spans="9:22" x14ac:dyDescent="0.45">
      <c r="I772" t="s">
        <v>194</v>
      </c>
      <c r="J772" t="s">
        <v>258</v>
      </c>
      <c r="K772">
        <v>6.5500509686643692E-3</v>
      </c>
      <c r="L772" t="s">
        <v>168</v>
      </c>
      <c r="N772" t="s">
        <v>218</v>
      </c>
      <c r="O772" t="s">
        <v>258</v>
      </c>
      <c r="P772">
        <v>8.292846630955629E-2</v>
      </c>
      <c r="Q772" t="s">
        <v>168</v>
      </c>
      <c r="S772" t="s">
        <v>237</v>
      </c>
      <c r="T772" t="s">
        <v>258</v>
      </c>
      <c r="U772">
        <v>7.2815201730143192E-2</v>
      </c>
      <c r="V772" t="s">
        <v>168</v>
      </c>
    </row>
    <row r="773" spans="9:22" x14ac:dyDescent="0.45">
      <c r="I773" t="s">
        <v>194</v>
      </c>
      <c r="J773" t="s">
        <v>171</v>
      </c>
      <c r="K773">
        <v>2.4062726798672423E-2</v>
      </c>
      <c r="L773" t="s">
        <v>168</v>
      </c>
      <c r="N773" t="s">
        <v>218</v>
      </c>
      <c r="O773" t="s">
        <v>171</v>
      </c>
      <c r="P773">
        <v>0.15655377119370237</v>
      </c>
      <c r="Q773" t="s">
        <v>168</v>
      </c>
      <c r="S773" t="s">
        <v>237</v>
      </c>
      <c r="T773" t="s">
        <v>171</v>
      </c>
      <c r="U773">
        <v>0.13486228591862701</v>
      </c>
      <c r="V773" t="s">
        <v>168</v>
      </c>
    </row>
    <row r="774" spans="9:22" x14ac:dyDescent="0.45">
      <c r="I774" t="s">
        <v>194</v>
      </c>
      <c r="J774" t="s">
        <v>172</v>
      </c>
      <c r="K774">
        <v>2.7053789162782619E-2</v>
      </c>
      <c r="L774" t="s">
        <v>168</v>
      </c>
      <c r="N774" t="s">
        <v>218</v>
      </c>
      <c r="O774" t="s">
        <v>172</v>
      </c>
      <c r="P774">
        <v>1.9532259928708197E-2</v>
      </c>
      <c r="Q774" t="s">
        <v>168</v>
      </c>
      <c r="S774" t="s">
        <v>237</v>
      </c>
      <c r="T774" t="s">
        <v>172</v>
      </c>
      <c r="U774">
        <v>1.6151783178052978E-2</v>
      </c>
      <c r="V774" t="s">
        <v>168</v>
      </c>
    </row>
    <row r="775" spans="9:22" x14ac:dyDescent="0.45">
      <c r="I775" t="s">
        <v>194</v>
      </c>
      <c r="J775" t="s">
        <v>173</v>
      </c>
      <c r="K775">
        <v>3.5279954739832239E-2</v>
      </c>
      <c r="L775" t="s">
        <v>168</v>
      </c>
      <c r="N775" t="s">
        <v>218</v>
      </c>
      <c r="O775" t="s">
        <v>173</v>
      </c>
      <c r="P775">
        <v>1.9500097410400777E-2</v>
      </c>
      <c r="Q775" t="s">
        <v>168</v>
      </c>
      <c r="S775" t="s">
        <v>237</v>
      </c>
      <c r="T775" t="s">
        <v>173</v>
      </c>
      <c r="U775">
        <v>1.5995706995834722E-2</v>
      </c>
      <c r="V775" t="s">
        <v>168</v>
      </c>
    </row>
    <row r="776" spans="9:22" x14ac:dyDescent="0.45">
      <c r="I776" t="s">
        <v>194</v>
      </c>
      <c r="J776" t="s">
        <v>259</v>
      </c>
      <c r="K776">
        <v>0.24168789247639935</v>
      </c>
      <c r="L776" t="s">
        <v>168</v>
      </c>
      <c r="N776" t="s">
        <v>218</v>
      </c>
      <c r="O776" t="s">
        <v>259</v>
      </c>
      <c r="P776">
        <v>0.1220511328915429</v>
      </c>
      <c r="Q776" t="s">
        <v>168</v>
      </c>
      <c r="S776" t="s">
        <v>237</v>
      </c>
      <c r="T776" t="s">
        <v>259</v>
      </c>
      <c r="U776">
        <v>0.10063754355842205</v>
      </c>
      <c r="V776" t="s">
        <v>168</v>
      </c>
    </row>
    <row r="777" spans="9:22" x14ac:dyDescent="0.45">
      <c r="I777" t="s">
        <v>194</v>
      </c>
      <c r="J777" t="s">
        <v>260</v>
      </c>
      <c r="K777">
        <v>3.3041229561841634E-2</v>
      </c>
      <c r="L777" t="s">
        <v>168</v>
      </c>
      <c r="N777" t="s">
        <v>218</v>
      </c>
      <c r="O777" t="s">
        <v>260</v>
      </c>
      <c r="P777">
        <v>2.1081441729417831E-2</v>
      </c>
      <c r="Q777" t="s">
        <v>168</v>
      </c>
      <c r="S777" t="s">
        <v>237</v>
      </c>
      <c r="T777" t="s">
        <v>260</v>
      </c>
      <c r="U777">
        <v>1.769404791604557E-2</v>
      </c>
      <c r="V777" t="s">
        <v>168</v>
      </c>
    </row>
    <row r="778" spans="9:22" x14ac:dyDescent="0.45">
      <c r="I778" t="s">
        <v>194</v>
      </c>
      <c r="J778" t="s">
        <v>261</v>
      </c>
      <c r="K778">
        <v>5.2432656581265183E-2</v>
      </c>
      <c r="L778" t="s">
        <v>168</v>
      </c>
      <c r="N778" t="s">
        <v>218</v>
      </c>
      <c r="O778" t="s">
        <v>261</v>
      </c>
      <c r="P778">
        <v>0.13990380105737452</v>
      </c>
      <c r="Q778" t="s">
        <v>168</v>
      </c>
      <c r="S778" t="s">
        <v>237</v>
      </c>
      <c r="T778" t="s">
        <v>261</v>
      </c>
      <c r="U778">
        <v>0.12122816346218566</v>
      </c>
      <c r="V778" t="s">
        <v>168</v>
      </c>
    </row>
    <row r="779" spans="9:22" x14ac:dyDescent="0.45">
      <c r="I779" t="s">
        <v>194</v>
      </c>
      <c r="J779" t="s">
        <v>174</v>
      </c>
      <c r="K779">
        <v>9.951941130121645E-3</v>
      </c>
      <c r="L779" t="s">
        <v>168</v>
      </c>
      <c r="N779" t="s">
        <v>218</v>
      </c>
      <c r="O779" t="s">
        <v>174</v>
      </c>
      <c r="P779">
        <v>3.7423598301666592E-3</v>
      </c>
      <c r="Q779" t="s">
        <v>168</v>
      </c>
      <c r="S779" t="s">
        <v>237</v>
      </c>
      <c r="T779" t="s">
        <v>174</v>
      </c>
      <c r="U779">
        <v>1.0220669928827048E-2</v>
      </c>
      <c r="V779" t="s">
        <v>168</v>
      </c>
    </row>
    <row r="780" spans="9:22" x14ac:dyDescent="0.45">
      <c r="I780" t="s">
        <v>194</v>
      </c>
      <c r="J780" t="s">
        <v>175</v>
      </c>
      <c r="K780">
        <v>8.7130738775948076E-3</v>
      </c>
      <c r="L780" t="s">
        <v>168</v>
      </c>
      <c r="N780" t="s">
        <v>218</v>
      </c>
      <c r="O780" t="s">
        <v>175</v>
      </c>
      <c r="P780">
        <v>2.9718712494805686E-4</v>
      </c>
      <c r="Q780" t="s">
        <v>168</v>
      </c>
      <c r="S780" t="s">
        <v>237</v>
      </c>
      <c r="T780" t="s">
        <v>175</v>
      </c>
      <c r="U780">
        <v>9.9596719924794816E-4</v>
      </c>
      <c r="V780" t="s">
        <v>168</v>
      </c>
    </row>
    <row r="781" spans="9:22" x14ac:dyDescent="0.45">
      <c r="I781" t="s">
        <v>194</v>
      </c>
      <c r="J781" t="s">
        <v>176</v>
      </c>
      <c r="K781">
        <v>1.038631441793552E-2</v>
      </c>
      <c r="L781" t="s">
        <v>168</v>
      </c>
      <c r="N781" t="s">
        <v>218</v>
      </c>
      <c r="O781" t="s">
        <v>176</v>
      </c>
      <c r="P781">
        <v>3.2453878296012981E-4</v>
      </c>
      <c r="Q781" t="s">
        <v>168</v>
      </c>
      <c r="S781" t="s">
        <v>237</v>
      </c>
      <c r="T781" t="s">
        <v>176</v>
      </c>
      <c r="U781">
        <v>9.1129872814937288E-4</v>
      </c>
      <c r="V781" t="s">
        <v>168</v>
      </c>
    </row>
    <row r="782" spans="9:22" x14ac:dyDescent="0.45">
      <c r="I782" t="s">
        <v>194</v>
      </c>
      <c r="J782" t="s">
        <v>262</v>
      </c>
      <c r="K782">
        <v>6.6482152983540502E-2</v>
      </c>
      <c r="L782" t="s">
        <v>168</v>
      </c>
      <c r="N782" t="s">
        <v>218</v>
      </c>
      <c r="O782" t="s">
        <v>262</v>
      </c>
      <c r="P782">
        <v>3.7918472961062225E-3</v>
      </c>
      <c r="Q782" t="s">
        <v>168</v>
      </c>
      <c r="S782" t="s">
        <v>237</v>
      </c>
      <c r="T782" t="s">
        <v>262</v>
      </c>
      <c r="U782">
        <v>7.7196969874724032E-3</v>
      </c>
      <c r="V782" t="s">
        <v>168</v>
      </c>
    </row>
    <row r="783" spans="9:22" x14ac:dyDescent="0.45">
      <c r="I783" t="s">
        <v>194</v>
      </c>
      <c r="J783" t="s">
        <v>263</v>
      </c>
      <c r="K783">
        <v>9.2098886083893019E-3</v>
      </c>
      <c r="L783" t="s">
        <v>168</v>
      </c>
      <c r="N783" t="s">
        <v>218</v>
      </c>
      <c r="O783" t="s">
        <v>263</v>
      </c>
      <c r="P783">
        <v>9.7927737676916315E-4</v>
      </c>
      <c r="Q783" t="s">
        <v>168</v>
      </c>
      <c r="S783" t="s">
        <v>237</v>
      </c>
      <c r="T783" t="s">
        <v>263</v>
      </c>
      <c r="U783">
        <v>2.0493323314975677E-3</v>
      </c>
      <c r="V783" t="s">
        <v>168</v>
      </c>
    </row>
    <row r="784" spans="9:22" x14ac:dyDescent="0.45">
      <c r="I784" t="s">
        <v>194</v>
      </c>
      <c r="J784" t="s">
        <v>264</v>
      </c>
      <c r="K784">
        <v>1.7516891898717992E-2</v>
      </c>
      <c r="L784" t="s">
        <v>168</v>
      </c>
      <c r="N784" t="s">
        <v>218</v>
      </c>
      <c r="O784" t="s">
        <v>264</v>
      </c>
      <c r="P784">
        <v>4.3742277885798313E-3</v>
      </c>
      <c r="Q784" t="s">
        <v>168</v>
      </c>
      <c r="S784" t="s">
        <v>237</v>
      </c>
      <c r="T784" t="s">
        <v>264</v>
      </c>
      <c r="U784">
        <v>1.3990360306458328E-2</v>
      </c>
      <c r="V784" t="s">
        <v>168</v>
      </c>
    </row>
    <row r="785" spans="9:22" x14ac:dyDescent="0.45">
      <c r="I785" t="s">
        <v>194</v>
      </c>
      <c r="J785" t="s">
        <v>265</v>
      </c>
      <c r="K785">
        <v>7.9334846053819626E-3</v>
      </c>
      <c r="L785" t="s">
        <v>168</v>
      </c>
      <c r="N785" t="s">
        <v>218</v>
      </c>
      <c r="O785" t="s">
        <v>265</v>
      </c>
      <c r="P785">
        <v>4.9201453207294767E-3</v>
      </c>
      <c r="Q785" t="s">
        <v>168</v>
      </c>
      <c r="S785" t="s">
        <v>237</v>
      </c>
      <c r="T785" t="s">
        <v>265</v>
      </c>
      <c r="U785">
        <v>1.3192434040180298E-2</v>
      </c>
      <c r="V785" t="s">
        <v>168</v>
      </c>
    </row>
    <row r="786" spans="9:22" x14ac:dyDescent="0.45">
      <c r="I786" t="s">
        <v>194</v>
      </c>
      <c r="J786" t="s">
        <v>266</v>
      </c>
      <c r="K786">
        <v>7.8961924800896015E-3</v>
      </c>
      <c r="L786" t="s">
        <v>168</v>
      </c>
      <c r="N786" t="s">
        <v>218</v>
      </c>
      <c r="O786" t="s">
        <v>266</v>
      </c>
      <c r="P786">
        <v>4.2087433930768374E-4</v>
      </c>
      <c r="Q786" t="s">
        <v>168</v>
      </c>
      <c r="S786" t="s">
        <v>237</v>
      </c>
      <c r="T786" t="s">
        <v>266</v>
      </c>
      <c r="U786">
        <v>1.297311298898651E-3</v>
      </c>
      <c r="V786" t="s">
        <v>168</v>
      </c>
    </row>
    <row r="787" spans="9:22" x14ac:dyDescent="0.45">
      <c r="I787" t="s">
        <v>194</v>
      </c>
      <c r="J787" t="s">
        <v>267</v>
      </c>
      <c r="K787">
        <v>9.7446009415210009E-3</v>
      </c>
      <c r="L787" t="s">
        <v>168</v>
      </c>
      <c r="N787" t="s">
        <v>218</v>
      </c>
      <c r="O787" t="s">
        <v>267</v>
      </c>
      <c r="P787">
        <v>3.6618754259607779E-4</v>
      </c>
      <c r="Q787" t="s">
        <v>168</v>
      </c>
      <c r="S787" t="s">
        <v>237</v>
      </c>
      <c r="T787" t="s">
        <v>267</v>
      </c>
      <c r="U787">
        <v>1.2491816726944458E-3</v>
      </c>
      <c r="V787" t="s">
        <v>168</v>
      </c>
    </row>
    <row r="788" spans="9:22" x14ac:dyDescent="0.45">
      <c r="I788" t="s">
        <v>194</v>
      </c>
      <c r="J788" t="s">
        <v>268</v>
      </c>
      <c r="K788">
        <v>6.3679454018249662E-2</v>
      </c>
      <c r="L788" t="s">
        <v>168</v>
      </c>
      <c r="N788" t="s">
        <v>218</v>
      </c>
      <c r="O788" t="s">
        <v>268</v>
      </c>
      <c r="P788">
        <v>3.4150620569201608E-3</v>
      </c>
      <c r="Q788" t="s">
        <v>168</v>
      </c>
      <c r="S788" t="s">
        <v>237</v>
      </c>
      <c r="T788" t="s">
        <v>268</v>
      </c>
      <c r="U788">
        <v>1.0356391254128837E-2</v>
      </c>
      <c r="V788" t="s">
        <v>168</v>
      </c>
    </row>
    <row r="789" spans="9:22" x14ac:dyDescent="0.45">
      <c r="I789" t="s">
        <v>194</v>
      </c>
      <c r="J789" t="s">
        <v>269</v>
      </c>
      <c r="K789">
        <v>8.6317250895647808E-3</v>
      </c>
      <c r="L789" t="s">
        <v>168</v>
      </c>
      <c r="N789" t="s">
        <v>218</v>
      </c>
      <c r="O789" t="s">
        <v>269</v>
      </c>
      <c r="P789">
        <v>1.024850863752766E-3</v>
      </c>
      <c r="Q789" t="s">
        <v>168</v>
      </c>
      <c r="S789" t="s">
        <v>237</v>
      </c>
      <c r="T789" t="s">
        <v>269</v>
      </c>
      <c r="U789">
        <v>2.3763153317541892E-3</v>
      </c>
      <c r="V789" t="s">
        <v>168</v>
      </c>
    </row>
    <row r="790" spans="9:22" x14ac:dyDescent="0.45">
      <c r="I790" t="s">
        <v>194</v>
      </c>
      <c r="J790" t="s">
        <v>270</v>
      </c>
      <c r="K790">
        <v>1.4928754341223892E-2</v>
      </c>
      <c r="L790" t="s">
        <v>168</v>
      </c>
      <c r="N790" t="s">
        <v>218</v>
      </c>
      <c r="O790" t="s">
        <v>270</v>
      </c>
      <c r="P790">
        <v>5.0516772508850073E-3</v>
      </c>
      <c r="Q790" t="s">
        <v>168</v>
      </c>
      <c r="S790" t="s">
        <v>237</v>
      </c>
      <c r="T790" t="s">
        <v>270</v>
      </c>
      <c r="U790">
        <v>1.4247202067098775E-2</v>
      </c>
      <c r="V790" t="s">
        <v>168</v>
      </c>
    </row>
    <row r="791" spans="9:22" x14ac:dyDescent="0.45">
      <c r="I791" t="s">
        <v>194</v>
      </c>
      <c r="J791" t="s">
        <v>271</v>
      </c>
      <c r="K791">
        <v>3.8904256908532777E-3</v>
      </c>
      <c r="L791" t="s">
        <v>168</v>
      </c>
      <c r="N791" t="s">
        <v>218</v>
      </c>
      <c r="O791" t="s">
        <v>271</v>
      </c>
      <c r="P791">
        <v>1.180155705174951E-2</v>
      </c>
      <c r="Q791" t="s">
        <v>168</v>
      </c>
      <c r="S791" t="s">
        <v>237</v>
      </c>
      <c r="T791" t="s">
        <v>271</v>
      </c>
      <c r="U791">
        <v>1.2482567062011994E-2</v>
      </c>
      <c r="V791" t="s">
        <v>168</v>
      </c>
    </row>
    <row r="792" spans="9:22" x14ac:dyDescent="0.45">
      <c r="I792" t="s">
        <v>194</v>
      </c>
      <c r="J792" t="s">
        <v>272</v>
      </c>
      <c r="K792">
        <v>6.5261558543422459E-3</v>
      </c>
      <c r="L792" t="s">
        <v>168</v>
      </c>
      <c r="N792" t="s">
        <v>218</v>
      </c>
      <c r="O792" t="s">
        <v>272</v>
      </c>
      <c r="P792">
        <v>1.7771228664680378E-3</v>
      </c>
      <c r="Q792" t="s">
        <v>168</v>
      </c>
      <c r="S792" t="s">
        <v>237</v>
      </c>
      <c r="T792" t="s">
        <v>272</v>
      </c>
      <c r="U792">
        <v>1.6398381264158114E-3</v>
      </c>
      <c r="V792" t="s">
        <v>168</v>
      </c>
    </row>
    <row r="793" spans="9:22" x14ac:dyDescent="0.45">
      <c r="I793" t="s">
        <v>194</v>
      </c>
      <c r="J793" t="s">
        <v>273</v>
      </c>
      <c r="K793">
        <v>8.6289470211187713E-3</v>
      </c>
      <c r="L793" t="s">
        <v>168</v>
      </c>
      <c r="N793" t="s">
        <v>218</v>
      </c>
      <c r="O793" t="s">
        <v>273</v>
      </c>
      <c r="P793">
        <v>1.9243100854051775E-3</v>
      </c>
      <c r="Q793" t="s">
        <v>168</v>
      </c>
      <c r="S793" t="s">
        <v>237</v>
      </c>
      <c r="T793" t="s">
        <v>273</v>
      </c>
      <c r="U793">
        <v>1.6846186662484567E-3</v>
      </c>
      <c r="V793" t="s">
        <v>168</v>
      </c>
    </row>
    <row r="794" spans="9:22" x14ac:dyDescent="0.45">
      <c r="I794" t="s">
        <v>194</v>
      </c>
      <c r="J794" t="s">
        <v>274</v>
      </c>
      <c r="K794">
        <v>5.8294445392103704E-2</v>
      </c>
      <c r="L794" t="s">
        <v>168</v>
      </c>
      <c r="N794" t="s">
        <v>218</v>
      </c>
      <c r="O794" t="s">
        <v>274</v>
      </c>
      <c r="P794">
        <v>1.3765295242631296E-2</v>
      </c>
      <c r="Q794" t="s">
        <v>168</v>
      </c>
      <c r="S794" t="s">
        <v>237</v>
      </c>
      <c r="T794" t="s">
        <v>274</v>
      </c>
      <c r="U794">
        <v>1.0812850118395318E-2</v>
      </c>
      <c r="V794" t="s">
        <v>168</v>
      </c>
    </row>
    <row r="795" spans="9:22" x14ac:dyDescent="0.45">
      <c r="I795" t="s">
        <v>194</v>
      </c>
      <c r="J795" t="s">
        <v>275</v>
      </c>
      <c r="K795">
        <v>8.0532287899294907E-3</v>
      </c>
      <c r="L795" t="s">
        <v>168</v>
      </c>
      <c r="N795" t="s">
        <v>218</v>
      </c>
      <c r="O795" t="s">
        <v>275</v>
      </c>
      <c r="P795">
        <v>2.802178830115294E-3</v>
      </c>
      <c r="Q795" t="s">
        <v>168</v>
      </c>
      <c r="S795" t="s">
        <v>237</v>
      </c>
      <c r="T795" t="s">
        <v>275</v>
      </c>
      <c r="U795">
        <v>1.8656563026820026E-3</v>
      </c>
      <c r="V795" t="s">
        <v>168</v>
      </c>
    </row>
    <row r="796" spans="9:22" x14ac:dyDescent="0.45">
      <c r="I796" t="s">
        <v>194</v>
      </c>
      <c r="J796" t="s">
        <v>276</v>
      </c>
      <c r="K796">
        <v>9.6927404850734936E-3</v>
      </c>
      <c r="L796" t="s">
        <v>168</v>
      </c>
      <c r="N796" t="s">
        <v>218</v>
      </c>
      <c r="O796" t="s">
        <v>276</v>
      </c>
      <c r="P796">
        <v>1.3628162945480291E-2</v>
      </c>
      <c r="Q796" t="s">
        <v>168</v>
      </c>
      <c r="S796" t="s">
        <v>237</v>
      </c>
      <c r="T796" t="s">
        <v>276</v>
      </c>
      <c r="U796">
        <v>1.3302172098223946E-2</v>
      </c>
      <c r="V796" t="s">
        <v>168</v>
      </c>
    </row>
    <row r="797" spans="9:22" x14ac:dyDescent="0.45">
      <c r="I797" t="s">
        <v>194</v>
      </c>
      <c r="J797" t="s">
        <v>277</v>
      </c>
      <c r="K797">
        <v>1.5419092504545195E-3</v>
      </c>
      <c r="L797" t="s">
        <v>168</v>
      </c>
      <c r="N797" t="s">
        <v>218</v>
      </c>
      <c r="O797" t="s">
        <v>277</v>
      </c>
      <c r="P797">
        <v>3.9712764445634666E-2</v>
      </c>
      <c r="Q797" t="s">
        <v>168</v>
      </c>
      <c r="S797" t="s">
        <v>237</v>
      </c>
      <c r="T797" t="s">
        <v>277</v>
      </c>
      <c r="U797">
        <v>5.1570260476846326E-2</v>
      </c>
      <c r="V797" t="s">
        <v>168</v>
      </c>
    </row>
    <row r="798" spans="9:22" x14ac:dyDescent="0.45">
      <c r="I798" t="s">
        <v>194</v>
      </c>
      <c r="J798" t="s">
        <v>278</v>
      </c>
      <c r="K798">
        <v>6.2662251273018117E-3</v>
      </c>
      <c r="L798" t="s">
        <v>168</v>
      </c>
      <c r="N798" t="s">
        <v>218</v>
      </c>
      <c r="O798" t="s">
        <v>278</v>
      </c>
      <c r="P798">
        <v>5.3431296408092835E-3</v>
      </c>
      <c r="Q798" t="s">
        <v>168</v>
      </c>
      <c r="S798" t="s">
        <v>237</v>
      </c>
      <c r="T798" t="s">
        <v>278</v>
      </c>
      <c r="U798">
        <v>6.1475082788282932E-3</v>
      </c>
      <c r="V798" t="s">
        <v>168</v>
      </c>
    </row>
    <row r="799" spans="9:22" x14ac:dyDescent="0.45">
      <c r="I799" t="s">
        <v>194</v>
      </c>
      <c r="J799" t="s">
        <v>279</v>
      </c>
      <c r="K799">
        <v>1.0361754966817379E-2</v>
      </c>
      <c r="L799" t="s">
        <v>168</v>
      </c>
      <c r="N799" t="s">
        <v>218</v>
      </c>
      <c r="O799" t="s">
        <v>279</v>
      </c>
      <c r="P799">
        <v>5.4342692071687668E-3</v>
      </c>
      <c r="Q799" t="s">
        <v>168</v>
      </c>
      <c r="S799" t="s">
        <v>237</v>
      </c>
      <c r="T799" t="s">
        <v>279</v>
      </c>
      <c r="U799">
        <v>6.2429950850443989E-3</v>
      </c>
      <c r="V799" t="s">
        <v>168</v>
      </c>
    </row>
    <row r="800" spans="9:22" x14ac:dyDescent="0.45">
      <c r="I800" t="s">
        <v>194</v>
      </c>
      <c r="J800" t="s">
        <v>280</v>
      </c>
      <c r="K800">
        <v>7.9947019785869503E-2</v>
      </c>
      <c r="L800" t="s">
        <v>168</v>
      </c>
      <c r="N800" t="s">
        <v>218</v>
      </c>
      <c r="O800" t="s">
        <v>280</v>
      </c>
      <c r="P800">
        <v>3.5377730607314445E-2</v>
      </c>
      <c r="Q800" t="s">
        <v>168</v>
      </c>
      <c r="S800" t="s">
        <v>237</v>
      </c>
      <c r="T800" t="s">
        <v>280</v>
      </c>
      <c r="U800">
        <v>3.6187646140089305E-2</v>
      </c>
      <c r="V800" t="s">
        <v>168</v>
      </c>
    </row>
    <row r="801" spans="9:22" x14ac:dyDescent="0.45">
      <c r="I801" t="s">
        <v>194</v>
      </c>
      <c r="J801" t="s">
        <v>281</v>
      </c>
      <c r="K801">
        <v>9.381162471809883E-3</v>
      </c>
      <c r="L801" t="s">
        <v>168</v>
      </c>
      <c r="N801" t="s">
        <v>218</v>
      </c>
      <c r="O801" t="s">
        <v>281</v>
      </c>
      <c r="P801">
        <v>5.8145676719347436E-3</v>
      </c>
      <c r="Q801" t="s">
        <v>168</v>
      </c>
      <c r="S801" t="s">
        <v>237</v>
      </c>
      <c r="T801" t="s">
        <v>281</v>
      </c>
      <c r="U801">
        <v>5.9172941860306831E-3</v>
      </c>
      <c r="V801" t="s">
        <v>168</v>
      </c>
    </row>
    <row r="802" spans="9:22" x14ac:dyDescent="0.45">
      <c r="I802" t="s">
        <v>194</v>
      </c>
      <c r="J802" t="s">
        <v>282</v>
      </c>
      <c r="K802">
        <v>5.0378294288890004E-3</v>
      </c>
      <c r="L802" t="s">
        <v>168</v>
      </c>
      <c r="N802" t="s">
        <v>218</v>
      </c>
      <c r="O802" t="s">
        <v>282</v>
      </c>
      <c r="P802">
        <v>3.7054291172940082E-2</v>
      </c>
      <c r="Q802" t="s">
        <v>168</v>
      </c>
      <c r="S802" t="s">
        <v>237</v>
      </c>
      <c r="T802" t="s">
        <v>282</v>
      </c>
      <c r="U802">
        <v>4.3926045406680207E-2</v>
      </c>
      <c r="V802" t="s">
        <v>168</v>
      </c>
    </row>
    <row r="803" spans="9:22" x14ac:dyDescent="0.45">
      <c r="I803" t="s">
        <v>194</v>
      </c>
      <c r="J803" t="s">
        <v>283</v>
      </c>
      <c r="K803">
        <v>0</v>
      </c>
      <c r="L803" t="s">
        <v>168</v>
      </c>
      <c r="N803" t="s">
        <v>218</v>
      </c>
      <c r="O803" t="s">
        <v>283</v>
      </c>
      <c r="P803">
        <v>1.6385661857610239E-2</v>
      </c>
      <c r="Q803" t="s">
        <v>168</v>
      </c>
      <c r="S803" t="s">
        <v>237</v>
      </c>
      <c r="T803" t="s">
        <v>283</v>
      </c>
      <c r="U803">
        <v>2.4219175048249969E-2</v>
      </c>
      <c r="V803" t="s">
        <v>168</v>
      </c>
    </row>
    <row r="804" spans="9:22" x14ac:dyDescent="0.45">
      <c r="I804" t="s">
        <v>194</v>
      </c>
      <c r="J804" t="s">
        <v>284</v>
      </c>
      <c r="K804">
        <v>8.0453637755092792E-4</v>
      </c>
      <c r="L804" t="s">
        <v>168</v>
      </c>
      <c r="N804" t="s">
        <v>218</v>
      </c>
      <c r="O804" t="s">
        <v>284</v>
      </c>
      <c r="P804">
        <v>1.6650861632295608E-3</v>
      </c>
      <c r="Q804" t="s">
        <v>168</v>
      </c>
      <c r="S804" t="s">
        <v>237</v>
      </c>
      <c r="T804" t="s">
        <v>284</v>
      </c>
      <c r="U804">
        <v>2.792290268597568E-3</v>
      </c>
      <c r="V804" t="s">
        <v>168</v>
      </c>
    </row>
    <row r="805" spans="9:22" x14ac:dyDescent="0.45">
      <c r="I805" t="s">
        <v>194</v>
      </c>
      <c r="J805" t="s">
        <v>285</v>
      </c>
      <c r="K805">
        <v>3.7330653966635048E-3</v>
      </c>
      <c r="L805" t="s">
        <v>168</v>
      </c>
      <c r="N805" t="s">
        <v>218</v>
      </c>
      <c r="O805" t="s">
        <v>285</v>
      </c>
      <c r="P805">
        <v>1.7390774263307783E-3</v>
      </c>
      <c r="Q805" t="s">
        <v>168</v>
      </c>
      <c r="S805" t="s">
        <v>237</v>
      </c>
      <c r="T805" t="s">
        <v>285</v>
      </c>
      <c r="U805">
        <v>2.8076202227149656E-3</v>
      </c>
      <c r="V805" t="s">
        <v>168</v>
      </c>
    </row>
    <row r="806" spans="9:22" x14ac:dyDescent="0.45">
      <c r="I806" t="s">
        <v>194</v>
      </c>
      <c r="J806" t="s">
        <v>286</v>
      </c>
      <c r="K806">
        <v>3.626084941816448E-2</v>
      </c>
      <c r="L806" t="s">
        <v>168</v>
      </c>
      <c r="N806" t="s">
        <v>218</v>
      </c>
      <c r="O806" t="s">
        <v>286</v>
      </c>
      <c r="P806">
        <v>1.0776029366399455E-2</v>
      </c>
      <c r="Q806" t="s">
        <v>168</v>
      </c>
      <c r="S806" t="s">
        <v>237</v>
      </c>
      <c r="T806" t="s">
        <v>286</v>
      </c>
      <c r="U806">
        <v>1.8085787405986025E-2</v>
      </c>
      <c r="V806" t="s">
        <v>168</v>
      </c>
    </row>
    <row r="807" spans="9:22" x14ac:dyDescent="0.45">
      <c r="I807" t="s">
        <v>194</v>
      </c>
      <c r="J807" t="s">
        <v>287</v>
      </c>
      <c r="K807">
        <v>4.058736608000082E-3</v>
      </c>
      <c r="L807" t="s">
        <v>168</v>
      </c>
      <c r="N807" t="s">
        <v>218</v>
      </c>
      <c r="O807" t="s">
        <v>287</v>
      </c>
      <c r="P807">
        <v>1.7592330699612241E-3</v>
      </c>
      <c r="Q807" t="s">
        <v>168</v>
      </c>
      <c r="S807" t="s">
        <v>237</v>
      </c>
      <c r="T807" t="s">
        <v>287</v>
      </c>
      <c r="U807">
        <v>3.3313692619241662E-3</v>
      </c>
      <c r="V807" t="s">
        <v>168</v>
      </c>
    </row>
    <row r="808" spans="9:22" x14ac:dyDescent="0.45">
      <c r="I808" t="s">
        <v>194</v>
      </c>
      <c r="J808" t="s">
        <v>288</v>
      </c>
      <c r="K808">
        <v>1.6851746853239743E-5</v>
      </c>
      <c r="L808" t="s">
        <v>168</v>
      </c>
      <c r="N808" t="s">
        <v>218</v>
      </c>
      <c r="O808" t="s">
        <v>288</v>
      </c>
      <c r="P808">
        <v>1.2598507152191072E-2</v>
      </c>
      <c r="Q808" t="s">
        <v>168</v>
      </c>
      <c r="S808" t="s">
        <v>237</v>
      </c>
      <c r="T808" t="s">
        <v>288</v>
      </c>
      <c r="U808">
        <v>2.3810352765406596E-2</v>
      </c>
      <c r="V808" t="s">
        <v>168</v>
      </c>
    </row>
    <row r="809" spans="9:22" x14ac:dyDescent="0.45">
      <c r="I809" t="s">
        <v>195</v>
      </c>
      <c r="J809" t="s">
        <v>167</v>
      </c>
      <c r="K809">
        <v>0</v>
      </c>
      <c r="L809" t="s">
        <v>168</v>
      </c>
    </row>
    <row r="810" spans="9:22" x14ac:dyDescent="0.45">
      <c r="I810" t="s">
        <v>195</v>
      </c>
      <c r="J810" t="s">
        <v>169</v>
      </c>
      <c r="K810">
        <v>2.384529635708529E-3</v>
      </c>
      <c r="L810" t="s">
        <v>168</v>
      </c>
    </row>
    <row r="811" spans="9:22" x14ac:dyDescent="0.45">
      <c r="I811" t="s">
        <v>195</v>
      </c>
      <c r="J811" t="s">
        <v>170</v>
      </c>
      <c r="K811">
        <v>8.1085415611167003E-3</v>
      </c>
      <c r="L811" t="s">
        <v>168</v>
      </c>
    </row>
    <row r="812" spans="9:22" x14ac:dyDescent="0.45">
      <c r="I812" t="s">
        <v>195</v>
      </c>
      <c r="J812" t="s">
        <v>256</v>
      </c>
      <c r="K812">
        <v>7.6531289890520673E-2</v>
      </c>
      <c r="L812" t="s">
        <v>168</v>
      </c>
    </row>
    <row r="813" spans="9:22" x14ac:dyDescent="0.45">
      <c r="I813" t="s">
        <v>195</v>
      </c>
      <c r="J813" t="s">
        <v>257</v>
      </c>
      <c r="K813">
        <v>1.1032348691216836E-2</v>
      </c>
      <c r="L813" t="s">
        <v>168</v>
      </c>
    </row>
    <row r="814" spans="9:22" x14ac:dyDescent="0.45">
      <c r="I814" t="s">
        <v>195</v>
      </c>
      <c r="J814" t="s">
        <v>258</v>
      </c>
      <c r="K814">
        <v>9.0936964511271826E-3</v>
      </c>
      <c r="L814" t="s">
        <v>168</v>
      </c>
    </row>
    <row r="815" spans="9:22" x14ac:dyDescent="0.45">
      <c r="I815" t="s">
        <v>195</v>
      </c>
      <c r="J815" t="s">
        <v>171</v>
      </c>
      <c r="K815">
        <v>2.052448483940994E-2</v>
      </c>
      <c r="L815" t="s">
        <v>168</v>
      </c>
    </row>
    <row r="816" spans="9:22" x14ac:dyDescent="0.45">
      <c r="I816" t="s">
        <v>195</v>
      </c>
      <c r="J816" t="s">
        <v>172</v>
      </c>
      <c r="K816">
        <v>2.5208719196035762E-2</v>
      </c>
      <c r="L816" t="s">
        <v>168</v>
      </c>
    </row>
    <row r="817" spans="9:12" x14ac:dyDescent="0.45">
      <c r="I817" t="s">
        <v>195</v>
      </c>
      <c r="J817" t="s">
        <v>173</v>
      </c>
      <c r="K817">
        <v>3.2728677896984235E-2</v>
      </c>
      <c r="L817" t="s">
        <v>168</v>
      </c>
    </row>
    <row r="818" spans="9:12" x14ac:dyDescent="0.45">
      <c r="I818" t="s">
        <v>195</v>
      </c>
      <c r="J818" t="s">
        <v>259</v>
      </c>
      <c r="K818">
        <v>0.23242378483852683</v>
      </c>
      <c r="L818" t="s">
        <v>168</v>
      </c>
    </row>
    <row r="819" spans="9:12" x14ac:dyDescent="0.45">
      <c r="I819" t="s">
        <v>195</v>
      </c>
      <c r="J819" t="s">
        <v>260</v>
      </c>
      <c r="K819">
        <v>3.3438679553451971E-2</v>
      </c>
      <c r="L819" t="s">
        <v>168</v>
      </c>
    </row>
    <row r="820" spans="9:12" x14ac:dyDescent="0.45">
      <c r="I820" t="s">
        <v>195</v>
      </c>
      <c r="J820" t="s">
        <v>261</v>
      </c>
      <c r="K820">
        <v>5.9073941763643209E-2</v>
      </c>
      <c r="L820" t="s">
        <v>168</v>
      </c>
    </row>
    <row r="821" spans="9:12" x14ac:dyDescent="0.45">
      <c r="I821" t="s">
        <v>195</v>
      </c>
      <c r="J821" t="s">
        <v>174</v>
      </c>
      <c r="K821">
        <v>8.774070894430731E-3</v>
      </c>
      <c r="L821" t="s">
        <v>168</v>
      </c>
    </row>
    <row r="822" spans="9:12" x14ac:dyDescent="0.45">
      <c r="I822" t="s">
        <v>195</v>
      </c>
      <c r="J822" t="s">
        <v>175</v>
      </c>
      <c r="K822">
        <v>8.5225388924623415E-3</v>
      </c>
      <c r="L822" t="s">
        <v>168</v>
      </c>
    </row>
    <row r="823" spans="9:12" x14ac:dyDescent="0.45">
      <c r="I823" t="s">
        <v>195</v>
      </c>
      <c r="J823" t="s">
        <v>176</v>
      </c>
      <c r="K823">
        <v>1.0236732798538999E-2</v>
      </c>
      <c r="L823" t="s">
        <v>168</v>
      </c>
    </row>
    <row r="824" spans="9:12" x14ac:dyDescent="0.45">
      <c r="I824" t="s">
        <v>195</v>
      </c>
      <c r="J824" t="s">
        <v>262</v>
      </c>
      <c r="K824">
        <v>6.7656397767392171E-2</v>
      </c>
      <c r="L824" t="s">
        <v>168</v>
      </c>
    </row>
    <row r="825" spans="9:12" x14ac:dyDescent="0.45">
      <c r="I825" t="s">
        <v>195</v>
      </c>
      <c r="J825" t="s">
        <v>263</v>
      </c>
      <c r="K825">
        <v>9.196536796608562E-3</v>
      </c>
      <c r="L825" t="s">
        <v>168</v>
      </c>
    </row>
    <row r="826" spans="9:12" x14ac:dyDescent="0.45">
      <c r="I826" t="s">
        <v>195</v>
      </c>
      <c r="J826" t="s">
        <v>264</v>
      </c>
      <c r="K826">
        <v>1.9614184824137036E-2</v>
      </c>
      <c r="L826" t="s">
        <v>168</v>
      </c>
    </row>
    <row r="827" spans="9:12" x14ac:dyDescent="0.45">
      <c r="I827" t="s">
        <v>195</v>
      </c>
      <c r="J827" t="s">
        <v>265</v>
      </c>
      <c r="K827">
        <v>6.759214301756235E-3</v>
      </c>
      <c r="L827" t="s">
        <v>168</v>
      </c>
    </row>
    <row r="828" spans="9:12" x14ac:dyDescent="0.45">
      <c r="I828" t="s">
        <v>195</v>
      </c>
      <c r="J828" t="s">
        <v>266</v>
      </c>
      <c r="K828">
        <v>8.0309261546466625E-3</v>
      </c>
      <c r="L828" t="s">
        <v>168</v>
      </c>
    </row>
    <row r="829" spans="9:12" x14ac:dyDescent="0.45">
      <c r="I829" t="s">
        <v>195</v>
      </c>
      <c r="J829" t="s">
        <v>267</v>
      </c>
      <c r="K829">
        <v>9.710159857957772E-3</v>
      </c>
      <c r="L829" t="s">
        <v>168</v>
      </c>
    </row>
    <row r="830" spans="9:12" x14ac:dyDescent="0.45">
      <c r="I830" t="s">
        <v>195</v>
      </c>
      <c r="J830" t="s">
        <v>268</v>
      </c>
      <c r="K830">
        <v>6.4946467545331163E-2</v>
      </c>
      <c r="L830" t="s">
        <v>168</v>
      </c>
    </row>
    <row r="831" spans="9:12" x14ac:dyDescent="0.45">
      <c r="I831" t="s">
        <v>195</v>
      </c>
      <c r="J831" t="s">
        <v>269</v>
      </c>
      <c r="K831">
        <v>9.6872334592086815E-3</v>
      </c>
      <c r="L831" t="s">
        <v>168</v>
      </c>
    </row>
    <row r="832" spans="9:12" x14ac:dyDescent="0.45">
      <c r="I832" t="s">
        <v>195</v>
      </c>
      <c r="J832" t="s">
        <v>270</v>
      </c>
      <c r="K832">
        <v>1.8212873824434241E-2</v>
      </c>
      <c r="L832" t="s">
        <v>168</v>
      </c>
    </row>
    <row r="833" spans="9:12" x14ac:dyDescent="0.45">
      <c r="I833" t="s">
        <v>195</v>
      </c>
      <c r="J833" t="s">
        <v>271</v>
      </c>
      <c r="K833">
        <v>3.2752405798471807E-3</v>
      </c>
      <c r="L833" t="s">
        <v>168</v>
      </c>
    </row>
    <row r="834" spans="9:12" x14ac:dyDescent="0.45">
      <c r="I834" t="s">
        <v>195</v>
      </c>
      <c r="J834" t="s">
        <v>272</v>
      </c>
      <c r="K834">
        <v>6.1355943515854945E-3</v>
      </c>
      <c r="L834" t="s">
        <v>168</v>
      </c>
    </row>
    <row r="835" spans="9:12" x14ac:dyDescent="0.45">
      <c r="I835" t="s">
        <v>195</v>
      </c>
      <c r="J835" t="s">
        <v>273</v>
      </c>
      <c r="K835">
        <v>8.2331499735604271E-3</v>
      </c>
      <c r="L835" t="s">
        <v>168</v>
      </c>
    </row>
    <row r="836" spans="9:12" x14ac:dyDescent="0.45">
      <c r="I836" t="s">
        <v>195</v>
      </c>
      <c r="J836" t="s">
        <v>274</v>
      </c>
      <c r="K836">
        <v>5.5673508863042127E-2</v>
      </c>
      <c r="L836" t="s">
        <v>168</v>
      </c>
    </row>
    <row r="837" spans="9:12" x14ac:dyDescent="0.45">
      <c r="I837" t="s">
        <v>195</v>
      </c>
      <c r="J837" t="s">
        <v>275</v>
      </c>
      <c r="K837">
        <v>8.1869440612126962E-3</v>
      </c>
      <c r="L837" t="s">
        <v>168</v>
      </c>
    </row>
    <row r="838" spans="9:12" x14ac:dyDescent="0.45">
      <c r="I838" t="s">
        <v>195</v>
      </c>
      <c r="J838" t="s">
        <v>276</v>
      </c>
      <c r="K838">
        <v>1.1061675040403399E-2</v>
      </c>
      <c r="L838" t="s">
        <v>168</v>
      </c>
    </row>
    <row r="839" spans="9:12" x14ac:dyDescent="0.45">
      <c r="I839" t="s">
        <v>195</v>
      </c>
      <c r="J839" t="s">
        <v>277</v>
      </c>
      <c r="K839">
        <v>7.2145769263844042E-4</v>
      </c>
      <c r="L839" t="s">
        <v>168</v>
      </c>
    </row>
    <row r="840" spans="9:12" x14ac:dyDescent="0.45">
      <c r="I840" t="s">
        <v>195</v>
      </c>
      <c r="J840" t="s">
        <v>278</v>
      </c>
      <c r="K840">
        <v>5.6653080132432285E-3</v>
      </c>
      <c r="L840" t="s">
        <v>168</v>
      </c>
    </row>
    <row r="841" spans="9:12" x14ac:dyDescent="0.45">
      <c r="I841" t="s">
        <v>195</v>
      </c>
      <c r="J841" t="s">
        <v>279</v>
      </c>
      <c r="K841">
        <v>9.9555266685323537E-3</v>
      </c>
      <c r="L841" t="s">
        <v>168</v>
      </c>
    </row>
    <row r="842" spans="9:12" x14ac:dyDescent="0.45">
      <c r="I842" t="s">
        <v>195</v>
      </c>
      <c r="J842" t="s">
        <v>280</v>
      </c>
      <c r="K842">
        <v>7.8500016482388413E-2</v>
      </c>
      <c r="L842" t="s">
        <v>168</v>
      </c>
    </row>
    <row r="843" spans="9:12" x14ac:dyDescent="0.45">
      <c r="I843" t="s">
        <v>195</v>
      </c>
      <c r="J843" t="s">
        <v>281</v>
      </c>
      <c r="K843">
        <v>1.0203067520810433E-2</v>
      </c>
      <c r="L843" t="s">
        <v>168</v>
      </c>
    </row>
    <row r="844" spans="9:12" x14ac:dyDescent="0.45">
      <c r="I844" t="s">
        <v>195</v>
      </c>
      <c r="J844" t="s">
        <v>282</v>
      </c>
      <c r="K844">
        <v>6.7582895450978651E-3</v>
      </c>
      <c r="L844" t="s">
        <v>168</v>
      </c>
    </row>
    <row r="845" spans="9:12" x14ac:dyDescent="0.45">
      <c r="I845" t="s">
        <v>195</v>
      </c>
      <c r="J845" t="s">
        <v>283</v>
      </c>
      <c r="K845">
        <v>0</v>
      </c>
      <c r="L845" t="s">
        <v>168</v>
      </c>
    </row>
    <row r="846" spans="9:12" x14ac:dyDescent="0.45">
      <c r="I846" t="s">
        <v>195</v>
      </c>
      <c r="J846" t="s">
        <v>284</v>
      </c>
      <c r="K846">
        <v>1.3265959444817674E-5</v>
      </c>
      <c r="L846" t="s">
        <v>168</v>
      </c>
    </row>
    <row r="847" spans="9:12" x14ac:dyDescent="0.45">
      <c r="I847" t="s">
        <v>195</v>
      </c>
      <c r="J847" t="s">
        <v>285</v>
      </c>
      <c r="K847">
        <v>3.289095618294176E-3</v>
      </c>
      <c r="L847" t="s">
        <v>168</v>
      </c>
    </row>
    <row r="848" spans="9:12" x14ac:dyDescent="0.45">
      <c r="I848" t="s">
        <v>195</v>
      </c>
      <c r="J848" t="s">
        <v>286</v>
      </c>
      <c r="K848">
        <v>3.512258343311022E-2</v>
      </c>
      <c r="L848" t="s">
        <v>168</v>
      </c>
    </row>
    <row r="849" spans="9:12" x14ac:dyDescent="0.45">
      <c r="I849" t="s">
        <v>195</v>
      </c>
      <c r="J849" t="s">
        <v>287</v>
      </c>
      <c r="K849">
        <v>4.2587924506706145E-3</v>
      </c>
      <c r="L849" t="s">
        <v>168</v>
      </c>
    </row>
    <row r="850" spans="9:12" x14ac:dyDescent="0.45">
      <c r="I850" t="s">
        <v>195</v>
      </c>
      <c r="J850" t="s">
        <v>288</v>
      </c>
      <c r="K850">
        <v>1.0504523114684109E-3</v>
      </c>
      <c r="L850" t="s">
        <v>168</v>
      </c>
    </row>
    <row r="851" spans="9:12" x14ac:dyDescent="0.45">
      <c r="I851" t="s">
        <v>196</v>
      </c>
      <c r="J851" t="s">
        <v>167</v>
      </c>
      <c r="K851">
        <v>0</v>
      </c>
      <c r="L851" t="s">
        <v>168</v>
      </c>
    </row>
    <row r="852" spans="9:12" x14ac:dyDescent="0.45">
      <c r="I852" t="s">
        <v>196</v>
      </c>
      <c r="J852" t="s">
        <v>169</v>
      </c>
      <c r="K852">
        <v>2.6776926449829062E-3</v>
      </c>
      <c r="L852" t="s">
        <v>168</v>
      </c>
    </row>
    <row r="853" spans="9:12" x14ac:dyDescent="0.45">
      <c r="I853" t="s">
        <v>196</v>
      </c>
      <c r="J853" t="s">
        <v>170</v>
      </c>
      <c r="K853">
        <v>8.1266408306655165E-3</v>
      </c>
      <c r="L853" t="s">
        <v>168</v>
      </c>
    </row>
    <row r="854" spans="9:12" x14ac:dyDescent="0.45">
      <c r="I854" t="s">
        <v>196</v>
      </c>
      <c r="J854" t="s">
        <v>256</v>
      </c>
      <c r="K854">
        <v>7.7561326965084498E-2</v>
      </c>
      <c r="L854" t="s">
        <v>168</v>
      </c>
    </row>
    <row r="855" spans="9:12" x14ac:dyDescent="0.45">
      <c r="I855" t="s">
        <v>196</v>
      </c>
      <c r="J855" t="s">
        <v>257</v>
      </c>
      <c r="K855">
        <v>1.0447652456929976E-2</v>
      </c>
      <c r="L855" t="s">
        <v>168</v>
      </c>
    </row>
    <row r="856" spans="9:12" x14ac:dyDescent="0.45">
      <c r="I856" t="s">
        <v>196</v>
      </c>
      <c r="J856" t="s">
        <v>258</v>
      </c>
      <c r="K856">
        <v>8.1441187275914043E-3</v>
      </c>
      <c r="L856" t="s">
        <v>168</v>
      </c>
    </row>
    <row r="857" spans="9:12" x14ac:dyDescent="0.45">
      <c r="I857" t="s">
        <v>196</v>
      </c>
      <c r="J857" t="s">
        <v>171</v>
      </c>
      <c r="K857">
        <v>2.1675885039369784E-2</v>
      </c>
      <c r="L857" t="s">
        <v>168</v>
      </c>
    </row>
    <row r="858" spans="9:12" x14ac:dyDescent="0.45">
      <c r="I858" t="s">
        <v>196</v>
      </c>
      <c r="J858" t="s">
        <v>172</v>
      </c>
      <c r="K858">
        <v>2.5799606193885476E-2</v>
      </c>
      <c r="L858" t="s">
        <v>168</v>
      </c>
    </row>
    <row r="859" spans="9:12" x14ac:dyDescent="0.45">
      <c r="I859" t="s">
        <v>196</v>
      </c>
      <c r="J859" t="s">
        <v>173</v>
      </c>
      <c r="K859">
        <v>3.358430801835758E-2</v>
      </c>
      <c r="L859" t="s">
        <v>168</v>
      </c>
    </row>
    <row r="860" spans="9:12" x14ac:dyDescent="0.45">
      <c r="I860" t="s">
        <v>196</v>
      </c>
      <c r="J860" t="s">
        <v>259</v>
      </c>
      <c r="K860">
        <v>0.23764186685965052</v>
      </c>
      <c r="L860" t="s">
        <v>168</v>
      </c>
    </row>
    <row r="861" spans="9:12" x14ac:dyDescent="0.45">
      <c r="I861" t="s">
        <v>196</v>
      </c>
      <c r="J861" t="s">
        <v>260</v>
      </c>
      <c r="K861">
        <v>3.2816452306396057E-2</v>
      </c>
      <c r="L861" t="s">
        <v>168</v>
      </c>
    </row>
    <row r="862" spans="9:12" x14ac:dyDescent="0.45">
      <c r="I862" t="s">
        <v>196</v>
      </c>
      <c r="J862" t="s">
        <v>261</v>
      </c>
      <c r="K862">
        <v>5.42233595210765E-2</v>
      </c>
      <c r="L862" t="s">
        <v>168</v>
      </c>
    </row>
    <row r="863" spans="9:12" x14ac:dyDescent="0.45">
      <c r="I863" t="s">
        <v>196</v>
      </c>
      <c r="J863" t="s">
        <v>174</v>
      </c>
      <c r="K863">
        <v>9.1793465776912574E-3</v>
      </c>
      <c r="L863" t="s">
        <v>168</v>
      </c>
    </row>
    <row r="864" spans="9:12" x14ac:dyDescent="0.45">
      <c r="I864" t="s">
        <v>196</v>
      </c>
      <c r="J864" t="s">
        <v>175</v>
      </c>
      <c r="K864">
        <v>8.5867714782298012E-3</v>
      </c>
      <c r="L864" t="s">
        <v>168</v>
      </c>
    </row>
    <row r="865" spans="9:12" x14ac:dyDescent="0.45">
      <c r="I865" t="s">
        <v>196</v>
      </c>
      <c r="J865" t="s">
        <v>176</v>
      </c>
      <c r="K865">
        <v>1.0349050121922948E-2</v>
      </c>
      <c r="L865" t="s">
        <v>168</v>
      </c>
    </row>
    <row r="866" spans="9:12" x14ac:dyDescent="0.45">
      <c r="I866" t="s">
        <v>196</v>
      </c>
      <c r="J866" t="s">
        <v>262</v>
      </c>
      <c r="K866">
        <v>6.7134735431431281E-2</v>
      </c>
      <c r="L866" t="s">
        <v>168</v>
      </c>
    </row>
    <row r="867" spans="9:12" x14ac:dyDescent="0.45">
      <c r="I867" t="s">
        <v>196</v>
      </c>
      <c r="J867" t="s">
        <v>263</v>
      </c>
      <c r="K867">
        <v>9.0745894759844091E-3</v>
      </c>
      <c r="L867" t="s">
        <v>168</v>
      </c>
    </row>
    <row r="868" spans="9:12" x14ac:dyDescent="0.45">
      <c r="I868" t="s">
        <v>196</v>
      </c>
      <c r="J868" t="s">
        <v>264</v>
      </c>
      <c r="K868">
        <v>1.7666410685657649E-2</v>
      </c>
      <c r="L868" t="s">
        <v>168</v>
      </c>
    </row>
    <row r="869" spans="9:12" x14ac:dyDescent="0.45">
      <c r="I869" t="s">
        <v>196</v>
      </c>
      <c r="J869" t="s">
        <v>265</v>
      </c>
      <c r="K869">
        <v>7.2762588684793196E-3</v>
      </c>
      <c r="L869" t="s">
        <v>168</v>
      </c>
    </row>
    <row r="870" spans="9:12" x14ac:dyDescent="0.45">
      <c r="I870" t="s">
        <v>196</v>
      </c>
      <c r="J870" t="s">
        <v>266</v>
      </c>
      <c r="K870">
        <v>7.9430791143795289E-3</v>
      </c>
      <c r="L870" t="s">
        <v>168</v>
      </c>
    </row>
    <row r="871" spans="9:12" x14ac:dyDescent="0.45">
      <c r="I871" t="s">
        <v>196</v>
      </c>
      <c r="J871" t="s">
        <v>267</v>
      </c>
      <c r="K871">
        <v>9.7842093903994093E-3</v>
      </c>
      <c r="L871" t="s">
        <v>168</v>
      </c>
    </row>
    <row r="872" spans="9:12" x14ac:dyDescent="0.45">
      <c r="I872" t="s">
        <v>196</v>
      </c>
      <c r="J872" t="s">
        <v>268</v>
      </c>
      <c r="K872">
        <v>6.3964257768459654E-2</v>
      </c>
      <c r="L872" t="s">
        <v>168</v>
      </c>
    </row>
    <row r="873" spans="9:12" x14ac:dyDescent="0.45">
      <c r="I873" t="s">
        <v>196</v>
      </c>
      <c r="J873" t="s">
        <v>269</v>
      </c>
      <c r="K873">
        <v>8.7997150894623989E-3</v>
      </c>
      <c r="L873" t="s">
        <v>168</v>
      </c>
    </row>
    <row r="874" spans="9:12" x14ac:dyDescent="0.45">
      <c r="I874" t="s">
        <v>196</v>
      </c>
      <c r="J874" t="s">
        <v>270</v>
      </c>
      <c r="K874">
        <v>1.537986368219257E-2</v>
      </c>
      <c r="L874" t="s">
        <v>168</v>
      </c>
    </row>
    <row r="875" spans="9:12" x14ac:dyDescent="0.45">
      <c r="I875" t="s">
        <v>196</v>
      </c>
      <c r="J875" t="s">
        <v>271</v>
      </c>
      <c r="K875">
        <v>3.407093421925197E-3</v>
      </c>
      <c r="L875" t="s">
        <v>168</v>
      </c>
    </row>
    <row r="876" spans="9:12" x14ac:dyDescent="0.45">
      <c r="I876" t="s">
        <v>196</v>
      </c>
      <c r="J876" t="s">
        <v>272</v>
      </c>
      <c r="K876">
        <v>6.0457655687848723E-3</v>
      </c>
      <c r="L876" t="s">
        <v>168</v>
      </c>
    </row>
    <row r="877" spans="9:12" x14ac:dyDescent="0.45">
      <c r="I877" t="s">
        <v>196</v>
      </c>
      <c r="J877" t="s">
        <v>273</v>
      </c>
      <c r="K877">
        <v>8.2169843638775896E-3</v>
      </c>
      <c r="L877" t="s">
        <v>168</v>
      </c>
    </row>
    <row r="878" spans="9:12" x14ac:dyDescent="0.45">
      <c r="I878" t="s">
        <v>196</v>
      </c>
      <c r="J878" t="s">
        <v>274</v>
      </c>
      <c r="K878">
        <v>5.642210346235204E-2</v>
      </c>
      <c r="L878" t="s">
        <v>168</v>
      </c>
    </row>
    <row r="879" spans="9:12" x14ac:dyDescent="0.45">
      <c r="I879" t="s">
        <v>196</v>
      </c>
      <c r="J879" t="s">
        <v>275</v>
      </c>
      <c r="K879">
        <v>7.7669728646525861E-3</v>
      </c>
      <c r="L879" t="s">
        <v>168</v>
      </c>
    </row>
    <row r="880" spans="9:12" x14ac:dyDescent="0.45">
      <c r="I880" t="s">
        <v>196</v>
      </c>
      <c r="J880" t="s">
        <v>276</v>
      </c>
      <c r="K880">
        <v>9.5828678120356506E-3</v>
      </c>
      <c r="L880" t="s">
        <v>168</v>
      </c>
    </row>
    <row r="881" spans="9:12" x14ac:dyDescent="0.45">
      <c r="I881" t="s">
        <v>196</v>
      </c>
      <c r="J881" t="s">
        <v>277</v>
      </c>
      <c r="K881">
        <v>1.2177301089273751E-3</v>
      </c>
      <c r="L881" t="s">
        <v>168</v>
      </c>
    </row>
    <row r="882" spans="9:12" x14ac:dyDescent="0.45">
      <c r="I882" t="s">
        <v>196</v>
      </c>
      <c r="J882" t="s">
        <v>278</v>
      </c>
      <c r="K882">
        <v>6.3077738253714067E-3</v>
      </c>
      <c r="L882" t="s">
        <v>168</v>
      </c>
    </row>
    <row r="883" spans="9:12" x14ac:dyDescent="0.45">
      <c r="I883" t="s">
        <v>196</v>
      </c>
      <c r="J883" t="s">
        <v>279</v>
      </c>
      <c r="K883">
        <v>1.040484487697952E-2</v>
      </c>
      <c r="L883" t="s">
        <v>168</v>
      </c>
    </row>
    <row r="884" spans="9:12" x14ac:dyDescent="0.45">
      <c r="I884" t="s">
        <v>196</v>
      </c>
      <c r="J884" t="s">
        <v>280</v>
      </c>
      <c r="K884">
        <v>8.0581354919832093E-2</v>
      </c>
      <c r="L884" t="s">
        <v>168</v>
      </c>
    </row>
    <row r="885" spans="9:12" x14ac:dyDescent="0.45">
      <c r="I885" t="s">
        <v>196</v>
      </c>
      <c r="J885" t="s">
        <v>281</v>
      </c>
      <c r="K885">
        <v>9.9551610383091689E-3</v>
      </c>
      <c r="L885" t="s">
        <v>168</v>
      </c>
    </row>
    <row r="886" spans="9:12" x14ac:dyDescent="0.45">
      <c r="I886" t="s">
        <v>196</v>
      </c>
      <c r="J886" t="s">
        <v>282</v>
      </c>
      <c r="K886">
        <v>5.8686974375826029E-3</v>
      </c>
      <c r="L886" t="s">
        <v>168</v>
      </c>
    </row>
    <row r="887" spans="9:12" x14ac:dyDescent="0.45">
      <c r="I887" t="s">
        <v>196</v>
      </c>
      <c r="J887" t="s">
        <v>283</v>
      </c>
      <c r="K887">
        <v>0</v>
      </c>
      <c r="L887" t="s">
        <v>168</v>
      </c>
    </row>
    <row r="888" spans="9:12" x14ac:dyDescent="0.45">
      <c r="I888" t="s">
        <v>196</v>
      </c>
      <c r="J888" t="s">
        <v>284</v>
      </c>
      <c r="K888">
        <v>6.2538750666889145E-4</v>
      </c>
      <c r="L888" t="s">
        <v>168</v>
      </c>
    </row>
    <row r="889" spans="9:12" x14ac:dyDescent="0.45">
      <c r="I889" t="s">
        <v>196</v>
      </c>
      <c r="J889" t="s">
        <v>285</v>
      </c>
      <c r="K889">
        <v>3.8556511472713178E-3</v>
      </c>
      <c r="L889" t="s">
        <v>168</v>
      </c>
    </row>
    <row r="890" spans="9:12" x14ac:dyDescent="0.45">
      <c r="I890" t="s">
        <v>196</v>
      </c>
      <c r="J890" t="s">
        <v>286</v>
      </c>
      <c r="K890">
        <v>3.7113566140566642E-2</v>
      </c>
      <c r="L890" t="s">
        <v>168</v>
      </c>
    </row>
    <row r="891" spans="9:12" x14ac:dyDescent="0.45">
      <c r="I891" t="s">
        <v>196</v>
      </c>
      <c r="J891" t="s">
        <v>287</v>
      </c>
      <c r="K891">
        <v>4.3214728142761619E-3</v>
      </c>
      <c r="L891" t="s">
        <v>168</v>
      </c>
    </row>
    <row r="892" spans="9:12" x14ac:dyDescent="0.45">
      <c r="I892" t="s">
        <v>196</v>
      </c>
      <c r="J892" t="s">
        <v>288</v>
      </c>
      <c r="K892">
        <v>4.6937544230812574E-4</v>
      </c>
      <c r="L892" t="s">
        <v>168</v>
      </c>
    </row>
    <row r="893" spans="9:12" x14ac:dyDescent="0.45">
      <c r="I893" t="s">
        <v>197</v>
      </c>
      <c r="J893" t="s">
        <v>167</v>
      </c>
      <c r="K893">
        <v>0</v>
      </c>
      <c r="L893" t="s">
        <v>168</v>
      </c>
    </row>
    <row r="894" spans="9:12" x14ac:dyDescent="0.45">
      <c r="I894" t="s">
        <v>197</v>
      </c>
      <c r="J894" t="s">
        <v>169</v>
      </c>
      <c r="K894">
        <v>1.9171321207941993E-3</v>
      </c>
      <c r="L894" t="s">
        <v>168</v>
      </c>
    </row>
    <row r="895" spans="9:12" x14ac:dyDescent="0.45">
      <c r="I895" t="s">
        <v>197</v>
      </c>
      <c r="J895" t="s">
        <v>170</v>
      </c>
      <c r="K895">
        <v>6.5024289771834134E-3</v>
      </c>
      <c r="L895" t="s">
        <v>168</v>
      </c>
    </row>
    <row r="896" spans="9:12" x14ac:dyDescent="0.45">
      <c r="I896" t="s">
        <v>197</v>
      </c>
      <c r="J896" t="s">
        <v>256</v>
      </c>
      <c r="K896">
        <v>6.8861328774678571E-2</v>
      </c>
      <c r="L896" t="s">
        <v>168</v>
      </c>
    </row>
    <row r="897" spans="9:12" x14ac:dyDescent="0.45">
      <c r="I897" t="s">
        <v>197</v>
      </c>
      <c r="J897" t="s">
        <v>257</v>
      </c>
      <c r="K897">
        <v>9.6408208063393126E-3</v>
      </c>
      <c r="L897" t="s">
        <v>168</v>
      </c>
    </row>
    <row r="898" spans="9:12" x14ac:dyDescent="0.45">
      <c r="I898" t="s">
        <v>197</v>
      </c>
      <c r="J898" t="s">
        <v>258</v>
      </c>
      <c r="K898">
        <v>7.280278471221013E-3</v>
      </c>
      <c r="L898" t="s">
        <v>168</v>
      </c>
    </row>
    <row r="899" spans="9:12" x14ac:dyDescent="0.45">
      <c r="I899" t="s">
        <v>197</v>
      </c>
      <c r="J899" t="s">
        <v>171</v>
      </c>
      <c r="K899">
        <v>2.1638473208376495E-2</v>
      </c>
      <c r="L899" t="s">
        <v>168</v>
      </c>
    </row>
    <row r="900" spans="9:12" x14ac:dyDescent="0.45">
      <c r="I900" t="s">
        <v>197</v>
      </c>
      <c r="J900" t="s">
        <v>172</v>
      </c>
      <c r="K900">
        <v>2.4993834229360596E-2</v>
      </c>
      <c r="L900" t="s">
        <v>168</v>
      </c>
    </row>
    <row r="901" spans="9:12" x14ac:dyDescent="0.45">
      <c r="I901" t="s">
        <v>197</v>
      </c>
      <c r="J901" t="s">
        <v>173</v>
      </c>
      <c r="K901">
        <v>3.2433869470714249E-2</v>
      </c>
      <c r="L901" t="s">
        <v>168</v>
      </c>
    </row>
    <row r="902" spans="9:12" x14ac:dyDescent="0.45">
      <c r="I902" t="s">
        <v>197</v>
      </c>
      <c r="J902" t="s">
        <v>259</v>
      </c>
      <c r="K902">
        <v>0.23862513758044462</v>
      </c>
      <c r="L902" t="s">
        <v>168</v>
      </c>
    </row>
    <row r="903" spans="9:12" x14ac:dyDescent="0.45">
      <c r="I903" t="s">
        <v>197</v>
      </c>
      <c r="J903" t="s">
        <v>260</v>
      </c>
      <c r="K903">
        <v>3.3982883299019551E-2</v>
      </c>
      <c r="L903" t="s">
        <v>168</v>
      </c>
    </row>
    <row r="904" spans="9:12" x14ac:dyDescent="0.45">
      <c r="I904" t="s">
        <v>197</v>
      </c>
      <c r="J904" t="s">
        <v>261</v>
      </c>
      <c r="K904">
        <v>5.8756047278047278E-2</v>
      </c>
      <c r="L904" t="s">
        <v>168</v>
      </c>
    </row>
    <row r="905" spans="9:12" x14ac:dyDescent="0.45">
      <c r="I905" t="s">
        <v>197</v>
      </c>
      <c r="J905" t="s">
        <v>174</v>
      </c>
      <c r="K905">
        <v>9.5117975571419253E-3</v>
      </c>
      <c r="L905" t="s">
        <v>168</v>
      </c>
    </row>
    <row r="906" spans="9:12" x14ac:dyDescent="0.45">
      <c r="I906" t="s">
        <v>197</v>
      </c>
      <c r="J906" t="s">
        <v>175</v>
      </c>
      <c r="K906">
        <v>8.9368608383006212E-3</v>
      </c>
      <c r="L906" t="s">
        <v>168</v>
      </c>
    </row>
    <row r="907" spans="9:12" x14ac:dyDescent="0.45">
      <c r="I907" t="s">
        <v>197</v>
      </c>
      <c r="J907" t="s">
        <v>176</v>
      </c>
      <c r="K907">
        <v>1.0685028952724029E-2</v>
      </c>
      <c r="L907" t="s">
        <v>168</v>
      </c>
    </row>
    <row r="908" spans="9:12" x14ac:dyDescent="0.45">
      <c r="I908" t="s">
        <v>197</v>
      </c>
      <c r="J908" t="s">
        <v>262</v>
      </c>
      <c r="K908">
        <v>7.2702312370253985E-2</v>
      </c>
      <c r="L908" t="s">
        <v>168</v>
      </c>
    </row>
    <row r="909" spans="9:12" x14ac:dyDescent="0.45">
      <c r="I909" t="s">
        <v>197</v>
      </c>
      <c r="J909" t="s">
        <v>263</v>
      </c>
      <c r="K909">
        <v>1.1038609273806533E-2</v>
      </c>
      <c r="L909" t="s">
        <v>168</v>
      </c>
    </row>
    <row r="910" spans="9:12" x14ac:dyDescent="0.45">
      <c r="I910" t="s">
        <v>197</v>
      </c>
      <c r="J910" t="s">
        <v>264</v>
      </c>
      <c r="K910">
        <v>2.3290474223792487E-2</v>
      </c>
      <c r="L910" t="s">
        <v>168</v>
      </c>
    </row>
    <row r="911" spans="9:12" x14ac:dyDescent="0.45">
      <c r="I911" t="s">
        <v>197</v>
      </c>
      <c r="J911" t="s">
        <v>265</v>
      </c>
      <c r="K911">
        <v>7.4307943272386061E-3</v>
      </c>
      <c r="L911" t="s">
        <v>168</v>
      </c>
    </row>
    <row r="912" spans="9:12" x14ac:dyDescent="0.45">
      <c r="I912" t="s">
        <v>197</v>
      </c>
      <c r="J912" t="s">
        <v>266</v>
      </c>
      <c r="K912">
        <v>8.2150939507975706E-3</v>
      </c>
      <c r="L912" t="s">
        <v>168</v>
      </c>
    </row>
    <row r="913" spans="9:12" x14ac:dyDescent="0.45">
      <c r="I913" t="s">
        <v>197</v>
      </c>
      <c r="J913" t="s">
        <v>267</v>
      </c>
      <c r="K913">
        <v>9.9440618735695038E-3</v>
      </c>
      <c r="L913" t="s">
        <v>168</v>
      </c>
    </row>
    <row r="914" spans="9:12" x14ac:dyDescent="0.45">
      <c r="I914" t="s">
        <v>197</v>
      </c>
      <c r="J914" t="s">
        <v>268</v>
      </c>
      <c r="K914">
        <v>6.8992204120674902E-2</v>
      </c>
      <c r="L914" t="s">
        <v>168</v>
      </c>
    </row>
    <row r="915" spans="9:12" x14ac:dyDescent="0.45">
      <c r="I915" t="s">
        <v>197</v>
      </c>
      <c r="J915" t="s">
        <v>269</v>
      </c>
      <c r="K915">
        <v>1.0931657494399069E-2</v>
      </c>
      <c r="L915" t="s">
        <v>168</v>
      </c>
    </row>
    <row r="916" spans="9:12" x14ac:dyDescent="0.45">
      <c r="I916" t="s">
        <v>197</v>
      </c>
      <c r="J916" t="s">
        <v>270</v>
      </c>
      <c r="K916">
        <v>2.0610360378452659E-2</v>
      </c>
      <c r="L916" t="s">
        <v>168</v>
      </c>
    </row>
    <row r="917" spans="9:12" x14ac:dyDescent="0.45">
      <c r="I917" t="s">
        <v>197</v>
      </c>
      <c r="J917" t="s">
        <v>271</v>
      </c>
      <c r="K917">
        <v>3.4167039699408638E-3</v>
      </c>
      <c r="L917" t="s">
        <v>168</v>
      </c>
    </row>
    <row r="918" spans="9:12" x14ac:dyDescent="0.45">
      <c r="I918" t="s">
        <v>197</v>
      </c>
      <c r="J918" t="s">
        <v>272</v>
      </c>
      <c r="K918">
        <v>6.0035802150329894E-3</v>
      </c>
      <c r="L918" t="s">
        <v>168</v>
      </c>
    </row>
    <row r="919" spans="9:12" x14ac:dyDescent="0.45">
      <c r="I919" t="s">
        <v>197</v>
      </c>
      <c r="J919" t="s">
        <v>273</v>
      </c>
      <c r="K919">
        <v>8.2965662002228609E-3</v>
      </c>
      <c r="L919" t="s">
        <v>168</v>
      </c>
    </row>
    <row r="920" spans="9:12" x14ac:dyDescent="0.45">
      <c r="I920" t="s">
        <v>197</v>
      </c>
      <c r="J920" t="s">
        <v>274</v>
      </c>
      <c r="K920">
        <v>5.7497645886214407E-2</v>
      </c>
      <c r="L920" t="s">
        <v>168</v>
      </c>
    </row>
    <row r="921" spans="9:12" x14ac:dyDescent="0.45">
      <c r="I921" t="s">
        <v>197</v>
      </c>
      <c r="J921" t="s">
        <v>275</v>
      </c>
      <c r="K921">
        <v>8.2247310786814094E-3</v>
      </c>
      <c r="L921" t="s">
        <v>168</v>
      </c>
    </row>
    <row r="922" spans="9:12" x14ac:dyDescent="0.45">
      <c r="I922" t="s">
        <v>197</v>
      </c>
      <c r="J922" t="s">
        <v>276</v>
      </c>
      <c r="K922">
        <v>1.1018203014601668E-2</v>
      </c>
      <c r="L922" t="s">
        <v>168</v>
      </c>
    </row>
    <row r="923" spans="9:12" x14ac:dyDescent="0.45">
      <c r="I923" t="s">
        <v>197</v>
      </c>
      <c r="J923" t="s">
        <v>277</v>
      </c>
      <c r="K923">
        <v>3.3046745766245002E-4</v>
      </c>
      <c r="L923" t="s">
        <v>168</v>
      </c>
    </row>
    <row r="924" spans="9:12" x14ac:dyDescent="0.45">
      <c r="I924" t="s">
        <v>197</v>
      </c>
      <c r="J924" t="s">
        <v>278</v>
      </c>
      <c r="K924">
        <v>3.9701101331099725E-3</v>
      </c>
      <c r="L924" t="s">
        <v>168</v>
      </c>
    </row>
    <row r="925" spans="9:12" x14ac:dyDescent="0.45">
      <c r="I925" t="s">
        <v>197</v>
      </c>
      <c r="J925" t="s">
        <v>279</v>
      </c>
      <c r="K925">
        <v>7.9924265206941861E-3</v>
      </c>
      <c r="L925" t="s">
        <v>168</v>
      </c>
    </row>
    <row r="926" spans="9:12" x14ac:dyDescent="0.45">
      <c r="I926" t="s">
        <v>197</v>
      </c>
      <c r="J926" t="s">
        <v>280</v>
      </c>
      <c r="K926">
        <v>6.9335193959880581E-2</v>
      </c>
      <c r="L926" t="s">
        <v>168</v>
      </c>
    </row>
    <row r="927" spans="9:12" x14ac:dyDescent="0.45">
      <c r="I927" t="s">
        <v>197</v>
      </c>
      <c r="J927" t="s">
        <v>281</v>
      </c>
      <c r="K927">
        <v>8.6643278877686445E-3</v>
      </c>
      <c r="L927" t="s">
        <v>168</v>
      </c>
    </row>
    <row r="928" spans="9:12" x14ac:dyDescent="0.45">
      <c r="I928" t="s">
        <v>197</v>
      </c>
      <c r="J928" t="s">
        <v>282</v>
      </c>
      <c r="K928">
        <v>4.8971438788952973E-3</v>
      </c>
      <c r="L928" t="s">
        <v>168</v>
      </c>
    </row>
    <row r="929" spans="9:12" x14ac:dyDescent="0.45">
      <c r="I929" t="s">
        <v>197</v>
      </c>
      <c r="J929" t="s">
        <v>283</v>
      </c>
      <c r="K929">
        <v>0</v>
      </c>
      <c r="L929" t="s">
        <v>168</v>
      </c>
    </row>
    <row r="930" spans="9:12" x14ac:dyDescent="0.45">
      <c r="I930" t="s">
        <v>197</v>
      </c>
      <c r="J930" t="s">
        <v>284</v>
      </c>
      <c r="K930">
        <v>0</v>
      </c>
      <c r="L930" t="s">
        <v>168</v>
      </c>
    </row>
    <row r="931" spans="9:12" x14ac:dyDescent="0.45">
      <c r="I931" t="s">
        <v>197</v>
      </c>
      <c r="J931" t="s">
        <v>285</v>
      </c>
      <c r="K931">
        <v>3.1486869150112386E-3</v>
      </c>
      <c r="L931" t="s">
        <v>168</v>
      </c>
    </row>
    <row r="932" spans="9:12" x14ac:dyDescent="0.45">
      <c r="I932" t="s">
        <v>197</v>
      </c>
      <c r="J932" t="s">
        <v>286</v>
      </c>
      <c r="K932">
        <v>3.5628116760330085E-2</v>
      </c>
      <c r="L932" t="s">
        <v>168</v>
      </c>
    </row>
    <row r="933" spans="9:12" x14ac:dyDescent="0.45">
      <c r="I933" t="s">
        <v>197</v>
      </c>
      <c r="J933" t="s">
        <v>287</v>
      </c>
      <c r="K933">
        <v>4.6207285852661014E-3</v>
      </c>
      <c r="L933" t="s">
        <v>168</v>
      </c>
    </row>
    <row r="934" spans="9:12" x14ac:dyDescent="0.45">
      <c r="I934" t="s">
        <v>197</v>
      </c>
      <c r="J934" t="s">
        <v>288</v>
      </c>
      <c r="K934">
        <v>3.3877959355165534E-5</v>
      </c>
      <c r="L934" t="s">
        <v>168</v>
      </c>
    </row>
    <row r="935" spans="9:12" x14ac:dyDescent="0.45">
      <c r="I935" t="s">
        <v>198</v>
      </c>
      <c r="J935" t="s">
        <v>167</v>
      </c>
      <c r="K935">
        <v>0</v>
      </c>
      <c r="L935" t="s">
        <v>168</v>
      </c>
    </row>
    <row r="936" spans="9:12" x14ac:dyDescent="0.45">
      <c r="I936" t="s">
        <v>198</v>
      </c>
      <c r="J936" t="s">
        <v>169</v>
      </c>
      <c r="K936">
        <v>1.8669475501079341E-3</v>
      </c>
      <c r="L936" t="s">
        <v>168</v>
      </c>
    </row>
    <row r="937" spans="9:12" x14ac:dyDescent="0.45">
      <c r="I937" t="s">
        <v>198</v>
      </c>
      <c r="J937" t="s">
        <v>170</v>
      </c>
      <c r="K937">
        <v>6.4628847731814879E-3</v>
      </c>
      <c r="L937" t="s">
        <v>168</v>
      </c>
    </row>
    <row r="938" spans="9:12" x14ac:dyDescent="0.45">
      <c r="I938" t="s">
        <v>198</v>
      </c>
      <c r="J938" t="s">
        <v>256</v>
      </c>
      <c r="K938">
        <v>6.8605487884398103E-2</v>
      </c>
      <c r="L938" t="s">
        <v>168</v>
      </c>
    </row>
    <row r="939" spans="9:12" x14ac:dyDescent="0.45">
      <c r="I939" t="s">
        <v>198</v>
      </c>
      <c r="J939" t="s">
        <v>257</v>
      </c>
      <c r="K939">
        <v>8.8548312921452738E-3</v>
      </c>
      <c r="L939" t="s">
        <v>168</v>
      </c>
    </row>
    <row r="940" spans="9:12" x14ac:dyDescent="0.45">
      <c r="I940" t="s">
        <v>198</v>
      </c>
      <c r="J940" t="s">
        <v>258</v>
      </c>
      <c r="K940">
        <v>6.4787750971199484E-3</v>
      </c>
      <c r="L940" t="s">
        <v>168</v>
      </c>
    </row>
    <row r="941" spans="9:12" x14ac:dyDescent="0.45">
      <c r="I941" t="s">
        <v>198</v>
      </c>
      <c r="J941" t="s">
        <v>171</v>
      </c>
      <c r="K941">
        <v>2.2862629905929393E-2</v>
      </c>
      <c r="L941" t="s">
        <v>168</v>
      </c>
    </row>
    <row r="942" spans="9:12" x14ac:dyDescent="0.45">
      <c r="I942" t="s">
        <v>198</v>
      </c>
      <c r="J942" t="s">
        <v>172</v>
      </c>
      <c r="K942">
        <v>2.6382600151651385E-2</v>
      </c>
      <c r="L942" t="s">
        <v>168</v>
      </c>
    </row>
    <row r="943" spans="9:12" x14ac:dyDescent="0.45">
      <c r="I943" t="s">
        <v>198</v>
      </c>
      <c r="J943" t="s">
        <v>173</v>
      </c>
      <c r="K943">
        <v>3.4184901857562337E-2</v>
      </c>
      <c r="L943" t="s">
        <v>168</v>
      </c>
    </row>
    <row r="944" spans="9:12" x14ac:dyDescent="0.45">
      <c r="I944" t="s">
        <v>198</v>
      </c>
      <c r="J944" t="s">
        <v>259</v>
      </c>
      <c r="K944">
        <v>0.23760735304329883</v>
      </c>
      <c r="L944" t="s">
        <v>168</v>
      </c>
    </row>
    <row r="945" spans="9:12" x14ac:dyDescent="0.45">
      <c r="I945" t="s">
        <v>198</v>
      </c>
      <c r="J945" t="s">
        <v>260</v>
      </c>
      <c r="K945">
        <v>3.2417406760484005E-2</v>
      </c>
      <c r="L945" t="s">
        <v>168</v>
      </c>
    </row>
    <row r="946" spans="9:12" x14ac:dyDescent="0.45">
      <c r="I946" t="s">
        <v>198</v>
      </c>
      <c r="J946" t="s">
        <v>261</v>
      </c>
      <c r="K946">
        <v>5.4848037735750685E-2</v>
      </c>
      <c r="L946" t="s">
        <v>168</v>
      </c>
    </row>
    <row r="947" spans="9:12" x14ac:dyDescent="0.45">
      <c r="I947" t="s">
        <v>198</v>
      </c>
      <c r="J947" t="s">
        <v>174</v>
      </c>
      <c r="K947">
        <v>9.6851721992583639E-3</v>
      </c>
      <c r="L947" t="s">
        <v>168</v>
      </c>
    </row>
    <row r="948" spans="9:12" x14ac:dyDescent="0.45">
      <c r="I948" t="s">
        <v>198</v>
      </c>
      <c r="J948" t="s">
        <v>175</v>
      </c>
      <c r="K948">
        <v>9.0248037806045633E-3</v>
      </c>
      <c r="L948" t="s">
        <v>168</v>
      </c>
    </row>
    <row r="949" spans="9:12" x14ac:dyDescent="0.45">
      <c r="I949" t="s">
        <v>198</v>
      </c>
      <c r="J949" t="s">
        <v>176</v>
      </c>
      <c r="K949">
        <v>1.0700923592829632E-2</v>
      </c>
      <c r="L949" t="s">
        <v>168</v>
      </c>
    </row>
    <row r="950" spans="9:12" x14ac:dyDescent="0.45">
      <c r="I950" t="s">
        <v>198</v>
      </c>
      <c r="J950" t="s">
        <v>262</v>
      </c>
      <c r="K950">
        <v>7.1036342737182248E-2</v>
      </c>
      <c r="L950" t="s">
        <v>168</v>
      </c>
    </row>
    <row r="951" spans="9:12" x14ac:dyDescent="0.45">
      <c r="I951" t="s">
        <v>198</v>
      </c>
      <c r="J951" t="s">
        <v>263</v>
      </c>
      <c r="K951">
        <v>1.0459708950805183E-2</v>
      </c>
      <c r="L951" t="s">
        <v>168</v>
      </c>
    </row>
    <row r="952" spans="9:12" x14ac:dyDescent="0.45">
      <c r="I952" t="s">
        <v>198</v>
      </c>
      <c r="J952" t="s">
        <v>264</v>
      </c>
      <c r="K952">
        <v>2.1990496322582969E-2</v>
      </c>
      <c r="L952" t="s">
        <v>168</v>
      </c>
    </row>
    <row r="953" spans="9:12" x14ac:dyDescent="0.45">
      <c r="I953" t="s">
        <v>198</v>
      </c>
      <c r="J953" t="s">
        <v>265</v>
      </c>
      <c r="K953">
        <v>7.7450619598391493E-3</v>
      </c>
      <c r="L953" t="s">
        <v>168</v>
      </c>
    </row>
    <row r="954" spans="9:12" x14ac:dyDescent="0.45">
      <c r="I954" t="s">
        <v>198</v>
      </c>
      <c r="J954" t="s">
        <v>266</v>
      </c>
      <c r="K954">
        <v>8.7034767167327044E-3</v>
      </c>
      <c r="L954" t="s">
        <v>168</v>
      </c>
    </row>
    <row r="955" spans="9:12" x14ac:dyDescent="0.45">
      <c r="I955" t="s">
        <v>198</v>
      </c>
      <c r="J955" t="s">
        <v>267</v>
      </c>
      <c r="K955">
        <v>1.0349778218066812E-2</v>
      </c>
      <c r="L955" t="s">
        <v>168</v>
      </c>
    </row>
    <row r="956" spans="9:12" x14ac:dyDescent="0.45">
      <c r="I956" t="s">
        <v>198</v>
      </c>
      <c r="J956" t="s">
        <v>268</v>
      </c>
      <c r="K956">
        <v>6.7301202930065779E-2</v>
      </c>
      <c r="L956" t="s">
        <v>168</v>
      </c>
    </row>
    <row r="957" spans="9:12" x14ac:dyDescent="0.45">
      <c r="I957" t="s">
        <v>198</v>
      </c>
      <c r="J957" t="s">
        <v>269</v>
      </c>
      <c r="K957">
        <v>9.9576917915564795E-3</v>
      </c>
      <c r="L957" t="s">
        <v>168</v>
      </c>
    </row>
    <row r="958" spans="9:12" x14ac:dyDescent="0.45">
      <c r="I958" t="s">
        <v>198</v>
      </c>
      <c r="J958" t="s">
        <v>270</v>
      </c>
      <c r="K958">
        <v>1.8255394658560836E-2</v>
      </c>
      <c r="L958" t="s">
        <v>168</v>
      </c>
    </row>
    <row r="959" spans="9:12" x14ac:dyDescent="0.45">
      <c r="I959" t="s">
        <v>198</v>
      </c>
      <c r="J959" t="s">
        <v>271</v>
      </c>
      <c r="K959">
        <v>3.7806904413058345E-3</v>
      </c>
      <c r="L959" t="s">
        <v>168</v>
      </c>
    </row>
    <row r="960" spans="9:12" x14ac:dyDescent="0.45">
      <c r="I960" t="s">
        <v>198</v>
      </c>
      <c r="J960" t="s">
        <v>272</v>
      </c>
      <c r="K960">
        <v>6.7200156607949649E-3</v>
      </c>
      <c r="L960" t="s">
        <v>168</v>
      </c>
    </row>
    <row r="961" spans="9:12" x14ac:dyDescent="0.45">
      <c r="I961" t="s">
        <v>198</v>
      </c>
      <c r="J961" t="s">
        <v>273</v>
      </c>
      <c r="K961">
        <v>8.8275372955669163E-3</v>
      </c>
      <c r="L961" t="s">
        <v>168</v>
      </c>
    </row>
    <row r="962" spans="9:12" x14ac:dyDescent="0.45">
      <c r="I962" t="s">
        <v>198</v>
      </c>
      <c r="J962" t="s">
        <v>274</v>
      </c>
      <c r="K962">
        <v>5.8175984240188217E-2</v>
      </c>
      <c r="L962" t="s">
        <v>168</v>
      </c>
    </row>
    <row r="963" spans="9:12" x14ac:dyDescent="0.45">
      <c r="I963" t="s">
        <v>198</v>
      </c>
      <c r="J963" t="s">
        <v>275</v>
      </c>
      <c r="K963">
        <v>8.2179404093633921E-3</v>
      </c>
      <c r="L963" t="s">
        <v>168</v>
      </c>
    </row>
    <row r="964" spans="9:12" x14ac:dyDescent="0.45">
      <c r="I964" t="s">
        <v>198</v>
      </c>
      <c r="J964" t="s">
        <v>276</v>
      </c>
      <c r="K964">
        <v>1.069591465615418E-2</v>
      </c>
      <c r="L964" t="s">
        <v>168</v>
      </c>
    </row>
    <row r="965" spans="9:12" x14ac:dyDescent="0.45">
      <c r="I965" t="s">
        <v>198</v>
      </c>
      <c r="J965" t="s">
        <v>277</v>
      </c>
      <c r="K965">
        <v>6.5896420035503329E-4</v>
      </c>
      <c r="L965" t="s">
        <v>168</v>
      </c>
    </row>
    <row r="966" spans="9:12" x14ac:dyDescent="0.45">
      <c r="I966" t="s">
        <v>198</v>
      </c>
      <c r="J966" t="s">
        <v>278</v>
      </c>
      <c r="K966">
        <v>5.186188740477808E-3</v>
      </c>
      <c r="L966" t="s">
        <v>168</v>
      </c>
    </row>
    <row r="967" spans="9:12" x14ac:dyDescent="0.45">
      <c r="I967" t="s">
        <v>198</v>
      </c>
      <c r="J967" t="s">
        <v>279</v>
      </c>
      <c r="K967">
        <v>9.1139953016293983E-3</v>
      </c>
      <c r="L967" t="s">
        <v>168</v>
      </c>
    </row>
    <row r="968" spans="9:12" x14ac:dyDescent="0.45">
      <c r="I968" t="s">
        <v>198</v>
      </c>
      <c r="J968" t="s">
        <v>280</v>
      </c>
      <c r="K968">
        <v>7.4903225472108634E-2</v>
      </c>
      <c r="L968" t="s">
        <v>168</v>
      </c>
    </row>
    <row r="969" spans="9:12" x14ac:dyDescent="0.45">
      <c r="I969" t="s">
        <v>198</v>
      </c>
      <c r="J969" t="s">
        <v>281</v>
      </c>
      <c r="K969">
        <v>9.0530629480755596E-3</v>
      </c>
      <c r="L969" t="s">
        <v>168</v>
      </c>
    </row>
    <row r="970" spans="9:12" x14ac:dyDescent="0.45">
      <c r="I970" t="s">
        <v>198</v>
      </c>
      <c r="J970" t="s">
        <v>282</v>
      </c>
      <c r="K970">
        <v>5.2535811445880501E-3</v>
      </c>
      <c r="L970" t="s">
        <v>168</v>
      </c>
    </row>
    <row r="971" spans="9:12" x14ac:dyDescent="0.45">
      <c r="I971" t="s">
        <v>198</v>
      </c>
      <c r="J971" t="s">
        <v>283</v>
      </c>
      <c r="K971">
        <v>0</v>
      </c>
      <c r="L971" t="s">
        <v>168</v>
      </c>
    </row>
    <row r="972" spans="9:12" x14ac:dyDescent="0.45">
      <c r="I972" t="s">
        <v>198</v>
      </c>
      <c r="J972" t="s">
        <v>284</v>
      </c>
      <c r="K972">
        <v>7.2926214923768813E-6</v>
      </c>
      <c r="L972" t="s">
        <v>168</v>
      </c>
    </row>
    <row r="973" spans="9:12" x14ac:dyDescent="0.45">
      <c r="I973" t="s">
        <v>198</v>
      </c>
      <c r="J973" t="s">
        <v>285</v>
      </c>
      <c r="K973">
        <v>3.3890361444036841E-3</v>
      </c>
      <c r="L973" t="s">
        <v>168</v>
      </c>
    </row>
    <row r="974" spans="9:12" x14ac:dyDescent="0.45">
      <c r="I974" t="s">
        <v>198</v>
      </c>
      <c r="J974" t="s">
        <v>286</v>
      </c>
      <c r="K974">
        <v>3.6008341747250337E-2</v>
      </c>
      <c r="L974" t="s">
        <v>168</v>
      </c>
    </row>
    <row r="975" spans="9:12" x14ac:dyDescent="0.45">
      <c r="I975" t="s">
        <v>198</v>
      </c>
      <c r="J975" t="s">
        <v>287</v>
      </c>
      <c r="K975">
        <v>4.2096093016736795E-3</v>
      </c>
      <c r="L975" t="s">
        <v>168</v>
      </c>
    </row>
    <row r="976" spans="9:12" x14ac:dyDescent="0.45">
      <c r="I976" t="s">
        <v>198</v>
      </c>
      <c r="J976" t="s">
        <v>288</v>
      </c>
      <c r="K976">
        <v>1.6709764856667851E-5</v>
      </c>
      <c r="L976" t="s">
        <v>168</v>
      </c>
    </row>
    <row r="977" spans="9:12" x14ac:dyDescent="0.45">
      <c r="I977" t="s">
        <v>199</v>
      </c>
      <c r="J977" t="s">
        <v>167</v>
      </c>
      <c r="K977">
        <v>0</v>
      </c>
      <c r="L977" t="s">
        <v>168</v>
      </c>
    </row>
    <row r="978" spans="9:12" x14ac:dyDescent="0.45">
      <c r="I978" t="s">
        <v>199</v>
      </c>
      <c r="J978" t="s">
        <v>169</v>
      </c>
      <c r="K978">
        <v>1.6845455725303445E-3</v>
      </c>
      <c r="L978" t="s">
        <v>168</v>
      </c>
    </row>
    <row r="979" spans="9:12" x14ac:dyDescent="0.45">
      <c r="I979" t="s">
        <v>199</v>
      </c>
      <c r="J979" t="s">
        <v>170</v>
      </c>
      <c r="K979">
        <v>6.3428015896796414E-3</v>
      </c>
      <c r="L979" t="s">
        <v>168</v>
      </c>
    </row>
    <row r="980" spans="9:12" x14ac:dyDescent="0.45">
      <c r="I980" t="s">
        <v>199</v>
      </c>
      <c r="J980" t="s">
        <v>256</v>
      </c>
      <c r="K980">
        <v>7.0666458665714318E-2</v>
      </c>
      <c r="L980" t="s">
        <v>168</v>
      </c>
    </row>
    <row r="981" spans="9:12" x14ac:dyDescent="0.45">
      <c r="I981" t="s">
        <v>199</v>
      </c>
      <c r="J981" t="s">
        <v>257</v>
      </c>
      <c r="K981">
        <v>9.8515857923318767E-3</v>
      </c>
      <c r="L981" t="s">
        <v>168</v>
      </c>
    </row>
    <row r="982" spans="9:12" x14ac:dyDescent="0.45">
      <c r="I982" t="s">
        <v>199</v>
      </c>
      <c r="J982" t="s">
        <v>258</v>
      </c>
      <c r="K982">
        <v>7.8970423998455941E-3</v>
      </c>
      <c r="L982" t="s">
        <v>168</v>
      </c>
    </row>
    <row r="983" spans="9:12" x14ac:dyDescent="0.45">
      <c r="I983" t="s">
        <v>199</v>
      </c>
      <c r="J983" t="s">
        <v>171</v>
      </c>
      <c r="K983">
        <v>2.101149959043172E-2</v>
      </c>
      <c r="L983" t="s">
        <v>168</v>
      </c>
    </row>
    <row r="984" spans="9:12" x14ac:dyDescent="0.45">
      <c r="I984" t="s">
        <v>199</v>
      </c>
      <c r="J984" t="s">
        <v>172</v>
      </c>
      <c r="K984">
        <v>2.4535580270600276E-2</v>
      </c>
      <c r="L984" t="s">
        <v>168</v>
      </c>
    </row>
    <row r="985" spans="9:12" x14ac:dyDescent="0.45">
      <c r="I985" t="s">
        <v>199</v>
      </c>
      <c r="J985" t="s">
        <v>173</v>
      </c>
      <c r="K985">
        <v>3.2752959784212062E-2</v>
      </c>
      <c r="L985" t="s">
        <v>168</v>
      </c>
    </row>
    <row r="986" spans="9:12" x14ac:dyDescent="0.45">
      <c r="I986" t="s">
        <v>199</v>
      </c>
      <c r="J986" t="s">
        <v>259</v>
      </c>
      <c r="K986">
        <v>0.23580497460105571</v>
      </c>
      <c r="L986" t="s">
        <v>168</v>
      </c>
    </row>
    <row r="987" spans="9:12" x14ac:dyDescent="0.45">
      <c r="I987" t="s">
        <v>199</v>
      </c>
      <c r="J987" t="s">
        <v>260</v>
      </c>
      <c r="K987">
        <v>3.2848125729240542E-2</v>
      </c>
      <c r="L987" t="s">
        <v>168</v>
      </c>
    </row>
    <row r="988" spans="9:12" x14ac:dyDescent="0.45">
      <c r="I988" t="s">
        <v>199</v>
      </c>
      <c r="J988" t="s">
        <v>261</v>
      </c>
      <c r="K988">
        <v>5.888220292763259E-2</v>
      </c>
      <c r="L988" t="s">
        <v>168</v>
      </c>
    </row>
    <row r="989" spans="9:12" x14ac:dyDescent="0.45">
      <c r="I989" t="s">
        <v>199</v>
      </c>
      <c r="J989" t="s">
        <v>174</v>
      </c>
      <c r="K989">
        <v>9.6876895691527434E-3</v>
      </c>
      <c r="L989" t="s">
        <v>168</v>
      </c>
    </row>
    <row r="990" spans="9:12" x14ac:dyDescent="0.45">
      <c r="I990" t="s">
        <v>199</v>
      </c>
      <c r="J990" t="s">
        <v>175</v>
      </c>
      <c r="K990">
        <v>9.198943264085449E-3</v>
      </c>
      <c r="L990" t="s">
        <v>168</v>
      </c>
    </row>
    <row r="991" spans="9:12" x14ac:dyDescent="0.45">
      <c r="I991" t="s">
        <v>199</v>
      </c>
      <c r="J991" t="s">
        <v>176</v>
      </c>
      <c r="K991">
        <v>1.1103328965813283E-2</v>
      </c>
      <c r="L991" t="s">
        <v>168</v>
      </c>
    </row>
    <row r="992" spans="9:12" x14ac:dyDescent="0.45">
      <c r="I992" t="s">
        <v>199</v>
      </c>
      <c r="J992" t="s">
        <v>262</v>
      </c>
      <c r="K992">
        <v>7.3138402293353472E-2</v>
      </c>
      <c r="L992" t="s">
        <v>168</v>
      </c>
    </row>
    <row r="993" spans="9:12" x14ac:dyDescent="0.45">
      <c r="I993" t="s">
        <v>199</v>
      </c>
      <c r="J993" t="s">
        <v>263</v>
      </c>
      <c r="K993">
        <v>1.0201649801000157E-2</v>
      </c>
      <c r="L993" t="s">
        <v>168</v>
      </c>
    </row>
    <row r="994" spans="9:12" x14ac:dyDescent="0.45">
      <c r="I994" t="s">
        <v>199</v>
      </c>
      <c r="J994" t="s">
        <v>264</v>
      </c>
      <c r="K994">
        <v>2.1810706249272189E-2</v>
      </c>
      <c r="L994" t="s">
        <v>168</v>
      </c>
    </row>
    <row r="995" spans="9:12" x14ac:dyDescent="0.45">
      <c r="I995" t="s">
        <v>199</v>
      </c>
      <c r="J995" t="s">
        <v>265</v>
      </c>
      <c r="K995">
        <v>7.6100906169890284E-3</v>
      </c>
      <c r="L995" t="s">
        <v>168</v>
      </c>
    </row>
    <row r="996" spans="9:12" x14ac:dyDescent="0.45">
      <c r="I996" t="s">
        <v>199</v>
      </c>
      <c r="J996" t="s">
        <v>266</v>
      </c>
      <c r="K996">
        <v>8.8376690285655434E-3</v>
      </c>
      <c r="L996" t="s">
        <v>168</v>
      </c>
    </row>
    <row r="997" spans="9:12" x14ac:dyDescent="0.45">
      <c r="I997" t="s">
        <v>199</v>
      </c>
      <c r="J997" t="s">
        <v>267</v>
      </c>
      <c r="K997">
        <v>1.0628349565311815E-2</v>
      </c>
      <c r="L997" t="s">
        <v>168</v>
      </c>
    </row>
    <row r="998" spans="9:12" x14ac:dyDescent="0.45">
      <c r="I998" t="s">
        <v>199</v>
      </c>
      <c r="J998" t="s">
        <v>268</v>
      </c>
      <c r="K998">
        <v>7.0349738379408375E-2</v>
      </c>
      <c r="L998" t="s">
        <v>168</v>
      </c>
    </row>
    <row r="999" spans="9:12" x14ac:dyDescent="0.45">
      <c r="I999" t="s">
        <v>199</v>
      </c>
      <c r="J999" t="s">
        <v>269</v>
      </c>
      <c r="K999">
        <v>1.0674921156864603E-2</v>
      </c>
      <c r="L999" t="s">
        <v>168</v>
      </c>
    </row>
    <row r="1000" spans="9:12" x14ac:dyDescent="0.45">
      <c r="I1000" t="s">
        <v>199</v>
      </c>
      <c r="J1000" t="s">
        <v>270</v>
      </c>
      <c r="K1000">
        <v>2.0185460921915439E-2</v>
      </c>
      <c r="L1000" t="s">
        <v>168</v>
      </c>
    </row>
    <row r="1001" spans="9:12" x14ac:dyDescent="0.45">
      <c r="I1001" t="s">
        <v>199</v>
      </c>
      <c r="J1001" t="s">
        <v>271</v>
      </c>
      <c r="K1001">
        <v>3.4189771090198202E-3</v>
      </c>
      <c r="L1001" t="s">
        <v>168</v>
      </c>
    </row>
    <row r="1002" spans="9:12" x14ac:dyDescent="0.45">
      <c r="I1002" t="s">
        <v>199</v>
      </c>
      <c r="J1002" t="s">
        <v>272</v>
      </c>
      <c r="K1002">
        <v>5.9401721094994456E-3</v>
      </c>
      <c r="L1002" t="s">
        <v>168</v>
      </c>
    </row>
    <row r="1003" spans="9:12" x14ac:dyDescent="0.45">
      <c r="I1003" t="s">
        <v>199</v>
      </c>
      <c r="J1003" t="s">
        <v>273</v>
      </c>
      <c r="K1003">
        <v>8.3576661633174374E-3</v>
      </c>
      <c r="L1003" t="s">
        <v>168</v>
      </c>
    </row>
    <row r="1004" spans="9:12" x14ac:dyDescent="0.45">
      <c r="I1004" t="s">
        <v>199</v>
      </c>
      <c r="J1004" t="s">
        <v>274</v>
      </c>
      <c r="K1004">
        <v>5.7569013729947036E-2</v>
      </c>
      <c r="L1004" t="s">
        <v>168</v>
      </c>
    </row>
    <row r="1005" spans="9:12" x14ac:dyDescent="0.45">
      <c r="I1005" t="s">
        <v>199</v>
      </c>
      <c r="J1005" t="s">
        <v>275</v>
      </c>
      <c r="K1005">
        <v>8.2459139172415506E-3</v>
      </c>
      <c r="L1005" t="s">
        <v>168</v>
      </c>
    </row>
    <row r="1006" spans="9:12" x14ac:dyDescent="0.45">
      <c r="I1006" t="s">
        <v>199</v>
      </c>
      <c r="J1006" t="s">
        <v>276</v>
      </c>
      <c r="K1006">
        <v>1.1182023964636868E-2</v>
      </c>
      <c r="L1006" t="s">
        <v>168</v>
      </c>
    </row>
    <row r="1007" spans="9:12" x14ac:dyDescent="0.45">
      <c r="I1007" t="s">
        <v>199</v>
      </c>
      <c r="J1007" t="s">
        <v>277</v>
      </c>
      <c r="K1007">
        <v>3.8914199346699104E-4</v>
      </c>
      <c r="L1007" t="s">
        <v>168</v>
      </c>
    </row>
    <row r="1008" spans="9:12" x14ac:dyDescent="0.45">
      <c r="I1008" t="s">
        <v>199</v>
      </c>
      <c r="J1008" t="s">
        <v>278</v>
      </c>
      <c r="K1008">
        <v>3.4471863979597408E-3</v>
      </c>
      <c r="L1008" t="s">
        <v>168</v>
      </c>
    </row>
    <row r="1009" spans="9:12" x14ac:dyDescent="0.45">
      <c r="I1009" t="s">
        <v>199</v>
      </c>
      <c r="J1009" t="s">
        <v>279</v>
      </c>
      <c r="K1009">
        <v>7.1793326262432023E-3</v>
      </c>
      <c r="L1009" t="s">
        <v>168</v>
      </c>
    </row>
    <row r="1010" spans="9:12" x14ac:dyDescent="0.45">
      <c r="I1010" t="s">
        <v>199</v>
      </c>
      <c r="J1010" t="s">
        <v>280</v>
      </c>
      <c r="K1010">
        <v>7.1709320949948946E-2</v>
      </c>
      <c r="L1010" t="s">
        <v>168</v>
      </c>
    </row>
    <row r="1011" spans="9:12" x14ac:dyDescent="0.45">
      <c r="I1011" t="s">
        <v>199</v>
      </c>
      <c r="J1011" t="s">
        <v>281</v>
      </c>
      <c r="K1011">
        <v>9.1457430134113133E-3</v>
      </c>
      <c r="L1011" t="s">
        <v>168</v>
      </c>
    </row>
    <row r="1012" spans="9:12" x14ac:dyDescent="0.45">
      <c r="I1012" t="s">
        <v>199</v>
      </c>
      <c r="J1012" t="s">
        <v>282</v>
      </c>
      <c r="K1012">
        <v>5.5968008298686849E-3</v>
      </c>
      <c r="L1012" t="s">
        <v>168</v>
      </c>
    </row>
    <row r="1013" spans="9:12" x14ac:dyDescent="0.45">
      <c r="I1013" t="s">
        <v>199</v>
      </c>
      <c r="J1013" t="s">
        <v>283</v>
      </c>
      <c r="K1013">
        <v>0</v>
      </c>
      <c r="L1013" t="s">
        <v>168</v>
      </c>
    </row>
    <row r="1014" spans="9:12" x14ac:dyDescent="0.45">
      <c r="I1014" t="s">
        <v>199</v>
      </c>
      <c r="J1014" t="s">
        <v>284</v>
      </c>
      <c r="K1014">
        <v>0</v>
      </c>
      <c r="L1014" t="s">
        <v>168</v>
      </c>
    </row>
    <row r="1015" spans="9:12" x14ac:dyDescent="0.45">
      <c r="I1015" t="s">
        <v>199</v>
      </c>
      <c r="J1015" t="s">
        <v>285</v>
      </c>
      <c r="K1015">
        <v>2.743126447472453E-3</v>
      </c>
      <c r="L1015" t="s">
        <v>168</v>
      </c>
    </row>
    <row r="1016" spans="9:12" x14ac:dyDescent="0.45">
      <c r="I1016" t="s">
        <v>199</v>
      </c>
      <c r="J1016" t="s">
        <v>286</v>
      </c>
      <c r="K1016">
        <v>3.4700375612086366E-2</v>
      </c>
      <c r="L1016" t="s">
        <v>168</v>
      </c>
    </row>
    <row r="1017" spans="9:12" x14ac:dyDescent="0.45">
      <c r="I1017" t="s">
        <v>199</v>
      </c>
      <c r="J1017" t="s">
        <v>287</v>
      </c>
      <c r="K1017">
        <v>4.3812470310179499E-3</v>
      </c>
      <c r="L1017" t="s">
        <v>168</v>
      </c>
    </row>
    <row r="1018" spans="9:12" x14ac:dyDescent="0.45">
      <c r="I1018" t="s">
        <v>199</v>
      </c>
      <c r="J1018" t="s">
        <v>288</v>
      </c>
      <c r="K1018">
        <v>2.892313698541906E-4</v>
      </c>
      <c r="L1018" t="s">
        <v>168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E90A3-5429-4F01-88BA-22453D0EF8B7}">
  <dimension ref="A9:AN217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143</v>
      </c>
      <c r="C10" t="s">
        <v>152</v>
      </c>
      <c r="D10" t="s">
        <v>153</v>
      </c>
      <c r="E10" t="s">
        <v>154</v>
      </c>
      <c r="F10" t="s">
        <v>155</v>
      </c>
      <c r="G10" t="s">
        <v>156</v>
      </c>
      <c r="I10" t="s">
        <v>13</v>
      </c>
      <c r="J10" t="s">
        <v>121</v>
      </c>
      <c r="K10" t="s">
        <v>165</v>
      </c>
      <c r="L10" t="s">
        <v>30</v>
      </c>
      <c r="N10" t="s">
        <v>13</v>
      </c>
      <c r="O10" t="s">
        <v>121</v>
      </c>
      <c r="P10" t="s">
        <v>165</v>
      </c>
      <c r="Q10" t="s">
        <v>30</v>
      </c>
      <c r="S10" t="s">
        <v>13</v>
      </c>
      <c r="T10" t="s">
        <v>121</v>
      </c>
      <c r="U10" t="s">
        <v>165</v>
      </c>
      <c r="V10" t="s">
        <v>30</v>
      </c>
      <c r="X10" t="s">
        <v>238</v>
      </c>
      <c r="Y10" t="s">
        <v>165</v>
      </c>
      <c r="Z10" t="s">
        <v>121</v>
      </c>
      <c r="AA10" t="s">
        <v>13</v>
      </c>
      <c r="AC10" t="s">
        <v>13</v>
      </c>
      <c r="AD10" t="s">
        <v>121</v>
      </c>
      <c r="AE10" t="s">
        <v>165</v>
      </c>
      <c r="AG10" t="s">
        <v>13</v>
      </c>
      <c r="AH10" t="s">
        <v>121</v>
      </c>
      <c r="AI10" t="s">
        <v>244</v>
      </c>
      <c r="AK10" t="s">
        <v>47</v>
      </c>
      <c r="AL10" t="s">
        <v>121</v>
      </c>
      <c r="AM10" t="s">
        <v>245</v>
      </c>
      <c r="AN10" t="s">
        <v>246</v>
      </c>
    </row>
    <row r="11" spans="1:40" x14ac:dyDescent="0.45">
      <c r="A11" t="str">
        <f>IFERROR(IF(Veda!D5=A10,"ok","x"),"")</f>
        <v>x</v>
      </c>
      <c r="C11" t="s">
        <v>157</v>
      </c>
      <c r="D11" t="s">
        <v>158</v>
      </c>
      <c r="E11" t="s">
        <v>291</v>
      </c>
      <c r="F11" t="s">
        <v>248</v>
      </c>
      <c r="G11" t="s">
        <v>292</v>
      </c>
      <c r="I11" t="s">
        <v>166</v>
      </c>
      <c r="J11" t="s">
        <v>167</v>
      </c>
      <c r="K11">
        <v>6.3754206234794772E-4</v>
      </c>
      <c r="L11" t="s">
        <v>168</v>
      </c>
      <c r="N11" t="s">
        <v>200</v>
      </c>
      <c r="O11" t="s">
        <v>167</v>
      </c>
      <c r="P11">
        <v>6.4828534505285015E-2</v>
      </c>
      <c r="Q11" t="s">
        <v>168</v>
      </c>
      <c r="S11" t="s">
        <v>219</v>
      </c>
      <c r="T11" t="s">
        <v>167</v>
      </c>
      <c r="U11">
        <v>6.8668189858488493E-2</v>
      </c>
      <c r="V11" t="s">
        <v>168</v>
      </c>
      <c r="X11">
        <v>5.3881278538812784E-2</v>
      </c>
      <c r="Y11">
        <v>2.9864505382492607E-2</v>
      </c>
      <c r="Z11" t="s">
        <v>167</v>
      </c>
      <c r="AA11" t="s">
        <v>25</v>
      </c>
      <c r="AC11" t="s">
        <v>22</v>
      </c>
      <c r="AD11" t="s">
        <v>167</v>
      </c>
      <c r="AE11">
        <v>4.9413150019647384E-2</v>
      </c>
      <c r="AG11" t="s">
        <v>96</v>
      </c>
      <c r="AH11" t="s">
        <v>167</v>
      </c>
      <c r="AI11">
        <v>0.30170207507267222</v>
      </c>
      <c r="AK11">
        <v>2020</v>
      </c>
      <c r="AL11" t="s">
        <v>157</v>
      </c>
      <c r="AM11">
        <v>0.20444938820912117</v>
      </c>
      <c r="AN11" t="s">
        <v>247</v>
      </c>
    </row>
    <row r="12" spans="1:40" x14ac:dyDescent="0.45">
      <c r="C12" t="s">
        <v>161</v>
      </c>
      <c r="D12" t="s">
        <v>292</v>
      </c>
      <c r="E12" t="s">
        <v>293</v>
      </c>
      <c r="F12" t="s">
        <v>251</v>
      </c>
      <c r="G12" t="s">
        <v>292</v>
      </c>
      <c r="I12" t="s">
        <v>166</v>
      </c>
      <c r="J12" t="s">
        <v>169</v>
      </c>
      <c r="K12">
        <v>7.2352589807062502E-3</v>
      </c>
      <c r="L12" t="s">
        <v>168</v>
      </c>
      <c r="N12" t="s">
        <v>200</v>
      </c>
      <c r="O12" t="s">
        <v>169</v>
      </c>
      <c r="P12">
        <v>7.4131827652817702E-3</v>
      </c>
      <c r="Q12" t="s">
        <v>168</v>
      </c>
      <c r="S12" t="s">
        <v>219</v>
      </c>
      <c r="T12" t="s">
        <v>169</v>
      </c>
      <c r="U12">
        <v>8.1268559225185534E-3</v>
      </c>
      <c r="V12" t="s">
        <v>168</v>
      </c>
      <c r="X12">
        <v>6.735159817351598E-3</v>
      </c>
      <c r="Y12">
        <v>8.6053584599192871E-3</v>
      </c>
      <c r="Z12" t="s">
        <v>169</v>
      </c>
      <c r="AA12" t="s">
        <v>25</v>
      </c>
      <c r="AC12" t="s">
        <v>22</v>
      </c>
      <c r="AD12" t="s">
        <v>169</v>
      </c>
      <c r="AE12">
        <v>8.3943858858496045E-3</v>
      </c>
      <c r="AG12" t="s">
        <v>96</v>
      </c>
      <c r="AH12" t="s">
        <v>169</v>
      </c>
      <c r="AI12">
        <v>4.7484009459135335E-2</v>
      </c>
      <c r="AK12">
        <v>2020</v>
      </c>
      <c r="AL12" t="s">
        <v>161</v>
      </c>
      <c r="AM12">
        <v>0.2914516129032258</v>
      </c>
      <c r="AN12" t="s">
        <v>247</v>
      </c>
    </row>
    <row r="13" spans="1:40" x14ac:dyDescent="0.45">
      <c r="C13" t="s">
        <v>163</v>
      </c>
      <c r="D13" t="s">
        <v>294</v>
      </c>
      <c r="E13" t="s">
        <v>295</v>
      </c>
      <c r="F13" t="s">
        <v>255</v>
      </c>
      <c r="G13" t="s">
        <v>292</v>
      </c>
      <c r="I13" t="s">
        <v>166</v>
      </c>
      <c r="J13" t="s">
        <v>170</v>
      </c>
      <c r="K13">
        <v>1.2089441932751702E-2</v>
      </c>
      <c r="L13" t="s">
        <v>168</v>
      </c>
      <c r="N13" t="s">
        <v>200</v>
      </c>
      <c r="O13" t="s">
        <v>170</v>
      </c>
      <c r="P13">
        <v>6.8657911924414729E-3</v>
      </c>
      <c r="Q13" t="s">
        <v>168</v>
      </c>
      <c r="S13" t="s">
        <v>219</v>
      </c>
      <c r="T13" t="s">
        <v>170</v>
      </c>
      <c r="U13">
        <v>8.1269404034321549E-3</v>
      </c>
      <c r="V13" t="s">
        <v>168</v>
      </c>
      <c r="X13">
        <v>6.735159817351598E-3</v>
      </c>
      <c r="Y13">
        <v>8.5271279284654736E-3</v>
      </c>
      <c r="Z13" t="s">
        <v>170</v>
      </c>
      <c r="AA13" t="s">
        <v>25</v>
      </c>
      <c r="AC13" t="s">
        <v>22</v>
      </c>
      <c r="AD13" t="s">
        <v>170</v>
      </c>
      <c r="AE13">
        <v>8.5234446018451013E-3</v>
      </c>
      <c r="AG13" t="s">
        <v>96</v>
      </c>
      <c r="AH13" t="s">
        <v>170</v>
      </c>
      <c r="AI13">
        <v>4.5197330291383508E-2</v>
      </c>
      <c r="AK13">
        <v>2020</v>
      </c>
      <c r="AL13" t="s">
        <v>163</v>
      </c>
      <c r="AM13">
        <v>0.31541218637992829</v>
      </c>
      <c r="AN13" t="s">
        <v>247</v>
      </c>
    </row>
    <row r="14" spans="1:40" x14ac:dyDescent="0.45">
      <c r="C14" t="s">
        <v>249</v>
      </c>
      <c r="E14" t="s">
        <v>296</v>
      </c>
      <c r="G14" t="s">
        <v>292</v>
      </c>
      <c r="I14" t="s">
        <v>166</v>
      </c>
      <c r="J14" t="s">
        <v>256</v>
      </c>
      <c r="K14">
        <v>9.012886135996008E-2</v>
      </c>
      <c r="L14" t="s">
        <v>168</v>
      </c>
      <c r="N14" t="s">
        <v>200</v>
      </c>
      <c r="O14" t="s">
        <v>256</v>
      </c>
      <c r="P14">
        <v>3.6095867933410804E-2</v>
      </c>
      <c r="Q14" t="s">
        <v>168</v>
      </c>
      <c r="S14" t="s">
        <v>219</v>
      </c>
      <c r="T14" t="s">
        <v>256</v>
      </c>
      <c r="U14">
        <v>4.9841671998396495E-2</v>
      </c>
      <c r="V14" t="s">
        <v>168</v>
      </c>
      <c r="X14">
        <v>4.041095890410959E-2</v>
      </c>
      <c r="Y14">
        <v>5.2844723997049793E-2</v>
      </c>
      <c r="Z14" t="s">
        <v>256</v>
      </c>
      <c r="AA14" t="s">
        <v>25</v>
      </c>
      <c r="AC14" t="s">
        <v>22</v>
      </c>
      <c r="AD14" t="s">
        <v>256</v>
      </c>
      <c r="AE14">
        <v>5.0248407920968324E-2</v>
      </c>
      <c r="AG14" t="s">
        <v>96</v>
      </c>
      <c r="AH14" t="s">
        <v>256</v>
      </c>
      <c r="AI14">
        <v>6.4766514599613911E-2</v>
      </c>
      <c r="AK14">
        <v>2020</v>
      </c>
      <c r="AL14" t="s">
        <v>249</v>
      </c>
      <c r="AM14">
        <v>0.2817204301075269</v>
      </c>
      <c r="AN14" t="s">
        <v>247</v>
      </c>
    </row>
    <row r="15" spans="1:40" x14ac:dyDescent="0.45">
      <c r="C15" t="s">
        <v>251</v>
      </c>
      <c r="E15" t="s">
        <v>297</v>
      </c>
      <c r="G15" t="s">
        <v>292</v>
      </c>
      <c r="I15" t="s">
        <v>166</v>
      </c>
      <c r="J15" t="s">
        <v>257</v>
      </c>
      <c r="K15">
        <v>9.1093058716284689E-3</v>
      </c>
      <c r="L15" t="s">
        <v>168</v>
      </c>
      <c r="N15" t="s">
        <v>200</v>
      </c>
      <c r="O15" t="s">
        <v>257</v>
      </c>
      <c r="P15">
        <v>7.1734900247588185E-3</v>
      </c>
      <c r="Q15" t="s">
        <v>168</v>
      </c>
      <c r="S15" t="s">
        <v>219</v>
      </c>
      <c r="T15" t="s">
        <v>257</v>
      </c>
      <c r="U15">
        <v>8.7906452896163844E-3</v>
      </c>
      <c r="V15" t="s">
        <v>168</v>
      </c>
      <c r="X15">
        <v>6.735159817351598E-3</v>
      </c>
      <c r="Y15">
        <v>1.3103614018513452E-2</v>
      </c>
      <c r="Z15" t="s">
        <v>257</v>
      </c>
      <c r="AA15" t="s">
        <v>25</v>
      </c>
      <c r="AC15" t="s">
        <v>22</v>
      </c>
      <c r="AD15" t="s">
        <v>257</v>
      </c>
      <c r="AE15">
        <v>8.6310567351807702E-3</v>
      </c>
      <c r="AG15" t="s">
        <v>96</v>
      </c>
      <c r="AH15" t="s">
        <v>257</v>
      </c>
      <c r="AI15">
        <v>6.2164802367530525E-2</v>
      </c>
      <c r="AK15">
        <v>2020</v>
      </c>
      <c r="AL15" t="s">
        <v>251</v>
      </c>
      <c r="AM15">
        <v>0.26814814814814808</v>
      </c>
      <c r="AN15" t="s">
        <v>247</v>
      </c>
    </row>
    <row r="16" spans="1:40" x14ac:dyDescent="0.45">
      <c r="C16" t="s">
        <v>253</v>
      </c>
      <c r="E16" t="s">
        <v>298</v>
      </c>
      <c r="G16" t="s">
        <v>292</v>
      </c>
      <c r="I16" t="s">
        <v>166</v>
      </c>
      <c r="J16" t="s">
        <v>258</v>
      </c>
      <c r="K16">
        <v>2.8461971923613616E-3</v>
      </c>
      <c r="L16" t="s">
        <v>168</v>
      </c>
      <c r="N16" t="s">
        <v>200</v>
      </c>
      <c r="O16" t="s">
        <v>258</v>
      </c>
      <c r="P16">
        <v>5.8821264118414512E-2</v>
      </c>
      <c r="Q16" t="s">
        <v>168</v>
      </c>
      <c r="S16" t="s">
        <v>219</v>
      </c>
      <c r="T16" t="s">
        <v>258</v>
      </c>
      <c r="U16">
        <v>6.2602418427719644E-2</v>
      </c>
      <c r="V16" t="s">
        <v>168</v>
      </c>
      <c r="X16">
        <v>4.714611872146119E-2</v>
      </c>
      <c r="Y16">
        <v>4.8698505829997768E-2</v>
      </c>
      <c r="Z16" t="s">
        <v>258</v>
      </c>
      <c r="AA16" t="s">
        <v>25</v>
      </c>
      <c r="AC16" t="s">
        <v>22</v>
      </c>
      <c r="AD16" t="s">
        <v>258</v>
      </c>
      <c r="AE16">
        <v>5.4728049049941503E-2</v>
      </c>
      <c r="AG16" t="s">
        <v>96</v>
      </c>
      <c r="AH16" t="s">
        <v>258</v>
      </c>
      <c r="AI16">
        <v>0.15334978680446976</v>
      </c>
      <c r="AK16">
        <v>2020</v>
      </c>
      <c r="AL16" t="s">
        <v>253</v>
      </c>
      <c r="AM16">
        <v>0.25526881720430106</v>
      </c>
      <c r="AN16" t="s">
        <v>247</v>
      </c>
    </row>
    <row r="17" spans="3:40" x14ac:dyDescent="0.45">
      <c r="C17" t="s">
        <v>255</v>
      </c>
      <c r="E17" t="s">
        <v>299</v>
      </c>
      <c r="G17" t="s">
        <v>292</v>
      </c>
      <c r="I17" t="s">
        <v>166</v>
      </c>
      <c r="J17" t="s">
        <v>171</v>
      </c>
      <c r="K17">
        <v>3.6890601058634523E-2</v>
      </c>
      <c r="L17" t="s">
        <v>168</v>
      </c>
      <c r="N17" t="s">
        <v>200</v>
      </c>
      <c r="O17" t="s">
        <v>171</v>
      </c>
      <c r="P17">
        <v>0.11661890113368731</v>
      </c>
      <c r="Q17" t="s">
        <v>168</v>
      </c>
      <c r="S17" t="s">
        <v>219</v>
      </c>
      <c r="T17" t="s">
        <v>171</v>
      </c>
      <c r="U17">
        <v>0.11714683866040494</v>
      </c>
      <c r="V17" t="s">
        <v>168</v>
      </c>
      <c r="X17">
        <v>0.11141552511415526</v>
      </c>
      <c r="Y17">
        <v>6.1753722994306731E-2</v>
      </c>
      <c r="Z17" t="s">
        <v>171</v>
      </c>
      <c r="AA17" t="s">
        <v>25</v>
      </c>
      <c r="AC17" t="s">
        <v>22</v>
      </c>
      <c r="AD17" t="s">
        <v>171</v>
      </c>
      <c r="AE17">
        <v>9.0904601496028622E-2</v>
      </c>
      <c r="AG17" t="s">
        <v>96</v>
      </c>
      <c r="AH17" t="s">
        <v>171</v>
      </c>
      <c r="AI17">
        <v>0.39609048684121051</v>
      </c>
      <c r="AK17">
        <v>2020</v>
      </c>
      <c r="AL17" t="s">
        <v>255</v>
      </c>
      <c r="AM17">
        <v>0.23154121863799279</v>
      </c>
      <c r="AN17" t="s">
        <v>247</v>
      </c>
    </row>
    <row r="18" spans="3:40" x14ac:dyDescent="0.45">
      <c r="E18" t="s">
        <v>300</v>
      </c>
      <c r="G18" t="s">
        <v>292</v>
      </c>
      <c r="I18" t="s">
        <v>166</v>
      </c>
      <c r="J18" t="s">
        <v>172</v>
      </c>
      <c r="K18">
        <v>3.0981249963034977E-2</v>
      </c>
      <c r="L18" t="s">
        <v>168</v>
      </c>
      <c r="N18" t="s">
        <v>200</v>
      </c>
      <c r="O18" t="s">
        <v>172</v>
      </c>
      <c r="P18">
        <v>1.2037204596163996E-2</v>
      </c>
      <c r="Q18" t="s">
        <v>168</v>
      </c>
      <c r="S18" t="s">
        <v>219</v>
      </c>
      <c r="T18" t="s">
        <v>172</v>
      </c>
      <c r="U18">
        <v>1.2893721180349742E-2</v>
      </c>
      <c r="V18" t="s">
        <v>168</v>
      </c>
      <c r="X18">
        <v>1.3926940639269407E-2</v>
      </c>
      <c r="Y18">
        <v>1.7794131052714456E-2</v>
      </c>
      <c r="Z18" t="s">
        <v>172</v>
      </c>
      <c r="AA18" t="s">
        <v>25</v>
      </c>
      <c r="AC18" t="s">
        <v>22</v>
      </c>
      <c r="AD18" t="s">
        <v>172</v>
      </c>
      <c r="AE18">
        <v>1.4801270832185959E-2</v>
      </c>
      <c r="AG18" t="s">
        <v>96</v>
      </c>
      <c r="AH18" t="s">
        <v>172</v>
      </c>
      <c r="AI18">
        <v>0.17260864196062009</v>
      </c>
      <c r="AK18">
        <v>2021</v>
      </c>
      <c r="AL18" t="s">
        <v>157</v>
      </c>
      <c r="AM18">
        <v>0.24603807498544339</v>
      </c>
      <c r="AN18" t="s">
        <v>247</v>
      </c>
    </row>
    <row r="19" spans="3:40" x14ac:dyDescent="0.45">
      <c r="E19" t="s">
        <v>301</v>
      </c>
      <c r="G19" t="s">
        <v>292</v>
      </c>
      <c r="I19" t="s">
        <v>166</v>
      </c>
      <c r="J19" t="s">
        <v>173</v>
      </c>
      <c r="K19">
        <v>3.7871449575996814E-2</v>
      </c>
      <c r="L19" t="s">
        <v>168</v>
      </c>
      <c r="N19" t="s">
        <v>200</v>
      </c>
      <c r="O19" t="s">
        <v>173</v>
      </c>
      <c r="P19">
        <v>1.1232926307431576E-2</v>
      </c>
      <c r="Q19" t="s">
        <v>168</v>
      </c>
      <c r="S19" t="s">
        <v>219</v>
      </c>
      <c r="T19" t="s">
        <v>173</v>
      </c>
      <c r="U19">
        <v>1.2158598594306763E-2</v>
      </c>
      <c r="V19" t="s">
        <v>168</v>
      </c>
      <c r="X19">
        <v>1.3926940639269407E-2</v>
      </c>
      <c r="Y19">
        <v>1.763236622496251E-2</v>
      </c>
      <c r="Z19" t="s">
        <v>173</v>
      </c>
      <c r="AA19" t="s">
        <v>25</v>
      </c>
      <c r="AC19" t="s">
        <v>22</v>
      </c>
      <c r="AD19" t="s">
        <v>173</v>
      </c>
      <c r="AE19">
        <v>1.4950244232079869E-2</v>
      </c>
      <c r="AG19" t="s">
        <v>96</v>
      </c>
      <c r="AH19" t="s">
        <v>173</v>
      </c>
      <c r="AI19">
        <v>0.16646817415169624</v>
      </c>
      <c r="AK19">
        <v>2021</v>
      </c>
      <c r="AL19" t="s">
        <v>161</v>
      </c>
      <c r="AM19">
        <v>0.26922212123117606</v>
      </c>
      <c r="AN19" t="s">
        <v>247</v>
      </c>
    </row>
    <row r="20" spans="3:40" x14ac:dyDescent="0.45">
      <c r="E20" t="s">
        <v>302</v>
      </c>
      <c r="G20" t="s">
        <v>292</v>
      </c>
      <c r="I20" t="s">
        <v>166</v>
      </c>
      <c r="J20" t="s">
        <v>259</v>
      </c>
      <c r="K20">
        <v>0.23912915787080416</v>
      </c>
      <c r="L20" t="s">
        <v>168</v>
      </c>
      <c r="N20" t="s">
        <v>200</v>
      </c>
      <c r="O20" t="s">
        <v>259</v>
      </c>
      <c r="P20">
        <v>6.3417341863841778E-2</v>
      </c>
      <c r="Q20" t="s">
        <v>168</v>
      </c>
      <c r="S20" t="s">
        <v>219</v>
      </c>
      <c r="T20" t="s">
        <v>259</v>
      </c>
      <c r="U20">
        <v>7.4842823725914095E-2</v>
      </c>
      <c r="V20" t="s">
        <v>168</v>
      </c>
      <c r="X20">
        <v>8.3561643835616442E-2</v>
      </c>
      <c r="Y20">
        <v>0.10927214114644193</v>
      </c>
      <c r="Z20" t="s">
        <v>259</v>
      </c>
      <c r="AA20" t="s">
        <v>25</v>
      </c>
      <c r="AC20" t="s">
        <v>22</v>
      </c>
      <c r="AD20" t="s">
        <v>259</v>
      </c>
      <c r="AE20">
        <v>8.8717930067842538E-2</v>
      </c>
      <c r="AG20" t="s">
        <v>96</v>
      </c>
      <c r="AH20" t="s">
        <v>259</v>
      </c>
      <c r="AI20">
        <v>0.17061162094892612</v>
      </c>
      <c r="AK20">
        <v>2021</v>
      </c>
      <c r="AL20" t="s">
        <v>163</v>
      </c>
      <c r="AM20">
        <v>0.3358428655542407</v>
      </c>
      <c r="AN20" t="s">
        <v>247</v>
      </c>
    </row>
    <row r="21" spans="3:40" x14ac:dyDescent="0.45">
      <c r="E21" t="s">
        <v>303</v>
      </c>
      <c r="G21" t="s">
        <v>292</v>
      </c>
      <c r="I21" t="s">
        <v>166</v>
      </c>
      <c r="J21" t="s">
        <v>260</v>
      </c>
      <c r="K21">
        <v>3.0327046435939257E-2</v>
      </c>
      <c r="L21" t="s">
        <v>168</v>
      </c>
      <c r="N21" t="s">
        <v>200</v>
      </c>
      <c r="O21" t="s">
        <v>260</v>
      </c>
      <c r="P21">
        <v>1.2796742135975836E-2</v>
      </c>
      <c r="Q21" t="s">
        <v>168</v>
      </c>
      <c r="S21" t="s">
        <v>219</v>
      </c>
      <c r="T21" t="s">
        <v>260</v>
      </c>
      <c r="U21">
        <v>1.6533281200259188E-2</v>
      </c>
      <c r="V21" t="s">
        <v>168</v>
      </c>
      <c r="X21">
        <v>1.3926940639269407E-2</v>
      </c>
      <c r="Y21">
        <v>2.7095608648451557E-2</v>
      </c>
      <c r="Z21" t="s">
        <v>260</v>
      </c>
      <c r="AA21" t="s">
        <v>25</v>
      </c>
      <c r="AC21" t="s">
        <v>22</v>
      </c>
      <c r="AD21" t="s">
        <v>260</v>
      </c>
      <c r="AE21">
        <v>1.4843446858624659E-2</v>
      </c>
      <c r="AG21" t="s">
        <v>96</v>
      </c>
      <c r="AH21" t="s">
        <v>260</v>
      </c>
      <c r="AI21">
        <v>0.1867418159149048</v>
      </c>
      <c r="AK21">
        <v>2021</v>
      </c>
      <c r="AL21" t="s">
        <v>249</v>
      </c>
      <c r="AM21">
        <v>0.30726049401770961</v>
      </c>
      <c r="AN21" t="s">
        <v>247</v>
      </c>
    </row>
    <row r="22" spans="3:40" x14ac:dyDescent="0.45">
      <c r="E22" t="s">
        <v>304</v>
      </c>
      <c r="G22" t="s">
        <v>292</v>
      </c>
      <c r="I22" t="s">
        <v>166</v>
      </c>
      <c r="J22" t="s">
        <v>261</v>
      </c>
      <c r="K22">
        <v>3.9177781007231648E-2</v>
      </c>
      <c r="L22" t="s">
        <v>168</v>
      </c>
      <c r="N22" t="s">
        <v>200</v>
      </c>
      <c r="O22" t="s">
        <v>261</v>
      </c>
      <c r="P22">
        <v>9.3504476724756466E-2</v>
      </c>
      <c r="Q22" t="s">
        <v>168</v>
      </c>
      <c r="S22" t="s">
        <v>219</v>
      </c>
      <c r="T22" t="s">
        <v>261</v>
      </c>
      <c r="U22">
        <v>0.11989267839902806</v>
      </c>
      <c r="V22" t="s">
        <v>168</v>
      </c>
      <c r="X22">
        <v>9.7488584474885842E-2</v>
      </c>
      <c r="Y22">
        <v>0.10069860527558859</v>
      </c>
      <c r="Z22" t="s">
        <v>261</v>
      </c>
      <c r="AA22" t="s">
        <v>25</v>
      </c>
      <c r="AC22" t="s">
        <v>22</v>
      </c>
      <c r="AD22" t="s">
        <v>261</v>
      </c>
      <c r="AE22">
        <v>9.6799027614116837E-2</v>
      </c>
      <c r="AG22" t="s">
        <v>96</v>
      </c>
      <c r="AH22" t="s">
        <v>261</v>
      </c>
      <c r="AI22">
        <v>0.26211435420008478</v>
      </c>
      <c r="AK22">
        <v>2021</v>
      </c>
      <c r="AL22" t="s">
        <v>251</v>
      </c>
      <c r="AM22">
        <v>0.20010041939866499</v>
      </c>
      <c r="AN22" t="s">
        <v>247</v>
      </c>
    </row>
    <row r="23" spans="3:40" x14ac:dyDescent="0.45">
      <c r="E23" t="s">
        <v>305</v>
      </c>
      <c r="G23" t="s">
        <v>292</v>
      </c>
      <c r="I23" t="s">
        <v>166</v>
      </c>
      <c r="J23" t="s">
        <v>174</v>
      </c>
      <c r="K23">
        <v>1.2969967865078003E-2</v>
      </c>
      <c r="L23" t="s">
        <v>168</v>
      </c>
      <c r="N23" t="s">
        <v>200</v>
      </c>
      <c r="O23" t="s">
        <v>174</v>
      </c>
      <c r="P23">
        <v>1.6572054681983882E-2</v>
      </c>
      <c r="Q23" t="s">
        <v>168</v>
      </c>
      <c r="S23" t="s">
        <v>219</v>
      </c>
      <c r="T23" t="s">
        <v>174</v>
      </c>
      <c r="U23">
        <v>1.7417921764557327E-2</v>
      </c>
      <c r="V23" t="s">
        <v>168</v>
      </c>
      <c r="X23">
        <v>2.8310502283105023E-2</v>
      </c>
      <c r="Y23">
        <v>1.5691519777241876E-2</v>
      </c>
      <c r="Z23" t="s">
        <v>174</v>
      </c>
      <c r="AA23" t="s">
        <v>25</v>
      </c>
      <c r="AC23" t="s">
        <v>22</v>
      </c>
      <c r="AD23" t="s">
        <v>174</v>
      </c>
      <c r="AE23">
        <v>2.3847087699625354E-2</v>
      </c>
      <c r="AG23" t="s">
        <v>96</v>
      </c>
      <c r="AH23" t="s">
        <v>174</v>
      </c>
      <c r="AI23">
        <v>0.29079453954855983</v>
      </c>
      <c r="AK23">
        <v>2021</v>
      </c>
      <c r="AL23" t="s">
        <v>253</v>
      </c>
      <c r="AM23">
        <v>0.1920854460469627</v>
      </c>
      <c r="AN23" t="s">
        <v>247</v>
      </c>
    </row>
    <row r="24" spans="3:40" x14ac:dyDescent="0.45">
      <c r="E24" t="s">
        <v>306</v>
      </c>
      <c r="G24" t="s">
        <v>292</v>
      </c>
      <c r="I24" t="s">
        <v>166</v>
      </c>
      <c r="J24" t="s">
        <v>175</v>
      </c>
      <c r="K24">
        <v>9.0570099605123688E-3</v>
      </c>
      <c r="L24" t="s">
        <v>168</v>
      </c>
      <c r="N24" t="s">
        <v>200</v>
      </c>
      <c r="O24" t="s">
        <v>175</v>
      </c>
      <c r="P24">
        <v>1.2235335579515085E-3</v>
      </c>
      <c r="Q24" t="s">
        <v>168</v>
      </c>
      <c r="S24" t="s">
        <v>219</v>
      </c>
      <c r="T24" t="s">
        <v>175</v>
      </c>
      <c r="U24">
        <v>1.9935651211276254E-3</v>
      </c>
      <c r="V24" t="s">
        <v>168</v>
      </c>
      <c r="X24">
        <v>3.5388127853881279E-3</v>
      </c>
      <c r="Y24">
        <v>4.521459529788099E-3</v>
      </c>
      <c r="Z24" t="s">
        <v>175</v>
      </c>
      <c r="AA24" t="s">
        <v>25</v>
      </c>
      <c r="AC24" t="s">
        <v>22</v>
      </c>
      <c r="AD24" t="s">
        <v>175</v>
      </c>
      <c r="AE24">
        <v>3.9226118087310096E-3</v>
      </c>
      <c r="AG24" t="s">
        <v>96</v>
      </c>
      <c r="AH24" t="s">
        <v>175</v>
      </c>
      <c r="AI24">
        <v>7.4383366010698726E-2</v>
      </c>
      <c r="AK24">
        <v>2021</v>
      </c>
      <c r="AL24" t="s">
        <v>255</v>
      </c>
      <c r="AM24">
        <v>0.1879290928526921</v>
      </c>
      <c r="AN24" t="s">
        <v>247</v>
      </c>
    </row>
    <row r="25" spans="3:40" x14ac:dyDescent="0.45">
      <c r="E25" t="s">
        <v>307</v>
      </c>
      <c r="G25" t="s">
        <v>292</v>
      </c>
      <c r="I25" t="s">
        <v>166</v>
      </c>
      <c r="J25" t="s">
        <v>176</v>
      </c>
      <c r="K25">
        <v>1.042415503761634E-2</v>
      </c>
      <c r="L25" t="s">
        <v>168</v>
      </c>
      <c r="N25" t="s">
        <v>200</v>
      </c>
      <c r="O25" t="s">
        <v>176</v>
      </c>
      <c r="P25">
        <v>1.2093637031780242E-3</v>
      </c>
      <c r="Q25" t="s">
        <v>168</v>
      </c>
      <c r="S25" t="s">
        <v>219</v>
      </c>
      <c r="T25" t="s">
        <v>176</v>
      </c>
      <c r="U25">
        <v>1.9207938481554342E-3</v>
      </c>
      <c r="V25" t="s">
        <v>168</v>
      </c>
      <c r="X25">
        <v>3.5388127853881279E-3</v>
      </c>
      <c r="Y25">
        <v>4.4803553522445696E-3</v>
      </c>
      <c r="Z25" t="s">
        <v>176</v>
      </c>
      <c r="AA25" t="s">
        <v>25</v>
      </c>
      <c r="AC25" t="s">
        <v>22</v>
      </c>
      <c r="AD25" t="s">
        <v>176</v>
      </c>
      <c r="AE25">
        <v>3.9935522381383624E-3</v>
      </c>
      <c r="AG25" t="s">
        <v>96</v>
      </c>
      <c r="AH25" t="s">
        <v>176</v>
      </c>
      <c r="AI25">
        <v>6.9020627163651538E-2</v>
      </c>
      <c r="AK25">
        <v>2022</v>
      </c>
      <c r="AL25" t="s">
        <v>157</v>
      </c>
      <c r="AM25">
        <v>0.1380880769396183</v>
      </c>
      <c r="AN25" t="s">
        <v>247</v>
      </c>
    </row>
    <row r="26" spans="3:40" x14ac:dyDescent="0.45">
      <c r="E26" t="s">
        <v>308</v>
      </c>
      <c r="G26" t="s">
        <v>292</v>
      </c>
      <c r="I26" t="s">
        <v>166</v>
      </c>
      <c r="J26" t="s">
        <v>262</v>
      </c>
      <c r="K26">
        <v>6.0481442346171248E-2</v>
      </c>
      <c r="L26" t="s">
        <v>168</v>
      </c>
      <c r="N26" t="s">
        <v>200</v>
      </c>
      <c r="O26" t="s">
        <v>262</v>
      </c>
      <c r="P26">
        <v>6.7963856632165661E-3</v>
      </c>
      <c r="Q26" t="s">
        <v>168</v>
      </c>
      <c r="S26" t="s">
        <v>219</v>
      </c>
      <c r="T26" t="s">
        <v>262</v>
      </c>
      <c r="U26">
        <v>1.359098365175924E-2</v>
      </c>
      <c r="V26" t="s">
        <v>168</v>
      </c>
      <c r="X26">
        <v>2.1232876712328767E-2</v>
      </c>
      <c r="Y26">
        <v>2.7765871930653274E-2</v>
      </c>
      <c r="Z26" t="s">
        <v>262</v>
      </c>
      <c r="AA26" t="s">
        <v>25</v>
      </c>
      <c r="AC26" t="s">
        <v>22</v>
      </c>
      <c r="AD26" t="s">
        <v>262</v>
      </c>
      <c r="AE26">
        <v>2.4369650805785639E-2</v>
      </c>
      <c r="AG26" t="s">
        <v>96</v>
      </c>
      <c r="AH26" t="s">
        <v>262</v>
      </c>
      <c r="AI26">
        <v>7.7676552365526508E-2</v>
      </c>
      <c r="AK26">
        <v>2022</v>
      </c>
      <c r="AL26" t="s">
        <v>161</v>
      </c>
      <c r="AM26">
        <v>0.1672356370480188</v>
      </c>
      <c r="AN26" t="s">
        <v>247</v>
      </c>
    </row>
    <row r="27" spans="3:40" x14ac:dyDescent="0.45">
      <c r="E27" t="s">
        <v>309</v>
      </c>
      <c r="G27" t="s">
        <v>292</v>
      </c>
      <c r="I27" t="s">
        <v>166</v>
      </c>
      <c r="J27" t="s">
        <v>263</v>
      </c>
      <c r="K27">
        <v>7.4231168825031127E-3</v>
      </c>
      <c r="L27" t="s">
        <v>168</v>
      </c>
      <c r="N27" t="s">
        <v>200</v>
      </c>
      <c r="O27" t="s">
        <v>263</v>
      </c>
      <c r="P27">
        <v>1.0893798764200356E-3</v>
      </c>
      <c r="Q27" t="s">
        <v>168</v>
      </c>
      <c r="S27" t="s">
        <v>219</v>
      </c>
      <c r="T27" t="s">
        <v>263</v>
      </c>
      <c r="U27">
        <v>3.3008991948072007E-3</v>
      </c>
      <c r="V27" t="s">
        <v>168</v>
      </c>
      <c r="X27">
        <v>3.5388127853881279E-3</v>
      </c>
      <c r="Y27">
        <v>6.8849497385409693E-3</v>
      </c>
      <c r="Z27" t="s">
        <v>263</v>
      </c>
      <c r="AA27" t="s">
        <v>25</v>
      </c>
      <c r="AC27" t="s">
        <v>22</v>
      </c>
      <c r="AD27" t="s">
        <v>263</v>
      </c>
      <c r="AE27">
        <v>4.0189562259318494E-3</v>
      </c>
      <c r="AG27" t="s">
        <v>96</v>
      </c>
      <c r="AH27" t="s">
        <v>263</v>
      </c>
      <c r="AI27">
        <v>7.0840187604823468E-2</v>
      </c>
      <c r="AK27">
        <v>2022</v>
      </c>
      <c r="AL27" t="s">
        <v>163</v>
      </c>
      <c r="AM27">
        <v>0.222239262932479</v>
      </c>
      <c r="AN27" t="s">
        <v>247</v>
      </c>
    </row>
    <row r="28" spans="3:40" x14ac:dyDescent="0.45">
      <c r="E28" t="s">
        <v>310</v>
      </c>
      <c r="G28" t="s">
        <v>292</v>
      </c>
      <c r="I28" t="s">
        <v>166</v>
      </c>
      <c r="J28" t="s">
        <v>264</v>
      </c>
      <c r="K28">
        <v>1.2521754488360841E-2</v>
      </c>
      <c r="L28" t="s">
        <v>168</v>
      </c>
      <c r="N28" t="s">
        <v>200</v>
      </c>
      <c r="O28" t="s">
        <v>264</v>
      </c>
      <c r="P28">
        <v>8.367626052026898E-3</v>
      </c>
      <c r="Q28" t="s">
        <v>168</v>
      </c>
      <c r="S28" t="s">
        <v>219</v>
      </c>
      <c r="T28" t="s">
        <v>264</v>
      </c>
      <c r="U28">
        <v>2.3130288881001652E-2</v>
      </c>
      <c r="V28" t="s">
        <v>168</v>
      </c>
      <c r="X28">
        <v>2.4771689497716895E-2</v>
      </c>
      <c r="Y28">
        <v>2.5587350520846285E-2</v>
      </c>
      <c r="Z28" t="s">
        <v>264</v>
      </c>
      <c r="AA28" t="s">
        <v>25</v>
      </c>
      <c r="AC28" t="s">
        <v>22</v>
      </c>
      <c r="AD28" t="s">
        <v>264</v>
      </c>
      <c r="AE28">
        <v>2.6192678967726955E-2</v>
      </c>
      <c r="AG28" t="s">
        <v>96</v>
      </c>
      <c r="AH28" t="s">
        <v>264</v>
      </c>
      <c r="AI28">
        <v>0.12654399795082072</v>
      </c>
      <c r="AK28">
        <v>2022</v>
      </c>
      <c r="AL28" t="s">
        <v>249</v>
      </c>
      <c r="AM28">
        <v>0.17040710256803501</v>
      </c>
      <c r="AN28" t="s">
        <v>247</v>
      </c>
    </row>
    <row r="29" spans="3:40" x14ac:dyDescent="0.45">
      <c r="E29" t="s">
        <v>311</v>
      </c>
      <c r="G29" t="s">
        <v>292</v>
      </c>
      <c r="I29" t="s">
        <v>166</v>
      </c>
      <c r="J29" t="s">
        <v>265</v>
      </c>
      <c r="K29">
        <v>1.081312531669505E-2</v>
      </c>
      <c r="L29" t="s">
        <v>168</v>
      </c>
      <c r="N29" t="s">
        <v>200</v>
      </c>
      <c r="O29" t="s">
        <v>265</v>
      </c>
      <c r="P29">
        <v>3.4882491782395005E-2</v>
      </c>
      <c r="Q29" t="s">
        <v>168</v>
      </c>
      <c r="S29" t="s">
        <v>219</v>
      </c>
      <c r="T29" t="s">
        <v>265</v>
      </c>
      <c r="U29">
        <v>2.0534219210437035E-2</v>
      </c>
      <c r="V29" t="s">
        <v>168</v>
      </c>
      <c r="X29">
        <v>2.8310502283105023E-2</v>
      </c>
      <c r="Y29">
        <v>1.5691519777241876E-2</v>
      </c>
      <c r="Z29" t="s">
        <v>265</v>
      </c>
      <c r="AA29" t="s">
        <v>25</v>
      </c>
      <c r="AC29" t="s">
        <v>22</v>
      </c>
      <c r="AD29" t="s">
        <v>265</v>
      </c>
      <c r="AE29">
        <v>2.3274742893035865E-2</v>
      </c>
      <c r="AG29" t="s">
        <v>96</v>
      </c>
      <c r="AH29" t="s">
        <v>265</v>
      </c>
      <c r="AI29">
        <v>0.29227721984313737</v>
      </c>
      <c r="AK29">
        <v>2022</v>
      </c>
      <c r="AL29" t="s">
        <v>251</v>
      </c>
      <c r="AM29">
        <v>0.13940247696190641</v>
      </c>
      <c r="AN29" t="s">
        <v>247</v>
      </c>
    </row>
    <row r="30" spans="3:40" x14ac:dyDescent="0.45">
      <c r="E30" t="s">
        <v>312</v>
      </c>
      <c r="G30" t="s">
        <v>292</v>
      </c>
      <c r="I30" t="s">
        <v>166</v>
      </c>
      <c r="J30" t="s">
        <v>266</v>
      </c>
      <c r="K30">
        <v>9.0347503004862151E-3</v>
      </c>
      <c r="L30" t="s">
        <v>168</v>
      </c>
      <c r="N30" t="s">
        <v>200</v>
      </c>
      <c r="O30" t="s">
        <v>266</v>
      </c>
      <c r="P30">
        <v>3.5713997391670638E-3</v>
      </c>
      <c r="Q30" t="s">
        <v>168</v>
      </c>
      <c r="S30" t="s">
        <v>219</v>
      </c>
      <c r="T30" t="s">
        <v>266</v>
      </c>
      <c r="U30">
        <v>2.1432405702966778E-3</v>
      </c>
      <c r="V30" t="s">
        <v>168</v>
      </c>
      <c r="X30">
        <v>3.5388127853881279E-3</v>
      </c>
      <c r="Y30">
        <v>4.521459529788099E-3</v>
      </c>
      <c r="Z30" t="s">
        <v>266</v>
      </c>
      <c r="AA30" t="s">
        <v>25</v>
      </c>
      <c r="AC30" t="s">
        <v>22</v>
      </c>
      <c r="AD30" t="s">
        <v>266</v>
      </c>
      <c r="AE30">
        <v>3.7616722776133487E-3</v>
      </c>
      <c r="AG30" t="s">
        <v>96</v>
      </c>
      <c r="AH30" t="s">
        <v>266</v>
      </c>
      <c r="AI30">
        <v>9.3437124549459405E-2</v>
      </c>
      <c r="AK30">
        <v>2022</v>
      </c>
      <c r="AL30" t="s">
        <v>253</v>
      </c>
      <c r="AM30">
        <v>0.13668069685144474</v>
      </c>
      <c r="AN30" t="s">
        <v>247</v>
      </c>
    </row>
    <row r="31" spans="3:40" x14ac:dyDescent="0.45">
      <c r="E31" t="s">
        <v>313</v>
      </c>
      <c r="G31" t="s">
        <v>292</v>
      </c>
      <c r="I31" t="s">
        <v>166</v>
      </c>
      <c r="J31" t="s">
        <v>267</v>
      </c>
      <c r="K31">
        <v>1.0563449422439879E-2</v>
      </c>
      <c r="L31" t="s">
        <v>168</v>
      </c>
      <c r="N31" t="s">
        <v>200</v>
      </c>
      <c r="O31" t="s">
        <v>267</v>
      </c>
      <c r="P31">
        <v>3.5137298214156674E-3</v>
      </c>
      <c r="Q31" t="s">
        <v>168</v>
      </c>
      <c r="S31" t="s">
        <v>219</v>
      </c>
      <c r="T31" t="s">
        <v>267</v>
      </c>
      <c r="U31">
        <v>2.0947971313144249E-3</v>
      </c>
      <c r="V31" t="s">
        <v>168</v>
      </c>
      <c r="X31">
        <v>3.5388127853881279E-3</v>
      </c>
      <c r="Y31">
        <v>4.4803553522445696E-3</v>
      </c>
      <c r="Z31" t="s">
        <v>267</v>
      </c>
      <c r="AA31" t="s">
        <v>25</v>
      </c>
      <c r="AC31" t="s">
        <v>22</v>
      </c>
      <c r="AD31" t="s">
        <v>267</v>
      </c>
      <c r="AE31">
        <v>3.8401633158667999E-3</v>
      </c>
      <c r="AG31" t="s">
        <v>96</v>
      </c>
      <c r="AH31" t="s">
        <v>267</v>
      </c>
      <c r="AI31">
        <v>8.4616135878744059E-2</v>
      </c>
      <c r="AK31">
        <v>2022</v>
      </c>
      <c r="AL31" t="s">
        <v>255</v>
      </c>
      <c r="AM31">
        <v>0.15407642190526499</v>
      </c>
      <c r="AN31" t="s">
        <v>247</v>
      </c>
    </row>
    <row r="32" spans="3:40" x14ac:dyDescent="0.45">
      <c r="E32" t="s">
        <v>314</v>
      </c>
      <c r="G32" t="s">
        <v>292</v>
      </c>
      <c r="I32" t="s">
        <v>166</v>
      </c>
      <c r="J32" t="s">
        <v>268</v>
      </c>
      <c r="K32">
        <v>6.1369717269771133E-2</v>
      </c>
      <c r="L32" t="s">
        <v>168</v>
      </c>
      <c r="N32" t="s">
        <v>200</v>
      </c>
      <c r="O32" t="s">
        <v>268</v>
      </c>
      <c r="P32">
        <v>1.4349863230604436E-2</v>
      </c>
      <c r="Q32" t="s">
        <v>168</v>
      </c>
      <c r="S32" t="s">
        <v>219</v>
      </c>
      <c r="T32" t="s">
        <v>268</v>
      </c>
      <c r="U32">
        <v>1.3177904196244176E-2</v>
      </c>
      <c r="V32" t="s">
        <v>168</v>
      </c>
      <c r="X32">
        <v>2.1232876712328767E-2</v>
      </c>
      <c r="Y32">
        <v>2.7765871930653274E-2</v>
      </c>
      <c r="Z32" t="s">
        <v>268</v>
      </c>
      <c r="AA32" t="s">
        <v>25</v>
      </c>
      <c r="AC32" t="s">
        <v>22</v>
      </c>
      <c r="AD32" t="s">
        <v>268</v>
      </c>
      <c r="AE32">
        <v>2.3427919499996192E-2</v>
      </c>
      <c r="AG32" t="s">
        <v>96</v>
      </c>
      <c r="AH32" t="s">
        <v>268</v>
      </c>
      <c r="AI32">
        <v>0.10193146915265872</v>
      </c>
      <c r="AK32">
        <v>2025</v>
      </c>
      <c r="AL32" t="s">
        <v>157</v>
      </c>
      <c r="AM32">
        <v>0.19159999999999999</v>
      </c>
      <c r="AN32" t="s">
        <v>247</v>
      </c>
    </row>
    <row r="33" spans="5:40" x14ac:dyDescent="0.45">
      <c r="E33" t="s">
        <v>315</v>
      </c>
      <c r="G33" t="s">
        <v>292</v>
      </c>
      <c r="I33" t="s">
        <v>166</v>
      </c>
      <c r="J33" t="s">
        <v>269</v>
      </c>
      <c r="K33">
        <v>7.6543503008451065E-3</v>
      </c>
      <c r="L33" t="s">
        <v>168</v>
      </c>
      <c r="N33" t="s">
        <v>200</v>
      </c>
      <c r="O33" t="s">
        <v>269</v>
      </c>
      <c r="P33">
        <v>2.341417272686711E-3</v>
      </c>
      <c r="Q33" t="s">
        <v>168</v>
      </c>
      <c r="S33" t="s">
        <v>219</v>
      </c>
      <c r="T33" t="s">
        <v>269</v>
      </c>
      <c r="U33">
        <v>2.7710349492291665E-3</v>
      </c>
      <c r="V33" t="s">
        <v>168</v>
      </c>
      <c r="X33">
        <v>3.5388127853881279E-3</v>
      </c>
      <c r="Y33">
        <v>6.8849497385409693E-3</v>
      </c>
      <c r="Z33" t="s">
        <v>269</v>
      </c>
      <c r="AA33" t="s">
        <v>25</v>
      </c>
      <c r="AC33" t="s">
        <v>22</v>
      </c>
      <c r="AD33" t="s">
        <v>269</v>
      </c>
      <c r="AE33">
        <v>3.884062728412093E-3</v>
      </c>
      <c r="AG33" t="s">
        <v>96</v>
      </c>
      <c r="AH33" t="s">
        <v>269</v>
      </c>
      <c r="AI33">
        <v>8.6589741713731794E-2</v>
      </c>
      <c r="AK33">
        <v>2025</v>
      </c>
      <c r="AL33" t="s">
        <v>161</v>
      </c>
      <c r="AM33">
        <v>0.30280000000000001</v>
      </c>
      <c r="AN33" t="s">
        <v>247</v>
      </c>
    </row>
    <row r="34" spans="5:40" x14ac:dyDescent="0.45">
      <c r="E34" t="s">
        <v>316</v>
      </c>
      <c r="G34" t="s">
        <v>292</v>
      </c>
      <c r="I34" t="s">
        <v>166</v>
      </c>
      <c r="J34" t="s">
        <v>270</v>
      </c>
      <c r="K34">
        <v>1.1185369808609423E-2</v>
      </c>
      <c r="L34" t="s">
        <v>168</v>
      </c>
      <c r="N34" t="s">
        <v>200</v>
      </c>
      <c r="O34" t="s">
        <v>270</v>
      </c>
      <c r="P34">
        <v>1.7179983797299351E-2</v>
      </c>
      <c r="Q34" t="s">
        <v>168</v>
      </c>
      <c r="S34" t="s">
        <v>219</v>
      </c>
      <c r="T34" t="s">
        <v>270</v>
      </c>
      <c r="U34">
        <v>2.0858331209927805E-2</v>
      </c>
      <c r="V34" t="s">
        <v>168</v>
      </c>
      <c r="X34">
        <v>2.4771689497716895E-2</v>
      </c>
      <c r="Y34">
        <v>2.5587350520846285E-2</v>
      </c>
      <c r="Z34" t="s">
        <v>270</v>
      </c>
      <c r="AA34" t="s">
        <v>25</v>
      </c>
      <c r="AC34" t="s">
        <v>22</v>
      </c>
      <c r="AD34" t="s">
        <v>270</v>
      </c>
      <c r="AE34">
        <v>2.506968043500046E-2</v>
      </c>
      <c r="AG34" t="s">
        <v>96</v>
      </c>
      <c r="AH34" t="s">
        <v>270</v>
      </c>
      <c r="AI34">
        <v>0.1589966041720241</v>
      </c>
      <c r="AK34">
        <v>2025</v>
      </c>
      <c r="AL34" t="s">
        <v>163</v>
      </c>
      <c r="AM34">
        <v>0.38129999999999997</v>
      </c>
      <c r="AN34" t="s">
        <v>247</v>
      </c>
    </row>
    <row r="35" spans="5:40" x14ac:dyDescent="0.45">
      <c r="E35" t="s">
        <v>317</v>
      </c>
      <c r="G35" t="s">
        <v>294</v>
      </c>
      <c r="I35" t="s">
        <v>166</v>
      </c>
      <c r="J35" t="s">
        <v>271</v>
      </c>
      <c r="K35">
        <v>6.9472899334160881E-3</v>
      </c>
      <c r="L35" t="s">
        <v>168</v>
      </c>
      <c r="N35" t="s">
        <v>200</v>
      </c>
      <c r="O35" t="s">
        <v>271</v>
      </c>
      <c r="P35">
        <v>2.2399854427585429E-2</v>
      </c>
      <c r="Q35" t="s">
        <v>168</v>
      </c>
      <c r="S35" t="s">
        <v>219</v>
      </c>
      <c r="T35" t="s">
        <v>271</v>
      </c>
      <c r="U35">
        <v>1.4707493846205781E-2</v>
      </c>
      <c r="V35" t="s">
        <v>168</v>
      </c>
      <c r="X35">
        <v>2.6484018264840183E-2</v>
      </c>
      <c r="Y35">
        <v>1.4679163662581112E-2</v>
      </c>
      <c r="Z35" t="s">
        <v>271</v>
      </c>
      <c r="AA35" t="s">
        <v>25</v>
      </c>
      <c r="AC35" t="s">
        <v>22</v>
      </c>
      <c r="AD35" t="s">
        <v>271</v>
      </c>
      <c r="AE35">
        <v>2.0940856790173556E-2</v>
      </c>
      <c r="AG35" t="s">
        <v>96</v>
      </c>
      <c r="AH35" t="s">
        <v>271</v>
      </c>
      <c r="AI35">
        <v>0.2572903225806451</v>
      </c>
      <c r="AK35">
        <v>2025</v>
      </c>
      <c r="AL35" t="s">
        <v>249</v>
      </c>
      <c r="AM35">
        <v>0.27289999999999998</v>
      </c>
      <c r="AN35" t="s">
        <v>247</v>
      </c>
    </row>
    <row r="36" spans="5:40" x14ac:dyDescent="0.45">
      <c r="E36" t="s">
        <v>318</v>
      </c>
      <c r="G36" t="s">
        <v>294</v>
      </c>
      <c r="I36" t="s">
        <v>166</v>
      </c>
      <c r="J36" t="s">
        <v>272</v>
      </c>
      <c r="K36">
        <v>6.8932991390614129E-3</v>
      </c>
      <c r="L36" t="s">
        <v>168</v>
      </c>
      <c r="N36" t="s">
        <v>200</v>
      </c>
      <c r="O36" t="s">
        <v>272</v>
      </c>
      <c r="P36">
        <v>2.442604725102656E-3</v>
      </c>
      <c r="Q36" t="s">
        <v>168</v>
      </c>
      <c r="S36" t="s">
        <v>219</v>
      </c>
      <c r="T36" t="s">
        <v>272</v>
      </c>
      <c r="U36">
        <v>1.4156480378598344E-3</v>
      </c>
      <c r="V36" t="s">
        <v>168</v>
      </c>
      <c r="X36">
        <v>3.3105022831050228E-3</v>
      </c>
      <c r="Y36">
        <v>4.2297524633501575E-3</v>
      </c>
      <c r="Z36" t="s">
        <v>272</v>
      </c>
      <c r="AA36" t="s">
        <v>25</v>
      </c>
      <c r="AC36" t="s">
        <v>22</v>
      </c>
      <c r="AD36" t="s">
        <v>272</v>
      </c>
      <c r="AE36">
        <v>3.3794498268565698E-3</v>
      </c>
      <c r="AG36" t="s">
        <v>96</v>
      </c>
      <c r="AH36" t="s">
        <v>272</v>
      </c>
      <c r="AI36">
        <v>6.9660057919358476E-2</v>
      </c>
      <c r="AK36">
        <v>2025</v>
      </c>
      <c r="AL36" t="s">
        <v>251</v>
      </c>
      <c r="AM36">
        <v>0.25779999999999997</v>
      </c>
      <c r="AN36" t="s">
        <v>247</v>
      </c>
    </row>
    <row r="37" spans="5:40" x14ac:dyDescent="0.45">
      <c r="E37" t="s">
        <v>319</v>
      </c>
      <c r="G37" t="s">
        <v>294</v>
      </c>
      <c r="I37" t="s">
        <v>166</v>
      </c>
      <c r="J37" t="s">
        <v>273</v>
      </c>
      <c r="K37">
        <v>8.3966878012800995E-3</v>
      </c>
      <c r="L37" t="s">
        <v>168</v>
      </c>
      <c r="N37" t="s">
        <v>200</v>
      </c>
      <c r="O37" t="s">
        <v>273</v>
      </c>
      <c r="P37">
        <v>2.2228111392123178E-3</v>
      </c>
      <c r="Q37" t="s">
        <v>168</v>
      </c>
      <c r="S37" t="s">
        <v>219</v>
      </c>
      <c r="T37" t="s">
        <v>273</v>
      </c>
      <c r="U37">
        <v>1.3907450499569857E-3</v>
      </c>
      <c r="V37" t="s">
        <v>168</v>
      </c>
      <c r="X37">
        <v>3.3105022831050228E-3</v>
      </c>
      <c r="Y37">
        <v>4.1913001682287914E-3</v>
      </c>
      <c r="Z37" t="s">
        <v>273</v>
      </c>
      <c r="AA37" t="s">
        <v>25</v>
      </c>
      <c r="AC37" t="s">
        <v>22</v>
      </c>
      <c r="AD37" t="s">
        <v>273</v>
      </c>
      <c r="AE37">
        <v>3.4140226792955929E-3</v>
      </c>
      <c r="AG37" t="s">
        <v>96</v>
      </c>
      <c r="AH37" t="s">
        <v>273</v>
      </c>
      <c r="AI37">
        <v>6.8208453163970839E-2</v>
      </c>
      <c r="AK37">
        <v>2025</v>
      </c>
      <c r="AL37" t="s">
        <v>253</v>
      </c>
      <c r="AM37">
        <v>0.23065000000000002</v>
      </c>
      <c r="AN37" t="s">
        <v>247</v>
      </c>
    </row>
    <row r="38" spans="5:40" x14ac:dyDescent="0.45">
      <c r="E38" t="s">
        <v>320</v>
      </c>
      <c r="G38" t="s">
        <v>294</v>
      </c>
      <c r="I38" t="s">
        <v>166</v>
      </c>
      <c r="J38" t="s">
        <v>274</v>
      </c>
      <c r="K38">
        <v>5.0822860666816648E-2</v>
      </c>
      <c r="L38" t="s">
        <v>168</v>
      </c>
      <c r="N38" t="s">
        <v>200</v>
      </c>
      <c r="O38" t="s">
        <v>274</v>
      </c>
      <c r="P38">
        <v>9.4219624851586293E-3</v>
      </c>
      <c r="Q38" t="s">
        <v>168</v>
      </c>
      <c r="S38" t="s">
        <v>219</v>
      </c>
      <c r="T38" t="s">
        <v>274</v>
      </c>
      <c r="U38">
        <v>1.0343196763226398E-2</v>
      </c>
      <c r="V38" t="s">
        <v>168</v>
      </c>
      <c r="X38">
        <v>1.9863013698630139E-2</v>
      </c>
      <c r="Y38">
        <v>2.5974525354482102E-2</v>
      </c>
      <c r="Z38" t="s">
        <v>274</v>
      </c>
      <c r="AA38" t="s">
        <v>25</v>
      </c>
      <c r="AC38" t="s">
        <v>22</v>
      </c>
      <c r="AD38" t="s">
        <v>274</v>
      </c>
      <c r="AE38">
        <v>2.0608696716484309E-2</v>
      </c>
      <c r="AG38" t="s">
        <v>96</v>
      </c>
      <c r="AH38" t="s">
        <v>274</v>
      </c>
      <c r="AI38">
        <v>8.6912883654652884E-2</v>
      </c>
      <c r="AK38">
        <v>2025</v>
      </c>
      <c r="AL38" t="s">
        <v>255</v>
      </c>
      <c r="AM38">
        <v>0.24490000000000001</v>
      </c>
      <c r="AN38" t="s">
        <v>247</v>
      </c>
    </row>
    <row r="39" spans="5:40" x14ac:dyDescent="0.45">
      <c r="E39" t="s">
        <v>321</v>
      </c>
      <c r="G39" t="s">
        <v>294</v>
      </c>
      <c r="I39" t="s">
        <v>166</v>
      </c>
      <c r="J39" t="s">
        <v>275</v>
      </c>
      <c r="K39">
        <v>6.4807786697016426E-3</v>
      </c>
      <c r="L39" t="s">
        <v>168</v>
      </c>
      <c r="N39" t="s">
        <v>200</v>
      </c>
      <c r="O39" t="s">
        <v>275</v>
      </c>
      <c r="P39">
        <v>1.6706472565705406E-3</v>
      </c>
      <c r="Q39" t="s">
        <v>168</v>
      </c>
      <c r="S39" t="s">
        <v>219</v>
      </c>
      <c r="T39" t="s">
        <v>275</v>
      </c>
      <c r="U39">
        <v>2.1628963143831234E-3</v>
      </c>
      <c r="V39" t="s">
        <v>168</v>
      </c>
      <c r="X39">
        <v>3.3105022831050228E-3</v>
      </c>
      <c r="Y39">
        <v>6.4407594328286487E-3</v>
      </c>
      <c r="Z39" t="s">
        <v>275</v>
      </c>
      <c r="AA39" t="s">
        <v>25</v>
      </c>
      <c r="AC39" t="s">
        <v>22</v>
      </c>
      <c r="AD39" t="s">
        <v>275</v>
      </c>
      <c r="AE39">
        <v>3.4315944592059563E-3</v>
      </c>
      <c r="AG39" t="s">
        <v>96</v>
      </c>
      <c r="AH39" t="s">
        <v>275</v>
      </c>
      <c r="AI39">
        <v>7.7157880468745832E-2</v>
      </c>
      <c r="AK39">
        <v>2026</v>
      </c>
      <c r="AL39" t="s">
        <v>157</v>
      </c>
      <c r="AM39">
        <v>0.13995000000000002</v>
      </c>
      <c r="AN39" t="s">
        <v>247</v>
      </c>
    </row>
    <row r="40" spans="5:40" x14ac:dyDescent="0.45">
      <c r="E40" t="s">
        <v>322</v>
      </c>
      <c r="G40" t="s">
        <v>294</v>
      </c>
      <c r="I40" t="s">
        <v>166</v>
      </c>
      <c r="J40" t="s">
        <v>276</v>
      </c>
      <c r="K40">
        <v>5.8408880592173557E-3</v>
      </c>
      <c r="L40" t="s">
        <v>168</v>
      </c>
      <c r="N40" t="s">
        <v>200</v>
      </c>
      <c r="O40" t="s">
        <v>276</v>
      </c>
      <c r="P40">
        <v>1.8384906931760564E-2</v>
      </c>
      <c r="Q40" t="s">
        <v>168</v>
      </c>
      <c r="S40" t="s">
        <v>219</v>
      </c>
      <c r="T40" t="s">
        <v>276</v>
      </c>
      <c r="U40">
        <v>1.6254556934730716E-2</v>
      </c>
      <c r="V40" t="s">
        <v>168</v>
      </c>
      <c r="X40">
        <v>2.3173515981735161E-2</v>
      </c>
      <c r="Y40">
        <v>2.393655371304975E-2</v>
      </c>
      <c r="Z40" t="s">
        <v>276</v>
      </c>
      <c r="AA40" t="s">
        <v>25</v>
      </c>
      <c r="AC40" t="s">
        <v>22</v>
      </c>
      <c r="AD40" t="s">
        <v>276</v>
      </c>
      <c r="AE40">
        <v>2.2305006571119147E-2</v>
      </c>
      <c r="AG40" t="s">
        <v>96</v>
      </c>
      <c r="AH40" t="s">
        <v>276</v>
      </c>
      <c r="AI40">
        <v>0.13709802649237735</v>
      </c>
      <c r="AK40">
        <v>2026</v>
      </c>
      <c r="AL40" t="s">
        <v>161</v>
      </c>
      <c r="AM40">
        <v>0.22070000000000001</v>
      </c>
      <c r="AN40" t="s">
        <v>247</v>
      </c>
    </row>
    <row r="41" spans="5:40" x14ac:dyDescent="0.45">
      <c r="E41" t="s">
        <v>323</v>
      </c>
      <c r="G41" t="s">
        <v>294</v>
      </c>
      <c r="I41" t="s">
        <v>166</v>
      </c>
      <c r="J41" t="s">
        <v>341</v>
      </c>
      <c r="K41">
        <v>0</v>
      </c>
      <c r="L41" t="s">
        <v>168</v>
      </c>
      <c r="N41" t="s">
        <v>200</v>
      </c>
      <c r="O41" t="s">
        <v>341</v>
      </c>
      <c r="P41">
        <v>3.1660871014218926E-5</v>
      </c>
      <c r="Q41" t="s">
        <v>168</v>
      </c>
      <c r="S41" t="s">
        <v>219</v>
      </c>
      <c r="T41" t="s">
        <v>341</v>
      </c>
      <c r="U41">
        <v>1.9875407700988033E-5</v>
      </c>
      <c r="V41" t="s">
        <v>168</v>
      </c>
      <c r="X41">
        <v>1.1415525114155251E-4</v>
      </c>
      <c r="Y41">
        <v>2.1546544680075254E-5</v>
      </c>
      <c r="Z41" t="s">
        <v>341</v>
      </c>
      <c r="AA41" t="s">
        <v>25</v>
      </c>
      <c r="AC41" t="s">
        <v>22</v>
      </c>
      <c r="AD41" t="s">
        <v>341</v>
      </c>
      <c r="AE41">
        <v>8.5525785580281224E-5</v>
      </c>
      <c r="AG41" t="s">
        <v>96</v>
      </c>
      <c r="AH41" t="s">
        <v>341</v>
      </c>
      <c r="AI41">
        <v>0</v>
      </c>
      <c r="AK41">
        <v>2026</v>
      </c>
      <c r="AL41" t="s">
        <v>163</v>
      </c>
      <c r="AM41">
        <v>0.27850000000000003</v>
      </c>
      <c r="AN41" t="s">
        <v>247</v>
      </c>
    </row>
    <row r="42" spans="5:40" x14ac:dyDescent="0.45">
      <c r="E42" t="s">
        <v>324</v>
      </c>
      <c r="G42" t="s">
        <v>294</v>
      </c>
      <c r="I42" t="s">
        <v>166</v>
      </c>
      <c r="J42" t="s">
        <v>342</v>
      </c>
      <c r="K42">
        <v>0</v>
      </c>
      <c r="L42" t="s">
        <v>168</v>
      </c>
      <c r="N42" t="s">
        <v>200</v>
      </c>
      <c r="O42" t="s">
        <v>342</v>
      </c>
      <c r="P42">
        <v>3.1003505872038311E-5</v>
      </c>
      <c r="Q42" t="s">
        <v>168</v>
      </c>
      <c r="S42" t="s">
        <v>219</v>
      </c>
      <c r="T42" t="s">
        <v>342</v>
      </c>
      <c r="U42">
        <v>2.2227801680199539E-5</v>
      </c>
      <c r="V42" t="s">
        <v>168</v>
      </c>
      <c r="X42">
        <v>1.1415525114155251E-4</v>
      </c>
      <c r="Y42">
        <v>1.4916838624667481E-5</v>
      </c>
      <c r="Z42" t="s">
        <v>342</v>
      </c>
      <c r="AA42" t="s">
        <v>25</v>
      </c>
      <c r="AC42" t="s">
        <v>22</v>
      </c>
      <c r="AD42" t="s">
        <v>342</v>
      </c>
      <c r="AE42">
        <v>8.3693514512704834E-5</v>
      </c>
      <c r="AG42" t="s">
        <v>96</v>
      </c>
      <c r="AH42" t="s">
        <v>342</v>
      </c>
      <c r="AI42">
        <v>0</v>
      </c>
      <c r="AK42">
        <v>2026</v>
      </c>
      <c r="AL42" t="s">
        <v>249</v>
      </c>
      <c r="AM42">
        <v>0.24179999999999999</v>
      </c>
      <c r="AN42" t="s">
        <v>247</v>
      </c>
    </row>
    <row r="43" spans="5:40" x14ac:dyDescent="0.45">
      <c r="E43" t="s">
        <v>325</v>
      </c>
      <c r="G43" t="s">
        <v>294</v>
      </c>
      <c r="I43" t="s">
        <v>166</v>
      </c>
      <c r="J43" t="s">
        <v>343</v>
      </c>
      <c r="K43">
        <v>0</v>
      </c>
      <c r="L43" t="s">
        <v>168</v>
      </c>
      <c r="N43" t="s">
        <v>200</v>
      </c>
      <c r="O43" t="s">
        <v>343</v>
      </c>
      <c r="P43">
        <v>3.6206441423307207E-5</v>
      </c>
      <c r="Q43" t="s">
        <v>168</v>
      </c>
      <c r="S43" t="s">
        <v>219</v>
      </c>
      <c r="T43" t="s">
        <v>343</v>
      </c>
      <c r="U43">
        <v>2.4229188523568319E-5</v>
      </c>
      <c r="V43" t="s">
        <v>168</v>
      </c>
      <c r="X43">
        <v>1.1415525114155251E-4</v>
      </c>
      <c r="Y43">
        <v>1.6574265138519424E-5</v>
      </c>
      <c r="Z43" t="s">
        <v>343</v>
      </c>
      <c r="AA43" t="s">
        <v>25</v>
      </c>
      <c r="AC43" t="s">
        <v>22</v>
      </c>
      <c r="AD43" t="s">
        <v>343</v>
      </c>
      <c r="AE43">
        <v>8.3659722628261842E-5</v>
      </c>
      <c r="AG43" t="s">
        <v>96</v>
      </c>
      <c r="AH43" t="s">
        <v>343</v>
      </c>
      <c r="AI43">
        <v>0</v>
      </c>
      <c r="AK43">
        <v>2026</v>
      </c>
      <c r="AL43" t="s">
        <v>251</v>
      </c>
      <c r="AM43">
        <v>0.20300000000000001</v>
      </c>
      <c r="AN43" t="s">
        <v>247</v>
      </c>
    </row>
    <row r="44" spans="5:40" x14ac:dyDescent="0.45">
      <c r="E44" t="s">
        <v>326</v>
      </c>
      <c r="G44" t="s">
        <v>294</v>
      </c>
      <c r="I44" t="s">
        <v>166</v>
      </c>
      <c r="J44" t="s">
        <v>344</v>
      </c>
      <c r="K44">
        <v>0</v>
      </c>
      <c r="L44" t="s">
        <v>168</v>
      </c>
      <c r="N44" t="s">
        <v>200</v>
      </c>
      <c r="O44" t="s">
        <v>344</v>
      </c>
      <c r="P44">
        <v>4.904060209285156E-5</v>
      </c>
      <c r="Q44" t="s">
        <v>168</v>
      </c>
      <c r="S44" t="s">
        <v>219</v>
      </c>
      <c r="T44" t="s">
        <v>344</v>
      </c>
      <c r="U44">
        <v>2.0561686145202577E-5</v>
      </c>
      <c r="V44" t="s">
        <v>168</v>
      </c>
      <c r="X44">
        <v>1.1415525114155251E-4</v>
      </c>
      <c r="Y44">
        <v>1.4585353321897093E-5</v>
      </c>
      <c r="Z44" t="s">
        <v>344</v>
      </c>
      <c r="AA44" t="s">
        <v>25</v>
      </c>
      <c r="AC44" t="s">
        <v>22</v>
      </c>
      <c r="AD44" t="s">
        <v>344</v>
      </c>
      <c r="AE44">
        <v>8.4035188010961892E-5</v>
      </c>
      <c r="AG44" t="s">
        <v>96</v>
      </c>
      <c r="AH44" t="s">
        <v>344</v>
      </c>
      <c r="AI44">
        <v>0</v>
      </c>
      <c r="AK44">
        <v>2026</v>
      </c>
      <c r="AL44" t="s">
        <v>253</v>
      </c>
      <c r="AM44">
        <v>0.17845</v>
      </c>
      <c r="AN44" t="s">
        <v>247</v>
      </c>
    </row>
    <row r="45" spans="5:40" x14ac:dyDescent="0.45">
      <c r="E45" t="s">
        <v>327</v>
      </c>
      <c r="G45" t="s">
        <v>294</v>
      </c>
      <c r="I45" t="s">
        <v>166</v>
      </c>
      <c r="J45" t="s">
        <v>345</v>
      </c>
      <c r="K45">
        <v>0</v>
      </c>
      <c r="L45" t="s">
        <v>168</v>
      </c>
      <c r="N45" t="s">
        <v>200</v>
      </c>
      <c r="O45" t="s">
        <v>345</v>
      </c>
      <c r="P45">
        <v>6.6137359763240866E-5</v>
      </c>
      <c r="Q45" t="s">
        <v>168</v>
      </c>
      <c r="S45" t="s">
        <v>219</v>
      </c>
      <c r="T45" t="s">
        <v>345</v>
      </c>
      <c r="U45">
        <v>1.7504542100168192E-5</v>
      </c>
      <c r="V45" t="s">
        <v>168</v>
      </c>
      <c r="X45">
        <v>1.1415525114155251E-4</v>
      </c>
      <c r="Y45">
        <v>2.1215059377304864E-5</v>
      </c>
      <c r="Z45" t="s">
        <v>345</v>
      </c>
      <c r="AA45" t="s">
        <v>25</v>
      </c>
      <c r="AC45" t="s">
        <v>22</v>
      </c>
      <c r="AD45" t="s">
        <v>345</v>
      </c>
      <c r="AE45">
        <v>8.9242892869011986E-5</v>
      </c>
      <c r="AG45" t="s">
        <v>96</v>
      </c>
      <c r="AH45" t="s">
        <v>345</v>
      </c>
      <c r="AI45">
        <v>0</v>
      </c>
      <c r="AK45">
        <v>2026</v>
      </c>
      <c r="AL45" t="s">
        <v>255</v>
      </c>
      <c r="AM45">
        <v>0.15559999999999999</v>
      </c>
      <c r="AN45" t="s">
        <v>247</v>
      </c>
    </row>
    <row r="46" spans="5:40" x14ac:dyDescent="0.45">
      <c r="E46" t="s">
        <v>328</v>
      </c>
      <c r="G46" t="s">
        <v>294</v>
      </c>
      <c r="I46" t="s">
        <v>166</v>
      </c>
      <c r="J46" t="s">
        <v>346</v>
      </c>
      <c r="K46">
        <v>0</v>
      </c>
      <c r="L46" t="s">
        <v>168</v>
      </c>
      <c r="N46" t="s">
        <v>200</v>
      </c>
      <c r="O46" t="s">
        <v>346</v>
      </c>
      <c r="P46">
        <v>7.4662527938558468E-5</v>
      </c>
      <c r="Q46" t="s">
        <v>168</v>
      </c>
      <c r="S46" t="s">
        <v>219</v>
      </c>
      <c r="T46" t="s">
        <v>346</v>
      </c>
      <c r="U46">
        <v>1.4826200078575303E-5</v>
      </c>
      <c r="V46" t="s">
        <v>168</v>
      </c>
      <c r="X46">
        <v>1.1415525114155251E-4</v>
      </c>
      <c r="Y46">
        <v>5.7678442682047593E-5</v>
      </c>
      <c r="Z46" t="s">
        <v>346</v>
      </c>
      <c r="AA46" t="s">
        <v>25</v>
      </c>
      <c r="AC46" t="s">
        <v>22</v>
      </c>
      <c r="AD46" t="s">
        <v>346</v>
      </c>
      <c r="AE46">
        <v>9.8580716936762895E-5</v>
      </c>
      <c r="AG46" t="s">
        <v>96</v>
      </c>
      <c r="AH46" t="s">
        <v>346</v>
      </c>
      <c r="AI46">
        <v>0</v>
      </c>
      <c r="AK46">
        <v>2027</v>
      </c>
      <c r="AL46" t="s">
        <v>157</v>
      </c>
      <c r="AM46">
        <v>0.1575</v>
      </c>
      <c r="AN46" t="s">
        <v>247</v>
      </c>
    </row>
    <row r="47" spans="5:40" x14ac:dyDescent="0.45">
      <c r="E47" t="s">
        <v>329</v>
      </c>
      <c r="G47" t="s">
        <v>294</v>
      </c>
      <c r="I47" t="s">
        <v>166</v>
      </c>
      <c r="J47" t="s">
        <v>347</v>
      </c>
      <c r="K47">
        <v>7.6167200623034913E-5</v>
      </c>
      <c r="L47" t="s">
        <v>168</v>
      </c>
      <c r="N47" t="s">
        <v>200</v>
      </c>
      <c r="O47" t="s">
        <v>347</v>
      </c>
      <c r="P47">
        <v>7.5855564205481513E-5</v>
      </c>
      <c r="Q47" t="s">
        <v>168</v>
      </c>
      <c r="S47" t="s">
        <v>219</v>
      </c>
      <c r="T47" t="s">
        <v>347</v>
      </c>
      <c r="U47">
        <v>1.4126235583503129E-5</v>
      </c>
      <c r="V47" t="s">
        <v>168</v>
      </c>
      <c r="X47">
        <v>1.1415525114155251E-4</v>
      </c>
      <c r="Y47">
        <v>1.6905750441289813E-4</v>
      </c>
      <c r="Z47" t="s">
        <v>347</v>
      </c>
      <c r="AA47" t="s">
        <v>25</v>
      </c>
      <c r="AC47" t="s">
        <v>22</v>
      </c>
      <c r="AD47" t="s">
        <v>347</v>
      </c>
      <c r="AE47">
        <v>1.0895107080693903E-4</v>
      </c>
      <c r="AG47" t="s">
        <v>96</v>
      </c>
      <c r="AH47" t="s">
        <v>347</v>
      </c>
      <c r="AI47">
        <v>0</v>
      </c>
      <c r="AK47">
        <v>2027</v>
      </c>
      <c r="AL47" t="s">
        <v>161</v>
      </c>
      <c r="AM47">
        <v>0.223825</v>
      </c>
      <c r="AN47" t="s">
        <v>247</v>
      </c>
    </row>
    <row r="48" spans="5:40" x14ac:dyDescent="0.45">
      <c r="E48" t="s">
        <v>330</v>
      </c>
      <c r="G48" t="s">
        <v>294</v>
      </c>
      <c r="I48" t="s">
        <v>166</v>
      </c>
      <c r="J48" t="s">
        <v>348</v>
      </c>
      <c r="K48">
        <v>1.7750710923577004E-4</v>
      </c>
      <c r="L48" t="s">
        <v>168</v>
      </c>
      <c r="N48" t="s">
        <v>200</v>
      </c>
      <c r="O48" t="s">
        <v>348</v>
      </c>
      <c r="P48">
        <v>7.0917383303519837E-5</v>
      </c>
      <c r="Q48" t="s">
        <v>168</v>
      </c>
      <c r="S48" t="s">
        <v>219</v>
      </c>
      <c r="T48" t="s">
        <v>348</v>
      </c>
      <c r="U48">
        <v>1.3303140587621956E-5</v>
      </c>
      <c r="V48" t="s">
        <v>168</v>
      </c>
      <c r="X48">
        <v>1.1415525114155251E-4</v>
      </c>
      <c r="Y48">
        <v>1.9060404909297337E-4</v>
      </c>
      <c r="Z48" t="s">
        <v>348</v>
      </c>
      <c r="AA48" t="s">
        <v>25</v>
      </c>
      <c r="AC48" t="s">
        <v>22</v>
      </c>
      <c r="AD48" t="s">
        <v>348</v>
      </c>
      <c r="AE48">
        <v>1.1888963948701006E-4</v>
      </c>
      <c r="AG48" t="s">
        <v>96</v>
      </c>
      <c r="AH48" t="s">
        <v>348</v>
      </c>
      <c r="AI48">
        <v>0</v>
      </c>
      <c r="AK48">
        <v>2027</v>
      </c>
      <c r="AL48" t="s">
        <v>163</v>
      </c>
      <c r="AM48">
        <v>0.28289999999999998</v>
      </c>
      <c r="AN48" t="s">
        <v>247</v>
      </c>
    </row>
    <row r="49" spans="5:40" x14ac:dyDescent="0.45">
      <c r="E49" t="s">
        <v>331</v>
      </c>
      <c r="G49" t="s">
        <v>294</v>
      </c>
      <c r="I49" t="s">
        <v>166</v>
      </c>
      <c r="J49" t="s">
        <v>349</v>
      </c>
      <c r="K49">
        <v>2.3609530513096614E-4</v>
      </c>
      <c r="L49" t="s">
        <v>168</v>
      </c>
      <c r="N49" t="s">
        <v>200</v>
      </c>
      <c r="O49" t="s">
        <v>349</v>
      </c>
      <c r="P49">
        <v>4.4922969049073266E-5</v>
      </c>
      <c r="Q49" t="s">
        <v>168</v>
      </c>
      <c r="S49" t="s">
        <v>219</v>
      </c>
      <c r="T49" t="s">
        <v>349</v>
      </c>
      <c r="U49">
        <v>1.1734527803805871E-5</v>
      </c>
      <c r="V49" t="s">
        <v>168</v>
      </c>
      <c r="X49">
        <v>1.1415525114155251E-4</v>
      </c>
      <c r="Y49">
        <v>1.4585353321897094E-4</v>
      </c>
      <c r="Z49" t="s">
        <v>349</v>
      </c>
      <c r="AA49" t="s">
        <v>25</v>
      </c>
      <c r="AC49" t="s">
        <v>22</v>
      </c>
      <c r="AD49" t="s">
        <v>349</v>
      </c>
      <c r="AE49">
        <v>1.2427005842110219E-4</v>
      </c>
      <c r="AG49" t="s">
        <v>96</v>
      </c>
      <c r="AH49" t="s">
        <v>349</v>
      </c>
      <c r="AI49">
        <v>0</v>
      </c>
      <c r="AK49">
        <v>2027</v>
      </c>
      <c r="AL49" t="s">
        <v>249</v>
      </c>
      <c r="AM49">
        <v>0.2036</v>
      </c>
      <c r="AN49" t="s">
        <v>247</v>
      </c>
    </row>
    <row r="50" spans="5:40" x14ac:dyDescent="0.45">
      <c r="E50" t="s">
        <v>332</v>
      </c>
      <c r="G50" t="s">
        <v>294</v>
      </c>
      <c r="I50" t="s">
        <v>166</v>
      </c>
      <c r="J50" t="s">
        <v>350</v>
      </c>
      <c r="K50">
        <v>2.8156333716914962E-4</v>
      </c>
      <c r="L50" t="s">
        <v>168</v>
      </c>
      <c r="N50" t="s">
        <v>200</v>
      </c>
      <c r="O50" t="s">
        <v>350</v>
      </c>
      <c r="P50">
        <v>3.9751889639847453E-5</v>
      </c>
      <c r="Q50" t="s">
        <v>168</v>
      </c>
      <c r="S50" t="s">
        <v>219</v>
      </c>
      <c r="T50" t="s">
        <v>350</v>
      </c>
      <c r="U50">
        <v>1.1462230222088602E-5</v>
      </c>
      <c r="V50" t="s">
        <v>168</v>
      </c>
      <c r="X50">
        <v>1.1415525114155251E-4</v>
      </c>
      <c r="Y50">
        <v>1.4452759200788939E-4</v>
      </c>
      <c r="Z50" t="s">
        <v>350</v>
      </c>
      <c r="AA50" t="s">
        <v>25</v>
      </c>
      <c r="AC50" t="s">
        <v>22</v>
      </c>
      <c r="AD50" t="s">
        <v>350</v>
      </c>
      <c r="AE50">
        <v>1.2475816341861226E-4</v>
      </c>
      <c r="AG50" t="s">
        <v>96</v>
      </c>
      <c r="AH50" t="s">
        <v>350</v>
      </c>
      <c r="AI50">
        <v>0</v>
      </c>
      <c r="AK50">
        <v>2027</v>
      </c>
      <c r="AL50" t="s">
        <v>251</v>
      </c>
      <c r="AM50">
        <v>0.18820000000000001</v>
      </c>
      <c r="AN50" t="s">
        <v>247</v>
      </c>
    </row>
    <row r="51" spans="5:40" x14ac:dyDescent="0.45">
      <c r="E51" t="s">
        <v>333</v>
      </c>
      <c r="G51" t="s">
        <v>294</v>
      </c>
      <c r="I51" t="s">
        <v>166</v>
      </c>
      <c r="J51" t="s">
        <v>351</v>
      </c>
      <c r="K51">
        <v>2.9848114129704824E-4</v>
      </c>
      <c r="L51" t="s">
        <v>168</v>
      </c>
      <c r="N51" t="s">
        <v>200</v>
      </c>
      <c r="O51" t="s">
        <v>351</v>
      </c>
      <c r="P51">
        <v>4.8146556988693377E-5</v>
      </c>
      <c r="Q51" t="s">
        <v>168</v>
      </c>
      <c r="S51" t="s">
        <v>219</v>
      </c>
      <c r="T51" t="s">
        <v>351</v>
      </c>
      <c r="U51">
        <v>1.2014277704552783E-5</v>
      </c>
      <c r="V51" t="s">
        <v>168</v>
      </c>
      <c r="X51">
        <v>1.1415525114155251E-4</v>
      </c>
      <c r="Y51">
        <v>1.408812536774151E-4</v>
      </c>
      <c r="Z51" t="s">
        <v>351</v>
      </c>
      <c r="AA51" t="s">
        <v>25</v>
      </c>
      <c r="AC51" t="s">
        <v>22</v>
      </c>
      <c r="AD51" t="s">
        <v>351</v>
      </c>
      <c r="AE51">
        <v>1.2497217868675132E-4</v>
      </c>
      <c r="AG51" t="s">
        <v>96</v>
      </c>
      <c r="AH51" t="s">
        <v>351</v>
      </c>
      <c r="AI51">
        <v>0</v>
      </c>
      <c r="AK51">
        <v>2027</v>
      </c>
      <c r="AL51" t="s">
        <v>253</v>
      </c>
      <c r="AM51">
        <v>0.18525000000000003</v>
      </c>
      <c r="AN51" t="s">
        <v>247</v>
      </c>
    </row>
    <row r="52" spans="5:40" x14ac:dyDescent="0.45">
      <c r="E52" t="s">
        <v>334</v>
      </c>
      <c r="G52" t="s">
        <v>294</v>
      </c>
      <c r="I52" t="s">
        <v>166</v>
      </c>
      <c r="J52" t="s">
        <v>352</v>
      </c>
      <c r="K52">
        <v>2.865964446244962E-4</v>
      </c>
      <c r="L52" t="s">
        <v>168</v>
      </c>
      <c r="N52" t="s">
        <v>200</v>
      </c>
      <c r="O52" t="s">
        <v>352</v>
      </c>
      <c r="P52">
        <v>3.5215040959825525E-5</v>
      </c>
      <c r="Q52" t="s">
        <v>168</v>
      </c>
      <c r="S52" t="s">
        <v>219</v>
      </c>
      <c r="T52" t="s">
        <v>352</v>
      </c>
      <c r="U52">
        <v>1.5106269227428943E-5</v>
      </c>
      <c r="V52" t="s">
        <v>168</v>
      </c>
      <c r="X52">
        <v>1.1415525114155251E-4</v>
      </c>
      <c r="Y52">
        <v>1.4054976837464471E-4</v>
      </c>
      <c r="Z52" t="s">
        <v>352</v>
      </c>
      <c r="AA52" t="s">
        <v>25</v>
      </c>
      <c r="AC52" t="s">
        <v>22</v>
      </c>
      <c r="AD52" t="s">
        <v>352</v>
      </c>
      <c r="AE52">
        <v>1.2463425984232126E-4</v>
      </c>
      <c r="AG52" t="s">
        <v>96</v>
      </c>
      <c r="AH52" t="s">
        <v>352</v>
      </c>
      <c r="AI52">
        <v>0</v>
      </c>
      <c r="AK52">
        <v>2027</v>
      </c>
      <c r="AL52" t="s">
        <v>255</v>
      </c>
      <c r="AM52">
        <v>0.17130000000000001</v>
      </c>
      <c r="AN52" t="s">
        <v>247</v>
      </c>
    </row>
    <row r="53" spans="5:40" x14ac:dyDescent="0.45">
      <c r="E53" t="s">
        <v>335</v>
      </c>
      <c r="G53" t="s">
        <v>294</v>
      </c>
      <c r="I53" t="s">
        <v>166</v>
      </c>
      <c r="J53" t="s">
        <v>353</v>
      </c>
      <c r="K53">
        <v>2.4614560275523426E-4</v>
      </c>
      <c r="L53" t="s">
        <v>168</v>
      </c>
      <c r="N53" t="s">
        <v>200</v>
      </c>
      <c r="O53" t="s">
        <v>353</v>
      </c>
      <c r="P53">
        <v>3.4444929573360321E-5</v>
      </c>
      <c r="Q53" t="s">
        <v>168</v>
      </c>
      <c r="S53" t="s">
        <v>219</v>
      </c>
      <c r="T53" t="s">
        <v>353</v>
      </c>
      <c r="U53">
        <v>1.6540347690075144E-5</v>
      </c>
      <c r="V53" t="s">
        <v>168</v>
      </c>
      <c r="X53">
        <v>1.1415525114155251E-4</v>
      </c>
      <c r="Y53">
        <v>1.4253868019126702E-4</v>
      </c>
      <c r="Z53" t="s">
        <v>353</v>
      </c>
      <c r="AA53" t="s">
        <v>25</v>
      </c>
      <c r="AC53" t="s">
        <v>22</v>
      </c>
      <c r="AD53" t="s">
        <v>353</v>
      </c>
      <c r="AE53">
        <v>1.2505853572477232E-4</v>
      </c>
      <c r="AG53" t="s">
        <v>96</v>
      </c>
      <c r="AH53" t="s">
        <v>353</v>
      </c>
      <c r="AI53">
        <v>0</v>
      </c>
      <c r="AK53">
        <v>2028</v>
      </c>
      <c r="AL53" t="s">
        <v>157</v>
      </c>
      <c r="AM53">
        <v>0.16794999999999999</v>
      </c>
      <c r="AN53" t="s">
        <v>247</v>
      </c>
    </row>
    <row r="54" spans="5:40" x14ac:dyDescent="0.45">
      <c r="E54" t="s">
        <v>336</v>
      </c>
      <c r="G54" t="s">
        <v>294</v>
      </c>
      <c r="I54" t="s">
        <v>166</v>
      </c>
      <c r="J54" t="s">
        <v>354</v>
      </c>
      <c r="K54">
        <v>2.6674338285962725E-4</v>
      </c>
      <c r="L54" t="s">
        <v>168</v>
      </c>
      <c r="N54" t="s">
        <v>200</v>
      </c>
      <c r="O54" t="s">
        <v>354</v>
      </c>
      <c r="P54">
        <v>3.8829050690994619E-5</v>
      </c>
      <c r="Q54" t="s">
        <v>168</v>
      </c>
      <c r="S54" t="s">
        <v>219</v>
      </c>
      <c r="T54" t="s">
        <v>354</v>
      </c>
      <c r="U54">
        <v>1.7359876162086196E-5</v>
      </c>
      <c r="V54" t="s">
        <v>168</v>
      </c>
      <c r="X54">
        <v>1.1415525114155251E-4</v>
      </c>
      <c r="Y54">
        <v>1.4883690094390442E-4</v>
      </c>
      <c r="Z54" t="s">
        <v>354</v>
      </c>
      <c r="AA54" t="s">
        <v>25</v>
      </c>
      <c r="AC54" t="s">
        <v>22</v>
      </c>
      <c r="AD54" t="s">
        <v>354</v>
      </c>
      <c r="AE54">
        <v>1.2464176914997525E-4</v>
      </c>
      <c r="AG54" t="s">
        <v>96</v>
      </c>
      <c r="AH54" t="s">
        <v>354</v>
      </c>
      <c r="AI54">
        <v>0</v>
      </c>
      <c r="AK54">
        <v>2028</v>
      </c>
      <c r="AL54" t="s">
        <v>161</v>
      </c>
      <c r="AM54">
        <v>0.26497500000000002</v>
      </c>
      <c r="AN54" t="s">
        <v>247</v>
      </c>
    </row>
    <row r="55" spans="5:40" x14ac:dyDescent="0.45">
      <c r="E55" t="s">
        <v>337</v>
      </c>
      <c r="G55" t="s">
        <v>294</v>
      </c>
      <c r="I55" t="s">
        <v>166</v>
      </c>
      <c r="J55" t="s">
        <v>355</v>
      </c>
      <c r="K55">
        <v>3.111216845788453E-4</v>
      </c>
      <c r="L55" t="s">
        <v>168</v>
      </c>
      <c r="N55" t="s">
        <v>200</v>
      </c>
      <c r="O55" t="s">
        <v>355</v>
      </c>
      <c r="P55">
        <v>4.6189968996861701E-5</v>
      </c>
      <c r="Q55" t="s">
        <v>168</v>
      </c>
      <c r="S55" t="s">
        <v>219</v>
      </c>
      <c r="T55" t="s">
        <v>355</v>
      </c>
      <c r="U55">
        <v>2.106140305637112E-5</v>
      </c>
      <c r="V55" t="s">
        <v>168</v>
      </c>
      <c r="X55">
        <v>1.1415525114155251E-4</v>
      </c>
      <c r="Y55">
        <v>1.5049432745775637E-4</v>
      </c>
      <c r="Z55" t="s">
        <v>355</v>
      </c>
      <c r="AA55" t="s">
        <v>25</v>
      </c>
      <c r="AC55" t="s">
        <v>22</v>
      </c>
      <c r="AD55" t="s">
        <v>355</v>
      </c>
      <c r="AE55">
        <v>1.242888316902372E-4</v>
      </c>
      <c r="AG55" t="s">
        <v>96</v>
      </c>
      <c r="AH55" t="s">
        <v>355</v>
      </c>
      <c r="AI55">
        <v>0</v>
      </c>
      <c r="AK55">
        <v>2028</v>
      </c>
      <c r="AL55" t="s">
        <v>163</v>
      </c>
      <c r="AM55">
        <v>0.32729999999999998</v>
      </c>
      <c r="AN55" t="s">
        <v>247</v>
      </c>
    </row>
    <row r="56" spans="5:40" x14ac:dyDescent="0.45">
      <c r="E56" t="s">
        <v>338</v>
      </c>
      <c r="G56" t="s">
        <v>294</v>
      </c>
      <c r="I56" t="s">
        <v>166</v>
      </c>
      <c r="J56" t="s">
        <v>356</v>
      </c>
      <c r="K56">
        <v>2.8462069161920296E-4</v>
      </c>
      <c r="L56" t="s">
        <v>168</v>
      </c>
      <c r="N56" t="s">
        <v>200</v>
      </c>
      <c r="O56" t="s">
        <v>356</v>
      </c>
      <c r="P56">
        <v>5.5136467388939307E-5</v>
      </c>
      <c r="Q56" t="s">
        <v>168</v>
      </c>
      <c r="S56" t="s">
        <v>219</v>
      </c>
      <c r="T56" t="s">
        <v>356</v>
      </c>
      <c r="U56">
        <v>2.4841158825456569E-5</v>
      </c>
      <c r="V56" t="s">
        <v>168</v>
      </c>
      <c r="X56">
        <v>1.1415525114155251E-4</v>
      </c>
      <c r="Y56">
        <v>1.7237235744060203E-4</v>
      </c>
      <c r="Z56" t="s">
        <v>356</v>
      </c>
      <c r="AA56" t="s">
        <v>25</v>
      </c>
      <c r="AC56" t="s">
        <v>22</v>
      </c>
      <c r="AD56" t="s">
        <v>356</v>
      </c>
      <c r="AE56">
        <v>1.2428883169023717E-4</v>
      </c>
      <c r="AG56" t="s">
        <v>96</v>
      </c>
      <c r="AH56" t="s">
        <v>356</v>
      </c>
      <c r="AI56">
        <v>0</v>
      </c>
      <c r="AK56">
        <v>2028</v>
      </c>
      <c r="AL56" t="s">
        <v>249</v>
      </c>
      <c r="AM56">
        <v>0.27510000000000001</v>
      </c>
      <c r="AN56" t="s">
        <v>247</v>
      </c>
    </row>
    <row r="57" spans="5:40" x14ac:dyDescent="0.45">
      <c r="E57" t="s">
        <v>339</v>
      </c>
      <c r="G57" t="s">
        <v>294</v>
      </c>
      <c r="I57" t="s">
        <v>166</v>
      </c>
      <c r="J57" t="s">
        <v>357</v>
      </c>
      <c r="K57">
        <v>2.7660030654818197E-4</v>
      </c>
      <c r="L57" t="s">
        <v>168</v>
      </c>
      <c r="N57" t="s">
        <v>200</v>
      </c>
      <c r="O57" t="s">
        <v>357</v>
      </c>
      <c r="P57">
        <v>5.3703411603953392E-5</v>
      </c>
      <c r="Q57" t="s">
        <v>168</v>
      </c>
      <c r="S57" t="s">
        <v>219</v>
      </c>
      <c r="T57" t="s">
        <v>357</v>
      </c>
      <c r="U57">
        <v>2.9487513863767453E-5</v>
      </c>
      <c r="V57" t="s">
        <v>168</v>
      </c>
      <c r="X57">
        <v>1.1415525114155251E-4</v>
      </c>
      <c r="Y57">
        <v>2.2209515285616027E-4</v>
      </c>
      <c r="Z57" t="s">
        <v>357</v>
      </c>
      <c r="AA57" t="s">
        <v>25</v>
      </c>
      <c r="AC57" t="s">
        <v>22</v>
      </c>
      <c r="AD57" t="s">
        <v>357</v>
      </c>
      <c r="AE57">
        <v>1.2464927845762925E-4</v>
      </c>
      <c r="AG57" t="s">
        <v>96</v>
      </c>
      <c r="AH57" t="s">
        <v>357</v>
      </c>
      <c r="AI57">
        <v>0</v>
      </c>
      <c r="AK57">
        <v>2028</v>
      </c>
      <c r="AL57" t="s">
        <v>251</v>
      </c>
      <c r="AM57">
        <v>0.22209999999999999</v>
      </c>
      <c r="AN57" t="s">
        <v>247</v>
      </c>
    </row>
    <row r="58" spans="5:40" x14ac:dyDescent="0.45">
      <c r="E58" t="s">
        <v>340</v>
      </c>
      <c r="G58" t="s">
        <v>294</v>
      </c>
      <c r="I58" t="s">
        <v>166</v>
      </c>
      <c r="J58" t="s">
        <v>358</v>
      </c>
      <c r="K58">
        <v>1.7274987261135325E-4</v>
      </c>
      <c r="L58" t="s">
        <v>168</v>
      </c>
      <c r="N58" t="s">
        <v>200</v>
      </c>
      <c r="O58" t="s">
        <v>358</v>
      </c>
      <c r="P58">
        <v>4.8018090618406964E-5</v>
      </c>
      <c r="Q58" t="s">
        <v>168</v>
      </c>
      <c r="S58" t="s">
        <v>219</v>
      </c>
      <c r="T58" t="s">
        <v>358</v>
      </c>
      <c r="U58">
        <v>3.3551506456052515E-5</v>
      </c>
      <c r="V58" t="s">
        <v>168</v>
      </c>
      <c r="X58">
        <v>1.1415525114155251E-4</v>
      </c>
      <c r="Y58">
        <v>2.2209515285616027E-4</v>
      </c>
      <c r="Z58" t="s">
        <v>358</v>
      </c>
      <c r="AA58" t="s">
        <v>25</v>
      </c>
      <c r="AC58" t="s">
        <v>22</v>
      </c>
      <c r="AD58" t="s">
        <v>358</v>
      </c>
      <c r="AE58">
        <v>1.2455165745812723E-4</v>
      </c>
      <c r="AG58" t="s">
        <v>96</v>
      </c>
      <c r="AH58" t="s">
        <v>358</v>
      </c>
      <c r="AI58">
        <v>0</v>
      </c>
      <c r="AK58">
        <v>2028</v>
      </c>
      <c r="AL58" t="s">
        <v>253</v>
      </c>
      <c r="AM58">
        <v>0.21265000000000001</v>
      </c>
      <c r="AN58" t="s">
        <v>247</v>
      </c>
    </row>
    <row r="59" spans="5:40" x14ac:dyDescent="0.45">
      <c r="E59" t="s">
        <v>159</v>
      </c>
      <c r="G59" t="s">
        <v>158</v>
      </c>
      <c r="I59" t="s">
        <v>166</v>
      </c>
      <c r="J59" t="s">
        <v>359</v>
      </c>
      <c r="K59">
        <v>0</v>
      </c>
      <c r="L59" t="s">
        <v>168</v>
      </c>
      <c r="N59" t="s">
        <v>200</v>
      </c>
      <c r="O59" t="s">
        <v>359</v>
      </c>
      <c r="P59">
        <v>4.7642047146402758E-5</v>
      </c>
      <c r="Q59" t="s">
        <v>168</v>
      </c>
      <c r="S59" t="s">
        <v>219</v>
      </c>
      <c r="T59" t="s">
        <v>359</v>
      </c>
      <c r="U59">
        <v>4.1379523465427571E-5</v>
      </c>
      <c r="V59" t="s">
        <v>168</v>
      </c>
      <c r="X59">
        <v>1.1415525114155251E-4</v>
      </c>
      <c r="Y59">
        <v>1.7237235744060203E-4</v>
      </c>
      <c r="Z59" t="s">
        <v>359</v>
      </c>
      <c r="AA59" t="s">
        <v>25</v>
      </c>
      <c r="AC59" t="s">
        <v>22</v>
      </c>
      <c r="AD59" t="s">
        <v>359</v>
      </c>
      <c r="AE59">
        <v>1.2495340541761633E-4</v>
      </c>
      <c r="AG59" t="s">
        <v>96</v>
      </c>
      <c r="AH59" t="s">
        <v>359</v>
      </c>
      <c r="AI59">
        <v>0</v>
      </c>
      <c r="AK59">
        <v>2028</v>
      </c>
      <c r="AL59" t="s">
        <v>255</v>
      </c>
      <c r="AM59">
        <v>0.1885</v>
      </c>
      <c r="AN59" t="s">
        <v>247</v>
      </c>
    </row>
    <row r="60" spans="5:40" x14ac:dyDescent="0.45">
      <c r="E60" t="s">
        <v>162</v>
      </c>
      <c r="G60" t="s">
        <v>158</v>
      </c>
      <c r="I60" t="s">
        <v>166</v>
      </c>
      <c r="J60" t="s">
        <v>360</v>
      </c>
      <c r="K60">
        <v>0</v>
      </c>
      <c r="L60" t="s">
        <v>168</v>
      </c>
      <c r="N60" t="s">
        <v>200</v>
      </c>
      <c r="O60" t="s">
        <v>360</v>
      </c>
      <c r="P60">
        <v>4.9991342528524841E-5</v>
      </c>
      <c r="Q60" t="s">
        <v>168</v>
      </c>
      <c r="S60" t="s">
        <v>219</v>
      </c>
      <c r="T60" t="s">
        <v>360</v>
      </c>
      <c r="U60">
        <v>4.4908208122522232E-5</v>
      </c>
      <c r="V60" t="s">
        <v>168</v>
      </c>
      <c r="X60">
        <v>1.1415525114155251E-4</v>
      </c>
      <c r="Y60">
        <v>1.5579809230208258E-4</v>
      </c>
      <c r="Z60" t="s">
        <v>360</v>
      </c>
      <c r="AA60" t="s">
        <v>25</v>
      </c>
      <c r="AC60" t="s">
        <v>22</v>
      </c>
      <c r="AD60" t="s">
        <v>360</v>
      </c>
      <c r="AE60">
        <v>1.239696861149421E-4</v>
      </c>
      <c r="AG60" t="s">
        <v>96</v>
      </c>
      <c r="AH60" t="s">
        <v>360</v>
      </c>
      <c r="AI60">
        <v>0</v>
      </c>
      <c r="AK60">
        <v>2029</v>
      </c>
      <c r="AL60" t="s">
        <v>157</v>
      </c>
      <c r="AM60">
        <v>0.17860000000000001</v>
      </c>
      <c r="AN60" t="s">
        <v>247</v>
      </c>
    </row>
    <row r="61" spans="5:40" x14ac:dyDescent="0.45">
      <c r="E61" t="s">
        <v>164</v>
      </c>
      <c r="G61" t="s">
        <v>158</v>
      </c>
      <c r="I61" t="s">
        <v>166</v>
      </c>
      <c r="J61" t="s">
        <v>361</v>
      </c>
      <c r="K61">
        <v>0</v>
      </c>
      <c r="L61" t="s">
        <v>168</v>
      </c>
      <c r="N61" t="s">
        <v>200</v>
      </c>
      <c r="O61" t="s">
        <v>361</v>
      </c>
      <c r="P61">
        <v>6.1976459244837218E-5</v>
      </c>
      <c r="Q61" t="s">
        <v>168</v>
      </c>
      <c r="S61" t="s">
        <v>219</v>
      </c>
      <c r="T61" t="s">
        <v>361</v>
      </c>
      <c r="U61">
        <v>3.6253229154998301E-5</v>
      </c>
      <c r="V61" t="s">
        <v>168</v>
      </c>
      <c r="X61">
        <v>1.1415525114155251E-4</v>
      </c>
      <c r="Y61">
        <v>1.093901499142282E-4</v>
      </c>
      <c r="Z61" t="s">
        <v>361</v>
      </c>
      <c r="AA61" t="s">
        <v>25</v>
      </c>
      <c r="AC61" t="s">
        <v>22</v>
      </c>
      <c r="AD61" t="s">
        <v>361</v>
      </c>
      <c r="AE61">
        <v>1.2077447570816445E-4</v>
      </c>
      <c r="AG61" t="s">
        <v>96</v>
      </c>
      <c r="AH61" t="s">
        <v>361</v>
      </c>
      <c r="AI61">
        <v>0</v>
      </c>
      <c r="AK61">
        <v>2029</v>
      </c>
      <c r="AL61" t="s">
        <v>161</v>
      </c>
      <c r="AM61">
        <v>0.255075</v>
      </c>
      <c r="AN61" t="s">
        <v>247</v>
      </c>
    </row>
    <row r="62" spans="5:40" x14ac:dyDescent="0.45">
      <c r="E62" t="s">
        <v>250</v>
      </c>
      <c r="G62" t="s">
        <v>158</v>
      </c>
      <c r="I62" t="s">
        <v>166</v>
      </c>
      <c r="J62" t="s">
        <v>362</v>
      </c>
      <c r="K62">
        <v>0</v>
      </c>
      <c r="L62" t="s">
        <v>168</v>
      </c>
      <c r="N62" t="s">
        <v>200</v>
      </c>
      <c r="O62" t="s">
        <v>362</v>
      </c>
      <c r="P62">
        <v>7.2632507197482803E-5</v>
      </c>
      <c r="Q62" t="s">
        <v>168</v>
      </c>
      <c r="S62" t="s">
        <v>219</v>
      </c>
      <c r="T62" t="s">
        <v>362</v>
      </c>
      <c r="U62">
        <v>2.4146830688517588E-5</v>
      </c>
      <c r="V62" t="s">
        <v>168</v>
      </c>
      <c r="X62">
        <v>1.1415525114155251E-4</v>
      </c>
      <c r="Y62">
        <v>7.9556472664893237E-5</v>
      </c>
      <c r="Z62" t="s">
        <v>362</v>
      </c>
      <c r="AA62" t="s">
        <v>25</v>
      </c>
      <c r="AC62" t="s">
        <v>22</v>
      </c>
      <c r="AD62" t="s">
        <v>362</v>
      </c>
      <c r="AE62">
        <v>1.1499606346841026E-4</v>
      </c>
      <c r="AG62" t="s">
        <v>96</v>
      </c>
      <c r="AH62" t="s">
        <v>362</v>
      </c>
      <c r="AI62">
        <v>0</v>
      </c>
      <c r="AK62">
        <v>2029</v>
      </c>
      <c r="AL62" t="s">
        <v>163</v>
      </c>
      <c r="AM62">
        <v>0.30199999999999999</v>
      </c>
      <c r="AN62" t="s">
        <v>247</v>
      </c>
    </row>
    <row r="63" spans="5:40" x14ac:dyDescent="0.45">
      <c r="E63" t="s">
        <v>252</v>
      </c>
      <c r="G63" t="s">
        <v>158</v>
      </c>
      <c r="I63" t="s">
        <v>166</v>
      </c>
      <c r="J63" t="s">
        <v>363</v>
      </c>
      <c r="K63">
        <v>0</v>
      </c>
      <c r="L63" t="s">
        <v>168</v>
      </c>
      <c r="N63" t="s">
        <v>200</v>
      </c>
      <c r="O63" t="s">
        <v>363</v>
      </c>
      <c r="P63">
        <v>7.7326989298981682E-5</v>
      </c>
      <c r="Q63" t="s">
        <v>168</v>
      </c>
      <c r="S63" t="s">
        <v>219</v>
      </c>
      <c r="T63" t="s">
        <v>363</v>
      </c>
      <c r="U63">
        <v>1.5633543417551278E-5</v>
      </c>
      <c r="V63" t="s">
        <v>168</v>
      </c>
      <c r="X63">
        <v>1.1415525114155251E-4</v>
      </c>
      <c r="Y63">
        <v>5.6352501470966035E-5</v>
      </c>
      <c r="Z63" t="s">
        <v>363</v>
      </c>
      <c r="AA63" t="s">
        <v>25</v>
      </c>
      <c r="AC63" t="s">
        <v>22</v>
      </c>
      <c r="AD63" t="s">
        <v>363</v>
      </c>
      <c r="AE63">
        <v>9.9564436239437095E-5</v>
      </c>
      <c r="AG63" t="s">
        <v>96</v>
      </c>
      <c r="AH63" t="s">
        <v>363</v>
      </c>
      <c r="AI63">
        <v>0</v>
      </c>
      <c r="AK63">
        <v>2029</v>
      </c>
      <c r="AL63" t="s">
        <v>249</v>
      </c>
      <c r="AM63">
        <v>0.2747</v>
      </c>
      <c r="AN63" t="s">
        <v>247</v>
      </c>
    </row>
    <row r="64" spans="5:40" x14ac:dyDescent="0.45">
      <c r="E64" t="s">
        <v>254</v>
      </c>
      <c r="G64" t="s">
        <v>158</v>
      </c>
      <c r="I64" t="s">
        <v>166</v>
      </c>
      <c r="J64" t="s">
        <v>364</v>
      </c>
      <c r="K64">
        <v>0</v>
      </c>
      <c r="L64" t="s">
        <v>168</v>
      </c>
      <c r="N64" t="s">
        <v>200</v>
      </c>
      <c r="O64" t="s">
        <v>364</v>
      </c>
      <c r="P64">
        <v>7.9125641982935818E-5</v>
      </c>
      <c r="Q64" t="s">
        <v>168</v>
      </c>
      <c r="S64" t="s">
        <v>219</v>
      </c>
      <c r="T64" t="s">
        <v>364</v>
      </c>
      <c r="U64">
        <v>1.1583402724435098E-5</v>
      </c>
      <c r="V64" t="s">
        <v>168</v>
      </c>
      <c r="X64">
        <v>1.1415525114155251E-4</v>
      </c>
      <c r="Y64">
        <v>2.9833677249334962E-5</v>
      </c>
      <c r="Z64" t="s">
        <v>364</v>
      </c>
      <c r="AA64" t="s">
        <v>25</v>
      </c>
      <c r="AC64" t="s">
        <v>22</v>
      </c>
      <c r="AD64" t="s">
        <v>364</v>
      </c>
      <c r="AE64">
        <v>9.1416837434845421E-5</v>
      </c>
      <c r="AG64" t="s">
        <v>96</v>
      </c>
      <c r="AH64" t="s">
        <v>364</v>
      </c>
      <c r="AI64">
        <v>0</v>
      </c>
      <c r="AK64">
        <v>2029</v>
      </c>
      <c r="AL64" t="s">
        <v>251</v>
      </c>
      <c r="AM64">
        <v>0.2021</v>
      </c>
      <c r="AN64" t="s">
        <v>247</v>
      </c>
    </row>
    <row r="65" spans="9:40" x14ac:dyDescent="0.45">
      <c r="I65" t="s">
        <v>166</v>
      </c>
      <c r="J65" t="s">
        <v>277</v>
      </c>
      <c r="K65">
        <v>2.1464249126029208E-3</v>
      </c>
      <c r="L65" t="s">
        <v>168</v>
      </c>
      <c r="N65" t="s">
        <v>200</v>
      </c>
      <c r="O65" t="s">
        <v>277</v>
      </c>
      <c r="P65">
        <v>9.0139093239148316E-2</v>
      </c>
      <c r="Q65" t="s">
        <v>168</v>
      </c>
      <c r="S65" t="s">
        <v>219</v>
      </c>
      <c r="T65" t="s">
        <v>277</v>
      </c>
      <c r="U65">
        <v>6.0580292766423134E-2</v>
      </c>
      <c r="V65" t="s">
        <v>168</v>
      </c>
      <c r="X65">
        <v>5.5707762557077628E-2</v>
      </c>
      <c r="Y65">
        <v>3.0876861497153366E-2</v>
      </c>
      <c r="Z65" t="s">
        <v>277</v>
      </c>
      <c r="AA65" t="s">
        <v>25</v>
      </c>
      <c r="AC65" t="s">
        <v>22</v>
      </c>
      <c r="AD65" t="s">
        <v>277</v>
      </c>
      <c r="AE65">
        <v>4.5233735700615528E-2</v>
      </c>
      <c r="AG65" t="s">
        <v>96</v>
      </c>
      <c r="AH65" t="s">
        <v>277</v>
      </c>
      <c r="AI65">
        <v>0.32286054201651648</v>
      </c>
      <c r="AK65">
        <v>2029</v>
      </c>
      <c r="AL65" t="s">
        <v>253</v>
      </c>
      <c r="AM65">
        <v>0.1963</v>
      </c>
      <c r="AN65" t="s">
        <v>247</v>
      </c>
    </row>
    <row r="66" spans="9:40" x14ac:dyDescent="0.45">
      <c r="I66" t="s">
        <v>166</v>
      </c>
      <c r="J66" t="s">
        <v>278</v>
      </c>
      <c r="K66">
        <v>6.7347209945278182E-3</v>
      </c>
      <c r="L66" t="s">
        <v>168</v>
      </c>
      <c r="N66" t="s">
        <v>200</v>
      </c>
      <c r="O66" t="s">
        <v>278</v>
      </c>
      <c r="P66">
        <v>1.0382646462526774E-2</v>
      </c>
      <c r="Q66" t="s">
        <v>168</v>
      </c>
      <c r="S66" t="s">
        <v>219</v>
      </c>
      <c r="T66" t="s">
        <v>278</v>
      </c>
      <c r="U66">
        <v>7.8333841347553983E-3</v>
      </c>
      <c r="V66" t="s">
        <v>168</v>
      </c>
      <c r="X66">
        <v>6.9634703196347035E-3</v>
      </c>
      <c r="Y66">
        <v>8.8970655263572278E-3</v>
      </c>
      <c r="Z66" t="s">
        <v>278</v>
      </c>
      <c r="AA66" t="s">
        <v>25</v>
      </c>
      <c r="AC66" t="s">
        <v>22</v>
      </c>
      <c r="AD66" t="s">
        <v>278</v>
      </c>
      <c r="AE66">
        <v>7.3211283822949202E-3</v>
      </c>
      <c r="AG66" t="s">
        <v>96</v>
      </c>
      <c r="AH66" t="s">
        <v>278</v>
      </c>
      <c r="AI66">
        <v>0.12772812214802043</v>
      </c>
      <c r="AK66">
        <v>2029</v>
      </c>
      <c r="AL66" t="s">
        <v>255</v>
      </c>
      <c r="AM66">
        <v>0.1898</v>
      </c>
      <c r="AN66" t="s">
        <v>247</v>
      </c>
    </row>
    <row r="67" spans="9:40" x14ac:dyDescent="0.45">
      <c r="I67" t="s">
        <v>166</v>
      </c>
      <c r="J67" t="s">
        <v>279</v>
      </c>
      <c r="K67">
        <v>1.0394651148566803E-2</v>
      </c>
      <c r="L67" t="s">
        <v>168</v>
      </c>
      <c r="N67" t="s">
        <v>200</v>
      </c>
      <c r="O67" t="s">
        <v>279</v>
      </c>
      <c r="P67">
        <v>9.7066853518004894E-3</v>
      </c>
      <c r="Q67" t="s">
        <v>168</v>
      </c>
      <c r="S67" t="s">
        <v>219</v>
      </c>
      <c r="T67" t="s">
        <v>279</v>
      </c>
      <c r="U67">
        <v>7.6402340567898264E-3</v>
      </c>
      <c r="V67" t="s">
        <v>168</v>
      </c>
      <c r="X67">
        <v>6.9634703196347035E-3</v>
      </c>
      <c r="Y67">
        <v>8.8161831124812517E-3</v>
      </c>
      <c r="Z67" t="s">
        <v>279</v>
      </c>
      <c r="AA67" t="s">
        <v>25</v>
      </c>
      <c r="AC67" t="s">
        <v>22</v>
      </c>
      <c r="AD67" t="s">
        <v>279</v>
      </c>
      <c r="AE67">
        <v>7.4775284874586366E-3</v>
      </c>
      <c r="AG67" t="s">
        <v>96</v>
      </c>
      <c r="AH67" t="s">
        <v>279</v>
      </c>
      <c r="AI67">
        <v>0.12961216402060427</v>
      </c>
      <c r="AK67">
        <v>2030</v>
      </c>
      <c r="AL67" t="s">
        <v>157</v>
      </c>
      <c r="AM67">
        <v>0.17745</v>
      </c>
      <c r="AN67" t="s">
        <v>247</v>
      </c>
    </row>
    <row r="68" spans="9:40" x14ac:dyDescent="0.45">
      <c r="I68" t="s">
        <v>166</v>
      </c>
      <c r="J68" t="s">
        <v>280</v>
      </c>
      <c r="K68">
        <v>7.2443776415587066E-2</v>
      </c>
      <c r="L68" t="s">
        <v>168</v>
      </c>
      <c r="N68" t="s">
        <v>200</v>
      </c>
      <c r="O68" t="s">
        <v>280</v>
      </c>
      <c r="P68">
        <v>5.4141746727523574E-2</v>
      </c>
      <c r="Q68" t="s">
        <v>168</v>
      </c>
      <c r="S68" t="s">
        <v>219</v>
      </c>
      <c r="T68" t="s">
        <v>280</v>
      </c>
      <c r="U68">
        <v>4.5243324076719681E-2</v>
      </c>
      <c r="V68" t="s">
        <v>168</v>
      </c>
      <c r="X68">
        <v>4.1780821917808221E-2</v>
      </c>
      <c r="Y68">
        <v>5.4636070573220973E-2</v>
      </c>
      <c r="Z68" t="s">
        <v>280</v>
      </c>
      <c r="AA68" t="s">
        <v>25</v>
      </c>
      <c r="AC68" t="s">
        <v>22</v>
      </c>
      <c r="AD68" t="s">
        <v>280</v>
      </c>
      <c r="AE68">
        <v>4.4446403119464947E-2</v>
      </c>
      <c r="AG68" t="s">
        <v>96</v>
      </c>
      <c r="AH68" t="s">
        <v>280</v>
      </c>
      <c r="AI68">
        <v>0.13236893135022987</v>
      </c>
      <c r="AK68">
        <v>2030</v>
      </c>
      <c r="AL68" t="s">
        <v>161</v>
      </c>
      <c r="AM68">
        <v>0.26397500000000002</v>
      </c>
      <c r="AN68" t="s">
        <v>247</v>
      </c>
    </row>
    <row r="69" spans="9:40" x14ac:dyDescent="0.45">
      <c r="I69" t="s">
        <v>166</v>
      </c>
      <c r="J69" t="s">
        <v>281</v>
      </c>
      <c r="K69">
        <v>6.3003170125817548E-3</v>
      </c>
      <c r="L69" t="s">
        <v>168</v>
      </c>
      <c r="N69" t="s">
        <v>200</v>
      </c>
      <c r="O69" t="s">
        <v>281</v>
      </c>
      <c r="P69">
        <v>9.6197510794507318E-3</v>
      </c>
      <c r="Q69" t="s">
        <v>168</v>
      </c>
      <c r="S69" t="s">
        <v>219</v>
      </c>
      <c r="T69" t="s">
        <v>281</v>
      </c>
      <c r="U69">
        <v>9.0917592878211398E-3</v>
      </c>
      <c r="V69" t="s">
        <v>168</v>
      </c>
      <c r="X69">
        <v>6.9634703196347035E-3</v>
      </c>
      <c r="Y69">
        <v>1.354780432422577E-2</v>
      </c>
      <c r="Z69" t="s">
        <v>281</v>
      </c>
      <c r="AA69" t="s">
        <v>25</v>
      </c>
      <c r="AC69" t="s">
        <v>22</v>
      </c>
      <c r="AD69" t="s">
        <v>281</v>
      </c>
      <c r="AE69">
        <v>7.4721518231783716E-3</v>
      </c>
      <c r="AG69" t="s">
        <v>96</v>
      </c>
      <c r="AH69" t="s">
        <v>281</v>
      </c>
      <c r="AI69">
        <v>0.14998892647013329</v>
      </c>
      <c r="AK69">
        <v>2030</v>
      </c>
      <c r="AL69" t="s">
        <v>163</v>
      </c>
      <c r="AM69">
        <v>0.30320000000000003</v>
      </c>
      <c r="AN69" t="s">
        <v>247</v>
      </c>
    </row>
    <row r="70" spans="9:40" x14ac:dyDescent="0.45">
      <c r="I70" t="s">
        <v>166</v>
      </c>
      <c r="J70" t="s">
        <v>282</v>
      </c>
      <c r="K70">
        <v>8.8602873040642823E-4</v>
      </c>
      <c r="L70" t="s">
        <v>168</v>
      </c>
      <c r="N70" t="s">
        <v>200</v>
      </c>
      <c r="O70" t="s">
        <v>282</v>
      </c>
      <c r="P70">
        <v>7.4007525010018282E-2</v>
      </c>
      <c r="Q70" t="s">
        <v>168</v>
      </c>
      <c r="S70" t="s">
        <v>219</v>
      </c>
      <c r="T70" t="s">
        <v>282</v>
      </c>
      <c r="U70">
        <v>6.4318402610418254E-2</v>
      </c>
      <c r="V70" t="s">
        <v>168</v>
      </c>
      <c r="X70">
        <v>4.8744292237442921E-2</v>
      </c>
      <c r="Y70">
        <v>5.0349302637794295E-2</v>
      </c>
      <c r="Z70" t="s">
        <v>282</v>
      </c>
      <c r="AA70" t="s">
        <v>25</v>
      </c>
      <c r="AC70" t="s">
        <v>22</v>
      </c>
      <c r="AD70" t="s">
        <v>282</v>
      </c>
      <c r="AE70">
        <v>4.9347919936025761E-2</v>
      </c>
      <c r="AG70" t="s">
        <v>96</v>
      </c>
      <c r="AH70" t="s">
        <v>282</v>
      </c>
      <c r="AI70">
        <v>0.22117400342618998</v>
      </c>
      <c r="AK70">
        <v>2030</v>
      </c>
      <c r="AL70" t="s">
        <v>249</v>
      </c>
      <c r="AM70">
        <v>0.26919999999999999</v>
      </c>
      <c r="AN70" t="s">
        <v>247</v>
      </c>
    </row>
    <row r="71" spans="9:40" x14ac:dyDescent="0.45">
      <c r="I71" t="s">
        <v>166</v>
      </c>
      <c r="J71" t="s">
        <v>283</v>
      </c>
      <c r="K71">
        <v>0</v>
      </c>
      <c r="L71" t="s">
        <v>168</v>
      </c>
      <c r="N71" t="s">
        <v>200</v>
      </c>
      <c r="O71" t="s">
        <v>283</v>
      </c>
      <c r="P71">
        <v>3.6217819225063425E-2</v>
      </c>
      <c r="Q71" t="s">
        <v>168</v>
      </c>
      <c r="S71" t="s">
        <v>219</v>
      </c>
      <c r="T71" t="s">
        <v>283</v>
      </c>
      <c r="U71">
        <v>2.5475586298796253E-2</v>
      </c>
      <c r="V71" t="s">
        <v>168</v>
      </c>
      <c r="X71">
        <v>2.7397260273972601E-2</v>
      </c>
      <c r="Y71">
        <v>1.5185341719911493E-2</v>
      </c>
      <c r="Z71" t="s">
        <v>283</v>
      </c>
      <c r="AA71" t="s">
        <v>25</v>
      </c>
      <c r="AC71" t="s">
        <v>22</v>
      </c>
      <c r="AD71" t="s">
        <v>283</v>
      </c>
      <c r="AE71">
        <v>2.4433565681241266E-2</v>
      </c>
      <c r="AG71" t="s">
        <v>96</v>
      </c>
      <c r="AH71" t="s">
        <v>283</v>
      </c>
      <c r="AI71">
        <v>0.30309719553003789</v>
      </c>
      <c r="AK71">
        <v>2030</v>
      </c>
      <c r="AL71" t="s">
        <v>251</v>
      </c>
      <c r="AM71">
        <v>0.23719999999999999</v>
      </c>
      <c r="AN71" t="s">
        <v>247</v>
      </c>
    </row>
    <row r="72" spans="9:40" x14ac:dyDescent="0.45">
      <c r="I72" t="s">
        <v>166</v>
      </c>
      <c r="J72" t="s">
        <v>284</v>
      </c>
      <c r="K72">
        <v>3.3010430796060635E-3</v>
      </c>
      <c r="L72" t="s">
        <v>168</v>
      </c>
      <c r="N72" t="s">
        <v>200</v>
      </c>
      <c r="O72" t="s">
        <v>284</v>
      </c>
      <c r="P72">
        <v>4.3747659283148513E-3</v>
      </c>
      <c r="Q72" t="s">
        <v>168</v>
      </c>
      <c r="S72" t="s">
        <v>219</v>
      </c>
      <c r="T72" t="s">
        <v>284</v>
      </c>
      <c r="U72">
        <v>3.6240313871066538E-3</v>
      </c>
      <c r="V72" t="s">
        <v>168</v>
      </c>
      <c r="X72">
        <v>3.4246575342465752E-3</v>
      </c>
      <c r="Y72">
        <v>4.3756059965691279E-3</v>
      </c>
      <c r="Z72" t="s">
        <v>284</v>
      </c>
      <c r="AA72" t="s">
        <v>25</v>
      </c>
      <c r="AC72" t="s">
        <v>22</v>
      </c>
      <c r="AD72" t="s">
        <v>284</v>
      </c>
      <c r="AE72">
        <v>4.139726675334042E-3</v>
      </c>
      <c r="AG72" t="s">
        <v>96</v>
      </c>
      <c r="AH72" t="s">
        <v>284</v>
      </c>
      <c r="AI72">
        <v>6.0200683985887071E-2</v>
      </c>
      <c r="AK72">
        <v>2030</v>
      </c>
      <c r="AL72" t="s">
        <v>253</v>
      </c>
      <c r="AM72">
        <v>0.21185000000000001</v>
      </c>
      <c r="AN72" t="s">
        <v>247</v>
      </c>
    </row>
    <row r="73" spans="9:40" x14ac:dyDescent="0.45">
      <c r="I73" t="s">
        <v>166</v>
      </c>
      <c r="J73" t="s">
        <v>285</v>
      </c>
      <c r="K73">
        <v>5.4795700245167294E-3</v>
      </c>
      <c r="L73" t="s">
        <v>168</v>
      </c>
      <c r="N73" t="s">
        <v>200</v>
      </c>
      <c r="O73" t="s">
        <v>285</v>
      </c>
      <c r="P73">
        <v>4.1125278209082645E-3</v>
      </c>
      <c r="Q73" t="s">
        <v>168</v>
      </c>
      <c r="S73" t="s">
        <v>219</v>
      </c>
      <c r="T73" t="s">
        <v>285</v>
      </c>
      <c r="U73">
        <v>3.633601524328635E-3</v>
      </c>
      <c r="V73" t="s">
        <v>168</v>
      </c>
      <c r="X73">
        <v>3.4246575342465752E-3</v>
      </c>
      <c r="Y73">
        <v>4.3358277602366805E-3</v>
      </c>
      <c r="Z73" t="s">
        <v>285</v>
      </c>
      <c r="AA73" t="s">
        <v>25</v>
      </c>
      <c r="AC73" t="s">
        <v>22</v>
      </c>
      <c r="AD73" t="s">
        <v>285</v>
      </c>
      <c r="AE73">
        <v>4.2003192787941797E-3</v>
      </c>
      <c r="AG73" t="s">
        <v>96</v>
      </c>
      <c r="AH73" t="s">
        <v>285</v>
      </c>
      <c r="AI73">
        <v>5.8722575947815381E-2</v>
      </c>
      <c r="AK73">
        <v>2030</v>
      </c>
      <c r="AL73" t="s">
        <v>255</v>
      </c>
      <c r="AM73">
        <v>0.18240000000000001</v>
      </c>
      <c r="AN73" t="s">
        <v>247</v>
      </c>
    </row>
    <row r="74" spans="9:40" x14ac:dyDescent="0.45">
      <c r="I74" t="s">
        <v>166</v>
      </c>
      <c r="J74" t="s">
        <v>286</v>
      </c>
      <c r="K74">
        <v>3.9972863666837215E-2</v>
      </c>
      <c r="L74" t="s">
        <v>168</v>
      </c>
      <c r="N74" t="s">
        <v>200</v>
      </c>
      <c r="O74" t="s">
        <v>286</v>
      </c>
      <c r="P74">
        <v>2.2367601428505003E-2</v>
      </c>
      <c r="Q74" t="s">
        <v>168</v>
      </c>
      <c r="S74" t="s">
        <v>219</v>
      </c>
      <c r="T74" t="s">
        <v>286</v>
      </c>
      <c r="U74">
        <v>2.0157019490713132E-2</v>
      </c>
      <c r="V74" t="s">
        <v>168</v>
      </c>
      <c r="X74">
        <v>2.0547945205479451E-2</v>
      </c>
      <c r="Y74">
        <v>2.6870198642567691E-2</v>
      </c>
      <c r="Z74" t="s">
        <v>286</v>
      </c>
      <c r="AA74" t="s">
        <v>25</v>
      </c>
      <c r="AC74" t="s">
        <v>22</v>
      </c>
      <c r="AD74" t="s">
        <v>286</v>
      </c>
      <c r="AE74">
        <v>2.4355113576546288E-2</v>
      </c>
      <c r="AG74" t="s">
        <v>96</v>
      </c>
      <c r="AH74" t="s">
        <v>286</v>
      </c>
      <c r="AI74">
        <v>7.5106179221813507E-2</v>
      </c>
      <c r="AK74">
        <v>2031</v>
      </c>
      <c r="AL74" t="s">
        <v>157</v>
      </c>
      <c r="AM74">
        <v>0.17804999999999999</v>
      </c>
      <c r="AN74" t="s">
        <v>247</v>
      </c>
    </row>
    <row r="75" spans="9:40" x14ac:dyDescent="0.45">
      <c r="I75" t="s">
        <v>166</v>
      </c>
      <c r="J75" t="s">
        <v>287</v>
      </c>
      <c r="K75">
        <v>2.8573326236292834E-3</v>
      </c>
      <c r="L75" t="s">
        <v>168</v>
      </c>
      <c r="N75" t="s">
        <v>200</v>
      </c>
      <c r="O75" t="s">
        <v>287</v>
      </c>
      <c r="P75">
        <v>3.2066120040853295E-3</v>
      </c>
      <c r="Q75" t="s">
        <v>168</v>
      </c>
      <c r="S75" t="s">
        <v>219</v>
      </c>
      <c r="T75" t="s">
        <v>287</v>
      </c>
      <c r="U75">
        <v>3.1078691799818472E-3</v>
      </c>
      <c r="V75" t="s">
        <v>168</v>
      </c>
      <c r="X75">
        <v>3.4246575342465752E-3</v>
      </c>
      <c r="Y75">
        <v>6.662854585684809E-3</v>
      </c>
      <c r="Z75" t="s">
        <v>287</v>
      </c>
      <c r="AA75" t="s">
        <v>25</v>
      </c>
      <c r="AC75" t="s">
        <v>22</v>
      </c>
      <c r="AD75" t="s">
        <v>287</v>
      </c>
      <c r="AE75">
        <v>4.1987310602253584E-3</v>
      </c>
      <c r="AG75" t="s">
        <v>96</v>
      </c>
      <c r="AH75" t="s">
        <v>287</v>
      </c>
      <c r="AI75">
        <v>5.9679674070484801E-2</v>
      </c>
      <c r="AK75">
        <v>2031</v>
      </c>
      <c r="AL75" t="s">
        <v>161</v>
      </c>
      <c r="AM75">
        <v>0.25662499999999999</v>
      </c>
      <c r="AN75" t="s">
        <v>247</v>
      </c>
    </row>
    <row r="76" spans="9:40" x14ac:dyDescent="0.45">
      <c r="I76" t="s">
        <v>166</v>
      </c>
      <c r="J76" t="s">
        <v>288</v>
      </c>
      <c r="K76">
        <v>0</v>
      </c>
      <c r="L76" t="s">
        <v>168</v>
      </c>
      <c r="N76" t="s">
        <v>200</v>
      </c>
      <c r="O76" t="s">
        <v>288</v>
      </c>
      <c r="P76">
        <v>2.1756115457985181E-2</v>
      </c>
      <c r="Q76" t="s">
        <v>168</v>
      </c>
      <c r="S76" t="s">
        <v>219</v>
      </c>
      <c r="T76" t="s">
        <v>288</v>
      </c>
      <c r="U76">
        <v>1.9601460643939854E-2</v>
      </c>
      <c r="V76" t="s">
        <v>168</v>
      </c>
      <c r="X76">
        <v>2.3972602739726026E-2</v>
      </c>
      <c r="Y76">
        <v>2.4761952116948018E-2</v>
      </c>
      <c r="Z76" t="s">
        <v>288</v>
      </c>
      <c r="AA76" t="s">
        <v>25</v>
      </c>
      <c r="AC76" t="s">
        <v>22</v>
      </c>
      <c r="AD76" t="s">
        <v>288</v>
      </c>
      <c r="AE76">
        <v>2.6994762181647845E-2</v>
      </c>
      <c r="AG76" t="s">
        <v>96</v>
      </c>
      <c r="AH76" t="s">
        <v>288</v>
      </c>
      <c r="AI76">
        <v>0.15746259452371469</v>
      </c>
      <c r="AK76">
        <v>2031</v>
      </c>
      <c r="AL76" t="s">
        <v>163</v>
      </c>
      <c r="AM76">
        <v>0.31890000000000002</v>
      </c>
      <c r="AN76" t="s">
        <v>247</v>
      </c>
    </row>
    <row r="77" spans="9:40" x14ac:dyDescent="0.45">
      <c r="I77" t="s">
        <v>166</v>
      </c>
      <c r="J77" t="s">
        <v>365</v>
      </c>
      <c r="K77">
        <v>0</v>
      </c>
      <c r="L77" t="s">
        <v>168</v>
      </c>
      <c r="N77" t="s">
        <v>200</v>
      </c>
      <c r="O77" t="s">
        <v>365</v>
      </c>
      <c r="P77">
        <v>4.8586062395425837E-6</v>
      </c>
      <c r="Q77" t="s">
        <v>168</v>
      </c>
      <c r="S77" t="s">
        <v>219</v>
      </c>
      <c r="T77" t="s">
        <v>365</v>
      </c>
      <c r="U77">
        <v>6.1375918093334266E-6</v>
      </c>
      <c r="V77" t="s">
        <v>168</v>
      </c>
      <c r="X77">
        <v>1.1415525114155251E-4</v>
      </c>
      <c r="Y77">
        <v>2.1546544680075254E-5</v>
      </c>
      <c r="Z77" t="s">
        <v>365</v>
      </c>
      <c r="AA77" t="s">
        <v>25</v>
      </c>
      <c r="AC77" t="s">
        <v>22</v>
      </c>
      <c r="AD77" t="s">
        <v>365</v>
      </c>
      <c r="AE77">
        <v>9.4180086462825584E-5</v>
      </c>
      <c r="AG77" t="s">
        <v>96</v>
      </c>
      <c r="AH77" t="s">
        <v>365</v>
      </c>
      <c r="AI77">
        <v>0</v>
      </c>
      <c r="AK77">
        <v>2031</v>
      </c>
      <c r="AL77" t="s">
        <v>249</v>
      </c>
      <c r="AM77">
        <v>0.26329999999999998</v>
      </c>
      <c r="AN77" t="s">
        <v>247</v>
      </c>
    </row>
    <row r="78" spans="9:40" x14ac:dyDescent="0.45">
      <c r="I78" t="s">
        <v>166</v>
      </c>
      <c r="J78" t="s">
        <v>366</v>
      </c>
      <c r="K78">
        <v>0</v>
      </c>
      <c r="L78" t="s">
        <v>168</v>
      </c>
      <c r="N78" t="s">
        <v>200</v>
      </c>
      <c r="O78" t="s">
        <v>366</v>
      </c>
      <c r="P78">
        <v>1.7126429701398959E-5</v>
      </c>
      <c r="Q78" t="s">
        <v>168</v>
      </c>
      <c r="S78" t="s">
        <v>219</v>
      </c>
      <c r="T78" t="s">
        <v>366</v>
      </c>
      <c r="U78">
        <v>5.0426717089701673E-6</v>
      </c>
      <c r="V78" t="s">
        <v>168</v>
      </c>
      <c r="X78">
        <v>1.1415525114155251E-4</v>
      </c>
      <c r="Y78">
        <v>1.4916838624667481E-5</v>
      </c>
      <c r="Z78" t="s">
        <v>366</v>
      </c>
      <c r="AA78" t="s">
        <v>25</v>
      </c>
      <c r="AC78" t="s">
        <v>22</v>
      </c>
      <c r="AD78" t="s">
        <v>366</v>
      </c>
      <c r="AE78">
        <v>8.9377884218091576E-5</v>
      </c>
      <c r="AG78" t="s">
        <v>96</v>
      </c>
      <c r="AH78" t="s">
        <v>366</v>
      </c>
      <c r="AI78">
        <v>0</v>
      </c>
      <c r="AK78">
        <v>2031</v>
      </c>
      <c r="AL78" t="s">
        <v>251</v>
      </c>
      <c r="AM78">
        <v>0.20749999999999999</v>
      </c>
      <c r="AN78" t="s">
        <v>247</v>
      </c>
    </row>
    <row r="79" spans="9:40" x14ac:dyDescent="0.45">
      <c r="I79" t="s">
        <v>166</v>
      </c>
      <c r="J79" t="s">
        <v>367</v>
      </c>
      <c r="K79">
        <v>0</v>
      </c>
      <c r="L79" t="s">
        <v>168</v>
      </c>
      <c r="N79" t="s">
        <v>200</v>
      </c>
      <c r="O79" t="s">
        <v>367</v>
      </c>
      <c r="P79">
        <v>1.7612133672141065E-5</v>
      </c>
      <c r="Q79" t="s">
        <v>168</v>
      </c>
      <c r="S79" t="s">
        <v>219</v>
      </c>
      <c r="T79" t="s">
        <v>367</v>
      </c>
      <c r="U79">
        <v>4.1465192210721149E-6</v>
      </c>
      <c r="V79" t="s">
        <v>168</v>
      </c>
      <c r="X79">
        <v>1.1415525114155251E-4</v>
      </c>
      <c r="Y79">
        <v>1.6574265138519424E-5</v>
      </c>
      <c r="Z79" t="s">
        <v>367</v>
      </c>
      <c r="AA79" t="s">
        <v>25</v>
      </c>
      <c r="AC79" t="s">
        <v>22</v>
      </c>
      <c r="AD79" t="s">
        <v>367</v>
      </c>
      <c r="AE79">
        <v>8.816888568579734E-5</v>
      </c>
      <c r="AG79" t="s">
        <v>96</v>
      </c>
      <c r="AH79" t="s">
        <v>367</v>
      </c>
      <c r="AI79">
        <v>0</v>
      </c>
      <c r="AK79">
        <v>2031</v>
      </c>
      <c r="AL79" t="s">
        <v>253</v>
      </c>
      <c r="AM79">
        <v>0.20035</v>
      </c>
      <c r="AN79" t="s">
        <v>247</v>
      </c>
    </row>
    <row r="80" spans="9:40" x14ac:dyDescent="0.45">
      <c r="I80" t="s">
        <v>166</v>
      </c>
      <c r="J80" t="s">
        <v>368</v>
      </c>
      <c r="K80">
        <v>0</v>
      </c>
      <c r="L80" t="s">
        <v>168</v>
      </c>
      <c r="N80" t="s">
        <v>200</v>
      </c>
      <c r="O80" t="s">
        <v>368</v>
      </c>
      <c r="P80">
        <v>1.0242189867739416E-5</v>
      </c>
      <c r="Q80" t="s">
        <v>168</v>
      </c>
      <c r="S80" t="s">
        <v>219</v>
      </c>
      <c r="T80" t="s">
        <v>368</v>
      </c>
      <c r="U80">
        <v>2.4421980336353125E-6</v>
      </c>
      <c r="V80" t="s">
        <v>168</v>
      </c>
      <c r="X80">
        <v>1.1415525114155251E-4</v>
      </c>
      <c r="Y80">
        <v>1.4585353321897093E-5</v>
      </c>
      <c r="Z80" t="s">
        <v>368</v>
      </c>
      <c r="AA80" t="s">
        <v>25</v>
      </c>
      <c r="AC80" t="s">
        <v>22</v>
      </c>
      <c r="AD80" t="s">
        <v>368</v>
      </c>
      <c r="AE80">
        <v>8.816888568579734E-5</v>
      </c>
      <c r="AG80" t="s">
        <v>96</v>
      </c>
      <c r="AH80" t="s">
        <v>368</v>
      </c>
      <c r="AI80">
        <v>0</v>
      </c>
      <c r="AK80">
        <v>2031</v>
      </c>
      <c r="AL80" t="s">
        <v>255</v>
      </c>
      <c r="AM80">
        <v>0.20860000000000001</v>
      </c>
      <c r="AN80" t="s">
        <v>247</v>
      </c>
    </row>
    <row r="81" spans="9:40" x14ac:dyDescent="0.45">
      <c r="I81" t="s">
        <v>166</v>
      </c>
      <c r="J81" t="s">
        <v>369</v>
      </c>
      <c r="K81">
        <v>0</v>
      </c>
      <c r="L81" t="s">
        <v>168</v>
      </c>
      <c r="N81" t="s">
        <v>200</v>
      </c>
      <c r="O81" t="s">
        <v>369</v>
      </c>
      <c r="P81">
        <v>1.035022521247609E-5</v>
      </c>
      <c r="Q81" t="s">
        <v>168</v>
      </c>
      <c r="S81" t="s">
        <v>219</v>
      </c>
      <c r="T81" t="s">
        <v>369</v>
      </c>
      <c r="U81">
        <v>1.0122391386676779E-6</v>
      </c>
      <c r="V81" t="s">
        <v>168</v>
      </c>
      <c r="X81">
        <v>1.1415525114155251E-4</v>
      </c>
      <c r="Y81">
        <v>2.1215059377304864E-5</v>
      </c>
      <c r="Z81" t="s">
        <v>369</v>
      </c>
      <c r="AA81" t="s">
        <v>25</v>
      </c>
      <c r="AC81" t="s">
        <v>22</v>
      </c>
      <c r="AD81" t="s">
        <v>369</v>
      </c>
      <c r="AE81">
        <v>9.3691981465315481E-5</v>
      </c>
      <c r="AG81" t="s">
        <v>96</v>
      </c>
      <c r="AH81" t="s">
        <v>369</v>
      </c>
      <c r="AI81">
        <v>0</v>
      </c>
      <c r="AK81">
        <v>2032</v>
      </c>
      <c r="AL81" t="s">
        <v>157</v>
      </c>
      <c r="AM81">
        <v>0.16930000000000001</v>
      </c>
      <c r="AN81" t="s">
        <v>247</v>
      </c>
    </row>
    <row r="82" spans="9:40" x14ac:dyDescent="0.45">
      <c r="I82" t="s">
        <v>166</v>
      </c>
      <c r="J82" t="s">
        <v>370</v>
      </c>
      <c r="K82">
        <v>0</v>
      </c>
      <c r="L82" t="s">
        <v>168</v>
      </c>
      <c r="N82" t="s">
        <v>200</v>
      </c>
      <c r="O82" t="s">
        <v>370</v>
      </c>
      <c r="P82">
        <v>1.4674656401938643E-5</v>
      </c>
      <c r="Q82" t="s">
        <v>168</v>
      </c>
      <c r="S82" t="s">
        <v>219</v>
      </c>
      <c r="T82" t="s">
        <v>370</v>
      </c>
      <c r="U82">
        <v>5.92562320961106E-7</v>
      </c>
      <c r="V82" t="s">
        <v>168</v>
      </c>
      <c r="X82">
        <v>1.1415525114155251E-4</v>
      </c>
      <c r="Y82">
        <v>5.7678442682047593E-5</v>
      </c>
      <c r="Z82" t="s">
        <v>370</v>
      </c>
      <c r="AA82" t="s">
        <v>25</v>
      </c>
      <c r="AC82" t="s">
        <v>22</v>
      </c>
      <c r="AD82" t="s">
        <v>370</v>
      </c>
      <c r="AE82">
        <v>1.1594956935177605E-4</v>
      </c>
      <c r="AG82" t="s">
        <v>96</v>
      </c>
      <c r="AH82" t="s">
        <v>370</v>
      </c>
      <c r="AI82">
        <v>0</v>
      </c>
      <c r="AK82">
        <v>2032</v>
      </c>
      <c r="AL82" t="s">
        <v>161</v>
      </c>
      <c r="AM82">
        <v>0.25187500000000002</v>
      </c>
      <c r="AN82" t="s">
        <v>247</v>
      </c>
    </row>
    <row r="83" spans="9:40" x14ac:dyDescent="0.45">
      <c r="I83" t="s">
        <v>166</v>
      </c>
      <c r="J83" t="s">
        <v>371</v>
      </c>
      <c r="K83">
        <v>0</v>
      </c>
      <c r="L83" t="s">
        <v>168</v>
      </c>
      <c r="N83" t="s">
        <v>200</v>
      </c>
      <c r="O83" t="s">
        <v>371</v>
      </c>
      <c r="P83">
        <v>1.5513316300516034E-5</v>
      </c>
      <c r="Q83" t="s">
        <v>168</v>
      </c>
      <c r="S83" t="s">
        <v>219</v>
      </c>
      <c r="T83" t="s">
        <v>371</v>
      </c>
      <c r="U83">
        <v>3.2008651821903205E-7</v>
      </c>
      <c r="V83" t="s">
        <v>168</v>
      </c>
      <c r="X83">
        <v>1.1415525114155251E-4</v>
      </c>
      <c r="Y83">
        <v>1.6905750441289813E-4</v>
      </c>
      <c r="Z83" t="s">
        <v>371</v>
      </c>
      <c r="AA83" t="s">
        <v>25</v>
      </c>
      <c r="AC83" t="s">
        <v>22</v>
      </c>
      <c r="AD83" t="s">
        <v>371</v>
      </c>
      <c r="AE83">
        <v>1.3471908383295292E-4</v>
      </c>
      <c r="AG83" t="s">
        <v>96</v>
      </c>
      <c r="AH83" t="s">
        <v>371</v>
      </c>
      <c r="AI83">
        <v>0</v>
      </c>
      <c r="AK83">
        <v>2032</v>
      </c>
      <c r="AL83" t="s">
        <v>163</v>
      </c>
      <c r="AM83">
        <v>0.29599999999999999</v>
      </c>
      <c r="AN83" t="s">
        <v>247</v>
      </c>
    </row>
    <row r="84" spans="9:40" x14ac:dyDescent="0.45">
      <c r="I84" t="s">
        <v>166</v>
      </c>
      <c r="J84" t="s">
        <v>372</v>
      </c>
      <c r="K84">
        <v>0</v>
      </c>
      <c r="L84" t="s">
        <v>168</v>
      </c>
      <c r="N84" t="s">
        <v>200</v>
      </c>
      <c r="O84" t="s">
        <v>372</v>
      </c>
      <c r="P84">
        <v>1.8362458258724612E-5</v>
      </c>
      <c r="Q84" t="s">
        <v>168</v>
      </c>
      <c r="S84" t="s">
        <v>219</v>
      </c>
      <c r="T84" t="s">
        <v>372</v>
      </c>
      <c r="U84">
        <v>1.3378545329488756E-7</v>
      </c>
      <c r="V84" t="s">
        <v>168</v>
      </c>
      <c r="X84">
        <v>1.1415525114155251E-4</v>
      </c>
      <c r="Y84">
        <v>1.9060404909297337E-4</v>
      </c>
      <c r="Z84" t="s">
        <v>372</v>
      </c>
      <c r="AA84" t="s">
        <v>25</v>
      </c>
      <c r="AC84" t="s">
        <v>22</v>
      </c>
      <c r="AD84" t="s">
        <v>372</v>
      </c>
      <c r="AE84">
        <v>1.409743371087362E-4</v>
      </c>
      <c r="AG84" t="s">
        <v>96</v>
      </c>
      <c r="AH84" t="s">
        <v>372</v>
      </c>
      <c r="AI84">
        <v>0</v>
      </c>
      <c r="AK84">
        <v>2032</v>
      </c>
      <c r="AL84" t="s">
        <v>249</v>
      </c>
      <c r="AM84">
        <v>0.28689999999999999</v>
      </c>
      <c r="AN84" t="s">
        <v>247</v>
      </c>
    </row>
    <row r="85" spans="9:40" x14ac:dyDescent="0.45">
      <c r="I85" t="s">
        <v>166</v>
      </c>
      <c r="J85" t="s">
        <v>373</v>
      </c>
      <c r="K85">
        <v>4.9550895804286623E-5</v>
      </c>
      <c r="L85" t="s">
        <v>168</v>
      </c>
      <c r="N85" t="s">
        <v>200</v>
      </c>
      <c r="O85" t="s">
        <v>373</v>
      </c>
      <c r="P85">
        <v>1.8192157641802615E-5</v>
      </c>
      <c r="Q85" t="s">
        <v>168</v>
      </c>
      <c r="S85" t="s">
        <v>219</v>
      </c>
      <c r="T85" t="s">
        <v>373</v>
      </c>
      <c r="U85">
        <v>1.040462442685349E-7</v>
      </c>
      <c r="V85" t="s">
        <v>168</v>
      </c>
      <c r="X85">
        <v>1.1415525114155251E-4</v>
      </c>
      <c r="Y85">
        <v>1.4585353321897094E-4</v>
      </c>
      <c r="Z85" t="s">
        <v>373</v>
      </c>
      <c r="AA85" t="s">
        <v>25</v>
      </c>
      <c r="AC85" t="s">
        <v>22</v>
      </c>
      <c r="AD85" t="s">
        <v>373</v>
      </c>
      <c r="AE85">
        <v>1.469217087707054E-4</v>
      </c>
      <c r="AG85" t="s">
        <v>96</v>
      </c>
      <c r="AH85" t="s">
        <v>373</v>
      </c>
      <c r="AI85">
        <v>0</v>
      </c>
      <c r="AK85">
        <v>2032</v>
      </c>
      <c r="AL85" t="s">
        <v>251</v>
      </c>
      <c r="AM85">
        <v>0.23669999999999999</v>
      </c>
      <c r="AN85" t="s">
        <v>247</v>
      </c>
    </row>
    <row r="86" spans="9:40" x14ac:dyDescent="0.45">
      <c r="I86" t="s">
        <v>166</v>
      </c>
      <c r="J86" t="s">
        <v>374</v>
      </c>
      <c r="K86">
        <v>8.3547397628576066E-5</v>
      </c>
      <c r="L86" t="s">
        <v>168</v>
      </c>
      <c r="N86" t="s">
        <v>200</v>
      </c>
      <c r="O86" t="s">
        <v>374</v>
      </c>
      <c r="P86">
        <v>1.3312678059367364E-5</v>
      </c>
      <c r="Q86" t="s">
        <v>168</v>
      </c>
      <c r="S86" t="s">
        <v>219</v>
      </c>
      <c r="T86" t="s">
        <v>374</v>
      </c>
      <c r="U86">
        <v>0</v>
      </c>
      <c r="V86" t="s">
        <v>168</v>
      </c>
      <c r="X86">
        <v>1.1415525114155251E-4</v>
      </c>
      <c r="Y86">
        <v>1.4452759200788939E-4</v>
      </c>
      <c r="Z86" t="s">
        <v>374</v>
      </c>
      <c r="AA86" t="s">
        <v>25</v>
      </c>
      <c r="AC86" t="s">
        <v>22</v>
      </c>
      <c r="AD86" t="s">
        <v>374</v>
      </c>
      <c r="AE86">
        <v>1.4798052114991964E-4</v>
      </c>
      <c r="AG86" t="s">
        <v>96</v>
      </c>
      <c r="AH86" t="s">
        <v>374</v>
      </c>
      <c r="AI86">
        <v>0</v>
      </c>
      <c r="AK86">
        <v>2032</v>
      </c>
      <c r="AL86" t="s">
        <v>253</v>
      </c>
      <c r="AM86">
        <v>0.20505000000000001</v>
      </c>
      <c r="AN86" t="s">
        <v>247</v>
      </c>
    </row>
    <row r="87" spans="9:40" x14ac:dyDescent="0.45">
      <c r="I87" t="s">
        <v>166</v>
      </c>
      <c r="J87" t="s">
        <v>375</v>
      </c>
      <c r="K87">
        <v>1.2887218230395102E-4</v>
      </c>
      <c r="L87" t="s">
        <v>168</v>
      </c>
      <c r="N87" t="s">
        <v>200</v>
      </c>
      <c r="O87" t="s">
        <v>375</v>
      </c>
      <c r="P87">
        <v>1.4471882718127044E-6</v>
      </c>
      <c r="Q87" t="s">
        <v>168</v>
      </c>
      <c r="S87" t="s">
        <v>219</v>
      </c>
      <c r="T87" t="s">
        <v>375</v>
      </c>
      <c r="U87">
        <v>0</v>
      </c>
      <c r="V87" t="s">
        <v>168</v>
      </c>
      <c r="X87">
        <v>1.1415525114155251E-4</v>
      </c>
      <c r="Y87">
        <v>1.408812536774151E-4</v>
      </c>
      <c r="Z87" t="s">
        <v>375</v>
      </c>
      <c r="AA87" t="s">
        <v>25</v>
      </c>
      <c r="AC87" t="s">
        <v>22</v>
      </c>
      <c r="AD87" t="s">
        <v>375</v>
      </c>
      <c r="AE87">
        <v>1.4583661381470218E-4</v>
      </c>
      <c r="AG87" t="s">
        <v>96</v>
      </c>
      <c r="AH87" t="s">
        <v>375</v>
      </c>
      <c r="AI87">
        <v>0</v>
      </c>
      <c r="AK87">
        <v>2032</v>
      </c>
      <c r="AL87" t="s">
        <v>255</v>
      </c>
      <c r="AM87">
        <v>0.21590000000000001</v>
      </c>
      <c r="AN87" t="s">
        <v>247</v>
      </c>
    </row>
    <row r="88" spans="9:40" x14ac:dyDescent="0.45">
      <c r="I88" t="s">
        <v>166</v>
      </c>
      <c r="J88" t="s">
        <v>376</v>
      </c>
      <c r="K88">
        <v>1.6399519804696102E-4</v>
      </c>
      <c r="L88" t="s">
        <v>168</v>
      </c>
      <c r="N88" t="s">
        <v>200</v>
      </c>
      <c r="O88" t="s">
        <v>376</v>
      </c>
      <c r="P88">
        <v>1.8486070375638738E-7</v>
      </c>
      <c r="Q88" t="s">
        <v>168</v>
      </c>
      <c r="S88" t="s">
        <v>219</v>
      </c>
      <c r="T88" t="s">
        <v>376</v>
      </c>
      <c r="U88">
        <v>0</v>
      </c>
      <c r="V88" t="s">
        <v>168</v>
      </c>
      <c r="X88">
        <v>1.1415525114155251E-4</v>
      </c>
      <c r="Y88">
        <v>1.4054976837464471E-4</v>
      </c>
      <c r="Z88" t="s">
        <v>376</v>
      </c>
      <c r="AA88" t="s">
        <v>25</v>
      </c>
      <c r="AC88" t="s">
        <v>22</v>
      </c>
      <c r="AD88" t="s">
        <v>376</v>
      </c>
      <c r="AE88">
        <v>1.4373776232540875E-4</v>
      </c>
      <c r="AG88" t="s">
        <v>96</v>
      </c>
      <c r="AH88" t="s">
        <v>376</v>
      </c>
      <c r="AI88">
        <v>0</v>
      </c>
      <c r="AK88">
        <v>2033</v>
      </c>
      <c r="AL88" t="s">
        <v>157</v>
      </c>
      <c r="AM88">
        <v>0.1794</v>
      </c>
      <c r="AN88" t="s">
        <v>247</v>
      </c>
    </row>
    <row r="89" spans="9:40" x14ac:dyDescent="0.45">
      <c r="I89" t="s">
        <v>166</v>
      </c>
      <c r="J89" t="s">
        <v>377</v>
      </c>
      <c r="K89">
        <v>1.5183210911662534E-4</v>
      </c>
      <c r="L89" t="s">
        <v>168</v>
      </c>
      <c r="N89" t="s">
        <v>200</v>
      </c>
      <c r="O89" t="s">
        <v>377</v>
      </c>
      <c r="P89">
        <v>1.7376877041448661E-6</v>
      </c>
      <c r="Q89" t="s">
        <v>168</v>
      </c>
      <c r="S89" t="s">
        <v>219</v>
      </c>
      <c r="T89" t="s">
        <v>377</v>
      </c>
      <c r="U89">
        <v>0</v>
      </c>
      <c r="V89" t="s">
        <v>168</v>
      </c>
      <c r="X89">
        <v>1.1415525114155251E-4</v>
      </c>
      <c r="Y89">
        <v>1.4253868019126702E-4</v>
      </c>
      <c r="Z89" t="s">
        <v>377</v>
      </c>
      <c r="AA89" t="s">
        <v>25</v>
      </c>
      <c r="AC89" t="s">
        <v>22</v>
      </c>
      <c r="AD89" t="s">
        <v>377</v>
      </c>
      <c r="AE89">
        <v>1.4323463871259066E-4</v>
      </c>
      <c r="AG89" t="s">
        <v>96</v>
      </c>
      <c r="AH89" t="s">
        <v>377</v>
      </c>
      <c r="AI89">
        <v>0</v>
      </c>
      <c r="AK89">
        <v>2033</v>
      </c>
      <c r="AL89" t="s">
        <v>161</v>
      </c>
      <c r="AM89">
        <v>0.24870000000000003</v>
      </c>
      <c r="AN89" t="s">
        <v>247</v>
      </c>
    </row>
    <row r="90" spans="9:40" x14ac:dyDescent="0.45">
      <c r="I90" t="s">
        <v>166</v>
      </c>
      <c r="J90" t="s">
        <v>378</v>
      </c>
      <c r="K90">
        <v>2.0978123892723339E-4</v>
      </c>
      <c r="L90" t="s">
        <v>168</v>
      </c>
      <c r="N90" t="s">
        <v>200</v>
      </c>
      <c r="O90" t="s">
        <v>378</v>
      </c>
      <c r="P90">
        <v>6.1624314156966302E-6</v>
      </c>
      <c r="Q90" t="s">
        <v>168</v>
      </c>
      <c r="S90" t="s">
        <v>219</v>
      </c>
      <c r="T90" t="s">
        <v>378</v>
      </c>
      <c r="U90">
        <v>9.8250608674900359E-8</v>
      </c>
      <c r="V90" t="s">
        <v>168</v>
      </c>
      <c r="X90">
        <v>1.1415525114155251E-4</v>
      </c>
      <c r="Y90">
        <v>1.4883690094390442E-4</v>
      </c>
      <c r="Z90" t="s">
        <v>378</v>
      </c>
      <c r="AA90" t="s">
        <v>25</v>
      </c>
      <c r="AC90" t="s">
        <v>22</v>
      </c>
      <c r="AD90" t="s">
        <v>378</v>
      </c>
      <c r="AE90">
        <v>1.4178158768154135E-4</v>
      </c>
      <c r="AG90" t="s">
        <v>96</v>
      </c>
      <c r="AH90" t="s">
        <v>378</v>
      </c>
      <c r="AI90">
        <v>0</v>
      </c>
      <c r="AK90">
        <v>2033</v>
      </c>
      <c r="AL90" t="s">
        <v>163</v>
      </c>
      <c r="AM90">
        <v>0.28260000000000002</v>
      </c>
      <c r="AN90" t="s">
        <v>247</v>
      </c>
    </row>
    <row r="91" spans="9:40" x14ac:dyDescent="0.45">
      <c r="I91" t="s">
        <v>166</v>
      </c>
      <c r="J91" t="s">
        <v>379</v>
      </c>
      <c r="K91">
        <v>2.4284296863032463E-4</v>
      </c>
      <c r="L91" t="s">
        <v>168</v>
      </c>
      <c r="N91" t="s">
        <v>200</v>
      </c>
      <c r="O91" t="s">
        <v>379</v>
      </c>
      <c r="P91">
        <v>6.3996815304546047E-6</v>
      </c>
      <c r="Q91" t="s">
        <v>168</v>
      </c>
      <c r="S91" t="s">
        <v>219</v>
      </c>
      <c r="T91" t="s">
        <v>379</v>
      </c>
      <c r="U91">
        <v>2.7769639600810484E-7</v>
      </c>
      <c r="V91" t="s">
        <v>168</v>
      </c>
      <c r="X91">
        <v>1.1415525114155251E-4</v>
      </c>
      <c r="Y91">
        <v>1.5049432745775637E-4</v>
      </c>
      <c r="Z91" t="s">
        <v>379</v>
      </c>
      <c r="AA91" t="s">
        <v>25</v>
      </c>
      <c r="AC91" t="s">
        <v>22</v>
      </c>
      <c r="AD91" t="s">
        <v>379</v>
      </c>
      <c r="AE91">
        <v>1.4162389222080734E-4</v>
      </c>
      <c r="AG91" t="s">
        <v>96</v>
      </c>
      <c r="AH91" t="s">
        <v>379</v>
      </c>
      <c r="AI91">
        <v>0</v>
      </c>
      <c r="AK91">
        <v>2033</v>
      </c>
      <c r="AL91" t="s">
        <v>249</v>
      </c>
      <c r="AM91">
        <v>0.2767</v>
      </c>
      <c r="AN91" t="s">
        <v>247</v>
      </c>
    </row>
    <row r="92" spans="9:40" x14ac:dyDescent="0.45">
      <c r="I92" t="s">
        <v>166</v>
      </c>
      <c r="J92" t="s">
        <v>380</v>
      </c>
      <c r="K92">
        <v>1.7773056024025438E-4</v>
      </c>
      <c r="L92" t="s">
        <v>168</v>
      </c>
      <c r="N92" t="s">
        <v>200</v>
      </c>
      <c r="O92" t="s">
        <v>380</v>
      </c>
      <c r="P92">
        <v>4.7573493483449423E-6</v>
      </c>
      <c r="Q92" t="s">
        <v>168</v>
      </c>
      <c r="S92" t="s">
        <v>219</v>
      </c>
      <c r="T92" t="s">
        <v>380</v>
      </c>
      <c r="U92">
        <v>2.2752019619759146E-6</v>
      </c>
      <c r="V92" t="s">
        <v>168</v>
      </c>
      <c r="X92">
        <v>1.1415525114155251E-4</v>
      </c>
      <c r="Y92">
        <v>1.7237235744060203E-4</v>
      </c>
      <c r="Z92" t="s">
        <v>380</v>
      </c>
      <c r="AA92" t="s">
        <v>25</v>
      </c>
      <c r="AC92" t="s">
        <v>22</v>
      </c>
      <c r="AD92" t="s">
        <v>380</v>
      </c>
      <c r="AE92">
        <v>1.4207820533387443E-4</v>
      </c>
      <c r="AG92" t="s">
        <v>96</v>
      </c>
      <c r="AH92" t="s">
        <v>380</v>
      </c>
      <c r="AI92">
        <v>0</v>
      </c>
      <c r="AK92">
        <v>2033</v>
      </c>
      <c r="AL92" t="s">
        <v>251</v>
      </c>
      <c r="AM92">
        <v>0.21340000000000001</v>
      </c>
      <c r="AN92" t="s">
        <v>247</v>
      </c>
    </row>
    <row r="93" spans="9:40" x14ac:dyDescent="0.45">
      <c r="I93" t="s">
        <v>166</v>
      </c>
      <c r="J93" t="s">
        <v>381</v>
      </c>
      <c r="K93">
        <v>5.6820181408012223E-5</v>
      </c>
      <c r="L93" t="s">
        <v>168</v>
      </c>
      <c r="N93" t="s">
        <v>200</v>
      </c>
      <c r="O93" t="s">
        <v>381</v>
      </c>
      <c r="P93">
        <v>1.0873442805387764E-5</v>
      </c>
      <c r="Q93" t="s">
        <v>168</v>
      </c>
      <c r="S93" t="s">
        <v>219</v>
      </c>
      <c r="T93" t="s">
        <v>381</v>
      </c>
      <c r="U93">
        <v>7.4472417948395827E-6</v>
      </c>
      <c r="V93" t="s">
        <v>168</v>
      </c>
      <c r="X93">
        <v>1.1415525114155251E-4</v>
      </c>
      <c r="Y93">
        <v>2.2209515285616027E-4</v>
      </c>
      <c r="Z93" t="s">
        <v>381</v>
      </c>
      <c r="AA93" t="s">
        <v>25</v>
      </c>
      <c r="AC93" t="s">
        <v>22</v>
      </c>
      <c r="AD93" t="s">
        <v>381</v>
      </c>
      <c r="AE93">
        <v>1.4678654123293338E-4</v>
      </c>
      <c r="AG93" t="s">
        <v>96</v>
      </c>
      <c r="AH93" t="s">
        <v>381</v>
      </c>
      <c r="AI93">
        <v>0</v>
      </c>
      <c r="AK93">
        <v>2033</v>
      </c>
      <c r="AL93" t="s">
        <v>253</v>
      </c>
      <c r="AM93">
        <v>0.20480000000000001</v>
      </c>
      <c r="AN93" t="s">
        <v>247</v>
      </c>
    </row>
    <row r="94" spans="9:40" x14ac:dyDescent="0.45">
      <c r="I94" t="s">
        <v>166</v>
      </c>
      <c r="J94" t="s">
        <v>382</v>
      </c>
      <c r="K94">
        <v>0</v>
      </c>
      <c r="L94" t="s">
        <v>168</v>
      </c>
      <c r="N94" t="s">
        <v>200</v>
      </c>
      <c r="O94" t="s">
        <v>382</v>
      </c>
      <c r="P94">
        <v>1.8807906423110152E-5</v>
      </c>
      <c r="Q94" t="s">
        <v>168</v>
      </c>
      <c r="S94" t="s">
        <v>219</v>
      </c>
      <c r="T94" t="s">
        <v>382</v>
      </c>
      <c r="U94">
        <v>1.580441448413652E-5</v>
      </c>
      <c r="V94" t="s">
        <v>168</v>
      </c>
      <c r="X94">
        <v>1.1415525114155251E-4</v>
      </c>
      <c r="Y94">
        <v>2.2209515285616027E-4</v>
      </c>
      <c r="Z94" t="s">
        <v>382</v>
      </c>
      <c r="AA94" t="s">
        <v>25</v>
      </c>
      <c r="AC94" t="s">
        <v>22</v>
      </c>
      <c r="AD94" t="s">
        <v>382</v>
      </c>
      <c r="AE94">
        <v>1.5042104613747015E-4</v>
      </c>
      <c r="AG94" t="s">
        <v>96</v>
      </c>
      <c r="AH94" t="s">
        <v>382</v>
      </c>
      <c r="AI94">
        <v>0</v>
      </c>
      <c r="AK94">
        <v>2033</v>
      </c>
      <c r="AL94" t="s">
        <v>255</v>
      </c>
      <c r="AM94">
        <v>0.2135</v>
      </c>
      <c r="AN94" t="s">
        <v>247</v>
      </c>
    </row>
    <row r="95" spans="9:40" x14ac:dyDescent="0.45">
      <c r="I95" t="s">
        <v>166</v>
      </c>
      <c r="J95" t="s">
        <v>383</v>
      </c>
      <c r="K95">
        <v>0</v>
      </c>
      <c r="L95" t="s">
        <v>168</v>
      </c>
      <c r="N95" t="s">
        <v>200</v>
      </c>
      <c r="O95" t="s">
        <v>383</v>
      </c>
      <c r="P95">
        <v>2.2960477065658886E-5</v>
      </c>
      <c r="Q95" t="s">
        <v>168</v>
      </c>
      <c r="S95" t="s">
        <v>219</v>
      </c>
      <c r="T95" t="s">
        <v>383</v>
      </c>
      <c r="U95">
        <v>2.6175620887564309E-5</v>
      </c>
      <c r="V95" t="s">
        <v>168</v>
      </c>
      <c r="X95">
        <v>1.1415525114155251E-4</v>
      </c>
      <c r="Y95">
        <v>1.7237235744060203E-4</v>
      </c>
      <c r="Z95" t="s">
        <v>383</v>
      </c>
      <c r="AA95" t="s">
        <v>25</v>
      </c>
      <c r="AC95" t="s">
        <v>22</v>
      </c>
      <c r="AD95" t="s">
        <v>383</v>
      </c>
      <c r="AE95">
        <v>1.5084156736609424E-4</v>
      </c>
      <c r="AG95" t="s">
        <v>96</v>
      </c>
      <c r="AH95" t="s">
        <v>383</v>
      </c>
      <c r="AI95">
        <v>0</v>
      </c>
      <c r="AK95">
        <v>2034</v>
      </c>
      <c r="AL95" t="s">
        <v>157</v>
      </c>
      <c r="AM95">
        <v>0.16909999999999997</v>
      </c>
      <c r="AN95" t="s">
        <v>247</v>
      </c>
    </row>
    <row r="96" spans="9:40" x14ac:dyDescent="0.45">
      <c r="I96" t="s">
        <v>166</v>
      </c>
      <c r="J96" t="s">
        <v>384</v>
      </c>
      <c r="K96">
        <v>0</v>
      </c>
      <c r="L96" t="s">
        <v>168</v>
      </c>
      <c r="N96" t="s">
        <v>200</v>
      </c>
      <c r="O96" t="s">
        <v>384</v>
      </c>
      <c r="P96">
        <v>1.7945517878416605E-5</v>
      </c>
      <c r="Q96" t="s">
        <v>168</v>
      </c>
      <c r="S96" t="s">
        <v>219</v>
      </c>
      <c r="T96" t="s">
        <v>384</v>
      </c>
      <c r="U96">
        <v>3.7710553814476473E-5</v>
      </c>
      <c r="V96" t="s">
        <v>168</v>
      </c>
      <c r="X96">
        <v>1.1415525114155251E-4</v>
      </c>
      <c r="Y96">
        <v>1.5579809230208258E-4</v>
      </c>
      <c r="Z96" t="s">
        <v>384</v>
      </c>
      <c r="AA96" t="s">
        <v>25</v>
      </c>
      <c r="AC96" t="s">
        <v>22</v>
      </c>
      <c r="AD96" t="s">
        <v>384</v>
      </c>
      <c r="AE96">
        <v>1.4557378804681213E-4</v>
      </c>
      <c r="AG96" t="s">
        <v>96</v>
      </c>
      <c r="AH96" t="s">
        <v>384</v>
      </c>
      <c r="AI96">
        <v>0</v>
      </c>
      <c r="AK96">
        <v>2034</v>
      </c>
      <c r="AL96" t="s">
        <v>161</v>
      </c>
      <c r="AM96">
        <v>0.26090000000000002</v>
      </c>
      <c r="AN96" t="s">
        <v>247</v>
      </c>
    </row>
    <row r="97" spans="9:40" x14ac:dyDescent="0.45">
      <c r="I97" t="s">
        <v>166</v>
      </c>
      <c r="J97" t="s">
        <v>385</v>
      </c>
      <c r="K97">
        <v>0</v>
      </c>
      <c r="L97" t="s">
        <v>168</v>
      </c>
      <c r="N97" t="s">
        <v>200</v>
      </c>
      <c r="O97" t="s">
        <v>385</v>
      </c>
      <c r="P97">
        <v>1.4101368225566166E-5</v>
      </c>
      <c r="Q97" t="s">
        <v>168</v>
      </c>
      <c r="S97" t="s">
        <v>219</v>
      </c>
      <c r="T97" t="s">
        <v>385</v>
      </c>
      <c r="U97">
        <v>4.5478197975796727E-5</v>
      </c>
      <c r="V97" t="s">
        <v>168</v>
      </c>
      <c r="X97">
        <v>1.1415525114155251E-4</v>
      </c>
      <c r="Y97">
        <v>1.093901499142282E-4</v>
      </c>
      <c r="Z97" t="s">
        <v>385</v>
      </c>
      <c r="AA97" t="s">
        <v>25</v>
      </c>
      <c r="AC97" t="s">
        <v>22</v>
      </c>
      <c r="AD97" t="s">
        <v>385</v>
      </c>
      <c r="AE97">
        <v>1.3310082803351557E-4</v>
      </c>
      <c r="AG97" t="s">
        <v>96</v>
      </c>
      <c r="AH97" t="s">
        <v>385</v>
      </c>
      <c r="AI97">
        <v>0</v>
      </c>
      <c r="AK97">
        <v>2034</v>
      </c>
      <c r="AL97" t="s">
        <v>163</v>
      </c>
      <c r="AM97">
        <v>0.32819999999999999</v>
      </c>
      <c r="AN97" t="s">
        <v>247</v>
      </c>
    </row>
    <row r="98" spans="9:40" x14ac:dyDescent="0.45">
      <c r="I98" t="s">
        <v>166</v>
      </c>
      <c r="J98" t="s">
        <v>386</v>
      </c>
      <c r="K98">
        <v>0</v>
      </c>
      <c r="L98" t="s">
        <v>168</v>
      </c>
      <c r="N98" t="s">
        <v>200</v>
      </c>
      <c r="O98" t="s">
        <v>386</v>
      </c>
      <c r="P98">
        <v>4.6207548320742733E-6</v>
      </c>
      <c r="Q98" t="s">
        <v>168</v>
      </c>
      <c r="S98" t="s">
        <v>219</v>
      </c>
      <c r="T98" t="s">
        <v>386</v>
      </c>
      <c r="U98">
        <v>5.7378681753583971E-5</v>
      </c>
      <c r="V98" t="s">
        <v>168</v>
      </c>
      <c r="X98">
        <v>1.1415525114155251E-4</v>
      </c>
      <c r="Y98">
        <v>7.9556472664893237E-5</v>
      </c>
      <c r="Z98" t="s">
        <v>386</v>
      </c>
      <c r="AA98" t="s">
        <v>25</v>
      </c>
      <c r="AC98" t="s">
        <v>22</v>
      </c>
      <c r="AD98" t="s">
        <v>386</v>
      </c>
      <c r="AE98">
        <v>1.2568914137901606E-4</v>
      </c>
      <c r="AG98" t="s">
        <v>96</v>
      </c>
      <c r="AH98" t="s">
        <v>386</v>
      </c>
      <c r="AI98">
        <v>0</v>
      </c>
      <c r="AK98">
        <v>2034</v>
      </c>
      <c r="AL98" t="s">
        <v>249</v>
      </c>
      <c r="AM98">
        <v>0.28510000000000002</v>
      </c>
      <c r="AN98" t="s">
        <v>247</v>
      </c>
    </row>
    <row r="99" spans="9:40" x14ac:dyDescent="0.45">
      <c r="I99" t="s">
        <v>166</v>
      </c>
      <c r="J99" t="s">
        <v>387</v>
      </c>
      <c r="K99">
        <v>0</v>
      </c>
      <c r="L99" t="s">
        <v>168</v>
      </c>
      <c r="N99" t="s">
        <v>200</v>
      </c>
      <c r="O99" t="s">
        <v>387</v>
      </c>
      <c r="P99">
        <v>2.3820628754462404E-6</v>
      </c>
      <c r="Q99" t="s">
        <v>168</v>
      </c>
      <c r="S99" t="s">
        <v>219</v>
      </c>
      <c r="T99" t="s">
        <v>387</v>
      </c>
      <c r="U99">
        <v>6.7778501798388527E-5</v>
      </c>
      <c r="V99" t="s">
        <v>168</v>
      </c>
      <c r="X99">
        <v>1.1415525114155251E-4</v>
      </c>
      <c r="Y99">
        <v>5.6352501470966035E-5</v>
      </c>
      <c r="Z99" t="s">
        <v>387</v>
      </c>
      <c r="AA99" t="s">
        <v>25</v>
      </c>
      <c r="AC99" t="s">
        <v>22</v>
      </c>
      <c r="AD99" t="s">
        <v>387</v>
      </c>
      <c r="AE99">
        <v>1.1588198558289005E-4</v>
      </c>
      <c r="AG99" t="s">
        <v>96</v>
      </c>
      <c r="AH99" t="s">
        <v>387</v>
      </c>
      <c r="AI99">
        <v>0</v>
      </c>
      <c r="AK99">
        <v>2034</v>
      </c>
      <c r="AL99" t="s">
        <v>251</v>
      </c>
      <c r="AM99">
        <v>0.21290000000000001</v>
      </c>
      <c r="AN99" t="s">
        <v>247</v>
      </c>
    </row>
    <row r="100" spans="9:40" x14ac:dyDescent="0.45">
      <c r="I100" t="s">
        <v>166</v>
      </c>
      <c r="J100" t="s">
        <v>388</v>
      </c>
      <c r="K100">
        <v>0</v>
      </c>
      <c r="L100" t="s">
        <v>168</v>
      </c>
      <c r="N100" t="s">
        <v>200</v>
      </c>
      <c r="O100" t="s">
        <v>388</v>
      </c>
      <c r="P100">
        <v>2.0762052530127713E-7</v>
      </c>
      <c r="Q100" t="s">
        <v>168</v>
      </c>
      <c r="S100" t="s">
        <v>219</v>
      </c>
      <c r="T100" t="s">
        <v>388</v>
      </c>
      <c r="U100">
        <v>6.5780093643013249E-5</v>
      </c>
      <c r="V100" t="s">
        <v>168</v>
      </c>
      <c r="X100">
        <v>1.1415525114155251E-4</v>
      </c>
      <c r="Y100">
        <v>2.9833677249334962E-5</v>
      </c>
      <c r="Z100" t="s">
        <v>388</v>
      </c>
      <c r="AA100" t="s">
        <v>25</v>
      </c>
      <c r="AC100" t="s">
        <v>22</v>
      </c>
      <c r="AD100" t="s">
        <v>388</v>
      </c>
      <c r="AE100">
        <v>1.0040530250799286E-4</v>
      </c>
      <c r="AG100" t="s">
        <v>96</v>
      </c>
      <c r="AH100" t="s">
        <v>388</v>
      </c>
      <c r="AI100">
        <v>0</v>
      </c>
      <c r="AK100">
        <v>2034</v>
      </c>
      <c r="AL100" t="s">
        <v>253</v>
      </c>
      <c r="AM100">
        <v>0.21589999999999998</v>
      </c>
      <c r="AN100" t="s">
        <v>247</v>
      </c>
    </row>
    <row r="101" spans="9:40" x14ac:dyDescent="0.45">
      <c r="I101" t="s">
        <v>177</v>
      </c>
      <c r="J101" t="s">
        <v>167</v>
      </c>
      <c r="K101">
        <v>5.1548576712518877E-4</v>
      </c>
      <c r="L101" t="s">
        <v>168</v>
      </c>
      <c r="N101" t="s">
        <v>201</v>
      </c>
      <c r="O101" t="s">
        <v>167</v>
      </c>
      <c r="P101">
        <v>6.7031165567616721E-2</v>
      </c>
      <c r="Q101" t="s">
        <v>168</v>
      </c>
      <c r="S101" t="s">
        <v>220</v>
      </c>
      <c r="T101" t="s">
        <v>167</v>
      </c>
      <c r="U101">
        <v>6.7317426213145154E-2</v>
      </c>
      <c r="V101" t="s">
        <v>168</v>
      </c>
      <c r="AC101" t="s">
        <v>19</v>
      </c>
      <c r="AD101" t="s">
        <v>167</v>
      </c>
      <c r="AE101">
        <v>5.3084237148893397E-2</v>
      </c>
      <c r="AK101">
        <v>2034</v>
      </c>
      <c r="AL101" t="s">
        <v>255</v>
      </c>
      <c r="AM101">
        <v>0.2054</v>
      </c>
      <c r="AN101" t="s">
        <v>247</v>
      </c>
    </row>
    <row r="102" spans="9:40" x14ac:dyDescent="0.45">
      <c r="I102" t="s">
        <v>177</v>
      </c>
      <c r="J102" t="s">
        <v>169</v>
      </c>
      <c r="K102">
        <v>6.7661741744307969E-3</v>
      </c>
      <c r="L102" t="s">
        <v>168</v>
      </c>
      <c r="N102" t="s">
        <v>201</v>
      </c>
      <c r="O102" t="s">
        <v>169</v>
      </c>
      <c r="P102">
        <v>8.7855213079005064E-3</v>
      </c>
      <c r="Q102" t="s">
        <v>168</v>
      </c>
      <c r="S102" t="s">
        <v>220</v>
      </c>
      <c r="T102" t="s">
        <v>169</v>
      </c>
      <c r="U102">
        <v>8.0379845914257415E-3</v>
      </c>
      <c r="V102" t="s">
        <v>168</v>
      </c>
      <c r="AC102" t="s">
        <v>19</v>
      </c>
      <c r="AD102" t="s">
        <v>169</v>
      </c>
      <c r="AE102">
        <v>6.8128512704278962E-3</v>
      </c>
      <c r="AK102">
        <v>2035</v>
      </c>
      <c r="AL102" t="s">
        <v>157</v>
      </c>
      <c r="AM102">
        <v>0.17030000000000001</v>
      </c>
      <c r="AN102" t="s">
        <v>247</v>
      </c>
    </row>
    <row r="103" spans="9:40" x14ac:dyDescent="0.45">
      <c r="I103" t="s">
        <v>177</v>
      </c>
      <c r="J103" t="s">
        <v>170</v>
      </c>
      <c r="K103">
        <v>1.0871019898483244E-2</v>
      </c>
      <c r="L103" t="s">
        <v>168</v>
      </c>
      <c r="N103" t="s">
        <v>201</v>
      </c>
      <c r="O103" t="s">
        <v>170</v>
      </c>
      <c r="P103">
        <v>8.6955578419296332E-3</v>
      </c>
      <c r="Q103" t="s">
        <v>168</v>
      </c>
      <c r="S103" t="s">
        <v>220</v>
      </c>
      <c r="T103" t="s">
        <v>170</v>
      </c>
      <c r="U103">
        <v>8.1333198472157801E-3</v>
      </c>
      <c r="V103" t="s">
        <v>168</v>
      </c>
      <c r="AC103" t="s">
        <v>19</v>
      </c>
      <c r="AD103" t="s">
        <v>170</v>
      </c>
      <c r="AE103">
        <v>6.8231702796267323E-3</v>
      </c>
      <c r="AK103">
        <v>2035</v>
      </c>
      <c r="AL103" t="s">
        <v>161</v>
      </c>
      <c r="AM103">
        <v>0.251</v>
      </c>
      <c r="AN103" t="s">
        <v>247</v>
      </c>
    </row>
    <row r="104" spans="9:40" x14ac:dyDescent="0.45">
      <c r="I104" t="s">
        <v>177</v>
      </c>
      <c r="J104" t="s">
        <v>256</v>
      </c>
      <c r="K104">
        <v>8.1463728484043318E-2</v>
      </c>
      <c r="L104" t="s">
        <v>168</v>
      </c>
      <c r="N104" t="s">
        <v>201</v>
      </c>
      <c r="O104" t="s">
        <v>256</v>
      </c>
      <c r="P104">
        <v>4.8859315179236272E-2</v>
      </c>
      <c r="Q104" t="s">
        <v>168</v>
      </c>
      <c r="S104" t="s">
        <v>220</v>
      </c>
      <c r="T104" t="s">
        <v>256</v>
      </c>
      <c r="U104">
        <v>4.307071977232254E-2</v>
      </c>
      <c r="V104" t="s">
        <v>168</v>
      </c>
      <c r="AC104" t="s">
        <v>19</v>
      </c>
      <c r="AD104" t="s">
        <v>256</v>
      </c>
      <c r="AE104">
        <v>4.0867680227639057E-2</v>
      </c>
      <c r="AK104">
        <v>2035</v>
      </c>
      <c r="AL104" t="s">
        <v>163</v>
      </c>
      <c r="AM104">
        <v>0.33229999999999998</v>
      </c>
      <c r="AN104" t="s">
        <v>247</v>
      </c>
    </row>
    <row r="105" spans="9:40" x14ac:dyDescent="0.45">
      <c r="I105" t="s">
        <v>177</v>
      </c>
      <c r="J105" t="s">
        <v>257</v>
      </c>
      <c r="K105">
        <v>8.3778082004141163E-3</v>
      </c>
      <c r="L105" t="s">
        <v>168</v>
      </c>
      <c r="N105" t="s">
        <v>201</v>
      </c>
      <c r="O105" t="s">
        <v>257</v>
      </c>
      <c r="P105">
        <v>8.4698937698212337E-3</v>
      </c>
      <c r="Q105" t="s">
        <v>168</v>
      </c>
      <c r="S105" t="s">
        <v>220</v>
      </c>
      <c r="T105" t="s">
        <v>257</v>
      </c>
      <c r="U105">
        <v>7.6775425968491984E-3</v>
      </c>
      <c r="V105" t="s">
        <v>168</v>
      </c>
      <c r="AC105" t="s">
        <v>19</v>
      </c>
      <c r="AD105" t="s">
        <v>257</v>
      </c>
      <c r="AE105">
        <v>6.8317745074406499E-3</v>
      </c>
      <c r="AK105">
        <v>2035</v>
      </c>
      <c r="AL105" t="s">
        <v>249</v>
      </c>
      <c r="AM105">
        <v>0.25280000000000002</v>
      </c>
      <c r="AN105" t="s">
        <v>247</v>
      </c>
    </row>
    <row r="106" spans="9:40" x14ac:dyDescent="0.45">
      <c r="I106" t="s">
        <v>177</v>
      </c>
      <c r="J106" t="s">
        <v>258</v>
      </c>
      <c r="K106">
        <v>2.562687569915401E-3</v>
      </c>
      <c r="L106" t="s">
        <v>168</v>
      </c>
      <c r="N106" t="s">
        <v>201</v>
      </c>
      <c r="O106" t="s">
        <v>258</v>
      </c>
      <c r="P106">
        <v>5.8104259023230541E-2</v>
      </c>
      <c r="Q106" t="s">
        <v>168</v>
      </c>
      <c r="S106" t="s">
        <v>220</v>
      </c>
      <c r="T106" t="s">
        <v>258</v>
      </c>
      <c r="U106">
        <v>6.2155866275993982E-2</v>
      </c>
      <c r="V106" t="s">
        <v>168</v>
      </c>
      <c r="AC106" t="s">
        <v>19</v>
      </c>
      <c r="AD106" t="s">
        <v>258</v>
      </c>
      <c r="AE106">
        <v>4.7367524454368252E-2</v>
      </c>
      <c r="AK106">
        <v>2035</v>
      </c>
      <c r="AL106" t="s">
        <v>251</v>
      </c>
      <c r="AM106">
        <v>0.23180000000000001</v>
      </c>
      <c r="AN106" t="s">
        <v>247</v>
      </c>
    </row>
    <row r="107" spans="9:40" x14ac:dyDescent="0.45">
      <c r="I107" t="s">
        <v>177</v>
      </c>
      <c r="J107" t="s">
        <v>171</v>
      </c>
      <c r="K107">
        <v>4.1364492422098595E-2</v>
      </c>
      <c r="L107" t="s">
        <v>168</v>
      </c>
      <c r="N107" t="s">
        <v>201</v>
      </c>
      <c r="O107" t="s">
        <v>171</v>
      </c>
      <c r="P107">
        <v>0.10557270926552506</v>
      </c>
      <c r="Q107" t="s">
        <v>168</v>
      </c>
      <c r="S107" t="s">
        <v>220</v>
      </c>
      <c r="T107" t="s">
        <v>171</v>
      </c>
      <c r="U107">
        <v>0.11462968524362623</v>
      </c>
      <c r="V107" t="s">
        <v>168</v>
      </c>
      <c r="AC107" t="s">
        <v>19</v>
      </c>
      <c r="AD107" t="s">
        <v>171</v>
      </c>
      <c r="AE107">
        <v>0.11009359446781739</v>
      </c>
      <c r="AK107">
        <v>2035</v>
      </c>
      <c r="AL107" t="s">
        <v>253</v>
      </c>
      <c r="AM107">
        <v>0.1988</v>
      </c>
      <c r="AN107" t="s">
        <v>247</v>
      </c>
    </row>
    <row r="108" spans="9:40" x14ac:dyDescent="0.45">
      <c r="I108" t="s">
        <v>177</v>
      </c>
      <c r="J108" t="s">
        <v>172</v>
      </c>
      <c r="K108">
        <v>3.1124277877920513E-2</v>
      </c>
      <c r="L108" t="s">
        <v>168</v>
      </c>
      <c r="N108" t="s">
        <v>201</v>
      </c>
      <c r="O108" t="s">
        <v>172</v>
      </c>
      <c r="P108">
        <v>1.4293731810749747E-2</v>
      </c>
      <c r="Q108" t="s">
        <v>168</v>
      </c>
      <c r="S108" t="s">
        <v>220</v>
      </c>
      <c r="T108" t="s">
        <v>172</v>
      </c>
      <c r="U108">
        <v>1.3698514414471443E-2</v>
      </c>
      <c r="V108" t="s">
        <v>168</v>
      </c>
      <c r="AC108" t="s">
        <v>19</v>
      </c>
      <c r="AD108" t="s">
        <v>172</v>
      </c>
      <c r="AE108">
        <v>1.4036603426470031E-2</v>
      </c>
      <c r="AK108">
        <v>2035</v>
      </c>
      <c r="AL108" t="s">
        <v>255</v>
      </c>
      <c r="AM108">
        <v>0.215</v>
      </c>
      <c r="AN108" t="s">
        <v>247</v>
      </c>
    </row>
    <row r="109" spans="9:40" x14ac:dyDescent="0.45">
      <c r="I109" t="s">
        <v>177</v>
      </c>
      <c r="J109" t="s">
        <v>173</v>
      </c>
      <c r="K109">
        <v>3.6672887081084841E-2</v>
      </c>
      <c r="L109" t="s">
        <v>168</v>
      </c>
      <c r="N109" t="s">
        <v>201</v>
      </c>
      <c r="O109" t="s">
        <v>173</v>
      </c>
      <c r="P109">
        <v>1.4383114171008403E-2</v>
      </c>
      <c r="Q109" t="s">
        <v>168</v>
      </c>
      <c r="S109" t="s">
        <v>220</v>
      </c>
      <c r="T109" t="s">
        <v>173</v>
      </c>
      <c r="U109">
        <v>1.3032659010725966E-2</v>
      </c>
      <c r="V109" t="s">
        <v>168</v>
      </c>
      <c r="AC109" t="s">
        <v>19</v>
      </c>
      <c r="AD109" t="s">
        <v>173</v>
      </c>
      <c r="AE109">
        <v>1.4048514732669147E-2</v>
      </c>
      <c r="AK109">
        <v>2036</v>
      </c>
      <c r="AL109" t="s">
        <v>157</v>
      </c>
      <c r="AM109">
        <v>0.16935</v>
      </c>
      <c r="AN109" t="s">
        <v>247</v>
      </c>
    </row>
    <row r="110" spans="9:40" x14ac:dyDescent="0.45">
      <c r="I110" t="s">
        <v>177</v>
      </c>
      <c r="J110" t="s">
        <v>259</v>
      </c>
      <c r="K110">
        <v>0.22727488605172161</v>
      </c>
      <c r="L110" t="s">
        <v>168</v>
      </c>
      <c r="N110" t="s">
        <v>201</v>
      </c>
      <c r="O110" t="s">
        <v>259</v>
      </c>
      <c r="P110">
        <v>9.0204113142333175E-2</v>
      </c>
      <c r="Q110" t="s">
        <v>168</v>
      </c>
      <c r="S110" t="s">
        <v>220</v>
      </c>
      <c r="T110" t="s">
        <v>259</v>
      </c>
      <c r="U110">
        <v>6.8621158799559559E-2</v>
      </c>
      <c r="V110" t="s">
        <v>168</v>
      </c>
      <c r="AC110" t="s">
        <v>19</v>
      </c>
      <c r="AD110" t="s">
        <v>259</v>
      </c>
      <c r="AE110">
        <v>8.4212448917975594E-2</v>
      </c>
      <c r="AK110">
        <v>2036</v>
      </c>
      <c r="AL110" t="s">
        <v>161</v>
      </c>
      <c r="AM110">
        <v>0.25140000000000001</v>
      </c>
      <c r="AN110" t="s">
        <v>247</v>
      </c>
    </row>
    <row r="111" spans="9:40" x14ac:dyDescent="0.45">
      <c r="I111" t="s">
        <v>177</v>
      </c>
      <c r="J111" t="s">
        <v>260</v>
      </c>
      <c r="K111">
        <v>2.9206885130577905E-2</v>
      </c>
      <c r="L111" t="s">
        <v>168</v>
      </c>
      <c r="N111" t="s">
        <v>201</v>
      </c>
      <c r="O111" t="s">
        <v>260</v>
      </c>
      <c r="P111">
        <v>1.6054909595966355E-2</v>
      </c>
      <c r="Q111" t="s">
        <v>168</v>
      </c>
      <c r="S111" t="s">
        <v>220</v>
      </c>
      <c r="T111" t="s">
        <v>260</v>
      </c>
      <c r="U111">
        <v>1.299530772185626E-2</v>
      </c>
      <c r="V111" t="s">
        <v>168</v>
      </c>
      <c r="AC111" t="s">
        <v>19</v>
      </c>
      <c r="AD111" t="s">
        <v>260</v>
      </c>
      <c r="AE111">
        <v>1.4039975649736273E-2</v>
      </c>
      <c r="AK111">
        <v>2036</v>
      </c>
      <c r="AL111" t="s">
        <v>163</v>
      </c>
      <c r="AM111">
        <v>0.3241</v>
      </c>
      <c r="AN111" t="s">
        <v>247</v>
      </c>
    </row>
    <row r="112" spans="9:40" x14ac:dyDescent="0.45">
      <c r="I112" t="s">
        <v>177</v>
      </c>
      <c r="J112" t="s">
        <v>261</v>
      </c>
      <c r="K112">
        <v>3.8775966428941558E-2</v>
      </c>
      <c r="L112" t="s">
        <v>168</v>
      </c>
      <c r="N112" t="s">
        <v>201</v>
      </c>
      <c r="O112" t="s">
        <v>261</v>
      </c>
      <c r="P112">
        <v>9.8568579092004435E-2</v>
      </c>
      <c r="Q112" t="s">
        <v>168</v>
      </c>
      <c r="S112" t="s">
        <v>220</v>
      </c>
      <c r="T112" t="s">
        <v>261</v>
      </c>
      <c r="U112">
        <v>0.10147510652174674</v>
      </c>
      <c r="V112" t="s">
        <v>168</v>
      </c>
      <c r="AC112" t="s">
        <v>19</v>
      </c>
      <c r="AD112" t="s">
        <v>261</v>
      </c>
      <c r="AE112">
        <v>9.7711734663728053E-2</v>
      </c>
      <c r="AK112">
        <v>2036</v>
      </c>
      <c r="AL112" t="s">
        <v>249</v>
      </c>
      <c r="AM112">
        <v>0.24790000000000001</v>
      </c>
      <c r="AN112" t="s">
        <v>247</v>
      </c>
    </row>
    <row r="113" spans="9:40" x14ac:dyDescent="0.45">
      <c r="I113" t="s">
        <v>177</v>
      </c>
      <c r="J113" t="s">
        <v>174</v>
      </c>
      <c r="K113">
        <v>1.584695580468198E-2</v>
      </c>
      <c r="L113" t="s">
        <v>168</v>
      </c>
      <c r="N113" t="s">
        <v>201</v>
      </c>
      <c r="O113" t="s">
        <v>174</v>
      </c>
      <c r="P113">
        <v>1.0861935433484772E-2</v>
      </c>
      <c r="Q113" t="s">
        <v>168</v>
      </c>
      <c r="S113" t="s">
        <v>220</v>
      </c>
      <c r="T113" t="s">
        <v>174</v>
      </c>
      <c r="U113">
        <v>1.7805868111929333E-2</v>
      </c>
      <c r="V113" t="s">
        <v>168</v>
      </c>
      <c r="AC113" t="s">
        <v>19</v>
      </c>
      <c r="AD113" t="s">
        <v>174</v>
      </c>
      <c r="AE113">
        <v>2.7919657774016834E-2</v>
      </c>
      <c r="AK113">
        <v>2036</v>
      </c>
      <c r="AL113" t="s">
        <v>251</v>
      </c>
      <c r="AM113">
        <v>0.20930000000000001</v>
      </c>
      <c r="AN113" t="s">
        <v>247</v>
      </c>
    </row>
    <row r="114" spans="9:40" x14ac:dyDescent="0.45">
      <c r="I114" t="s">
        <v>177</v>
      </c>
      <c r="J114" t="s">
        <v>175</v>
      </c>
      <c r="K114">
        <v>9.8253908636958143E-3</v>
      </c>
      <c r="L114" t="s">
        <v>168</v>
      </c>
      <c r="N114" t="s">
        <v>201</v>
      </c>
      <c r="O114" t="s">
        <v>175</v>
      </c>
      <c r="P114">
        <v>1.3758542709184462E-3</v>
      </c>
      <c r="Q114" t="s">
        <v>168</v>
      </c>
      <c r="S114" t="s">
        <v>220</v>
      </c>
      <c r="T114" t="s">
        <v>175</v>
      </c>
      <c r="U114">
        <v>2.0749503500067791E-3</v>
      </c>
      <c r="V114" t="s">
        <v>168</v>
      </c>
      <c r="AC114" t="s">
        <v>19</v>
      </c>
      <c r="AD114" t="s">
        <v>175</v>
      </c>
      <c r="AE114">
        <v>3.5652537842164418E-3</v>
      </c>
      <c r="AK114">
        <v>2036</v>
      </c>
      <c r="AL114" t="s">
        <v>253</v>
      </c>
      <c r="AM114">
        <v>0.19495000000000001</v>
      </c>
      <c r="AN114" t="s">
        <v>247</v>
      </c>
    </row>
    <row r="115" spans="9:40" x14ac:dyDescent="0.45">
      <c r="I115" t="s">
        <v>177</v>
      </c>
      <c r="J115" t="s">
        <v>176</v>
      </c>
      <c r="K115">
        <v>1.1012269131960272E-2</v>
      </c>
      <c r="L115" t="s">
        <v>168</v>
      </c>
      <c r="N115" t="s">
        <v>201</v>
      </c>
      <c r="O115" t="s">
        <v>176</v>
      </c>
      <c r="P115">
        <v>1.1704783621959728E-3</v>
      </c>
      <c r="Q115" t="s">
        <v>168</v>
      </c>
      <c r="S115" t="s">
        <v>220</v>
      </c>
      <c r="T115" t="s">
        <v>176</v>
      </c>
      <c r="U115">
        <v>2.0183590078344431E-3</v>
      </c>
      <c r="V115" t="s">
        <v>168</v>
      </c>
      <c r="AC115" t="s">
        <v>19</v>
      </c>
      <c r="AD115" t="s">
        <v>176</v>
      </c>
      <c r="AE115">
        <v>3.5709258919697012E-3</v>
      </c>
      <c r="AK115">
        <v>2036</v>
      </c>
      <c r="AL115" t="s">
        <v>255</v>
      </c>
      <c r="AM115">
        <v>0.21110000000000001</v>
      </c>
      <c r="AN115" t="s">
        <v>247</v>
      </c>
    </row>
    <row r="116" spans="9:40" x14ac:dyDescent="0.45">
      <c r="I116" t="s">
        <v>177</v>
      </c>
      <c r="J116" t="s">
        <v>262</v>
      </c>
      <c r="K116">
        <v>6.9899701477844606E-2</v>
      </c>
      <c r="L116" t="s">
        <v>168</v>
      </c>
      <c r="N116" t="s">
        <v>201</v>
      </c>
      <c r="O116" t="s">
        <v>262</v>
      </c>
      <c r="P116">
        <v>7.6631209429825764E-3</v>
      </c>
      <c r="Q116" t="s">
        <v>168</v>
      </c>
      <c r="S116" t="s">
        <v>220</v>
      </c>
      <c r="T116" t="s">
        <v>262</v>
      </c>
      <c r="U116">
        <v>1.1166055843237483E-2</v>
      </c>
      <c r="V116" t="s">
        <v>168</v>
      </c>
      <c r="AC116" t="s">
        <v>19</v>
      </c>
      <c r="AD116" t="s">
        <v>262</v>
      </c>
      <c r="AE116">
        <v>2.1458204345080927E-2</v>
      </c>
      <c r="AK116">
        <v>2037</v>
      </c>
      <c r="AL116" t="s">
        <v>157</v>
      </c>
      <c r="AM116">
        <v>0.17059999999999997</v>
      </c>
      <c r="AN116" t="s">
        <v>247</v>
      </c>
    </row>
    <row r="117" spans="9:40" x14ac:dyDescent="0.45">
      <c r="I117" t="s">
        <v>177</v>
      </c>
      <c r="J117" t="s">
        <v>263</v>
      </c>
      <c r="K117">
        <v>9.2065804450949702E-3</v>
      </c>
      <c r="L117" t="s">
        <v>168</v>
      </c>
      <c r="N117" t="s">
        <v>201</v>
      </c>
      <c r="O117" t="s">
        <v>263</v>
      </c>
      <c r="P117">
        <v>2.1538607606657869E-3</v>
      </c>
      <c r="Q117" t="s">
        <v>168</v>
      </c>
      <c r="S117" t="s">
        <v>220</v>
      </c>
      <c r="T117" t="s">
        <v>263</v>
      </c>
      <c r="U117">
        <v>2.6372880688025498E-3</v>
      </c>
      <c r="V117" t="s">
        <v>168</v>
      </c>
      <c r="AC117" t="s">
        <v>19</v>
      </c>
      <c r="AD117" t="s">
        <v>263</v>
      </c>
      <c r="AE117">
        <v>3.5729570913482639E-3</v>
      </c>
      <c r="AK117">
        <v>2037</v>
      </c>
      <c r="AL117" t="s">
        <v>161</v>
      </c>
      <c r="AM117">
        <v>0.26657500000000001</v>
      </c>
      <c r="AN117" t="s">
        <v>247</v>
      </c>
    </row>
    <row r="118" spans="9:40" x14ac:dyDescent="0.45">
      <c r="I118" t="s">
        <v>177</v>
      </c>
      <c r="J118" t="s">
        <v>264</v>
      </c>
      <c r="K118">
        <v>1.4318991422394376E-2</v>
      </c>
      <c r="L118" t="s">
        <v>168</v>
      </c>
      <c r="N118" t="s">
        <v>201</v>
      </c>
      <c r="O118" t="s">
        <v>264</v>
      </c>
      <c r="P118">
        <v>1.3058108494494305E-2</v>
      </c>
      <c r="Q118" t="s">
        <v>168</v>
      </c>
      <c r="S118" t="s">
        <v>220</v>
      </c>
      <c r="T118" t="s">
        <v>264</v>
      </c>
      <c r="U118">
        <v>1.9070874051338425E-2</v>
      </c>
      <c r="V118" t="s">
        <v>168</v>
      </c>
      <c r="AC118" t="s">
        <v>19</v>
      </c>
      <c r="AD118" t="s">
        <v>264</v>
      </c>
      <c r="AE118">
        <v>2.4855583973740887E-2</v>
      </c>
      <c r="AK118">
        <v>2037</v>
      </c>
      <c r="AL118" t="s">
        <v>163</v>
      </c>
      <c r="AM118">
        <v>0.30259999999999998</v>
      </c>
      <c r="AN118" t="s">
        <v>247</v>
      </c>
    </row>
    <row r="119" spans="9:40" x14ac:dyDescent="0.45">
      <c r="I119" t="s">
        <v>177</v>
      </c>
      <c r="J119" t="s">
        <v>265</v>
      </c>
      <c r="K119">
        <v>1.3593444259274431E-2</v>
      </c>
      <c r="L119" t="s">
        <v>168</v>
      </c>
      <c r="N119" t="s">
        <v>201</v>
      </c>
      <c r="O119" t="s">
        <v>265</v>
      </c>
      <c r="P119">
        <v>1.6909434904900007E-2</v>
      </c>
      <c r="Q119" t="s">
        <v>168</v>
      </c>
      <c r="S119" t="s">
        <v>220</v>
      </c>
      <c r="T119" t="s">
        <v>265</v>
      </c>
      <c r="U119">
        <v>2.3523405923788588E-2</v>
      </c>
      <c r="V119" t="s">
        <v>168</v>
      </c>
      <c r="AC119" t="s">
        <v>19</v>
      </c>
      <c r="AD119" t="s">
        <v>265</v>
      </c>
      <c r="AE119">
        <v>2.7948087360352904E-2</v>
      </c>
      <c r="AK119">
        <v>2037</v>
      </c>
      <c r="AL119" t="s">
        <v>249</v>
      </c>
      <c r="AM119">
        <v>0.2586</v>
      </c>
      <c r="AN119" t="s">
        <v>247</v>
      </c>
    </row>
    <row r="120" spans="9:40" x14ac:dyDescent="0.45">
      <c r="I120" t="s">
        <v>177</v>
      </c>
      <c r="J120" t="s">
        <v>266</v>
      </c>
      <c r="K120">
        <v>9.8812086191351119E-3</v>
      </c>
      <c r="L120" t="s">
        <v>168</v>
      </c>
      <c r="N120" t="s">
        <v>201</v>
      </c>
      <c r="O120" t="s">
        <v>266</v>
      </c>
      <c r="P120">
        <v>1.6338376013092498E-3</v>
      </c>
      <c r="Q120" t="s">
        <v>168</v>
      </c>
      <c r="S120" t="s">
        <v>220</v>
      </c>
      <c r="T120" t="s">
        <v>266</v>
      </c>
      <c r="U120">
        <v>3.0599586871328621E-3</v>
      </c>
      <c r="V120" t="s">
        <v>168</v>
      </c>
      <c r="AC120" t="s">
        <v>19</v>
      </c>
      <c r="AD120" t="s">
        <v>266</v>
      </c>
      <c r="AE120">
        <v>3.5616597081064576E-3</v>
      </c>
      <c r="AK120">
        <v>2037</v>
      </c>
      <c r="AL120" t="s">
        <v>251</v>
      </c>
      <c r="AM120">
        <v>0.21240000000000001</v>
      </c>
      <c r="AN120" t="s">
        <v>247</v>
      </c>
    </row>
    <row r="121" spans="9:40" x14ac:dyDescent="0.45">
      <c r="I121" t="s">
        <v>177</v>
      </c>
      <c r="J121" t="s">
        <v>267</v>
      </c>
      <c r="K121">
        <v>1.099727623856895E-2</v>
      </c>
      <c r="L121" t="s">
        <v>168</v>
      </c>
      <c r="N121" t="s">
        <v>201</v>
      </c>
      <c r="O121" t="s">
        <v>267</v>
      </c>
      <c r="P121">
        <v>1.3044284895281639E-3</v>
      </c>
      <c r="Q121" t="s">
        <v>168</v>
      </c>
      <c r="S121" t="s">
        <v>220</v>
      </c>
      <c r="T121" t="s">
        <v>267</v>
      </c>
      <c r="U121">
        <v>2.9053813738014567E-3</v>
      </c>
      <c r="V121" t="s">
        <v>168</v>
      </c>
      <c r="AC121" t="s">
        <v>19</v>
      </c>
      <c r="AD121" t="s">
        <v>267</v>
      </c>
      <c r="AE121">
        <v>3.5679355317849745E-3</v>
      </c>
      <c r="AK121">
        <v>2037</v>
      </c>
      <c r="AL121" t="s">
        <v>253</v>
      </c>
      <c r="AM121">
        <v>0.2162</v>
      </c>
      <c r="AN121" t="s">
        <v>247</v>
      </c>
    </row>
    <row r="122" spans="9:40" x14ac:dyDescent="0.45">
      <c r="I122" t="s">
        <v>177</v>
      </c>
      <c r="J122" t="s">
        <v>268</v>
      </c>
      <c r="K122">
        <v>6.9364028338696329E-2</v>
      </c>
      <c r="L122" t="s">
        <v>168</v>
      </c>
      <c r="N122" t="s">
        <v>201</v>
      </c>
      <c r="O122" t="s">
        <v>268</v>
      </c>
      <c r="P122">
        <v>9.2736612579161701E-3</v>
      </c>
      <c r="Q122" t="s">
        <v>168</v>
      </c>
      <c r="S122" t="s">
        <v>220</v>
      </c>
      <c r="T122" t="s">
        <v>268</v>
      </c>
      <c r="U122">
        <v>1.1139310097435412E-2</v>
      </c>
      <c r="V122" t="s">
        <v>168</v>
      </c>
      <c r="AC122" t="s">
        <v>19</v>
      </c>
      <c r="AD122" t="s">
        <v>268</v>
      </c>
      <c r="AE122">
        <v>2.143855130527637E-2</v>
      </c>
      <c r="AK122">
        <v>2037</v>
      </c>
      <c r="AL122" t="s">
        <v>255</v>
      </c>
      <c r="AM122">
        <v>0.20899999999999999</v>
      </c>
      <c r="AN122" t="s">
        <v>247</v>
      </c>
    </row>
    <row r="123" spans="9:40" x14ac:dyDescent="0.45">
      <c r="I123" t="s">
        <v>177</v>
      </c>
      <c r="J123" t="s">
        <v>269</v>
      </c>
      <c r="K123">
        <v>9.254979119512053E-3</v>
      </c>
      <c r="L123" t="s">
        <v>168</v>
      </c>
      <c r="N123" t="s">
        <v>201</v>
      </c>
      <c r="O123" t="s">
        <v>269</v>
      </c>
      <c r="P123">
        <v>2.6629888201496455E-3</v>
      </c>
      <c r="Q123" t="s">
        <v>168</v>
      </c>
      <c r="S123" t="s">
        <v>220</v>
      </c>
      <c r="T123" t="s">
        <v>269</v>
      </c>
      <c r="U123">
        <v>2.2171866813777501E-3</v>
      </c>
      <c r="V123" t="s">
        <v>168</v>
      </c>
      <c r="AC123" t="s">
        <v>19</v>
      </c>
      <c r="AD123" t="s">
        <v>269</v>
      </c>
      <c r="AE123">
        <v>3.5714455499839329E-3</v>
      </c>
      <c r="AK123">
        <v>2038</v>
      </c>
      <c r="AL123" t="s">
        <v>157</v>
      </c>
      <c r="AM123">
        <v>0.1691</v>
      </c>
      <c r="AN123" t="s">
        <v>247</v>
      </c>
    </row>
    <row r="124" spans="9:40" x14ac:dyDescent="0.45">
      <c r="I124" t="s">
        <v>177</v>
      </c>
      <c r="J124" t="s">
        <v>270</v>
      </c>
      <c r="K124">
        <v>1.2506187374767148E-2</v>
      </c>
      <c r="L124" t="s">
        <v>168</v>
      </c>
      <c r="N124" t="s">
        <v>201</v>
      </c>
      <c r="O124" t="s">
        <v>270</v>
      </c>
      <c r="P124">
        <v>1.7195635182277326E-2</v>
      </c>
      <c r="Q124" t="s">
        <v>168</v>
      </c>
      <c r="S124" t="s">
        <v>220</v>
      </c>
      <c r="T124" t="s">
        <v>270</v>
      </c>
      <c r="U124">
        <v>1.9086071701089488E-2</v>
      </c>
      <c r="V124" t="s">
        <v>168</v>
      </c>
      <c r="AC124" t="s">
        <v>19</v>
      </c>
      <c r="AD124" t="s">
        <v>270</v>
      </c>
      <c r="AE124">
        <v>2.4830711538075312E-2</v>
      </c>
      <c r="AK124">
        <v>2038</v>
      </c>
      <c r="AL124" t="s">
        <v>161</v>
      </c>
      <c r="AM124">
        <v>0.254025</v>
      </c>
      <c r="AN124" t="s">
        <v>247</v>
      </c>
    </row>
    <row r="125" spans="9:40" x14ac:dyDescent="0.45">
      <c r="I125" t="s">
        <v>177</v>
      </c>
      <c r="J125" t="s">
        <v>271</v>
      </c>
      <c r="K125">
        <v>8.1613374591773223E-3</v>
      </c>
      <c r="L125" t="s">
        <v>168</v>
      </c>
      <c r="N125" t="s">
        <v>201</v>
      </c>
      <c r="O125" t="s">
        <v>271</v>
      </c>
      <c r="P125">
        <v>1.4615133991752446E-2</v>
      </c>
      <c r="Q125" t="s">
        <v>168</v>
      </c>
      <c r="S125" t="s">
        <v>220</v>
      </c>
      <c r="T125" t="s">
        <v>271</v>
      </c>
      <c r="U125">
        <v>1.7013915465628117E-2</v>
      </c>
      <c r="V125" t="s">
        <v>168</v>
      </c>
      <c r="AC125" t="s">
        <v>19</v>
      </c>
      <c r="AD125" t="s">
        <v>271</v>
      </c>
      <c r="AE125">
        <v>2.6167172098085081E-2</v>
      </c>
      <c r="AK125">
        <v>2038</v>
      </c>
      <c r="AL125" t="s">
        <v>163</v>
      </c>
      <c r="AM125">
        <v>0.32650000000000001</v>
      </c>
      <c r="AN125" t="s">
        <v>247</v>
      </c>
    </row>
    <row r="126" spans="9:40" x14ac:dyDescent="0.45">
      <c r="I126" t="s">
        <v>177</v>
      </c>
      <c r="J126" t="s">
        <v>272</v>
      </c>
      <c r="K126">
        <v>7.3735993427410619E-3</v>
      </c>
      <c r="L126" t="s">
        <v>168</v>
      </c>
      <c r="N126" t="s">
        <v>201</v>
      </c>
      <c r="O126" t="s">
        <v>272</v>
      </c>
      <c r="P126">
        <v>1.650555292210455E-3</v>
      </c>
      <c r="Q126" t="s">
        <v>168</v>
      </c>
      <c r="S126" t="s">
        <v>220</v>
      </c>
      <c r="T126" t="s">
        <v>272</v>
      </c>
      <c r="U126">
        <v>1.877146509950123E-3</v>
      </c>
      <c r="V126" t="s">
        <v>168</v>
      </c>
      <c r="AC126" t="s">
        <v>19</v>
      </c>
      <c r="AD126" t="s">
        <v>272</v>
      </c>
      <c r="AE126">
        <v>3.3318103533641528E-3</v>
      </c>
      <c r="AK126">
        <v>2038</v>
      </c>
      <c r="AL126" t="s">
        <v>249</v>
      </c>
      <c r="AM126">
        <v>0.25940000000000002</v>
      </c>
      <c r="AN126" t="s">
        <v>247</v>
      </c>
    </row>
    <row r="127" spans="9:40" x14ac:dyDescent="0.45">
      <c r="I127" t="s">
        <v>177</v>
      </c>
      <c r="J127" t="s">
        <v>273</v>
      </c>
      <c r="K127">
        <v>8.9096731520160594E-3</v>
      </c>
      <c r="L127" t="s">
        <v>168</v>
      </c>
      <c r="N127" t="s">
        <v>201</v>
      </c>
      <c r="O127" t="s">
        <v>273</v>
      </c>
      <c r="P127">
        <v>1.6697027640634129E-3</v>
      </c>
      <c r="Q127" t="s">
        <v>168</v>
      </c>
      <c r="S127" t="s">
        <v>220</v>
      </c>
      <c r="T127" t="s">
        <v>273</v>
      </c>
      <c r="U127">
        <v>1.8754212030646059E-3</v>
      </c>
      <c r="V127" t="s">
        <v>168</v>
      </c>
      <c r="AC127" t="s">
        <v>19</v>
      </c>
      <c r="AD127" t="s">
        <v>273</v>
      </c>
      <c r="AE127">
        <v>3.3345746578095862E-3</v>
      </c>
      <c r="AK127">
        <v>2038</v>
      </c>
      <c r="AL127" t="s">
        <v>251</v>
      </c>
      <c r="AM127">
        <v>0.2122</v>
      </c>
      <c r="AN127" t="s">
        <v>247</v>
      </c>
    </row>
    <row r="128" spans="9:40" x14ac:dyDescent="0.45">
      <c r="I128" t="s">
        <v>177</v>
      </c>
      <c r="J128" t="s">
        <v>274</v>
      </c>
      <c r="K128">
        <v>5.5154638181591241E-2</v>
      </c>
      <c r="L128" t="s">
        <v>168</v>
      </c>
      <c r="N128" t="s">
        <v>201</v>
      </c>
      <c r="O128" t="s">
        <v>274</v>
      </c>
      <c r="P128">
        <v>1.215835675464803E-2</v>
      </c>
      <c r="Q128" t="s">
        <v>168</v>
      </c>
      <c r="S128" t="s">
        <v>220</v>
      </c>
      <c r="T128" t="s">
        <v>274</v>
      </c>
      <c r="U128">
        <v>8.7993546371113382E-3</v>
      </c>
      <c r="V128" t="s">
        <v>168</v>
      </c>
      <c r="AC128" t="s">
        <v>19</v>
      </c>
      <c r="AD128" t="s">
        <v>274</v>
      </c>
      <c r="AE128">
        <v>2.0017407308279896E-2</v>
      </c>
      <c r="AK128">
        <v>2038</v>
      </c>
      <c r="AL128" t="s">
        <v>253</v>
      </c>
      <c r="AM128">
        <v>0.2051</v>
      </c>
      <c r="AN128" t="s">
        <v>247</v>
      </c>
    </row>
    <row r="129" spans="9:40" x14ac:dyDescent="0.45">
      <c r="I129" t="s">
        <v>177</v>
      </c>
      <c r="J129" t="s">
        <v>275</v>
      </c>
      <c r="K129">
        <v>7.3476880848055435E-3</v>
      </c>
      <c r="L129" t="s">
        <v>168</v>
      </c>
      <c r="N129" t="s">
        <v>201</v>
      </c>
      <c r="O129" t="s">
        <v>275</v>
      </c>
      <c r="P129">
        <v>2.3972339606786039E-3</v>
      </c>
      <c r="Q129" t="s">
        <v>168</v>
      </c>
      <c r="S129" t="s">
        <v>220</v>
      </c>
      <c r="T129" t="s">
        <v>275</v>
      </c>
      <c r="U129">
        <v>1.5649988753976345E-3</v>
      </c>
      <c r="V129" t="s">
        <v>168</v>
      </c>
      <c r="AC129" t="s">
        <v>19</v>
      </c>
      <c r="AD129" t="s">
        <v>275</v>
      </c>
      <c r="AE129">
        <v>3.3359796257510094E-3</v>
      </c>
      <c r="AK129">
        <v>2038</v>
      </c>
      <c r="AL129" t="s">
        <v>255</v>
      </c>
      <c r="AM129">
        <v>0.216</v>
      </c>
      <c r="AN129" t="s">
        <v>247</v>
      </c>
    </row>
    <row r="130" spans="9:40" x14ac:dyDescent="0.45">
      <c r="I130" t="s">
        <v>177</v>
      </c>
      <c r="J130" t="s">
        <v>276</v>
      </c>
      <c r="K130">
        <v>6.7585057222496895E-3</v>
      </c>
      <c r="L130" t="s">
        <v>168</v>
      </c>
      <c r="N130" t="s">
        <v>201</v>
      </c>
      <c r="O130" t="s">
        <v>276</v>
      </c>
      <c r="P130">
        <v>1.564034809539051E-2</v>
      </c>
      <c r="Q130" t="s">
        <v>168</v>
      </c>
      <c r="S130" t="s">
        <v>220</v>
      </c>
      <c r="T130" t="s">
        <v>276</v>
      </c>
      <c r="U130">
        <v>1.3685636629300764E-2</v>
      </c>
      <c r="V130" t="s">
        <v>168</v>
      </c>
      <c r="AC130" t="s">
        <v>19</v>
      </c>
      <c r="AD130" t="s">
        <v>276</v>
      </c>
      <c r="AE130">
        <v>2.3214640645885652E-2</v>
      </c>
      <c r="AK130">
        <v>2039</v>
      </c>
      <c r="AL130" t="s">
        <v>157</v>
      </c>
      <c r="AM130">
        <v>0.17665</v>
      </c>
      <c r="AN130" t="s">
        <v>247</v>
      </c>
    </row>
    <row r="131" spans="9:40" x14ac:dyDescent="0.45">
      <c r="I131" t="s">
        <v>177</v>
      </c>
      <c r="J131" t="s">
        <v>341</v>
      </c>
      <c r="K131">
        <v>0</v>
      </c>
      <c r="L131" t="s">
        <v>168</v>
      </c>
      <c r="N131" t="s">
        <v>201</v>
      </c>
      <c r="O131" t="s">
        <v>341</v>
      </c>
      <c r="P131">
        <v>2.0440767064339317E-5</v>
      </c>
      <c r="Q131" t="s">
        <v>168</v>
      </c>
      <c r="S131" t="s">
        <v>220</v>
      </c>
      <c r="T131" t="s">
        <v>341</v>
      </c>
      <c r="U131">
        <v>2.3544949993974677E-5</v>
      </c>
      <c r="V131" t="s">
        <v>168</v>
      </c>
      <c r="AC131" t="s">
        <v>19</v>
      </c>
      <c r="AD131" t="s">
        <v>341</v>
      </c>
      <c r="AE131">
        <v>1.1241082140769763E-4</v>
      </c>
      <c r="AK131">
        <v>2039</v>
      </c>
      <c r="AL131" t="s">
        <v>161</v>
      </c>
      <c r="AM131">
        <v>0.2535</v>
      </c>
      <c r="AN131" t="s">
        <v>247</v>
      </c>
    </row>
    <row r="132" spans="9:40" x14ac:dyDescent="0.45">
      <c r="I132" t="s">
        <v>177</v>
      </c>
      <c r="J132" t="s">
        <v>342</v>
      </c>
      <c r="K132">
        <v>0</v>
      </c>
      <c r="L132" t="s">
        <v>168</v>
      </c>
      <c r="N132" t="s">
        <v>201</v>
      </c>
      <c r="O132" t="s">
        <v>342</v>
      </c>
      <c r="P132">
        <v>2.4617469125519493E-5</v>
      </c>
      <c r="Q132" t="s">
        <v>168</v>
      </c>
      <c r="S132" t="s">
        <v>220</v>
      </c>
      <c r="T132" t="s">
        <v>342</v>
      </c>
      <c r="U132">
        <v>2.059135266009619E-5</v>
      </c>
      <c r="V132" t="s">
        <v>168</v>
      </c>
      <c r="AC132" t="s">
        <v>19</v>
      </c>
      <c r="AD132" t="s">
        <v>342</v>
      </c>
      <c r="AE132">
        <v>1.1226432047705346E-4</v>
      </c>
      <c r="AK132">
        <v>2039</v>
      </c>
      <c r="AL132" t="s">
        <v>163</v>
      </c>
      <c r="AM132">
        <v>0.30370000000000003</v>
      </c>
      <c r="AN132" t="s">
        <v>247</v>
      </c>
    </row>
    <row r="133" spans="9:40" x14ac:dyDescent="0.45">
      <c r="I133" t="s">
        <v>177</v>
      </c>
      <c r="J133" t="s">
        <v>343</v>
      </c>
      <c r="K133">
        <v>0</v>
      </c>
      <c r="L133" t="s">
        <v>168</v>
      </c>
      <c r="N133" t="s">
        <v>201</v>
      </c>
      <c r="O133" t="s">
        <v>343</v>
      </c>
      <c r="P133">
        <v>2.9716518247560959E-5</v>
      </c>
      <c r="Q133" t="s">
        <v>168</v>
      </c>
      <c r="S133" t="s">
        <v>220</v>
      </c>
      <c r="T133" t="s">
        <v>343</v>
      </c>
      <c r="U133">
        <v>1.4161056127448906E-5</v>
      </c>
      <c r="V133" t="s">
        <v>168</v>
      </c>
      <c r="AC133" t="s">
        <v>19</v>
      </c>
      <c r="AD133" t="s">
        <v>343</v>
      </c>
      <c r="AE133">
        <v>1.1226161861562765E-4</v>
      </c>
      <c r="AK133">
        <v>2039</v>
      </c>
      <c r="AL133" t="s">
        <v>249</v>
      </c>
      <c r="AM133">
        <v>0.2374</v>
      </c>
      <c r="AN133" t="s">
        <v>247</v>
      </c>
    </row>
    <row r="134" spans="9:40" x14ac:dyDescent="0.45">
      <c r="I134" t="s">
        <v>177</v>
      </c>
      <c r="J134" t="s">
        <v>344</v>
      </c>
      <c r="K134">
        <v>0</v>
      </c>
      <c r="L134" t="s">
        <v>168</v>
      </c>
      <c r="N134" t="s">
        <v>201</v>
      </c>
      <c r="O134" t="s">
        <v>344</v>
      </c>
      <c r="P134">
        <v>3.6792893552401358E-5</v>
      </c>
      <c r="Q134" t="s">
        <v>168</v>
      </c>
      <c r="S134" t="s">
        <v>220</v>
      </c>
      <c r="T134" t="s">
        <v>344</v>
      </c>
      <c r="U134">
        <v>1.0099771731413158E-5</v>
      </c>
      <c r="V134" t="s">
        <v>168</v>
      </c>
      <c r="AC134" t="s">
        <v>19</v>
      </c>
      <c r="AD134" t="s">
        <v>344</v>
      </c>
      <c r="AE134">
        <v>1.1229163929813669E-4</v>
      </c>
      <c r="AK134">
        <v>2039</v>
      </c>
      <c r="AL134" t="s">
        <v>251</v>
      </c>
      <c r="AM134">
        <v>0.1978</v>
      </c>
      <c r="AN134" t="s">
        <v>247</v>
      </c>
    </row>
    <row r="135" spans="9:40" x14ac:dyDescent="0.45">
      <c r="I135" t="s">
        <v>177</v>
      </c>
      <c r="J135" t="s">
        <v>345</v>
      </c>
      <c r="K135">
        <v>0</v>
      </c>
      <c r="L135" t="s">
        <v>168</v>
      </c>
      <c r="N135" t="s">
        <v>201</v>
      </c>
      <c r="O135" t="s">
        <v>345</v>
      </c>
      <c r="P135">
        <v>4.0501369853268302E-5</v>
      </c>
      <c r="Q135" t="s">
        <v>168</v>
      </c>
      <c r="S135" t="s">
        <v>220</v>
      </c>
      <c r="T135" t="s">
        <v>345</v>
      </c>
      <c r="U135">
        <v>1.0414260014195895E-5</v>
      </c>
      <c r="V135" t="s">
        <v>168</v>
      </c>
      <c r="AC135" t="s">
        <v>19</v>
      </c>
      <c r="AD135" t="s">
        <v>345</v>
      </c>
      <c r="AE135">
        <v>1.127080261645372E-4</v>
      </c>
      <c r="AK135">
        <v>2039</v>
      </c>
      <c r="AL135" t="s">
        <v>253</v>
      </c>
      <c r="AM135">
        <v>0.2089</v>
      </c>
      <c r="AN135" t="s">
        <v>247</v>
      </c>
    </row>
    <row r="136" spans="9:40" x14ac:dyDescent="0.45">
      <c r="I136" t="s">
        <v>177</v>
      </c>
      <c r="J136" t="s">
        <v>346</v>
      </c>
      <c r="K136">
        <v>0</v>
      </c>
      <c r="L136" t="s">
        <v>168</v>
      </c>
      <c r="N136" t="s">
        <v>201</v>
      </c>
      <c r="O136" t="s">
        <v>346</v>
      </c>
      <c r="P136">
        <v>4.5991429423261931E-5</v>
      </c>
      <c r="Q136" t="s">
        <v>168</v>
      </c>
      <c r="S136" t="s">
        <v>220</v>
      </c>
      <c r="T136" t="s">
        <v>346</v>
      </c>
      <c r="U136">
        <v>1.7987970492430284E-5</v>
      </c>
      <c r="V136" t="s">
        <v>168</v>
      </c>
      <c r="AC136" t="s">
        <v>19</v>
      </c>
      <c r="AD136" t="s">
        <v>346</v>
      </c>
      <c r="AE136">
        <v>1.1345464053853725E-4</v>
      </c>
      <c r="AK136">
        <v>2039</v>
      </c>
      <c r="AL136" t="s">
        <v>255</v>
      </c>
      <c r="AM136">
        <v>0.19120000000000001</v>
      </c>
      <c r="AN136" t="s">
        <v>247</v>
      </c>
    </row>
    <row r="137" spans="9:40" x14ac:dyDescent="0.45">
      <c r="I137" t="s">
        <v>177</v>
      </c>
      <c r="J137" t="s">
        <v>347</v>
      </c>
      <c r="K137">
        <v>8.7303782720072676E-5</v>
      </c>
      <c r="L137" t="s">
        <v>168</v>
      </c>
      <c r="N137" t="s">
        <v>201</v>
      </c>
      <c r="O137" t="s">
        <v>347</v>
      </c>
      <c r="P137">
        <v>4.8510116332725477E-5</v>
      </c>
      <c r="Q137" t="s">
        <v>168</v>
      </c>
      <c r="S137" t="s">
        <v>220</v>
      </c>
      <c r="T137" t="s">
        <v>347</v>
      </c>
      <c r="U137">
        <v>2.3456930734740672E-5</v>
      </c>
      <c r="V137" t="s">
        <v>168</v>
      </c>
      <c r="AC137" t="s">
        <v>19</v>
      </c>
      <c r="AD137" t="s">
        <v>347</v>
      </c>
      <c r="AE137">
        <v>1.1428381178943719E-4</v>
      </c>
      <c r="AK137">
        <v>2040</v>
      </c>
      <c r="AL137" t="s">
        <v>157</v>
      </c>
      <c r="AM137">
        <v>0.16744999999999999</v>
      </c>
      <c r="AN137" t="s">
        <v>247</v>
      </c>
    </row>
    <row r="138" spans="9:40" x14ac:dyDescent="0.45">
      <c r="I138" t="s">
        <v>177</v>
      </c>
      <c r="J138" t="s">
        <v>348</v>
      </c>
      <c r="K138">
        <v>1.4737515903123766E-4</v>
      </c>
      <c r="L138" t="s">
        <v>168</v>
      </c>
      <c r="N138" t="s">
        <v>201</v>
      </c>
      <c r="O138" t="s">
        <v>348</v>
      </c>
      <c r="P138">
        <v>4.4031650520355356E-5</v>
      </c>
      <c r="Q138" t="s">
        <v>168</v>
      </c>
      <c r="S138" t="s">
        <v>220</v>
      </c>
      <c r="T138" t="s">
        <v>348</v>
      </c>
      <c r="U138">
        <v>2.6028590818857375E-5</v>
      </c>
      <c r="V138" t="s">
        <v>168</v>
      </c>
      <c r="AC138" t="s">
        <v>19</v>
      </c>
      <c r="AD138" t="s">
        <v>348</v>
      </c>
      <c r="AE138">
        <v>1.1507845925545173E-4</v>
      </c>
      <c r="AK138">
        <v>2040</v>
      </c>
      <c r="AL138" t="s">
        <v>161</v>
      </c>
      <c r="AM138">
        <v>0.2525</v>
      </c>
      <c r="AN138" t="s">
        <v>247</v>
      </c>
    </row>
    <row r="139" spans="9:40" x14ac:dyDescent="0.45">
      <c r="I139" t="s">
        <v>177</v>
      </c>
      <c r="J139" t="s">
        <v>349</v>
      </c>
      <c r="K139">
        <v>1.6267805511777301E-4</v>
      </c>
      <c r="L139" t="s">
        <v>168</v>
      </c>
      <c r="N139" t="s">
        <v>201</v>
      </c>
      <c r="O139" t="s">
        <v>349</v>
      </c>
      <c r="P139">
        <v>4.0690729395033248E-5</v>
      </c>
      <c r="Q139" t="s">
        <v>168</v>
      </c>
      <c r="S139" t="s">
        <v>220</v>
      </c>
      <c r="T139" t="s">
        <v>349</v>
      </c>
      <c r="U139">
        <v>2.7020473019650774E-5</v>
      </c>
      <c r="V139" t="s">
        <v>168</v>
      </c>
      <c r="AC139" t="s">
        <v>19</v>
      </c>
      <c r="AD139" t="s">
        <v>349</v>
      </c>
      <c r="AE139">
        <v>1.1550865563580639E-4</v>
      </c>
      <c r="AK139">
        <v>2040</v>
      </c>
      <c r="AL139" t="s">
        <v>163</v>
      </c>
      <c r="AM139">
        <v>0.31090000000000001</v>
      </c>
      <c r="AN139" t="s">
        <v>247</v>
      </c>
    </row>
    <row r="140" spans="9:40" x14ac:dyDescent="0.45">
      <c r="I140" t="s">
        <v>177</v>
      </c>
      <c r="J140" t="s">
        <v>350</v>
      </c>
      <c r="K140">
        <v>2.3546261602684082E-4</v>
      </c>
      <c r="L140" t="s">
        <v>168</v>
      </c>
      <c r="N140" t="s">
        <v>201</v>
      </c>
      <c r="O140" t="s">
        <v>350</v>
      </c>
      <c r="P140">
        <v>3.4847479662916259E-5</v>
      </c>
      <c r="Q140" t="s">
        <v>168</v>
      </c>
      <c r="S140" t="s">
        <v>220</v>
      </c>
      <c r="T140" t="s">
        <v>350</v>
      </c>
      <c r="U140">
        <v>2.2319317178640165E-5</v>
      </c>
      <c r="V140" t="s">
        <v>168</v>
      </c>
      <c r="AC140" t="s">
        <v>19</v>
      </c>
      <c r="AD140" t="s">
        <v>350</v>
      </c>
      <c r="AE140">
        <v>1.1554768252306816E-4</v>
      </c>
      <c r="AK140">
        <v>2040</v>
      </c>
      <c r="AL140" t="s">
        <v>249</v>
      </c>
      <c r="AM140">
        <v>0.26450000000000001</v>
      </c>
      <c r="AN140" t="s">
        <v>247</v>
      </c>
    </row>
    <row r="141" spans="9:40" x14ac:dyDescent="0.45">
      <c r="I141" t="s">
        <v>177</v>
      </c>
      <c r="J141" t="s">
        <v>351</v>
      </c>
      <c r="K141">
        <v>2.4986796908509421E-4</v>
      </c>
      <c r="L141" t="s">
        <v>168</v>
      </c>
      <c r="N141" t="s">
        <v>201</v>
      </c>
      <c r="O141" t="s">
        <v>351</v>
      </c>
      <c r="P141">
        <v>2.2543728563661438E-5</v>
      </c>
      <c r="Q141" t="s">
        <v>168</v>
      </c>
      <c r="S141" t="s">
        <v>220</v>
      </c>
      <c r="T141" t="s">
        <v>351</v>
      </c>
      <c r="U141">
        <v>1.7816355741813784E-5</v>
      </c>
      <c r="V141" t="s">
        <v>168</v>
      </c>
      <c r="AC141" t="s">
        <v>19</v>
      </c>
      <c r="AD141" t="s">
        <v>351</v>
      </c>
      <c r="AE141">
        <v>1.1556479431209832E-4</v>
      </c>
      <c r="AK141">
        <v>2040</v>
      </c>
      <c r="AL141" t="s">
        <v>251</v>
      </c>
      <c r="AM141">
        <v>0.2356</v>
      </c>
      <c r="AN141" t="s">
        <v>247</v>
      </c>
    </row>
    <row r="142" spans="9:40" x14ac:dyDescent="0.45">
      <c r="I142" t="s">
        <v>177</v>
      </c>
      <c r="J142" t="s">
        <v>352</v>
      </c>
      <c r="K142">
        <v>2.6057532665115321E-4</v>
      </c>
      <c r="L142" t="s">
        <v>168</v>
      </c>
      <c r="N142" t="s">
        <v>201</v>
      </c>
      <c r="O142" t="s">
        <v>352</v>
      </c>
      <c r="P142">
        <v>2.7043323786551697E-5</v>
      </c>
      <c r="Q142" t="s">
        <v>168</v>
      </c>
      <c r="S142" t="s">
        <v>220</v>
      </c>
      <c r="T142" t="s">
        <v>352</v>
      </c>
      <c r="U142">
        <v>8.313851494708935E-6</v>
      </c>
      <c r="V142" t="s">
        <v>168</v>
      </c>
      <c r="AC142" t="s">
        <v>19</v>
      </c>
      <c r="AD142" t="s">
        <v>352</v>
      </c>
      <c r="AE142">
        <v>1.1553777569784019E-4</v>
      </c>
      <c r="AK142">
        <v>2040</v>
      </c>
      <c r="AL142" t="s">
        <v>253</v>
      </c>
      <c r="AM142">
        <v>0.20100000000000001</v>
      </c>
      <c r="AN142" t="s">
        <v>247</v>
      </c>
    </row>
    <row r="143" spans="9:40" x14ac:dyDescent="0.45">
      <c r="I143" t="s">
        <v>177</v>
      </c>
      <c r="J143" t="s">
        <v>353</v>
      </c>
      <c r="K143">
        <v>1.9481723038306298E-4</v>
      </c>
      <c r="L143" t="s">
        <v>168</v>
      </c>
      <c r="N143" t="s">
        <v>201</v>
      </c>
      <c r="O143" t="s">
        <v>353</v>
      </c>
      <c r="P143">
        <v>3.0995821570623196E-5</v>
      </c>
      <c r="Q143" t="s">
        <v>168</v>
      </c>
      <c r="S143" t="s">
        <v>220</v>
      </c>
      <c r="T143" t="s">
        <v>353</v>
      </c>
      <c r="U143">
        <v>2.2696584692298069E-6</v>
      </c>
      <c r="V143" t="s">
        <v>168</v>
      </c>
      <c r="AC143" t="s">
        <v>19</v>
      </c>
      <c r="AD143" t="s">
        <v>353</v>
      </c>
      <c r="AE143">
        <v>1.1557169906907541E-4</v>
      </c>
      <c r="AK143">
        <v>2040</v>
      </c>
      <c r="AL143" t="s">
        <v>255</v>
      </c>
      <c r="AM143">
        <v>0.19409999999999999</v>
      </c>
      <c r="AN143" t="s">
        <v>247</v>
      </c>
    </row>
    <row r="144" spans="9:40" x14ac:dyDescent="0.45">
      <c r="I144" t="s">
        <v>177</v>
      </c>
      <c r="J144" t="s">
        <v>354</v>
      </c>
      <c r="K144">
        <v>1.6873188722908565E-4</v>
      </c>
      <c r="L144" t="s">
        <v>168</v>
      </c>
      <c r="N144" t="s">
        <v>201</v>
      </c>
      <c r="O144" t="s">
        <v>354</v>
      </c>
      <c r="P144">
        <v>3.2786547440050845E-5</v>
      </c>
      <c r="Q144" t="s">
        <v>168</v>
      </c>
      <c r="S144" t="s">
        <v>220</v>
      </c>
      <c r="T144" t="s">
        <v>354</v>
      </c>
      <c r="U144">
        <v>3.5697822227054419E-6</v>
      </c>
      <c r="V144" t="s">
        <v>168</v>
      </c>
      <c r="AC144" t="s">
        <v>19</v>
      </c>
      <c r="AD144" t="s">
        <v>354</v>
      </c>
      <c r="AE144">
        <v>1.1553837611149036E-4</v>
      </c>
      <c r="AK144">
        <v>2041</v>
      </c>
      <c r="AL144" t="s">
        <v>157</v>
      </c>
      <c r="AM144">
        <v>0.17595</v>
      </c>
      <c r="AN144" t="s">
        <v>247</v>
      </c>
    </row>
    <row r="145" spans="9:40" x14ac:dyDescent="0.45">
      <c r="I145" t="s">
        <v>177</v>
      </c>
      <c r="J145" t="s">
        <v>355</v>
      </c>
      <c r="K145">
        <v>1.9663182960483682E-4</v>
      </c>
      <c r="L145" t="s">
        <v>168</v>
      </c>
      <c r="N145" t="s">
        <v>201</v>
      </c>
      <c r="O145" t="s">
        <v>355</v>
      </c>
      <c r="P145">
        <v>3.4824250736758427E-5</v>
      </c>
      <c r="Q145" t="s">
        <v>168</v>
      </c>
      <c r="S145" t="s">
        <v>220</v>
      </c>
      <c r="T145" t="s">
        <v>355</v>
      </c>
      <c r="U145">
        <v>5.1623190624095222E-6</v>
      </c>
      <c r="V145" t="s">
        <v>168</v>
      </c>
      <c r="AC145" t="s">
        <v>19</v>
      </c>
      <c r="AD145" t="s">
        <v>355</v>
      </c>
      <c r="AE145">
        <v>1.1551015666993185E-4</v>
      </c>
      <c r="AK145">
        <v>2041</v>
      </c>
      <c r="AL145" t="s">
        <v>161</v>
      </c>
      <c r="AM145">
        <v>0.24497500000000003</v>
      </c>
      <c r="AN145" t="s">
        <v>247</v>
      </c>
    </row>
    <row r="146" spans="9:40" x14ac:dyDescent="0.45">
      <c r="I146" t="s">
        <v>177</v>
      </c>
      <c r="J146" t="s">
        <v>356</v>
      </c>
      <c r="K146">
        <v>1.3880203231269326E-4</v>
      </c>
      <c r="L146" t="s">
        <v>168</v>
      </c>
      <c r="N146" t="s">
        <v>201</v>
      </c>
      <c r="O146" t="s">
        <v>356</v>
      </c>
      <c r="P146">
        <v>4.0580986354876906E-5</v>
      </c>
      <c r="Q146" t="s">
        <v>168</v>
      </c>
      <c r="S146" t="s">
        <v>220</v>
      </c>
      <c r="T146" t="s">
        <v>356</v>
      </c>
      <c r="U146">
        <v>8.7823419865542266E-6</v>
      </c>
      <c r="V146" t="s">
        <v>168</v>
      </c>
      <c r="AC146" t="s">
        <v>19</v>
      </c>
      <c r="AD146" t="s">
        <v>356</v>
      </c>
      <c r="AE146">
        <v>1.1551015666993185E-4</v>
      </c>
      <c r="AK146">
        <v>2041</v>
      </c>
      <c r="AL146" t="s">
        <v>163</v>
      </c>
      <c r="AM146">
        <v>0.31219999999999998</v>
      </c>
      <c r="AN146" t="s">
        <v>247</v>
      </c>
    </row>
    <row r="147" spans="9:40" x14ac:dyDescent="0.45">
      <c r="I147" t="s">
        <v>177</v>
      </c>
      <c r="J147" t="s">
        <v>357</v>
      </c>
      <c r="K147">
        <v>1.7357151600776603E-4</v>
      </c>
      <c r="L147" t="s">
        <v>168</v>
      </c>
      <c r="N147" t="s">
        <v>201</v>
      </c>
      <c r="O147" t="s">
        <v>357</v>
      </c>
      <c r="P147">
        <v>4.6427190643826498E-5</v>
      </c>
      <c r="Q147" t="s">
        <v>168</v>
      </c>
      <c r="S147" t="s">
        <v>220</v>
      </c>
      <c r="T147" t="s">
        <v>357</v>
      </c>
      <c r="U147">
        <v>1.470233829042456E-5</v>
      </c>
      <c r="V147" t="s">
        <v>168</v>
      </c>
      <c r="AC147" t="s">
        <v>19</v>
      </c>
      <c r="AD147" t="s">
        <v>357</v>
      </c>
      <c r="AE147">
        <v>1.1553897652514053E-4</v>
      </c>
      <c r="AK147">
        <v>2041</v>
      </c>
      <c r="AL147" t="s">
        <v>249</v>
      </c>
      <c r="AM147">
        <v>0.25140000000000001</v>
      </c>
      <c r="AN147" t="s">
        <v>247</v>
      </c>
    </row>
    <row r="148" spans="9:40" x14ac:dyDescent="0.45">
      <c r="I148" t="s">
        <v>177</v>
      </c>
      <c r="J148" t="s">
        <v>358</v>
      </c>
      <c r="K148">
        <v>8.5198342162647221E-5</v>
      </c>
      <c r="L148" t="s">
        <v>168</v>
      </c>
      <c r="N148" t="s">
        <v>201</v>
      </c>
      <c r="O148" t="s">
        <v>358</v>
      </c>
      <c r="P148">
        <v>4.5588896598197025E-5</v>
      </c>
      <c r="Q148" t="s">
        <v>168</v>
      </c>
      <c r="S148" t="s">
        <v>220</v>
      </c>
      <c r="T148" t="s">
        <v>358</v>
      </c>
      <c r="U148">
        <v>2.561195706930611E-5</v>
      </c>
      <c r="V148" t="s">
        <v>168</v>
      </c>
      <c r="AC148" t="s">
        <v>19</v>
      </c>
      <c r="AD148" t="s">
        <v>358</v>
      </c>
      <c r="AE148">
        <v>1.1553117114768819E-4</v>
      </c>
      <c r="AK148">
        <v>2041</v>
      </c>
      <c r="AL148" t="s">
        <v>251</v>
      </c>
      <c r="AM148">
        <v>0.2162</v>
      </c>
      <c r="AN148" t="s">
        <v>247</v>
      </c>
    </row>
    <row r="149" spans="9:40" x14ac:dyDescent="0.45">
      <c r="I149" t="s">
        <v>177</v>
      </c>
      <c r="J149" t="s">
        <v>359</v>
      </c>
      <c r="K149">
        <v>0</v>
      </c>
      <c r="L149" t="s">
        <v>168</v>
      </c>
      <c r="N149" t="s">
        <v>201</v>
      </c>
      <c r="O149" t="s">
        <v>359</v>
      </c>
      <c r="P149">
        <v>3.887153733461196E-5</v>
      </c>
      <c r="Q149" t="s">
        <v>168</v>
      </c>
      <c r="S149" t="s">
        <v>220</v>
      </c>
      <c r="T149" t="s">
        <v>359</v>
      </c>
      <c r="U149">
        <v>4.1813508681019969E-5</v>
      </c>
      <c r="V149" t="s">
        <v>168</v>
      </c>
      <c r="AC149" t="s">
        <v>19</v>
      </c>
      <c r="AD149" t="s">
        <v>359</v>
      </c>
      <c r="AE149">
        <v>1.1556329327797286E-4</v>
      </c>
      <c r="AK149">
        <v>2041</v>
      </c>
      <c r="AL149" t="s">
        <v>253</v>
      </c>
      <c r="AM149">
        <v>0.19774999999999998</v>
      </c>
      <c r="AN149" t="s">
        <v>247</v>
      </c>
    </row>
    <row r="150" spans="9:40" x14ac:dyDescent="0.45">
      <c r="I150" t="s">
        <v>177</v>
      </c>
      <c r="J150" t="s">
        <v>360</v>
      </c>
      <c r="K150">
        <v>0</v>
      </c>
      <c r="L150" t="s">
        <v>168</v>
      </c>
      <c r="N150" t="s">
        <v>201</v>
      </c>
      <c r="O150" t="s">
        <v>360</v>
      </c>
      <c r="P150">
        <v>3.2210702863054581E-5</v>
      </c>
      <c r="Q150" t="s">
        <v>168</v>
      </c>
      <c r="S150" t="s">
        <v>220</v>
      </c>
      <c r="T150" t="s">
        <v>360</v>
      </c>
      <c r="U150">
        <v>5.5828835538176612E-5</v>
      </c>
      <c r="V150" t="s">
        <v>168</v>
      </c>
      <c r="AC150" t="s">
        <v>19</v>
      </c>
      <c r="AD150" t="s">
        <v>360</v>
      </c>
      <c r="AE150">
        <v>1.1548463908979917E-4</v>
      </c>
      <c r="AK150">
        <v>2041</v>
      </c>
      <c r="AL150" t="s">
        <v>255</v>
      </c>
      <c r="AM150">
        <v>0.19900000000000001</v>
      </c>
      <c r="AN150" t="s">
        <v>247</v>
      </c>
    </row>
    <row r="151" spans="9:40" x14ac:dyDescent="0.45">
      <c r="I151" t="s">
        <v>177</v>
      </c>
      <c r="J151" t="s">
        <v>361</v>
      </c>
      <c r="K151">
        <v>0</v>
      </c>
      <c r="L151" t="s">
        <v>168</v>
      </c>
      <c r="N151" t="s">
        <v>201</v>
      </c>
      <c r="O151" t="s">
        <v>361</v>
      </c>
      <c r="P151">
        <v>2.7511951357342295E-5</v>
      </c>
      <c r="Q151" t="s">
        <v>168</v>
      </c>
      <c r="S151" t="s">
        <v>220</v>
      </c>
      <c r="T151" t="s">
        <v>361</v>
      </c>
      <c r="U151">
        <v>5.8467755550643359E-5</v>
      </c>
      <c r="V151" t="s">
        <v>168</v>
      </c>
      <c r="AC151" t="s">
        <v>19</v>
      </c>
      <c r="AD151" t="s">
        <v>361</v>
      </c>
      <c r="AE151">
        <v>1.1522916308164714E-4</v>
      </c>
      <c r="AK151">
        <v>2042</v>
      </c>
      <c r="AL151" t="s">
        <v>157</v>
      </c>
      <c r="AM151">
        <v>0.17399999999999999</v>
      </c>
      <c r="AN151" t="s">
        <v>247</v>
      </c>
    </row>
    <row r="152" spans="9:40" x14ac:dyDescent="0.45">
      <c r="I152" t="s">
        <v>177</v>
      </c>
      <c r="J152" t="s">
        <v>362</v>
      </c>
      <c r="K152">
        <v>0</v>
      </c>
      <c r="L152" t="s">
        <v>168</v>
      </c>
      <c r="N152" t="s">
        <v>201</v>
      </c>
      <c r="O152" t="s">
        <v>362</v>
      </c>
      <c r="P152">
        <v>2.4168052159736931E-5</v>
      </c>
      <c r="Q152" t="s">
        <v>168</v>
      </c>
      <c r="S152" t="s">
        <v>220</v>
      </c>
      <c r="T152" t="s">
        <v>362</v>
      </c>
      <c r="U152">
        <v>5.7629002624978997E-5</v>
      </c>
      <c r="V152" t="s">
        <v>168</v>
      </c>
      <c r="AC152" t="s">
        <v>19</v>
      </c>
      <c r="AD152" t="s">
        <v>362</v>
      </c>
      <c r="AE152">
        <v>1.1476714477783288E-4</v>
      </c>
      <c r="AK152">
        <v>2042</v>
      </c>
      <c r="AL152" t="s">
        <v>161</v>
      </c>
      <c r="AM152">
        <v>0.26855000000000001</v>
      </c>
      <c r="AN152" t="s">
        <v>247</v>
      </c>
    </row>
    <row r="153" spans="9:40" x14ac:dyDescent="0.45">
      <c r="I153" t="s">
        <v>177</v>
      </c>
      <c r="J153" t="s">
        <v>363</v>
      </c>
      <c r="K153">
        <v>0</v>
      </c>
      <c r="L153" t="s">
        <v>168</v>
      </c>
      <c r="N153" t="s">
        <v>201</v>
      </c>
      <c r="O153" t="s">
        <v>363</v>
      </c>
      <c r="P153">
        <v>1.4044311482532226E-5</v>
      </c>
      <c r="Q153" t="s">
        <v>168</v>
      </c>
      <c r="S153" t="s">
        <v>220</v>
      </c>
      <c r="T153" t="s">
        <v>363</v>
      </c>
      <c r="U153">
        <v>5.7459230669253501E-5</v>
      </c>
      <c r="V153" t="s">
        <v>168</v>
      </c>
      <c r="AC153" t="s">
        <v>19</v>
      </c>
      <c r="AD153" t="s">
        <v>363</v>
      </c>
      <c r="AE153">
        <v>1.1353329472671097E-4</v>
      </c>
      <c r="AK153">
        <v>2042</v>
      </c>
      <c r="AL153" t="s">
        <v>163</v>
      </c>
      <c r="AM153">
        <v>0.33389999999999997</v>
      </c>
      <c r="AN153" t="s">
        <v>247</v>
      </c>
    </row>
    <row r="154" spans="9:40" x14ac:dyDescent="0.45">
      <c r="I154" t="s">
        <v>177</v>
      </c>
      <c r="J154" t="s">
        <v>364</v>
      </c>
      <c r="K154">
        <v>0</v>
      </c>
      <c r="L154" t="s">
        <v>168</v>
      </c>
      <c r="N154" t="s">
        <v>201</v>
      </c>
      <c r="O154" t="s">
        <v>364</v>
      </c>
      <c r="P154">
        <v>7.9912511561859859E-6</v>
      </c>
      <c r="Q154" t="s">
        <v>168</v>
      </c>
      <c r="S154" t="s">
        <v>220</v>
      </c>
      <c r="T154" t="s">
        <v>364</v>
      </c>
      <c r="U154">
        <v>4.6326370747898632E-5</v>
      </c>
      <c r="V154" t="s">
        <v>168</v>
      </c>
      <c r="AC154" t="s">
        <v>19</v>
      </c>
      <c r="AD154" t="s">
        <v>364</v>
      </c>
      <c r="AE154">
        <v>1.128818459162646E-4</v>
      </c>
      <c r="AK154">
        <v>2042</v>
      </c>
      <c r="AL154" t="s">
        <v>249</v>
      </c>
      <c r="AM154">
        <v>0.27289999999999998</v>
      </c>
      <c r="AN154" t="s">
        <v>247</v>
      </c>
    </row>
    <row r="155" spans="9:40" x14ac:dyDescent="0.45">
      <c r="I155" t="s">
        <v>177</v>
      </c>
      <c r="J155" t="s">
        <v>277</v>
      </c>
      <c r="K155">
        <v>2.6097904296106867E-3</v>
      </c>
      <c r="L155" t="s">
        <v>168</v>
      </c>
      <c r="N155" t="s">
        <v>201</v>
      </c>
      <c r="O155" t="s">
        <v>277</v>
      </c>
      <c r="P155">
        <v>8.1596239216422145E-2</v>
      </c>
      <c r="Q155" t="s">
        <v>168</v>
      </c>
      <c r="S155" t="s">
        <v>220</v>
      </c>
      <c r="T155" t="s">
        <v>277</v>
      </c>
      <c r="U155">
        <v>7.6769751231451189E-2</v>
      </c>
      <c r="V155" t="s">
        <v>168</v>
      </c>
      <c r="AC155" t="s">
        <v>19</v>
      </c>
      <c r="AD155" t="s">
        <v>277</v>
      </c>
      <c r="AE155">
        <v>5.5010316145554718E-2</v>
      </c>
      <c r="AK155">
        <v>2042</v>
      </c>
      <c r="AL155" t="s">
        <v>251</v>
      </c>
      <c r="AM155">
        <v>0.2157</v>
      </c>
      <c r="AN155" t="s">
        <v>247</v>
      </c>
    </row>
    <row r="156" spans="9:40" x14ac:dyDescent="0.45">
      <c r="I156" t="s">
        <v>177</v>
      </c>
      <c r="J156" t="s">
        <v>278</v>
      </c>
      <c r="K156">
        <v>6.7914115134395485E-3</v>
      </c>
      <c r="L156" t="s">
        <v>168</v>
      </c>
      <c r="N156" t="s">
        <v>201</v>
      </c>
      <c r="O156" t="s">
        <v>278</v>
      </c>
      <c r="P156">
        <v>9.9036393198678758E-3</v>
      </c>
      <c r="Q156" t="s">
        <v>168</v>
      </c>
      <c r="S156" t="s">
        <v>220</v>
      </c>
      <c r="T156" t="s">
        <v>278</v>
      </c>
      <c r="U156">
        <v>1.0090783435012417E-2</v>
      </c>
      <c r="V156" t="s">
        <v>168</v>
      </c>
      <c r="AC156" t="s">
        <v>19</v>
      </c>
      <c r="AD156" t="s">
        <v>278</v>
      </c>
      <c r="AE156">
        <v>7.0095689650029836E-3</v>
      </c>
      <c r="AK156">
        <v>2042</v>
      </c>
      <c r="AL156" t="s">
        <v>253</v>
      </c>
      <c r="AM156">
        <v>0.20405000000000001</v>
      </c>
      <c r="AN156" t="s">
        <v>247</v>
      </c>
    </row>
    <row r="157" spans="9:40" x14ac:dyDescent="0.45">
      <c r="I157" t="s">
        <v>177</v>
      </c>
      <c r="J157" t="s">
        <v>279</v>
      </c>
      <c r="K157">
        <v>9.6453793055397245E-3</v>
      </c>
      <c r="L157" t="s">
        <v>168</v>
      </c>
      <c r="N157" t="s">
        <v>201</v>
      </c>
      <c r="O157" t="s">
        <v>279</v>
      </c>
      <c r="P157">
        <v>9.8926317463718834E-3</v>
      </c>
      <c r="Q157" t="s">
        <v>168</v>
      </c>
      <c r="S157" t="s">
        <v>220</v>
      </c>
      <c r="T157" t="s">
        <v>279</v>
      </c>
      <c r="U157">
        <v>1.0367125987647108E-2</v>
      </c>
      <c r="V157" t="s">
        <v>168</v>
      </c>
      <c r="AC157" t="s">
        <v>19</v>
      </c>
      <c r="AD157" t="s">
        <v>279</v>
      </c>
      <c r="AE157">
        <v>7.0220740803021283E-3</v>
      </c>
      <c r="AK157">
        <v>2042</v>
      </c>
      <c r="AL157" t="s">
        <v>255</v>
      </c>
      <c r="AM157">
        <v>0.18310000000000001</v>
      </c>
      <c r="AN157" t="s">
        <v>247</v>
      </c>
    </row>
    <row r="158" spans="9:40" x14ac:dyDescent="0.45">
      <c r="I158" t="s">
        <v>177</v>
      </c>
      <c r="J158" t="s">
        <v>280</v>
      </c>
      <c r="K158">
        <v>6.2790936016208762E-2</v>
      </c>
      <c r="L158" t="s">
        <v>168</v>
      </c>
      <c r="N158" t="s">
        <v>201</v>
      </c>
      <c r="O158" t="s">
        <v>280</v>
      </c>
      <c r="P158">
        <v>5.8837330149246199E-2</v>
      </c>
      <c r="Q158" t="s">
        <v>168</v>
      </c>
      <c r="S158" t="s">
        <v>220</v>
      </c>
      <c r="T158" t="s">
        <v>280</v>
      </c>
      <c r="U158">
        <v>5.5972846446885681E-2</v>
      </c>
      <c r="V158" t="s">
        <v>168</v>
      </c>
      <c r="AC158" t="s">
        <v>19</v>
      </c>
      <c r="AD158" t="s">
        <v>280</v>
      </c>
      <c r="AE158">
        <v>4.2098961513989952E-2</v>
      </c>
      <c r="AK158">
        <v>2043</v>
      </c>
      <c r="AL158" t="s">
        <v>157</v>
      </c>
      <c r="AM158">
        <v>0.16804999999999998</v>
      </c>
      <c r="AN158" t="s">
        <v>247</v>
      </c>
    </row>
    <row r="159" spans="9:40" x14ac:dyDescent="0.45">
      <c r="I159" t="s">
        <v>177</v>
      </c>
      <c r="J159" t="s">
        <v>281</v>
      </c>
      <c r="K159">
        <v>5.6489366071379964E-3</v>
      </c>
      <c r="L159" t="s">
        <v>168</v>
      </c>
      <c r="N159" t="s">
        <v>201</v>
      </c>
      <c r="O159" t="s">
        <v>281</v>
      </c>
      <c r="P159">
        <v>1.0337970977741424E-2</v>
      </c>
      <c r="Q159" t="s">
        <v>168</v>
      </c>
      <c r="S159" t="s">
        <v>220</v>
      </c>
      <c r="T159" t="s">
        <v>281</v>
      </c>
      <c r="U159">
        <v>8.7491675928064675E-3</v>
      </c>
      <c r="V159" t="s">
        <v>168</v>
      </c>
      <c r="AC159" t="s">
        <v>19</v>
      </c>
      <c r="AD159" t="s">
        <v>281</v>
      </c>
      <c r="AE159">
        <v>7.0216441841285983E-3</v>
      </c>
      <c r="AK159">
        <v>2043</v>
      </c>
      <c r="AL159" t="s">
        <v>161</v>
      </c>
      <c r="AM159">
        <v>0.25595000000000001</v>
      </c>
      <c r="AN159" t="s">
        <v>247</v>
      </c>
    </row>
    <row r="160" spans="9:40" x14ac:dyDescent="0.45">
      <c r="I160" t="s">
        <v>177</v>
      </c>
      <c r="J160" t="s">
        <v>282</v>
      </c>
      <c r="K160">
        <v>9.8365348873375195E-4</v>
      </c>
      <c r="L160" t="s">
        <v>168</v>
      </c>
      <c r="N160" t="s">
        <v>201</v>
      </c>
      <c r="O160" t="s">
        <v>282</v>
      </c>
      <c r="P160">
        <v>7.3638169266330281E-2</v>
      </c>
      <c r="Q160" t="s">
        <v>168</v>
      </c>
      <c r="S160" t="s">
        <v>220</v>
      </c>
      <c r="T160" t="s">
        <v>282</v>
      </c>
      <c r="U160">
        <v>6.972850473758456E-2</v>
      </c>
      <c r="V160" t="s">
        <v>168</v>
      </c>
      <c r="AC160" t="s">
        <v>19</v>
      </c>
      <c r="AD160" t="s">
        <v>282</v>
      </c>
      <c r="AE160">
        <v>4.8915068194699866E-2</v>
      </c>
      <c r="AK160">
        <v>2043</v>
      </c>
      <c r="AL160" t="s">
        <v>163</v>
      </c>
      <c r="AM160">
        <v>0.31900000000000001</v>
      </c>
      <c r="AN160" t="s">
        <v>247</v>
      </c>
    </row>
    <row r="161" spans="9:40" x14ac:dyDescent="0.45">
      <c r="I161" t="s">
        <v>177</v>
      </c>
      <c r="J161" t="s">
        <v>283</v>
      </c>
      <c r="K161">
        <v>0</v>
      </c>
      <c r="L161" t="s">
        <v>168</v>
      </c>
      <c r="N161" t="s">
        <v>201</v>
      </c>
      <c r="O161" t="s">
        <v>283</v>
      </c>
      <c r="P161">
        <v>2.9152716731402888E-2</v>
      </c>
      <c r="Q161" t="s">
        <v>168</v>
      </c>
      <c r="S161" t="s">
        <v>220</v>
      </c>
      <c r="T161" t="s">
        <v>283</v>
      </c>
      <c r="U161">
        <v>2.8822153548189587E-2</v>
      </c>
      <c r="V161" t="s">
        <v>168</v>
      </c>
      <c r="AC161" t="s">
        <v>19</v>
      </c>
      <c r="AD161" t="s">
        <v>283</v>
      </c>
      <c r="AE161">
        <v>2.7010062178338578E-2</v>
      </c>
      <c r="AK161">
        <v>2043</v>
      </c>
      <c r="AL161" t="s">
        <v>249</v>
      </c>
      <c r="AM161">
        <v>0.24440000000000001</v>
      </c>
      <c r="AN161" t="s">
        <v>247</v>
      </c>
    </row>
    <row r="162" spans="9:40" x14ac:dyDescent="0.45">
      <c r="I162" t="s">
        <v>177</v>
      </c>
      <c r="J162" t="s">
        <v>284</v>
      </c>
      <c r="K162">
        <v>2.6953082446200616E-3</v>
      </c>
      <c r="L162" t="s">
        <v>168</v>
      </c>
      <c r="N162" t="s">
        <v>201</v>
      </c>
      <c r="O162" t="s">
        <v>284</v>
      </c>
      <c r="P162">
        <v>3.3546070956348172E-3</v>
      </c>
      <c r="Q162" t="s">
        <v>168</v>
      </c>
      <c r="S162" t="s">
        <v>220</v>
      </c>
      <c r="T162" t="s">
        <v>284</v>
      </c>
      <c r="U162">
        <v>4.2421288306940235E-3</v>
      </c>
      <c r="V162" t="s">
        <v>168</v>
      </c>
      <c r="AC162" t="s">
        <v>19</v>
      </c>
      <c r="AD162" t="s">
        <v>284</v>
      </c>
      <c r="AE162">
        <v>3.4630524062610381E-3</v>
      </c>
      <c r="AK162">
        <v>2043</v>
      </c>
      <c r="AL162" t="s">
        <v>251</v>
      </c>
      <c r="AM162">
        <v>0.2034</v>
      </c>
      <c r="AN162" t="s">
        <v>247</v>
      </c>
    </row>
    <row r="163" spans="9:40" x14ac:dyDescent="0.45">
      <c r="I163" t="s">
        <v>177</v>
      </c>
      <c r="J163" t="s">
        <v>285</v>
      </c>
      <c r="K163">
        <v>4.3916595636720891E-3</v>
      </c>
      <c r="L163" t="s">
        <v>168</v>
      </c>
      <c r="N163" t="s">
        <v>201</v>
      </c>
      <c r="O163" t="s">
        <v>285</v>
      </c>
      <c r="P163">
        <v>3.373979762536125E-3</v>
      </c>
      <c r="Q163" t="s">
        <v>168</v>
      </c>
      <c r="S163" t="s">
        <v>220</v>
      </c>
      <c r="T163" t="s">
        <v>285</v>
      </c>
      <c r="U163">
        <v>4.3655863305266766E-3</v>
      </c>
      <c r="V163" t="s">
        <v>168</v>
      </c>
      <c r="AC163" t="s">
        <v>19</v>
      </c>
      <c r="AD163" t="s">
        <v>285</v>
      </c>
      <c r="AE163">
        <v>3.4678971440043481E-3</v>
      </c>
      <c r="AK163">
        <v>2043</v>
      </c>
      <c r="AL163" t="s">
        <v>253</v>
      </c>
      <c r="AM163">
        <v>0.2084</v>
      </c>
      <c r="AN163" t="s">
        <v>247</v>
      </c>
    </row>
    <row r="164" spans="9:40" x14ac:dyDescent="0.45">
      <c r="I164" t="s">
        <v>177</v>
      </c>
      <c r="J164" t="s">
        <v>286</v>
      </c>
      <c r="K164">
        <v>3.3872471316332579E-2</v>
      </c>
      <c r="L164" t="s">
        <v>168</v>
      </c>
      <c r="N164" t="s">
        <v>201</v>
      </c>
      <c r="O164" t="s">
        <v>286</v>
      </c>
      <c r="P164">
        <v>1.9535960430384473E-2</v>
      </c>
      <c r="Q164" t="s">
        <v>168</v>
      </c>
      <c r="S164" t="s">
        <v>220</v>
      </c>
      <c r="T164" t="s">
        <v>286</v>
      </c>
      <c r="U164">
        <v>2.284950356401963E-2</v>
      </c>
      <c r="V164" t="s">
        <v>168</v>
      </c>
      <c r="AC164" t="s">
        <v>19</v>
      </c>
      <c r="AD164" t="s">
        <v>286</v>
      </c>
      <c r="AE164">
        <v>2.073967601793613E-2</v>
      </c>
      <c r="AK164">
        <v>2043</v>
      </c>
      <c r="AL164" t="s">
        <v>255</v>
      </c>
      <c r="AM164">
        <v>0.20749999999999999</v>
      </c>
      <c r="AN164" t="s">
        <v>247</v>
      </c>
    </row>
    <row r="165" spans="9:40" x14ac:dyDescent="0.45">
      <c r="I165" t="s">
        <v>177</v>
      </c>
      <c r="J165" t="s">
        <v>287</v>
      </c>
      <c r="K165">
        <v>3.2929842374259553E-3</v>
      </c>
      <c r="L165" t="s">
        <v>168</v>
      </c>
      <c r="N165" t="s">
        <v>201</v>
      </c>
      <c r="O165" t="s">
        <v>287</v>
      </c>
      <c r="P165">
        <v>3.39259406864377E-3</v>
      </c>
      <c r="Q165" t="s">
        <v>168</v>
      </c>
      <c r="S165" t="s">
        <v>220</v>
      </c>
      <c r="T165" t="s">
        <v>287</v>
      </c>
      <c r="U165">
        <v>3.3744491760046924E-3</v>
      </c>
      <c r="V165" t="s">
        <v>168</v>
      </c>
      <c r="AC165" t="s">
        <v>19</v>
      </c>
      <c r="AD165" t="s">
        <v>287</v>
      </c>
      <c r="AE165">
        <v>3.4677701565173349E-3</v>
      </c>
      <c r="AK165">
        <v>2044</v>
      </c>
      <c r="AL165" t="s">
        <v>157</v>
      </c>
      <c r="AM165">
        <v>0.17475000000000002</v>
      </c>
      <c r="AN165" t="s">
        <v>247</v>
      </c>
    </row>
    <row r="166" spans="9:40" x14ac:dyDescent="0.45">
      <c r="I166" t="s">
        <v>177</v>
      </c>
      <c r="J166" t="s">
        <v>288</v>
      </c>
      <c r="K166">
        <v>0</v>
      </c>
      <c r="L166" t="s">
        <v>168</v>
      </c>
      <c r="N166" t="s">
        <v>201</v>
      </c>
      <c r="O166" t="s">
        <v>288</v>
      </c>
      <c r="P166">
        <v>2.372434529183368E-2</v>
      </c>
      <c r="Q166" t="s">
        <v>168</v>
      </c>
      <c r="S166" t="s">
        <v>220</v>
      </c>
      <c r="T166" t="s">
        <v>288</v>
      </c>
      <c r="U166">
        <v>2.1231412882789451E-2</v>
      </c>
      <c r="V166" t="s">
        <v>168</v>
      </c>
      <c r="AC166" t="s">
        <v>19</v>
      </c>
      <c r="AD166" t="s">
        <v>288</v>
      </c>
      <c r="AE166">
        <v>2.4082788292402891E-2</v>
      </c>
      <c r="AK166">
        <v>2044</v>
      </c>
      <c r="AL166" t="s">
        <v>161</v>
      </c>
      <c r="AM166">
        <v>0.25814999999999999</v>
      </c>
      <c r="AN166" t="s">
        <v>247</v>
      </c>
    </row>
    <row r="167" spans="9:40" x14ac:dyDescent="0.45">
      <c r="I167" t="s">
        <v>177</v>
      </c>
      <c r="J167" t="s">
        <v>365</v>
      </c>
      <c r="K167">
        <v>0</v>
      </c>
      <c r="L167" t="s">
        <v>168</v>
      </c>
      <c r="N167" t="s">
        <v>201</v>
      </c>
      <c r="O167" t="s">
        <v>365</v>
      </c>
      <c r="P167">
        <v>8.9278429137971186E-6</v>
      </c>
      <c r="Q167" t="s">
        <v>168</v>
      </c>
      <c r="S167" t="s">
        <v>220</v>
      </c>
      <c r="T167" t="s">
        <v>365</v>
      </c>
      <c r="U167">
        <v>1.441763187793895E-7</v>
      </c>
      <c r="V167" t="s">
        <v>168</v>
      </c>
      <c r="AC167" t="s">
        <v>19</v>
      </c>
      <c r="AD167" t="s">
        <v>365</v>
      </c>
      <c r="AE167">
        <v>1.1193214689081537E-4</v>
      </c>
      <c r="AK167">
        <v>2044</v>
      </c>
      <c r="AL167" t="s">
        <v>163</v>
      </c>
      <c r="AM167">
        <v>0.33069999999999999</v>
      </c>
      <c r="AN167" t="s">
        <v>247</v>
      </c>
    </row>
    <row r="168" spans="9:40" x14ac:dyDescent="0.45">
      <c r="I168" t="s">
        <v>177</v>
      </c>
      <c r="J168" t="s">
        <v>366</v>
      </c>
      <c r="K168">
        <v>0</v>
      </c>
      <c r="L168" t="s">
        <v>168</v>
      </c>
      <c r="N168" t="s">
        <v>201</v>
      </c>
      <c r="O168" t="s">
        <v>366</v>
      </c>
      <c r="P168">
        <v>4.1601913560943993E-6</v>
      </c>
      <c r="Q168" t="s">
        <v>168</v>
      </c>
      <c r="S168" t="s">
        <v>220</v>
      </c>
      <c r="T168" t="s">
        <v>366</v>
      </c>
      <c r="U168">
        <v>1.1265394149332584E-7</v>
      </c>
      <c r="V168" t="s">
        <v>168</v>
      </c>
      <c r="AC168" t="s">
        <v>19</v>
      </c>
      <c r="AD168" t="s">
        <v>366</v>
      </c>
      <c r="AE168">
        <v>1.1154818236152463E-4</v>
      </c>
      <c r="AK168">
        <v>2044</v>
      </c>
      <c r="AL168" t="s">
        <v>249</v>
      </c>
      <c r="AM168">
        <v>0.26629999999999998</v>
      </c>
      <c r="AN168" t="s">
        <v>247</v>
      </c>
    </row>
    <row r="169" spans="9:40" x14ac:dyDescent="0.45">
      <c r="I169" t="s">
        <v>177</v>
      </c>
      <c r="J169" t="s">
        <v>367</v>
      </c>
      <c r="K169">
        <v>0</v>
      </c>
      <c r="L169" t="s">
        <v>168</v>
      </c>
      <c r="N169" t="s">
        <v>201</v>
      </c>
      <c r="O169" t="s">
        <v>367</v>
      </c>
      <c r="P169">
        <v>4.0326890974946123E-6</v>
      </c>
      <c r="Q169" t="s">
        <v>168</v>
      </c>
      <c r="S169" t="s">
        <v>220</v>
      </c>
      <c r="T169" t="s">
        <v>367</v>
      </c>
      <c r="U169">
        <v>1.0175463218960935E-7</v>
      </c>
      <c r="V169" t="s">
        <v>168</v>
      </c>
      <c r="AC169" t="s">
        <v>19</v>
      </c>
      <c r="AD169" t="s">
        <v>367</v>
      </c>
      <c r="AE169">
        <v>1.1145151576384549E-4</v>
      </c>
      <c r="AK169">
        <v>2044</v>
      </c>
      <c r="AL169" t="s">
        <v>251</v>
      </c>
      <c r="AM169">
        <v>0.23860000000000001</v>
      </c>
      <c r="AN169" t="s">
        <v>247</v>
      </c>
    </row>
    <row r="170" spans="9:40" x14ac:dyDescent="0.45">
      <c r="I170" t="s">
        <v>177</v>
      </c>
      <c r="J170" t="s">
        <v>368</v>
      </c>
      <c r="K170">
        <v>0</v>
      </c>
      <c r="L170" t="s">
        <v>168</v>
      </c>
      <c r="N170" t="s">
        <v>201</v>
      </c>
      <c r="O170" t="s">
        <v>368</v>
      </c>
      <c r="P170">
        <v>3.705443776428758E-6</v>
      </c>
      <c r="Q170" t="s">
        <v>168</v>
      </c>
      <c r="S170" t="s">
        <v>220</v>
      </c>
      <c r="T170" t="s">
        <v>368</v>
      </c>
      <c r="U170">
        <v>5.589479018190836E-6</v>
      </c>
      <c r="V170" t="s">
        <v>168</v>
      </c>
      <c r="AC170" t="s">
        <v>19</v>
      </c>
      <c r="AD170" t="s">
        <v>368</v>
      </c>
      <c r="AE170">
        <v>1.1145151576384549E-4</v>
      </c>
      <c r="AK170">
        <v>2044</v>
      </c>
      <c r="AL170" t="s">
        <v>253</v>
      </c>
      <c r="AM170">
        <v>0.20150000000000001</v>
      </c>
      <c r="AN170" t="s">
        <v>247</v>
      </c>
    </row>
    <row r="171" spans="9:40" x14ac:dyDescent="0.45">
      <c r="I171" t="s">
        <v>177</v>
      </c>
      <c r="J171" t="s">
        <v>369</v>
      </c>
      <c r="K171">
        <v>0</v>
      </c>
      <c r="L171" t="s">
        <v>168</v>
      </c>
      <c r="N171" t="s">
        <v>201</v>
      </c>
      <c r="O171" t="s">
        <v>369</v>
      </c>
      <c r="P171">
        <v>3.518374369934878E-6</v>
      </c>
      <c r="Q171" t="s">
        <v>168</v>
      </c>
      <c r="S171" t="s">
        <v>220</v>
      </c>
      <c r="T171" t="s">
        <v>369</v>
      </c>
      <c r="U171">
        <v>8.7912814722951983E-6</v>
      </c>
      <c r="V171" t="s">
        <v>168</v>
      </c>
      <c r="AC171" t="s">
        <v>19</v>
      </c>
      <c r="AD171" t="s">
        <v>369</v>
      </c>
      <c r="AE171">
        <v>1.1189312000355361E-4</v>
      </c>
      <c r="AK171">
        <v>2044</v>
      </c>
      <c r="AL171" t="s">
        <v>255</v>
      </c>
      <c r="AM171">
        <v>0.21310000000000001</v>
      </c>
      <c r="AN171" t="s">
        <v>247</v>
      </c>
    </row>
    <row r="172" spans="9:40" x14ac:dyDescent="0.45">
      <c r="I172" t="s">
        <v>177</v>
      </c>
      <c r="J172" t="s">
        <v>370</v>
      </c>
      <c r="K172">
        <v>0</v>
      </c>
      <c r="L172" t="s">
        <v>168</v>
      </c>
      <c r="N172" t="s">
        <v>201</v>
      </c>
      <c r="O172" t="s">
        <v>370</v>
      </c>
      <c r="P172">
        <v>3.4565018029978063E-6</v>
      </c>
      <c r="Q172" t="s">
        <v>168</v>
      </c>
      <c r="S172" t="s">
        <v>220</v>
      </c>
      <c r="T172" t="s">
        <v>370</v>
      </c>
      <c r="U172">
        <v>4.7167577241072444E-6</v>
      </c>
      <c r="V172" t="s">
        <v>168</v>
      </c>
      <c r="AC172" t="s">
        <v>19</v>
      </c>
      <c r="AD172" t="s">
        <v>370</v>
      </c>
      <c r="AE172">
        <v>1.1367274606269005E-4</v>
      </c>
      <c r="AK172">
        <v>2045</v>
      </c>
      <c r="AL172" t="s">
        <v>157</v>
      </c>
      <c r="AM172">
        <v>0.16919999999999999</v>
      </c>
      <c r="AN172" t="s">
        <v>247</v>
      </c>
    </row>
    <row r="173" spans="9:40" x14ac:dyDescent="0.45">
      <c r="I173" t="s">
        <v>177</v>
      </c>
      <c r="J173" t="s">
        <v>371</v>
      </c>
      <c r="K173">
        <v>0</v>
      </c>
      <c r="L173" t="s">
        <v>168</v>
      </c>
      <c r="N173" t="s">
        <v>201</v>
      </c>
      <c r="O173" t="s">
        <v>371</v>
      </c>
      <c r="P173">
        <v>4.9384200413088758E-6</v>
      </c>
      <c r="Q173" t="s">
        <v>168</v>
      </c>
      <c r="S173" t="s">
        <v>220</v>
      </c>
      <c r="T173" t="s">
        <v>371</v>
      </c>
      <c r="U173">
        <v>3.9665215962187603E-8</v>
      </c>
      <c r="V173" t="s">
        <v>168</v>
      </c>
      <c r="AC173" t="s">
        <v>19</v>
      </c>
      <c r="AD173" t="s">
        <v>371</v>
      </c>
      <c r="AE173">
        <v>1.1517347998131742E-4</v>
      </c>
      <c r="AK173">
        <v>2045</v>
      </c>
      <c r="AL173" t="s">
        <v>161</v>
      </c>
      <c r="AM173">
        <v>0.27155000000000001</v>
      </c>
      <c r="AN173" t="s">
        <v>247</v>
      </c>
    </row>
    <row r="174" spans="9:40" x14ac:dyDescent="0.45">
      <c r="I174" t="s">
        <v>177</v>
      </c>
      <c r="J174" t="s">
        <v>372</v>
      </c>
      <c r="K174">
        <v>0</v>
      </c>
      <c r="L174" t="s">
        <v>168</v>
      </c>
      <c r="N174" t="s">
        <v>201</v>
      </c>
      <c r="O174" t="s">
        <v>372</v>
      </c>
      <c r="P174">
        <v>4.825781687957706E-6</v>
      </c>
      <c r="Q174" t="s">
        <v>168</v>
      </c>
      <c r="S174" t="s">
        <v>220</v>
      </c>
      <c r="T174" t="s">
        <v>372</v>
      </c>
      <c r="U174">
        <v>1.6978709183470409E-7</v>
      </c>
      <c r="V174" t="s">
        <v>168</v>
      </c>
      <c r="AC174" t="s">
        <v>19</v>
      </c>
      <c r="AD174" t="s">
        <v>372</v>
      </c>
      <c r="AE174">
        <v>1.1567362455191817E-4</v>
      </c>
      <c r="AK174">
        <v>2045</v>
      </c>
      <c r="AL174" t="s">
        <v>163</v>
      </c>
      <c r="AM174">
        <v>0.2853</v>
      </c>
      <c r="AN174" t="s">
        <v>247</v>
      </c>
    </row>
    <row r="175" spans="9:40" x14ac:dyDescent="0.45">
      <c r="I175" t="s">
        <v>177</v>
      </c>
      <c r="J175" t="s">
        <v>373</v>
      </c>
      <c r="K175">
        <v>4.5385158614049399E-5</v>
      </c>
      <c r="L175" t="s">
        <v>168</v>
      </c>
      <c r="N175" t="s">
        <v>201</v>
      </c>
      <c r="O175" t="s">
        <v>373</v>
      </c>
      <c r="P175">
        <v>3.2530170709476921E-6</v>
      </c>
      <c r="Q175" t="s">
        <v>168</v>
      </c>
      <c r="S175" t="s">
        <v>220</v>
      </c>
      <c r="T175" t="s">
        <v>373</v>
      </c>
      <c r="U175">
        <v>2.813516410388573E-7</v>
      </c>
      <c r="V175" t="s">
        <v>168</v>
      </c>
      <c r="AC175" t="s">
        <v>19</v>
      </c>
      <c r="AD175" t="s">
        <v>373</v>
      </c>
      <c r="AE175">
        <v>1.1614915216286151E-4</v>
      </c>
      <c r="AK175">
        <v>2045</v>
      </c>
      <c r="AL175" t="s">
        <v>249</v>
      </c>
      <c r="AM175">
        <v>0.2772</v>
      </c>
      <c r="AN175" t="s">
        <v>247</v>
      </c>
    </row>
    <row r="176" spans="9:40" x14ac:dyDescent="0.45">
      <c r="I176" t="s">
        <v>177</v>
      </c>
      <c r="J176" t="s">
        <v>374</v>
      </c>
      <c r="K176">
        <v>7.454769425814574E-5</v>
      </c>
      <c r="L176" t="s">
        <v>168</v>
      </c>
      <c r="N176" t="s">
        <v>201</v>
      </c>
      <c r="O176" t="s">
        <v>374</v>
      </c>
      <c r="P176">
        <v>2.2680197424293021E-6</v>
      </c>
      <c r="Q176" t="s">
        <v>168</v>
      </c>
      <c r="S176" t="s">
        <v>220</v>
      </c>
      <c r="T176" t="s">
        <v>374</v>
      </c>
      <c r="U176">
        <v>2.1346664728268096E-6</v>
      </c>
      <c r="V176" t="s">
        <v>168</v>
      </c>
      <c r="AC176" t="s">
        <v>19</v>
      </c>
      <c r="AD176" t="s">
        <v>374</v>
      </c>
      <c r="AE176">
        <v>1.1623381048753703E-4</v>
      </c>
      <c r="AK176">
        <v>2045</v>
      </c>
      <c r="AL176" t="s">
        <v>251</v>
      </c>
      <c r="AM176">
        <v>0.2268</v>
      </c>
      <c r="AN176" t="s">
        <v>247</v>
      </c>
    </row>
    <row r="177" spans="9:40" x14ac:dyDescent="0.45">
      <c r="I177" t="s">
        <v>177</v>
      </c>
      <c r="J177" t="s">
        <v>375</v>
      </c>
      <c r="K177">
        <v>1.0229028665692783E-4</v>
      </c>
      <c r="L177" t="s">
        <v>168</v>
      </c>
      <c r="N177" t="s">
        <v>201</v>
      </c>
      <c r="O177" t="s">
        <v>375</v>
      </c>
      <c r="P177">
        <v>4.6813454835276474E-7</v>
      </c>
      <c r="Q177" t="s">
        <v>168</v>
      </c>
      <c r="S177" t="s">
        <v>220</v>
      </c>
      <c r="T177" t="s">
        <v>375</v>
      </c>
      <c r="U177">
        <v>3.4730142480139397E-6</v>
      </c>
      <c r="V177" t="s">
        <v>168</v>
      </c>
      <c r="AC177" t="s">
        <v>19</v>
      </c>
      <c r="AD177" t="s">
        <v>375</v>
      </c>
      <c r="AE177">
        <v>1.1606239239041035E-4</v>
      </c>
      <c r="AK177">
        <v>2045</v>
      </c>
      <c r="AL177" t="s">
        <v>253</v>
      </c>
      <c r="AM177">
        <v>0.19545000000000001</v>
      </c>
      <c r="AN177" t="s">
        <v>247</v>
      </c>
    </row>
    <row r="178" spans="9:40" x14ac:dyDescent="0.45">
      <c r="I178" t="s">
        <v>177</v>
      </c>
      <c r="J178" t="s">
        <v>376</v>
      </c>
      <c r="K178">
        <v>1.1022638597400219E-4</v>
      </c>
      <c r="L178" t="s">
        <v>168</v>
      </c>
      <c r="N178" t="s">
        <v>201</v>
      </c>
      <c r="O178" t="s">
        <v>376</v>
      </c>
      <c r="P178">
        <v>2.5832297133087416E-8</v>
      </c>
      <c r="Q178" t="s">
        <v>168</v>
      </c>
      <c r="S178" t="s">
        <v>220</v>
      </c>
      <c r="T178" t="s">
        <v>376</v>
      </c>
      <c r="U178">
        <v>4.3437889956679378E-6</v>
      </c>
      <c r="V178" t="s">
        <v>168</v>
      </c>
      <c r="AC178" t="s">
        <v>19</v>
      </c>
      <c r="AD178" t="s">
        <v>376</v>
      </c>
      <c r="AE178">
        <v>1.1589457677518478E-4</v>
      </c>
      <c r="AK178">
        <v>2045</v>
      </c>
      <c r="AL178" t="s">
        <v>255</v>
      </c>
      <c r="AM178">
        <v>0.20250000000000001</v>
      </c>
      <c r="AN178" t="s">
        <v>247</v>
      </c>
    </row>
    <row r="179" spans="9:40" x14ac:dyDescent="0.45">
      <c r="I179" t="s">
        <v>177</v>
      </c>
      <c r="J179" t="s">
        <v>377</v>
      </c>
      <c r="K179">
        <v>1.124900957618627E-4</v>
      </c>
      <c r="L179" t="s">
        <v>168</v>
      </c>
      <c r="N179" t="s">
        <v>201</v>
      </c>
      <c r="O179" t="s">
        <v>377</v>
      </c>
      <c r="P179">
        <v>1.5413006158833563E-8</v>
      </c>
      <c r="Q179" t="s">
        <v>168</v>
      </c>
      <c r="S179" t="s">
        <v>220</v>
      </c>
      <c r="T179" t="s">
        <v>377</v>
      </c>
      <c r="U179">
        <v>3.6465472077697988E-6</v>
      </c>
      <c r="V179" t="s">
        <v>168</v>
      </c>
      <c r="AC179" t="s">
        <v>19</v>
      </c>
      <c r="AD179" t="s">
        <v>377</v>
      </c>
      <c r="AE179">
        <v>1.1585434906062264E-4</v>
      </c>
      <c r="AK179">
        <v>2046</v>
      </c>
      <c r="AL179" t="s">
        <v>157</v>
      </c>
      <c r="AM179">
        <v>0.17865</v>
      </c>
      <c r="AN179" t="s">
        <v>247</v>
      </c>
    </row>
    <row r="180" spans="9:40" x14ac:dyDescent="0.45">
      <c r="I180" t="s">
        <v>177</v>
      </c>
      <c r="J180" t="s">
        <v>378</v>
      </c>
      <c r="K180">
        <v>1.1456458240488004E-4</v>
      </c>
      <c r="L180" t="s">
        <v>168</v>
      </c>
      <c r="N180" t="s">
        <v>201</v>
      </c>
      <c r="O180" t="s">
        <v>378</v>
      </c>
      <c r="P180">
        <v>1.0664296645547885E-8</v>
      </c>
      <c r="Q180" t="s">
        <v>168</v>
      </c>
      <c r="S180" t="s">
        <v>220</v>
      </c>
      <c r="T180" t="s">
        <v>378</v>
      </c>
      <c r="U180">
        <v>6.1493323702960821E-6</v>
      </c>
      <c r="V180" t="s">
        <v>168</v>
      </c>
      <c r="AC180" t="s">
        <v>19</v>
      </c>
      <c r="AD180" t="s">
        <v>378</v>
      </c>
      <c r="AE180">
        <v>1.1573816901931263E-4</v>
      </c>
      <c r="AK180">
        <v>2046</v>
      </c>
      <c r="AL180" t="s">
        <v>161</v>
      </c>
      <c r="AM180">
        <v>0.247225</v>
      </c>
      <c r="AN180" t="s">
        <v>247</v>
      </c>
    </row>
    <row r="181" spans="9:40" x14ac:dyDescent="0.45">
      <c r="I181" t="s">
        <v>177</v>
      </c>
      <c r="J181" t="s">
        <v>379</v>
      </c>
      <c r="K181">
        <v>1.0845731293156848E-4</v>
      </c>
      <c r="L181" t="s">
        <v>168</v>
      </c>
      <c r="N181" t="s">
        <v>201</v>
      </c>
      <c r="O181" t="s">
        <v>379</v>
      </c>
      <c r="P181">
        <v>0</v>
      </c>
      <c r="Q181" t="s">
        <v>168</v>
      </c>
      <c r="S181" t="s">
        <v>220</v>
      </c>
      <c r="T181" t="s">
        <v>379</v>
      </c>
      <c r="U181">
        <v>1.8121437223038527E-5</v>
      </c>
      <c r="V181" t="s">
        <v>168</v>
      </c>
      <c r="AC181" t="s">
        <v>19</v>
      </c>
      <c r="AD181" t="s">
        <v>379</v>
      </c>
      <c r="AE181">
        <v>1.1572556033265883E-4</v>
      </c>
      <c r="AK181">
        <v>2046</v>
      </c>
      <c r="AL181" t="s">
        <v>163</v>
      </c>
      <c r="AM181">
        <v>0.28299999999999997</v>
      </c>
      <c r="AN181" t="s">
        <v>247</v>
      </c>
    </row>
    <row r="182" spans="9:40" x14ac:dyDescent="0.45">
      <c r="I182" t="s">
        <v>177</v>
      </c>
      <c r="J182" t="s">
        <v>380</v>
      </c>
      <c r="K182">
        <v>7.1361205827859771E-5</v>
      </c>
      <c r="L182" t="s">
        <v>168</v>
      </c>
      <c r="N182" t="s">
        <v>201</v>
      </c>
      <c r="O182" t="s">
        <v>380</v>
      </c>
      <c r="P182">
        <v>0</v>
      </c>
      <c r="Q182" t="s">
        <v>168</v>
      </c>
      <c r="S182" t="s">
        <v>220</v>
      </c>
      <c r="T182" t="s">
        <v>380</v>
      </c>
      <c r="U182">
        <v>4.0510509656885261E-5</v>
      </c>
      <c r="V182" t="s">
        <v>168</v>
      </c>
      <c r="AC182" t="s">
        <v>19</v>
      </c>
      <c r="AD182" t="s">
        <v>380</v>
      </c>
      <c r="AE182">
        <v>1.1576188535849476E-4</v>
      </c>
      <c r="AK182">
        <v>2046</v>
      </c>
      <c r="AL182" t="s">
        <v>249</v>
      </c>
      <c r="AM182">
        <v>0.2404</v>
      </c>
      <c r="AN182" t="s">
        <v>247</v>
      </c>
    </row>
    <row r="183" spans="9:40" x14ac:dyDescent="0.45">
      <c r="I183" t="s">
        <v>177</v>
      </c>
      <c r="J183" t="s">
        <v>381</v>
      </c>
      <c r="K183">
        <v>4.8376683550489735E-5</v>
      </c>
      <c r="L183" t="s">
        <v>168</v>
      </c>
      <c r="N183" t="s">
        <v>201</v>
      </c>
      <c r="O183" t="s">
        <v>381</v>
      </c>
      <c r="P183">
        <v>0</v>
      </c>
      <c r="Q183" t="s">
        <v>168</v>
      </c>
      <c r="S183" t="s">
        <v>220</v>
      </c>
      <c r="T183" t="s">
        <v>381</v>
      </c>
      <c r="U183">
        <v>4.9691939499858616E-5</v>
      </c>
      <c r="V183" t="s">
        <v>168</v>
      </c>
      <c r="AC183" t="s">
        <v>19</v>
      </c>
      <c r="AD183" t="s">
        <v>381</v>
      </c>
      <c r="AE183">
        <v>1.1613834471715824E-4</v>
      </c>
      <c r="AK183">
        <v>2046</v>
      </c>
      <c r="AL183" t="s">
        <v>251</v>
      </c>
      <c r="AM183">
        <v>0.21540000000000001</v>
      </c>
      <c r="AN183" t="s">
        <v>247</v>
      </c>
    </row>
    <row r="184" spans="9:40" x14ac:dyDescent="0.45">
      <c r="I184" t="s">
        <v>177</v>
      </c>
      <c r="J184" t="s">
        <v>382</v>
      </c>
      <c r="K184">
        <v>0</v>
      </c>
      <c r="L184" t="s">
        <v>168</v>
      </c>
      <c r="N184" t="s">
        <v>201</v>
      </c>
      <c r="O184" t="s">
        <v>382</v>
      </c>
      <c r="P184">
        <v>9.5162241638454667E-9</v>
      </c>
      <c r="Q184" t="s">
        <v>168</v>
      </c>
      <c r="S184" t="s">
        <v>220</v>
      </c>
      <c r="T184" t="s">
        <v>382</v>
      </c>
      <c r="U184">
        <v>5.1423095487377491E-5</v>
      </c>
      <c r="V184" t="s">
        <v>168</v>
      </c>
      <c r="AC184" t="s">
        <v>19</v>
      </c>
      <c r="AD184" t="s">
        <v>382</v>
      </c>
      <c r="AE184">
        <v>1.1642894492384582E-4</v>
      </c>
      <c r="AK184">
        <v>2046</v>
      </c>
      <c r="AL184" t="s">
        <v>253</v>
      </c>
      <c r="AM184">
        <v>0.1923</v>
      </c>
      <c r="AN184" t="s">
        <v>247</v>
      </c>
    </row>
    <row r="185" spans="9:40" x14ac:dyDescent="0.45">
      <c r="I185" t="s">
        <v>177</v>
      </c>
      <c r="J185" t="s">
        <v>383</v>
      </c>
      <c r="K185">
        <v>0</v>
      </c>
      <c r="L185" t="s">
        <v>168</v>
      </c>
      <c r="N185" t="s">
        <v>201</v>
      </c>
      <c r="O185" t="s">
        <v>383</v>
      </c>
      <c r="P185">
        <v>5.5894910724841744E-8</v>
      </c>
      <c r="Q185" t="s">
        <v>168</v>
      </c>
      <c r="S185" t="s">
        <v>220</v>
      </c>
      <c r="T185" t="s">
        <v>383</v>
      </c>
      <c r="U185">
        <v>5.2597100254068269E-5</v>
      </c>
      <c r="V185" t="s">
        <v>168</v>
      </c>
      <c r="AC185" t="s">
        <v>19</v>
      </c>
      <c r="AD185" t="s">
        <v>383</v>
      </c>
      <c r="AE185">
        <v>1.1646256808825599E-4</v>
      </c>
      <c r="AK185">
        <v>2046</v>
      </c>
      <c r="AL185" t="s">
        <v>255</v>
      </c>
      <c r="AM185">
        <v>0.19639999999999999</v>
      </c>
      <c r="AN185" t="s">
        <v>247</v>
      </c>
    </row>
    <row r="186" spans="9:40" x14ac:dyDescent="0.45">
      <c r="I186" t="s">
        <v>177</v>
      </c>
      <c r="J186" t="s">
        <v>384</v>
      </c>
      <c r="K186">
        <v>0</v>
      </c>
      <c r="L186" t="s">
        <v>168</v>
      </c>
      <c r="N186" t="s">
        <v>201</v>
      </c>
      <c r="O186" t="s">
        <v>384</v>
      </c>
      <c r="P186">
        <v>8.9816573460588263E-8</v>
      </c>
      <c r="Q186" t="s">
        <v>168</v>
      </c>
      <c r="S186" t="s">
        <v>220</v>
      </c>
      <c r="T186" t="s">
        <v>384</v>
      </c>
      <c r="U186">
        <v>5.1590439345091184E-5</v>
      </c>
      <c r="V186" t="s">
        <v>168</v>
      </c>
      <c r="AC186" t="s">
        <v>19</v>
      </c>
      <c r="AD186" t="s">
        <v>384</v>
      </c>
      <c r="AE186">
        <v>1.1604137791265402E-4</v>
      </c>
      <c r="AK186">
        <v>2047</v>
      </c>
      <c r="AL186" t="s">
        <v>157</v>
      </c>
      <c r="AM186">
        <v>0.17375000000000002</v>
      </c>
      <c r="AN186" t="s">
        <v>247</v>
      </c>
    </row>
    <row r="187" spans="9:40" x14ac:dyDescent="0.45">
      <c r="I187" t="s">
        <v>177</v>
      </c>
      <c r="J187" t="s">
        <v>385</v>
      </c>
      <c r="K187">
        <v>0</v>
      </c>
      <c r="L187" t="s">
        <v>168</v>
      </c>
      <c r="N187" t="s">
        <v>201</v>
      </c>
      <c r="O187" t="s">
        <v>385</v>
      </c>
      <c r="P187">
        <v>5.1295056594793123E-7</v>
      </c>
      <c r="Q187" t="s">
        <v>168</v>
      </c>
      <c r="S187" t="s">
        <v>220</v>
      </c>
      <c r="T187" t="s">
        <v>385</v>
      </c>
      <c r="U187">
        <v>4.7652812851221137E-5</v>
      </c>
      <c r="V187" t="s">
        <v>168</v>
      </c>
      <c r="AC187" t="s">
        <v>19</v>
      </c>
      <c r="AD187" t="s">
        <v>385</v>
      </c>
      <c r="AE187">
        <v>1.1504409083970341E-4</v>
      </c>
      <c r="AK187">
        <v>2047</v>
      </c>
      <c r="AL187" t="s">
        <v>161</v>
      </c>
      <c r="AM187">
        <v>0.26147500000000001</v>
      </c>
      <c r="AN187" t="s">
        <v>247</v>
      </c>
    </row>
    <row r="188" spans="9:40" x14ac:dyDescent="0.45">
      <c r="I188" t="s">
        <v>177</v>
      </c>
      <c r="J188" t="s">
        <v>386</v>
      </c>
      <c r="K188">
        <v>0</v>
      </c>
      <c r="L188" t="s">
        <v>168</v>
      </c>
      <c r="N188" t="s">
        <v>201</v>
      </c>
      <c r="O188" t="s">
        <v>386</v>
      </c>
      <c r="P188">
        <v>1.1594271890787736E-6</v>
      </c>
      <c r="Q188" t="s">
        <v>168</v>
      </c>
      <c r="S188" t="s">
        <v>220</v>
      </c>
      <c r="T188" t="s">
        <v>386</v>
      </c>
      <c r="U188">
        <v>4.9412674568991276E-5</v>
      </c>
      <c r="V188" t="s">
        <v>168</v>
      </c>
      <c r="AC188" t="s">
        <v>19</v>
      </c>
      <c r="AD188" t="s">
        <v>386</v>
      </c>
      <c r="AE188">
        <v>1.1445148256697478E-4</v>
      </c>
      <c r="AK188">
        <v>2047</v>
      </c>
      <c r="AL188" t="s">
        <v>163</v>
      </c>
      <c r="AM188">
        <v>0.30349999999999999</v>
      </c>
      <c r="AN188" t="s">
        <v>247</v>
      </c>
    </row>
    <row r="189" spans="9:40" x14ac:dyDescent="0.45">
      <c r="I189" t="s">
        <v>177</v>
      </c>
      <c r="J189" t="s">
        <v>387</v>
      </c>
      <c r="K189">
        <v>0</v>
      </c>
      <c r="L189" t="s">
        <v>168</v>
      </c>
      <c r="N189" t="s">
        <v>201</v>
      </c>
      <c r="O189" t="s">
        <v>387</v>
      </c>
      <c r="P189">
        <v>2.9097643602777501E-6</v>
      </c>
      <c r="Q189" t="s">
        <v>168</v>
      </c>
      <c r="S189" t="s">
        <v>220</v>
      </c>
      <c r="T189" t="s">
        <v>387</v>
      </c>
      <c r="U189">
        <v>4.6315307766902593E-5</v>
      </c>
      <c r="V189" t="s">
        <v>168</v>
      </c>
      <c r="AC189" t="s">
        <v>19</v>
      </c>
      <c r="AD189" t="s">
        <v>387</v>
      </c>
      <c r="AE189">
        <v>1.1366734233983842E-4</v>
      </c>
      <c r="AK189">
        <v>2047</v>
      </c>
      <c r="AL189" t="s">
        <v>249</v>
      </c>
      <c r="AM189">
        <v>0.26719999999999999</v>
      </c>
      <c r="AN189" t="s">
        <v>247</v>
      </c>
    </row>
    <row r="190" spans="9:40" x14ac:dyDescent="0.45">
      <c r="I190" t="s">
        <v>177</v>
      </c>
      <c r="J190" t="s">
        <v>388</v>
      </c>
      <c r="K190">
        <v>0</v>
      </c>
      <c r="L190" t="s">
        <v>168</v>
      </c>
      <c r="N190" t="s">
        <v>201</v>
      </c>
      <c r="O190" t="s">
        <v>388</v>
      </c>
      <c r="P190">
        <v>2.1981256395221451E-6</v>
      </c>
      <c r="Q190" t="s">
        <v>168</v>
      </c>
      <c r="S190" t="s">
        <v>220</v>
      </c>
      <c r="T190" t="s">
        <v>388</v>
      </c>
      <c r="U190">
        <v>2.372445529792742E-5</v>
      </c>
      <c r="V190" t="s">
        <v>168</v>
      </c>
      <c r="AC190" t="s">
        <v>19</v>
      </c>
      <c r="AD190" t="s">
        <v>388</v>
      </c>
      <c r="AE190">
        <v>1.1242988980681541E-4</v>
      </c>
      <c r="AK190">
        <v>2047</v>
      </c>
      <c r="AL190" t="s">
        <v>251</v>
      </c>
      <c r="AM190">
        <v>0.2341</v>
      </c>
      <c r="AN190" t="s">
        <v>247</v>
      </c>
    </row>
    <row r="191" spans="9:40" x14ac:dyDescent="0.45">
      <c r="I191" t="s">
        <v>178</v>
      </c>
      <c r="J191" t="s">
        <v>167</v>
      </c>
      <c r="K191">
        <v>4.6193129038881234E-4</v>
      </c>
      <c r="L191" t="s">
        <v>168</v>
      </c>
      <c r="N191" t="s">
        <v>202</v>
      </c>
      <c r="O191" t="s">
        <v>167</v>
      </c>
      <c r="P191">
        <v>7.2301917541485988E-2</v>
      </c>
      <c r="Q191" t="s">
        <v>168</v>
      </c>
      <c r="S191" t="s">
        <v>221</v>
      </c>
      <c r="T191" t="s">
        <v>167</v>
      </c>
      <c r="U191">
        <v>6.8807357964429217E-2</v>
      </c>
      <c r="V191" t="s">
        <v>168</v>
      </c>
      <c r="AK191">
        <v>2047</v>
      </c>
      <c r="AL191" t="s">
        <v>253</v>
      </c>
      <c r="AM191">
        <v>0.2079</v>
      </c>
      <c r="AN191" t="s">
        <v>247</v>
      </c>
    </row>
    <row r="192" spans="9:40" x14ac:dyDescent="0.45">
      <c r="I192" t="s">
        <v>178</v>
      </c>
      <c r="J192" t="s">
        <v>169</v>
      </c>
      <c r="K192">
        <v>7.807769423478857E-3</v>
      </c>
      <c r="L192" t="s">
        <v>168</v>
      </c>
      <c r="N192" t="s">
        <v>202</v>
      </c>
      <c r="O192" t="s">
        <v>169</v>
      </c>
      <c r="P192">
        <v>9.71505332829317E-3</v>
      </c>
      <c r="Q192" t="s">
        <v>168</v>
      </c>
      <c r="S192" t="s">
        <v>221</v>
      </c>
      <c r="T192" t="s">
        <v>169</v>
      </c>
      <c r="U192">
        <v>7.8023768880437182E-3</v>
      </c>
      <c r="V192" t="s">
        <v>168</v>
      </c>
      <c r="AK192">
        <v>2047</v>
      </c>
      <c r="AL192" t="s">
        <v>255</v>
      </c>
      <c r="AM192">
        <v>0.20250000000000001</v>
      </c>
      <c r="AN192" t="s">
        <v>247</v>
      </c>
    </row>
    <row r="193" spans="9:40" x14ac:dyDescent="0.45">
      <c r="I193" t="s">
        <v>178</v>
      </c>
      <c r="J193" t="s">
        <v>170</v>
      </c>
      <c r="K193">
        <v>1.229314785460071E-2</v>
      </c>
      <c r="L193" t="s">
        <v>168</v>
      </c>
      <c r="N193" t="s">
        <v>202</v>
      </c>
      <c r="O193" t="s">
        <v>170</v>
      </c>
      <c r="P193">
        <v>9.5942163773359585E-3</v>
      </c>
      <c r="Q193" t="s">
        <v>168</v>
      </c>
      <c r="S193" t="s">
        <v>221</v>
      </c>
      <c r="T193" t="s">
        <v>170</v>
      </c>
      <c r="U193">
        <v>7.6875367699952958E-3</v>
      </c>
      <c r="V193" t="s">
        <v>168</v>
      </c>
      <c r="AK193">
        <v>2048</v>
      </c>
      <c r="AL193" t="s">
        <v>157</v>
      </c>
      <c r="AM193">
        <v>0.18504999999999999</v>
      </c>
      <c r="AN193" t="s">
        <v>247</v>
      </c>
    </row>
    <row r="194" spans="9:40" x14ac:dyDescent="0.45">
      <c r="I194" t="s">
        <v>178</v>
      </c>
      <c r="J194" t="s">
        <v>256</v>
      </c>
      <c r="K194">
        <v>8.3076473075928636E-2</v>
      </c>
      <c r="L194" t="s">
        <v>168</v>
      </c>
      <c r="N194" t="s">
        <v>202</v>
      </c>
      <c r="O194" t="s">
        <v>256</v>
      </c>
      <c r="P194">
        <v>5.6128804571738328E-2</v>
      </c>
      <c r="Q194" t="s">
        <v>168</v>
      </c>
      <c r="S194" t="s">
        <v>221</v>
      </c>
      <c r="T194" t="s">
        <v>256</v>
      </c>
      <c r="U194">
        <v>4.7481031575382568E-2</v>
      </c>
      <c r="V194" t="s">
        <v>168</v>
      </c>
      <c r="AK194">
        <v>2048</v>
      </c>
      <c r="AL194" t="s">
        <v>161</v>
      </c>
      <c r="AM194">
        <v>0.24832500000000002</v>
      </c>
      <c r="AN194" t="s">
        <v>247</v>
      </c>
    </row>
    <row r="195" spans="9:40" x14ac:dyDescent="0.45">
      <c r="I195" t="s">
        <v>178</v>
      </c>
      <c r="J195" t="s">
        <v>257</v>
      </c>
      <c r="K195">
        <v>8.9697494253150531E-3</v>
      </c>
      <c r="L195" t="s">
        <v>168</v>
      </c>
      <c r="N195" t="s">
        <v>202</v>
      </c>
      <c r="O195" t="s">
        <v>257</v>
      </c>
      <c r="P195">
        <v>9.186573508627241E-3</v>
      </c>
      <c r="Q195" t="s">
        <v>168</v>
      </c>
      <c r="S195" t="s">
        <v>221</v>
      </c>
      <c r="T195" t="s">
        <v>257</v>
      </c>
      <c r="U195">
        <v>8.2908450032425016E-3</v>
      </c>
      <c r="V195" t="s">
        <v>168</v>
      </c>
      <c r="AK195">
        <v>2048</v>
      </c>
      <c r="AL195" t="s">
        <v>163</v>
      </c>
      <c r="AM195">
        <v>0.32740000000000002</v>
      </c>
      <c r="AN195" t="s">
        <v>247</v>
      </c>
    </row>
    <row r="196" spans="9:40" x14ac:dyDescent="0.45">
      <c r="I196" t="s">
        <v>178</v>
      </c>
      <c r="J196" t="s">
        <v>258</v>
      </c>
      <c r="K196">
        <v>3.1007800652300579E-3</v>
      </c>
      <c r="L196" t="s">
        <v>168</v>
      </c>
      <c r="N196" t="s">
        <v>202</v>
      </c>
      <c r="O196" t="s">
        <v>258</v>
      </c>
      <c r="P196">
        <v>6.5044374398762136E-2</v>
      </c>
      <c r="Q196" t="s">
        <v>168</v>
      </c>
      <c r="S196" t="s">
        <v>221</v>
      </c>
      <c r="T196" t="s">
        <v>258</v>
      </c>
      <c r="U196">
        <v>6.3314425402537206E-2</v>
      </c>
      <c r="V196" t="s">
        <v>168</v>
      </c>
      <c r="AK196">
        <v>2048</v>
      </c>
      <c r="AL196" t="s">
        <v>249</v>
      </c>
      <c r="AM196">
        <v>0.25729999999999997</v>
      </c>
      <c r="AN196" t="s">
        <v>247</v>
      </c>
    </row>
    <row r="197" spans="9:40" x14ac:dyDescent="0.45">
      <c r="I197" t="s">
        <v>178</v>
      </c>
      <c r="J197" t="s">
        <v>171</v>
      </c>
      <c r="K197">
        <v>4.3528390942905247E-2</v>
      </c>
      <c r="L197" t="s">
        <v>168</v>
      </c>
      <c r="N197" t="s">
        <v>202</v>
      </c>
      <c r="O197" t="s">
        <v>171</v>
      </c>
      <c r="P197">
        <v>9.4842704554705073E-2</v>
      </c>
      <c r="Q197" t="s">
        <v>168</v>
      </c>
      <c r="S197" t="s">
        <v>221</v>
      </c>
      <c r="T197" t="s">
        <v>171</v>
      </c>
      <c r="U197">
        <v>0.13105215056058445</v>
      </c>
      <c r="V197" t="s">
        <v>168</v>
      </c>
      <c r="AK197">
        <v>2048</v>
      </c>
      <c r="AL197" t="s">
        <v>251</v>
      </c>
      <c r="AM197">
        <v>0.21010000000000001</v>
      </c>
      <c r="AN197" t="s">
        <v>247</v>
      </c>
    </row>
    <row r="198" spans="9:40" x14ac:dyDescent="0.45">
      <c r="I198" t="s">
        <v>178</v>
      </c>
      <c r="J198" t="s">
        <v>172</v>
      </c>
      <c r="K198">
        <v>3.2176504089014138E-2</v>
      </c>
      <c r="L198" t="s">
        <v>168</v>
      </c>
      <c r="N198" t="s">
        <v>202</v>
      </c>
      <c r="O198" t="s">
        <v>172</v>
      </c>
      <c r="P198">
        <v>1.3189382258321794E-2</v>
      </c>
      <c r="Q198" t="s">
        <v>168</v>
      </c>
      <c r="S198" t="s">
        <v>221</v>
      </c>
      <c r="T198" t="s">
        <v>172</v>
      </c>
      <c r="U198">
        <v>1.4124466190951404E-2</v>
      </c>
      <c r="V198" t="s">
        <v>168</v>
      </c>
      <c r="AK198">
        <v>2048</v>
      </c>
      <c r="AL198" t="s">
        <v>253</v>
      </c>
      <c r="AM198">
        <v>0.19950000000000001</v>
      </c>
      <c r="AN198" t="s">
        <v>247</v>
      </c>
    </row>
    <row r="199" spans="9:40" x14ac:dyDescent="0.45">
      <c r="I199" t="s">
        <v>178</v>
      </c>
      <c r="J199" t="s">
        <v>173</v>
      </c>
      <c r="K199">
        <v>3.6560814712487684E-2</v>
      </c>
      <c r="L199" t="s">
        <v>168</v>
      </c>
      <c r="N199" t="s">
        <v>202</v>
      </c>
      <c r="O199" t="s">
        <v>173</v>
      </c>
      <c r="P199">
        <v>1.3672767061803709E-2</v>
      </c>
      <c r="Q199" t="s">
        <v>168</v>
      </c>
      <c r="S199" t="s">
        <v>221</v>
      </c>
      <c r="T199" t="s">
        <v>173</v>
      </c>
      <c r="U199">
        <v>1.3657454181131411E-2</v>
      </c>
      <c r="V199" t="s">
        <v>168</v>
      </c>
      <c r="AK199">
        <v>2048</v>
      </c>
      <c r="AL199" t="s">
        <v>255</v>
      </c>
      <c r="AM199">
        <v>0.1996</v>
      </c>
      <c r="AN199" t="s">
        <v>247</v>
      </c>
    </row>
    <row r="200" spans="9:40" x14ac:dyDescent="0.45">
      <c r="I200" t="s">
        <v>178</v>
      </c>
      <c r="J200" t="s">
        <v>259</v>
      </c>
      <c r="K200">
        <v>0.22034133983451551</v>
      </c>
      <c r="L200" t="s">
        <v>168</v>
      </c>
      <c r="N200" t="s">
        <v>202</v>
      </c>
      <c r="O200" t="s">
        <v>259</v>
      </c>
      <c r="P200">
        <v>9.2235094445028615E-2</v>
      </c>
      <c r="Q200" t="s">
        <v>168</v>
      </c>
      <c r="S200" t="s">
        <v>221</v>
      </c>
      <c r="T200" t="s">
        <v>259</v>
      </c>
      <c r="U200">
        <v>7.8159284609059035E-2</v>
      </c>
      <c r="V200" t="s">
        <v>168</v>
      </c>
      <c r="AK200">
        <v>2049</v>
      </c>
      <c r="AL200" t="s">
        <v>157</v>
      </c>
      <c r="AM200">
        <v>0.17115000000000002</v>
      </c>
      <c r="AN200" t="s">
        <v>247</v>
      </c>
    </row>
    <row r="201" spans="9:40" x14ac:dyDescent="0.45">
      <c r="I201" t="s">
        <v>178</v>
      </c>
      <c r="J201" t="s">
        <v>260</v>
      </c>
      <c r="K201">
        <v>2.8129963982071866E-2</v>
      </c>
      <c r="L201" t="s">
        <v>168</v>
      </c>
      <c r="N201" t="s">
        <v>202</v>
      </c>
      <c r="O201" t="s">
        <v>260</v>
      </c>
      <c r="P201">
        <v>1.7459040122169981E-2</v>
      </c>
      <c r="Q201" t="s">
        <v>168</v>
      </c>
      <c r="S201" t="s">
        <v>221</v>
      </c>
      <c r="T201" t="s">
        <v>260</v>
      </c>
      <c r="U201">
        <v>1.5076772826172242E-2</v>
      </c>
      <c r="V201" t="s">
        <v>168</v>
      </c>
      <c r="AK201">
        <v>2049</v>
      </c>
      <c r="AL201" t="s">
        <v>161</v>
      </c>
      <c r="AM201">
        <v>0.25587500000000002</v>
      </c>
      <c r="AN201" t="s">
        <v>247</v>
      </c>
    </row>
    <row r="202" spans="9:40" x14ac:dyDescent="0.45">
      <c r="I202" t="s">
        <v>178</v>
      </c>
      <c r="J202" t="s">
        <v>261</v>
      </c>
      <c r="K202">
        <v>3.8323102204525249E-2</v>
      </c>
      <c r="L202" t="s">
        <v>168</v>
      </c>
      <c r="N202" t="s">
        <v>202</v>
      </c>
      <c r="O202" t="s">
        <v>261</v>
      </c>
      <c r="P202">
        <v>0.10088247261985099</v>
      </c>
      <c r="Q202" t="s">
        <v>168</v>
      </c>
      <c r="S202" t="s">
        <v>221</v>
      </c>
      <c r="T202" t="s">
        <v>261</v>
      </c>
      <c r="U202">
        <v>0.11581093628842762</v>
      </c>
      <c r="V202" t="s">
        <v>168</v>
      </c>
      <c r="AK202">
        <v>2049</v>
      </c>
      <c r="AL202" t="s">
        <v>163</v>
      </c>
      <c r="AM202">
        <v>0.31590000000000001</v>
      </c>
      <c r="AN202" t="s">
        <v>247</v>
      </c>
    </row>
    <row r="203" spans="9:40" x14ac:dyDescent="0.45">
      <c r="I203" t="s">
        <v>178</v>
      </c>
      <c r="J203" t="s">
        <v>174</v>
      </c>
      <c r="K203">
        <v>1.4682597567461547E-2</v>
      </c>
      <c r="L203" t="s">
        <v>168</v>
      </c>
      <c r="N203" t="s">
        <v>202</v>
      </c>
      <c r="O203" t="s">
        <v>174</v>
      </c>
      <c r="P203">
        <v>9.9015675439535714E-3</v>
      </c>
      <c r="Q203" t="s">
        <v>168</v>
      </c>
      <c r="S203" t="s">
        <v>221</v>
      </c>
      <c r="T203" t="s">
        <v>174</v>
      </c>
      <c r="U203">
        <v>2.2709509765732164E-2</v>
      </c>
      <c r="V203" t="s">
        <v>168</v>
      </c>
      <c r="AK203">
        <v>2049</v>
      </c>
      <c r="AL203" t="s">
        <v>249</v>
      </c>
      <c r="AM203">
        <v>0.25419999999999998</v>
      </c>
      <c r="AN203" t="s">
        <v>247</v>
      </c>
    </row>
    <row r="204" spans="9:40" x14ac:dyDescent="0.45">
      <c r="I204" t="s">
        <v>178</v>
      </c>
      <c r="J204" t="s">
        <v>175</v>
      </c>
      <c r="K204">
        <v>9.2449815681102405E-3</v>
      </c>
      <c r="L204" t="s">
        <v>168</v>
      </c>
      <c r="N204" t="s">
        <v>202</v>
      </c>
      <c r="O204" t="s">
        <v>175</v>
      </c>
      <c r="P204">
        <v>9.8236377935721547E-4</v>
      </c>
      <c r="Q204" t="s">
        <v>168</v>
      </c>
      <c r="S204" t="s">
        <v>221</v>
      </c>
      <c r="T204" t="s">
        <v>175</v>
      </c>
      <c r="U204">
        <v>2.453880255637655E-3</v>
      </c>
      <c r="V204" t="s">
        <v>168</v>
      </c>
      <c r="AK204">
        <v>2049</v>
      </c>
      <c r="AL204" t="s">
        <v>251</v>
      </c>
      <c r="AM204">
        <v>0.23469999999999999</v>
      </c>
      <c r="AN204" t="s">
        <v>247</v>
      </c>
    </row>
    <row r="205" spans="9:40" x14ac:dyDescent="0.45">
      <c r="I205" t="s">
        <v>178</v>
      </c>
      <c r="J205" t="s">
        <v>176</v>
      </c>
      <c r="K205">
        <v>1.0302331830922933E-2</v>
      </c>
      <c r="L205" t="s">
        <v>168</v>
      </c>
      <c r="N205" t="s">
        <v>202</v>
      </c>
      <c r="O205" t="s">
        <v>176</v>
      </c>
      <c r="P205">
        <v>9.3303823075677542E-4</v>
      </c>
      <c r="Q205" t="s">
        <v>168</v>
      </c>
      <c r="S205" t="s">
        <v>221</v>
      </c>
      <c r="T205" t="s">
        <v>176</v>
      </c>
      <c r="U205">
        <v>2.2595977269697118E-3</v>
      </c>
      <c r="V205" t="s">
        <v>168</v>
      </c>
      <c r="AK205">
        <v>2049</v>
      </c>
      <c r="AL205" t="s">
        <v>253</v>
      </c>
      <c r="AM205">
        <v>0.2233</v>
      </c>
      <c r="AN205" t="s">
        <v>247</v>
      </c>
    </row>
    <row r="206" spans="9:40" x14ac:dyDescent="0.45">
      <c r="I206" t="s">
        <v>178</v>
      </c>
      <c r="J206" t="s">
        <v>262</v>
      </c>
      <c r="K206">
        <v>6.1836469564617427E-2</v>
      </c>
      <c r="L206" t="s">
        <v>168</v>
      </c>
      <c r="N206" t="s">
        <v>202</v>
      </c>
      <c r="O206" t="s">
        <v>262</v>
      </c>
      <c r="P206">
        <v>7.0691429117957219E-3</v>
      </c>
      <c r="Q206" t="s">
        <v>168</v>
      </c>
      <c r="S206" t="s">
        <v>221</v>
      </c>
      <c r="T206" t="s">
        <v>262</v>
      </c>
      <c r="U206">
        <v>1.4733990374245208E-2</v>
      </c>
      <c r="V206" t="s">
        <v>168</v>
      </c>
      <c r="AK206">
        <v>2049</v>
      </c>
      <c r="AL206" t="s">
        <v>255</v>
      </c>
      <c r="AM206">
        <v>0.2127</v>
      </c>
      <c r="AN206" t="s">
        <v>247</v>
      </c>
    </row>
    <row r="207" spans="9:40" x14ac:dyDescent="0.45">
      <c r="I207" t="s">
        <v>178</v>
      </c>
      <c r="J207" t="s">
        <v>263</v>
      </c>
      <c r="K207">
        <v>7.4895810663156252E-3</v>
      </c>
      <c r="L207" t="s">
        <v>168</v>
      </c>
      <c r="N207" t="s">
        <v>202</v>
      </c>
      <c r="O207" t="s">
        <v>263</v>
      </c>
      <c r="P207">
        <v>2.11488683079738E-3</v>
      </c>
      <c r="Q207" t="s">
        <v>168</v>
      </c>
      <c r="S207" t="s">
        <v>221</v>
      </c>
      <c r="T207" t="s">
        <v>263</v>
      </c>
      <c r="U207">
        <v>3.4446067358439689E-3</v>
      </c>
      <c r="V207" t="s">
        <v>168</v>
      </c>
      <c r="AK207">
        <v>2050</v>
      </c>
      <c r="AL207" t="s">
        <v>157</v>
      </c>
      <c r="AM207">
        <v>0.16880000000000001</v>
      </c>
      <c r="AN207" t="s">
        <v>247</v>
      </c>
    </row>
    <row r="208" spans="9:40" x14ac:dyDescent="0.45">
      <c r="I208" t="s">
        <v>178</v>
      </c>
      <c r="J208" t="s">
        <v>264</v>
      </c>
      <c r="K208">
        <v>1.3072945730765517E-2</v>
      </c>
      <c r="L208" t="s">
        <v>168</v>
      </c>
      <c r="N208" t="s">
        <v>202</v>
      </c>
      <c r="O208" t="s">
        <v>264</v>
      </c>
      <c r="P208">
        <v>1.1541500742976746E-2</v>
      </c>
      <c r="Q208" t="s">
        <v>168</v>
      </c>
      <c r="S208" t="s">
        <v>221</v>
      </c>
      <c r="T208" t="s">
        <v>264</v>
      </c>
      <c r="U208">
        <v>2.38086377567907E-2</v>
      </c>
      <c r="V208" t="s">
        <v>168</v>
      </c>
      <c r="AK208">
        <v>2050</v>
      </c>
      <c r="AL208" t="s">
        <v>161</v>
      </c>
      <c r="AM208">
        <v>0.25054999999999999</v>
      </c>
      <c r="AN208" t="s">
        <v>247</v>
      </c>
    </row>
    <row r="209" spans="9:40" x14ac:dyDescent="0.45">
      <c r="I209" t="s">
        <v>178</v>
      </c>
      <c r="J209" t="s">
        <v>265</v>
      </c>
      <c r="K209">
        <v>1.2317226221408649E-2</v>
      </c>
      <c r="L209" t="s">
        <v>168</v>
      </c>
      <c r="N209" t="s">
        <v>202</v>
      </c>
      <c r="O209" t="s">
        <v>265</v>
      </c>
      <c r="P209">
        <v>1.672120631621166E-2</v>
      </c>
      <c r="Q209" t="s">
        <v>168</v>
      </c>
      <c r="S209" t="s">
        <v>221</v>
      </c>
      <c r="T209" t="s">
        <v>265</v>
      </c>
      <c r="U209">
        <v>2.5241361041906822E-2</v>
      </c>
      <c r="V209" t="s">
        <v>168</v>
      </c>
      <c r="AK209">
        <v>2050</v>
      </c>
      <c r="AL209" t="s">
        <v>163</v>
      </c>
      <c r="AM209">
        <v>0.30120000000000002</v>
      </c>
      <c r="AN209" t="s">
        <v>247</v>
      </c>
    </row>
    <row r="210" spans="9:40" x14ac:dyDescent="0.45">
      <c r="I210" t="s">
        <v>178</v>
      </c>
      <c r="J210" t="s">
        <v>266</v>
      </c>
      <c r="K210">
        <v>9.3696539526291825E-3</v>
      </c>
      <c r="L210" t="s">
        <v>168</v>
      </c>
      <c r="N210" t="s">
        <v>202</v>
      </c>
      <c r="O210" t="s">
        <v>266</v>
      </c>
      <c r="P210">
        <v>1.6411656386491758E-3</v>
      </c>
      <c r="Q210" t="s">
        <v>168</v>
      </c>
      <c r="S210" t="s">
        <v>221</v>
      </c>
      <c r="T210" t="s">
        <v>266</v>
      </c>
      <c r="U210">
        <v>2.3395086746866426E-3</v>
      </c>
      <c r="V210" t="s">
        <v>168</v>
      </c>
      <c r="AK210">
        <v>2050</v>
      </c>
      <c r="AL210" t="s">
        <v>249</v>
      </c>
      <c r="AM210">
        <v>0.2581</v>
      </c>
      <c r="AN210" t="s">
        <v>247</v>
      </c>
    </row>
    <row r="211" spans="9:40" x14ac:dyDescent="0.45">
      <c r="I211" t="s">
        <v>178</v>
      </c>
      <c r="J211" t="s">
        <v>267</v>
      </c>
      <c r="K211">
        <v>1.0543963441944557E-2</v>
      </c>
      <c r="L211" t="s">
        <v>168</v>
      </c>
      <c r="N211" t="s">
        <v>202</v>
      </c>
      <c r="O211" t="s">
        <v>267</v>
      </c>
      <c r="P211">
        <v>1.4358474658981576E-3</v>
      </c>
      <c r="Q211" t="s">
        <v>168</v>
      </c>
      <c r="S211" t="s">
        <v>221</v>
      </c>
      <c r="T211" t="s">
        <v>267</v>
      </c>
      <c r="U211">
        <v>2.0677102162375239E-3</v>
      </c>
      <c r="V211" t="s">
        <v>168</v>
      </c>
      <c r="AK211">
        <v>2050</v>
      </c>
      <c r="AL211" t="s">
        <v>251</v>
      </c>
      <c r="AM211">
        <v>0.22600000000000001</v>
      </c>
      <c r="AN211" t="s">
        <v>247</v>
      </c>
    </row>
    <row r="212" spans="9:40" x14ac:dyDescent="0.45">
      <c r="I212" t="s">
        <v>178</v>
      </c>
      <c r="J212" t="s">
        <v>268</v>
      </c>
      <c r="K212">
        <v>6.3720371873362575E-2</v>
      </c>
      <c r="L212" t="s">
        <v>168</v>
      </c>
      <c r="N212" t="s">
        <v>202</v>
      </c>
      <c r="O212" t="s">
        <v>268</v>
      </c>
      <c r="P212">
        <v>9.6375479285644682E-3</v>
      </c>
      <c r="Q212" t="s">
        <v>168</v>
      </c>
      <c r="S212" t="s">
        <v>221</v>
      </c>
      <c r="T212" t="s">
        <v>268</v>
      </c>
      <c r="U212">
        <v>1.2326798610521829E-2</v>
      </c>
      <c r="V212" t="s">
        <v>168</v>
      </c>
      <c r="AK212">
        <v>2050</v>
      </c>
      <c r="AL212" t="s">
        <v>253</v>
      </c>
      <c r="AM212">
        <v>0.19874999999999998</v>
      </c>
      <c r="AN212" t="s">
        <v>247</v>
      </c>
    </row>
    <row r="213" spans="9:40" x14ac:dyDescent="0.45">
      <c r="I213" t="s">
        <v>178</v>
      </c>
      <c r="J213" t="s">
        <v>269</v>
      </c>
      <c r="K213">
        <v>8.5957620232125914E-3</v>
      </c>
      <c r="L213" t="s">
        <v>168</v>
      </c>
      <c r="N213" t="s">
        <v>202</v>
      </c>
      <c r="O213" t="s">
        <v>269</v>
      </c>
      <c r="P213">
        <v>2.7780602275848634E-3</v>
      </c>
      <c r="Q213" t="s">
        <v>168</v>
      </c>
      <c r="S213" t="s">
        <v>221</v>
      </c>
      <c r="T213" t="s">
        <v>269</v>
      </c>
      <c r="U213">
        <v>2.8483392113713125E-3</v>
      </c>
      <c r="V213" t="s">
        <v>168</v>
      </c>
      <c r="AK213">
        <v>2050</v>
      </c>
      <c r="AL213" t="s">
        <v>255</v>
      </c>
      <c r="AM213">
        <v>0.19420000000000001</v>
      </c>
      <c r="AN213" t="s">
        <v>247</v>
      </c>
    </row>
    <row r="214" spans="9:40" x14ac:dyDescent="0.45">
      <c r="I214" t="s">
        <v>178</v>
      </c>
      <c r="J214" t="s">
        <v>270</v>
      </c>
      <c r="K214">
        <v>1.219188145335969E-2</v>
      </c>
      <c r="L214" t="s">
        <v>168</v>
      </c>
      <c r="N214" t="s">
        <v>202</v>
      </c>
      <c r="O214" t="s">
        <v>270</v>
      </c>
      <c r="P214">
        <v>1.4918258974330634E-2</v>
      </c>
      <c r="Q214" t="s">
        <v>168</v>
      </c>
      <c r="S214" t="s">
        <v>221</v>
      </c>
      <c r="T214" t="s">
        <v>270</v>
      </c>
      <c r="U214">
        <v>1.9295360296909394E-2</v>
      </c>
      <c r="V214" t="s">
        <v>168</v>
      </c>
    </row>
    <row r="215" spans="9:40" x14ac:dyDescent="0.45">
      <c r="I215" t="s">
        <v>178</v>
      </c>
      <c r="J215" t="s">
        <v>271</v>
      </c>
      <c r="K215">
        <v>7.978514073209866E-3</v>
      </c>
      <c r="L215" t="s">
        <v>168</v>
      </c>
      <c r="N215" t="s">
        <v>202</v>
      </c>
      <c r="O215" t="s">
        <v>271</v>
      </c>
      <c r="P215">
        <v>1.3271488794790487E-2</v>
      </c>
      <c r="Q215" t="s">
        <v>168</v>
      </c>
      <c r="S215" t="s">
        <v>221</v>
      </c>
      <c r="T215" t="s">
        <v>271</v>
      </c>
      <c r="U215">
        <v>1.8076963220855929E-2</v>
      </c>
      <c r="V215" t="s">
        <v>168</v>
      </c>
    </row>
    <row r="216" spans="9:40" x14ac:dyDescent="0.45">
      <c r="I216" t="s">
        <v>178</v>
      </c>
      <c r="J216" t="s">
        <v>272</v>
      </c>
      <c r="K216">
        <v>7.4635914405115373E-3</v>
      </c>
      <c r="L216" t="s">
        <v>168</v>
      </c>
      <c r="N216" t="s">
        <v>202</v>
      </c>
      <c r="O216" t="s">
        <v>272</v>
      </c>
      <c r="P216">
        <v>1.730137128761883E-3</v>
      </c>
      <c r="Q216" t="s">
        <v>168</v>
      </c>
      <c r="S216" t="s">
        <v>221</v>
      </c>
      <c r="T216" t="s">
        <v>272</v>
      </c>
      <c r="U216">
        <v>1.9260584172423247E-3</v>
      </c>
      <c r="V216" t="s">
        <v>168</v>
      </c>
    </row>
    <row r="217" spans="9:40" x14ac:dyDescent="0.45">
      <c r="I217" t="s">
        <v>178</v>
      </c>
      <c r="J217" t="s">
        <v>273</v>
      </c>
      <c r="K217">
        <v>8.7145807771139665E-3</v>
      </c>
      <c r="L217" t="s">
        <v>168</v>
      </c>
      <c r="N217" t="s">
        <v>202</v>
      </c>
      <c r="O217" t="s">
        <v>273</v>
      </c>
      <c r="P217">
        <v>1.8408602221523171E-3</v>
      </c>
      <c r="Q217" t="s">
        <v>168</v>
      </c>
      <c r="S217" t="s">
        <v>221</v>
      </c>
      <c r="T217" t="s">
        <v>273</v>
      </c>
      <c r="U217">
        <v>1.757035439034881E-3</v>
      </c>
      <c r="V217" t="s">
        <v>168</v>
      </c>
    </row>
    <row r="218" spans="9:40" x14ac:dyDescent="0.45">
      <c r="I218" t="s">
        <v>178</v>
      </c>
      <c r="J218" t="s">
        <v>274</v>
      </c>
      <c r="K218">
        <v>5.2228612176717447E-2</v>
      </c>
      <c r="L218" t="s">
        <v>168</v>
      </c>
      <c r="N218" t="s">
        <v>202</v>
      </c>
      <c r="O218" t="s">
        <v>274</v>
      </c>
      <c r="P218">
        <v>1.3752195537132913E-2</v>
      </c>
      <c r="Q218" t="s">
        <v>168</v>
      </c>
      <c r="S218" t="s">
        <v>221</v>
      </c>
      <c r="T218" t="s">
        <v>274</v>
      </c>
      <c r="U218">
        <v>9.3650335897209353E-3</v>
      </c>
      <c r="V218" t="s">
        <v>168</v>
      </c>
    </row>
    <row r="219" spans="9:40" x14ac:dyDescent="0.45">
      <c r="I219" t="s">
        <v>178</v>
      </c>
      <c r="J219" t="s">
        <v>275</v>
      </c>
      <c r="K219">
        <v>6.867310034559271E-3</v>
      </c>
      <c r="L219" t="s">
        <v>168</v>
      </c>
      <c r="N219" t="s">
        <v>202</v>
      </c>
      <c r="O219" t="s">
        <v>275</v>
      </c>
      <c r="P219">
        <v>2.8113333361323599E-3</v>
      </c>
      <c r="Q219" t="s">
        <v>168</v>
      </c>
      <c r="S219" t="s">
        <v>221</v>
      </c>
      <c r="T219" t="s">
        <v>275</v>
      </c>
      <c r="U219">
        <v>1.778739149276354E-3</v>
      </c>
      <c r="V219" t="s">
        <v>168</v>
      </c>
    </row>
    <row r="220" spans="9:40" x14ac:dyDescent="0.45">
      <c r="I220" t="s">
        <v>178</v>
      </c>
      <c r="J220" t="s">
        <v>276</v>
      </c>
      <c r="K220">
        <v>6.2719095290765239E-3</v>
      </c>
      <c r="L220" t="s">
        <v>168</v>
      </c>
      <c r="N220" t="s">
        <v>202</v>
      </c>
      <c r="O220" t="s">
        <v>276</v>
      </c>
      <c r="P220">
        <v>1.3563002759335059E-2</v>
      </c>
      <c r="Q220" t="s">
        <v>168</v>
      </c>
      <c r="S220" t="s">
        <v>221</v>
      </c>
      <c r="T220" t="s">
        <v>276</v>
      </c>
      <c r="U220">
        <v>1.4696042158949412E-2</v>
      </c>
      <c r="V220" t="s">
        <v>168</v>
      </c>
    </row>
    <row r="221" spans="9:40" x14ac:dyDescent="0.45">
      <c r="I221" t="s">
        <v>178</v>
      </c>
      <c r="J221" t="s">
        <v>341</v>
      </c>
      <c r="K221">
        <v>0</v>
      </c>
      <c r="L221" t="s">
        <v>168</v>
      </c>
      <c r="N221" t="s">
        <v>202</v>
      </c>
      <c r="O221" t="s">
        <v>341</v>
      </c>
      <c r="P221">
        <v>1.0306708467240203E-6</v>
      </c>
      <c r="Q221" t="s">
        <v>168</v>
      </c>
      <c r="S221" t="s">
        <v>221</v>
      </c>
      <c r="T221" t="s">
        <v>341</v>
      </c>
      <c r="U221">
        <v>1.8329362026845795E-6</v>
      </c>
      <c r="V221" t="s">
        <v>168</v>
      </c>
    </row>
    <row r="222" spans="9:40" x14ac:dyDescent="0.45">
      <c r="I222" t="s">
        <v>178</v>
      </c>
      <c r="J222" t="s">
        <v>342</v>
      </c>
      <c r="K222">
        <v>0</v>
      </c>
      <c r="L222" t="s">
        <v>168</v>
      </c>
      <c r="N222" t="s">
        <v>202</v>
      </c>
      <c r="O222" t="s">
        <v>342</v>
      </c>
      <c r="P222">
        <v>1.8283058163263769E-6</v>
      </c>
      <c r="Q222" t="s">
        <v>168</v>
      </c>
      <c r="S222" t="s">
        <v>221</v>
      </c>
      <c r="T222" t="s">
        <v>342</v>
      </c>
      <c r="U222">
        <v>2.0654143403813602E-6</v>
      </c>
      <c r="V222" t="s">
        <v>168</v>
      </c>
    </row>
    <row r="223" spans="9:40" x14ac:dyDescent="0.45">
      <c r="I223" t="s">
        <v>178</v>
      </c>
      <c r="J223" t="s">
        <v>343</v>
      </c>
      <c r="K223">
        <v>0</v>
      </c>
      <c r="L223" t="s">
        <v>168</v>
      </c>
      <c r="N223" t="s">
        <v>202</v>
      </c>
      <c r="O223" t="s">
        <v>343</v>
      </c>
      <c r="P223">
        <v>3.0421504536470091E-6</v>
      </c>
      <c r="Q223" t="s">
        <v>168</v>
      </c>
      <c r="S223" t="s">
        <v>221</v>
      </c>
      <c r="T223" t="s">
        <v>343</v>
      </c>
      <c r="U223">
        <v>2.4889665389335986E-6</v>
      </c>
      <c r="V223" t="s">
        <v>168</v>
      </c>
    </row>
    <row r="224" spans="9:40" x14ac:dyDescent="0.45">
      <c r="I224" t="s">
        <v>178</v>
      </c>
      <c r="J224" t="s">
        <v>344</v>
      </c>
      <c r="K224">
        <v>0</v>
      </c>
      <c r="L224" t="s">
        <v>168</v>
      </c>
      <c r="N224" t="s">
        <v>202</v>
      </c>
      <c r="O224" t="s">
        <v>344</v>
      </c>
      <c r="P224">
        <v>4.0990462369139516E-6</v>
      </c>
      <c r="Q224" t="s">
        <v>168</v>
      </c>
      <c r="S224" t="s">
        <v>221</v>
      </c>
      <c r="T224" t="s">
        <v>344</v>
      </c>
      <c r="U224">
        <v>2.5352576580245547E-6</v>
      </c>
      <c r="V224" t="s">
        <v>168</v>
      </c>
    </row>
    <row r="225" spans="9:22" x14ac:dyDescent="0.45">
      <c r="I225" t="s">
        <v>178</v>
      </c>
      <c r="J225" t="s">
        <v>345</v>
      </c>
      <c r="K225">
        <v>0</v>
      </c>
      <c r="L225" t="s">
        <v>168</v>
      </c>
      <c r="N225" t="s">
        <v>202</v>
      </c>
      <c r="O225" t="s">
        <v>345</v>
      </c>
      <c r="P225">
        <v>4.8935129268658789E-6</v>
      </c>
      <c r="Q225" t="s">
        <v>168</v>
      </c>
      <c r="S225" t="s">
        <v>221</v>
      </c>
      <c r="T225" t="s">
        <v>345</v>
      </c>
      <c r="U225">
        <v>4.121046447569985E-6</v>
      </c>
      <c r="V225" t="s">
        <v>168</v>
      </c>
    </row>
    <row r="226" spans="9:22" x14ac:dyDescent="0.45">
      <c r="I226" t="s">
        <v>178</v>
      </c>
      <c r="J226" t="s">
        <v>346</v>
      </c>
      <c r="K226">
        <v>0</v>
      </c>
      <c r="L226" t="s">
        <v>168</v>
      </c>
      <c r="N226" t="s">
        <v>202</v>
      </c>
      <c r="O226" t="s">
        <v>346</v>
      </c>
      <c r="P226">
        <v>5.6784299088137481E-6</v>
      </c>
      <c r="Q226" t="s">
        <v>168</v>
      </c>
      <c r="S226" t="s">
        <v>221</v>
      </c>
      <c r="T226" t="s">
        <v>346</v>
      </c>
      <c r="U226">
        <v>5.1236833201061004E-6</v>
      </c>
      <c r="V226" t="s">
        <v>168</v>
      </c>
    </row>
    <row r="227" spans="9:22" x14ac:dyDescent="0.45">
      <c r="I227" t="s">
        <v>178</v>
      </c>
      <c r="J227" t="s">
        <v>347</v>
      </c>
      <c r="K227">
        <v>5.132097566814662E-5</v>
      </c>
      <c r="L227" t="s">
        <v>168</v>
      </c>
      <c r="N227" t="s">
        <v>202</v>
      </c>
      <c r="O227" t="s">
        <v>347</v>
      </c>
      <c r="P227">
        <v>7.3887029420739798E-6</v>
      </c>
      <c r="Q227" t="s">
        <v>168</v>
      </c>
      <c r="S227" t="s">
        <v>221</v>
      </c>
      <c r="T227" t="s">
        <v>347</v>
      </c>
      <c r="U227">
        <v>8.7936270503897483E-6</v>
      </c>
      <c r="V227" t="s">
        <v>168</v>
      </c>
    </row>
    <row r="228" spans="9:22" x14ac:dyDescent="0.45">
      <c r="I228" t="s">
        <v>178</v>
      </c>
      <c r="J228" t="s">
        <v>348</v>
      </c>
      <c r="K228">
        <v>1.9087095128474265E-4</v>
      </c>
      <c r="L228" t="s">
        <v>168</v>
      </c>
      <c r="N228" t="s">
        <v>202</v>
      </c>
      <c r="O228" t="s">
        <v>348</v>
      </c>
      <c r="P228">
        <v>7.215760286696786E-6</v>
      </c>
      <c r="Q228" t="s">
        <v>168</v>
      </c>
      <c r="S228" t="s">
        <v>221</v>
      </c>
      <c r="T228" t="s">
        <v>348</v>
      </c>
      <c r="U228">
        <v>1.2492962701635276E-5</v>
      </c>
      <c r="V228" t="s">
        <v>168</v>
      </c>
    </row>
    <row r="229" spans="9:22" x14ac:dyDescent="0.45">
      <c r="I229" t="s">
        <v>178</v>
      </c>
      <c r="J229" t="s">
        <v>349</v>
      </c>
      <c r="K229">
        <v>2.8336712443839207E-4</v>
      </c>
      <c r="L229" t="s">
        <v>168</v>
      </c>
      <c r="N229" t="s">
        <v>202</v>
      </c>
      <c r="O229" t="s">
        <v>349</v>
      </c>
      <c r="P229">
        <v>1.0699054116345488E-5</v>
      </c>
      <c r="Q229" t="s">
        <v>168</v>
      </c>
      <c r="S229" t="s">
        <v>221</v>
      </c>
      <c r="T229" t="s">
        <v>349</v>
      </c>
      <c r="U229">
        <v>1.5165591686319413E-5</v>
      </c>
      <c r="V229" t="s">
        <v>168</v>
      </c>
    </row>
    <row r="230" spans="9:22" x14ac:dyDescent="0.45">
      <c r="I230" t="s">
        <v>178</v>
      </c>
      <c r="J230" t="s">
        <v>350</v>
      </c>
      <c r="K230">
        <v>2.9578431649801443E-4</v>
      </c>
      <c r="L230" t="s">
        <v>168</v>
      </c>
      <c r="N230" t="s">
        <v>202</v>
      </c>
      <c r="O230" t="s">
        <v>350</v>
      </c>
      <c r="P230">
        <v>1.10800250017388E-5</v>
      </c>
      <c r="Q230" t="s">
        <v>168</v>
      </c>
      <c r="S230" t="s">
        <v>221</v>
      </c>
      <c r="T230" t="s">
        <v>350</v>
      </c>
      <c r="U230">
        <v>1.7754734242337442E-5</v>
      </c>
      <c r="V230" t="s">
        <v>168</v>
      </c>
    </row>
    <row r="231" spans="9:22" x14ac:dyDescent="0.45">
      <c r="I231" t="s">
        <v>178</v>
      </c>
      <c r="J231" t="s">
        <v>351</v>
      </c>
      <c r="K231">
        <v>3.2185880399889514E-4</v>
      </c>
      <c r="L231" t="s">
        <v>168</v>
      </c>
      <c r="N231" t="s">
        <v>202</v>
      </c>
      <c r="O231" t="s">
        <v>351</v>
      </c>
      <c r="P231">
        <v>1.2688153587046084E-5</v>
      </c>
      <c r="Q231" t="s">
        <v>168</v>
      </c>
      <c r="S231" t="s">
        <v>221</v>
      </c>
      <c r="T231" t="s">
        <v>351</v>
      </c>
      <c r="U231">
        <v>1.8642777317038494E-5</v>
      </c>
      <c r="V231" t="s">
        <v>168</v>
      </c>
    </row>
    <row r="232" spans="9:22" x14ac:dyDescent="0.45">
      <c r="I232" t="s">
        <v>178</v>
      </c>
      <c r="J232" t="s">
        <v>352</v>
      </c>
      <c r="K232">
        <v>3.0755933056893941E-4</v>
      </c>
      <c r="L232" t="s">
        <v>168</v>
      </c>
      <c r="N232" t="s">
        <v>202</v>
      </c>
      <c r="O232" t="s">
        <v>352</v>
      </c>
      <c r="P232">
        <v>1.4046894875988934E-5</v>
      </c>
      <c r="Q232" t="s">
        <v>168</v>
      </c>
      <c r="S232" t="s">
        <v>221</v>
      </c>
      <c r="T232" t="s">
        <v>352</v>
      </c>
      <c r="U232">
        <v>2.2007836521884834E-5</v>
      </c>
      <c r="V232" t="s">
        <v>168</v>
      </c>
    </row>
    <row r="233" spans="9:22" x14ac:dyDescent="0.45">
      <c r="I233" t="s">
        <v>178</v>
      </c>
      <c r="J233" t="s">
        <v>353</v>
      </c>
      <c r="K233">
        <v>2.9110172555870257E-4</v>
      </c>
      <c r="L233" t="s">
        <v>168</v>
      </c>
      <c r="N233" t="s">
        <v>202</v>
      </c>
      <c r="O233" t="s">
        <v>353</v>
      </c>
      <c r="P233">
        <v>2.2430962559942831E-5</v>
      </c>
      <c r="Q233" t="s">
        <v>168</v>
      </c>
      <c r="S233" t="s">
        <v>221</v>
      </c>
      <c r="T233" t="s">
        <v>353</v>
      </c>
      <c r="U233">
        <v>3.2778601192311954E-5</v>
      </c>
      <c r="V233" t="s">
        <v>168</v>
      </c>
    </row>
    <row r="234" spans="9:22" x14ac:dyDescent="0.45">
      <c r="I234" t="s">
        <v>178</v>
      </c>
      <c r="J234" t="s">
        <v>354</v>
      </c>
      <c r="K234">
        <v>2.9227084390613379E-4</v>
      </c>
      <c r="L234" t="s">
        <v>168</v>
      </c>
      <c r="N234" t="s">
        <v>202</v>
      </c>
      <c r="O234" t="s">
        <v>354</v>
      </c>
      <c r="P234">
        <v>3.0468306382894187E-5</v>
      </c>
      <c r="Q234" t="s">
        <v>168</v>
      </c>
      <c r="S234" t="s">
        <v>221</v>
      </c>
      <c r="T234" t="s">
        <v>354</v>
      </c>
      <c r="U234">
        <v>4.468219407251876E-5</v>
      </c>
      <c r="V234" t="s">
        <v>168</v>
      </c>
    </row>
    <row r="235" spans="9:22" x14ac:dyDescent="0.45">
      <c r="I235" t="s">
        <v>178</v>
      </c>
      <c r="J235" t="s">
        <v>355</v>
      </c>
      <c r="K235">
        <v>2.7364775072015115E-4</v>
      </c>
      <c r="L235" t="s">
        <v>168</v>
      </c>
      <c r="N235" t="s">
        <v>202</v>
      </c>
      <c r="O235" t="s">
        <v>355</v>
      </c>
      <c r="P235">
        <v>3.9572328330734989E-5</v>
      </c>
      <c r="Q235" t="s">
        <v>168</v>
      </c>
      <c r="S235" t="s">
        <v>221</v>
      </c>
      <c r="T235" t="s">
        <v>355</v>
      </c>
      <c r="U235">
        <v>6.7062495465262381E-5</v>
      </c>
      <c r="V235" t="s">
        <v>168</v>
      </c>
    </row>
    <row r="236" spans="9:22" x14ac:dyDescent="0.45">
      <c r="I236" t="s">
        <v>178</v>
      </c>
      <c r="J236" t="s">
        <v>356</v>
      </c>
      <c r="K236">
        <v>2.4923226589162843E-4</v>
      </c>
      <c r="L236" t="s">
        <v>168</v>
      </c>
      <c r="N236" t="s">
        <v>202</v>
      </c>
      <c r="O236" t="s">
        <v>356</v>
      </c>
      <c r="P236">
        <v>4.4403898486170455E-5</v>
      </c>
      <c r="Q236" t="s">
        <v>168</v>
      </c>
      <c r="S236" t="s">
        <v>221</v>
      </c>
      <c r="T236" t="s">
        <v>356</v>
      </c>
      <c r="U236">
        <v>9.1832354657495047E-5</v>
      </c>
      <c r="V236" t="s">
        <v>168</v>
      </c>
    </row>
    <row r="237" spans="9:22" x14ac:dyDescent="0.45">
      <c r="I237" t="s">
        <v>178</v>
      </c>
      <c r="J237" t="s">
        <v>357</v>
      </c>
      <c r="K237">
        <v>2.2286470225570384E-4</v>
      </c>
      <c r="L237" t="s">
        <v>168</v>
      </c>
      <c r="N237" t="s">
        <v>202</v>
      </c>
      <c r="O237" t="s">
        <v>357</v>
      </c>
      <c r="P237">
        <v>4.5777199523222006E-5</v>
      </c>
      <c r="Q237" t="s">
        <v>168</v>
      </c>
      <c r="S237" t="s">
        <v>221</v>
      </c>
      <c r="T237" t="s">
        <v>357</v>
      </c>
      <c r="U237">
        <v>1.1351501285029604E-4</v>
      </c>
      <c r="V237" t="s">
        <v>168</v>
      </c>
    </row>
    <row r="238" spans="9:22" x14ac:dyDescent="0.45">
      <c r="I238" t="s">
        <v>178</v>
      </c>
      <c r="J238" t="s">
        <v>358</v>
      </c>
      <c r="K238">
        <v>1.2415014669019204E-4</v>
      </c>
      <c r="L238" t="s">
        <v>168</v>
      </c>
      <c r="N238" t="s">
        <v>202</v>
      </c>
      <c r="O238" t="s">
        <v>358</v>
      </c>
      <c r="P238">
        <v>4.6838754200848538E-5</v>
      </c>
      <c r="Q238" t="s">
        <v>168</v>
      </c>
      <c r="S238" t="s">
        <v>221</v>
      </c>
      <c r="T238" t="s">
        <v>358</v>
      </c>
      <c r="U238">
        <v>1.2287680507881764E-4</v>
      </c>
      <c r="V238" t="s">
        <v>168</v>
      </c>
    </row>
    <row r="239" spans="9:22" x14ac:dyDescent="0.45">
      <c r="I239" t="s">
        <v>178</v>
      </c>
      <c r="J239" t="s">
        <v>359</v>
      </c>
      <c r="K239">
        <v>0</v>
      </c>
      <c r="L239" t="s">
        <v>168</v>
      </c>
      <c r="N239" t="s">
        <v>202</v>
      </c>
      <c r="O239" t="s">
        <v>359</v>
      </c>
      <c r="P239">
        <v>4.4693775372022888E-5</v>
      </c>
      <c r="Q239" t="s">
        <v>168</v>
      </c>
      <c r="S239" t="s">
        <v>221</v>
      </c>
      <c r="T239" t="s">
        <v>359</v>
      </c>
      <c r="U239">
        <v>1.2270241355320276E-4</v>
      </c>
      <c r="V239" t="s">
        <v>168</v>
      </c>
    </row>
    <row r="240" spans="9:22" x14ac:dyDescent="0.45">
      <c r="I240" t="s">
        <v>178</v>
      </c>
      <c r="J240" t="s">
        <v>360</v>
      </c>
      <c r="K240">
        <v>0</v>
      </c>
      <c r="L240" t="s">
        <v>168</v>
      </c>
      <c r="N240" t="s">
        <v>202</v>
      </c>
      <c r="O240" t="s">
        <v>360</v>
      </c>
      <c r="P240">
        <v>3.3947224511827002E-5</v>
      </c>
      <c r="Q240" t="s">
        <v>168</v>
      </c>
      <c r="S240" t="s">
        <v>221</v>
      </c>
      <c r="T240" t="s">
        <v>360</v>
      </c>
      <c r="U240">
        <v>1.2031439314956497E-4</v>
      </c>
      <c r="V240" t="s">
        <v>168</v>
      </c>
    </row>
    <row r="241" spans="9:22" x14ac:dyDescent="0.45">
      <c r="I241" t="s">
        <v>178</v>
      </c>
      <c r="J241" t="s">
        <v>361</v>
      </c>
      <c r="K241">
        <v>0</v>
      </c>
      <c r="L241" t="s">
        <v>168</v>
      </c>
      <c r="N241" t="s">
        <v>202</v>
      </c>
      <c r="O241" t="s">
        <v>361</v>
      </c>
      <c r="P241">
        <v>1.8704641694856783E-5</v>
      </c>
      <c r="Q241" t="s">
        <v>168</v>
      </c>
      <c r="S241" t="s">
        <v>221</v>
      </c>
      <c r="T241" t="s">
        <v>361</v>
      </c>
      <c r="U241">
        <v>1.1288225227912036E-4</v>
      </c>
      <c r="V241" t="s">
        <v>168</v>
      </c>
    </row>
    <row r="242" spans="9:22" x14ac:dyDescent="0.45">
      <c r="I242" t="s">
        <v>178</v>
      </c>
      <c r="J242" t="s">
        <v>362</v>
      </c>
      <c r="K242">
        <v>0</v>
      </c>
      <c r="L242" t="s">
        <v>168</v>
      </c>
      <c r="N242" t="s">
        <v>202</v>
      </c>
      <c r="O242" t="s">
        <v>362</v>
      </c>
      <c r="P242">
        <v>7.1158396339281031E-6</v>
      </c>
      <c r="Q242" t="s">
        <v>168</v>
      </c>
      <c r="S242" t="s">
        <v>221</v>
      </c>
      <c r="T242" t="s">
        <v>362</v>
      </c>
      <c r="U242">
        <v>9.9528395305285291E-5</v>
      </c>
      <c r="V242" t="s">
        <v>168</v>
      </c>
    </row>
    <row r="243" spans="9:22" x14ac:dyDescent="0.45">
      <c r="I243" t="s">
        <v>178</v>
      </c>
      <c r="J243" t="s">
        <v>363</v>
      </c>
      <c r="K243">
        <v>0</v>
      </c>
      <c r="L243" t="s">
        <v>168</v>
      </c>
      <c r="N243" t="s">
        <v>202</v>
      </c>
      <c r="O243" t="s">
        <v>363</v>
      </c>
      <c r="P243">
        <v>2.4679031753453098E-6</v>
      </c>
      <c r="Q243" t="s">
        <v>168</v>
      </c>
      <c r="S243" t="s">
        <v>221</v>
      </c>
      <c r="T243" t="s">
        <v>363</v>
      </c>
      <c r="U243">
        <v>8.4726647165994827E-5</v>
      </c>
      <c r="V243" t="s">
        <v>168</v>
      </c>
    </row>
    <row r="244" spans="9:22" x14ac:dyDescent="0.45">
      <c r="I244" t="s">
        <v>178</v>
      </c>
      <c r="J244" t="s">
        <v>364</v>
      </c>
      <c r="K244">
        <v>0</v>
      </c>
      <c r="L244" t="s">
        <v>168</v>
      </c>
      <c r="N244" t="s">
        <v>202</v>
      </c>
      <c r="O244" t="s">
        <v>364</v>
      </c>
      <c r="P244">
        <v>7.4148316277894773E-7</v>
      </c>
      <c r="Q244" t="s">
        <v>168</v>
      </c>
      <c r="S244" t="s">
        <v>221</v>
      </c>
      <c r="T244" t="s">
        <v>364</v>
      </c>
      <c r="U244">
        <v>8.8703598501931006E-5</v>
      </c>
      <c r="V244" t="s">
        <v>168</v>
      </c>
    </row>
    <row r="245" spans="9:22" x14ac:dyDescent="0.45">
      <c r="I245" t="s">
        <v>178</v>
      </c>
      <c r="J245" t="s">
        <v>277</v>
      </c>
      <c r="K245">
        <v>3.9185875124284428E-3</v>
      </c>
      <c r="L245" t="s">
        <v>168</v>
      </c>
      <c r="N245" t="s">
        <v>202</v>
      </c>
      <c r="O245" t="s">
        <v>277</v>
      </c>
      <c r="P245">
        <v>7.4128033061584261E-2</v>
      </c>
      <c r="Q245" t="s">
        <v>168</v>
      </c>
      <c r="S245" t="s">
        <v>221</v>
      </c>
      <c r="T245" t="s">
        <v>277</v>
      </c>
      <c r="U245">
        <v>5.6891922782226115E-2</v>
      </c>
      <c r="V245" t="s">
        <v>168</v>
      </c>
    </row>
    <row r="246" spans="9:22" x14ac:dyDescent="0.45">
      <c r="I246" t="s">
        <v>178</v>
      </c>
      <c r="J246" t="s">
        <v>278</v>
      </c>
      <c r="K246">
        <v>8.9403745437110667E-3</v>
      </c>
      <c r="L246" t="s">
        <v>168</v>
      </c>
      <c r="N246" t="s">
        <v>202</v>
      </c>
      <c r="O246" t="s">
        <v>278</v>
      </c>
      <c r="P246">
        <v>9.0728949753672381E-3</v>
      </c>
      <c r="Q246" t="s">
        <v>168</v>
      </c>
      <c r="S246" t="s">
        <v>221</v>
      </c>
      <c r="T246" t="s">
        <v>278</v>
      </c>
      <c r="U246">
        <v>7.2802543304421831E-3</v>
      </c>
      <c r="V246" t="s">
        <v>168</v>
      </c>
    </row>
    <row r="247" spans="9:22" x14ac:dyDescent="0.45">
      <c r="I247" t="s">
        <v>178</v>
      </c>
      <c r="J247" t="s">
        <v>279</v>
      </c>
      <c r="K247">
        <v>1.2331104628780154E-2</v>
      </c>
      <c r="L247" t="s">
        <v>168</v>
      </c>
      <c r="N247" t="s">
        <v>202</v>
      </c>
      <c r="O247" t="s">
        <v>279</v>
      </c>
      <c r="P247">
        <v>9.0016637283700501E-3</v>
      </c>
      <c r="Q247" t="s">
        <v>168</v>
      </c>
      <c r="S247" t="s">
        <v>221</v>
      </c>
      <c r="T247" t="s">
        <v>279</v>
      </c>
      <c r="U247">
        <v>7.2515152924935928E-3</v>
      </c>
      <c r="V247" t="s">
        <v>168</v>
      </c>
    </row>
    <row r="248" spans="9:22" x14ac:dyDescent="0.45">
      <c r="I248" t="s">
        <v>178</v>
      </c>
      <c r="J248" t="s">
        <v>280</v>
      </c>
      <c r="K248">
        <v>7.6290169798588048E-2</v>
      </c>
      <c r="L248" t="s">
        <v>168</v>
      </c>
      <c r="N248" t="s">
        <v>202</v>
      </c>
      <c r="O248" t="s">
        <v>280</v>
      </c>
      <c r="P248">
        <v>5.6769912999181341E-2</v>
      </c>
      <c r="Q248" t="s">
        <v>168</v>
      </c>
      <c r="S248" t="s">
        <v>221</v>
      </c>
      <c r="T248" t="s">
        <v>280</v>
      </c>
      <c r="U248">
        <v>4.1964194428314887E-2</v>
      </c>
      <c r="V248" t="s">
        <v>168</v>
      </c>
    </row>
    <row r="249" spans="9:22" x14ac:dyDescent="0.45">
      <c r="I249" t="s">
        <v>178</v>
      </c>
      <c r="J249" t="s">
        <v>281</v>
      </c>
      <c r="K249">
        <v>7.0822324006132326E-3</v>
      </c>
      <c r="L249" t="s">
        <v>168</v>
      </c>
      <c r="N249" t="s">
        <v>202</v>
      </c>
      <c r="O249" t="s">
        <v>281</v>
      </c>
      <c r="P249">
        <v>9.7378741341505124E-3</v>
      </c>
      <c r="Q249" t="s">
        <v>168</v>
      </c>
      <c r="S249" t="s">
        <v>221</v>
      </c>
      <c r="T249" t="s">
        <v>281</v>
      </c>
      <c r="U249">
        <v>7.8544905452390158E-3</v>
      </c>
      <c r="V249" t="s">
        <v>168</v>
      </c>
    </row>
    <row r="250" spans="9:22" x14ac:dyDescent="0.45">
      <c r="I250" t="s">
        <v>178</v>
      </c>
      <c r="J250" t="s">
        <v>282</v>
      </c>
      <c r="K250">
        <v>1.6120557994139882E-3</v>
      </c>
      <c r="L250" t="s">
        <v>168</v>
      </c>
      <c r="N250" t="s">
        <v>202</v>
      </c>
      <c r="O250" t="s">
        <v>282</v>
      </c>
      <c r="P250">
        <v>7.1763910400514649E-2</v>
      </c>
      <c r="Q250" t="s">
        <v>168</v>
      </c>
      <c r="S250" t="s">
        <v>221</v>
      </c>
      <c r="T250" t="s">
        <v>282</v>
      </c>
      <c r="U250">
        <v>5.6669954939527367E-2</v>
      </c>
      <c r="V250" t="s">
        <v>168</v>
      </c>
    </row>
    <row r="251" spans="9:22" x14ac:dyDescent="0.45">
      <c r="I251" t="s">
        <v>178</v>
      </c>
      <c r="J251" t="s">
        <v>283</v>
      </c>
      <c r="K251">
        <v>0</v>
      </c>
      <c r="L251" t="s">
        <v>168</v>
      </c>
      <c r="N251" t="s">
        <v>202</v>
      </c>
      <c r="O251" t="s">
        <v>283</v>
      </c>
      <c r="P251">
        <v>3.3269515518337289E-2</v>
      </c>
      <c r="Q251" t="s">
        <v>168</v>
      </c>
      <c r="S251" t="s">
        <v>221</v>
      </c>
      <c r="T251" t="s">
        <v>283</v>
      </c>
      <c r="U251">
        <v>2.3622389223619721E-2</v>
      </c>
      <c r="V251" t="s">
        <v>168</v>
      </c>
    </row>
    <row r="252" spans="9:22" x14ac:dyDescent="0.45">
      <c r="I252" t="s">
        <v>178</v>
      </c>
      <c r="J252" t="s">
        <v>284</v>
      </c>
      <c r="K252">
        <v>3.3097841856915247E-3</v>
      </c>
      <c r="L252" t="s">
        <v>168</v>
      </c>
      <c r="N252" t="s">
        <v>202</v>
      </c>
      <c r="O252" t="s">
        <v>284</v>
      </c>
      <c r="P252">
        <v>4.0969273263206166E-3</v>
      </c>
      <c r="Q252" t="s">
        <v>168</v>
      </c>
      <c r="S252" t="s">
        <v>221</v>
      </c>
      <c r="T252" t="s">
        <v>284</v>
      </c>
      <c r="U252">
        <v>3.0095633319001621E-3</v>
      </c>
      <c r="V252" t="s">
        <v>168</v>
      </c>
    </row>
    <row r="253" spans="9:22" x14ac:dyDescent="0.45">
      <c r="I253" t="s">
        <v>178</v>
      </c>
      <c r="J253" t="s">
        <v>285</v>
      </c>
      <c r="K253">
        <v>5.3750371869861601E-3</v>
      </c>
      <c r="L253" t="s">
        <v>168</v>
      </c>
      <c r="N253" t="s">
        <v>202</v>
      </c>
      <c r="O253" t="s">
        <v>285</v>
      </c>
      <c r="P253">
        <v>3.9397123016323456E-3</v>
      </c>
      <c r="Q253" t="s">
        <v>168</v>
      </c>
      <c r="S253" t="s">
        <v>221</v>
      </c>
      <c r="T253" t="s">
        <v>285</v>
      </c>
      <c r="U253">
        <v>3.0479926204380614E-3</v>
      </c>
      <c r="V253" t="s">
        <v>168</v>
      </c>
    </row>
    <row r="254" spans="9:22" x14ac:dyDescent="0.45">
      <c r="I254" t="s">
        <v>178</v>
      </c>
      <c r="J254" t="s">
        <v>286</v>
      </c>
      <c r="K254">
        <v>3.5748339271557614E-2</v>
      </c>
      <c r="L254" t="s">
        <v>168</v>
      </c>
      <c r="N254" t="s">
        <v>202</v>
      </c>
      <c r="O254" t="s">
        <v>286</v>
      </c>
      <c r="P254">
        <v>1.9620972778814239E-2</v>
      </c>
      <c r="Q254" t="s">
        <v>168</v>
      </c>
      <c r="S254" t="s">
        <v>221</v>
      </c>
      <c r="T254" t="s">
        <v>286</v>
      </c>
      <c r="U254">
        <v>1.7126745975552655E-2</v>
      </c>
      <c r="V254" t="s">
        <v>168</v>
      </c>
    </row>
    <row r="255" spans="9:22" x14ac:dyDescent="0.45">
      <c r="I255" t="s">
        <v>178</v>
      </c>
      <c r="J255" t="s">
        <v>287</v>
      </c>
      <c r="K255">
        <v>3.2652285074143898E-3</v>
      </c>
      <c r="L255" t="s">
        <v>168</v>
      </c>
      <c r="N255" t="s">
        <v>202</v>
      </c>
      <c r="O255" t="s">
        <v>287</v>
      </c>
      <c r="P255">
        <v>3.1319299303236609E-3</v>
      </c>
      <c r="Q255" t="s">
        <v>168</v>
      </c>
      <c r="S255" t="s">
        <v>221</v>
      </c>
      <c r="T255" t="s">
        <v>287</v>
      </c>
      <c r="U255">
        <v>2.8672572322441048E-3</v>
      </c>
      <c r="V255" t="s">
        <v>168</v>
      </c>
    </row>
    <row r="256" spans="9:22" x14ac:dyDescent="0.45">
      <c r="I256" t="s">
        <v>178</v>
      </c>
      <c r="J256" t="s">
        <v>288</v>
      </c>
      <c r="K256">
        <v>0</v>
      </c>
      <c r="L256" t="s">
        <v>168</v>
      </c>
      <c r="N256" t="s">
        <v>202</v>
      </c>
      <c r="O256" t="s">
        <v>288</v>
      </c>
      <c r="P256">
        <v>2.3927063055498549E-2</v>
      </c>
      <c r="Q256" t="s">
        <v>168</v>
      </c>
      <c r="S256" t="s">
        <v>221</v>
      </c>
      <c r="T256" t="s">
        <v>288</v>
      </c>
      <c r="U256">
        <v>1.8332714373535949E-2</v>
      </c>
      <c r="V256" t="s">
        <v>168</v>
      </c>
    </row>
    <row r="257" spans="9:22" x14ac:dyDescent="0.45">
      <c r="I257" t="s">
        <v>178</v>
      </c>
      <c r="J257" t="s">
        <v>365</v>
      </c>
      <c r="K257">
        <v>0</v>
      </c>
      <c r="L257" t="s">
        <v>168</v>
      </c>
      <c r="N257" t="s">
        <v>202</v>
      </c>
      <c r="O257" t="s">
        <v>365</v>
      </c>
      <c r="P257">
        <v>2.3203013786942787E-5</v>
      </c>
      <c r="Q257" t="s">
        <v>168</v>
      </c>
      <c r="S257" t="s">
        <v>221</v>
      </c>
      <c r="T257" t="s">
        <v>365</v>
      </c>
      <c r="U257">
        <v>3.940058110480743E-5</v>
      </c>
      <c r="V257" t="s">
        <v>168</v>
      </c>
    </row>
    <row r="258" spans="9:22" x14ac:dyDescent="0.45">
      <c r="I258" t="s">
        <v>178</v>
      </c>
      <c r="J258" t="s">
        <v>366</v>
      </c>
      <c r="K258">
        <v>0</v>
      </c>
      <c r="L258" t="s">
        <v>168</v>
      </c>
      <c r="N258" t="s">
        <v>202</v>
      </c>
      <c r="O258" t="s">
        <v>366</v>
      </c>
      <c r="P258">
        <v>1.8383685505628204E-5</v>
      </c>
      <c r="Q258" t="s">
        <v>168</v>
      </c>
      <c r="S258" t="s">
        <v>221</v>
      </c>
      <c r="T258" t="s">
        <v>366</v>
      </c>
      <c r="U258">
        <v>3.8689855780674618E-5</v>
      </c>
      <c r="V258" t="s">
        <v>168</v>
      </c>
    </row>
    <row r="259" spans="9:22" x14ac:dyDescent="0.45">
      <c r="I259" t="s">
        <v>178</v>
      </c>
      <c r="J259" t="s">
        <v>367</v>
      </c>
      <c r="K259">
        <v>0</v>
      </c>
      <c r="L259" t="s">
        <v>168</v>
      </c>
      <c r="N259" t="s">
        <v>202</v>
      </c>
      <c r="O259" t="s">
        <v>367</v>
      </c>
      <c r="P259">
        <v>1.3867292338526579E-5</v>
      </c>
      <c r="Q259" t="s">
        <v>168</v>
      </c>
      <c r="S259" t="s">
        <v>221</v>
      </c>
      <c r="T259" t="s">
        <v>367</v>
      </c>
      <c r="U259">
        <v>3.9460925281277953E-5</v>
      </c>
      <c r="V259" t="s">
        <v>168</v>
      </c>
    </row>
    <row r="260" spans="9:22" x14ac:dyDescent="0.45">
      <c r="I260" t="s">
        <v>178</v>
      </c>
      <c r="J260" t="s">
        <v>368</v>
      </c>
      <c r="K260">
        <v>0</v>
      </c>
      <c r="L260" t="s">
        <v>168</v>
      </c>
      <c r="N260" t="s">
        <v>202</v>
      </c>
      <c r="O260" t="s">
        <v>368</v>
      </c>
      <c r="P260">
        <v>1.3531721432820885E-5</v>
      </c>
      <c r="Q260" t="s">
        <v>168</v>
      </c>
      <c r="S260" t="s">
        <v>221</v>
      </c>
      <c r="T260" t="s">
        <v>368</v>
      </c>
      <c r="U260">
        <v>4.1901193188987049E-5</v>
      </c>
      <c r="V260" t="s">
        <v>168</v>
      </c>
    </row>
    <row r="261" spans="9:22" x14ac:dyDescent="0.45">
      <c r="I261" t="s">
        <v>178</v>
      </c>
      <c r="J261" t="s">
        <v>369</v>
      </c>
      <c r="K261">
        <v>0</v>
      </c>
      <c r="L261" t="s">
        <v>168</v>
      </c>
      <c r="N261" t="s">
        <v>202</v>
      </c>
      <c r="O261" t="s">
        <v>369</v>
      </c>
      <c r="P261">
        <v>1.2448722028809912E-5</v>
      </c>
      <c r="Q261" t="s">
        <v>168</v>
      </c>
      <c r="S261" t="s">
        <v>221</v>
      </c>
      <c r="T261" t="s">
        <v>369</v>
      </c>
      <c r="U261">
        <v>3.5049231412231197E-5</v>
      </c>
      <c r="V261" t="s">
        <v>168</v>
      </c>
    </row>
    <row r="262" spans="9:22" x14ac:dyDescent="0.45">
      <c r="I262" t="s">
        <v>178</v>
      </c>
      <c r="J262" t="s">
        <v>370</v>
      </c>
      <c r="K262">
        <v>0</v>
      </c>
      <c r="L262" t="s">
        <v>168</v>
      </c>
      <c r="N262" t="s">
        <v>202</v>
      </c>
      <c r="O262" t="s">
        <v>370</v>
      </c>
      <c r="P262">
        <v>1.4622845460585761E-5</v>
      </c>
      <c r="Q262" t="s">
        <v>168</v>
      </c>
      <c r="S262" t="s">
        <v>221</v>
      </c>
      <c r="T262" t="s">
        <v>370</v>
      </c>
      <c r="U262">
        <v>2.7978302748180494E-5</v>
      </c>
      <c r="V262" t="s">
        <v>168</v>
      </c>
    </row>
    <row r="263" spans="9:22" x14ac:dyDescent="0.45">
      <c r="I263" t="s">
        <v>178</v>
      </c>
      <c r="J263" t="s">
        <v>371</v>
      </c>
      <c r="K263">
        <v>0</v>
      </c>
      <c r="L263" t="s">
        <v>168</v>
      </c>
      <c r="N263" t="s">
        <v>202</v>
      </c>
      <c r="O263" t="s">
        <v>371</v>
      </c>
      <c r="P263">
        <v>1.5554491716844915E-5</v>
      </c>
      <c r="Q263" t="s">
        <v>168</v>
      </c>
      <c r="S263" t="s">
        <v>221</v>
      </c>
      <c r="T263" t="s">
        <v>371</v>
      </c>
      <c r="U263">
        <v>2.2338077600903366E-5</v>
      </c>
      <c r="V263" t="s">
        <v>168</v>
      </c>
    </row>
    <row r="264" spans="9:22" x14ac:dyDescent="0.45">
      <c r="I264" t="s">
        <v>178</v>
      </c>
      <c r="J264" t="s">
        <v>372</v>
      </c>
      <c r="K264">
        <v>0</v>
      </c>
      <c r="L264" t="s">
        <v>168</v>
      </c>
      <c r="N264" t="s">
        <v>202</v>
      </c>
      <c r="O264" t="s">
        <v>372</v>
      </c>
      <c r="P264">
        <v>1.529791488744557E-5</v>
      </c>
      <c r="Q264" t="s">
        <v>168</v>
      </c>
      <c r="S264" t="s">
        <v>221</v>
      </c>
      <c r="T264" t="s">
        <v>372</v>
      </c>
      <c r="U264">
        <v>2.0152012415297871E-5</v>
      </c>
      <c r="V264" t="s">
        <v>168</v>
      </c>
    </row>
    <row r="265" spans="9:22" x14ac:dyDescent="0.45">
      <c r="I265" t="s">
        <v>178</v>
      </c>
      <c r="J265" t="s">
        <v>373</v>
      </c>
      <c r="K265">
        <v>1.4788322922503863E-4</v>
      </c>
      <c r="L265" t="s">
        <v>168</v>
      </c>
      <c r="N265" t="s">
        <v>202</v>
      </c>
      <c r="O265" t="s">
        <v>373</v>
      </c>
      <c r="P265">
        <v>1.3267740971151539E-5</v>
      </c>
      <c r="Q265" t="s">
        <v>168</v>
      </c>
      <c r="S265" t="s">
        <v>221</v>
      </c>
      <c r="T265" t="s">
        <v>373</v>
      </c>
      <c r="U265">
        <v>1.8407960037574827E-5</v>
      </c>
      <c r="V265" t="s">
        <v>168</v>
      </c>
    </row>
    <row r="266" spans="9:22" x14ac:dyDescent="0.45">
      <c r="I266" t="s">
        <v>178</v>
      </c>
      <c r="J266" t="s">
        <v>374</v>
      </c>
      <c r="K266">
        <v>2.1466193437548914E-4</v>
      </c>
      <c r="L266" t="s">
        <v>168</v>
      </c>
      <c r="N266" t="s">
        <v>202</v>
      </c>
      <c r="O266" t="s">
        <v>374</v>
      </c>
      <c r="P266">
        <v>1.0385487769815044E-5</v>
      </c>
      <c r="Q266" t="s">
        <v>168</v>
      </c>
      <c r="S266" t="s">
        <v>221</v>
      </c>
      <c r="T266" t="s">
        <v>374</v>
      </c>
      <c r="U266">
        <v>1.5573504059389244E-5</v>
      </c>
      <c r="V266" t="s">
        <v>168</v>
      </c>
    </row>
    <row r="267" spans="9:22" x14ac:dyDescent="0.45">
      <c r="I267" t="s">
        <v>178</v>
      </c>
      <c r="J267" t="s">
        <v>375</v>
      </c>
      <c r="K267">
        <v>2.4576311175888966E-4</v>
      </c>
      <c r="L267" t="s">
        <v>168</v>
      </c>
      <c r="N267" t="s">
        <v>202</v>
      </c>
      <c r="O267" t="s">
        <v>375</v>
      </c>
      <c r="P267">
        <v>7.1288454133640367E-6</v>
      </c>
      <c r="Q267" t="s">
        <v>168</v>
      </c>
      <c r="S267" t="s">
        <v>221</v>
      </c>
      <c r="T267" t="s">
        <v>375</v>
      </c>
      <c r="U267">
        <v>1.2860539633208551E-5</v>
      </c>
      <c r="V267" t="s">
        <v>168</v>
      </c>
    </row>
    <row r="268" spans="9:22" x14ac:dyDescent="0.45">
      <c r="I268" t="s">
        <v>178</v>
      </c>
      <c r="J268" t="s">
        <v>376</v>
      </c>
      <c r="K268">
        <v>2.1824466908753316E-4</v>
      </c>
      <c r="L268" t="s">
        <v>168</v>
      </c>
      <c r="N268" t="s">
        <v>202</v>
      </c>
      <c r="O268" t="s">
        <v>376</v>
      </c>
      <c r="P268">
        <v>1.3275493659766565E-6</v>
      </c>
      <c r="Q268" t="s">
        <v>168</v>
      </c>
      <c r="S268" t="s">
        <v>221</v>
      </c>
      <c r="T268" t="s">
        <v>376</v>
      </c>
      <c r="U268">
        <v>4.9845354717308691E-6</v>
      </c>
      <c r="V268" t="s">
        <v>168</v>
      </c>
    </row>
    <row r="269" spans="9:22" x14ac:dyDescent="0.45">
      <c r="I269" t="s">
        <v>178</v>
      </c>
      <c r="J269" t="s">
        <v>377</v>
      </c>
      <c r="K269">
        <v>1.7419273267581654E-4</v>
      </c>
      <c r="L269" t="s">
        <v>168</v>
      </c>
      <c r="N269" t="s">
        <v>202</v>
      </c>
      <c r="O269" t="s">
        <v>377</v>
      </c>
      <c r="P269">
        <v>9.9850617455074421E-7</v>
      </c>
      <c r="Q269" t="s">
        <v>168</v>
      </c>
      <c r="S269" t="s">
        <v>221</v>
      </c>
      <c r="T269" t="s">
        <v>377</v>
      </c>
      <c r="U269">
        <v>3.1928042543774482E-6</v>
      </c>
      <c r="V269" t="s">
        <v>168</v>
      </c>
    </row>
    <row r="270" spans="9:22" x14ac:dyDescent="0.45">
      <c r="I270" t="s">
        <v>178</v>
      </c>
      <c r="J270" t="s">
        <v>378</v>
      </c>
      <c r="K270">
        <v>2.247005322037249E-4</v>
      </c>
      <c r="L270" t="s">
        <v>168</v>
      </c>
      <c r="N270" t="s">
        <v>202</v>
      </c>
      <c r="O270" t="s">
        <v>378</v>
      </c>
      <c r="P270">
        <v>7.1431945360934992E-8</v>
      </c>
      <c r="Q270" t="s">
        <v>168</v>
      </c>
      <c r="S270" t="s">
        <v>221</v>
      </c>
      <c r="T270" t="s">
        <v>378</v>
      </c>
      <c r="U270">
        <v>1.6113365597335967E-6</v>
      </c>
      <c r="V270" t="s">
        <v>168</v>
      </c>
    </row>
    <row r="271" spans="9:22" x14ac:dyDescent="0.45">
      <c r="I271" t="s">
        <v>178</v>
      </c>
      <c r="J271" t="s">
        <v>379</v>
      </c>
      <c r="K271">
        <v>1.9534306671167286E-4</v>
      </c>
      <c r="L271" t="s">
        <v>168</v>
      </c>
      <c r="N271" t="s">
        <v>202</v>
      </c>
      <c r="O271" t="s">
        <v>379</v>
      </c>
      <c r="P271">
        <v>1.0490554198130019E-8</v>
      </c>
      <c r="Q271" t="s">
        <v>168</v>
      </c>
      <c r="S271" t="s">
        <v>221</v>
      </c>
      <c r="T271" t="s">
        <v>379</v>
      </c>
      <c r="U271">
        <v>9.1290816721586545E-7</v>
      </c>
      <c r="V271" t="s">
        <v>168</v>
      </c>
    </row>
    <row r="272" spans="9:22" x14ac:dyDescent="0.45">
      <c r="I272" t="s">
        <v>178</v>
      </c>
      <c r="J272" t="s">
        <v>380</v>
      </c>
      <c r="K272">
        <v>9.7118101878018758E-5</v>
      </c>
      <c r="L272" t="s">
        <v>168</v>
      </c>
      <c r="N272" t="s">
        <v>202</v>
      </c>
      <c r="O272" t="s">
        <v>380</v>
      </c>
      <c r="P272">
        <v>1.0170529572852345E-8</v>
      </c>
      <c r="Q272" t="s">
        <v>168</v>
      </c>
      <c r="S272" t="s">
        <v>221</v>
      </c>
      <c r="T272" t="s">
        <v>380</v>
      </c>
      <c r="U272">
        <v>8.2772061964783322E-7</v>
      </c>
      <c r="V272" t="s">
        <v>168</v>
      </c>
    </row>
    <row r="273" spans="9:22" x14ac:dyDescent="0.45">
      <c r="I273" t="s">
        <v>178</v>
      </c>
      <c r="J273" t="s">
        <v>381</v>
      </c>
      <c r="K273">
        <v>4.2898623662301254E-5</v>
      </c>
      <c r="L273" t="s">
        <v>168</v>
      </c>
      <c r="N273" t="s">
        <v>202</v>
      </c>
      <c r="O273" t="s">
        <v>381</v>
      </c>
      <c r="P273">
        <v>9.6807127150167294E-8</v>
      </c>
      <c r="Q273" t="s">
        <v>168</v>
      </c>
      <c r="S273" t="s">
        <v>221</v>
      </c>
      <c r="T273" t="s">
        <v>381</v>
      </c>
      <c r="U273">
        <v>4.8436358212467107E-7</v>
      </c>
      <c r="V273" t="s">
        <v>168</v>
      </c>
    </row>
    <row r="274" spans="9:22" x14ac:dyDescent="0.45">
      <c r="I274" t="s">
        <v>178</v>
      </c>
      <c r="J274" t="s">
        <v>382</v>
      </c>
      <c r="K274">
        <v>0</v>
      </c>
      <c r="L274" t="s">
        <v>168</v>
      </c>
      <c r="N274" t="s">
        <v>202</v>
      </c>
      <c r="O274" t="s">
        <v>382</v>
      </c>
      <c r="P274">
        <v>2.943668925274596E-7</v>
      </c>
      <c r="Q274" t="s">
        <v>168</v>
      </c>
      <c r="S274" t="s">
        <v>221</v>
      </c>
      <c r="T274" t="s">
        <v>382</v>
      </c>
      <c r="U274">
        <v>1.2762829779648092E-6</v>
      </c>
      <c r="V274" t="s">
        <v>168</v>
      </c>
    </row>
    <row r="275" spans="9:22" x14ac:dyDescent="0.45">
      <c r="I275" t="s">
        <v>178</v>
      </c>
      <c r="J275" t="s">
        <v>383</v>
      </c>
      <c r="K275">
        <v>0</v>
      </c>
      <c r="L275" t="s">
        <v>168</v>
      </c>
      <c r="N275" t="s">
        <v>202</v>
      </c>
      <c r="O275" t="s">
        <v>383</v>
      </c>
      <c r="P275">
        <v>1.6192559624700415E-6</v>
      </c>
      <c r="Q275" t="s">
        <v>168</v>
      </c>
      <c r="S275" t="s">
        <v>221</v>
      </c>
      <c r="T275" t="s">
        <v>383</v>
      </c>
      <c r="U275">
        <v>3.5412120072118448E-6</v>
      </c>
      <c r="V275" t="s">
        <v>168</v>
      </c>
    </row>
    <row r="276" spans="9:22" x14ac:dyDescent="0.45">
      <c r="I276" t="s">
        <v>178</v>
      </c>
      <c r="J276" t="s">
        <v>384</v>
      </c>
      <c r="K276">
        <v>0</v>
      </c>
      <c r="L276" t="s">
        <v>168</v>
      </c>
      <c r="N276" t="s">
        <v>202</v>
      </c>
      <c r="O276" t="s">
        <v>384</v>
      </c>
      <c r="P276">
        <v>6.7883493605829681E-6</v>
      </c>
      <c r="Q276" t="s">
        <v>168</v>
      </c>
      <c r="S276" t="s">
        <v>221</v>
      </c>
      <c r="T276" t="s">
        <v>384</v>
      </c>
      <c r="U276">
        <v>8.0011658069026758E-6</v>
      </c>
      <c r="V276" t="s">
        <v>168</v>
      </c>
    </row>
    <row r="277" spans="9:22" x14ac:dyDescent="0.45">
      <c r="I277" t="s">
        <v>178</v>
      </c>
      <c r="J277" t="s">
        <v>385</v>
      </c>
      <c r="K277">
        <v>0</v>
      </c>
      <c r="L277" t="s">
        <v>168</v>
      </c>
      <c r="N277" t="s">
        <v>202</v>
      </c>
      <c r="O277" t="s">
        <v>385</v>
      </c>
      <c r="P277">
        <v>9.3226807517207766E-6</v>
      </c>
      <c r="Q277" t="s">
        <v>168</v>
      </c>
      <c r="S277" t="s">
        <v>221</v>
      </c>
      <c r="T277" t="s">
        <v>385</v>
      </c>
      <c r="U277">
        <v>1.4924139868579358E-5</v>
      </c>
      <c r="V277" t="s">
        <v>168</v>
      </c>
    </row>
    <row r="278" spans="9:22" x14ac:dyDescent="0.45">
      <c r="I278" t="s">
        <v>178</v>
      </c>
      <c r="J278" t="s">
        <v>386</v>
      </c>
      <c r="K278">
        <v>0</v>
      </c>
      <c r="L278" t="s">
        <v>168</v>
      </c>
      <c r="N278" t="s">
        <v>202</v>
      </c>
      <c r="O278" t="s">
        <v>386</v>
      </c>
      <c r="P278">
        <v>1.2575066372236157E-5</v>
      </c>
      <c r="Q278" t="s">
        <v>168</v>
      </c>
      <c r="S278" t="s">
        <v>221</v>
      </c>
      <c r="T278" t="s">
        <v>386</v>
      </c>
      <c r="U278">
        <v>2.4158815392824646E-5</v>
      </c>
      <c r="V278" t="s">
        <v>168</v>
      </c>
    </row>
    <row r="279" spans="9:22" x14ac:dyDescent="0.45">
      <c r="I279" t="s">
        <v>178</v>
      </c>
      <c r="J279" t="s">
        <v>387</v>
      </c>
      <c r="K279">
        <v>0</v>
      </c>
      <c r="L279" t="s">
        <v>168</v>
      </c>
      <c r="N279" t="s">
        <v>202</v>
      </c>
      <c r="O279" t="s">
        <v>387</v>
      </c>
      <c r="P279">
        <v>1.5056902212722013E-5</v>
      </c>
      <c r="Q279" t="s">
        <v>168</v>
      </c>
      <c r="S279" t="s">
        <v>221</v>
      </c>
      <c r="T279" t="s">
        <v>387</v>
      </c>
      <c r="U279">
        <v>3.8988860812597283E-5</v>
      </c>
      <c r="V279" t="s">
        <v>168</v>
      </c>
    </row>
    <row r="280" spans="9:22" x14ac:dyDescent="0.45">
      <c r="I280" t="s">
        <v>178</v>
      </c>
      <c r="J280" t="s">
        <v>388</v>
      </c>
      <c r="K280">
        <v>0</v>
      </c>
      <c r="L280" t="s">
        <v>168</v>
      </c>
      <c r="N280" t="s">
        <v>202</v>
      </c>
      <c r="O280" t="s">
        <v>388</v>
      </c>
      <c r="P280">
        <v>1.6868270003127961E-5</v>
      </c>
      <c r="Q280" t="s">
        <v>168</v>
      </c>
      <c r="S280" t="s">
        <v>221</v>
      </c>
      <c r="T280" t="s">
        <v>388</v>
      </c>
      <c r="U280">
        <v>5.7847696500832287E-5</v>
      </c>
      <c r="V280" t="s">
        <v>168</v>
      </c>
    </row>
    <row r="281" spans="9:22" x14ac:dyDescent="0.45">
      <c r="I281" t="s">
        <v>179</v>
      </c>
      <c r="J281" t="s">
        <v>167</v>
      </c>
      <c r="K281">
        <v>3.9093585086758496E-4</v>
      </c>
      <c r="L281" t="s">
        <v>168</v>
      </c>
      <c r="N281" t="s">
        <v>203</v>
      </c>
      <c r="O281" t="s">
        <v>167</v>
      </c>
      <c r="P281">
        <v>6.4789300129669547E-2</v>
      </c>
      <c r="Q281" t="s">
        <v>168</v>
      </c>
      <c r="S281" t="s">
        <v>222</v>
      </c>
      <c r="T281" t="s">
        <v>167</v>
      </c>
      <c r="U281">
        <v>7.9851046767151573E-2</v>
      </c>
      <c r="V281" t="s">
        <v>168</v>
      </c>
    </row>
    <row r="282" spans="9:22" x14ac:dyDescent="0.45">
      <c r="I282" t="s">
        <v>179</v>
      </c>
      <c r="J282" t="s">
        <v>169</v>
      </c>
      <c r="K282">
        <v>7.9019404930254621E-3</v>
      </c>
      <c r="L282" t="s">
        <v>168</v>
      </c>
      <c r="N282" t="s">
        <v>203</v>
      </c>
      <c r="O282" t="s">
        <v>169</v>
      </c>
      <c r="P282">
        <v>8.086110532589029E-3</v>
      </c>
      <c r="Q282" t="s">
        <v>168</v>
      </c>
      <c r="S282" t="s">
        <v>222</v>
      </c>
      <c r="T282" t="s">
        <v>169</v>
      </c>
      <c r="U282">
        <v>9.5359743346776077E-3</v>
      </c>
      <c r="V282" t="s">
        <v>168</v>
      </c>
    </row>
    <row r="283" spans="9:22" x14ac:dyDescent="0.45">
      <c r="I283" t="s">
        <v>179</v>
      </c>
      <c r="J283" t="s">
        <v>170</v>
      </c>
      <c r="K283">
        <v>1.2810281863055367E-2</v>
      </c>
      <c r="L283" t="s">
        <v>168</v>
      </c>
      <c r="N283" t="s">
        <v>203</v>
      </c>
      <c r="O283" t="s">
        <v>170</v>
      </c>
      <c r="P283">
        <v>7.7062181364165464E-3</v>
      </c>
      <c r="Q283" t="s">
        <v>168</v>
      </c>
      <c r="S283" t="s">
        <v>222</v>
      </c>
      <c r="T283" t="s">
        <v>170</v>
      </c>
      <c r="U283">
        <v>9.2123488888552658E-3</v>
      </c>
      <c r="V283" t="s">
        <v>168</v>
      </c>
    </row>
    <row r="284" spans="9:22" x14ac:dyDescent="0.45">
      <c r="I284" t="s">
        <v>179</v>
      </c>
      <c r="J284" t="s">
        <v>256</v>
      </c>
      <c r="K284">
        <v>9.0513842982284862E-2</v>
      </c>
      <c r="L284" t="s">
        <v>168</v>
      </c>
      <c r="N284" t="s">
        <v>203</v>
      </c>
      <c r="O284" t="s">
        <v>256</v>
      </c>
      <c r="P284">
        <v>4.7685427506197434E-2</v>
      </c>
      <c r="Q284" t="s">
        <v>168</v>
      </c>
      <c r="S284" t="s">
        <v>222</v>
      </c>
      <c r="T284" t="s">
        <v>256</v>
      </c>
      <c r="U284">
        <v>6.1673563080474579E-2</v>
      </c>
      <c r="V284" t="s">
        <v>168</v>
      </c>
    </row>
    <row r="285" spans="9:22" x14ac:dyDescent="0.45">
      <c r="I285" t="s">
        <v>179</v>
      </c>
      <c r="J285" t="s">
        <v>257</v>
      </c>
      <c r="K285">
        <v>9.6283789528359906E-3</v>
      </c>
      <c r="L285" t="s">
        <v>168</v>
      </c>
      <c r="N285" t="s">
        <v>203</v>
      </c>
      <c r="O285" t="s">
        <v>257</v>
      </c>
      <c r="P285">
        <v>8.7936370823239463E-3</v>
      </c>
      <c r="Q285" t="s">
        <v>168</v>
      </c>
      <c r="S285" t="s">
        <v>222</v>
      </c>
      <c r="T285" t="s">
        <v>257</v>
      </c>
      <c r="U285">
        <v>1.1349838774513071E-2</v>
      </c>
      <c r="V285" t="s">
        <v>168</v>
      </c>
    </row>
    <row r="286" spans="9:22" x14ac:dyDescent="0.45">
      <c r="I286" t="s">
        <v>179</v>
      </c>
      <c r="J286" t="s">
        <v>258</v>
      </c>
      <c r="K286">
        <v>3.2474065180134264E-3</v>
      </c>
      <c r="L286" t="s">
        <v>168</v>
      </c>
      <c r="N286" t="s">
        <v>203</v>
      </c>
      <c r="O286" t="s">
        <v>258</v>
      </c>
      <c r="P286">
        <v>6.1379895478240895E-2</v>
      </c>
      <c r="Q286" t="s">
        <v>168</v>
      </c>
      <c r="S286" t="s">
        <v>222</v>
      </c>
      <c r="T286" t="s">
        <v>258</v>
      </c>
      <c r="U286">
        <v>7.848172251665847E-2</v>
      </c>
      <c r="V286" t="s">
        <v>168</v>
      </c>
    </row>
    <row r="287" spans="9:22" x14ac:dyDescent="0.45">
      <c r="I287" t="s">
        <v>179</v>
      </c>
      <c r="J287" t="s">
        <v>171</v>
      </c>
      <c r="K287">
        <v>3.8928046231635913E-2</v>
      </c>
      <c r="L287" t="s">
        <v>168</v>
      </c>
      <c r="N287" t="s">
        <v>203</v>
      </c>
      <c r="O287" t="s">
        <v>171</v>
      </c>
      <c r="P287">
        <v>9.9880897721230627E-2</v>
      </c>
      <c r="Q287" t="s">
        <v>168</v>
      </c>
      <c r="S287" t="s">
        <v>222</v>
      </c>
      <c r="T287" t="s">
        <v>171</v>
      </c>
      <c r="U287">
        <v>0.12026858998087268</v>
      </c>
      <c r="V287" t="s">
        <v>168</v>
      </c>
    </row>
    <row r="288" spans="9:22" x14ac:dyDescent="0.45">
      <c r="I288" t="s">
        <v>179</v>
      </c>
      <c r="J288" t="s">
        <v>172</v>
      </c>
      <c r="K288">
        <v>3.0449310841344064E-2</v>
      </c>
      <c r="L288" t="s">
        <v>168</v>
      </c>
      <c r="N288" t="s">
        <v>203</v>
      </c>
      <c r="O288" t="s">
        <v>172</v>
      </c>
      <c r="P288">
        <v>1.2414298232866269E-2</v>
      </c>
      <c r="Q288" t="s">
        <v>168</v>
      </c>
      <c r="S288" t="s">
        <v>222</v>
      </c>
      <c r="T288" t="s">
        <v>172</v>
      </c>
      <c r="U288">
        <v>1.3776517077121023E-2</v>
      </c>
      <c r="V288" t="s">
        <v>168</v>
      </c>
    </row>
    <row r="289" spans="9:22" x14ac:dyDescent="0.45">
      <c r="I289" t="s">
        <v>179</v>
      </c>
      <c r="J289" t="s">
        <v>173</v>
      </c>
      <c r="K289">
        <v>3.5922947400208037E-2</v>
      </c>
      <c r="L289" t="s">
        <v>168</v>
      </c>
      <c r="N289" t="s">
        <v>203</v>
      </c>
      <c r="O289" t="s">
        <v>173</v>
      </c>
      <c r="P289">
        <v>1.2699004642538727E-2</v>
      </c>
      <c r="Q289" t="s">
        <v>168</v>
      </c>
      <c r="S289" t="s">
        <v>222</v>
      </c>
      <c r="T289" t="s">
        <v>173</v>
      </c>
      <c r="U289">
        <v>1.3687924958364772E-2</v>
      </c>
      <c r="V289" t="s">
        <v>168</v>
      </c>
    </row>
    <row r="290" spans="9:22" x14ac:dyDescent="0.45">
      <c r="I290" t="s">
        <v>179</v>
      </c>
      <c r="J290" t="s">
        <v>259</v>
      </c>
      <c r="K290">
        <v>0.22482491431256482</v>
      </c>
      <c r="L290" t="s">
        <v>168</v>
      </c>
      <c r="N290" t="s">
        <v>203</v>
      </c>
      <c r="O290" t="s">
        <v>259</v>
      </c>
      <c r="P290">
        <v>8.5618854894911001E-2</v>
      </c>
      <c r="Q290" t="s">
        <v>168</v>
      </c>
      <c r="S290" t="s">
        <v>222</v>
      </c>
      <c r="T290" t="s">
        <v>259</v>
      </c>
      <c r="U290">
        <v>8.4917505954208855E-2</v>
      </c>
      <c r="V290" t="s">
        <v>168</v>
      </c>
    </row>
    <row r="291" spans="9:22" x14ac:dyDescent="0.45">
      <c r="I291" t="s">
        <v>179</v>
      </c>
      <c r="J291" t="s">
        <v>260</v>
      </c>
      <c r="K291">
        <v>2.92251200960977E-2</v>
      </c>
      <c r="L291" t="s">
        <v>168</v>
      </c>
      <c r="N291" t="s">
        <v>203</v>
      </c>
      <c r="O291" t="s">
        <v>260</v>
      </c>
      <c r="P291">
        <v>1.4049856982205509E-2</v>
      </c>
      <c r="Q291" t="s">
        <v>168</v>
      </c>
      <c r="S291" t="s">
        <v>222</v>
      </c>
      <c r="T291" t="s">
        <v>260</v>
      </c>
      <c r="U291">
        <v>1.4993084593059168E-2</v>
      </c>
      <c r="V291" t="s">
        <v>168</v>
      </c>
    </row>
    <row r="292" spans="9:22" x14ac:dyDescent="0.45">
      <c r="I292" t="s">
        <v>179</v>
      </c>
      <c r="J292" t="s">
        <v>261</v>
      </c>
      <c r="K292">
        <v>3.9212031880860927E-2</v>
      </c>
      <c r="L292" t="s">
        <v>168</v>
      </c>
      <c r="N292" t="s">
        <v>203</v>
      </c>
      <c r="O292" t="s">
        <v>261</v>
      </c>
      <c r="P292">
        <v>8.6903040135405521E-2</v>
      </c>
      <c r="Q292" t="s">
        <v>168</v>
      </c>
      <c r="S292" t="s">
        <v>222</v>
      </c>
      <c r="T292" t="s">
        <v>261</v>
      </c>
      <c r="U292">
        <v>0.11101203698762799</v>
      </c>
      <c r="V292" t="s">
        <v>168</v>
      </c>
    </row>
    <row r="293" spans="9:22" x14ac:dyDescent="0.45">
      <c r="I293" t="s">
        <v>179</v>
      </c>
      <c r="J293" t="s">
        <v>174</v>
      </c>
      <c r="K293">
        <v>1.4666686738088523E-2</v>
      </c>
      <c r="L293" t="s">
        <v>168</v>
      </c>
      <c r="N293" t="s">
        <v>203</v>
      </c>
      <c r="O293" t="s">
        <v>174</v>
      </c>
      <c r="P293">
        <v>8.5242066873642119E-3</v>
      </c>
      <c r="Q293" t="s">
        <v>168</v>
      </c>
      <c r="S293" t="s">
        <v>222</v>
      </c>
      <c r="T293" t="s">
        <v>174</v>
      </c>
      <c r="U293">
        <v>2.0253835406248255E-2</v>
      </c>
      <c r="V293" t="s">
        <v>168</v>
      </c>
    </row>
    <row r="294" spans="9:22" x14ac:dyDescent="0.45">
      <c r="I294" t="s">
        <v>179</v>
      </c>
      <c r="J294" t="s">
        <v>175</v>
      </c>
      <c r="K294">
        <v>9.2728572887842628E-3</v>
      </c>
      <c r="L294" t="s">
        <v>168</v>
      </c>
      <c r="N294" t="s">
        <v>203</v>
      </c>
      <c r="O294" t="s">
        <v>175</v>
      </c>
      <c r="P294">
        <v>1.4914503636986637E-3</v>
      </c>
      <c r="Q294" t="s">
        <v>168</v>
      </c>
      <c r="S294" t="s">
        <v>222</v>
      </c>
      <c r="T294" t="s">
        <v>175</v>
      </c>
      <c r="U294">
        <v>1.9780235521837377E-3</v>
      </c>
      <c r="V294" t="s">
        <v>168</v>
      </c>
    </row>
    <row r="295" spans="9:22" x14ac:dyDescent="0.45">
      <c r="I295" t="s">
        <v>179</v>
      </c>
      <c r="J295" t="s">
        <v>176</v>
      </c>
      <c r="K295">
        <v>1.0599907675467223E-2</v>
      </c>
      <c r="L295" t="s">
        <v>168</v>
      </c>
      <c r="N295" t="s">
        <v>203</v>
      </c>
      <c r="O295" t="s">
        <v>176</v>
      </c>
      <c r="P295">
        <v>1.6342770214365998E-3</v>
      </c>
      <c r="Q295" t="s">
        <v>168</v>
      </c>
      <c r="S295" t="s">
        <v>222</v>
      </c>
      <c r="T295" t="s">
        <v>176</v>
      </c>
      <c r="U295">
        <v>1.8339976707840986E-3</v>
      </c>
      <c r="V295" t="s">
        <v>168</v>
      </c>
    </row>
    <row r="296" spans="9:22" x14ac:dyDescent="0.45">
      <c r="I296" t="s">
        <v>179</v>
      </c>
      <c r="J296" t="s">
        <v>262</v>
      </c>
      <c r="K296">
        <v>6.3885642153709968E-2</v>
      </c>
      <c r="L296" t="s">
        <v>168</v>
      </c>
      <c r="N296" t="s">
        <v>203</v>
      </c>
      <c r="O296" t="s">
        <v>262</v>
      </c>
      <c r="P296">
        <v>9.9679943893481657E-3</v>
      </c>
      <c r="Q296" t="s">
        <v>168</v>
      </c>
      <c r="S296" t="s">
        <v>222</v>
      </c>
      <c r="T296" t="s">
        <v>262</v>
      </c>
      <c r="U296">
        <v>1.0175766366436138E-2</v>
      </c>
      <c r="V296" t="s">
        <v>168</v>
      </c>
    </row>
    <row r="297" spans="9:22" x14ac:dyDescent="0.45">
      <c r="I297" t="s">
        <v>179</v>
      </c>
      <c r="J297" t="s">
        <v>263</v>
      </c>
      <c r="K297">
        <v>8.023898771776207E-3</v>
      </c>
      <c r="L297" t="s">
        <v>168</v>
      </c>
      <c r="N297" t="s">
        <v>203</v>
      </c>
      <c r="O297" t="s">
        <v>263</v>
      </c>
      <c r="P297">
        <v>9.3423150216366112E-4</v>
      </c>
      <c r="Q297" t="s">
        <v>168</v>
      </c>
      <c r="S297" t="s">
        <v>222</v>
      </c>
      <c r="T297" t="s">
        <v>263</v>
      </c>
      <c r="U297">
        <v>1.3025107619636155E-3</v>
      </c>
      <c r="V297" t="s">
        <v>168</v>
      </c>
    </row>
    <row r="298" spans="9:22" x14ac:dyDescent="0.45">
      <c r="I298" t="s">
        <v>179</v>
      </c>
      <c r="J298" t="s">
        <v>264</v>
      </c>
      <c r="K298">
        <v>1.3614513478720823E-2</v>
      </c>
      <c r="L298" t="s">
        <v>168</v>
      </c>
      <c r="N298" t="s">
        <v>203</v>
      </c>
      <c r="O298" t="s">
        <v>264</v>
      </c>
      <c r="P298">
        <v>5.3795541554389134E-3</v>
      </c>
      <c r="Q298" t="s">
        <v>168</v>
      </c>
      <c r="S298" t="s">
        <v>222</v>
      </c>
      <c r="T298" t="s">
        <v>264</v>
      </c>
      <c r="U298">
        <v>1.3436111664827794E-2</v>
      </c>
      <c r="V298" t="s">
        <v>168</v>
      </c>
    </row>
    <row r="299" spans="9:22" x14ac:dyDescent="0.45">
      <c r="I299" t="s">
        <v>179</v>
      </c>
      <c r="J299" t="s">
        <v>265</v>
      </c>
      <c r="K299">
        <v>1.2229513101027078E-2</v>
      </c>
      <c r="L299" t="s">
        <v>168</v>
      </c>
      <c r="N299" t="s">
        <v>203</v>
      </c>
      <c r="O299" t="s">
        <v>265</v>
      </c>
      <c r="P299">
        <v>1.5424985156263957E-2</v>
      </c>
      <c r="Q299" t="s">
        <v>168</v>
      </c>
      <c r="S299" t="s">
        <v>222</v>
      </c>
      <c r="T299" t="s">
        <v>265</v>
      </c>
      <c r="U299">
        <v>2.3017063988995674E-2</v>
      </c>
      <c r="V299" t="s">
        <v>168</v>
      </c>
    </row>
    <row r="300" spans="9:22" x14ac:dyDescent="0.45">
      <c r="I300" t="s">
        <v>179</v>
      </c>
      <c r="J300" t="s">
        <v>266</v>
      </c>
      <c r="K300">
        <v>9.3420976054135029E-3</v>
      </c>
      <c r="L300" t="s">
        <v>168</v>
      </c>
      <c r="N300" t="s">
        <v>203</v>
      </c>
      <c r="O300" t="s">
        <v>266</v>
      </c>
      <c r="P300">
        <v>1.706527676404256E-3</v>
      </c>
      <c r="Q300" t="s">
        <v>168</v>
      </c>
      <c r="S300" t="s">
        <v>222</v>
      </c>
      <c r="T300" t="s">
        <v>266</v>
      </c>
      <c r="U300">
        <v>2.7584720410785261E-3</v>
      </c>
      <c r="V300" t="s">
        <v>168</v>
      </c>
    </row>
    <row r="301" spans="9:22" x14ac:dyDescent="0.45">
      <c r="I301" t="s">
        <v>179</v>
      </c>
      <c r="J301" t="s">
        <v>267</v>
      </c>
      <c r="K301">
        <v>1.0501120124949708E-2</v>
      </c>
      <c r="L301" t="s">
        <v>168</v>
      </c>
      <c r="N301" t="s">
        <v>203</v>
      </c>
      <c r="O301" t="s">
        <v>267</v>
      </c>
      <c r="P301">
        <v>1.8838929903040548E-3</v>
      </c>
      <c r="Q301" t="s">
        <v>168</v>
      </c>
      <c r="S301" t="s">
        <v>222</v>
      </c>
      <c r="T301" t="s">
        <v>267</v>
      </c>
      <c r="U301">
        <v>2.6755775929467405E-3</v>
      </c>
      <c r="V301" t="s">
        <v>168</v>
      </c>
    </row>
    <row r="302" spans="9:22" x14ac:dyDescent="0.45">
      <c r="I302" t="s">
        <v>179</v>
      </c>
      <c r="J302" t="s">
        <v>268</v>
      </c>
      <c r="K302">
        <v>6.3523046362632701E-2</v>
      </c>
      <c r="L302" t="s">
        <v>168</v>
      </c>
      <c r="N302" t="s">
        <v>203</v>
      </c>
      <c r="O302" t="s">
        <v>268</v>
      </c>
      <c r="P302">
        <v>9.5840275564907842E-3</v>
      </c>
      <c r="Q302" t="s">
        <v>168</v>
      </c>
      <c r="S302" t="s">
        <v>222</v>
      </c>
      <c r="T302" t="s">
        <v>268</v>
      </c>
      <c r="U302">
        <v>1.5192221676010481E-2</v>
      </c>
      <c r="V302" t="s">
        <v>168</v>
      </c>
    </row>
    <row r="303" spans="9:22" x14ac:dyDescent="0.45">
      <c r="I303" t="s">
        <v>179</v>
      </c>
      <c r="J303" t="s">
        <v>269</v>
      </c>
      <c r="K303">
        <v>8.6360420856916725E-3</v>
      </c>
      <c r="L303" t="s">
        <v>168</v>
      </c>
      <c r="N303" t="s">
        <v>203</v>
      </c>
      <c r="O303" t="s">
        <v>269</v>
      </c>
      <c r="P303">
        <v>1.0325067600108009E-3</v>
      </c>
      <c r="Q303" t="s">
        <v>168</v>
      </c>
      <c r="S303" t="s">
        <v>222</v>
      </c>
      <c r="T303" t="s">
        <v>269</v>
      </c>
      <c r="U303">
        <v>1.9884739543869767E-3</v>
      </c>
      <c r="V303" t="s">
        <v>168</v>
      </c>
    </row>
    <row r="304" spans="9:22" x14ac:dyDescent="0.45">
      <c r="I304" t="s">
        <v>179</v>
      </c>
      <c r="J304" t="s">
        <v>270</v>
      </c>
      <c r="K304">
        <v>1.2345785148309698E-2</v>
      </c>
      <c r="L304" t="s">
        <v>168</v>
      </c>
      <c r="N304" t="s">
        <v>203</v>
      </c>
      <c r="O304" t="s">
        <v>270</v>
      </c>
      <c r="P304">
        <v>6.66282493598855E-3</v>
      </c>
      <c r="Q304" t="s">
        <v>168</v>
      </c>
      <c r="S304" t="s">
        <v>222</v>
      </c>
      <c r="T304" t="s">
        <v>270</v>
      </c>
      <c r="U304">
        <v>1.446253225367959E-2</v>
      </c>
      <c r="V304" t="s">
        <v>168</v>
      </c>
    </row>
    <row r="305" spans="9:22" x14ac:dyDescent="0.45">
      <c r="I305" t="s">
        <v>179</v>
      </c>
      <c r="J305" t="s">
        <v>271</v>
      </c>
      <c r="K305">
        <v>8.1250775065229014E-3</v>
      </c>
      <c r="L305" t="s">
        <v>168</v>
      </c>
      <c r="N305" t="s">
        <v>203</v>
      </c>
      <c r="O305" t="s">
        <v>271</v>
      </c>
      <c r="P305">
        <v>8.3127123325976195E-3</v>
      </c>
      <c r="Q305" t="s">
        <v>168</v>
      </c>
      <c r="S305" t="s">
        <v>222</v>
      </c>
      <c r="T305" t="s">
        <v>271</v>
      </c>
      <c r="U305">
        <v>1.7256883037752333E-2</v>
      </c>
      <c r="V305" t="s">
        <v>168</v>
      </c>
    </row>
    <row r="306" spans="9:22" x14ac:dyDescent="0.45">
      <c r="I306" t="s">
        <v>179</v>
      </c>
      <c r="J306" t="s">
        <v>272</v>
      </c>
      <c r="K306">
        <v>7.4766693815211116E-3</v>
      </c>
      <c r="L306" t="s">
        <v>168</v>
      </c>
      <c r="N306" t="s">
        <v>203</v>
      </c>
      <c r="O306" t="s">
        <v>272</v>
      </c>
      <c r="P306">
        <v>1.0810876709383972E-3</v>
      </c>
      <c r="Q306" t="s">
        <v>168</v>
      </c>
      <c r="S306" t="s">
        <v>222</v>
      </c>
      <c r="T306" t="s">
        <v>272</v>
      </c>
      <c r="U306">
        <v>2.0752798367910186E-3</v>
      </c>
      <c r="V306" t="s">
        <v>168</v>
      </c>
    </row>
    <row r="307" spans="9:22" x14ac:dyDescent="0.45">
      <c r="I307" t="s">
        <v>179</v>
      </c>
      <c r="J307" t="s">
        <v>273</v>
      </c>
      <c r="K307">
        <v>8.8126543644212428E-3</v>
      </c>
      <c r="L307" t="s">
        <v>168</v>
      </c>
      <c r="N307" t="s">
        <v>203</v>
      </c>
      <c r="O307" t="s">
        <v>273</v>
      </c>
      <c r="P307">
        <v>1.2145515266263004E-3</v>
      </c>
      <c r="Q307" t="s">
        <v>168</v>
      </c>
      <c r="S307" t="s">
        <v>222</v>
      </c>
      <c r="T307" t="s">
        <v>273</v>
      </c>
      <c r="U307">
        <v>2.1269637392075545E-3</v>
      </c>
      <c r="V307" t="s">
        <v>168</v>
      </c>
    </row>
    <row r="308" spans="9:22" x14ac:dyDescent="0.45">
      <c r="I308" t="s">
        <v>179</v>
      </c>
      <c r="J308" t="s">
        <v>274</v>
      </c>
      <c r="K308">
        <v>5.2893935719011423E-2</v>
      </c>
      <c r="L308" t="s">
        <v>168</v>
      </c>
      <c r="N308" t="s">
        <v>203</v>
      </c>
      <c r="O308" t="s">
        <v>274</v>
      </c>
      <c r="P308">
        <v>8.5298865092588334E-3</v>
      </c>
      <c r="Q308" t="s">
        <v>168</v>
      </c>
      <c r="S308" t="s">
        <v>222</v>
      </c>
      <c r="T308" t="s">
        <v>274</v>
      </c>
      <c r="U308">
        <v>1.3219093947841265E-2</v>
      </c>
      <c r="V308" t="s">
        <v>168</v>
      </c>
    </row>
    <row r="309" spans="9:22" x14ac:dyDescent="0.45">
      <c r="I309" t="s">
        <v>179</v>
      </c>
      <c r="J309" t="s">
        <v>275</v>
      </c>
      <c r="K309">
        <v>6.8921610737686509E-3</v>
      </c>
      <c r="L309" t="s">
        <v>168</v>
      </c>
      <c r="N309" t="s">
        <v>203</v>
      </c>
      <c r="O309" t="s">
        <v>275</v>
      </c>
      <c r="P309">
        <v>1.6927399121062514E-3</v>
      </c>
      <c r="Q309" t="s">
        <v>168</v>
      </c>
      <c r="S309" t="s">
        <v>222</v>
      </c>
      <c r="T309" t="s">
        <v>275</v>
      </c>
      <c r="U309">
        <v>2.6442501462550592E-3</v>
      </c>
      <c r="V309" t="s">
        <v>168</v>
      </c>
    </row>
    <row r="310" spans="9:22" x14ac:dyDescent="0.45">
      <c r="I310" t="s">
        <v>179</v>
      </c>
      <c r="J310" t="s">
        <v>276</v>
      </c>
      <c r="K310">
        <v>6.4902602914470196E-3</v>
      </c>
      <c r="L310" t="s">
        <v>168</v>
      </c>
      <c r="N310" t="s">
        <v>203</v>
      </c>
      <c r="O310" t="s">
        <v>276</v>
      </c>
      <c r="P310">
        <v>8.5473144917652503E-3</v>
      </c>
      <c r="Q310" t="s">
        <v>168</v>
      </c>
      <c r="S310" t="s">
        <v>222</v>
      </c>
      <c r="T310" t="s">
        <v>276</v>
      </c>
      <c r="U310">
        <v>1.7754712539928576E-2</v>
      </c>
      <c r="V310" t="s">
        <v>168</v>
      </c>
    </row>
    <row r="311" spans="9:22" x14ac:dyDescent="0.45">
      <c r="I311" t="s">
        <v>179</v>
      </c>
      <c r="J311" t="s">
        <v>341</v>
      </c>
      <c r="K311">
        <v>0</v>
      </c>
      <c r="L311" t="s">
        <v>168</v>
      </c>
      <c r="N311" t="s">
        <v>203</v>
      </c>
      <c r="O311" t="s">
        <v>341</v>
      </c>
      <c r="P311">
        <v>7.9707301308520927E-5</v>
      </c>
      <c r="Q311" t="s">
        <v>168</v>
      </c>
      <c r="S311" t="s">
        <v>222</v>
      </c>
      <c r="T311" t="s">
        <v>341</v>
      </c>
      <c r="U311">
        <v>1.8212809625536028E-5</v>
      </c>
      <c r="V311" t="s">
        <v>168</v>
      </c>
    </row>
    <row r="312" spans="9:22" x14ac:dyDescent="0.45">
      <c r="I312" t="s">
        <v>179</v>
      </c>
      <c r="J312" t="s">
        <v>342</v>
      </c>
      <c r="K312">
        <v>0</v>
      </c>
      <c r="L312" t="s">
        <v>168</v>
      </c>
      <c r="N312" t="s">
        <v>203</v>
      </c>
      <c r="O312" t="s">
        <v>342</v>
      </c>
      <c r="P312">
        <v>7.8287614208331728E-5</v>
      </c>
      <c r="Q312" t="s">
        <v>168</v>
      </c>
      <c r="S312" t="s">
        <v>222</v>
      </c>
      <c r="T312" t="s">
        <v>342</v>
      </c>
      <c r="U312">
        <v>1.3442148720546645E-5</v>
      </c>
      <c r="V312" t="s">
        <v>168</v>
      </c>
    </row>
    <row r="313" spans="9:22" x14ac:dyDescent="0.45">
      <c r="I313" t="s">
        <v>179</v>
      </c>
      <c r="J313" t="s">
        <v>343</v>
      </c>
      <c r="K313">
        <v>0</v>
      </c>
      <c r="L313" t="s">
        <v>168</v>
      </c>
      <c r="N313" t="s">
        <v>203</v>
      </c>
      <c r="O313" t="s">
        <v>343</v>
      </c>
      <c r="P313">
        <v>6.3290852227177444E-5</v>
      </c>
      <c r="Q313" t="s">
        <v>168</v>
      </c>
      <c r="S313" t="s">
        <v>222</v>
      </c>
      <c r="T313" t="s">
        <v>343</v>
      </c>
      <c r="U313">
        <v>9.2425528889787208E-6</v>
      </c>
      <c r="V313" t="s">
        <v>168</v>
      </c>
    </row>
    <row r="314" spans="9:22" x14ac:dyDescent="0.45">
      <c r="I314" t="s">
        <v>179</v>
      </c>
      <c r="J314" t="s">
        <v>344</v>
      </c>
      <c r="K314">
        <v>0</v>
      </c>
      <c r="L314" t="s">
        <v>168</v>
      </c>
      <c r="N314" t="s">
        <v>203</v>
      </c>
      <c r="O314" t="s">
        <v>344</v>
      </c>
      <c r="P314">
        <v>6.8418481111832402E-5</v>
      </c>
      <c r="Q314" t="s">
        <v>168</v>
      </c>
      <c r="S314" t="s">
        <v>222</v>
      </c>
      <c r="T314" t="s">
        <v>344</v>
      </c>
      <c r="U314">
        <v>5.9369898757527657E-6</v>
      </c>
      <c r="V314" t="s">
        <v>168</v>
      </c>
    </row>
    <row r="315" spans="9:22" x14ac:dyDescent="0.45">
      <c r="I315" t="s">
        <v>179</v>
      </c>
      <c r="J315" t="s">
        <v>345</v>
      </c>
      <c r="K315">
        <v>0</v>
      </c>
      <c r="L315" t="s">
        <v>168</v>
      </c>
      <c r="N315" t="s">
        <v>203</v>
      </c>
      <c r="O315" t="s">
        <v>345</v>
      </c>
      <c r="P315">
        <v>7.6954674277323262E-5</v>
      </c>
      <c r="Q315" t="s">
        <v>168</v>
      </c>
      <c r="S315" t="s">
        <v>222</v>
      </c>
      <c r="T315" t="s">
        <v>345</v>
      </c>
      <c r="U315">
        <v>3.6353211468780979E-6</v>
      </c>
      <c r="V315" t="s">
        <v>168</v>
      </c>
    </row>
    <row r="316" spans="9:22" x14ac:dyDescent="0.45">
      <c r="I316" t="s">
        <v>179</v>
      </c>
      <c r="J316" t="s">
        <v>346</v>
      </c>
      <c r="K316">
        <v>0</v>
      </c>
      <c r="L316" t="s">
        <v>168</v>
      </c>
      <c r="N316" t="s">
        <v>203</v>
      </c>
      <c r="O316" t="s">
        <v>346</v>
      </c>
      <c r="P316">
        <v>8.8911683852611491E-5</v>
      </c>
      <c r="Q316" t="s">
        <v>168</v>
      </c>
      <c r="S316" t="s">
        <v>222</v>
      </c>
      <c r="T316" t="s">
        <v>346</v>
      </c>
      <c r="U316">
        <v>1.4606789247860648E-6</v>
      </c>
      <c r="V316" t="s">
        <v>168</v>
      </c>
    </row>
    <row r="317" spans="9:22" x14ac:dyDescent="0.45">
      <c r="I317" t="s">
        <v>179</v>
      </c>
      <c r="J317" t="s">
        <v>347</v>
      </c>
      <c r="K317">
        <v>1.1664165952738067E-5</v>
      </c>
      <c r="L317" t="s">
        <v>168</v>
      </c>
      <c r="N317" t="s">
        <v>203</v>
      </c>
      <c r="O317" t="s">
        <v>347</v>
      </c>
      <c r="P317">
        <v>8.6820747800457054E-5</v>
      </c>
      <c r="Q317" t="s">
        <v>168</v>
      </c>
      <c r="S317" t="s">
        <v>222</v>
      </c>
      <c r="T317" t="s">
        <v>347</v>
      </c>
      <c r="U317">
        <v>7.2420706345949048E-7</v>
      </c>
      <c r="V317" t="s">
        <v>168</v>
      </c>
    </row>
    <row r="318" spans="9:22" x14ac:dyDescent="0.45">
      <c r="I318" t="s">
        <v>179</v>
      </c>
      <c r="J318" t="s">
        <v>348</v>
      </c>
      <c r="K318">
        <v>1.1311201196352161E-4</v>
      </c>
      <c r="L318" t="s">
        <v>168</v>
      </c>
      <c r="N318" t="s">
        <v>203</v>
      </c>
      <c r="O318" t="s">
        <v>348</v>
      </c>
      <c r="P318">
        <v>1.0697254083509907E-4</v>
      </c>
      <c r="Q318" t="s">
        <v>168</v>
      </c>
      <c r="S318" t="s">
        <v>222</v>
      </c>
      <c r="T318" t="s">
        <v>348</v>
      </c>
      <c r="U318">
        <v>7.2757984701828234E-7</v>
      </c>
      <c r="V318" t="s">
        <v>168</v>
      </c>
    </row>
    <row r="319" spans="9:22" x14ac:dyDescent="0.45">
      <c r="I319" t="s">
        <v>179</v>
      </c>
      <c r="J319" t="s">
        <v>349</v>
      </c>
      <c r="K319">
        <v>1.3759689828360386E-4</v>
      </c>
      <c r="L319" t="s">
        <v>168</v>
      </c>
      <c r="N319" t="s">
        <v>203</v>
      </c>
      <c r="O319" t="s">
        <v>349</v>
      </c>
      <c r="P319">
        <v>1.5268976090899398E-4</v>
      </c>
      <c r="Q319" t="s">
        <v>168</v>
      </c>
      <c r="S319" t="s">
        <v>222</v>
      </c>
      <c r="T319" t="s">
        <v>349</v>
      </c>
      <c r="U319">
        <v>2.0788994830352595E-6</v>
      </c>
      <c r="V319" t="s">
        <v>168</v>
      </c>
    </row>
    <row r="320" spans="9:22" x14ac:dyDescent="0.45">
      <c r="I320" t="s">
        <v>179</v>
      </c>
      <c r="J320" t="s">
        <v>350</v>
      </c>
      <c r="K320">
        <v>1.6536265826089434E-4</v>
      </c>
      <c r="L320" t="s">
        <v>168</v>
      </c>
      <c r="N320" t="s">
        <v>203</v>
      </c>
      <c r="O320" t="s">
        <v>350</v>
      </c>
      <c r="P320">
        <v>1.9792709641516064E-4</v>
      </c>
      <c r="Q320" t="s">
        <v>168</v>
      </c>
      <c r="S320" t="s">
        <v>222</v>
      </c>
      <c r="T320" t="s">
        <v>350</v>
      </c>
      <c r="U320">
        <v>5.9596181851363324E-6</v>
      </c>
      <c r="V320" t="s">
        <v>168</v>
      </c>
    </row>
    <row r="321" spans="9:22" x14ac:dyDescent="0.45">
      <c r="I321" t="s">
        <v>179</v>
      </c>
      <c r="J321" t="s">
        <v>351</v>
      </c>
      <c r="K321">
        <v>1.8868805772228998E-4</v>
      </c>
      <c r="L321" t="s">
        <v>168</v>
      </c>
      <c r="N321" t="s">
        <v>203</v>
      </c>
      <c r="O321" t="s">
        <v>351</v>
      </c>
      <c r="P321">
        <v>1.4035899922940998E-4</v>
      </c>
      <c r="Q321" t="s">
        <v>168</v>
      </c>
      <c r="S321" t="s">
        <v>222</v>
      </c>
      <c r="T321" t="s">
        <v>351</v>
      </c>
      <c r="U321">
        <v>9.8704082000385346E-6</v>
      </c>
      <c r="V321" t="s">
        <v>168</v>
      </c>
    </row>
    <row r="322" spans="9:22" x14ac:dyDescent="0.45">
      <c r="I322" t="s">
        <v>179</v>
      </c>
      <c r="J322" t="s">
        <v>352</v>
      </c>
      <c r="K322">
        <v>1.882897028312668E-4</v>
      </c>
      <c r="L322" t="s">
        <v>168</v>
      </c>
      <c r="N322" t="s">
        <v>203</v>
      </c>
      <c r="O322" t="s">
        <v>352</v>
      </c>
      <c r="P322">
        <v>1.7200473423739575E-4</v>
      </c>
      <c r="Q322" t="s">
        <v>168</v>
      </c>
      <c r="S322" t="s">
        <v>222</v>
      </c>
      <c r="T322" t="s">
        <v>352</v>
      </c>
      <c r="U322">
        <v>1.5973190560199904E-5</v>
      </c>
      <c r="V322" t="s">
        <v>168</v>
      </c>
    </row>
    <row r="323" spans="9:22" x14ac:dyDescent="0.45">
      <c r="I323" t="s">
        <v>179</v>
      </c>
      <c r="J323" t="s">
        <v>353</v>
      </c>
      <c r="K323">
        <v>1.6570908544828253E-4</v>
      </c>
      <c r="L323" t="s">
        <v>168</v>
      </c>
      <c r="N323" t="s">
        <v>203</v>
      </c>
      <c r="O323" t="s">
        <v>353</v>
      </c>
      <c r="P323">
        <v>1.4627374675390157E-4</v>
      </c>
      <c r="Q323" t="s">
        <v>168</v>
      </c>
      <c r="S323" t="s">
        <v>222</v>
      </c>
      <c r="T323" t="s">
        <v>353</v>
      </c>
      <c r="U323">
        <v>3.0161642110820005E-5</v>
      </c>
      <c r="V323" t="s">
        <v>168</v>
      </c>
    </row>
    <row r="324" spans="9:22" x14ac:dyDescent="0.45">
      <c r="I324" t="s">
        <v>179</v>
      </c>
      <c r="J324" t="s">
        <v>354</v>
      </c>
      <c r="K324">
        <v>1.7059098728518211E-4</v>
      </c>
      <c r="L324" t="s">
        <v>168</v>
      </c>
      <c r="N324" t="s">
        <v>203</v>
      </c>
      <c r="O324" t="s">
        <v>354</v>
      </c>
      <c r="P324">
        <v>1.4470523232080692E-4</v>
      </c>
      <c r="Q324" t="s">
        <v>168</v>
      </c>
      <c r="S324" t="s">
        <v>222</v>
      </c>
      <c r="T324" t="s">
        <v>354</v>
      </c>
      <c r="U324">
        <v>4.7979712987434381E-5</v>
      </c>
      <c r="V324" t="s">
        <v>168</v>
      </c>
    </row>
    <row r="325" spans="9:22" x14ac:dyDescent="0.45">
      <c r="I325" t="s">
        <v>179</v>
      </c>
      <c r="J325" t="s">
        <v>355</v>
      </c>
      <c r="K325">
        <v>2.4108072441181641E-4</v>
      </c>
      <c r="L325" t="s">
        <v>168</v>
      </c>
      <c r="N325" t="s">
        <v>203</v>
      </c>
      <c r="O325" t="s">
        <v>355</v>
      </c>
      <c r="P325">
        <v>1.4128344084525225E-4</v>
      </c>
      <c r="Q325" t="s">
        <v>168</v>
      </c>
      <c r="S325" t="s">
        <v>222</v>
      </c>
      <c r="T325" t="s">
        <v>355</v>
      </c>
      <c r="U325">
        <v>6.608943312152474E-5</v>
      </c>
      <c r="V325" t="s">
        <v>168</v>
      </c>
    </row>
    <row r="326" spans="9:22" x14ac:dyDescent="0.45">
      <c r="I326" t="s">
        <v>179</v>
      </c>
      <c r="J326" t="s">
        <v>356</v>
      </c>
      <c r="K326">
        <v>1.852228767688064E-4</v>
      </c>
      <c r="L326" t="s">
        <v>168</v>
      </c>
      <c r="N326" t="s">
        <v>203</v>
      </c>
      <c r="O326" t="s">
        <v>356</v>
      </c>
      <c r="P326">
        <v>1.2360050040084426E-4</v>
      </c>
      <c r="Q326" t="s">
        <v>168</v>
      </c>
      <c r="S326" t="s">
        <v>222</v>
      </c>
      <c r="T326" t="s">
        <v>356</v>
      </c>
      <c r="U326">
        <v>7.83707254957306E-5</v>
      </c>
      <c r="V326" t="s">
        <v>168</v>
      </c>
    </row>
    <row r="327" spans="9:22" x14ac:dyDescent="0.45">
      <c r="I327" t="s">
        <v>179</v>
      </c>
      <c r="J327" t="s">
        <v>357</v>
      </c>
      <c r="K327">
        <v>2.4907218112310016E-4</v>
      </c>
      <c r="L327" t="s">
        <v>168</v>
      </c>
      <c r="N327" t="s">
        <v>203</v>
      </c>
      <c r="O327" t="s">
        <v>357</v>
      </c>
      <c r="P327">
        <v>9.8640622548419965E-5</v>
      </c>
      <c r="Q327" t="s">
        <v>168</v>
      </c>
      <c r="S327" t="s">
        <v>222</v>
      </c>
      <c r="T327" t="s">
        <v>357</v>
      </c>
      <c r="U327">
        <v>8.7338754426099008E-5</v>
      </c>
      <c r="V327" t="s">
        <v>168</v>
      </c>
    </row>
    <row r="328" spans="9:22" x14ac:dyDescent="0.45">
      <c r="I328" t="s">
        <v>179</v>
      </c>
      <c r="J328" t="s">
        <v>358</v>
      </c>
      <c r="K328">
        <v>1.3745155168293631E-4</v>
      </c>
      <c r="L328" t="s">
        <v>168</v>
      </c>
      <c r="N328" t="s">
        <v>203</v>
      </c>
      <c r="O328" t="s">
        <v>358</v>
      </c>
      <c r="P328">
        <v>8.5150546089527774E-5</v>
      </c>
      <c r="Q328" t="s">
        <v>168</v>
      </c>
      <c r="S328" t="s">
        <v>222</v>
      </c>
      <c r="T328" t="s">
        <v>358</v>
      </c>
      <c r="U328">
        <v>8.9667161624954326E-5</v>
      </c>
      <c r="V328" t="s">
        <v>168</v>
      </c>
    </row>
    <row r="329" spans="9:22" x14ac:dyDescent="0.45">
      <c r="I329" t="s">
        <v>179</v>
      </c>
      <c r="J329" t="s">
        <v>359</v>
      </c>
      <c r="K329">
        <v>0</v>
      </c>
      <c r="L329" t="s">
        <v>168</v>
      </c>
      <c r="N329" t="s">
        <v>203</v>
      </c>
      <c r="O329" t="s">
        <v>359</v>
      </c>
      <c r="P329">
        <v>7.6463338588797031E-5</v>
      </c>
      <c r="Q329" t="s">
        <v>168</v>
      </c>
      <c r="S329" t="s">
        <v>222</v>
      </c>
      <c r="T329" t="s">
        <v>359</v>
      </c>
      <c r="U329">
        <v>7.7382189467922714E-5</v>
      </c>
      <c r="V329" t="s">
        <v>168</v>
      </c>
    </row>
    <row r="330" spans="9:22" x14ac:dyDescent="0.45">
      <c r="I330" t="s">
        <v>179</v>
      </c>
      <c r="J330" t="s">
        <v>360</v>
      </c>
      <c r="K330">
        <v>0</v>
      </c>
      <c r="L330" t="s">
        <v>168</v>
      </c>
      <c r="N330" t="s">
        <v>203</v>
      </c>
      <c r="O330" t="s">
        <v>360</v>
      </c>
      <c r="P330">
        <v>7.1823188387895527E-5</v>
      </c>
      <c r="Q330" t="s">
        <v>168</v>
      </c>
      <c r="S330" t="s">
        <v>222</v>
      </c>
      <c r="T330" t="s">
        <v>360</v>
      </c>
      <c r="U330">
        <v>6.7869382412592678E-5</v>
      </c>
      <c r="V330" t="s">
        <v>168</v>
      </c>
    </row>
    <row r="331" spans="9:22" x14ac:dyDescent="0.45">
      <c r="I331" t="s">
        <v>179</v>
      </c>
      <c r="J331" t="s">
        <v>361</v>
      </c>
      <c r="K331">
        <v>0</v>
      </c>
      <c r="L331" t="s">
        <v>168</v>
      </c>
      <c r="N331" t="s">
        <v>203</v>
      </c>
      <c r="O331" t="s">
        <v>361</v>
      </c>
      <c r="P331">
        <v>7.6960991777582201E-5</v>
      </c>
      <c r="Q331" t="s">
        <v>168</v>
      </c>
      <c r="S331" t="s">
        <v>222</v>
      </c>
      <c r="T331" t="s">
        <v>361</v>
      </c>
      <c r="U331">
        <v>6.749186171667704E-5</v>
      </c>
      <c r="V331" t="s">
        <v>168</v>
      </c>
    </row>
    <row r="332" spans="9:22" x14ac:dyDescent="0.45">
      <c r="I332" t="s">
        <v>179</v>
      </c>
      <c r="J332" t="s">
        <v>362</v>
      </c>
      <c r="K332">
        <v>0</v>
      </c>
      <c r="L332" t="s">
        <v>168</v>
      </c>
      <c r="N332" t="s">
        <v>203</v>
      </c>
      <c r="O332" t="s">
        <v>362</v>
      </c>
      <c r="P332">
        <v>6.8964606252400955E-5</v>
      </c>
      <c r="Q332" t="s">
        <v>168</v>
      </c>
      <c r="S332" t="s">
        <v>222</v>
      </c>
      <c r="T332" t="s">
        <v>362</v>
      </c>
      <c r="U332">
        <v>7.2965880342403783E-5</v>
      </c>
      <c r="V332" t="s">
        <v>168</v>
      </c>
    </row>
    <row r="333" spans="9:22" x14ac:dyDescent="0.45">
      <c r="I333" t="s">
        <v>179</v>
      </c>
      <c r="J333" t="s">
        <v>363</v>
      </c>
      <c r="K333">
        <v>0</v>
      </c>
      <c r="L333" t="s">
        <v>168</v>
      </c>
      <c r="N333" t="s">
        <v>203</v>
      </c>
      <c r="O333" t="s">
        <v>363</v>
      </c>
      <c r="P333">
        <v>7.4188384108832389E-5</v>
      </c>
      <c r="Q333" t="s">
        <v>168</v>
      </c>
      <c r="S333" t="s">
        <v>222</v>
      </c>
      <c r="T333" t="s">
        <v>363</v>
      </c>
      <c r="U333">
        <v>8.3419904205298006E-5</v>
      </c>
      <c r="V333" t="s">
        <v>168</v>
      </c>
    </row>
    <row r="334" spans="9:22" x14ac:dyDescent="0.45">
      <c r="I334" t="s">
        <v>179</v>
      </c>
      <c r="J334" t="s">
        <v>364</v>
      </c>
      <c r="K334">
        <v>0</v>
      </c>
      <c r="L334" t="s">
        <v>168</v>
      </c>
      <c r="N334" t="s">
        <v>203</v>
      </c>
      <c r="O334" t="s">
        <v>364</v>
      </c>
      <c r="P334">
        <v>8.7827524083567503E-5</v>
      </c>
      <c r="Q334" t="s">
        <v>168</v>
      </c>
      <c r="S334" t="s">
        <v>222</v>
      </c>
      <c r="T334" t="s">
        <v>364</v>
      </c>
      <c r="U334">
        <v>1.0563933742072044E-4</v>
      </c>
      <c r="V334" t="s">
        <v>168</v>
      </c>
    </row>
    <row r="335" spans="9:22" x14ac:dyDescent="0.45">
      <c r="I335" t="s">
        <v>179</v>
      </c>
      <c r="J335" t="s">
        <v>277</v>
      </c>
      <c r="K335">
        <v>2.6735875725225526E-3</v>
      </c>
      <c r="L335" t="s">
        <v>168</v>
      </c>
      <c r="N335" t="s">
        <v>203</v>
      </c>
      <c r="O335" t="s">
        <v>277</v>
      </c>
      <c r="P335">
        <v>9.013355059812149E-2</v>
      </c>
      <c r="Q335" t="s">
        <v>168</v>
      </c>
      <c r="S335" t="s">
        <v>222</v>
      </c>
      <c r="T335" t="s">
        <v>277</v>
      </c>
      <c r="U335">
        <v>4.7990530457935436E-2</v>
      </c>
      <c r="V335" t="s">
        <v>168</v>
      </c>
    </row>
    <row r="336" spans="9:22" x14ac:dyDescent="0.45">
      <c r="I336" t="s">
        <v>179</v>
      </c>
      <c r="J336" t="s">
        <v>278</v>
      </c>
      <c r="K336">
        <v>7.286765967080569E-3</v>
      </c>
      <c r="L336" t="s">
        <v>168</v>
      </c>
      <c r="N336" t="s">
        <v>203</v>
      </c>
      <c r="O336" t="s">
        <v>278</v>
      </c>
      <c r="P336">
        <v>1.100575797071902E-2</v>
      </c>
      <c r="Q336" t="s">
        <v>168</v>
      </c>
      <c r="S336" t="s">
        <v>222</v>
      </c>
      <c r="T336" t="s">
        <v>278</v>
      </c>
      <c r="U336">
        <v>5.6772864260246697E-3</v>
      </c>
      <c r="V336" t="s">
        <v>168</v>
      </c>
    </row>
    <row r="337" spans="9:22" x14ac:dyDescent="0.45">
      <c r="I337" t="s">
        <v>179</v>
      </c>
      <c r="J337" t="s">
        <v>279</v>
      </c>
      <c r="K337">
        <v>1.0339421205399933E-2</v>
      </c>
      <c r="L337" t="s">
        <v>168</v>
      </c>
      <c r="N337" t="s">
        <v>203</v>
      </c>
      <c r="O337" t="s">
        <v>279</v>
      </c>
      <c r="P337">
        <v>1.0887645873425908E-2</v>
      </c>
      <c r="Q337" t="s">
        <v>168</v>
      </c>
      <c r="S337" t="s">
        <v>222</v>
      </c>
      <c r="T337" t="s">
        <v>279</v>
      </c>
      <c r="U337">
        <v>5.8008899619353812E-3</v>
      </c>
      <c r="V337" t="s">
        <v>168</v>
      </c>
    </row>
    <row r="338" spans="9:22" x14ac:dyDescent="0.45">
      <c r="I338" t="s">
        <v>179</v>
      </c>
      <c r="J338" t="s">
        <v>280</v>
      </c>
      <c r="K338">
        <v>6.4573396358339766E-2</v>
      </c>
      <c r="L338" t="s">
        <v>168</v>
      </c>
      <c r="N338" t="s">
        <v>203</v>
      </c>
      <c r="O338" t="s">
        <v>280</v>
      </c>
      <c r="P338">
        <v>6.750753555001282E-2</v>
      </c>
      <c r="Q338" t="s">
        <v>168</v>
      </c>
      <c r="S338" t="s">
        <v>222</v>
      </c>
      <c r="T338" t="s">
        <v>280</v>
      </c>
      <c r="U338">
        <v>3.6460645687782921E-2</v>
      </c>
      <c r="V338" t="s">
        <v>168</v>
      </c>
    </row>
    <row r="339" spans="9:22" x14ac:dyDescent="0.45">
      <c r="I339" t="s">
        <v>179</v>
      </c>
      <c r="J339" t="s">
        <v>281</v>
      </c>
      <c r="K339">
        <v>5.8285173774231449E-3</v>
      </c>
      <c r="L339" t="s">
        <v>168</v>
      </c>
      <c r="N339" t="s">
        <v>203</v>
      </c>
      <c r="O339" t="s">
        <v>281</v>
      </c>
      <c r="P339">
        <v>1.1471156200313491E-2</v>
      </c>
      <c r="Q339" t="s">
        <v>168</v>
      </c>
      <c r="S339" t="s">
        <v>222</v>
      </c>
      <c r="T339" t="s">
        <v>281</v>
      </c>
      <c r="U339">
        <v>5.9420961277845599E-3</v>
      </c>
      <c r="V339" t="s">
        <v>168</v>
      </c>
    </row>
    <row r="340" spans="9:22" x14ac:dyDescent="0.45">
      <c r="I340" t="s">
        <v>179</v>
      </c>
      <c r="J340" t="s">
        <v>282</v>
      </c>
      <c r="K340">
        <v>1.2740101565973914E-3</v>
      </c>
      <c r="L340" t="s">
        <v>168</v>
      </c>
      <c r="N340" t="s">
        <v>203</v>
      </c>
      <c r="O340" t="s">
        <v>282</v>
      </c>
      <c r="P340">
        <v>8.4013339849609001E-2</v>
      </c>
      <c r="Q340" t="s">
        <v>168</v>
      </c>
      <c r="S340" t="s">
        <v>222</v>
      </c>
      <c r="T340" t="s">
        <v>282</v>
      </c>
      <c r="U340">
        <v>4.2115870761628801E-2</v>
      </c>
      <c r="V340" t="s">
        <v>168</v>
      </c>
    </row>
    <row r="341" spans="9:22" x14ac:dyDescent="0.45">
      <c r="I341" t="s">
        <v>179</v>
      </c>
      <c r="J341" t="s">
        <v>283</v>
      </c>
      <c r="K341">
        <v>0</v>
      </c>
      <c r="L341" t="s">
        <v>168</v>
      </c>
      <c r="N341" t="s">
        <v>203</v>
      </c>
      <c r="O341" t="s">
        <v>283</v>
      </c>
      <c r="P341">
        <v>4.3076356888510421E-2</v>
      </c>
      <c r="Q341" t="s">
        <v>168</v>
      </c>
      <c r="S341" t="s">
        <v>222</v>
      </c>
      <c r="T341" t="s">
        <v>283</v>
      </c>
      <c r="U341">
        <v>2.8588422968365303E-2</v>
      </c>
      <c r="V341" t="s">
        <v>168</v>
      </c>
    </row>
    <row r="342" spans="9:22" x14ac:dyDescent="0.45">
      <c r="I342" t="s">
        <v>179</v>
      </c>
      <c r="J342" t="s">
        <v>284</v>
      </c>
      <c r="K342">
        <v>3.5973192407439676E-3</v>
      </c>
      <c r="L342" t="s">
        <v>168</v>
      </c>
      <c r="N342" t="s">
        <v>203</v>
      </c>
      <c r="O342" t="s">
        <v>284</v>
      </c>
      <c r="P342">
        <v>5.2057910645444535E-3</v>
      </c>
      <c r="Q342" t="s">
        <v>168</v>
      </c>
      <c r="S342" t="s">
        <v>222</v>
      </c>
      <c r="T342" t="s">
        <v>284</v>
      </c>
      <c r="U342">
        <v>3.6433173390702572E-3</v>
      </c>
      <c r="V342" t="s">
        <v>168</v>
      </c>
    </row>
    <row r="343" spans="9:22" x14ac:dyDescent="0.45">
      <c r="I343" t="s">
        <v>179</v>
      </c>
      <c r="J343" t="s">
        <v>285</v>
      </c>
      <c r="K343">
        <v>5.9050035588702294E-3</v>
      </c>
      <c r="L343" t="s">
        <v>168</v>
      </c>
      <c r="N343" t="s">
        <v>203</v>
      </c>
      <c r="O343" t="s">
        <v>285</v>
      </c>
      <c r="P343">
        <v>5.0613554761763093E-3</v>
      </c>
      <c r="Q343" t="s">
        <v>168</v>
      </c>
      <c r="S343" t="s">
        <v>222</v>
      </c>
      <c r="T343" t="s">
        <v>285</v>
      </c>
      <c r="U343">
        <v>3.5310556058602482E-3</v>
      </c>
      <c r="V343" t="s">
        <v>168</v>
      </c>
    </row>
    <row r="344" spans="9:22" x14ac:dyDescent="0.45">
      <c r="I344" t="s">
        <v>179</v>
      </c>
      <c r="J344" t="s">
        <v>286</v>
      </c>
      <c r="K344">
        <v>4.0635664425053127E-2</v>
      </c>
      <c r="L344" t="s">
        <v>168</v>
      </c>
      <c r="N344" t="s">
        <v>203</v>
      </c>
      <c r="O344" t="s">
        <v>286</v>
      </c>
      <c r="P344">
        <v>2.6945090658804714E-2</v>
      </c>
      <c r="Q344" t="s">
        <v>168</v>
      </c>
      <c r="S344" t="s">
        <v>222</v>
      </c>
      <c r="T344" t="s">
        <v>286</v>
      </c>
      <c r="U344">
        <v>2.0740913162335305E-2</v>
      </c>
      <c r="V344" t="s">
        <v>168</v>
      </c>
    </row>
    <row r="345" spans="9:22" x14ac:dyDescent="0.45">
      <c r="I345" t="s">
        <v>179</v>
      </c>
      <c r="J345" t="s">
        <v>287</v>
      </c>
      <c r="K345">
        <v>3.937657054379839E-3</v>
      </c>
      <c r="L345" t="s">
        <v>168</v>
      </c>
      <c r="N345" t="s">
        <v>203</v>
      </c>
      <c r="O345" t="s">
        <v>287</v>
      </c>
      <c r="P345">
        <v>4.7783015448428527E-3</v>
      </c>
      <c r="Q345" t="s">
        <v>168</v>
      </c>
      <c r="S345" t="s">
        <v>222</v>
      </c>
      <c r="T345" t="s">
        <v>287</v>
      </c>
      <c r="U345">
        <v>3.47187620141729E-3</v>
      </c>
      <c r="V345" t="s">
        <v>168</v>
      </c>
    </row>
    <row r="346" spans="9:22" x14ac:dyDescent="0.45">
      <c r="I346" t="s">
        <v>179</v>
      </c>
      <c r="J346" t="s">
        <v>288</v>
      </c>
      <c r="K346">
        <v>0</v>
      </c>
      <c r="L346" t="s">
        <v>168</v>
      </c>
      <c r="N346" t="s">
        <v>203</v>
      </c>
      <c r="O346" t="s">
        <v>288</v>
      </c>
      <c r="P346">
        <v>3.3210348335814946E-2</v>
      </c>
      <c r="Q346" t="s">
        <v>168</v>
      </c>
      <c r="S346" t="s">
        <v>222</v>
      </c>
      <c r="T346" t="s">
        <v>288</v>
      </c>
      <c r="U346">
        <v>2.1477233896784607E-2</v>
      </c>
      <c r="V346" t="s">
        <v>168</v>
      </c>
    </row>
    <row r="347" spans="9:22" x14ac:dyDescent="0.45">
      <c r="I347" t="s">
        <v>179</v>
      </c>
      <c r="J347" t="s">
        <v>365</v>
      </c>
      <c r="K347">
        <v>0</v>
      </c>
      <c r="L347" t="s">
        <v>168</v>
      </c>
      <c r="N347" t="s">
        <v>203</v>
      </c>
      <c r="O347" t="s">
        <v>365</v>
      </c>
      <c r="P347">
        <v>5.5970676543863825E-6</v>
      </c>
      <c r="Q347" t="s">
        <v>168</v>
      </c>
      <c r="S347" t="s">
        <v>222</v>
      </c>
      <c r="T347" t="s">
        <v>365</v>
      </c>
      <c r="U347">
        <v>1.6816883226392345E-5</v>
      </c>
      <c r="V347" t="s">
        <v>168</v>
      </c>
    </row>
    <row r="348" spans="9:22" x14ac:dyDescent="0.45">
      <c r="I348" t="s">
        <v>179</v>
      </c>
      <c r="J348" t="s">
        <v>366</v>
      </c>
      <c r="K348">
        <v>0</v>
      </c>
      <c r="L348" t="s">
        <v>168</v>
      </c>
      <c r="N348" t="s">
        <v>203</v>
      </c>
      <c r="O348" t="s">
        <v>366</v>
      </c>
      <c r="P348">
        <v>6.271192886659178E-6</v>
      </c>
      <c r="Q348" t="s">
        <v>168</v>
      </c>
      <c r="S348" t="s">
        <v>222</v>
      </c>
      <c r="T348" t="s">
        <v>366</v>
      </c>
      <c r="U348">
        <v>2.1427134384083759E-5</v>
      </c>
      <c r="V348" t="s">
        <v>168</v>
      </c>
    </row>
    <row r="349" spans="9:22" x14ac:dyDescent="0.45">
      <c r="I349" t="s">
        <v>179</v>
      </c>
      <c r="J349" t="s">
        <v>367</v>
      </c>
      <c r="K349">
        <v>0</v>
      </c>
      <c r="L349" t="s">
        <v>168</v>
      </c>
      <c r="N349" t="s">
        <v>203</v>
      </c>
      <c r="O349" t="s">
        <v>367</v>
      </c>
      <c r="P349">
        <v>9.8015831033756207E-6</v>
      </c>
      <c r="Q349" t="s">
        <v>168</v>
      </c>
      <c r="S349" t="s">
        <v>222</v>
      </c>
      <c r="T349" t="s">
        <v>367</v>
      </c>
      <c r="U349">
        <v>1.9880823001042553E-5</v>
      </c>
      <c r="V349" t="s">
        <v>168</v>
      </c>
    </row>
    <row r="350" spans="9:22" x14ac:dyDescent="0.45">
      <c r="I350" t="s">
        <v>179</v>
      </c>
      <c r="J350" t="s">
        <v>368</v>
      </c>
      <c r="K350">
        <v>0</v>
      </c>
      <c r="L350" t="s">
        <v>168</v>
      </c>
      <c r="N350" t="s">
        <v>203</v>
      </c>
      <c r="O350" t="s">
        <v>368</v>
      </c>
      <c r="P350">
        <v>1.8808567757388382E-5</v>
      </c>
      <c r="Q350" t="s">
        <v>168</v>
      </c>
      <c r="S350" t="s">
        <v>222</v>
      </c>
      <c r="T350" t="s">
        <v>368</v>
      </c>
      <c r="U350">
        <v>1.3440332707528098E-5</v>
      </c>
      <c r="V350" t="s">
        <v>168</v>
      </c>
    </row>
    <row r="351" spans="9:22" x14ac:dyDescent="0.45">
      <c r="I351" t="s">
        <v>179</v>
      </c>
      <c r="J351" t="s">
        <v>369</v>
      </c>
      <c r="K351">
        <v>0</v>
      </c>
      <c r="L351" t="s">
        <v>168</v>
      </c>
      <c r="N351" t="s">
        <v>203</v>
      </c>
      <c r="O351" t="s">
        <v>369</v>
      </c>
      <c r="P351">
        <v>2.0732864913956869E-5</v>
      </c>
      <c r="Q351" t="s">
        <v>168</v>
      </c>
      <c r="S351" t="s">
        <v>222</v>
      </c>
      <c r="T351" t="s">
        <v>369</v>
      </c>
      <c r="U351">
        <v>1.1724374985379002E-5</v>
      </c>
      <c r="V351" t="s">
        <v>168</v>
      </c>
    </row>
    <row r="352" spans="9:22" x14ac:dyDescent="0.45">
      <c r="I352" t="s">
        <v>179</v>
      </c>
      <c r="J352" t="s">
        <v>370</v>
      </c>
      <c r="K352">
        <v>0</v>
      </c>
      <c r="L352" t="s">
        <v>168</v>
      </c>
      <c r="N352" t="s">
        <v>203</v>
      </c>
      <c r="O352" t="s">
        <v>370</v>
      </c>
      <c r="P352">
        <v>2.3457741664826917E-5</v>
      </c>
      <c r="Q352" t="s">
        <v>168</v>
      </c>
      <c r="S352" t="s">
        <v>222</v>
      </c>
      <c r="T352" t="s">
        <v>370</v>
      </c>
      <c r="U352">
        <v>1.0358572422155179E-5</v>
      </c>
      <c r="V352" t="s">
        <v>168</v>
      </c>
    </row>
    <row r="353" spans="9:22" x14ac:dyDescent="0.45">
      <c r="I353" t="s">
        <v>179</v>
      </c>
      <c r="J353" t="s">
        <v>371</v>
      </c>
      <c r="K353">
        <v>0</v>
      </c>
      <c r="L353" t="s">
        <v>168</v>
      </c>
      <c r="N353" t="s">
        <v>203</v>
      </c>
      <c r="O353" t="s">
        <v>371</v>
      </c>
      <c r="P353">
        <v>3.0082455523226735E-5</v>
      </c>
      <c r="Q353" t="s">
        <v>168</v>
      </c>
      <c r="S353" t="s">
        <v>222</v>
      </c>
      <c r="T353" t="s">
        <v>371</v>
      </c>
      <c r="U353">
        <v>1.1100730957057874E-5</v>
      </c>
      <c r="V353" t="s">
        <v>168</v>
      </c>
    </row>
    <row r="354" spans="9:22" x14ac:dyDescent="0.45">
      <c r="I354" t="s">
        <v>179</v>
      </c>
      <c r="J354" t="s">
        <v>372</v>
      </c>
      <c r="K354">
        <v>0</v>
      </c>
      <c r="L354" t="s">
        <v>168</v>
      </c>
      <c r="N354" t="s">
        <v>203</v>
      </c>
      <c r="O354" t="s">
        <v>372</v>
      </c>
      <c r="P354">
        <v>4.077258128779523E-5</v>
      </c>
      <c r="Q354" t="s">
        <v>168</v>
      </c>
      <c r="S354" t="s">
        <v>222</v>
      </c>
      <c r="T354" t="s">
        <v>372</v>
      </c>
      <c r="U354">
        <v>1.4818433742971154E-5</v>
      </c>
      <c r="V354" t="s">
        <v>168</v>
      </c>
    </row>
    <row r="355" spans="9:22" x14ac:dyDescent="0.45">
      <c r="I355" t="s">
        <v>179</v>
      </c>
      <c r="J355" t="s">
        <v>373</v>
      </c>
      <c r="K355">
        <v>1.3642244960569388E-4</v>
      </c>
      <c r="L355" t="s">
        <v>168</v>
      </c>
      <c r="N355" t="s">
        <v>203</v>
      </c>
      <c r="O355" t="s">
        <v>373</v>
      </c>
      <c r="P355">
        <v>4.285082864862091E-5</v>
      </c>
      <c r="Q355" t="s">
        <v>168</v>
      </c>
      <c r="S355" t="s">
        <v>222</v>
      </c>
      <c r="T355" t="s">
        <v>373</v>
      </c>
      <c r="U355">
        <v>2.0229336405972664E-5</v>
      </c>
      <c r="V355" t="s">
        <v>168</v>
      </c>
    </row>
    <row r="356" spans="9:22" x14ac:dyDescent="0.45">
      <c r="I356" t="s">
        <v>179</v>
      </c>
      <c r="J356" t="s">
        <v>374</v>
      </c>
      <c r="K356">
        <v>1.9555176637197377E-4</v>
      </c>
      <c r="L356" t="s">
        <v>168</v>
      </c>
      <c r="N356" t="s">
        <v>203</v>
      </c>
      <c r="O356" t="s">
        <v>374</v>
      </c>
      <c r="P356">
        <v>3.9299826966690009E-5</v>
      </c>
      <c r="Q356" t="s">
        <v>168</v>
      </c>
      <c r="S356" t="s">
        <v>222</v>
      </c>
      <c r="T356" t="s">
        <v>374</v>
      </c>
      <c r="U356">
        <v>2.6606288314434931E-5</v>
      </c>
      <c r="V356" t="s">
        <v>168</v>
      </c>
    </row>
    <row r="357" spans="9:22" x14ac:dyDescent="0.45">
      <c r="I357" t="s">
        <v>179</v>
      </c>
      <c r="J357" t="s">
        <v>375</v>
      </c>
      <c r="K357">
        <v>2.3214343580511246E-4</v>
      </c>
      <c r="L357" t="s">
        <v>168</v>
      </c>
      <c r="N357" t="s">
        <v>203</v>
      </c>
      <c r="O357" t="s">
        <v>375</v>
      </c>
      <c r="P357">
        <v>1.4295258536359199E-5</v>
      </c>
      <c r="Q357" t="s">
        <v>168</v>
      </c>
      <c r="S357" t="s">
        <v>222</v>
      </c>
      <c r="T357" t="s">
        <v>375</v>
      </c>
      <c r="U357">
        <v>3.5330111650140714E-5</v>
      </c>
      <c r="V357" t="s">
        <v>168</v>
      </c>
    </row>
    <row r="358" spans="9:22" x14ac:dyDescent="0.45">
      <c r="I358" t="s">
        <v>179</v>
      </c>
      <c r="J358" t="s">
        <v>376</v>
      </c>
      <c r="K358">
        <v>2.1218816759230105E-4</v>
      </c>
      <c r="L358" t="s">
        <v>168</v>
      </c>
      <c r="N358" t="s">
        <v>203</v>
      </c>
      <c r="O358" t="s">
        <v>376</v>
      </c>
      <c r="P358">
        <v>1.7149407634499212E-5</v>
      </c>
      <c r="Q358" t="s">
        <v>168</v>
      </c>
      <c r="S358" t="s">
        <v>222</v>
      </c>
      <c r="T358" t="s">
        <v>376</v>
      </c>
      <c r="U358">
        <v>2.3505391461410036E-5</v>
      </c>
      <c r="V358" t="s">
        <v>168</v>
      </c>
    </row>
    <row r="359" spans="9:22" x14ac:dyDescent="0.45">
      <c r="I359" t="s">
        <v>179</v>
      </c>
      <c r="J359" t="s">
        <v>377</v>
      </c>
      <c r="K359">
        <v>1.731368762808806E-4</v>
      </c>
      <c r="L359" t="s">
        <v>168</v>
      </c>
      <c r="N359" t="s">
        <v>203</v>
      </c>
      <c r="O359" t="s">
        <v>377</v>
      </c>
      <c r="P359">
        <v>3.060867969295247E-5</v>
      </c>
      <c r="Q359" t="s">
        <v>168</v>
      </c>
      <c r="S359" t="s">
        <v>222</v>
      </c>
      <c r="T359" t="s">
        <v>377</v>
      </c>
      <c r="U359">
        <v>2.5211388499517699E-5</v>
      </c>
      <c r="V359" t="s">
        <v>168</v>
      </c>
    </row>
    <row r="360" spans="9:22" x14ac:dyDescent="0.45">
      <c r="I360" t="s">
        <v>179</v>
      </c>
      <c r="J360" t="s">
        <v>378</v>
      </c>
      <c r="K360">
        <v>2.0738405010557663E-4</v>
      </c>
      <c r="L360" t="s">
        <v>168</v>
      </c>
      <c r="N360" t="s">
        <v>203</v>
      </c>
      <c r="O360" t="s">
        <v>378</v>
      </c>
      <c r="P360">
        <v>2.3672437911440193E-5</v>
      </c>
      <c r="Q360" t="s">
        <v>168</v>
      </c>
      <c r="S360" t="s">
        <v>222</v>
      </c>
      <c r="T360" t="s">
        <v>378</v>
      </c>
      <c r="U360">
        <v>2.4297627162650854E-5</v>
      </c>
      <c r="V360" t="s">
        <v>168</v>
      </c>
    </row>
    <row r="361" spans="9:22" x14ac:dyDescent="0.45">
      <c r="I361" t="s">
        <v>179</v>
      </c>
      <c r="J361" t="s">
        <v>379</v>
      </c>
      <c r="K361">
        <v>1.9390558419710242E-4</v>
      </c>
      <c r="L361" t="s">
        <v>168</v>
      </c>
      <c r="N361" t="s">
        <v>203</v>
      </c>
      <c r="O361" t="s">
        <v>379</v>
      </c>
      <c r="P361">
        <v>2.0654616677960181E-5</v>
      </c>
      <c r="Q361" t="s">
        <v>168</v>
      </c>
      <c r="S361" t="s">
        <v>222</v>
      </c>
      <c r="T361" t="s">
        <v>379</v>
      </c>
      <c r="U361">
        <v>2.2096285473923919E-5</v>
      </c>
      <c r="V361" t="s">
        <v>168</v>
      </c>
    </row>
    <row r="362" spans="9:22" x14ac:dyDescent="0.45">
      <c r="I362" t="s">
        <v>179</v>
      </c>
      <c r="J362" t="s">
        <v>380</v>
      </c>
      <c r="K362">
        <v>1.3911635468050185E-4</v>
      </c>
      <c r="L362" t="s">
        <v>168</v>
      </c>
      <c r="N362" t="s">
        <v>203</v>
      </c>
      <c r="O362" t="s">
        <v>380</v>
      </c>
      <c r="P362">
        <v>3.0510274541025717E-5</v>
      </c>
      <c r="Q362" t="s">
        <v>168</v>
      </c>
      <c r="S362" t="s">
        <v>222</v>
      </c>
      <c r="T362" t="s">
        <v>380</v>
      </c>
      <c r="U362">
        <v>2.3069085103455704E-5</v>
      </c>
      <c r="V362" t="s">
        <v>168</v>
      </c>
    </row>
    <row r="363" spans="9:22" x14ac:dyDescent="0.45">
      <c r="I363" t="s">
        <v>179</v>
      </c>
      <c r="J363" t="s">
        <v>381</v>
      </c>
      <c r="K363">
        <v>1.1794120315755712E-4</v>
      </c>
      <c r="L363" t="s">
        <v>168</v>
      </c>
      <c r="N363" t="s">
        <v>203</v>
      </c>
      <c r="O363" t="s">
        <v>381</v>
      </c>
      <c r="P363">
        <v>3.8356952897698204E-5</v>
      </c>
      <c r="Q363" t="s">
        <v>168</v>
      </c>
      <c r="S363" t="s">
        <v>222</v>
      </c>
      <c r="T363" t="s">
        <v>381</v>
      </c>
      <c r="U363">
        <v>3.056265949888768E-5</v>
      </c>
      <c r="V363" t="s">
        <v>168</v>
      </c>
    </row>
    <row r="364" spans="9:22" x14ac:dyDescent="0.45">
      <c r="I364" t="s">
        <v>179</v>
      </c>
      <c r="J364" t="s">
        <v>382</v>
      </c>
      <c r="K364">
        <v>0</v>
      </c>
      <c r="L364" t="s">
        <v>168</v>
      </c>
      <c r="N364" t="s">
        <v>203</v>
      </c>
      <c r="O364" t="s">
        <v>382</v>
      </c>
      <c r="P364">
        <v>3.045831924431483E-5</v>
      </c>
      <c r="Q364" t="s">
        <v>168</v>
      </c>
      <c r="S364" t="s">
        <v>222</v>
      </c>
      <c r="T364" t="s">
        <v>382</v>
      </c>
      <c r="U364">
        <v>4.3494140894333168E-5</v>
      </c>
      <c r="V364" t="s">
        <v>168</v>
      </c>
    </row>
    <row r="365" spans="9:22" x14ac:dyDescent="0.45">
      <c r="I365" t="s">
        <v>179</v>
      </c>
      <c r="J365" t="s">
        <v>383</v>
      </c>
      <c r="K365">
        <v>0</v>
      </c>
      <c r="L365" t="s">
        <v>168</v>
      </c>
      <c r="N365" t="s">
        <v>203</v>
      </c>
      <c r="O365" t="s">
        <v>383</v>
      </c>
      <c r="P365">
        <v>3.1036797193590633E-5</v>
      </c>
      <c r="Q365" t="s">
        <v>168</v>
      </c>
      <c r="S365" t="s">
        <v>222</v>
      </c>
      <c r="T365" t="s">
        <v>383</v>
      </c>
      <c r="U365">
        <v>4.9023758554952522E-5</v>
      </c>
      <c r="V365" t="s">
        <v>168</v>
      </c>
    </row>
    <row r="366" spans="9:22" x14ac:dyDescent="0.45">
      <c r="I366" t="s">
        <v>179</v>
      </c>
      <c r="J366" t="s">
        <v>384</v>
      </c>
      <c r="K366">
        <v>0</v>
      </c>
      <c r="L366" t="s">
        <v>168</v>
      </c>
      <c r="N366" t="s">
        <v>203</v>
      </c>
      <c r="O366" t="s">
        <v>384</v>
      </c>
      <c r="P366">
        <v>2.8841383775070839E-5</v>
      </c>
      <c r="Q366" t="s">
        <v>168</v>
      </c>
      <c r="S366" t="s">
        <v>222</v>
      </c>
      <c r="T366" t="s">
        <v>384</v>
      </c>
      <c r="U366">
        <v>5.2179719679311645E-5</v>
      </c>
      <c r="V366" t="s">
        <v>168</v>
      </c>
    </row>
    <row r="367" spans="9:22" x14ac:dyDescent="0.45">
      <c r="I367" t="s">
        <v>179</v>
      </c>
      <c r="J367" t="s">
        <v>385</v>
      </c>
      <c r="K367">
        <v>0</v>
      </c>
      <c r="L367" t="s">
        <v>168</v>
      </c>
      <c r="N367" t="s">
        <v>203</v>
      </c>
      <c r="O367" t="s">
        <v>385</v>
      </c>
      <c r="P367">
        <v>2.2262875260677356E-5</v>
      </c>
      <c r="Q367" t="s">
        <v>168</v>
      </c>
      <c r="S367" t="s">
        <v>222</v>
      </c>
      <c r="T367" t="s">
        <v>385</v>
      </c>
      <c r="U367">
        <v>5.3604043786745873E-5</v>
      </c>
      <c r="V367" t="s">
        <v>168</v>
      </c>
    </row>
    <row r="368" spans="9:22" x14ac:dyDescent="0.45">
      <c r="I368" t="s">
        <v>179</v>
      </c>
      <c r="J368" t="s">
        <v>386</v>
      </c>
      <c r="K368">
        <v>0</v>
      </c>
      <c r="L368" t="s">
        <v>168</v>
      </c>
      <c r="N368" t="s">
        <v>203</v>
      </c>
      <c r="O368" t="s">
        <v>386</v>
      </c>
      <c r="P368">
        <v>1.5889040972128281E-5</v>
      </c>
      <c r="Q368" t="s">
        <v>168</v>
      </c>
      <c r="S368" t="s">
        <v>222</v>
      </c>
      <c r="T368" t="s">
        <v>386</v>
      </c>
      <c r="U368">
        <v>5.5338811480071315E-5</v>
      </c>
      <c r="V368" t="s">
        <v>168</v>
      </c>
    </row>
    <row r="369" spans="9:22" x14ac:dyDescent="0.45">
      <c r="I369" t="s">
        <v>179</v>
      </c>
      <c r="J369" t="s">
        <v>387</v>
      </c>
      <c r="K369">
        <v>0</v>
      </c>
      <c r="L369" t="s">
        <v>168</v>
      </c>
      <c r="N369" t="s">
        <v>203</v>
      </c>
      <c r="O369" t="s">
        <v>387</v>
      </c>
      <c r="P369">
        <v>1.9440767862273989E-5</v>
      </c>
      <c r="Q369" t="s">
        <v>168</v>
      </c>
      <c r="S369" t="s">
        <v>222</v>
      </c>
      <c r="T369" t="s">
        <v>387</v>
      </c>
      <c r="U369">
        <v>5.4730262341518327E-5</v>
      </c>
      <c r="V369" t="s">
        <v>168</v>
      </c>
    </row>
    <row r="370" spans="9:22" x14ac:dyDescent="0.45">
      <c r="I370" t="s">
        <v>179</v>
      </c>
      <c r="J370" t="s">
        <v>388</v>
      </c>
      <c r="K370">
        <v>0</v>
      </c>
      <c r="L370" t="s">
        <v>168</v>
      </c>
      <c r="N370" t="s">
        <v>203</v>
      </c>
      <c r="O370" t="s">
        <v>388</v>
      </c>
      <c r="P370">
        <v>2.3378745124287337E-5</v>
      </c>
      <c r="Q370" t="s">
        <v>168</v>
      </c>
      <c r="S370" t="s">
        <v>222</v>
      </c>
      <c r="T370" t="s">
        <v>388</v>
      </c>
      <c r="U370">
        <v>2.7450726585317384E-5</v>
      </c>
      <c r="V370" t="s">
        <v>168</v>
      </c>
    </row>
    <row r="371" spans="9:22" x14ac:dyDescent="0.45">
      <c r="I371" t="s">
        <v>180</v>
      </c>
      <c r="J371" t="s">
        <v>167</v>
      </c>
      <c r="K371">
        <v>1.1758744319980698E-3</v>
      </c>
      <c r="L371" t="s">
        <v>168</v>
      </c>
      <c r="N371" t="s">
        <v>204</v>
      </c>
      <c r="O371" t="s">
        <v>167</v>
      </c>
      <c r="P371">
        <v>5.9018748850600718E-2</v>
      </c>
      <c r="Q371" t="s">
        <v>168</v>
      </c>
      <c r="S371" t="s">
        <v>223</v>
      </c>
      <c r="T371" t="s">
        <v>167</v>
      </c>
      <c r="U371">
        <v>7.5697600774692689E-2</v>
      </c>
      <c r="V371" t="s">
        <v>168</v>
      </c>
    </row>
    <row r="372" spans="9:22" x14ac:dyDescent="0.45">
      <c r="I372" t="s">
        <v>180</v>
      </c>
      <c r="J372" t="s">
        <v>169</v>
      </c>
      <c r="K372">
        <v>7.0326667192196889E-3</v>
      </c>
      <c r="L372" t="s">
        <v>168</v>
      </c>
      <c r="N372" t="s">
        <v>204</v>
      </c>
      <c r="O372" t="s">
        <v>169</v>
      </c>
      <c r="P372">
        <v>7.5672290398960699E-3</v>
      </c>
      <c r="Q372" t="s">
        <v>168</v>
      </c>
      <c r="S372" t="s">
        <v>223</v>
      </c>
      <c r="T372" t="s">
        <v>169</v>
      </c>
      <c r="U372">
        <v>8.6639377644770303E-3</v>
      </c>
      <c r="V372" t="s">
        <v>168</v>
      </c>
    </row>
    <row r="373" spans="9:22" x14ac:dyDescent="0.45">
      <c r="I373" t="s">
        <v>180</v>
      </c>
      <c r="J373" t="s">
        <v>170</v>
      </c>
      <c r="K373">
        <v>1.2052219431581117E-2</v>
      </c>
      <c r="L373" t="s">
        <v>168</v>
      </c>
      <c r="N373" t="s">
        <v>204</v>
      </c>
      <c r="O373" t="s">
        <v>170</v>
      </c>
      <c r="P373">
        <v>7.0690089111515803E-3</v>
      </c>
      <c r="Q373" t="s">
        <v>168</v>
      </c>
      <c r="S373" t="s">
        <v>223</v>
      </c>
      <c r="T373" t="s">
        <v>170</v>
      </c>
      <c r="U373">
        <v>8.611780721851833E-3</v>
      </c>
      <c r="V373" t="s">
        <v>168</v>
      </c>
    </row>
    <row r="374" spans="9:22" x14ac:dyDescent="0.45">
      <c r="I374" t="s">
        <v>180</v>
      </c>
      <c r="J374" t="s">
        <v>256</v>
      </c>
      <c r="K374">
        <v>8.8311408459575302E-2</v>
      </c>
      <c r="L374" t="s">
        <v>168</v>
      </c>
      <c r="N374" t="s">
        <v>204</v>
      </c>
      <c r="O374" t="s">
        <v>256</v>
      </c>
      <c r="P374">
        <v>4.461051962514806E-2</v>
      </c>
      <c r="Q374" t="s">
        <v>168</v>
      </c>
      <c r="S374" t="s">
        <v>223</v>
      </c>
      <c r="T374" t="s">
        <v>256</v>
      </c>
      <c r="U374">
        <v>5.5334429136246498E-2</v>
      </c>
      <c r="V374" t="s">
        <v>168</v>
      </c>
    </row>
    <row r="375" spans="9:22" x14ac:dyDescent="0.45">
      <c r="I375" t="s">
        <v>180</v>
      </c>
      <c r="J375" t="s">
        <v>257</v>
      </c>
      <c r="K375">
        <v>7.7415430339690134E-3</v>
      </c>
      <c r="L375" t="s">
        <v>168</v>
      </c>
      <c r="N375" t="s">
        <v>204</v>
      </c>
      <c r="O375" t="s">
        <v>257</v>
      </c>
      <c r="P375">
        <v>6.835358828876004E-3</v>
      </c>
      <c r="Q375" t="s">
        <v>168</v>
      </c>
      <c r="S375" t="s">
        <v>223</v>
      </c>
      <c r="T375" t="s">
        <v>257</v>
      </c>
      <c r="U375">
        <v>9.5956110843475034E-3</v>
      </c>
      <c r="V375" t="s">
        <v>168</v>
      </c>
    </row>
    <row r="376" spans="9:22" x14ac:dyDescent="0.45">
      <c r="I376" t="s">
        <v>180</v>
      </c>
      <c r="J376" t="s">
        <v>258</v>
      </c>
      <c r="K376">
        <v>1.9276130043607369E-3</v>
      </c>
      <c r="L376" t="s">
        <v>168</v>
      </c>
      <c r="N376" t="s">
        <v>204</v>
      </c>
      <c r="O376" t="s">
        <v>258</v>
      </c>
      <c r="P376">
        <v>4.8312147144111639E-2</v>
      </c>
      <c r="Q376" t="s">
        <v>168</v>
      </c>
      <c r="S376" t="s">
        <v>223</v>
      </c>
      <c r="T376" t="s">
        <v>258</v>
      </c>
      <c r="U376">
        <v>7.2862872331929604E-2</v>
      </c>
      <c r="V376" t="s">
        <v>168</v>
      </c>
    </row>
    <row r="377" spans="9:22" x14ac:dyDescent="0.45">
      <c r="I377" t="s">
        <v>180</v>
      </c>
      <c r="J377" t="s">
        <v>171</v>
      </c>
      <c r="K377">
        <v>3.8553902116456353E-2</v>
      </c>
      <c r="L377" t="s">
        <v>168</v>
      </c>
      <c r="N377" t="s">
        <v>204</v>
      </c>
      <c r="O377" t="s">
        <v>171</v>
      </c>
      <c r="P377">
        <v>0.11319285044490375</v>
      </c>
      <c r="Q377" t="s">
        <v>168</v>
      </c>
      <c r="S377" t="s">
        <v>223</v>
      </c>
      <c r="T377" t="s">
        <v>171</v>
      </c>
      <c r="U377">
        <v>0.12811598083863482</v>
      </c>
      <c r="V377" t="s">
        <v>168</v>
      </c>
    </row>
    <row r="378" spans="9:22" x14ac:dyDescent="0.45">
      <c r="I378" t="s">
        <v>180</v>
      </c>
      <c r="J378" t="s">
        <v>172</v>
      </c>
      <c r="K378">
        <v>3.3418945436524058E-2</v>
      </c>
      <c r="L378" t="s">
        <v>168</v>
      </c>
      <c r="N378" t="s">
        <v>204</v>
      </c>
      <c r="O378" t="s">
        <v>172</v>
      </c>
      <c r="P378">
        <v>1.5621361506827469E-2</v>
      </c>
      <c r="Q378" t="s">
        <v>168</v>
      </c>
      <c r="S378" t="s">
        <v>223</v>
      </c>
      <c r="T378" t="s">
        <v>172</v>
      </c>
      <c r="U378">
        <v>1.4413282695181839E-2</v>
      </c>
      <c r="V378" t="s">
        <v>168</v>
      </c>
    </row>
    <row r="379" spans="9:22" x14ac:dyDescent="0.45">
      <c r="I379" t="s">
        <v>180</v>
      </c>
      <c r="J379" t="s">
        <v>173</v>
      </c>
      <c r="K379">
        <v>4.0701184858032251E-2</v>
      </c>
      <c r="L379" t="s">
        <v>168</v>
      </c>
      <c r="N379" t="s">
        <v>204</v>
      </c>
      <c r="O379" t="s">
        <v>173</v>
      </c>
      <c r="P379">
        <v>1.57622279559619E-2</v>
      </c>
      <c r="Q379" t="s">
        <v>168</v>
      </c>
      <c r="S379" t="s">
        <v>223</v>
      </c>
      <c r="T379" t="s">
        <v>173</v>
      </c>
      <c r="U379">
        <v>1.4029371203137268E-2</v>
      </c>
      <c r="V379" t="s">
        <v>168</v>
      </c>
    </row>
    <row r="380" spans="9:22" x14ac:dyDescent="0.45">
      <c r="I380" t="s">
        <v>180</v>
      </c>
      <c r="J380" t="s">
        <v>259</v>
      </c>
      <c r="K380">
        <v>0.23811992503631543</v>
      </c>
      <c r="L380" t="s">
        <v>168</v>
      </c>
      <c r="N380" t="s">
        <v>204</v>
      </c>
      <c r="O380" t="s">
        <v>259</v>
      </c>
      <c r="P380">
        <v>9.3440321517330754E-2</v>
      </c>
      <c r="Q380" t="s">
        <v>168</v>
      </c>
      <c r="S380" t="s">
        <v>223</v>
      </c>
      <c r="T380" t="s">
        <v>259</v>
      </c>
      <c r="U380">
        <v>8.3026023079740441E-2</v>
      </c>
      <c r="V380" t="s">
        <v>168</v>
      </c>
    </row>
    <row r="381" spans="9:22" x14ac:dyDescent="0.45">
      <c r="I381" t="s">
        <v>180</v>
      </c>
      <c r="J381" t="s">
        <v>260</v>
      </c>
      <c r="K381">
        <v>2.6530304136242605E-2</v>
      </c>
      <c r="L381" t="s">
        <v>168</v>
      </c>
      <c r="N381" t="s">
        <v>204</v>
      </c>
      <c r="O381" t="s">
        <v>260</v>
      </c>
      <c r="P381">
        <v>1.449583698262426E-2</v>
      </c>
      <c r="Q381" t="s">
        <v>168</v>
      </c>
      <c r="S381" t="s">
        <v>223</v>
      </c>
      <c r="T381" t="s">
        <v>260</v>
      </c>
      <c r="U381">
        <v>1.4735522473921018E-2</v>
      </c>
      <c r="V381" t="s">
        <v>168</v>
      </c>
    </row>
    <row r="382" spans="9:22" x14ac:dyDescent="0.45">
      <c r="I382" t="s">
        <v>180</v>
      </c>
      <c r="J382" t="s">
        <v>261</v>
      </c>
      <c r="K382">
        <v>3.1457995668077249E-2</v>
      </c>
      <c r="L382" t="s">
        <v>168</v>
      </c>
      <c r="N382" t="s">
        <v>204</v>
      </c>
      <c r="O382" t="s">
        <v>261</v>
      </c>
      <c r="P382">
        <v>8.9099418464986868E-2</v>
      </c>
      <c r="Q382" t="s">
        <v>168</v>
      </c>
      <c r="S382" t="s">
        <v>223</v>
      </c>
      <c r="T382" t="s">
        <v>261</v>
      </c>
      <c r="U382">
        <v>0.10881604474216383</v>
      </c>
      <c r="V382" t="s">
        <v>168</v>
      </c>
    </row>
    <row r="383" spans="9:22" x14ac:dyDescent="0.45">
      <c r="I383" t="s">
        <v>180</v>
      </c>
      <c r="J383" t="s">
        <v>174</v>
      </c>
      <c r="K383">
        <v>1.548365545848304E-2</v>
      </c>
      <c r="L383" t="s">
        <v>168</v>
      </c>
      <c r="N383" t="s">
        <v>204</v>
      </c>
      <c r="O383" t="s">
        <v>174</v>
      </c>
      <c r="P383">
        <v>6.515642421814594E-3</v>
      </c>
      <c r="Q383" t="s">
        <v>168</v>
      </c>
      <c r="S383" t="s">
        <v>223</v>
      </c>
      <c r="T383" t="s">
        <v>174</v>
      </c>
      <c r="U383">
        <v>2.4003179866458772E-2</v>
      </c>
      <c r="V383" t="s">
        <v>168</v>
      </c>
    </row>
    <row r="384" spans="9:22" x14ac:dyDescent="0.45">
      <c r="I384" t="s">
        <v>180</v>
      </c>
      <c r="J384" t="s">
        <v>175</v>
      </c>
      <c r="K384">
        <v>1.0689996765818022E-2</v>
      </c>
      <c r="L384" t="s">
        <v>168</v>
      </c>
      <c r="N384" t="s">
        <v>204</v>
      </c>
      <c r="O384" t="s">
        <v>175</v>
      </c>
      <c r="P384">
        <v>7.6811986710619853E-4</v>
      </c>
      <c r="Q384" t="s">
        <v>168</v>
      </c>
      <c r="S384" t="s">
        <v>223</v>
      </c>
      <c r="T384" t="s">
        <v>175</v>
      </c>
      <c r="U384">
        <v>2.6795432231257509E-3</v>
      </c>
      <c r="V384" t="s">
        <v>168</v>
      </c>
    </row>
    <row r="385" spans="9:22" x14ac:dyDescent="0.45">
      <c r="I385" t="s">
        <v>180</v>
      </c>
      <c r="J385" t="s">
        <v>176</v>
      </c>
      <c r="K385">
        <v>1.1672341180975789E-2</v>
      </c>
      <c r="L385" t="s">
        <v>168</v>
      </c>
      <c r="N385" t="s">
        <v>204</v>
      </c>
      <c r="O385" t="s">
        <v>176</v>
      </c>
      <c r="P385">
        <v>8.4754267326751819E-4</v>
      </c>
      <c r="Q385" t="s">
        <v>168</v>
      </c>
      <c r="S385" t="s">
        <v>223</v>
      </c>
      <c r="T385" t="s">
        <v>176</v>
      </c>
      <c r="U385">
        <v>2.4882833707658798E-3</v>
      </c>
      <c r="V385" t="s">
        <v>168</v>
      </c>
    </row>
    <row r="386" spans="9:22" x14ac:dyDescent="0.45">
      <c r="I386" t="s">
        <v>180</v>
      </c>
      <c r="J386" t="s">
        <v>262</v>
      </c>
      <c r="K386">
        <v>6.1134162816617321E-2</v>
      </c>
      <c r="L386" t="s">
        <v>168</v>
      </c>
      <c r="N386" t="s">
        <v>204</v>
      </c>
      <c r="O386" t="s">
        <v>262</v>
      </c>
      <c r="P386">
        <v>8.2828903601760741E-3</v>
      </c>
      <c r="Q386" t="s">
        <v>168</v>
      </c>
      <c r="S386" t="s">
        <v>223</v>
      </c>
      <c r="T386" t="s">
        <v>262</v>
      </c>
      <c r="U386">
        <v>1.4116492044226176E-2</v>
      </c>
      <c r="V386" t="s">
        <v>168</v>
      </c>
    </row>
    <row r="387" spans="9:22" x14ac:dyDescent="0.45">
      <c r="I387" t="s">
        <v>180</v>
      </c>
      <c r="J387" t="s">
        <v>263</v>
      </c>
      <c r="K387">
        <v>6.6435243073008632E-3</v>
      </c>
      <c r="L387" t="s">
        <v>168</v>
      </c>
      <c r="N387" t="s">
        <v>204</v>
      </c>
      <c r="O387" t="s">
        <v>263</v>
      </c>
      <c r="P387">
        <v>1.756871057283375E-3</v>
      </c>
      <c r="Q387" t="s">
        <v>168</v>
      </c>
      <c r="S387" t="s">
        <v>223</v>
      </c>
      <c r="T387" t="s">
        <v>263</v>
      </c>
      <c r="U387">
        <v>2.7272714361406833E-3</v>
      </c>
      <c r="V387" t="s">
        <v>168</v>
      </c>
    </row>
    <row r="388" spans="9:22" x14ac:dyDescent="0.45">
      <c r="I388" t="s">
        <v>180</v>
      </c>
      <c r="J388" t="s">
        <v>264</v>
      </c>
      <c r="K388">
        <v>1.1466642163032878E-2</v>
      </c>
      <c r="L388" t="s">
        <v>168</v>
      </c>
      <c r="N388" t="s">
        <v>204</v>
      </c>
      <c r="O388" t="s">
        <v>264</v>
      </c>
      <c r="P388">
        <v>9.1999604578439555E-3</v>
      </c>
      <c r="Q388" t="s">
        <v>168</v>
      </c>
      <c r="S388" t="s">
        <v>223</v>
      </c>
      <c r="T388" t="s">
        <v>264</v>
      </c>
      <c r="U388">
        <v>2.086284936858452E-2</v>
      </c>
      <c r="V388" t="s">
        <v>168</v>
      </c>
    </row>
    <row r="389" spans="9:22" x14ac:dyDescent="0.45">
      <c r="I389" t="s">
        <v>180</v>
      </c>
      <c r="J389" t="s">
        <v>265</v>
      </c>
      <c r="K389">
        <v>1.1519076546737882E-2</v>
      </c>
      <c r="L389" t="s">
        <v>168</v>
      </c>
      <c r="N389" t="s">
        <v>204</v>
      </c>
      <c r="O389" t="s">
        <v>265</v>
      </c>
      <c r="P389">
        <v>1.2243754713775829E-2</v>
      </c>
      <c r="Q389" t="s">
        <v>168</v>
      </c>
      <c r="S389" t="s">
        <v>223</v>
      </c>
      <c r="T389" t="s">
        <v>265</v>
      </c>
      <c r="U389">
        <v>2.2586241593909442E-2</v>
      </c>
      <c r="V389" t="s">
        <v>168</v>
      </c>
    </row>
    <row r="390" spans="9:22" x14ac:dyDescent="0.45">
      <c r="I390" t="s">
        <v>180</v>
      </c>
      <c r="J390" t="s">
        <v>266</v>
      </c>
      <c r="K390">
        <v>9.0253170626082655E-3</v>
      </c>
      <c r="L390" t="s">
        <v>168</v>
      </c>
      <c r="N390" t="s">
        <v>204</v>
      </c>
      <c r="O390" t="s">
        <v>266</v>
      </c>
      <c r="P390">
        <v>1.2044947266665212E-3</v>
      </c>
      <c r="Q390" t="s">
        <v>168</v>
      </c>
      <c r="S390" t="s">
        <v>223</v>
      </c>
      <c r="T390" t="s">
        <v>266</v>
      </c>
      <c r="U390">
        <v>2.500013887123083E-3</v>
      </c>
      <c r="V390" t="s">
        <v>168</v>
      </c>
    </row>
    <row r="391" spans="9:22" x14ac:dyDescent="0.45">
      <c r="I391" t="s">
        <v>180</v>
      </c>
      <c r="J391" t="s">
        <v>267</v>
      </c>
      <c r="K391">
        <v>1.0488511865809234E-2</v>
      </c>
      <c r="L391" t="s">
        <v>168</v>
      </c>
      <c r="N391" t="s">
        <v>204</v>
      </c>
      <c r="O391" t="s">
        <v>267</v>
      </c>
      <c r="P391">
        <v>1.2393052181037941E-3</v>
      </c>
      <c r="Q391" t="s">
        <v>168</v>
      </c>
      <c r="S391" t="s">
        <v>223</v>
      </c>
      <c r="T391" t="s">
        <v>267</v>
      </c>
      <c r="U391">
        <v>2.2668238761271867E-3</v>
      </c>
      <c r="V391" t="s">
        <v>168</v>
      </c>
    </row>
    <row r="392" spans="9:22" x14ac:dyDescent="0.45">
      <c r="I392" t="s">
        <v>180</v>
      </c>
      <c r="J392" t="s">
        <v>268</v>
      </c>
      <c r="K392">
        <v>6.0697490187282314E-2</v>
      </c>
      <c r="L392" t="s">
        <v>168</v>
      </c>
      <c r="N392" t="s">
        <v>204</v>
      </c>
      <c r="O392" t="s">
        <v>268</v>
      </c>
      <c r="P392">
        <v>9.7138954823703556E-3</v>
      </c>
      <c r="Q392" t="s">
        <v>168</v>
      </c>
      <c r="S392" t="s">
        <v>223</v>
      </c>
      <c r="T392" t="s">
        <v>268</v>
      </c>
      <c r="U392">
        <v>1.1277107466960805E-2</v>
      </c>
      <c r="V392" t="s">
        <v>168</v>
      </c>
    </row>
    <row r="393" spans="9:22" x14ac:dyDescent="0.45">
      <c r="I393" t="s">
        <v>180</v>
      </c>
      <c r="J393" t="s">
        <v>269</v>
      </c>
      <c r="K393">
        <v>7.2857678049706677E-3</v>
      </c>
      <c r="L393" t="s">
        <v>168</v>
      </c>
      <c r="N393" t="s">
        <v>204</v>
      </c>
      <c r="O393" t="s">
        <v>269</v>
      </c>
      <c r="P393">
        <v>2.4775720787412851E-3</v>
      </c>
      <c r="Q393" t="s">
        <v>168</v>
      </c>
      <c r="S393" t="s">
        <v>223</v>
      </c>
      <c r="T393" t="s">
        <v>269</v>
      </c>
      <c r="U393">
        <v>1.9730335838090045E-3</v>
      </c>
      <c r="V393" t="s">
        <v>168</v>
      </c>
    </row>
    <row r="394" spans="9:22" x14ac:dyDescent="0.45">
      <c r="I394" t="s">
        <v>180</v>
      </c>
      <c r="J394" t="s">
        <v>270</v>
      </c>
      <c r="K394">
        <v>9.5770704350864998E-3</v>
      </c>
      <c r="L394" t="s">
        <v>168</v>
      </c>
      <c r="N394" t="s">
        <v>204</v>
      </c>
      <c r="O394" t="s">
        <v>270</v>
      </c>
      <c r="P394">
        <v>1.2608857929869018E-2</v>
      </c>
      <c r="Q394" t="s">
        <v>168</v>
      </c>
      <c r="S394" t="s">
        <v>223</v>
      </c>
      <c r="T394" t="s">
        <v>270</v>
      </c>
      <c r="U394">
        <v>1.4994330759955387E-2</v>
      </c>
      <c r="V394" t="s">
        <v>168</v>
      </c>
    </row>
    <row r="395" spans="9:22" x14ac:dyDescent="0.45">
      <c r="I395" t="s">
        <v>180</v>
      </c>
      <c r="J395" t="s">
        <v>271</v>
      </c>
      <c r="K395">
        <v>6.4733002045914458E-3</v>
      </c>
      <c r="L395" t="s">
        <v>168</v>
      </c>
      <c r="N395" t="s">
        <v>204</v>
      </c>
      <c r="O395" t="s">
        <v>271</v>
      </c>
      <c r="P395">
        <v>1.5929757840006494E-2</v>
      </c>
      <c r="Q395" t="s">
        <v>168</v>
      </c>
      <c r="S395" t="s">
        <v>223</v>
      </c>
      <c r="T395" t="s">
        <v>271</v>
      </c>
      <c r="U395">
        <v>1.6532000383347529E-2</v>
      </c>
      <c r="V395" t="s">
        <v>168</v>
      </c>
    </row>
    <row r="396" spans="9:22" x14ac:dyDescent="0.45">
      <c r="I396" t="s">
        <v>180</v>
      </c>
      <c r="J396" t="s">
        <v>272</v>
      </c>
      <c r="K396">
        <v>7.0809222512190862E-3</v>
      </c>
      <c r="L396" t="s">
        <v>168</v>
      </c>
      <c r="N396" t="s">
        <v>204</v>
      </c>
      <c r="O396" t="s">
        <v>272</v>
      </c>
      <c r="P396">
        <v>1.8086387224839667E-3</v>
      </c>
      <c r="Q396" t="s">
        <v>168</v>
      </c>
      <c r="S396" t="s">
        <v>223</v>
      </c>
      <c r="T396" t="s">
        <v>272</v>
      </c>
      <c r="U396">
        <v>1.9454234540476844E-3</v>
      </c>
      <c r="V396" t="s">
        <v>168</v>
      </c>
    </row>
    <row r="397" spans="9:22" x14ac:dyDescent="0.45">
      <c r="I397" t="s">
        <v>180</v>
      </c>
      <c r="J397" t="s">
        <v>273</v>
      </c>
      <c r="K397">
        <v>8.7265537879368995E-3</v>
      </c>
      <c r="L397" t="s">
        <v>168</v>
      </c>
      <c r="N397" t="s">
        <v>204</v>
      </c>
      <c r="O397" t="s">
        <v>273</v>
      </c>
      <c r="P397">
        <v>1.746275227094843E-3</v>
      </c>
      <c r="Q397" t="s">
        <v>168</v>
      </c>
      <c r="S397" t="s">
        <v>223</v>
      </c>
      <c r="T397" t="s">
        <v>273</v>
      </c>
      <c r="U397">
        <v>1.8196593158728287E-3</v>
      </c>
      <c r="V397" t="s">
        <v>168</v>
      </c>
    </row>
    <row r="398" spans="9:22" x14ac:dyDescent="0.45">
      <c r="I398" t="s">
        <v>180</v>
      </c>
      <c r="J398" t="s">
        <v>274</v>
      </c>
      <c r="K398">
        <v>5.1541449669643843E-2</v>
      </c>
      <c r="L398" t="s">
        <v>168</v>
      </c>
      <c r="N398" t="s">
        <v>204</v>
      </c>
      <c r="O398" t="s">
        <v>274</v>
      </c>
      <c r="P398">
        <v>1.2054051573665573E-2</v>
      </c>
      <c r="Q398" t="s">
        <v>168</v>
      </c>
      <c r="S398" t="s">
        <v>223</v>
      </c>
      <c r="T398" t="s">
        <v>274</v>
      </c>
      <c r="U398">
        <v>9.0290820298813048E-3</v>
      </c>
      <c r="V398" t="s">
        <v>168</v>
      </c>
    </row>
    <row r="399" spans="9:22" x14ac:dyDescent="0.45">
      <c r="I399" t="s">
        <v>180</v>
      </c>
      <c r="J399" t="s">
        <v>275</v>
      </c>
      <c r="K399">
        <v>5.9477584153880192E-3</v>
      </c>
      <c r="L399" t="s">
        <v>168</v>
      </c>
      <c r="N399" t="s">
        <v>204</v>
      </c>
      <c r="O399" t="s">
        <v>275</v>
      </c>
      <c r="P399">
        <v>2.2618830810924528E-3</v>
      </c>
      <c r="Q399" t="s">
        <v>168</v>
      </c>
      <c r="S399" t="s">
        <v>223</v>
      </c>
      <c r="T399" t="s">
        <v>275</v>
      </c>
      <c r="U399">
        <v>1.7430409158347643E-3</v>
      </c>
      <c r="V399" t="s">
        <v>168</v>
      </c>
    </row>
    <row r="400" spans="9:22" x14ac:dyDescent="0.45">
      <c r="I400" t="s">
        <v>180</v>
      </c>
      <c r="J400" t="s">
        <v>276</v>
      </c>
      <c r="K400">
        <v>4.8863159158016572E-3</v>
      </c>
      <c r="L400" t="s">
        <v>168</v>
      </c>
      <c r="N400" t="s">
        <v>204</v>
      </c>
      <c r="O400" t="s">
        <v>276</v>
      </c>
      <c r="P400">
        <v>1.4720168886919202E-2</v>
      </c>
      <c r="Q400" t="s">
        <v>168</v>
      </c>
      <c r="S400" t="s">
        <v>223</v>
      </c>
      <c r="T400" t="s">
        <v>276</v>
      </c>
      <c r="U400">
        <v>1.3857043004732669E-2</v>
      </c>
      <c r="V400" t="s">
        <v>168</v>
      </c>
    </row>
    <row r="401" spans="9:22" x14ac:dyDescent="0.45">
      <c r="I401" t="s">
        <v>180</v>
      </c>
      <c r="J401" t="s">
        <v>341</v>
      </c>
      <c r="K401">
        <v>0</v>
      </c>
      <c r="L401" t="s">
        <v>168</v>
      </c>
      <c r="N401" t="s">
        <v>204</v>
      </c>
      <c r="O401" t="s">
        <v>341</v>
      </c>
      <c r="P401">
        <v>1.5995235567970816E-5</v>
      </c>
      <c r="Q401" t="s">
        <v>168</v>
      </c>
      <c r="S401" t="s">
        <v>223</v>
      </c>
      <c r="T401" t="s">
        <v>341</v>
      </c>
      <c r="U401">
        <v>1.1231225699993694E-6</v>
      </c>
      <c r="V401" t="s">
        <v>168</v>
      </c>
    </row>
    <row r="402" spans="9:22" x14ac:dyDescent="0.45">
      <c r="I402" t="s">
        <v>180</v>
      </c>
      <c r="J402" t="s">
        <v>342</v>
      </c>
      <c r="K402">
        <v>0</v>
      </c>
      <c r="L402" t="s">
        <v>168</v>
      </c>
      <c r="N402" t="s">
        <v>204</v>
      </c>
      <c r="O402" t="s">
        <v>342</v>
      </c>
      <c r="P402">
        <v>1.6120382111214948E-5</v>
      </c>
      <c r="Q402" t="s">
        <v>168</v>
      </c>
      <c r="S402" t="s">
        <v>223</v>
      </c>
      <c r="T402" t="s">
        <v>342</v>
      </c>
      <c r="U402">
        <v>8.0833285132045629E-7</v>
      </c>
      <c r="V402" t="s">
        <v>168</v>
      </c>
    </row>
    <row r="403" spans="9:22" x14ac:dyDescent="0.45">
      <c r="I403" t="s">
        <v>180</v>
      </c>
      <c r="J403" t="s">
        <v>343</v>
      </c>
      <c r="K403">
        <v>0</v>
      </c>
      <c r="L403" t="s">
        <v>168</v>
      </c>
      <c r="N403" t="s">
        <v>204</v>
      </c>
      <c r="O403" t="s">
        <v>343</v>
      </c>
      <c r="P403">
        <v>1.485956490550246E-5</v>
      </c>
      <c r="Q403" t="s">
        <v>168</v>
      </c>
      <c r="S403" t="s">
        <v>223</v>
      </c>
      <c r="T403" t="s">
        <v>343</v>
      </c>
      <c r="U403">
        <v>5.5055562908157833E-7</v>
      </c>
      <c r="V403" t="s">
        <v>168</v>
      </c>
    </row>
    <row r="404" spans="9:22" x14ac:dyDescent="0.45">
      <c r="I404" t="s">
        <v>180</v>
      </c>
      <c r="J404" t="s">
        <v>344</v>
      </c>
      <c r="K404">
        <v>0</v>
      </c>
      <c r="L404" t="s">
        <v>168</v>
      </c>
      <c r="N404" t="s">
        <v>204</v>
      </c>
      <c r="O404" t="s">
        <v>344</v>
      </c>
      <c r="P404">
        <v>1.9346771197225974E-5</v>
      </c>
      <c r="Q404" t="s">
        <v>168</v>
      </c>
      <c r="S404" t="s">
        <v>223</v>
      </c>
      <c r="T404" t="s">
        <v>344</v>
      </c>
      <c r="U404">
        <v>4.1329874618766368E-7</v>
      </c>
      <c r="V404" t="s">
        <v>168</v>
      </c>
    </row>
    <row r="405" spans="9:22" x14ac:dyDescent="0.45">
      <c r="I405" t="s">
        <v>180</v>
      </c>
      <c r="J405" t="s">
        <v>345</v>
      </c>
      <c r="K405">
        <v>0</v>
      </c>
      <c r="L405" t="s">
        <v>168</v>
      </c>
      <c r="N405" t="s">
        <v>204</v>
      </c>
      <c r="O405" t="s">
        <v>345</v>
      </c>
      <c r="P405">
        <v>2.2391141975916869E-5</v>
      </c>
      <c r="Q405" t="s">
        <v>168</v>
      </c>
      <c r="S405" t="s">
        <v>223</v>
      </c>
      <c r="T405" t="s">
        <v>345</v>
      </c>
      <c r="U405">
        <v>0</v>
      </c>
      <c r="V405" t="s">
        <v>168</v>
      </c>
    </row>
    <row r="406" spans="9:22" x14ac:dyDescent="0.45">
      <c r="I406" t="s">
        <v>180</v>
      </c>
      <c r="J406" t="s">
        <v>346</v>
      </c>
      <c r="K406">
        <v>0</v>
      </c>
      <c r="L406" t="s">
        <v>168</v>
      </c>
      <c r="N406" t="s">
        <v>204</v>
      </c>
      <c r="O406" t="s">
        <v>346</v>
      </c>
      <c r="P406">
        <v>2.3973731001895933E-5</v>
      </c>
      <c r="Q406" t="s">
        <v>168</v>
      </c>
      <c r="S406" t="s">
        <v>223</v>
      </c>
      <c r="T406" t="s">
        <v>346</v>
      </c>
      <c r="U406">
        <v>0</v>
      </c>
      <c r="V406" t="s">
        <v>168</v>
      </c>
    </row>
    <row r="407" spans="9:22" x14ac:dyDescent="0.45">
      <c r="I407" t="s">
        <v>180</v>
      </c>
      <c r="J407" t="s">
        <v>347</v>
      </c>
      <c r="K407">
        <v>1.8226051916987024E-4</v>
      </c>
      <c r="L407" t="s">
        <v>168</v>
      </c>
      <c r="N407" t="s">
        <v>204</v>
      </c>
      <c r="O407" t="s">
        <v>347</v>
      </c>
      <c r="P407">
        <v>2.3585725613425338E-5</v>
      </c>
      <c r="Q407" t="s">
        <v>168</v>
      </c>
      <c r="S407" t="s">
        <v>223</v>
      </c>
      <c r="T407" t="s">
        <v>347</v>
      </c>
      <c r="U407">
        <v>1.6678228864255777E-7</v>
      </c>
      <c r="V407" t="s">
        <v>168</v>
      </c>
    </row>
    <row r="408" spans="9:22" x14ac:dyDescent="0.45">
      <c r="I408" t="s">
        <v>180</v>
      </c>
      <c r="J408" t="s">
        <v>348</v>
      </c>
      <c r="K408">
        <v>2.8809992395748669E-4</v>
      </c>
      <c r="L408" t="s">
        <v>168</v>
      </c>
      <c r="N408" t="s">
        <v>204</v>
      </c>
      <c r="O408" t="s">
        <v>348</v>
      </c>
      <c r="P408">
        <v>2.420205276536726E-5</v>
      </c>
      <c r="Q408" t="s">
        <v>168</v>
      </c>
      <c r="S408" t="s">
        <v>223</v>
      </c>
      <c r="T408" t="s">
        <v>348</v>
      </c>
      <c r="U408">
        <v>5.9098027940432585E-7</v>
      </c>
      <c r="V408" t="s">
        <v>168</v>
      </c>
    </row>
    <row r="409" spans="9:22" x14ac:dyDescent="0.45">
      <c r="I409" t="s">
        <v>180</v>
      </c>
      <c r="J409" t="s">
        <v>349</v>
      </c>
      <c r="K409">
        <v>3.7596878907967494E-4</v>
      </c>
      <c r="L409" t="s">
        <v>168</v>
      </c>
      <c r="N409" t="s">
        <v>204</v>
      </c>
      <c r="O409" t="s">
        <v>349</v>
      </c>
      <c r="P409">
        <v>2.7800706321423375E-5</v>
      </c>
      <c r="Q409" t="s">
        <v>168</v>
      </c>
      <c r="S409" t="s">
        <v>223</v>
      </c>
      <c r="T409" t="s">
        <v>349</v>
      </c>
      <c r="U409">
        <v>3.7786104751835654E-7</v>
      </c>
      <c r="V409" t="s">
        <v>168</v>
      </c>
    </row>
    <row r="410" spans="9:22" x14ac:dyDescent="0.45">
      <c r="I410" t="s">
        <v>180</v>
      </c>
      <c r="J410" t="s">
        <v>350</v>
      </c>
      <c r="K410">
        <v>4.1213994217633728E-4</v>
      </c>
      <c r="L410" t="s">
        <v>168</v>
      </c>
      <c r="N410" t="s">
        <v>204</v>
      </c>
      <c r="O410" t="s">
        <v>350</v>
      </c>
      <c r="P410">
        <v>3.3338048367590198E-5</v>
      </c>
      <c r="Q410" t="s">
        <v>168</v>
      </c>
      <c r="S410" t="s">
        <v>223</v>
      </c>
      <c r="T410" t="s">
        <v>350</v>
      </c>
      <c r="U410">
        <v>8.3638584140649443E-7</v>
      </c>
      <c r="V410" t="s">
        <v>168</v>
      </c>
    </row>
    <row r="411" spans="9:22" x14ac:dyDescent="0.45">
      <c r="I411" t="s">
        <v>180</v>
      </c>
      <c r="J411" t="s">
        <v>351</v>
      </c>
      <c r="K411">
        <v>4.0779888754500474E-4</v>
      </c>
      <c r="L411" t="s">
        <v>168</v>
      </c>
      <c r="N411" t="s">
        <v>204</v>
      </c>
      <c r="O411" t="s">
        <v>351</v>
      </c>
      <c r="P411">
        <v>1.2757985743761033E-5</v>
      </c>
      <c r="Q411" t="s">
        <v>168</v>
      </c>
      <c r="S411" t="s">
        <v>223</v>
      </c>
      <c r="T411" t="s">
        <v>351</v>
      </c>
      <c r="U411">
        <v>3.041543243189407E-6</v>
      </c>
      <c r="V411" t="s">
        <v>168</v>
      </c>
    </row>
    <row r="412" spans="9:22" x14ac:dyDescent="0.45">
      <c r="I412" t="s">
        <v>180</v>
      </c>
      <c r="J412" t="s">
        <v>352</v>
      </c>
      <c r="K412">
        <v>3.5508206078561623E-4</v>
      </c>
      <c r="L412" t="s">
        <v>168</v>
      </c>
      <c r="N412" t="s">
        <v>204</v>
      </c>
      <c r="O412" t="s">
        <v>352</v>
      </c>
      <c r="P412">
        <v>2.5436547528396298E-5</v>
      </c>
      <c r="Q412" t="s">
        <v>168</v>
      </c>
      <c r="S412" t="s">
        <v>223</v>
      </c>
      <c r="T412" t="s">
        <v>352</v>
      </c>
      <c r="U412">
        <v>5.3630793775597316E-6</v>
      </c>
      <c r="V412" t="s">
        <v>168</v>
      </c>
    </row>
    <row r="413" spans="9:22" x14ac:dyDescent="0.45">
      <c r="I413" t="s">
        <v>180</v>
      </c>
      <c r="J413" t="s">
        <v>353</v>
      </c>
      <c r="K413">
        <v>3.4063621174890661E-4</v>
      </c>
      <c r="L413" t="s">
        <v>168</v>
      </c>
      <c r="N413" t="s">
        <v>204</v>
      </c>
      <c r="O413" t="s">
        <v>353</v>
      </c>
      <c r="P413">
        <v>2.934452302351276E-5</v>
      </c>
      <c r="Q413" t="s">
        <v>168</v>
      </c>
      <c r="S413" t="s">
        <v>223</v>
      </c>
      <c r="T413" t="s">
        <v>353</v>
      </c>
      <c r="U413">
        <v>1.4545638594264872E-5</v>
      </c>
      <c r="V413" t="s">
        <v>168</v>
      </c>
    </row>
    <row r="414" spans="9:22" x14ac:dyDescent="0.45">
      <c r="I414" t="s">
        <v>180</v>
      </c>
      <c r="J414" t="s">
        <v>354</v>
      </c>
      <c r="K414">
        <v>3.8078065567743606E-4</v>
      </c>
      <c r="L414" t="s">
        <v>168</v>
      </c>
      <c r="N414" t="s">
        <v>204</v>
      </c>
      <c r="O414" t="s">
        <v>354</v>
      </c>
      <c r="P414">
        <v>2.9288761112707688E-5</v>
      </c>
      <c r="Q414" t="s">
        <v>168</v>
      </c>
      <c r="S414" t="s">
        <v>223</v>
      </c>
      <c r="T414" t="s">
        <v>354</v>
      </c>
      <c r="U414">
        <v>2.4879893939186906E-5</v>
      </c>
      <c r="V414" t="s">
        <v>168</v>
      </c>
    </row>
    <row r="415" spans="9:22" x14ac:dyDescent="0.45">
      <c r="I415" t="s">
        <v>180</v>
      </c>
      <c r="J415" t="s">
        <v>355</v>
      </c>
      <c r="K415">
        <v>3.7213739411161523E-4</v>
      </c>
      <c r="L415" t="s">
        <v>168</v>
      </c>
      <c r="N415" t="s">
        <v>204</v>
      </c>
      <c r="O415" t="s">
        <v>355</v>
      </c>
      <c r="P415">
        <v>2.5423288046604334E-5</v>
      </c>
      <c r="Q415" t="s">
        <v>168</v>
      </c>
      <c r="S415" t="s">
        <v>223</v>
      </c>
      <c r="T415" t="s">
        <v>355</v>
      </c>
      <c r="U415">
        <v>4.3326310854175799E-5</v>
      </c>
      <c r="V415" t="s">
        <v>168</v>
      </c>
    </row>
    <row r="416" spans="9:22" x14ac:dyDescent="0.45">
      <c r="I416" t="s">
        <v>180</v>
      </c>
      <c r="J416" t="s">
        <v>356</v>
      </c>
      <c r="K416">
        <v>3.5932895410451779E-4</v>
      </c>
      <c r="L416" t="s">
        <v>168</v>
      </c>
      <c r="N416" t="s">
        <v>204</v>
      </c>
      <c r="O416" t="s">
        <v>356</v>
      </c>
      <c r="P416">
        <v>2.0618962798213851E-5</v>
      </c>
      <c r="Q416" t="s">
        <v>168</v>
      </c>
      <c r="S416" t="s">
        <v>223</v>
      </c>
      <c r="T416" t="s">
        <v>356</v>
      </c>
      <c r="U416">
        <v>6.1077924575637634E-5</v>
      </c>
      <c r="V416" t="s">
        <v>168</v>
      </c>
    </row>
    <row r="417" spans="9:22" x14ac:dyDescent="0.45">
      <c r="I417" t="s">
        <v>180</v>
      </c>
      <c r="J417" t="s">
        <v>357</v>
      </c>
      <c r="K417">
        <v>2.9568986308196535E-4</v>
      </c>
      <c r="L417" t="s">
        <v>168</v>
      </c>
      <c r="N417" t="s">
        <v>204</v>
      </c>
      <c r="O417" t="s">
        <v>357</v>
      </c>
      <c r="P417">
        <v>2.0317648299365694E-5</v>
      </c>
      <c r="Q417" t="s">
        <v>168</v>
      </c>
      <c r="S417" t="s">
        <v>223</v>
      </c>
      <c r="T417" t="s">
        <v>357</v>
      </c>
      <c r="U417">
        <v>7.5212110737626436E-5</v>
      </c>
      <c r="V417" t="s">
        <v>168</v>
      </c>
    </row>
    <row r="418" spans="9:22" x14ac:dyDescent="0.45">
      <c r="I418" t="s">
        <v>180</v>
      </c>
      <c r="J418" t="s">
        <v>358</v>
      </c>
      <c r="K418">
        <v>1.9537494309549794E-4</v>
      </c>
      <c r="L418" t="s">
        <v>168</v>
      </c>
      <c r="N418" t="s">
        <v>204</v>
      </c>
      <c r="O418" t="s">
        <v>358</v>
      </c>
      <c r="P418">
        <v>1.9488710808196608E-5</v>
      </c>
      <c r="Q418" t="s">
        <v>168</v>
      </c>
      <c r="S418" t="s">
        <v>223</v>
      </c>
      <c r="T418" t="s">
        <v>358</v>
      </c>
      <c r="U418">
        <v>8.7410470817309799E-5</v>
      </c>
      <c r="V418" t="s">
        <v>168</v>
      </c>
    </row>
    <row r="419" spans="9:22" x14ac:dyDescent="0.45">
      <c r="I419" t="s">
        <v>180</v>
      </c>
      <c r="J419" t="s">
        <v>359</v>
      </c>
      <c r="K419">
        <v>0</v>
      </c>
      <c r="L419" t="s">
        <v>168</v>
      </c>
      <c r="N419" t="s">
        <v>204</v>
      </c>
      <c r="O419" t="s">
        <v>359</v>
      </c>
      <c r="P419">
        <v>1.6384296384416387E-5</v>
      </c>
      <c r="Q419" t="s">
        <v>168</v>
      </c>
      <c r="S419" t="s">
        <v>223</v>
      </c>
      <c r="T419" t="s">
        <v>359</v>
      </c>
      <c r="U419">
        <v>9.0365259218174764E-5</v>
      </c>
      <c r="V419" t="s">
        <v>168</v>
      </c>
    </row>
    <row r="420" spans="9:22" x14ac:dyDescent="0.45">
      <c r="I420" t="s">
        <v>180</v>
      </c>
      <c r="J420" t="s">
        <v>360</v>
      </c>
      <c r="K420">
        <v>0</v>
      </c>
      <c r="L420" t="s">
        <v>168</v>
      </c>
      <c r="N420" t="s">
        <v>204</v>
      </c>
      <c r="O420" t="s">
        <v>360</v>
      </c>
      <c r="P420">
        <v>1.0878239026169408E-5</v>
      </c>
      <c r="Q420" t="s">
        <v>168</v>
      </c>
      <c r="S420" t="s">
        <v>223</v>
      </c>
      <c r="T420" t="s">
        <v>360</v>
      </c>
      <c r="U420">
        <v>8.3544766368852695E-5</v>
      </c>
      <c r="V420" t="s">
        <v>168</v>
      </c>
    </row>
    <row r="421" spans="9:22" x14ac:dyDescent="0.45">
      <c r="I421" t="s">
        <v>180</v>
      </c>
      <c r="J421" t="s">
        <v>361</v>
      </c>
      <c r="K421">
        <v>0</v>
      </c>
      <c r="L421" t="s">
        <v>168</v>
      </c>
      <c r="N421" t="s">
        <v>204</v>
      </c>
      <c r="O421" t="s">
        <v>361</v>
      </c>
      <c r="P421">
        <v>5.7937613451500207E-6</v>
      </c>
      <c r="Q421" t="s">
        <v>168</v>
      </c>
      <c r="S421" t="s">
        <v>223</v>
      </c>
      <c r="T421" t="s">
        <v>361</v>
      </c>
      <c r="U421">
        <v>7.6122391848924538E-5</v>
      </c>
      <c r="V421" t="s">
        <v>168</v>
      </c>
    </row>
    <row r="422" spans="9:22" x14ac:dyDescent="0.45">
      <c r="I422" t="s">
        <v>180</v>
      </c>
      <c r="J422" t="s">
        <v>362</v>
      </c>
      <c r="K422">
        <v>0</v>
      </c>
      <c r="L422" t="s">
        <v>168</v>
      </c>
      <c r="N422" t="s">
        <v>204</v>
      </c>
      <c r="O422" t="s">
        <v>362</v>
      </c>
      <c r="P422">
        <v>3.2530502309466283E-6</v>
      </c>
      <c r="Q422" t="s">
        <v>168</v>
      </c>
      <c r="S422" t="s">
        <v>223</v>
      </c>
      <c r="T422" t="s">
        <v>362</v>
      </c>
      <c r="U422">
        <v>7.3776611095290683E-5</v>
      </c>
      <c r="V422" t="s">
        <v>168</v>
      </c>
    </row>
    <row r="423" spans="9:22" x14ac:dyDescent="0.45">
      <c r="I423" t="s">
        <v>180</v>
      </c>
      <c r="J423" t="s">
        <v>363</v>
      </c>
      <c r="K423">
        <v>0</v>
      </c>
      <c r="L423" t="s">
        <v>168</v>
      </c>
      <c r="N423" t="s">
        <v>204</v>
      </c>
      <c r="O423" t="s">
        <v>363</v>
      </c>
      <c r="P423">
        <v>5.1094421271011448E-6</v>
      </c>
      <c r="Q423" t="s">
        <v>168</v>
      </c>
      <c r="S423" t="s">
        <v>223</v>
      </c>
      <c r="T423" t="s">
        <v>363</v>
      </c>
      <c r="U423">
        <v>6.9118417772637243E-5</v>
      </c>
      <c r="V423" t="s">
        <v>168</v>
      </c>
    </row>
    <row r="424" spans="9:22" x14ac:dyDescent="0.45">
      <c r="I424" t="s">
        <v>180</v>
      </c>
      <c r="J424" t="s">
        <v>364</v>
      </c>
      <c r="K424">
        <v>0</v>
      </c>
      <c r="L424" t="s">
        <v>168</v>
      </c>
      <c r="N424" t="s">
        <v>204</v>
      </c>
      <c r="O424" t="s">
        <v>364</v>
      </c>
      <c r="P424">
        <v>3.7275849287244542E-6</v>
      </c>
      <c r="Q424" t="s">
        <v>168</v>
      </c>
      <c r="S424" t="s">
        <v>223</v>
      </c>
      <c r="T424" t="s">
        <v>364</v>
      </c>
      <c r="U424">
        <v>9.1314292632226787E-5</v>
      </c>
      <c r="V424" t="s">
        <v>168</v>
      </c>
    </row>
    <row r="425" spans="9:22" x14ac:dyDescent="0.45">
      <c r="I425" t="s">
        <v>180</v>
      </c>
      <c r="J425" t="s">
        <v>277</v>
      </c>
      <c r="K425">
        <v>2.7615632744332781E-3</v>
      </c>
      <c r="L425" t="s">
        <v>168</v>
      </c>
      <c r="N425" t="s">
        <v>204</v>
      </c>
      <c r="O425" t="s">
        <v>277</v>
      </c>
      <c r="P425">
        <v>9.2580782817972079E-2</v>
      </c>
      <c r="Q425" t="s">
        <v>168</v>
      </c>
      <c r="S425" t="s">
        <v>223</v>
      </c>
      <c r="T425" t="s">
        <v>277</v>
      </c>
      <c r="U425">
        <v>5.3683745278292033E-2</v>
      </c>
      <c r="V425" t="s">
        <v>168</v>
      </c>
    </row>
    <row r="426" spans="9:22" x14ac:dyDescent="0.45">
      <c r="I426" t="s">
        <v>180</v>
      </c>
      <c r="J426" t="s">
        <v>278</v>
      </c>
      <c r="K426">
        <v>7.1024418363233328E-3</v>
      </c>
      <c r="L426" t="s">
        <v>168</v>
      </c>
      <c r="N426" t="s">
        <v>204</v>
      </c>
      <c r="O426" t="s">
        <v>278</v>
      </c>
      <c r="P426">
        <v>1.0977472496911172E-2</v>
      </c>
      <c r="Q426" t="s">
        <v>168</v>
      </c>
      <c r="S426" t="s">
        <v>223</v>
      </c>
      <c r="T426" t="s">
        <v>278</v>
      </c>
      <c r="U426">
        <v>6.5692106398073571E-3</v>
      </c>
      <c r="V426" t="s">
        <v>168</v>
      </c>
    </row>
    <row r="427" spans="9:22" x14ac:dyDescent="0.45">
      <c r="I427" t="s">
        <v>180</v>
      </c>
      <c r="J427" t="s">
        <v>279</v>
      </c>
      <c r="K427">
        <v>1.1206763697190224E-2</v>
      </c>
      <c r="L427" t="s">
        <v>168</v>
      </c>
      <c r="N427" t="s">
        <v>204</v>
      </c>
      <c r="O427" t="s">
        <v>279</v>
      </c>
      <c r="P427">
        <v>1.0988110084725642E-2</v>
      </c>
      <c r="Q427" t="s">
        <v>168</v>
      </c>
      <c r="S427" t="s">
        <v>223</v>
      </c>
      <c r="T427" t="s">
        <v>279</v>
      </c>
      <c r="U427">
        <v>6.617345562170026E-3</v>
      </c>
      <c r="V427" t="s">
        <v>168</v>
      </c>
    </row>
    <row r="428" spans="9:22" x14ac:dyDescent="0.45">
      <c r="I428" t="s">
        <v>180</v>
      </c>
      <c r="J428" t="s">
        <v>280</v>
      </c>
      <c r="K428">
        <v>7.9602903013733448E-2</v>
      </c>
      <c r="L428" t="s">
        <v>168</v>
      </c>
      <c r="N428" t="s">
        <v>204</v>
      </c>
      <c r="O428" t="s">
        <v>280</v>
      </c>
      <c r="P428">
        <v>6.7555143043118174E-2</v>
      </c>
      <c r="Q428" t="s">
        <v>168</v>
      </c>
      <c r="S428" t="s">
        <v>223</v>
      </c>
      <c r="T428" t="s">
        <v>280</v>
      </c>
      <c r="U428">
        <v>3.9659709676039469E-2</v>
      </c>
      <c r="V428" t="s">
        <v>168</v>
      </c>
    </row>
    <row r="429" spans="9:22" x14ac:dyDescent="0.45">
      <c r="I429" t="s">
        <v>180</v>
      </c>
      <c r="J429" t="s">
        <v>281</v>
      </c>
      <c r="K429">
        <v>5.4983167719641077E-3</v>
      </c>
      <c r="L429" t="s">
        <v>168</v>
      </c>
      <c r="N429" t="s">
        <v>204</v>
      </c>
      <c r="O429" t="s">
        <v>281</v>
      </c>
      <c r="P429">
        <v>1.1757145673320422E-2</v>
      </c>
      <c r="Q429" t="s">
        <v>168</v>
      </c>
      <c r="S429" t="s">
        <v>223</v>
      </c>
      <c r="T429" t="s">
        <v>281</v>
      </c>
      <c r="U429">
        <v>6.788167289014102E-3</v>
      </c>
      <c r="V429" t="s">
        <v>168</v>
      </c>
    </row>
    <row r="430" spans="9:22" x14ac:dyDescent="0.45">
      <c r="I430" t="s">
        <v>180</v>
      </c>
      <c r="J430" t="s">
        <v>282</v>
      </c>
      <c r="K430">
        <v>5.5328263289750317E-4</v>
      </c>
      <c r="L430" t="s">
        <v>168</v>
      </c>
      <c r="N430" t="s">
        <v>204</v>
      </c>
      <c r="O430" t="s">
        <v>282</v>
      </c>
      <c r="P430">
        <v>8.1860553277818937E-2</v>
      </c>
      <c r="Q430" t="s">
        <v>168</v>
      </c>
      <c r="S430" t="s">
        <v>223</v>
      </c>
      <c r="T430" t="s">
        <v>282</v>
      </c>
      <c r="U430">
        <v>5.2081906683518725E-2</v>
      </c>
      <c r="V430" t="s">
        <v>168</v>
      </c>
    </row>
    <row r="431" spans="9:22" x14ac:dyDescent="0.45">
      <c r="I431" t="s">
        <v>180</v>
      </c>
      <c r="J431" t="s">
        <v>283</v>
      </c>
      <c r="K431">
        <v>0</v>
      </c>
      <c r="L431" t="s">
        <v>168</v>
      </c>
      <c r="N431" t="s">
        <v>204</v>
      </c>
      <c r="O431" t="s">
        <v>283</v>
      </c>
      <c r="P431">
        <v>3.5535990611802036E-2</v>
      </c>
      <c r="Q431" t="s">
        <v>168</v>
      </c>
      <c r="S431" t="s">
        <v>223</v>
      </c>
      <c r="T431" t="s">
        <v>283</v>
      </c>
      <c r="U431">
        <v>2.5311096043857412E-2</v>
      </c>
      <c r="V431" t="s">
        <v>168</v>
      </c>
    </row>
    <row r="432" spans="9:22" x14ac:dyDescent="0.45">
      <c r="I432" t="s">
        <v>180</v>
      </c>
      <c r="J432" t="s">
        <v>284</v>
      </c>
      <c r="K432">
        <v>3.6119725741679937E-3</v>
      </c>
      <c r="L432" t="s">
        <v>168</v>
      </c>
      <c r="N432" t="s">
        <v>204</v>
      </c>
      <c r="O432" t="s">
        <v>284</v>
      </c>
      <c r="P432">
        <v>4.1600716354581848E-3</v>
      </c>
      <c r="Q432" t="s">
        <v>168</v>
      </c>
      <c r="S432" t="s">
        <v>223</v>
      </c>
      <c r="T432" t="s">
        <v>284</v>
      </c>
      <c r="U432">
        <v>3.0879839480381461E-3</v>
      </c>
      <c r="V432" t="s">
        <v>168</v>
      </c>
    </row>
    <row r="433" spans="9:22" x14ac:dyDescent="0.45">
      <c r="I433" t="s">
        <v>180</v>
      </c>
      <c r="J433" t="s">
        <v>285</v>
      </c>
      <c r="K433">
        <v>5.964243433409829E-3</v>
      </c>
      <c r="L433" t="s">
        <v>168</v>
      </c>
      <c r="N433" t="s">
        <v>204</v>
      </c>
      <c r="O433" t="s">
        <v>285</v>
      </c>
      <c r="P433">
        <v>4.0054125543534007E-3</v>
      </c>
      <c r="Q433" t="s">
        <v>168</v>
      </c>
      <c r="S433" t="s">
        <v>223</v>
      </c>
      <c r="T433" t="s">
        <v>285</v>
      </c>
      <c r="U433">
        <v>3.0151624178480396E-3</v>
      </c>
      <c r="V433" t="s">
        <v>168</v>
      </c>
    </row>
    <row r="434" spans="9:22" x14ac:dyDescent="0.45">
      <c r="I434" t="s">
        <v>180</v>
      </c>
      <c r="J434" t="s">
        <v>286</v>
      </c>
      <c r="K434">
        <v>4.0301917577364191E-2</v>
      </c>
      <c r="L434" t="s">
        <v>168</v>
      </c>
      <c r="N434" t="s">
        <v>204</v>
      </c>
      <c r="O434" t="s">
        <v>286</v>
      </c>
      <c r="P434">
        <v>2.1736127816447976E-2</v>
      </c>
      <c r="Q434" t="s">
        <v>168</v>
      </c>
      <c r="S434" t="s">
        <v>223</v>
      </c>
      <c r="T434" t="s">
        <v>286</v>
      </c>
      <c r="U434">
        <v>1.8254577333118811E-2</v>
      </c>
      <c r="V434" t="s">
        <v>168</v>
      </c>
    </row>
    <row r="435" spans="9:22" x14ac:dyDescent="0.45">
      <c r="I435" t="s">
        <v>180</v>
      </c>
      <c r="J435" t="s">
        <v>287</v>
      </c>
      <c r="K435">
        <v>1.3875619814306481E-4</v>
      </c>
      <c r="L435" t="s">
        <v>168</v>
      </c>
      <c r="N435" t="s">
        <v>204</v>
      </c>
      <c r="O435" t="s">
        <v>287</v>
      </c>
      <c r="P435">
        <v>3.5313451205417992E-3</v>
      </c>
      <c r="Q435" t="s">
        <v>168</v>
      </c>
      <c r="S435" t="s">
        <v>223</v>
      </c>
      <c r="T435" t="s">
        <v>287</v>
      </c>
      <c r="U435">
        <v>3.0599743347750358E-3</v>
      </c>
      <c r="V435" t="s">
        <v>168</v>
      </c>
    </row>
    <row r="436" spans="9:22" x14ac:dyDescent="0.45">
      <c r="I436" t="s">
        <v>180</v>
      </c>
      <c r="J436" t="s">
        <v>288</v>
      </c>
      <c r="K436">
        <v>0</v>
      </c>
      <c r="L436" t="s">
        <v>168</v>
      </c>
      <c r="N436" t="s">
        <v>204</v>
      </c>
      <c r="O436" t="s">
        <v>288</v>
      </c>
      <c r="P436">
        <v>2.4378269784498703E-2</v>
      </c>
      <c r="Q436" t="s">
        <v>168</v>
      </c>
      <c r="S436" t="s">
        <v>223</v>
      </c>
      <c r="T436" t="s">
        <v>288</v>
      </c>
      <c r="U436">
        <v>1.9523901810412882E-2</v>
      </c>
      <c r="V436" t="s">
        <v>168</v>
      </c>
    </row>
    <row r="437" spans="9:22" x14ac:dyDescent="0.45">
      <c r="I437" t="s">
        <v>180</v>
      </c>
      <c r="J437" t="s">
        <v>365</v>
      </c>
      <c r="K437">
        <v>0</v>
      </c>
      <c r="L437" t="s">
        <v>168</v>
      </c>
      <c r="N437" t="s">
        <v>204</v>
      </c>
      <c r="O437" t="s">
        <v>365</v>
      </c>
      <c r="P437">
        <v>2.661129725837093E-6</v>
      </c>
      <c r="Q437" t="s">
        <v>168</v>
      </c>
      <c r="S437" t="s">
        <v>223</v>
      </c>
      <c r="T437" t="s">
        <v>365</v>
      </c>
      <c r="U437">
        <v>1.2443921220386381E-5</v>
      </c>
      <c r="V437" t="s">
        <v>168</v>
      </c>
    </row>
    <row r="438" spans="9:22" x14ac:dyDescent="0.45">
      <c r="I438" t="s">
        <v>180</v>
      </c>
      <c r="J438" t="s">
        <v>366</v>
      </c>
      <c r="K438">
        <v>0</v>
      </c>
      <c r="L438" t="s">
        <v>168</v>
      </c>
      <c r="N438" t="s">
        <v>204</v>
      </c>
      <c r="O438" t="s">
        <v>366</v>
      </c>
      <c r="P438">
        <v>4.5622589690940004E-6</v>
      </c>
      <c r="Q438" t="s">
        <v>168</v>
      </c>
      <c r="S438" t="s">
        <v>223</v>
      </c>
      <c r="T438" t="s">
        <v>366</v>
      </c>
      <c r="U438">
        <v>1.0505352828015489E-5</v>
      </c>
      <c r="V438" t="s">
        <v>168</v>
      </c>
    </row>
    <row r="439" spans="9:22" x14ac:dyDescent="0.45">
      <c r="I439" t="s">
        <v>180</v>
      </c>
      <c r="J439" t="s">
        <v>367</v>
      </c>
      <c r="K439">
        <v>0</v>
      </c>
      <c r="L439" t="s">
        <v>168</v>
      </c>
      <c r="N439" t="s">
        <v>204</v>
      </c>
      <c r="O439" t="s">
        <v>367</v>
      </c>
      <c r="P439">
        <v>8.997060502962336E-6</v>
      </c>
      <c r="Q439" t="s">
        <v>168</v>
      </c>
      <c r="S439" t="s">
        <v>223</v>
      </c>
      <c r="T439" t="s">
        <v>367</v>
      </c>
      <c r="U439">
        <v>8.7198822852221617E-6</v>
      </c>
      <c r="V439" t="s">
        <v>168</v>
      </c>
    </row>
    <row r="440" spans="9:22" x14ac:dyDescent="0.45">
      <c r="I440" t="s">
        <v>180</v>
      </c>
      <c r="J440" t="s">
        <v>368</v>
      </c>
      <c r="K440">
        <v>0</v>
      </c>
      <c r="L440" t="s">
        <v>168</v>
      </c>
      <c r="N440" t="s">
        <v>204</v>
      </c>
      <c r="O440" t="s">
        <v>368</v>
      </c>
      <c r="P440">
        <v>9.7170490798054785E-6</v>
      </c>
      <c r="Q440" t="s">
        <v>168</v>
      </c>
      <c r="S440" t="s">
        <v>223</v>
      </c>
      <c r="T440" t="s">
        <v>368</v>
      </c>
      <c r="U440">
        <v>8.1111173902145186E-6</v>
      </c>
      <c r="V440" t="s">
        <v>168</v>
      </c>
    </row>
    <row r="441" spans="9:22" x14ac:dyDescent="0.45">
      <c r="I441" t="s">
        <v>180</v>
      </c>
      <c r="J441" t="s">
        <v>369</v>
      </c>
      <c r="K441">
        <v>0</v>
      </c>
      <c r="L441" t="s">
        <v>168</v>
      </c>
      <c r="N441" t="s">
        <v>204</v>
      </c>
      <c r="O441" t="s">
        <v>369</v>
      </c>
      <c r="P441">
        <v>1.0111591035859538E-5</v>
      </c>
      <c r="Q441" t="s">
        <v>168</v>
      </c>
      <c r="S441" t="s">
        <v>223</v>
      </c>
      <c r="T441" t="s">
        <v>369</v>
      </c>
      <c r="U441">
        <v>8.7788021325610579E-6</v>
      </c>
      <c r="V441" t="s">
        <v>168</v>
      </c>
    </row>
    <row r="442" spans="9:22" x14ac:dyDescent="0.45">
      <c r="I442" t="s">
        <v>180</v>
      </c>
      <c r="J442" t="s">
        <v>370</v>
      </c>
      <c r="K442">
        <v>0</v>
      </c>
      <c r="L442" t="s">
        <v>168</v>
      </c>
      <c r="N442" t="s">
        <v>204</v>
      </c>
      <c r="O442" t="s">
        <v>370</v>
      </c>
      <c r="P442">
        <v>1.0331716830558248E-5</v>
      </c>
      <c r="Q442" t="s">
        <v>168</v>
      </c>
      <c r="S442" t="s">
        <v>223</v>
      </c>
      <c r="T442" t="s">
        <v>370</v>
      </c>
      <c r="U442">
        <v>7.0380003477778463E-6</v>
      </c>
      <c r="V442" t="s">
        <v>168</v>
      </c>
    </row>
    <row r="443" spans="9:22" x14ac:dyDescent="0.45">
      <c r="I443" t="s">
        <v>180</v>
      </c>
      <c r="J443" t="s">
        <v>371</v>
      </c>
      <c r="K443">
        <v>0</v>
      </c>
      <c r="L443" t="s">
        <v>168</v>
      </c>
      <c r="N443" t="s">
        <v>204</v>
      </c>
      <c r="O443" t="s">
        <v>371</v>
      </c>
      <c r="P443">
        <v>8.6863025776007375E-6</v>
      </c>
      <c r="Q443" t="s">
        <v>168</v>
      </c>
      <c r="S443" t="s">
        <v>223</v>
      </c>
      <c r="T443" t="s">
        <v>371</v>
      </c>
      <c r="U443">
        <v>5.0831382927424177E-6</v>
      </c>
      <c r="V443" t="s">
        <v>168</v>
      </c>
    </row>
    <row r="444" spans="9:22" x14ac:dyDescent="0.45">
      <c r="I444" t="s">
        <v>180</v>
      </c>
      <c r="J444" t="s">
        <v>372</v>
      </c>
      <c r="K444">
        <v>0</v>
      </c>
      <c r="L444" t="s">
        <v>168</v>
      </c>
      <c r="N444" t="s">
        <v>204</v>
      </c>
      <c r="O444" t="s">
        <v>372</v>
      </c>
      <c r="P444">
        <v>6.4029195644351737E-6</v>
      </c>
      <c r="Q444" t="s">
        <v>168</v>
      </c>
      <c r="S444" t="s">
        <v>223</v>
      </c>
      <c r="T444" t="s">
        <v>372</v>
      </c>
      <c r="U444">
        <v>4.4977042367745327E-6</v>
      </c>
      <c r="V444" t="s">
        <v>168</v>
      </c>
    </row>
    <row r="445" spans="9:22" x14ac:dyDescent="0.45">
      <c r="I445" t="s">
        <v>180</v>
      </c>
      <c r="J445" t="s">
        <v>373</v>
      </c>
      <c r="K445">
        <v>1.296650496920895E-4</v>
      </c>
      <c r="L445" t="s">
        <v>168</v>
      </c>
      <c r="N445" t="s">
        <v>204</v>
      </c>
      <c r="O445" t="s">
        <v>373</v>
      </c>
      <c r="P445">
        <v>5.8389319488489527E-6</v>
      </c>
      <c r="Q445" t="s">
        <v>168</v>
      </c>
      <c r="S445" t="s">
        <v>223</v>
      </c>
      <c r="T445" t="s">
        <v>373</v>
      </c>
      <c r="U445">
        <v>5.6857434439398506E-6</v>
      </c>
      <c r="V445" t="s">
        <v>168</v>
      </c>
    </row>
    <row r="446" spans="9:22" x14ac:dyDescent="0.45">
      <c r="I446" t="s">
        <v>180</v>
      </c>
      <c r="J446" t="s">
        <v>374</v>
      </c>
      <c r="K446">
        <v>2.3665348519899649E-4</v>
      </c>
      <c r="L446" t="s">
        <v>168</v>
      </c>
      <c r="N446" t="s">
        <v>204</v>
      </c>
      <c r="O446" t="s">
        <v>374</v>
      </c>
      <c r="P446">
        <v>4.766168623956398E-6</v>
      </c>
      <c r="Q446" t="s">
        <v>168</v>
      </c>
      <c r="S446" t="s">
        <v>223</v>
      </c>
      <c r="T446" t="s">
        <v>374</v>
      </c>
      <c r="U446">
        <v>6.5071090779359525E-6</v>
      </c>
      <c r="V446" t="s">
        <v>168</v>
      </c>
    </row>
    <row r="447" spans="9:22" x14ac:dyDescent="0.45">
      <c r="I447" t="s">
        <v>180</v>
      </c>
      <c r="J447" t="s">
        <v>375</v>
      </c>
      <c r="K447">
        <v>3.1668614208620939E-4</v>
      </c>
      <c r="L447" t="s">
        <v>168</v>
      </c>
      <c r="N447" t="s">
        <v>204</v>
      </c>
      <c r="O447" t="s">
        <v>375</v>
      </c>
      <c r="P447">
        <v>5.2437041585707921E-6</v>
      </c>
      <c r="Q447" t="s">
        <v>168</v>
      </c>
      <c r="S447" t="s">
        <v>223</v>
      </c>
      <c r="T447" t="s">
        <v>375</v>
      </c>
      <c r="U447">
        <v>7.1447211528899852E-6</v>
      </c>
      <c r="V447" t="s">
        <v>168</v>
      </c>
    </row>
    <row r="448" spans="9:22" x14ac:dyDescent="0.45">
      <c r="I448" t="s">
        <v>180</v>
      </c>
      <c r="J448" t="s">
        <v>376</v>
      </c>
      <c r="K448">
        <v>2.7326125736838042E-4</v>
      </c>
      <c r="L448" t="s">
        <v>168</v>
      </c>
      <c r="N448" t="s">
        <v>204</v>
      </c>
      <c r="O448" t="s">
        <v>376</v>
      </c>
      <c r="P448">
        <v>5.5559603055111545E-7</v>
      </c>
      <c r="Q448" t="s">
        <v>168</v>
      </c>
      <c r="S448" t="s">
        <v>223</v>
      </c>
      <c r="T448" t="s">
        <v>376</v>
      </c>
      <c r="U448">
        <v>4.1251721381242693E-6</v>
      </c>
      <c r="V448" t="s">
        <v>168</v>
      </c>
    </row>
    <row r="449" spans="9:22" x14ac:dyDescent="0.45">
      <c r="I449" t="s">
        <v>180</v>
      </c>
      <c r="J449" t="s">
        <v>377</v>
      </c>
      <c r="K449">
        <v>2.2459657652716488E-4</v>
      </c>
      <c r="L449" t="s">
        <v>168</v>
      </c>
      <c r="N449" t="s">
        <v>204</v>
      </c>
      <c r="O449" t="s">
        <v>377</v>
      </c>
      <c r="P449">
        <v>1.4224850873107788E-7</v>
      </c>
      <c r="Q449" t="s">
        <v>168</v>
      </c>
      <c r="S449" t="s">
        <v>223</v>
      </c>
      <c r="T449" t="s">
        <v>377</v>
      </c>
      <c r="U449">
        <v>5.036881720548208E-6</v>
      </c>
      <c r="V449" t="s">
        <v>168</v>
      </c>
    </row>
    <row r="450" spans="9:22" x14ac:dyDescent="0.45">
      <c r="I450" t="s">
        <v>180</v>
      </c>
      <c r="J450" t="s">
        <v>378</v>
      </c>
      <c r="K450">
        <v>2.982453340054279E-4</v>
      </c>
      <c r="L450" t="s">
        <v>168</v>
      </c>
      <c r="N450" t="s">
        <v>204</v>
      </c>
      <c r="O450" t="s">
        <v>378</v>
      </c>
      <c r="P450">
        <v>3.0340898740509759E-9</v>
      </c>
      <c r="Q450" t="s">
        <v>168</v>
      </c>
      <c r="S450" t="s">
        <v>223</v>
      </c>
      <c r="T450" t="s">
        <v>378</v>
      </c>
      <c r="U450">
        <v>6.8319471425399182E-6</v>
      </c>
      <c r="V450" t="s">
        <v>168</v>
      </c>
    </row>
    <row r="451" spans="9:22" x14ac:dyDescent="0.45">
      <c r="I451" t="s">
        <v>180</v>
      </c>
      <c r="J451" t="s">
        <v>379</v>
      </c>
      <c r="K451">
        <v>2.816376163860461E-4</v>
      </c>
      <c r="L451" t="s">
        <v>168</v>
      </c>
      <c r="N451" t="s">
        <v>204</v>
      </c>
      <c r="O451" t="s">
        <v>379</v>
      </c>
      <c r="P451">
        <v>4.1346405305050047E-8</v>
      </c>
      <c r="Q451" t="s">
        <v>168</v>
      </c>
      <c r="S451" t="s">
        <v>223</v>
      </c>
      <c r="T451" t="s">
        <v>379</v>
      </c>
      <c r="U451">
        <v>7.9008874944749752E-6</v>
      </c>
      <c r="V451" t="s">
        <v>168</v>
      </c>
    </row>
    <row r="452" spans="9:22" x14ac:dyDescent="0.45">
      <c r="I452" t="s">
        <v>180</v>
      </c>
      <c r="J452" t="s">
        <v>380</v>
      </c>
      <c r="K452">
        <v>1.6835621291916113E-4</v>
      </c>
      <c r="L452" t="s">
        <v>168</v>
      </c>
      <c r="N452" t="s">
        <v>204</v>
      </c>
      <c r="O452" t="s">
        <v>380</v>
      </c>
      <c r="P452">
        <v>1.9287639791017693E-8</v>
      </c>
      <c r="Q452" t="s">
        <v>168</v>
      </c>
      <c r="S452" t="s">
        <v>223</v>
      </c>
      <c r="T452" t="s">
        <v>380</v>
      </c>
      <c r="U452">
        <v>8.5234522383980186E-6</v>
      </c>
      <c r="V452" t="s">
        <v>168</v>
      </c>
    </row>
    <row r="453" spans="9:22" x14ac:dyDescent="0.45">
      <c r="I453" t="s">
        <v>180</v>
      </c>
      <c r="J453" t="s">
        <v>381</v>
      </c>
      <c r="K453">
        <v>0</v>
      </c>
      <c r="L453" t="s">
        <v>168</v>
      </c>
      <c r="N453" t="s">
        <v>204</v>
      </c>
      <c r="O453" t="s">
        <v>381</v>
      </c>
      <c r="P453">
        <v>3.1515387974902181E-8</v>
      </c>
      <c r="Q453" t="s">
        <v>168</v>
      </c>
      <c r="S453" t="s">
        <v>223</v>
      </c>
      <c r="T453" t="s">
        <v>381</v>
      </c>
      <c r="U453">
        <v>8.1003651203184082E-6</v>
      </c>
      <c r="V453" t="s">
        <v>168</v>
      </c>
    </row>
    <row r="454" spans="9:22" x14ac:dyDescent="0.45">
      <c r="I454" t="s">
        <v>180</v>
      </c>
      <c r="J454" t="s">
        <v>382</v>
      </c>
      <c r="K454">
        <v>0</v>
      </c>
      <c r="L454" t="s">
        <v>168</v>
      </c>
      <c r="N454" t="s">
        <v>204</v>
      </c>
      <c r="O454" t="s">
        <v>382</v>
      </c>
      <c r="P454">
        <v>3.0394607443711531E-8</v>
      </c>
      <c r="Q454" t="s">
        <v>168</v>
      </c>
      <c r="S454" t="s">
        <v>223</v>
      </c>
      <c r="T454" t="s">
        <v>382</v>
      </c>
      <c r="U454">
        <v>7.5153793661388185E-6</v>
      </c>
      <c r="V454" t="s">
        <v>168</v>
      </c>
    </row>
    <row r="455" spans="9:22" x14ac:dyDescent="0.45">
      <c r="I455" t="s">
        <v>180</v>
      </c>
      <c r="J455" t="s">
        <v>383</v>
      </c>
      <c r="K455">
        <v>0</v>
      </c>
      <c r="L455" t="s">
        <v>168</v>
      </c>
      <c r="N455" t="s">
        <v>204</v>
      </c>
      <c r="O455" t="s">
        <v>383</v>
      </c>
      <c r="P455">
        <v>4.660063054264004E-8</v>
      </c>
      <c r="Q455" t="s">
        <v>168</v>
      </c>
      <c r="S455" t="s">
        <v>223</v>
      </c>
      <c r="T455" t="s">
        <v>383</v>
      </c>
      <c r="U455">
        <v>6.8855514416228726E-6</v>
      </c>
      <c r="V455" t="s">
        <v>168</v>
      </c>
    </row>
    <row r="456" spans="9:22" x14ac:dyDescent="0.45">
      <c r="I456" t="s">
        <v>180</v>
      </c>
      <c r="J456" t="s">
        <v>384</v>
      </c>
      <c r="K456">
        <v>0</v>
      </c>
      <c r="L456" t="s">
        <v>168</v>
      </c>
      <c r="N456" t="s">
        <v>204</v>
      </c>
      <c r="O456" t="s">
        <v>384</v>
      </c>
      <c r="P456">
        <v>9.809608060362005E-8</v>
      </c>
      <c r="Q456" t="s">
        <v>168</v>
      </c>
      <c r="S456" t="s">
        <v>223</v>
      </c>
      <c r="T456" t="s">
        <v>384</v>
      </c>
      <c r="U456">
        <v>8.0780372865878488E-6</v>
      </c>
      <c r="V456" t="s">
        <v>168</v>
      </c>
    </row>
    <row r="457" spans="9:22" x14ac:dyDescent="0.45">
      <c r="I457" t="s">
        <v>180</v>
      </c>
      <c r="J457" t="s">
        <v>385</v>
      </c>
      <c r="K457">
        <v>0</v>
      </c>
      <c r="L457" t="s">
        <v>168</v>
      </c>
      <c r="N457" t="s">
        <v>204</v>
      </c>
      <c r="O457" t="s">
        <v>385</v>
      </c>
      <c r="P457">
        <v>1.7709398096211287E-7</v>
      </c>
      <c r="Q457" t="s">
        <v>168</v>
      </c>
      <c r="S457" t="s">
        <v>223</v>
      </c>
      <c r="T457" t="s">
        <v>385</v>
      </c>
      <c r="U457">
        <v>1.1807393136740963E-5</v>
      </c>
      <c r="V457" t="s">
        <v>168</v>
      </c>
    </row>
    <row r="458" spans="9:22" x14ac:dyDescent="0.45">
      <c r="I458" t="s">
        <v>180</v>
      </c>
      <c r="J458" t="s">
        <v>386</v>
      </c>
      <c r="K458">
        <v>0</v>
      </c>
      <c r="L458" t="s">
        <v>168</v>
      </c>
      <c r="N458" t="s">
        <v>204</v>
      </c>
      <c r="O458" t="s">
        <v>386</v>
      </c>
      <c r="P458">
        <v>3.0197317203719683E-7</v>
      </c>
      <c r="Q458" t="s">
        <v>168</v>
      </c>
      <c r="S458" t="s">
        <v>223</v>
      </c>
      <c r="T458" t="s">
        <v>386</v>
      </c>
      <c r="U458">
        <v>1.8963571355507795E-5</v>
      </c>
      <c r="V458" t="s">
        <v>168</v>
      </c>
    </row>
    <row r="459" spans="9:22" x14ac:dyDescent="0.45">
      <c r="I459" t="s">
        <v>180</v>
      </c>
      <c r="J459" t="s">
        <v>387</v>
      </c>
      <c r="K459">
        <v>0</v>
      </c>
      <c r="L459" t="s">
        <v>168</v>
      </c>
      <c r="N459" t="s">
        <v>204</v>
      </c>
      <c r="O459" t="s">
        <v>387</v>
      </c>
      <c r="P459">
        <v>9.9976330981781411E-8</v>
      </c>
      <c r="Q459" t="s">
        <v>168</v>
      </c>
      <c r="S459" t="s">
        <v>223</v>
      </c>
      <c r="T459" t="s">
        <v>387</v>
      </c>
      <c r="U459">
        <v>3.0396147459828841E-5</v>
      </c>
      <c r="V459" t="s">
        <v>168</v>
      </c>
    </row>
    <row r="460" spans="9:22" x14ac:dyDescent="0.45">
      <c r="I460" t="s">
        <v>180</v>
      </c>
      <c r="J460" t="s">
        <v>388</v>
      </c>
      <c r="K460">
        <v>0</v>
      </c>
      <c r="L460" t="s">
        <v>168</v>
      </c>
      <c r="N460" t="s">
        <v>204</v>
      </c>
      <c r="O460" t="s">
        <v>388</v>
      </c>
      <c r="P460">
        <v>5.6133521828946249E-7</v>
      </c>
      <c r="Q460" t="s">
        <v>168</v>
      </c>
      <c r="S460" t="s">
        <v>223</v>
      </c>
      <c r="T460" t="s">
        <v>388</v>
      </c>
      <c r="U460">
        <v>3.0696247246274126E-5</v>
      </c>
      <c r="V460" t="s">
        <v>168</v>
      </c>
    </row>
    <row r="461" spans="9:22" x14ac:dyDescent="0.45">
      <c r="I461" t="s">
        <v>181</v>
      </c>
      <c r="J461" t="s">
        <v>167</v>
      </c>
      <c r="K461">
        <v>1.3057475836023005E-3</v>
      </c>
      <c r="L461" t="s">
        <v>168</v>
      </c>
      <c r="N461" t="s">
        <v>205</v>
      </c>
      <c r="O461" t="s">
        <v>167</v>
      </c>
      <c r="P461">
        <v>5.702152492694295E-2</v>
      </c>
      <c r="Q461" t="s">
        <v>168</v>
      </c>
      <c r="S461" t="s">
        <v>224</v>
      </c>
      <c r="T461" t="s">
        <v>167</v>
      </c>
      <c r="U461">
        <v>7.4174175465549247E-2</v>
      </c>
      <c r="V461" t="s">
        <v>168</v>
      </c>
    </row>
    <row r="462" spans="9:22" x14ac:dyDescent="0.45">
      <c r="I462" t="s">
        <v>181</v>
      </c>
      <c r="J462" t="s">
        <v>169</v>
      </c>
      <c r="K462">
        <v>8.3001647698777263E-3</v>
      </c>
      <c r="L462" t="s">
        <v>168</v>
      </c>
      <c r="N462" t="s">
        <v>205</v>
      </c>
      <c r="O462" t="s">
        <v>169</v>
      </c>
      <c r="P462">
        <v>5.7485060458233256E-3</v>
      </c>
      <c r="Q462" t="s">
        <v>168</v>
      </c>
      <c r="S462" t="s">
        <v>224</v>
      </c>
      <c r="T462" t="s">
        <v>169</v>
      </c>
      <c r="U462">
        <v>9.6931263992165034E-3</v>
      </c>
      <c r="V462" t="s">
        <v>168</v>
      </c>
    </row>
    <row r="463" spans="9:22" x14ac:dyDescent="0.45">
      <c r="I463" t="s">
        <v>181</v>
      </c>
      <c r="J463" t="s">
        <v>170</v>
      </c>
      <c r="K463">
        <v>1.3255283834385692E-2</v>
      </c>
      <c r="L463" t="s">
        <v>168</v>
      </c>
      <c r="N463" t="s">
        <v>205</v>
      </c>
      <c r="O463" t="s">
        <v>170</v>
      </c>
      <c r="P463">
        <v>5.0444060974624456E-3</v>
      </c>
      <c r="Q463" t="s">
        <v>168</v>
      </c>
      <c r="S463" t="s">
        <v>224</v>
      </c>
      <c r="T463" t="s">
        <v>170</v>
      </c>
      <c r="U463">
        <v>9.8316798439719386E-3</v>
      </c>
      <c r="V463" t="s">
        <v>168</v>
      </c>
    </row>
    <row r="464" spans="9:22" x14ac:dyDescent="0.45">
      <c r="I464" t="s">
        <v>181</v>
      </c>
      <c r="J464" t="s">
        <v>256</v>
      </c>
      <c r="K464">
        <v>8.8619799480335729E-2</v>
      </c>
      <c r="L464" t="s">
        <v>168</v>
      </c>
      <c r="N464" t="s">
        <v>205</v>
      </c>
      <c r="O464" t="s">
        <v>256</v>
      </c>
      <c r="P464">
        <v>4.0795232076258188E-2</v>
      </c>
      <c r="Q464" t="s">
        <v>168</v>
      </c>
      <c r="S464" t="s">
        <v>224</v>
      </c>
      <c r="T464" t="s">
        <v>256</v>
      </c>
      <c r="U464">
        <v>6.1711153962727888E-2</v>
      </c>
      <c r="V464" t="s">
        <v>168</v>
      </c>
    </row>
    <row r="465" spans="9:22" x14ac:dyDescent="0.45">
      <c r="I465" t="s">
        <v>181</v>
      </c>
      <c r="J465" t="s">
        <v>257</v>
      </c>
      <c r="K465">
        <v>7.8780138406487794E-3</v>
      </c>
      <c r="L465" t="s">
        <v>168</v>
      </c>
      <c r="N465" t="s">
        <v>205</v>
      </c>
      <c r="O465" t="s">
        <v>257</v>
      </c>
      <c r="P465">
        <v>6.8011612539578886E-3</v>
      </c>
      <c r="Q465" t="s">
        <v>168</v>
      </c>
      <c r="S465" t="s">
        <v>224</v>
      </c>
      <c r="T465" t="s">
        <v>257</v>
      </c>
      <c r="U465">
        <v>1.056401051740511E-2</v>
      </c>
      <c r="V465" t="s">
        <v>168</v>
      </c>
    </row>
    <row r="466" spans="9:22" x14ac:dyDescent="0.45">
      <c r="I466" t="s">
        <v>181</v>
      </c>
      <c r="J466" t="s">
        <v>258</v>
      </c>
      <c r="K466">
        <v>1.884613541080854E-3</v>
      </c>
      <c r="L466" t="s">
        <v>168</v>
      </c>
      <c r="N466" t="s">
        <v>205</v>
      </c>
      <c r="O466" t="s">
        <v>258</v>
      </c>
      <c r="P466">
        <v>4.5587394896351358E-2</v>
      </c>
      <c r="Q466" t="s">
        <v>168</v>
      </c>
      <c r="S466" t="s">
        <v>224</v>
      </c>
      <c r="T466" t="s">
        <v>258</v>
      </c>
      <c r="U466">
        <v>7.0703052314375722E-2</v>
      </c>
      <c r="V466" t="s">
        <v>168</v>
      </c>
    </row>
    <row r="467" spans="9:22" x14ac:dyDescent="0.45">
      <c r="I467" t="s">
        <v>181</v>
      </c>
      <c r="J467" t="s">
        <v>171</v>
      </c>
      <c r="K467">
        <v>4.4739613445881503E-2</v>
      </c>
      <c r="L467" t="s">
        <v>168</v>
      </c>
      <c r="N467" t="s">
        <v>205</v>
      </c>
      <c r="O467" t="s">
        <v>171</v>
      </c>
      <c r="P467">
        <v>9.221026203925374E-2</v>
      </c>
      <c r="Q467" t="s">
        <v>168</v>
      </c>
      <c r="S467" t="s">
        <v>224</v>
      </c>
      <c r="T467" t="s">
        <v>171</v>
      </c>
      <c r="U467">
        <v>0.1264861006038546</v>
      </c>
      <c r="V467" t="s">
        <v>168</v>
      </c>
    </row>
    <row r="468" spans="9:22" x14ac:dyDescent="0.45">
      <c r="I468" t="s">
        <v>181</v>
      </c>
      <c r="J468" t="s">
        <v>172</v>
      </c>
      <c r="K468">
        <v>3.4027438151642581E-2</v>
      </c>
      <c r="L468" t="s">
        <v>168</v>
      </c>
      <c r="N468" t="s">
        <v>205</v>
      </c>
      <c r="O468" t="s">
        <v>172</v>
      </c>
      <c r="P468">
        <v>1.151771379332339E-2</v>
      </c>
      <c r="Q468" t="s">
        <v>168</v>
      </c>
      <c r="S468" t="s">
        <v>224</v>
      </c>
      <c r="T468" t="s">
        <v>172</v>
      </c>
      <c r="U468">
        <v>1.5747025181938896E-2</v>
      </c>
      <c r="V468" t="s">
        <v>168</v>
      </c>
    </row>
    <row r="469" spans="9:22" x14ac:dyDescent="0.45">
      <c r="I469" t="s">
        <v>181</v>
      </c>
      <c r="J469" t="s">
        <v>173</v>
      </c>
      <c r="K469">
        <v>3.9821232764429337E-2</v>
      </c>
      <c r="L469" t="s">
        <v>168</v>
      </c>
      <c r="N469" t="s">
        <v>205</v>
      </c>
      <c r="O469" t="s">
        <v>173</v>
      </c>
      <c r="P469">
        <v>1.4261670794386906E-2</v>
      </c>
      <c r="Q469" t="s">
        <v>168</v>
      </c>
      <c r="S469" t="s">
        <v>224</v>
      </c>
      <c r="T469" t="s">
        <v>173</v>
      </c>
      <c r="U469">
        <v>1.600929292937104E-2</v>
      </c>
      <c r="V469" t="s">
        <v>168</v>
      </c>
    </row>
    <row r="470" spans="9:22" x14ac:dyDescent="0.45">
      <c r="I470" t="s">
        <v>181</v>
      </c>
      <c r="J470" t="s">
        <v>259</v>
      </c>
      <c r="K470">
        <v>0.22539379159544493</v>
      </c>
      <c r="L470" t="s">
        <v>168</v>
      </c>
      <c r="N470" t="s">
        <v>205</v>
      </c>
      <c r="O470" t="s">
        <v>259</v>
      </c>
      <c r="P470">
        <v>0.1076406508656972</v>
      </c>
      <c r="Q470" t="s">
        <v>168</v>
      </c>
      <c r="S470" t="s">
        <v>224</v>
      </c>
      <c r="T470" t="s">
        <v>259</v>
      </c>
      <c r="U470">
        <v>0.10226322789886866</v>
      </c>
      <c r="V470" t="s">
        <v>168</v>
      </c>
    </row>
    <row r="471" spans="9:22" x14ac:dyDescent="0.45">
      <c r="I471" t="s">
        <v>181</v>
      </c>
      <c r="J471" t="s">
        <v>260</v>
      </c>
      <c r="K471">
        <v>2.4837174672881865E-2</v>
      </c>
      <c r="L471" t="s">
        <v>168</v>
      </c>
      <c r="N471" t="s">
        <v>205</v>
      </c>
      <c r="O471" t="s">
        <v>260</v>
      </c>
      <c r="P471">
        <v>1.8855761440752659E-2</v>
      </c>
      <c r="Q471" t="s">
        <v>168</v>
      </c>
      <c r="S471" t="s">
        <v>224</v>
      </c>
      <c r="T471" t="s">
        <v>260</v>
      </c>
      <c r="U471">
        <v>1.8277365635487472E-2</v>
      </c>
      <c r="V471" t="s">
        <v>168</v>
      </c>
    </row>
    <row r="472" spans="9:22" x14ac:dyDescent="0.45">
      <c r="I472" t="s">
        <v>181</v>
      </c>
      <c r="J472" t="s">
        <v>261</v>
      </c>
      <c r="K472">
        <v>3.0130168715578217E-2</v>
      </c>
      <c r="L472" t="s">
        <v>168</v>
      </c>
      <c r="N472" t="s">
        <v>205</v>
      </c>
      <c r="O472" t="s">
        <v>261</v>
      </c>
      <c r="P472">
        <v>9.2305791800348327E-2</v>
      </c>
      <c r="Q472" t="s">
        <v>168</v>
      </c>
      <c r="S472" t="s">
        <v>224</v>
      </c>
      <c r="T472" t="s">
        <v>261</v>
      </c>
      <c r="U472">
        <v>0.11545692198634545</v>
      </c>
      <c r="V472" t="s">
        <v>168</v>
      </c>
    </row>
    <row r="473" spans="9:22" x14ac:dyDescent="0.45">
      <c r="I473" t="s">
        <v>181</v>
      </c>
      <c r="J473" t="s">
        <v>174</v>
      </c>
      <c r="K473">
        <v>1.7341850609038732E-2</v>
      </c>
      <c r="L473" t="s">
        <v>168</v>
      </c>
      <c r="N473" t="s">
        <v>205</v>
      </c>
      <c r="O473" t="s">
        <v>174</v>
      </c>
      <c r="P473">
        <v>6.7595508019237596E-3</v>
      </c>
      <c r="Q473" t="s">
        <v>168</v>
      </c>
      <c r="S473" t="s">
        <v>224</v>
      </c>
      <c r="T473" t="s">
        <v>174</v>
      </c>
      <c r="U473">
        <v>5.2984981422625364E-3</v>
      </c>
      <c r="V473" t="s">
        <v>168</v>
      </c>
    </row>
    <row r="474" spans="9:22" x14ac:dyDescent="0.45">
      <c r="I474" t="s">
        <v>181</v>
      </c>
      <c r="J474" t="s">
        <v>175</v>
      </c>
      <c r="K474">
        <v>1.0419139760525407E-2</v>
      </c>
      <c r="L474" t="s">
        <v>168</v>
      </c>
      <c r="N474" t="s">
        <v>205</v>
      </c>
      <c r="O474" t="s">
        <v>175</v>
      </c>
      <c r="P474">
        <v>6.1935416208001002E-4</v>
      </c>
      <c r="Q474" t="s">
        <v>168</v>
      </c>
      <c r="S474" t="s">
        <v>224</v>
      </c>
      <c r="T474" t="s">
        <v>175</v>
      </c>
      <c r="U474">
        <v>5.9584955311753481E-4</v>
      </c>
      <c r="V474" t="s">
        <v>168</v>
      </c>
    </row>
    <row r="475" spans="9:22" x14ac:dyDescent="0.45">
      <c r="I475" t="s">
        <v>181</v>
      </c>
      <c r="J475" t="s">
        <v>176</v>
      </c>
      <c r="K475">
        <v>1.1343127529198494E-2</v>
      </c>
      <c r="L475" t="s">
        <v>168</v>
      </c>
      <c r="N475" t="s">
        <v>205</v>
      </c>
      <c r="O475" t="s">
        <v>176</v>
      </c>
      <c r="P475">
        <v>1.0234346600012136E-3</v>
      </c>
      <c r="Q475" t="s">
        <v>168</v>
      </c>
      <c r="S475" t="s">
        <v>224</v>
      </c>
      <c r="T475" t="s">
        <v>176</v>
      </c>
      <c r="U475">
        <v>5.8863685410888759E-4</v>
      </c>
      <c r="V475" t="s">
        <v>168</v>
      </c>
    </row>
    <row r="476" spans="9:22" x14ac:dyDescent="0.45">
      <c r="I476" t="s">
        <v>181</v>
      </c>
      <c r="J476" t="s">
        <v>262</v>
      </c>
      <c r="K476">
        <v>6.3196669917780224E-2</v>
      </c>
      <c r="L476" t="s">
        <v>168</v>
      </c>
      <c r="N476" t="s">
        <v>205</v>
      </c>
      <c r="O476" t="s">
        <v>262</v>
      </c>
      <c r="P476">
        <v>1.3029258503373787E-2</v>
      </c>
      <c r="Q476" t="s">
        <v>168</v>
      </c>
      <c r="S476" t="s">
        <v>224</v>
      </c>
      <c r="T476" t="s">
        <v>262</v>
      </c>
      <c r="U476">
        <v>6.6250022181818437E-3</v>
      </c>
      <c r="V476" t="s">
        <v>168</v>
      </c>
    </row>
    <row r="477" spans="9:22" x14ac:dyDescent="0.45">
      <c r="I477" t="s">
        <v>181</v>
      </c>
      <c r="J477" t="s">
        <v>263</v>
      </c>
      <c r="K477">
        <v>7.2814794340243646E-3</v>
      </c>
      <c r="L477" t="s">
        <v>168</v>
      </c>
      <c r="N477" t="s">
        <v>205</v>
      </c>
      <c r="O477" t="s">
        <v>263</v>
      </c>
      <c r="P477">
        <v>2.4409392404912112E-3</v>
      </c>
      <c r="Q477" t="s">
        <v>168</v>
      </c>
      <c r="S477" t="s">
        <v>224</v>
      </c>
      <c r="T477" t="s">
        <v>263</v>
      </c>
      <c r="U477">
        <v>1.4234251551094464E-3</v>
      </c>
      <c r="V477" t="s">
        <v>168</v>
      </c>
    </row>
    <row r="478" spans="9:22" x14ac:dyDescent="0.45">
      <c r="I478" t="s">
        <v>181</v>
      </c>
      <c r="J478" t="s">
        <v>264</v>
      </c>
      <c r="K478">
        <v>1.1864073586909238E-2</v>
      </c>
      <c r="L478" t="s">
        <v>168</v>
      </c>
      <c r="N478" t="s">
        <v>205</v>
      </c>
      <c r="O478" t="s">
        <v>264</v>
      </c>
      <c r="P478">
        <v>1.2040546753552624E-2</v>
      </c>
      <c r="Q478" t="s">
        <v>168</v>
      </c>
      <c r="S478" t="s">
        <v>224</v>
      </c>
      <c r="T478" t="s">
        <v>264</v>
      </c>
      <c r="U478">
        <v>5.9129428310810295E-3</v>
      </c>
      <c r="V478" t="s">
        <v>168</v>
      </c>
    </row>
    <row r="479" spans="9:22" x14ac:dyDescent="0.45">
      <c r="I479" t="s">
        <v>181</v>
      </c>
      <c r="J479" t="s">
        <v>265</v>
      </c>
      <c r="K479">
        <v>1.3583455647946264E-2</v>
      </c>
      <c r="L479" t="s">
        <v>168</v>
      </c>
      <c r="N479" t="s">
        <v>205</v>
      </c>
      <c r="O479" t="s">
        <v>265</v>
      </c>
      <c r="P479">
        <v>8.2897550319183874E-3</v>
      </c>
      <c r="Q479" t="s">
        <v>168</v>
      </c>
      <c r="S479" t="s">
        <v>224</v>
      </c>
      <c r="T479" t="s">
        <v>265</v>
      </c>
      <c r="U479">
        <v>8.0690607569084728E-3</v>
      </c>
      <c r="V479" t="s">
        <v>168</v>
      </c>
    </row>
    <row r="480" spans="9:22" x14ac:dyDescent="0.45">
      <c r="I480" t="s">
        <v>181</v>
      </c>
      <c r="J480" t="s">
        <v>266</v>
      </c>
      <c r="K480">
        <v>9.8757943059035753E-3</v>
      </c>
      <c r="L480" t="s">
        <v>168</v>
      </c>
      <c r="N480" t="s">
        <v>205</v>
      </c>
      <c r="O480" t="s">
        <v>266</v>
      </c>
      <c r="P480">
        <v>9.0134164677155911E-4</v>
      </c>
      <c r="Q480" t="s">
        <v>168</v>
      </c>
      <c r="S480" t="s">
        <v>224</v>
      </c>
      <c r="T480" t="s">
        <v>266</v>
      </c>
      <c r="U480">
        <v>9.177360702964613E-4</v>
      </c>
      <c r="V480" t="s">
        <v>168</v>
      </c>
    </row>
    <row r="481" spans="9:22" x14ac:dyDescent="0.45">
      <c r="I481" t="s">
        <v>181</v>
      </c>
      <c r="J481" t="s">
        <v>267</v>
      </c>
      <c r="K481">
        <v>1.1235659510017759E-2</v>
      </c>
      <c r="L481" t="s">
        <v>168</v>
      </c>
      <c r="N481" t="s">
        <v>205</v>
      </c>
      <c r="O481" t="s">
        <v>267</v>
      </c>
      <c r="P481">
        <v>1.7673249693502173E-3</v>
      </c>
      <c r="Q481" t="s">
        <v>168</v>
      </c>
      <c r="S481" t="s">
        <v>224</v>
      </c>
      <c r="T481" t="s">
        <v>267</v>
      </c>
      <c r="U481">
        <v>9.2084328351738391E-4</v>
      </c>
      <c r="V481" t="s">
        <v>168</v>
      </c>
    </row>
    <row r="482" spans="9:22" x14ac:dyDescent="0.45">
      <c r="I482" t="s">
        <v>181</v>
      </c>
      <c r="J482" t="s">
        <v>268</v>
      </c>
      <c r="K482">
        <v>6.391684928582296E-2</v>
      </c>
      <c r="L482" t="s">
        <v>168</v>
      </c>
      <c r="N482" t="s">
        <v>205</v>
      </c>
      <c r="O482" t="s">
        <v>268</v>
      </c>
      <c r="P482">
        <v>1.5306444545110293E-2</v>
      </c>
      <c r="Q482" t="s">
        <v>168</v>
      </c>
      <c r="S482" t="s">
        <v>224</v>
      </c>
      <c r="T482" t="s">
        <v>268</v>
      </c>
      <c r="U482">
        <v>8.6469094691140457E-3</v>
      </c>
      <c r="V482" t="s">
        <v>168</v>
      </c>
    </row>
    <row r="483" spans="9:22" x14ac:dyDescent="0.45">
      <c r="I483" t="s">
        <v>181</v>
      </c>
      <c r="J483" t="s">
        <v>269</v>
      </c>
      <c r="K483">
        <v>7.8077535318580487E-3</v>
      </c>
      <c r="L483" t="s">
        <v>168</v>
      </c>
      <c r="N483" t="s">
        <v>205</v>
      </c>
      <c r="O483" t="s">
        <v>269</v>
      </c>
      <c r="P483">
        <v>3.28050513855496E-3</v>
      </c>
      <c r="Q483" t="s">
        <v>168</v>
      </c>
      <c r="S483" t="s">
        <v>224</v>
      </c>
      <c r="T483" t="s">
        <v>269</v>
      </c>
      <c r="U483">
        <v>1.87128862232445E-3</v>
      </c>
      <c r="V483" t="s">
        <v>168</v>
      </c>
    </row>
    <row r="484" spans="9:22" x14ac:dyDescent="0.45">
      <c r="I484" t="s">
        <v>181</v>
      </c>
      <c r="J484" t="s">
        <v>270</v>
      </c>
      <c r="K484">
        <v>1.0197959647937564E-2</v>
      </c>
      <c r="L484" t="s">
        <v>168</v>
      </c>
      <c r="N484" t="s">
        <v>205</v>
      </c>
      <c r="O484" t="s">
        <v>270</v>
      </c>
      <c r="P484">
        <v>1.259117632287386E-2</v>
      </c>
      <c r="Q484" t="s">
        <v>168</v>
      </c>
      <c r="S484" t="s">
        <v>224</v>
      </c>
      <c r="T484" t="s">
        <v>270</v>
      </c>
      <c r="U484">
        <v>8.5386035643532903E-3</v>
      </c>
      <c r="V484" t="s">
        <v>168</v>
      </c>
    </row>
    <row r="485" spans="9:22" x14ac:dyDescent="0.45">
      <c r="I485" t="s">
        <v>181</v>
      </c>
      <c r="J485" t="s">
        <v>271</v>
      </c>
      <c r="K485">
        <v>8.4271597926573322E-3</v>
      </c>
      <c r="L485" t="s">
        <v>168</v>
      </c>
      <c r="N485" t="s">
        <v>205</v>
      </c>
      <c r="O485" t="s">
        <v>271</v>
      </c>
      <c r="P485">
        <v>2.3367314576816664E-2</v>
      </c>
      <c r="Q485" t="s">
        <v>168</v>
      </c>
      <c r="S485" t="s">
        <v>224</v>
      </c>
      <c r="T485" t="s">
        <v>271</v>
      </c>
      <c r="U485">
        <v>2.3727853676352703E-2</v>
      </c>
      <c r="V485" t="s">
        <v>168</v>
      </c>
    </row>
    <row r="486" spans="9:22" x14ac:dyDescent="0.45">
      <c r="I486" t="s">
        <v>181</v>
      </c>
      <c r="J486" t="s">
        <v>272</v>
      </c>
      <c r="K486">
        <v>8.3605454336146117E-3</v>
      </c>
      <c r="L486" t="s">
        <v>168</v>
      </c>
      <c r="N486" t="s">
        <v>205</v>
      </c>
      <c r="O486" t="s">
        <v>272</v>
      </c>
      <c r="P486">
        <v>1.6500025552608959E-3</v>
      </c>
      <c r="Q486" t="s">
        <v>168</v>
      </c>
      <c r="S486" t="s">
        <v>224</v>
      </c>
      <c r="T486" t="s">
        <v>272</v>
      </c>
      <c r="U486">
        <v>3.1847923229794588E-3</v>
      </c>
      <c r="V486" t="s">
        <v>168</v>
      </c>
    </row>
    <row r="487" spans="9:22" x14ac:dyDescent="0.45">
      <c r="I487" t="s">
        <v>181</v>
      </c>
      <c r="J487" t="s">
        <v>273</v>
      </c>
      <c r="K487">
        <v>9.9308087717668476E-3</v>
      </c>
      <c r="L487" t="s">
        <v>168</v>
      </c>
      <c r="N487" t="s">
        <v>205</v>
      </c>
      <c r="O487" t="s">
        <v>273</v>
      </c>
      <c r="P487">
        <v>1.5300927619629819E-3</v>
      </c>
      <c r="Q487" t="s">
        <v>168</v>
      </c>
      <c r="S487" t="s">
        <v>224</v>
      </c>
      <c r="T487" t="s">
        <v>273</v>
      </c>
      <c r="U487">
        <v>3.2485325981860586E-3</v>
      </c>
      <c r="V487" t="s">
        <v>168</v>
      </c>
    </row>
    <row r="488" spans="9:22" x14ac:dyDescent="0.45">
      <c r="I488" t="s">
        <v>181</v>
      </c>
      <c r="J488" t="s">
        <v>274</v>
      </c>
      <c r="K488">
        <v>5.442220403901319E-2</v>
      </c>
      <c r="L488" t="s">
        <v>168</v>
      </c>
      <c r="N488" t="s">
        <v>205</v>
      </c>
      <c r="O488" t="s">
        <v>274</v>
      </c>
      <c r="P488">
        <v>1.8641145137413051E-2</v>
      </c>
      <c r="Q488" t="s">
        <v>168</v>
      </c>
      <c r="S488" t="s">
        <v>224</v>
      </c>
      <c r="T488" t="s">
        <v>274</v>
      </c>
      <c r="U488">
        <v>2.0577122960527924E-2</v>
      </c>
      <c r="V488" t="s">
        <v>168</v>
      </c>
    </row>
    <row r="489" spans="9:22" x14ac:dyDescent="0.45">
      <c r="I489" t="s">
        <v>181</v>
      </c>
      <c r="J489" t="s">
        <v>275</v>
      </c>
      <c r="K489">
        <v>6.4599107133035925E-3</v>
      </c>
      <c r="L489" t="s">
        <v>168</v>
      </c>
      <c r="N489" t="s">
        <v>205</v>
      </c>
      <c r="O489" t="s">
        <v>275</v>
      </c>
      <c r="P489">
        <v>3.9899187315641169E-3</v>
      </c>
      <c r="Q489" t="s">
        <v>168</v>
      </c>
      <c r="S489" t="s">
        <v>224</v>
      </c>
      <c r="T489" t="s">
        <v>275</v>
      </c>
      <c r="U489">
        <v>3.2934503999206325E-3</v>
      </c>
      <c r="V489" t="s">
        <v>168</v>
      </c>
    </row>
    <row r="490" spans="9:22" x14ac:dyDescent="0.45">
      <c r="I490" t="s">
        <v>181</v>
      </c>
      <c r="J490" t="s">
        <v>276</v>
      </c>
      <c r="K490">
        <v>5.0215217205309502E-3</v>
      </c>
      <c r="L490" t="s">
        <v>168</v>
      </c>
      <c r="N490" t="s">
        <v>205</v>
      </c>
      <c r="O490" t="s">
        <v>276</v>
      </c>
      <c r="P490">
        <v>1.7318425042506642E-2</v>
      </c>
      <c r="Q490" t="s">
        <v>168</v>
      </c>
      <c r="S490" t="s">
        <v>224</v>
      </c>
      <c r="T490" t="s">
        <v>276</v>
      </c>
      <c r="U490">
        <v>2.0724317474306985E-2</v>
      </c>
      <c r="V490" t="s">
        <v>168</v>
      </c>
    </row>
    <row r="491" spans="9:22" x14ac:dyDescent="0.45">
      <c r="I491" t="s">
        <v>181</v>
      </c>
      <c r="J491" t="s">
        <v>341</v>
      </c>
      <c r="K491">
        <v>0</v>
      </c>
      <c r="L491" t="s">
        <v>168</v>
      </c>
      <c r="N491" t="s">
        <v>205</v>
      </c>
      <c r="O491" t="s">
        <v>341</v>
      </c>
      <c r="P491">
        <v>3.4398659846608762E-4</v>
      </c>
      <c r="Q491" t="s">
        <v>168</v>
      </c>
      <c r="S491" t="s">
        <v>224</v>
      </c>
      <c r="T491" t="s">
        <v>341</v>
      </c>
      <c r="U491">
        <v>0</v>
      </c>
      <c r="V491" t="s">
        <v>168</v>
      </c>
    </row>
    <row r="492" spans="9:22" x14ac:dyDescent="0.45">
      <c r="I492" t="s">
        <v>181</v>
      </c>
      <c r="J492" t="s">
        <v>342</v>
      </c>
      <c r="K492">
        <v>0</v>
      </c>
      <c r="L492" t="s">
        <v>168</v>
      </c>
      <c r="N492" t="s">
        <v>205</v>
      </c>
      <c r="O492" t="s">
        <v>342</v>
      </c>
      <c r="P492">
        <v>3.3284341284779126E-4</v>
      </c>
      <c r="Q492" t="s">
        <v>168</v>
      </c>
      <c r="S492" t="s">
        <v>224</v>
      </c>
      <c r="T492" t="s">
        <v>342</v>
      </c>
      <c r="U492">
        <v>0</v>
      </c>
      <c r="V492" t="s">
        <v>168</v>
      </c>
    </row>
    <row r="493" spans="9:22" x14ac:dyDescent="0.45">
      <c r="I493" t="s">
        <v>181</v>
      </c>
      <c r="J493" t="s">
        <v>343</v>
      </c>
      <c r="K493">
        <v>0</v>
      </c>
      <c r="L493" t="s">
        <v>168</v>
      </c>
      <c r="N493" t="s">
        <v>205</v>
      </c>
      <c r="O493" t="s">
        <v>343</v>
      </c>
      <c r="P493">
        <v>3.326214318429335E-4</v>
      </c>
      <c r="Q493" t="s">
        <v>168</v>
      </c>
      <c r="S493" t="s">
        <v>224</v>
      </c>
      <c r="T493" t="s">
        <v>343</v>
      </c>
      <c r="U493">
        <v>0</v>
      </c>
      <c r="V493" t="s">
        <v>168</v>
      </c>
    </row>
    <row r="494" spans="9:22" x14ac:dyDescent="0.45">
      <c r="I494" t="s">
        <v>181</v>
      </c>
      <c r="J494" t="s">
        <v>344</v>
      </c>
      <c r="K494">
        <v>0</v>
      </c>
      <c r="L494" t="s">
        <v>168</v>
      </c>
      <c r="N494" t="s">
        <v>205</v>
      </c>
      <c r="O494" t="s">
        <v>344</v>
      </c>
      <c r="P494">
        <v>2.9438560107936194E-4</v>
      </c>
      <c r="Q494" t="s">
        <v>168</v>
      </c>
      <c r="S494" t="s">
        <v>224</v>
      </c>
      <c r="T494" t="s">
        <v>344</v>
      </c>
      <c r="U494">
        <v>0</v>
      </c>
      <c r="V494" t="s">
        <v>168</v>
      </c>
    </row>
    <row r="495" spans="9:22" x14ac:dyDescent="0.45">
      <c r="I495" t="s">
        <v>181</v>
      </c>
      <c r="J495" t="s">
        <v>345</v>
      </c>
      <c r="K495">
        <v>0</v>
      </c>
      <c r="L495" t="s">
        <v>168</v>
      </c>
      <c r="N495" t="s">
        <v>205</v>
      </c>
      <c r="O495" t="s">
        <v>345</v>
      </c>
      <c r="P495">
        <v>2.2669370987598892E-4</v>
      </c>
      <c r="Q495" t="s">
        <v>168</v>
      </c>
      <c r="S495" t="s">
        <v>224</v>
      </c>
      <c r="T495" t="s">
        <v>345</v>
      </c>
      <c r="U495">
        <v>0</v>
      </c>
      <c r="V495" t="s">
        <v>168</v>
      </c>
    </row>
    <row r="496" spans="9:22" x14ac:dyDescent="0.45">
      <c r="I496" t="s">
        <v>181</v>
      </c>
      <c r="J496" t="s">
        <v>346</v>
      </c>
      <c r="K496">
        <v>0</v>
      </c>
      <c r="L496" t="s">
        <v>168</v>
      </c>
      <c r="N496" t="s">
        <v>205</v>
      </c>
      <c r="O496" t="s">
        <v>346</v>
      </c>
      <c r="P496">
        <v>1.8982815408482445E-4</v>
      </c>
      <c r="Q496" t="s">
        <v>168</v>
      </c>
      <c r="S496" t="s">
        <v>224</v>
      </c>
      <c r="T496" t="s">
        <v>346</v>
      </c>
      <c r="U496">
        <v>0</v>
      </c>
      <c r="V496" t="s">
        <v>168</v>
      </c>
    </row>
    <row r="497" spans="9:22" x14ac:dyDescent="0.45">
      <c r="I497" t="s">
        <v>181</v>
      </c>
      <c r="J497" t="s">
        <v>347</v>
      </c>
      <c r="K497">
        <v>9.7357861296314756E-5</v>
      </c>
      <c r="L497" t="s">
        <v>168</v>
      </c>
      <c r="N497" t="s">
        <v>205</v>
      </c>
      <c r="O497" t="s">
        <v>347</v>
      </c>
      <c r="P497">
        <v>1.5673309576424529E-4</v>
      </c>
      <c r="Q497" t="s">
        <v>168</v>
      </c>
      <c r="S497" t="s">
        <v>224</v>
      </c>
      <c r="T497" t="s">
        <v>347</v>
      </c>
      <c r="U497">
        <v>0</v>
      </c>
      <c r="V497" t="s">
        <v>168</v>
      </c>
    </row>
    <row r="498" spans="9:22" x14ac:dyDescent="0.45">
      <c r="I498" t="s">
        <v>181</v>
      </c>
      <c r="J498" t="s">
        <v>348</v>
      </c>
      <c r="K498">
        <v>1.344041548484696E-4</v>
      </c>
      <c r="L498" t="s">
        <v>168</v>
      </c>
      <c r="N498" t="s">
        <v>205</v>
      </c>
      <c r="O498" t="s">
        <v>348</v>
      </c>
      <c r="P498">
        <v>1.417822938619161E-4</v>
      </c>
      <c r="Q498" t="s">
        <v>168</v>
      </c>
      <c r="S498" t="s">
        <v>224</v>
      </c>
      <c r="T498" t="s">
        <v>348</v>
      </c>
      <c r="U498">
        <v>0</v>
      </c>
      <c r="V498" t="s">
        <v>168</v>
      </c>
    </row>
    <row r="499" spans="9:22" x14ac:dyDescent="0.45">
      <c r="I499" t="s">
        <v>181</v>
      </c>
      <c r="J499" t="s">
        <v>349</v>
      </c>
      <c r="K499">
        <v>2.388473881404378E-4</v>
      </c>
      <c r="L499" t="s">
        <v>168</v>
      </c>
      <c r="N499" t="s">
        <v>205</v>
      </c>
      <c r="O499" t="s">
        <v>349</v>
      </c>
      <c r="P499">
        <v>1.1375468631547329E-4</v>
      </c>
      <c r="Q499" t="s">
        <v>168</v>
      </c>
      <c r="S499" t="s">
        <v>224</v>
      </c>
      <c r="T499" t="s">
        <v>349</v>
      </c>
      <c r="U499">
        <v>0</v>
      </c>
      <c r="V499" t="s">
        <v>168</v>
      </c>
    </row>
    <row r="500" spans="9:22" x14ac:dyDescent="0.45">
      <c r="I500" t="s">
        <v>181</v>
      </c>
      <c r="J500" t="s">
        <v>350</v>
      </c>
      <c r="K500">
        <v>3.2195658290329186E-4</v>
      </c>
      <c r="L500" t="s">
        <v>168</v>
      </c>
      <c r="N500" t="s">
        <v>205</v>
      </c>
      <c r="O500" t="s">
        <v>350</v>
      </c>
      <c r="P500">
        <v>8.5036317317230641E-5</v>
      </c>
      <c r="Q500" t="s">
        <v>168</v>
      </c>
      <c r="S500" t="s">
        <v>224</v>
      </c>
      <c r="T500" t="s">
        <v>350</v>
      </c>
      <c r="U500">
        <v>0</v>
      </c>
      <c r="V500" t="s">
        <v>168</v>
      </c>
    </row>
    <row r="501" spans="9:22" x14ac:dyDescent="0.45">
      <c r="I501" t="s">
        <v>181</v>
      </c>
      <c r="J501" t="s">
        <v>351</v>
      </c>
      <c r="K501">
        <v>3.1248366362384854E-4</v>
      </c>
      <c r="L501" t="s">
        <v>168</v>
      </c>
      <c r="N501" t="s">
        <v>205</v>
      </c>
      <c r="O501" t="s">
        <v>351</v>
      </c>
      <c r="P501">
        <v>1.5340540675041261E-4</v>
      </c>
      <c r="Q501" t="s">
        <v>168</v>
      </c>
      <c r="S501" t="s">
        <v>224</v>
      </c>
      <c r="T501" t="s">
        <v>351</v>
      </c>
      <c r="U501">
        <v>0</v>
      </c>
      <c r="V501" t="s">
        <v>168</v>
      </c>
    </row>
    <row r="502" spans="9:22" x14ac:dyDescent="0.45">
      <c r="I502" t="s">
        <v>181</v>
      </c>
      <c r="J502" t="s">
        <v>352</v>
      </c>
      <c r="K502">
        <v>2.9234534109319081E-4</v>
      </c>
      <c r="L502" t="s">
        <v>168</v>
      </c>
      <c r="N502" t="s">
        <v>205</v>
      </c>
      <c r="O502" t="s">
        <v>352</v>
      </c>
      <c r="P502">
        <v>2.1204153123811193E-4</v>
      </c>
      <c r="Q502" t="s">
        <v>168</v>
      </c>
      <c r="S502" t="s">
        <v>224</v>
      </c>
      <c r="T502" t="s">
        <v>352</v>
      </c>
      <c r="U502">
        <v>0</v>
      </c>
      <c r="V502" t="s">
        <v>168</v>
      </c>
    </row>
    <row r="503" spans="9:22" x14ac:dyDescent="0.45">
      <c r="I503" t="s">
        <v>181</v>
      </c>
      <c r="J503" t="s">
        <v>353</v>
      </c>
      <c r="K503">
        <v>2.7361771629030472E-4</v>
      </c>
      <c r="L503" t="s">
        <v>168</v>
      </c>
      <c r="N503" t="s">
        <v>205</v>
      </c>
      <c r="O503" t="s">
        <v>353</v>
      </c>
      <c r="P503">
        <v>2.2355240029781919E-4</v>
      </c>
      <c r="Q503" t="s">
        <v>168</v>
      </c>
      <c r="S503" t="s">
        <v>224</v>
      </c>
      <c r="T503" t="s">
        <v>353</v>
      </c>
      <c r="U503">
        <v>1.357572067428394E-6</v>
      </c>
      <c r="V503" t="s">
        <v>168</v>
      </c>
    </row>
    <row r="504" spans="9:22" x14ac:dyDescent="0.45">
      <c r="I504" t="s">
        <v>181</v>
      </c>
      <c r="J504" t="s">
        <v>354</v>
      </c>
      <c r="K504">
        <v>2.5600236664127883E-4</v>
      </c>
      <c r="L504" t="s">
        <v>168</v>
      </c>
      <c r="N504" t="s">
        <v>205</v>
      </c>
      <c r="O504" t="s">
        <v>354</v>
      </c>
      <c r="P504">
        <v>2.3480584906478074E-4</v>
      </c>
      <c r="Q504" t="s">
        <v>168</v>
      </c>
      <c r="S504" t="s">
        <v>224</v>
      </c>
      <c r="T504" t="s">
        <v>354</v>
      </c>
      <c r="U504">
        <v>4.618637453607284E-6</v>
      </c>
      <c r="V504" t="s">
        <v>168</v>
      </c>
    </row>
    <row r="505" spans="9:22" x14ac:dyDescent="0.45">
      <c r="I505" t="s">
        <v>181</v>
      </c>
      <c r="J505" t="s">
        <v>355</v>
      </c>
      <c r="K505">
        <v>2.024637919573392E-4</v>
      </c>
      <c r="L505" t="s">
        <v>168</v>
      </c>
      <c r="N505" t="s">
        <v>205</v>
      </c>
      <c r="O505" t="s">
        <v>355</v>
      </c>
      <c r="P505">
        <v>2.425227016139633E-4</v>
      </c>
      <c r="Q505" t="s">
        <v>168</v>
      </c>
      <c r="S505" t="s">
        <v>224</v>
      </c>
      <c r="T505" t="s">
        <v>355</v>
      </c>
      <c r="U505">
        <v>1.3548195044190283E-5</v>
      </c>
      <c r="V505" t="s">
        <v>168</v>
      </c>
    </row>
    <row r="506" spans="9:22" x14ac:dyDescent="0.45">
      <c r="I506" t="s">
        <v>181</v>
      </c>
      <c r="J506" t="s">
        <v>356</v>
      </c>
      <c r="K506">
        <v>2.4520608229303717E-4</v>
      </c>
      <c r="L506" t="s">
        <v>168</v>
      </c>
      <c r="N506" t="s">
        <v>205</v>
      </c>
      <c r="O506" t="s">
        <v>356</v>
      </c>
      <c r="P506">
        <v>2.5393212539147439E-4</v>
      </c>
      <c r="Q506" t="s">
        <v>168</v>
      </c>
      <c r="S506" t="s">
        <v>224</v>
      </c>
      <c r="T506" t="s">
        <v>356</v>
      </c>
      <c r="U506">
        <v>2.2497603781801931E-5</v>
      </c>
      <c r="V506" t="s">
        <v>168</v>
      </c>
    </row>
    <row r="507" spans="9:22" x14ac:dyDescent="0.45">
      <c r="I507" t="s">
        <v>181</v>
      </c>
      <c r="J507" t="s">
        <v>357</v>
      </c>
      <c r="K507">
        <v>1.5427225573623259E-4</v>
      </c>
      <c r="L507" t="s">
        <v>168</v>
      </c>
      <c r="N507" t="s">
        <v>205</v>
      </c>
      <c r="O507" t="s">
        <v>357</v>
      </c>
      <c r="P507">
        <v>2.4245609961852708E-4</v>
      </c>
      <c r="Q507" t="s">
        <v>168</v>
      </c>
      <c r="S507" t="s">
        <v>224</v>
      </c>
      <c r="T507" t="s">
        <v>357</v>
      </c>
      <c r="U507">
        <v>2.2154527240850617E-5</v>
      </c>
      <c r="V507" t="s">
        <v>168</v>
      </c>
    </row>
    <row r="508" spans="9:22" x14ac:dyDescent="0.45">
      <c r="I508" t="s">
        <v>181</v>
      </c>
      <c r="J508" t="s">
        <v>358</v>
      </c>
      <c r="K508">
        <v>1.2442700002889551E-4</v>
      </c>
      <c r="L508" t="s">
        <v>168</v>
      </c>
      <c r="N508" t="s">
        <v>205</v>
      </c>
      <c r="O508" t="s">
        <v>358</v>
      </c>
      <c r="P508">
        <v>2.3415302335474529E-4</v>
      </c>
      <c r="Q508" t="s">
        <v>168</v>
      </c>
      <c r="S508" t="s">
        <v>224</v>
      </c>
      <c r="T508" t="s">
        <v>358</v>
      </c>
      <c r="U508">
        <v>1.804415001397257E-5</v>
      </c>
      <c r="V508" t="s">
        <v>168</v>
      </c>
    </row>
    <row r="509" spans="9:22" x14ac:dyDescent="0.45">
      <c r="I509" t="s">
        <v>181</v>
      </c>
      <c r="J509" t="s">
        <v>359</v>
      </c>
      <c r="K509">
        <v>0</v>
      </c>
      <c r="L509" t="s">
        <v>168</v>
      </c>
      <c r="N509" t="s">
        <v>205</v>
      </c>
      <c r="O509" t="s">
        <v>359</v>
      </c>
      <c r="P509">
        <v>2.331453660146575E-4</v>
      </c>
      <c r="Q509" t="s">
        <v>168</v>
      </c>
      <c r="S509" t="s">
        <v>224</v>
      </c>
      <c r="T509" t="s">
        <v>359</v>
      </c>
      <c r="U509">
        <v>1.5406541396329607E-5</v>
      </c>
      <c r="V509" t="s">
        <v>168</v>
      </c>
    </row>
    <row r="510" spans="9:22" x14ac:dyDescent="0.45">
      <c r="I510" t="s">
        <v>181</v>
      </c>
      <c r="J510" t="s">
        <v>360</v>
      </c>
      <c r="K510">
        <v>0</v>
      </c>
      <c r="L510" t="s">
        <v>168</v>
      </c>
      <c r="N510" t="s">
        <v>205</v>
      </c>
      <c r="O510" t="s">
        <v>360</v>
      </c>
      <c r="P510">
        <v>1.7044241059258785E-4</v>
      </c>
      <c r="Q510" t="s">
        <v>168</v>
      </c>
      <c r="S510" t="s">
        <v>224</v>
      </c>
      <c r="T510" t="s">
        <v>360</v>
      </c>
      <c r="U510">
        <v>1.6052248963494824E-5</v>
      </c>
      <c r="V510" t="s">
        <v>168</v>
      </c>
    </row>
    <row r="511" spans="9:22" x14ac:dyDescent="0.45">
      <c r="I511" t="s">
        <v>181</v>
      </c>
      <c r="J511" t="s">
        <v>361</v>
      </c>
      <c r="K511">
        <v>0</v>
      </c>
      <c r="L511" t="s">
        <v>168</v>
      </c>
      <c r="N511" t="s">
        <v>205</v>
      </c>
      <c r="O511" t="s">
        <v>361</v>
      </c>
      <c r="P511">
        <v>1.6158024641359955E-4</v>
      </c>
      <c r="Q511" t="s">
        <v>168</v>
      </c>
      <c r="S511" t="s">
        <v>224</v>
      </c>
      <c r="T511" t="s">
        <v>361</v>
      </c>
      <c r="U511">
        <v>1.4397406397076506E-5</v>
      </c>
      <c r="V511" t="s">
        <v>168</v>
      </c>
    </row>
    <row r="512" spans="9:22" x14ac:dyDescent="0.45">
      <c r="I512" t="s">
        <v>181</v>
      </c>
      <c r="J512" t="s">
        <v>362</v>
      </c>
      <c r="K512">
        <v>0</v>
      </c>
      <c r="L512" t="s">
        <v>168</v>
      </c>
      <c r="N512" t="s">
        <v>205</v>
      </c>
      <c r="O512" t="s">
        <v>362</v>
      </c>
      <c r="P512">
        <v>1.5257043487743014E-4</v>
      </c>
      <c r="Q512" t="s">
        <v>168</v>
      </c>
      <c r="S512" t="s">
        <v>224</v>
      </c>
      <c r="T512" t="s">
        <v>362</v>
      </c>
      <c r="U512">
        <v>1.042747724497967E-5</v>
      </c>
      <c r="V512" t="s">
        <v>168</v>
      </c>
    </row>
    <row r="513" spans="9:22" x14ac:dyDescent="0.45">
      <c r="I513" t="s">
        <v>181</v>
      </c>
      <c r="J513" t="s">
        <v>363</v>
      </c>
      <c r="K513">
        <v>0</v>
      </c>
      <c r="L513" t="s">
        <v>168</v>
      </c>
      <c r="N513" t="s">
        <v>205</v>
      </c>
      <c r="O513" t="s">
        <v>363</v>
      </c>
      <c r="P513">
        <v>1.5845841480837839E-4</v>
      </c>
      <c r="Q513" t="s">
        <v>168</v>
      </c>
      <c r="S513" t="s">
        <v>224</v>
      </c>
      <c r="T513" t="s">
        <v>363</v>
      </c>
      <c r="U513">
        <v>6.1404789706955975E-6</v>
      </c>
      <c r="V513" t="s">
        <v>168</v>
      </c>
    </row>
    <row r="514" spans="9:22" x14ac:dyDescent="0.45">
      <c r="I514" t="s">
        <v>181</v>
      </c>
      <c r="J514" t="s">
        <v>364</v>
      </c>
      <c r="K514">
        <v>0</v>
      </c>
      <c r="L514" t="s">
        <v>168</v>
      </c>
      <c r="N514" t="s">
        <v>205</v>
      </c>
      <c r="O514" t="s">
        <v>364</v>
      </c>
      <c r="P514">
        <v>1.3049369920474144E-4</v>
      </c>
      <c r="Q514" t="s">
        <v>168</v>
      </c>
      <c r="S514" t="s">
        <v>224</v>
      </c>
      <c r="T514" t="s">
        <v>364</v>
      </c>
      <c r="U514">
        <v>5.3498289774385619E-6</v>
      </c>
      <c r="V514" t="s">
        <v>168</v>
      </c>
    </row>
    <row r="515" spans="9:22" x14ac:dyDescent="0.45">
      <c r="I515" t="s">
        <v>181</v>
      </c>
      <c r="J515" t="s">
        <v>277</v>
      </c>
      <c r="K515">
        <v>3.1386107308001396E-3</v>
      </c>
      <c r="L515" t="s">
        <v>168</v>
      </c>
      <c r="N515" t="s">
        <v>205</v>
      </c>
      <c r="O515" t="s">
        <v>277</v>
      </c>
      <c r="P515">
        <v>7.4593468966676846E-2</v>
      </c>
      <c r="Q515" t="s">
        <v>168</v>
      </c>
      <c r="S515" t="s">
        <v>224</v>
      </c>
      <c r="T515" t="s">
        <v>277</v>
      </c>
      <c r="U515">
        <v>6.3520758660670862E-2</v>
      </c>
      <c r="V515" t="s">
        <v>168</v>
      </c>
    </row>
    <row r="516" spans="9:22" x14ac:dyDescent="0.45">
      <c r="I516" t="s">
        <v>181</v>
      </c>
      <c r="J516" t="s">
        <v>278</v>
      </c>
      <c r="K516">
        <v>7.3552335729081125E-3</v>
      </c>
      <c r="L516" t="s">
        <v>168</v>
      </c>
      <c r="N516" t="s">
        <v>205</v>
      </c>
      <c r="O516" t="s">
        <v>278</v>
      </c>
      <c r="P516">
        <v>8.9375222471152205E-3</v>
      </c>
      <c r="Q516" t="s">
        <v>168</v>
      </c>
      <c r="S516" t="s">
        <v>224</v>
      </c>
      <c r="T516" t="s">
        <v>278</v>
      </c>
      <c r="U516">
        <v>7.5850850728350142E-3</v>
      </c>
      <c r="V516" t="s">
        <v>168</v>
      </c>
    </row>
    <row r="517" spans="9:22" x14ac:dyDescent="0.45">
      <c r="I517" t="s">
        <v>181</v>
      </c>
      <c r="J517" t="s">
        <v>279</v>
      </c>
      <c r="K517">
        <v>1.0555349221795959E-2</v>
      </c>
      <c r="L517" t="s">
        <v>168</v>
      </c>
      <c r="N517" t="s">
        <v>205</v>
      </c>
      <c r="O517" t="s">
        <v>279</v>
      </c>
      <c r="P517">
        <v>8.5207810989005595E-3</v>
      </c>
      <c r="Q517" t="s">
        <v>168</v>
      </c>
      <c r="S517" t="s">
        <v>224</v>
      </c>
      <c r="T517" t="s">
        <v>279</v>
      </c>
      <c r="U517">
        <v>7.5808322667774656E-3</v>
      </c>
      <c r="V517" t="s">
        <v>168</v>
      </c>
    </row>
    <row r="518" spans="9:22" x14ac:dyDescent="0.45">
      <c r="I518" t="s">
        <v>181</v>
      </c>
      <c r="J518" t="s">
        <v>280</v>
      </c>
      <c r="K518">
        <v>7.070993407745832E-2</v>
      </c>
      <c r="L518" t="s">
        <v>168</v>
      </c>
      <c r="N518" t="s">
        <v>205</v>
      </c>
      <c r="O518" t="s">
        <v>280</v>
      </c>
      <c r="P518">
        <v>7.2371378886602347E-2</v>
      </c>
      <c r="Q518" t="s">
        <v>168</v>
      </c>
      <c r="S518" t="s">
        <v>224</v>
      </c>
      <c r="T518" t="s">
        <v>280</v>
      </c>
      <c r="U518">
        <v>4.5574815869916185E-2</v>
      </c>
      <c r="V518" t="s">
        <v>168</v>
      </c>
    </row>
    <row r="519" spans="9:22" x14ac:dyDescent="0.45">
      <c r="I519" t="s">
        <v>181</v>
      </c>
      <c r="J519" t="s">
        <v>281</v>
      </c>
      <c r="K519">
        <v>4.9794458751762291E-3</v>
      </c>
      <c r="L519" t="s">
        <v>168</v>
      </c>
      <c r="N519" t="s">
        <v>205</v>
      </c>
      <c r="O519" t="s">
        <v>281</v>
      </c>
      <c r="P519">
        <v>1.2190997673847726E-2</v>
      </c>
      <c r="Q519" t="s">
        <v>168</v>
      </c>
      <c r="S519" t="s">
        <v>224</v>
      </c>
      <c r="T519" t="s">
        <v>281</v>
      </c>
      <c r="U519">
        <v>7.5217416932454951E-3</v>
      </c>
      <c r="V519" t="s">
        <v>168</v>
      </c>
    </row>
    <row r="520" spans="9:22" x14ac:dyDescent="0.45">
      <c r="I520" t="s">
        <v>181</v>
      </c>
      <c r="J520" t="s">
        <v>282</v>
      </c>
      <c r="K520">
        <v>4.3865733917494677E-4</v>
      </c>
      <c r="L520" t="s">
        <v>168</v>
      </c>
      <c r="N520" t="s">
        <v>205</v>
      </c>
      <c r="O520" t="s">
        <v>282</v>
      </c>
      <c r="P520">
        <v>7.5484870234769269E-2</v>
      </c>
      <c r="Q520" t="s">
        <v>168</v>
      </c>
      <c r="S520" t="s">
        <v>224</v>
      </c>
      <c r="T520" t="s">
        <v>282</v>
      </c>
      <c r="U520">
        <v>5.3071579807916373E-2</v>
      </c>
      <c r="V520" t="s">
        <v>168</v>
      </c>
    </row>
    <row r="521" spans="9:22" x14ac:dyDescent="0.45">
      <c r="I521" t="s">
        <v>181</v>
      </c>
      <c r="J521" t="s">
        <v>283</v>
      </c>
      <c r="K521">
        <v>0</v>
      </c>
      <c r="L521" t="s">
        <v>168</v>
      </c>
      <c r="N521" t="s">
        <v>205</v>
      </c>
      <c r="O521" t="s">
        <v>283</v>
      </c>
      <c r="P521">
        <v>3.5559881724146369E-2</v>
      </c>
      <c r="Q521" t="s">
        <v>168</v>
      </c>
      <c r="S521" t="s">
        <v>224</v>
      </c>
      <c r="T521" t="s">
        <v>283</v>
      </c>
      <c r="U521">
        <v>1.8879658982274231E-2</v>
      </c>
      <c r="V521" t="s">
        <v>168</v>
      </c>
    </row>
    <row r="522" spans="9:22" x14ac:dyDescent="0.45">
      <c r="I522" t="s">
        <v>181</v>
      </c>
      <c r="J522" t="s">
        <v>284</v>
      </c>
      <c r="K522">
        <v>3.6695980116710812E-3</v>
      </c>
      <c r="L522" t="s">
        <v>168</v>
      </c>
      <c r="N522" t="s">
        <v>205</v>
      </c>
      <c r="O522" t="s">
        <v>284</v>
      </c>
      <c r="P522">
        <v>5.2868713922161505E-3</v>
      </c>
      <c r="Q522" t="s">
        <v>168</v>
      </c>
      <c r="S522" t="s">
        <v>224</v>
      </c>
      <c r="T522" t="s">
        <v>284</v>
      </c>
      <c r="U522">
        <v>2.4672438382383863E-3</v>
      </c>
      <c r="V522" t="s">
        <v>168</v>
      </c>
    </row>
    <row r="523" spans="9:22" x14ac:dyDescent="0.45">
      <c r="I523" t="s">
        <v>181</v>
      </c>
      <c r="J523" t="s">
        <v>285</v>
      </c>
      <c r="K523">
        <v>5.7749663914384783E-3</v>
      </c>
      <c r="L523" t="s">
        <v>168</v>
      </c>
      <c r="N523" t="s">
        <v>205</v>
      </c>
      <c r="O523" t="s">
        <v>285</v>
      </c>
      <c r="P523">
        <v>5.1533664201595906E-3</v>
      </c>
      <c r="Q523" t="s">
        <v>168</v>
      </c>
      <c r="S523" t="s">
        <v>224</v>
      </c>
      <c r="T523" t="s">
        <v>285</v>
      </c>
      <c r="U523">
        <v>2.5566240118738474E-3</v>
      </c>
      <c r="V523" t="s">
        <v>168</v>
      </c>
    </row>
    <row r="524" spans="9:22" x14ac:dyDescent="0.45">
      <c r="I524" t="s">
        <v>181</v>
      </c>
      <c r="J524" t="s">
        <v>286</v>
      </c>
      <c r="K524">
        <v>3.8283606133789241E-2</v>
      </c>
      <c r="L524" t="s">
        <v>168</v>
      </c>
      <c r="N524" t="s">
        <v>205</v>
      </c>
      <c r="O524" t="s">
        <v>286</v>
      </c>
      <c r="P524">
        <v>2.6463378089632086E-2</v>
      </c>
      <c r="Q524" t="s">
        <v>168</v>
      </c>
      <c r="S524" t="s">
        <v>224</v>
      </c>
      <c r="T524" t="s">
        <v>286</v>
      </c>
      <c r="U524">
        <v>1.5571695946650197E-2</v>
      </c>
      <c r="V524" t="s">
        <v>168</v>
      </c>
    </row>
    <row r="525" spans="9:22" x14ac:dyDescent="0.45">
      <c r="I525" t="s">
        <v>181</v>
      </c>
      <c r="J525" t="s">
        <v>287</v>
      </c>
      <c r="K525">
        <v>3.3324354010982708E-4</v>
      </c>
      <c r="L525" t="s">
        <v>168</v>
      </c>
      <c r="N525" t="s">
        <v>205</v>
      </c>
      <c r="O525" t="s">
        <v>287</v>
      </c>
      <c r="P525">
        <v>3.6272352624518119E-3</v>
      </c>
      <c r="Q525" t="s">
        <v>168</v>
      </c>
      <c r="S525" t="s">
        <v>224</v>
      </c>
      <c r="T525" t="s">
        <v>287</v>
      </c>
      <c r="U525">
        <v>2.6388984697987288E-3</v>
      </c>
      <c r="V525" t="s">
        <v>168</v>
      </c>
    </row>
    <row r="526" spans="9:22" x14ac:dyDescent="0.45">
      <c r="I526" t="s">
        <v>181</v>
      </c>
      <c r="J526" t="s">
        <v>288</v>
      </c>
      <c r="K526">
        <v>0</v>
      </c>
      <c r="L526" t="s">
        <v>168</v>
      </c>
      <c r="N526" t="s">
        <v>205</v>
      </c>
      <c r="O526" t="s">
        <v>288</v>
      </c>
      <c r="P526">
        <v>2.4362254899052815E-2</v>
      </c>
      <c r="Q526" t="s">
        <v>168</v>
      </c>
      <c r="S526" t="s">
        <v>224</v>
      </c>
      <c r="T526" t="s">
        <v>288</v>
      </c>
      <c r="U526">
        <v>1.7796981364847489E-2</v>
      </c>
      <c r="V526" t="s">
        <v>168</v>
      </c>
    </row>
    <row r="527" spans="9:22" x14ac:dyDescent="0.45">
      <c r="I527" t="s">
        <v>181</v>
      </c>
      <c r="J527" t="s">
        <v>365</v>
      </c>
      <c r="K527">
        <v>0</v>
      </c>
      <c r="L527" t="s">
        <v>168</v>
      </c>
      <c r="N527" t="s">
        <v>205</v>
      </c>
      <c r="O527" t="s">
        <v>365</v>
      </c>
      <c r="P527">
        <v>0</v>
      </c>
      <c r="Q527" t="s">
        <v>168</v>
      </c>
      <c r="S527" t="s">
        <v>224</v>
      </c>
      <c r="T527" t="s">
        <v>365</v>
      </c>
      <c r="U527">
        <v>1.668270971357695E-6</v>
      </c>
      <c r="V527" t="s">
        <v>168</v>
      </c>
    </row>
    <row r="528" spans="9:22" x14ac:dyDescent="0.45">
      <c r="I528" t="s">
        <v>181</v>
      </c>
      <c r="J528" t="s">
        <v>366</v>
      </c>
      <c r="K528">
        <v>0</v>
      </c>
      <c r="L528" t="s">
        <v>168</v>
      </c>
      <c r="N528" t="s">
        <v>205</v>
      </c>
      <c r="O528" t="s">
        <v>366</v>
      </c>
      <c r="P528">
        <v>4.3469909358487306E-7</v>
      </c>
      <c r="Q528" t="s">
        <v>168</v>
      </c>
      <c r="S528" t="s">
        <v>224</v>
      </c>
      <c r="T528" t="s">
        <v>366</v>
      </c>
      <c r="U528">
        <v>1.8896818297849802E-7</v>
      </c>
      <c r="V528" t="s">
        <v>168</v>
      </c>
    </row>
    <row r="529" spans="9:22" x14ac:dyDescent="0.45">
      <c r="I529" t="s">
        <v>181</v>
      </c>
      <c r="J529" t="s">
        <v>367</v>
      </c>
      <c r="K529">
        <v>0</v>
      </c>
      <c r="L529" t="s">
        <v>168</v>
      </c>
      <c r="N529" t="s">
        <v>205</v>
      </c>
      <c r="O529" t="s">
        <v>367</v>
      </c>
      <c r="P529">
        <v>9.9966112905194627E-7</v>
      </c>
      <c r="Q529" t="s">
        <v>168</v>
      </c>
      <c r="S529" t="s">
        <v>224</v>
      </c>
      <c r="T529" t="s">
        <v>367</v>
      </c>
      <c r="U529">
        <v>1.1311666909182873E-7</v>
      </c>
      <c r="V529" t="s">
        <v>168</v>
      </c>
    </row>
    <row r="530" spans="9:22" x14ac:dyDescent="0.45">
      <c r="I530" t="s">
        <v>181</v>
      </c>
      <c r="J530" t="s">
        <v>368</v>
      </c>
      <c r="K530">
        <v>0</v>
      </c>
      <c r="L530" t="s">
        <v>168</v>
      </c>
      <c r="N530" t="s">
        <v>205</v>
      </c>
      <c r="O530" t="s">
        <v>368</v>
      </c>
      <c r="P530">
        <v>9.3729116546716772E-7</v>
      </c>
      <c r="Q530" t="s">
        <v>168</v>
      </c>
      <c r="S530" t="s">
        <v>224</v>
      </c>
      <c r="T530" t="s">
        <v>368</v>
      </c>
      <c r="U530">
        <v>1.2029981870229795E-7</v>
      </c>
      <c r="V530" t="s">
        <v>168</v>
      </c>
    </row>
    <row r="531" spans="9:22" x14ac:dyDescent="0.45">
      <c r="I531" t="s">
        <v>181</v>
      </c>
      <c r="J531" t="s">
        <v>369</v>
      </c>
      <c r="K531">
        <v>0</v>
      </c>
      <c r="L531" t="s">
        <v>168</v>
      </c>
      <c r="N531" t="s">
        <v>205</v>
      </c>
      <c r="O531" t="s">
        <v>369</v>
      </c>
      <c r="P531">
        <v>9.6603189882083743E-7</v>
      </c>
      <c r="Q531" t="s">
        <v>168</v>
      </c>
      <c r="S531" t="s">
        <v>224</v>
      </c>
      <c r="T531" t="s">
        <v>369</v>
      </c>
      <c r="U531">
        <v>0</v>
      </c>
      <c r="V531" t="s">
        <v>168</v>
      </c>
    </row>
    <row r="532" spans="9:22" x14ac:dyDescent="0.45">
      <c r="I532" t="s">
        <v>181</v>
      </c>
      <c r="J532" t="s">
        <v>370</v>
      </c>
      <c r="K532">
        <v>0</v>
      </c>
      <c r="L532" t="s">
        <v>168</v>
      </c>
      <c r="N532" t="s">
        <v>205</v>
      </c>
      <c r="O532" t="s">
        <v>370</v>
      </c>
      <c r="P532">
        <v>8.7799635739491357E-7</v>
      </c>
      <c r="Q532" t="s">
        <v>168</v>
      </c>
      <c r="S532" t="s">
        <v>224</v>
      </c>
      <c r="T532" t="s">
        <v>370</v>
      </c>
      <c r="U532">
        <v>0</v>
      </c>
      <c r="V532" t="s">
        <v>168</v>
      </c>
    </row>
    <row r="533" spans="9:22" x14ac:dyDescent="0.45">
      <c r="I533" t="s">
        <v>181</v>
      </c>
      <c r="J533" t="s">
        <v>371</v>
      </c>
      <c r="K533">
        <v>0</v>
      </c>
      <c r="L533" t="s">
        <v>168</v>
      </c>
      <c r="N533" t="s">
        <v>205</v>
      </c>
      <c r="O533" t="s">
        <v>371</v>
      </c>
      <c r="P533">
        <v>1.1640357083960084E-6</v>
      </c>
      <c r="Q533" t="s">
        <v>168</v>
      </c>
      <c r="S533" t="s">
        <v>224</v>
      </c>
      <c r="T533" t="s">
        <v>371</v>
      </c>
      <c r="U533">
        <v>0</v>
      </c>
      <c r="V533" t="s">
        <v>168</v>
      </c>
    </row>
    <row r="534" spans="9:22" x14ac:dyDescent="0.45">
      <c r="I534" t="s">
        <v>181</v>
      </c>
      <c r="J534" t="s">
        <v>372</v>
      </c>
      <c r="K534">
        <v>0</v>
      </c>
      <c r="L534" t="s">
        <v>168</v>
      </c>
      <c r="N534" t="s">
        <v>205</v>
      </c>
      <c r="O534" t="s">
        <v>372</v>
      </c>
      <c r="P534">
        <v>1.5517075260457623E-6</v>
      </c>
      <c r="Q534" t="s">
        <v>168</v>
      </c>
      <c r="S534" t="s">
        <v>224</v>
      </c>
      <c r="T534" t="s">
        <v>372</v>
      </c>
      <c r="U534">
        <v>0</v>
      </c>
      <c r="V534" t="s">
        <v>168</v>
      </c>
    </row>
    <row r="535" spans="9:22" x14ac:dyDescent="0.45">
      <c r="I535" t="s">
        <v>181</v>
      </c>
      <c r="J535" t="s">
        <v>373</v>
      </c>
      <c r="K535">
        <v>8.4238849556535217E-5</v>
      </c>
      <c r="L535" t="s">
        <v>168</v>
      </c>
      <c r="N535" t="s">
        <v>205</v>
      </c>
      <c r="O535" t="s">
        <v>373</v>
      </c>
      <c r="P535">
        <v>1.7450276765318683E-6</v>
      </c>
      <c r="Q535" t="s">
        <v>168</v>
      </c>
      <c r="S535" t="s">
        <v>224</v>
      </c>
      <c r="T535" t="s">
        <v>373</v>
      </c>
      <c r="U535">
        <v>0</v>
      </c>
      <c r="V535" t="s">
        <v>168</v>
      </c>
    </row>
    <row r="536" spans="9:22" x14ac:dyDescent="0.45">
      <c r="I536" t="s">
        <v>181</v>
      </c>
      <c r="J536" t="s">
        <v>374</v>
      </c>
      <c r="K536">
        <v>1.0233926714017397E-4</v>
      </c>
      <c r="L536" t="s">
        <v>168</v>
      </c>
      <c r="N536" t="s">
        <v>205</v>
      </c>
      <c r="O536" t="s">
        <v>374</v>
      </c>
      <c r="P536">
        <v>5.7269709455849765E-6</v>
      </c>
      <c r="Q536" t="s">
        <v>168</v>
      </c>
      <c r="S536" t="s">
        <v>224</v>
      </c>
      <c r="T536" t="s">
        <v>374</v>
      </c>
      <c r="U536">
        <v>0</v>
      </c>
      <c r="V536" t="s">
        <v>168</v>
      </c>
    </row>
    <row r="537" spans="9:22" x14ac:dyDescent="0.45">
      <c r="I537" t="s">
        <v>181</v>
      </c>
      <c r="J537" t="s">
        <v>375</v>
      </c>
      <c r="K537">
        <v>1.4128009573638413E-4</v>
      </c>
      <c r="L537" t="s">
        <v>168</v>
      </c>
      <c r="N537" t="s">
        <v>205</v>
      </c>
      <c r="O537" t="s">
        <v>375</v>
      </c>
      <c r="P537">
        <v>9.1704166759347686E-6</v>
      </c>
      <c r="Q537" t="s">
        <v>168</v>
      </c>
      <c r="S537" t="s">
        <v>224</v>
      </c>
      <c r="T537" t="s">
        <v>375</v>
      </c>
      <c r="U537">
        <v>0</v>
      </c>
      <c r="V537" t="s">
        <v>168</v>
      </c>
    </row>
    <row r="538" spans="9:22" x14ac:dyDescent="0.45">
      <c r="I538" t="s">
        <v>181</v>
      </c>
      <c r="J538" t="s">
        <v>376</v>
      </c>
      <c r="K538">
        <v>1.5835126902527684E-4</v>
      </c>
      <c r="L538" t="s">
        <v>168</v>
      </c>
      <c r="N538" t="s">
        <v>205</v>
      </c>
      <c r="O538" t="s">
        <v>376</v>
      </c>
      <c r="P538">
        <v>6.6634810926606504E-8</v>
      </c>
      <c r="Q538" t="s">
        <v>168</v>
      </c>
      <c r="S538" t="s">
        <v>224</v>
      </c>
      <c r="T538" t="s">
        <v>376</v>
      </c>
      <c r="U538">
        <v>0</v>
      </c>
      <c r="V538" t="s">
        <v>168</v>
      </c>
    </row>
    <row r="539" spans="9:22" x14ac:dyDescent="0.45">
      <c r="I539" t="s">
        <v>181</v>
      </c>
      <c r="J539" t="s">
        <v>377</v>
      </c>
      <c r="K539">
        <v>1.6109241022452045E-4</v>
      </c>
      <c r="L539" t="s">
        <v>168</v>
      </c>
      <c r="N539" t="s">
        <v>205</v>
      </c>
      <c r="O539" t="s">
        <v>377</v>
      </c>
      <c r="P539">
        <v>0</v>
      </c>
      <c r="Q539" t="s">
        <v>168</v>
      </c>
      <c r="S539" t="s">
        <v>224</v>
      </c>
      <c r="T539" t="s">
        <v>377</v>
      </c>
      <c r="U539">
        <v>0</v>
      </c>
      <c r="V539" t="s">
        <v>168</v>
      </c>
    </row>
    <row r="540" spans="9:22" x14ac:dyDescent="0.45">
      <c r="I540" t="s">
        <v>181</v>
      </c>
      <c r="J540" t="s">
        <v>378</v>
      </c>
      <c r="K540">
        <v>2.2413587915073586E-4</v>
      </c>
      <c r="L540" t="s">
        <v>168</v>
      </c>
      <c r="N540" t="s">
        <v>205</v>
      </c>
      <c r="O540" t="s">
        <v>378</v>
      </c>
      <c r="P540">
        <v>2.5423255324526518E-7</v>
      </c>
      <c r="Q540" t="s">
        <v>168</v>
      </c>
      <c r="S540" t="s">
        <v>224</v>
      </c>
      <c r="T540" t="s">
        <v>378</v>
      </c>
      <c r="U540">
        <v>0</v>
      </c>
      <c r="V540" t="s">
        <v>168</v>
      </c>
    </row>
    <row r="541" spans="9:22" x14ac:dyDescent="0.45">
      <c r="I541" t="s">
        <v>181</v>
      </c>
      <c r="J541" t="s">
        <v>379</v>
      </c>
      <c r="K541">
        <v>2.1785392284153667E-4</v>
      </c>
      <c r="L541" t="s">
        <v>168</v>
      </c>
      <c r="N541" t="s">
        <v>205</v>
      </c>
      <c r="O541" t="s">
        <v>379</v>
      </c>
      <c r="P541">
        <v>5.7718144765115932E-7</v>
      </c>
      <c r="Q541" t="s">
        <v>168</v>
      </c>
      <c r="S541" t="s">
        <v>224</v>
      </c>
      <c r="T541" t="s">
        <v>379</v>
      </c>
      <c r="U541">
        <v>0</v>
      </c>
      <c r="V541" t="s">
        <v>168</v>
      </c>
    </row>
    <row r="542" spans="9:22" x14ac:dyDescent="0.45">
      <c r="I542" t="s">
        <v>181</v>
      </c>
      <c r="J542" t="s">
        <v>380</v>
      </c>
      <c r="K542">
        <v>1.3967357351415461E-4</v>
      </c>
      <c r="L542" t="s">
        <v>168</v>
      </c>
      <c r="N542" t="s">
        <v>205</v>
      </c>
      <c r="O542" t="s">
        <v>380</v>
      </c>
      <c r="P542">
        <v>7.1416232320304173E-7</v>
      </c>
      <c r="Q542" t="s">
        <v>168</v>
      </c>
      <c r="S542" t="s">
        <v>224</v>
      </c>
      <c r="T542" t="s">
        <v>380</v>
      </c>
      <c r="U542">
        <v>0</v>
      </c>
      <c r="V542" t="s">
        <v>168</v>
      </c>
    </row>
    <row r="543" spans="9:22" x14ac:dyDescent="0.45">
      <c r="I543" t="s">
        <v>181</v>
      </c>
      <c r="J543" t="s">
        <v>381</v>
      </c>
      <c r="K543">
        <v>0</v>
      </c>
      <c r="L543" t="s">
        <v>168</v>
      </c>
      <c r="N543" t="s">
        <v>205</v>
      </c>
      <c r="O543" t="s">
        <v>381</v>
      </c>
      <c r="P543">
        <v>5.5411912639570568E-7</v>
      </c>
      <c r="Q543" t="s">
        <v>168</v>
      </c>
      <c r="S543" t="s">
        <v>224</v>
      </c>
      <c r="T543" t="s">
        <v>381</v>
      </c>
      <c r="U543">
        <v>0</v>
      </c>
      <c r="V543" t="s">
        <v>168</v>
      </c>
    </row>
    <row r="544" spans="9:22" x14ac:dyDescent="0.45">
      <c r="I544" t="s">
        <v>181</v>
      </c>
      <c r="J544" t="s">
        <v>382</v>
      </c>
      <c r="K544">
        <v>0</v>
      </c>
      <c r="L544" t="s">
        <v>168</v>
      </c>
      <c r="N544" t="s">
        <v>205</v>
      </c>
      <c r="O544" t="s">
        <v>382</v>
      </c>
      <c r="P544">
        <v>7.8737474246554057E-7</v>
      </c>
      <c r="Q544" t="s">
        <v>168</v>
      </c>
      <c r="S544" t="s">
        <v>224</v>
      </c>
      <c r="T544" t="s">
        <v>382</v>
      </c>
      <c r="U544">
        <v>0</v>
      </c>
      <c r="V544" t="s">
        <v>168</v>
      </c>
    </row>
    <row r="545" spans="9:22" x14ac:dyDescent="0.45">
      <c r="I545" t="s">
        <v>181</v>
      </c>
      <c r="J545" t="s">
        <v>383</v>
      </c>
      <c r="K545">
        <v>0</v>
      </c>
      <c r="L545" t="s">
        <v>168</v>
      </c>
      <c r="N545" t="s">
        <v>205</v>
      </c>
      <c r="O545" t="s">
        <v>383</v>
      </c>
      <c r="P545">
        <v>1.0142170827268891E-5</v>
      </c>
      <c r="Q545" t="s">
        <v>168</v>
      </c>
      <c r="S545" t="s">
        <v>224</v>
      </c>
      <c r="T545" t="s">
        <v>383</v>
      </c>
      <c r="U545">
        <v>0</v>
      </c>
      <c r="V545" t="s">
        <v>168</v>
      </c>
    </row>
    <row r="546" spans="9:22" x14ac:dyDescent="0.45">
      <c r="I546" t="s">
        <v>181</v>
      </c>
      <c r="J546" t="s">
        <v>384</v>
      </c>
      <c r="K546">
        <v>0</v>
      </c>
      <c r="L546" t="s">
        <v>168</v>
      </c>
      <c r="N546" t="s">
        <v>205</v>
      </c>
      <c r="O546" t="s">
        <v>384</v>
      </c>
      <c r="P546">
        <v>2.171094588479934E-5</v>
      </c>
      <c r="Q546" t="s">
        <v>168</v>
      </c>
      <c r="S546" t="s">
        <v>224</v>
      </c>
      <c r="T546" t="s">
        <v>384</v>
      </c>
      <c r="U546">
        <v>0</v>
      </c>
      <c r="V546" t="s">
        <v>168</v>
      </c>
    </row>
    <row r="547" spans="9:22" x14ac:dyDescent="0.45">
      <c r="I547" t="s">
        <v>181</v>
      </c>
      <c r="J547" t="s">
        <v>385</v>
      </c>
      <c r="K547">
        <v>0</v>
      </c>
      <c r="L547" t="s">
        <v>168</v>
      </c>
      <c r="N547" t="s">
        <v>205</v>
      </c>
      <c r="O547" t="s">
        <v>385</v>
      </c>
      <c r="P547">
        <v>1.9012274954146955E-5</v>
      </c>
      <c r="Q547" t="s">
        <v>168</v>
      </c>
      <c r="S547" t="s">
        <v>224</v>
      </c>
      <c r="T547" t="s">
        <v>385</v>
      </c>
      <c r="U547">
        <v>0</v>
      </c>
      <c r="V547" t="s">
        <v>168</v>
      </c>
    </row>
    <row r="548" spans="9:22" x14ac:dyDescent="0.45">
      <c r="I548" t="s">
        <v>181</v>
      </c>
      <c r="J548" t="s">
        <v>386</v>
      </c>
      <c r="K548">
        <v>0</v>
      </c>
      <c r="L548" t="s">
        <v>168</v>
      </c>
      <c r="N548" t="s">
        <v>205</v>
      </c>
      <c r="O548" t="s">
        <v>386</v>
      </c>
      <c r="P548">
        <v>6.4879477053027219E-6</v>
      </c>
      <c r="Q548" t="s">
        <v>168</v>
      </c>
      <c r="S548" t="s">
        <v>224</v>
      </c>
      <c r="T548" t="s">
        <v>386</v>
      </c>
      <c r="U548">
        <v>0</v>
      </c>
      <c r="V548" t="s">
        <v>168</v>
      </c>
    </row>
    <row r="549" spans="9:22" x14ac:dyDescent="0.45">
      <c r="I549" t="s">
        <v>181</v>
      </c>
      <c r="J549" t="s">
        <v>387</v>
      </c>
      <c r="K549">
        <v>0</v>
      </c>
      <c r="L549" t="s">
        <v>168</v>
      </c>
      <c r="N549" t="s">
        <v>205</v>
      </c>
      <c r="O549" t="s">
        <v>387</v>
      </c>
      <c r="P549">
        <v>5.9435530580627761E-6</v>
      </c>
      <c r="Q549" t="s">
        <v>168</v>
      </c>
      <c r="S549" t="s">
        <v>224</v>
      </c>
      <c r="T549" t="s">
        <v>387</v>
      </c>
      <c r="U549">
        <v>0</v>
      </c>
      <c r="V549" t="s">
        <v>168</v>
      </c>
    </row>
    <row r="550" spans="9:22" x14ac:dyDescent="0.45">
      <c r="I550" t="s">
        <v>181</v>
      </c>
      <c r="J550" t="s">
        <v>388</v>
      </c>
      <c r="K550">
        <v>0</v>
      </c>
      <c r="L550" t="s">
        <v>168</v>
      </c>
      <c r="N550" t="s">
        <v>205</v>
      </c>
      <c r="O550" t="s">
        <v>388</v>
      </c>
      <c r="P550">
        <v>3.3704603637961321E-7</v>
      </c>
      <c r="Q550" t="s">
        <v>168</v>
      </c>
      <c r="S550" t="s">
        <v>224</v>
      </c>
      <c r="T550" t="s">
        <v>388</v>
      </c>
      <c r="U550">
        <v>0</v>
      </c>
      <c r="V550" t="s">
        <v>168</v>
      </c>
    </row>
    <row r="551" spans="9:22" x14ac:dyDescent="0.45">
      <c r="I551" t="s">
        <v>182</v>
      </c>
      <c r="J551" t="s">
        <v>167</v>
      </c>
      <c r="K551">
        <v>1.2267121324052738E-3</v>
      </c>
      <c r="L551" t="s">
        <v>168</v>
      </c>
      <c r="N551" t="s">
        <v>206</v>
      </c>
      <c r="O551" t="s">
        <v>167</v>
      </c>
      <c r="P551">
        <v>6.6693032564204724E-2</v>
      </c>
      <c r="Q551" t="s">
        <v>168</v>
      </c>
      <c r="S551" t="s">
        <v>225</v>
      </c>
      <c r="T551" t="s">
        <v>167</v>
      </c>
      <c r="U551">
        <v>7.4743951856703517E-2</v>
      </c>
      <c r="V551" t="s">
        <v>168</v>
      </c>
    </row>
    <row r="552" spans="9:22" x14ac:dyDescent="0.45">
      <c r="I552" t="s">
        <v>182</v>
      </c>
      <c r="J552" t="s">
        <v>169</v>
      </c>
      <c r="K552">
        <v>6.9952228838227231E-3</v>
      </c>
      <c r="L552" t="s">
        <v>168</v>
      </c>
      <c r="N552" t="s">
        <v>206</v>
      </c>
      <c r="O552" t="s">
        <v>169</v>
      </c>
      <c r="P552">
        <v>8.0450488131153155E-3</v>
      </c>
      <c r="Q552" t="s">
        <v>168</v>
      </c>
      <c r="S552" t="s">
        <v>225</v>
      </c>
      <c r="T552" t="s">
        <v>169</v>
      </c>
      <c r="U552">
        <v>9.1079265860274788E-3</v>
      </c>
      <c r="V552" t="s">
        <v>168</v>
      </c>
    </row>
    <row r="553" spans="9:22" x14ac:dyDescent="0.45">
      <c r="I553" t="s">
        <v>182</v>
      </c>
      <c r="J553" t="s">
        <v>170</v>
      </c>
      <c r="K553">
        <v>1.0842938247521926E-2</v>
      </c>
      <c r="L553" t="s">
        <v>168</v>
      </c>
      <c r="N553" t="s">
        <v>206</v>
      </c>
      <c r="O553" t="s">
        <v>170</v>
      </c>
      <c r="P553">
        <v>7.5949930929458563E-3</v>
      </c>
      <c r="Q553" t="s">
        <v>168</v>
      </c>
      <c r="S553" t="s">
        <v>225</v>
      </c>
      <c r="T553" t="s">
        <v>170</v>
      </c>
      <c r="U553">
        <v>8.8397538129260534E-3</v>
      </c>
      <c r="V553" t="s">
        <v>168</v>
      </c>
    </row>
    <row r="554" spans="9:22" x14ac:dyDescent="0.45">
      <c r="I554" t="s">
        <v>182</v>
      </c>
      <c r="J554" t="s">
        <v>256</v>
      </c>
      <c r="K554">
        <v>7.3944477791360763E-2</v>
      </c>
      <c r="L554" t="s">
        <v>168</v>
      </c>
      <c r="N554" t="s">
        <v>206</v>
      </c>
      <c r="O554" t="s">
        <v>256</v>
      </c>
      <c r="P554">
        <v>5.5519225063147055E-2</v>
      </c>
      <c r="Q554" t="s">
        <v>168</v>
      </c>
      <c r="S554" t="s">
        <v>225</v>
      </c>
      <c r="T554" t="s">
        <v>256</v>
      </c>
      <c r="U554">
        <v>5.1899530283660317E-2</v>
      </c>
      <c r="V554" t="s">
        <v>168</v>
      </c>
    </row>
    <row r="555" spans="9:22" x14ac:dyDescent="0.45">
      <c r="I555" t="s">
        <v>182</v>
      </c>
      <c r="J555" t="s">
        <v>257</v>
      </c>
      <c r="K555">
        <v>6.8704737661269043E-3</v>
      </c>
      <c r="L555" t="s">
        <v>168</v>
      </c>
      <c r="N555" t="s">
        <v>206</v>
      </c>
      <c r="O555" t="s">
        <v>257</v>
      </c>
      <c r="P555">
        <v>9.8623928181271435E-3</v>
      </c>
      <c r="Q555" t="s">
        <v>168</v>
      </c>
      <c r="S555" t="s">
        <v>225</v>
      </c>
      <c r="T555" t="s">
        <v>257</v>
      </c>
      <c r="U555">
        <v>8.8311668659078312E-3</v>
      </c>
      <c r="V555" t="s">
        <v>168</v>
      </c>
    </row>
    <row r="556" spans="9:22" x14ac:dyDescent="0.45">
      <c r="I556" t="s">
        <v>182</v>
      </c>
      <c r="J556" t="s">
        <v>258</v>
      </c>
      <c r="K556">
        <v>1.8905838852896781E-3</v>
      </c>
      <c r="L556" t="s">
        <v>168</v>
      </c>
      <c r="N556" t="s">
        <v>206</v>
      </c>
      <c r="O556" t="s">
        <v>258</v>
      </c>
      <c r="P556">
        <v>5.5286767291720787E-2</v>
      </c>
      <c r="Q556" t="s">
        <v>168</v>
      </c>
      <c r="S556" t="s">
        <v>225</v>
      </c>
      <c r="T556" t="s">
        <v>258</v>
      </c>
      <c r="U556">
        <v>6.5132835328360186E-2</v>
      </c>
      <c r="V556" t="s">
        <v>168</v>
      </c>
    </row>
    <row r="557" spans="9:22" x14ac:dyDescent="0.45">
      <c r="I557" t="s">
        <v>182</v>
      </c>
      <c r="J557" t="s">
        <v>171</v>
      </c>
      <c r="K557">
        <v>4.6126966730993188E-2</v>
      </c>
      <c r="L557" t="s">
        <v>168</v>
      </c>
      <c r="N557" t="s">
        <v>206</v>
      </c>
      <c r="O557" t="s">
        <v>171</v>
      </c>
      <c r="P557">
        <v>8.3158932932261093E-2</v>
      </c>
      <c r="Q557" t="s">
        <v>168</v>
      </c>
      <c r="S557" t="s">
        <v>225</v>
      </c>
      <c r="T557" t="s">
        <v>171</v>
      </c>
      <c r="U557">
        <v>0.12763546577383159</v>
      </c>
      <c r="V557" t="s">
        <v>168</v>
      </c>
    </row>
    <row r="558" spans="9:22" x14ac:dyDescent="0.45">
      <c r="I558" t="s">
        <v>182</v>
      </c>
      <c r="J558" t="s">
        <v>172</v>
      </c>
      <c r="K558">
        <v>3.2850095830631788E-2</v>
      </c>
      <c r="L558" t="s">
        <v>168</v>
      </c>
      <c r="N558" t="s">
        <v>206</v>
      </c>
      <c r="O558" t="s">
        <v>172</v>
      </c>
      <c r="P558">
        <v>1.2392406820871107E-2</v>
      </c>
      <c r="Q558" t="s">
        <v>168</v>
      </c>
      <c r="S558" t="s">
        <v>225</v>
      </c>
      <c r="T558" t="s">
        <v>172</v>
      </c>
      <c r="U558">
        <v>1.4998748839673575E-2</v>
      </c>
      <c r="V558" t="s">
        <v>168</v>
      </c>
    </row>
    <row r="559" spans="9:22" x14ac:dyDescent="0.45">
      <c r="I559" t="s">
        <v>182</v>
      </c>
      <c r="J559" t="s">
        <v>173</v>
      </c>
      <c r="K559">
        <v>3.8174861755223548E-2</v>
      </c>
      <c r="L559" t="s">
        <v>168</v>
      </c>
      <c r="N559" t="s">
        <v>206</v>
      </c>
      <c r="O559" t="s">
        <v>173</v>
      </c>
      <c r="P559">
        <v>1.5187466195244834E-2</v>
      </c>
      <c r="Q559" t="s">
        <v>168</v>
      </c>
      <c r="S559" t="s">
        <v>225</v>
      </c>
      <c r="T559" t="s">
        <v>173</v>
      </c>
      <c r="U559">
        <v>1.4875821573492234E-2</v>
      </c>
      <c r="V559" t="s">
        <v>168</v>
      </c>
    </row>
    <row r="560" spans="9:22" x14ac:dyDescent="0.45">
      <c r="I560" t="s">
        <v>182</v>
      </c>
      <c r="J560" t="s">
        <v>259</v>
      </c>
      <c r="K560">
        <v>0.22496957166313741</v>
      </c>
      <c r="L560" t="s">
        <v>168</v>
      </c>
      <c r="N560" t="s">
        <v>206</v>
      </c>
      <c r="O560" t="s">
        <v>259</v>
      </c>
      <c r="P560">
        <v>0.1054237224651129</v>
      </c>
      <c r="Q560" t="s">
        <v>168</v>
      </c>
      <c r="S560" t="s">
        <v>225</v>
      </c>
      <c r="T560" t="s">
        <v>259</v>
      </c>
      <c r="U560">
        <v>8.9379944392433144E-2</v>
      </c>
      <c r="V560" t="s">
        <v>168</v>
      </c>
    </row>
    <row r="561" spans="9:22" x14ac:dyDescent="0.45">
      <c r="I561" t="s">
        <v>182</v>
      </c>
      <c r="J561" t="s">
        <v>260</v>
      </c>
      <c r="K561">
        <v>2.7022739090017879E-2</v>
      </c>
      <c r="L561" t="s">
        <v>168</v>
      </c>
      <c r="N561" t="s">
        <v>206</v>
      </c>
      <c r="O561" t="s">
        <v>260</v>
      </c>
      <c r="P561">
        <v>1.745233302189626E-2</v>
      </c>
      <c r="Q561" t="s">
        <v>168</v>
      </c>
      <c r="S561" t="s">
        <v>225</v>
      </c>
      <c r="T561" t="s">
        <v>260</v>
      </c>
      <c r="U561">
        <v>1.6234083974449257E-2</v>
      </c>
      <c r="V561" t="s">
        <v>168</v>
      </c>
    </row>
    <row r="562" spans="9:22" x14ac:dyDescent="0.45">
      <c r="I562" t="s">
        <v>182</v>
      </c>
      <c r="J562" t="s">
        <v>261</v>
      </c>
      <c r="K562">
        <v>3.3635665302420313E-2</v>
      </c>
      <c r="L562" t="s">
        <v>168</v>
      </c>
      <c r="N562" t="s">
        <v>206</v>
      </c>
      <c r="O562" t="s">
        <v>261</v>
      </c>
      <c r="P562">
        <v>8.6472666394093942E-2</v>
      </c>
      <c r="Q562" t="s">
        <v>168</v>
      </c>
      <c r="S562" t="s">
        <v>225</v>
      </c>
      <c r="T562" t="s">
        <v>261</v>
      </c>
      <c r="U562">
        <v>0.11310403550184284</v>
      </c>
      <c r="V562" t="s">
        <v>168</v>
      </c>
    </row>
    <row r="563" spans="9:22" x14ac:dyDescent="0.45">
      <c r="I563" t="s">
        <v>182</v>
      </c>
      <c r="J563" t="s">
        <v>174</v>
      </c>
      <c r="K563">
        <v>1.8513968488132304E-2</v>
      </c>
      <c r="L563" t="s">
        <v>168</v>
      </c>
      <c r="N563" t="s">
        <v>206</v>
      </c>
      <c r="O563" t="s">
        <v>174</v>
      </c>
      <c r="P563">
        <v>6.4911669586808895E-3</v>
      </c>
      <c r="Q563" t="s">
        <v>168</v>
      </c>
      <c r="S563" t="s">
        <v>225</v>
      </c>
      <c r="T563" t="s">
        <v>174</v>
      </c>
      <c r="U563">
        <v>8.7589994452586129E-3</v>
      </c>
      <c r="V563" t="s">
        <v>168</v>
      </c>
    </row>
    <row r="564" spans="9:22" x14ac:dyDescent="0.45">
      <c r="I564" t="s">
        <v>182</v>
      </c>
      <c r="J564" t="s">
        <v>175</v>
      </c>
      <c r="K564">
        <v>1.0801372141729404E-2</v>
      </c>
      <c r="L564" t="s">
        <v>168</v>
      </c>
      <c r="N564" t="s">
        <v>206</v>
      </c>
      <c r="O564" t="s">
        <v>175</v>
      </c>
      <c r="P564">
        <v>9.2462343957539774E-4</v>
      </c>
      <c r="Q564" t="s">
        <v>168</v>
      </c>
      <c r="S564" t="s">
        <v>225</v>
      </c>
      <c r="T564" t="s">
        <v>175</v>
      </c>
      <c r="U564">
        <v>1.0683698406924399E-3</v>
      </c>
      <c r="V564" t="s">
        <v>168</v>
      </c>
    </row>
    <row r="565" spans="9:22" x14ac:dyDescent="0.45">
      <c r="I565" t="s">
        <v>182</v>
      </c>
      <c r="J565" t="s">
        <v>176</v>
      </c>
      <c r="K565">
        <v>1.2020539575744334E-2</v>
      </c>
      <c r="L565" t="s">
        <v>168</v>
      </c>
      <c r="N565" t="s">
        <v>206</v>
      </c>
      <c r="O565" t="s">
        <v>176</v>
      </c>
      <c r="P565">
        <v>1.4551323395854349E-3</v>
      </c>
      <c r="Q565" t="s">
        <v>168</v>
      </c>
      <c r="S565" t="s">
        <v>225</v>
      </c>
      <c r="T565" t="s">
        <v>176</v>
      </c>
      <c r="U565">
        <v>1.0588519197260041E-3</v>
      </c>
      <c r="V565" t="s">
        <v>168</v>
      </c>
    </row>
    <row r="566" spans="9:22" x14ac:dyDescent="0.45">
      <c r="I566" t="s">
        <v>182</v>
      </c>
      <c r="J566" t="s">
        <v>262</v>
      </c>
      <c r="K566">
        <v>7.1257434171035375E-2</v>
      </c>
      <c r="L566" t="s">
        <v>168</v>
      </c>
      <c r="N566" t="s">
        <v>206</v>
      </c>
      <c r="O566" t="s">
        <v>262</v>
      </c>
      <c r="P566">
        <v>1.223971030427864E-2</v>
      </c>
      <c r="Q566" t="s">
        <v>168</v>
      </c>
      <c r="S566" t="s">
        <v>225</v>
      </c>
      <c r="T566" t="s">
        <v>262</v>
      </c>
      <c r="U566">
        <v>5.8910005313231569E-3</v>
      </c>
      <c r="V566" t="s">
        <v>168</v>
      </c>
    </row>
    <row r="567" spans="9:22" x14ac:dyDescent="0.45">
      <c r="I567" t="s">
        <v>182</v>
      </c>
      <c r="J567" t="s">
        <v>263</v>
      </c>
      <c r="K567">
        <v>9.1543455055956152E-3</v>
      </c>
      <c r="L567" t="s">
        <v>168</v>
      </c>
      <c r="N567" t="s">
        <v>206</v>
      </c>
      <c r="O567" t="s">
        <v>263</v>
      </c>
      <c r="P567">
        <v>2.2180096679335869E-3</v>
      </c>
      <c r="Q567" t="s">
        <v>168</v>
      </c>
      <c r="S567" t="s">
        <v>225</v>
      </c>
      <c r="T567" t="s">
        <v>263</v>
      </c>
      <c r="U567">
        <v>1.2588033621369677E-3</v>
      </c>
      <c r="V567" t="s">
        <v>168</v>
      </c>
    </row>
    <row r="568" spans="9:22" x14ac:dyDescent="0.45">
      <c r="I568" t="s">
        <v>182</v>
      </c>
      <c r="J568" t="s">
        <v>264</v>
      </c>
      <c r="K568">
        <v>1.388893427706538E-2</v>
      </c>
      <c r="L568" t="s">
        <v>168</v>
      </c>
      <c r="N568" t="s">
        <v>206</v>
      </c>
      <c r="O568" t="s">
        <v>264</v>
      </c>
      <c r="P568">
        <v>9.9635255284496998E-3</v>
      </c>
      <c r="Q568" t="s">
        <v>168</v>
      </c>
      <c r="S568" t="s">
        <v>225</v>
      </c>
      <c r="T568" t="s">
        <v>264</v>
      </c>
      <c r="U568">
        <v>8.9900609312493669E-3</v>
      </c>
      <c r="V568" t="s">
        <v>168</v>
      </c>
    </row>
    <row r="569" spans="9:22" x14ac:dyDescent="0.45">
      <c r="I569" t="s">
        <v>182</v>
      </c>
      <c r="J569" t="s">
        <v>265</v>
      </c>
      <c r="K569">
        <v>1.4974144436246199E-2</v>
      </c>
      <c r="L569" t="s">
        <v>168</v>
      </c>
      <c r="N569" t="s">
        <v>206</v>
      </c>
      <c r="O569" t="s">
        <v>265</v>
      </c>
      <c r="P569">
        <v>1.194224496894445E-2</v>
      </c>
      <c r="Q569" t="s">
        <v>168</v>
      </c>
      <c r="S569" t="s">
        <v>225</v>
      </c>
      <c r="T569" t="s">
        <v>265</v>
      </c>
      <c r="U569">
        <v>1.4756201927001401E-2</v>
      </c>
      <c r="V569" t="s">
        <v>168</v>
      </c>
    </row>
    <row r="570" spans="9:22" x14ac:dyDescent="0.45">
      <c r="I570" t="s">
        <v>182</v>
      </c>
      <c r="J570" t="s">
        <v>266</v>
      </c>
      <c r="K570">
        <v>1.0488971669575287E-2</v>
      </c>
      <c r="L570" t="s">
        <v>168</v>
      </c>
      <c r="N570" t="s">
        <v>206</v>
      </c>
      <c r="O570" t="s">
        <v>266</v>
      </c>
      <c r="P570">
        <v>1.4286847625638349E-3</v>
      </c>
      <c r="Q570" t="s">
        <v>168</v>
      </c>
      <c r="S570" t="s">
        <v>225</v>
      </c>
      <c r="T570" t="s">
        <v>266</v>
      </c>
      <c r="U570">
        <v>1.3538652658758956E-3</v>
      </c>
      <c r="V570" t="s">
        <v>168</v>
      </c>
    </row>
    <row r="571" spans="9:22" x14ac:dyDescent="0.45">
      <c r="I571" t="s">
        <v>182</v>
      </c>
      <c r="J571" t="s">
        <v>267</v>
      </c>
      <c r="K571">
        <v>1.177468651530335E-2</v>
      </c>
      <c r="L571" t="s">
        <v>168</v>
      </c>
      <c r="N571" t="s">
        <v>206</v>
      </c>
      <c r="O571" t="s">
        <v>267</v>
      </c>
      <c r="P571">
        <v>2.1696956898183766E-3</v>
      </c>
      <c r="Q571" t="s">
        <v>168</v>
      </c>
      <c r="S571" t="s">
        <v>225</v>
      </c>
      <c r="T571" t="s">
        <v>267</v>
      </c>
      <c r="U571">
        <v>1.2390066032217731E-3</v>
      </c>
      <c r="V571" t="s">
        <v>168</v>
      </c>
    </row>
    <row r="572" spans="9:22" x14ac:dyDescent="0.45">
      <c r="I572" t="s">
        <v>182</v>
      </c>
      <c r="J572" t="s">
        <v>268</v>
      </c>
      <c r="K572">
        <v>6.9227538655905613E-2</v>
      </c>
      <c r="L572" t="s">
        <v>168</v>
      </c>
      <c r="N572" t="s">
        <v>206</v>
      </c>
      <c r="O572" t="s">
        <v>268</v>
      </c>
      <c r="P572">
        <v>1.3948703706164639E-2</v>
      </c>
      <c r="Q572" t="s">
        <v>168</v>
      </c>
      <c r="S572" t="s">
        <v>225</v>
      </c>
      <c r="T572" t="s">
        <v>268</v>
      </c>
      <c r="U572">
        <v>8.344037367828341E-3</v>
      </c>
      <c r="V572" t="s">
        <v>168</v>
      </c>
    </row>
    <row r="573" spans="9:22" x14ac:dyDescent="0.45">
      <c r="I573" t="s">
        <v>182</v>
      </c>
      <c r="J573" t="s">
        <v>269</v>
      </c>
      <c r="K573">
        <v>9.0362831018962354E-3</v>
      </c>
      <c r="L573" t="s">
        <v>168</v>
      </c>
      <c r="N573" t="s">
        <v>206</v>
      </c>
      <c r="O573" t="s">
        <v>269</v>
      </c>
      <c r="P573">
        <v>2.8643725721333828E-3</v>
      </c>
      <c r="Q573" t="s">
        <v>168</v>
      </c>
      <c r="S573" t="s">
        <v>225</v>
      </c>
      <c r="T573" t="s">
        <v>269</v>
      </c>
      <c r="U573">
        <v>1.6800665480577808E-3</v>
      </c>
      <c r="V573" t="s">
        <v>168</v>
      </c>
    </row>
    <row r="574" spans="9:22" x14ac:dyDescent="0.45">
      <c r="I574" t="s">
        <v>182</v>
      </c>
      <c r="J574" t="s">
        <v>270</v>
      </c>
      <c r="K574">
        <v>1.1744719834647989E-2</v>
      </c>
      <c r="L574" t="s">
        <v>168</v>
      </c>
      <c r="N574" t="s">
        <v>206</v>
      </c>
      <c r="O574" t="s">
        <v>270</v>
      </c>
      <c r="P574">
        <v>1.7080377578084196E-2</v>
      </c>
      <c r="Q574" t="s">
        <v>168</v>
      </c>
      <c r="S574" t="s">
        <v>225</v>
      </c>
      <c r="T574" t="s">
        <v>270</v>
      </c>
      <c r="U574">
        <v>1.1366245166318699E-2</v>
      </c>
      <c r="V574" t="s">
        <v>168</v>
      </c>
    </row>
    <row r="575" spans="9:22" x14ac:dyDescent="0.45">
      <c r="I575" t="s">
        <v>182</v>
      </c>
      <c r="J575" t="s">
        <v>271</v>
      </c>
      <c r="K575">
        <v>9.0578039028490643E-3</v>
      </c>
      <c r="L575" t="s">
        <v>168</v>
      </c>
      <c r="N575" t="s">
        <v>206</v>
      </c>
      <c r="O575" t="s">
        <v>271</v>
      </c>
      <c r="P575">
        <v>1.2163971961226872E-2</v>
      </c>
      <c r="Q575" t="s">
        <v>168</v>
      </c>
      <c r="S575" t="s">
        <v>225</v>
      </c>
      <c r="T575" t="s">
        <v>271</v>
      </c>
      <c r="U575">
        <v>2.2832217512634662E-2</v>
      </c>
      <c r="V575" t="s">
        <v>168</v>
      </c>
    </row>
    <row r="576" spans="9:22" x14ac:dyDescent="0.45">
      <c r="I576" t="s">
        <v>182</v>
      </c>
      <c r="J576" t="s">
        <v>272</v>
      </c>
      <c r="K576">
        <v>7.9841791934011294E-3</v>
      </c>
      <c r="L576" t="s">
        <v>168</v>
      </c>
      <c r="N576" t="s">
        <v>206</v>
      </c>
      <c r="O576" t="s">
        <v>272</v>
      </c>
      <c r="P576">
        <v>1.1305775922948891E-3</v>
      </c>
      <c r="Q576" t="s">
        <v>168</v>
      </c>
      <c r="S576" t="s">
        <v>225</v>
      </c>
      <c r="T576" t="s">
        <v>272</v>
      </c>
      <c r="U576">
        <v>2.6910124653284017E-3</v>
      </c>
      <c r="V576" t="s">
        <v>168</v>
      </c>
    </row>
    <row r="577" spans="9:22" x14ac:dyDescent="0.45">
      <c r="I577" t="s">
        <v>182</v>
      </c>
      <c r="J577" t="s">
        <v>273</v>
      </c>
      <c r="K577">
        <v>9.4384247548627374E-3</v>
      </c>
      <c r="L577" t="s">
        <v>168</v>
      </c>
      <c r="N577" t="s">
        <v>206</v>
      </c>
      <c r="O577" t="s">
        <v>273</v>
      </c>
      <c r="P577">
        <v>1.60322278611296E-3</v>
      </c>
      <c r="Q577" t="s">
        <v>168</v>
      </c>
      <c r="S577" t="s">
        <v>225</v>
      </c>
      <c r="T577" t="s">
        <v>273</v>
      </c>
      <c r="U577">
        <v>2.7059173415985146E-3</v>
      </c>
      <c r="V577" t="s">
        <v>168</v>
      </c>
    </row>
    <row r="578" spans="9:22" x14ac:dyDescent="0.45">
      <c r="I578" t="s">
        <v>182</v>
      </c>
      <c r="J578" t="s">
        <v>274</v>
      </c>
      <c r="K578">
        <v>5.4429449624607947E-2</v>
      </c>
      <c r="L578" t="s">
        <v>168</v>
      </c>
      <c r="N578" t="s">
        <v>206</v>
      </c>
      <c r="O578" t="s">
        <v>274</v>
      </c>
      <c r="P578">
        <v>1.6318322397909788E-2</v>
      </c>
      <c r="Q578" t="s">
        <v>168</v>
      </c>
      <c r="S578" t="s">
        <v>225</v>
      </c>
      <c r="T578" t="s">
        <v>274</v>
      </c>
      <c r="U578">
        <v>1.7311564881225022E-2</v>
      </c>
      <c r="V578" t="s">
        <v>168</v>
      </c>
    </row>
    <row r="579" spans="9:22" x14ac:dyDescent="0.45">
      <c r="I579" t="s">
        <v>182</v>
      </c>
      <c r="J579" t="s">
        <v>275</v>
      </c>
      <c r="K579">
        <v>6.7508523352159816E-3</v>
      </c>
      <c r="L579" t="s">
        <v>168</v>
      </c>
      <c r="N579" t="s">
        <v>206</v>
      </c>
      <c r="O579" t="s">
        <v>275</v>
      </c>
      <c r="P579">
        <v>3.0833041826055308E-3</v>
      </c>
      <c r="Q579" t="s">
        <v>168</v>
      </c>
      <c r="S579" t="s">
        <v>225</v>
      </c>
      <c r="T579" t="s">
        <v>275</v>
      </c>
      <c r="U579">
        <v>3.0450556839032804E-3</v>
      </c>
      <c r="V579" t="s">
        <v>168</v>
      </c>
    </row>
    <row r="580" spans="9:22" x14ac:dyDescent="0.45">
      <c r="I580" t="s">
        <v>182</v>
      </c>
      <c r="J580" t="s">
        <v>276</v>
      </c>
      <c r="K580">
        <v>5.4618670520161046E-3</v>
      </c>
      <c r="L580" t="s">
        <v>168</v>
      </c>
      <c r="N580" t="s">
        <v>206</v>
      </c>
      <c r="O580" t="s">
        <v>276</v>
      </c>
      <c r="P580">
        <v>1.4488064931123113E-2</v>
      </c>
      <c r="Q580" t="s">
        <v>168</v>
      </c>
      <c r="S580" t="s">
        <v>225</v>
      </c>
      <c r="T580" t="s">
        <v>276</v>
      </c>
      <c r="U580">
        <v>2.2389720943517096E-2</v>
      </c>
      <c r="V580" t="s">
        <v>168</v>
      </c>
    </row>
    <row r="581" spans="9:22" x14ac:dyDescent="0.45">
      <c r="I581" t="s">
        <v>182</v>
      </c>
      <c r="J581" t="s">
        <v>341</v>
      </c>
      <c r="K581">
        <v>0</v>
      </c>
      <c r="L581" t="s">
        <v>168</v>
      </c>
      <c r="N581" t="s">
        <v>206</v>
      </c>
      <c r="O581" t="s">
        <v>341</v>
      </c>
      <c r="P581">
        <v>5.7442851786202745E-5</v>
      </c>
      <c r="Q581" t="s">
        <v>168</v>
      </c>
      <c r="S581" t="s">
        <v>225</v>
      </c>
      <c r="T581" t="s">
        <v>341</v>
      </c>
      <c r="U581">
        <v>1.2309588331607783E-5</v>
      </c>
      <c r="V581" t="s">
        <v>168</v>
      </c>
    </row>
    <row r="582" spans="9:22" x14ac:dyDescent="0.45">
      <c r="I582" t="s">
        <v>182</v>
      </c>
      <c r="J582" t="s">
        <v>342</v>
      </c>
      <c r="K582">
        <v>0</v>
      </c>
      <c r="L582" t="s">
        <v>168</v>
      </c>
      <c r="N582" t="s">
        <v>206</v>
      </c>
      <c r="O582" t="s">
        <v>342</v>
      </c>
      <c r="P582">
        <v>5.2926472218897517E-5</v>
      </c>
      <c r="Q582" t="s">
        <v>168</v>
      </c>
      <c r="S582" t="s">
        <v>225</v>
      </c>
      <c r="T582" t="s">
        <v>342</v>
      </c>
      <c r="U582">
        <v>1.2226567500615405E-5</v>
      </c>
      <c r="V582" t="s">
        <v>168</v>
      </c>
    </row>
    <row r="583" spans="9:22" x14ac:dyDescent="0.45">
      <c r="I583" t="s">
        <v>182</v>
      </c>
      <c r="J583" t="s">
        <v>343</v>
      </c>
      <c r="K583">
        <v>0</v>
      </c>
      <c r="L583" t="s">
        <v>168</v>
      </c>
      <c r="N583" t="s">
        <v>206</v>
      </c>
      <c r="O583" t="s">
        <v>343</v>
      </c>
      <c r="P583">
        <v>5.600276213730806E-5</v>
      </c>
      <c r="Q583" t="s">
        <v>168</v>
      </c>
      <c r="S583" t="s">
        <v>225</v>
      </c>
      <c r="T583" t="s">
        <v>343</v>
      </c>
      <c r="U583">
        <v>1.1633571836316443E-5</v>
      </c>
      <c r="V583" t="s">
        <v>168</v>
      </c>
    </row>
    <row r="584" spans="9:22" x14ac:dyDescent="0.45">
      <c r="I584" t="s">
        <v>182</v>
      </c>
      <c r="J584" t="s">
        <v>344</v>
      </c>
      <c r="K584">
        <v>0</v>
      </c>
      <c r="L584" t="s">
        <v>168</v>
      </c>
      <c r="N584" t="s">
        <v>206</v>
      </c>
      <c r="O584" t="s">
        <v>344</v>
      </c>
      <c r="P584">
        <v>5.3789591451608334E-5</v>
      </c>
      <c r="Q584" t="s">
        <v>168</v>
      </c>
      <c r="S584" t="s">
        <v>225</v>
      </c>
      <c r="T584" t="s">
        <v>344</v>
      </c>
      <c r="U584">
        <v>1.25694232011216E-5</v>
      </c>
      <c r="V584" t="s">
        <v>168</v>
      </c>
    </row>
    <row r="585" spans="9:22" x14ac:dyDescent="0.45">
      <c r="I585" t="s">
        <v>182</v>
      </c>
      <c r="J585" t="s">
        <v>345</v>
      </c>
      <c r="K585">
        <v>0</v>
      </c>
      <c r="L585" t="s">
        <v>168</v>
      </c>
      <c r="N585" t="s">
        <v>206</v>
      </c>
      <c r="O585" t="s">
        <v>345</v>
      </c>
      <c r="P585">
        <v>4.872659263196561E-5</v>
      </c>
      <c r="Q585" t="s">
        <v>168</v>
      </c>
      <c r="S585" t="s">
        <v>225</v>
      </c>
      <c r="T585" t="s">
        <v>345</v>
      </c>
      <c r="U585">
        <v>1.1845956294373796E-5</v>
      </c>
      <c r="V585" t="s">
        <v>168</v>
      </c>
    </row>
    <row r="586" spans="9:22" x14ac:dyDescent="0.45">
      <c r="I586" t="s">
        <v>182</v>
      </c>
      <c r="J586" t="s">
        <v>346</v>
      </c>
      <c r="K586">
        <v>0</v>
      </c>
      <c r="L586" t="s">
        <v>168</v>
      </c>
      <c r="N586" t="s">
        <v>206</v>
      </c>
      <c r="O586" t="s">
        <v>346</v>
      </c>
      <c r="P586">
        <v>4.0187306727333657E-5</v>
      </c>
      <c r="Q586" t="s">
        <v>168</v>
      </c>
      <c r="S586" t="s">
        <v>225</v>
      </c>
      <c r="T586" t="s">
        <v>346</v>
      </c>
      <c r="U586">
        <v>1.1165748982460471E-5</v>
      </c>
      <c r="V586" t="s">
        <v>168</v>
      </c>
    </row>
    <row r="587" spans="9:22" x14ac:dyDescent="0.45">
      <c r="I587" t="s">
        <v>182</v>
      </c>
      <c r="J587" t="s">
        <v>347</v>
      </c>
      <c r="K587">
        <v>1.1820636950501552E-4</v>
      </c>
      <c r="L587" t="s">
        <v>168</v>
      </c>
      <c r="N587" t="s">
        <v>206</v>
      </c>
      <c r="O587" t="s">
        <v>347</v>
      </c>
      <c r="P587">
        <v>3.5397870695705646E-5</v>
      </c>
      <c r="Q587" t="s">
        <v>168</v>
      </c>
      <c r="S587" t="s">
        <v>225</v>
      </c>
      <c r="T587" t="s">
        <v>347</v>
      </c>
      <c r="U587">
        <v>8.1836915496845668E-6</v>
      </c>
      <c r="V587" t="s">
        <v>168</v>
      </c>
    </row>
    <row r="588" spans="9:22" x14ac:dyDescent="0.45">
      <c r="I588" t="s">
        <v>182</v>
      </c>
      <c r="J588" t="s">
        <v>348</v>
      </c>
      <c r="K588">
        <v>2.1698221981559452E-4</v>
      </c>
      <c r="L588" t="s">
        <v>168</v>
      </c>
      <c r="N588" t="s">
        <v>206</v>
      </c>
      <c r="O588" t="s">
        <v>348</v>
      </c>
      <c r="P588">
        <v>3.1421788107902428E-5</v>
      </c>
      <c r="Q588" t="s">
        <v>168</v>
      </c>
      <c r="S588" t="s">
        <v>225</v>
      </c>
      <c r="T588" t="s">
        <v>348</v>
      </c>
      <c r="U588">
        <v>6.9286986289682585E-6</v>
      </c>
      <c r="V588" t="s">
        <v>168</v>
      </c>
    </row>
    <row r="589" spans="9:22" x14ac:dyDescent="0.45">
      <c r="I589" t="s">
        <v>182</v>
      </c>
      <c r="J589" t="s">
        <v>349</v>
      </c>
      <c r="K589">
        <v>2.8797894193357285E-4</v>
      </c>
      <c r="L589" t="s">
        <v>168</v>
      </c>
      <c r="N589" t="s">
        <v>206</v>
      </c>
      <c r="O589" t="s">
        <v>349</v>
      </c>
      <c r="P589">
        <v>2.1035138053047758E-5</v>
      </c>
      <c r="Q589" t="s">
        <v>168</v>
      </c>
      <c r="S589" t="s">
        <v>225</v>
      </c>
      <c r="T589" t="s">
        <v>349</v>
      </c>
      <c r="U589">
        <v>6.5364349486853241E-6</v>
      </c>
      <c r="V589" t="s">
        <v>168</v>
      </c>
    </row>
    <row r="590" spans="9:22" x14ac:dyDescent="0.45">
      <c r="I590" t="s">
        <v>182</v>
      </c>
      <c r="J590" t="s">
        <v>350</v>
      </c>
      <c r="K590">
        <v>3.6236441581035214E-4</v>
      </c>
      <c r="L590" t="s">
        <v>168</v>
      </c>
      <c r="N590" t="s">
        <v>206</v>
      </c>
      <c r="O590" t="s">
        <v>350</v>
      </c>
      <c r="P590">
        <v>2.378792833238406E-5</v>
      </c>
      <c r="Q590" t="s">
        <v>168</v>
      </c>
      <c r="S590" t="s">
        <v>225</v>
      </c>
      <c r="T590" t="s">
        <v>350</v>
      </c>
      <c r="U590">
        <v>6.2179351727771141E-6</v>
      </c>
      <c r="V590" t="s">
        <v>168</v>
      </c>
    </row>
    <row r="591" spans="9:22" x14ac:dyDescent="0.45">
      <c r="I591" t="s">
        <v>182</v>
      </c>
      <c r="J591" t="s">
        <v>351</v>
      </c>
      <c r="K591">
        <v>3.6096292343891002E-4</v>
      </c>
      <c r="L591" t="s">
        <v>168</v>
      </c>
      <c r="N591" t="s">
        <v>206</v>
      </c>
      <c r="O591" t="s">
        <v>351</v>
      </c>
      <c r="P591">
        <v>5.6610983603140053E-5</v>
      </c>
      <c r="Q591" t="s">
        <v>168</v>
      </c>
      <c r="S591" t="s">
        <v>225</v>
      </c>
      <c r="T591" t="s">
        <v>351</v>
      </c>
      <c r="U591">
        <v>6.3414137038186178E-6</v>
      </c>
      <c r="V591" t="s">
        <v>168</v>
      </c>
    </row>
    <row r="592" spans="9:22" x14ac:dyDescent="0.45">
      <c r="I592" t="s">
        <v>182</v>
      </c>
      <c r="J592" t="s">
        <v>352</v>
      </c>
      <c r="K592">
        <v>3.4942258568069031E-4</v>
      </c>
      <c r="L592" t="s">
        <v>168</v>
      </c>
      <c r="N592" t="s">
        <v>206</v>
      </c>
      <c r="O592" t="s">
        <v>352</v>
      </c>
      <c r="P592">
        <v>6.2786449210739805E-5</v>
      </c>
      <c r="Q592" t="s">
        <v>168</v>
      </c>
      <c r="S592" t="s">
        <v>225</v>
      </c>
      <c r="T592" t="s">
        <v>352</v>
      </c>
      <c r="U592">
        <v>9.3457034993130619E-6</v>
      </c>
      <c r="V592" t="s">
        <v>168</v>
      </c>
    </row>
    <row r="593" spans="9:22" x14ac:dyDescent="0.45">
      <c r="I593" t="s">
        <v>182</v>
      </c>
      <c r="J593" t="s">
        <v>353</v>
      </c>
      <c r="K593">
        <v>3.2469404612828293E-4</v>
      </c>
      <c r="L593" t="s">
        <v>168</v>
      </c>
      <c r="N593" t="s">
        <v>206</v>
      </c>
      <c r="O593" t="s">
        <v>353</v>
      </c>
      <c r="P593">
        <v>8.0272027638277524E-5</v>
      </c>
      <c r="Q593" t="s">
        <v>168</v>
      </c>
      <c r="S593" t="s">
        <v>225</v>
      </c>
      <c r="T593" t="s">
        <v>353</v>
      </c>
      <c r="U593">
        <v>1.4857112180197555E-5</v>
      </c>
      <c r="V593" t="s">
        <v>168</v>
      </c>
    </row>
    <row r="594" spans="9:22" x14ac:dyDescent="0.45">
      <c r="I594" t="s">
        <v>182</v>
      </c>
      <c r="J594" t="s">
        <v>354</v>
      </c>
      <c r="K594">
        <v>3.1798078464904028E-4</v>
      </c>
      <c r="L594" t="s">
        <v>168</v>
      </c>
      <c r="N594" t="s">
        <v>206</v>
      </c>
      <c r="O594" t="s">
        <v>354</v>
      </c>
      <c r="P594">
        <v>8.698142111985787E-5</v>
      </c>
      <c r="Q594" t="s">
        <v>168</v>
      </c>
      <c r="S594" t="s">
        <v>225</v>
      </c>
      <c r="T594" t="s">
        <v>354</v>
      </c>
      <c r="U594">
        <v>2.6576718713586788E-5</v>
      </c>
      <c r="V594" t="s">
        <v>168</v>
      </c>
    </row>
    <row r="595" spans="9:22" x14ac:dyDescent="0.45">
      <c r="I595" t="s">
        <v>182</v>
      </c>
      <c r="J595" t="s">
        <v>355</v>
      </c>
      <c r="K595">
        <v>2.9434956044633177E-4</v>
      </c>
      <c r="L595" t="s">
        <v>168</v>
      </c>
      <c r="N595" t="s">
        <v>206</v>
      </c>
      <c r="O595" t="s">
        <v>355</v>
      </c>
      <c r="P595">
        <v>9.5766529909642144E-5</v>
      </c>
      <c r="Q595" t="s">
        <v>168</v>
      </c>
      <c r="S595" t="s">
        <v>225</v>
      </c>
      <c r="T595" t="s">
        <v>355</v>
      </c>
      <c r="U595">
        <v>3.8045141741193007E-5</v>
      </c>
      <c r="V595" t="s">
        <v>168</v>
      </c>
    </row>
    <row r="596" spans="9:22" x14ac:dyDescent="0.45">
      <c r="I596" t="s">
        <v>182</v>
      </c>
      <c r="J596" t="s">
        <v>356</v>
      </c>
      <c r="K596">
        <v>3.0302186989772427E-4</v>
      </c>
      <c r="L596" t="s">
        <v>168</v>
      </c>
      <c r="N596" t="s">
        <v>206</v>
      </c>
      <c r="O596" t="s">
        <v>356</v>
      </c>
      <c r="P596">
        <v>1.0160841780212255E-4</v>
      </c>
      <c r="Q596" t="s">
        <v>168</v>
      </c>
      <c r="S596" t="s">
        <v>225</v>
      </c>
      <c r="T596" t="s">
        <v>356</v>
      </c>
      <c r="U596">
        <v>4.9023951722950491E-5</v>
      </c>
      <c r="V596" t="s">
        <v>168</v>
      </c>
    </row>
    <row r="597" spans="9:22" x14ac:dyDescent="0.45">
      <c r="I597" t="s">
        <v>182</v>
      </c>
      <c r="J597" t="s">
        <v>357</v>
      </c>
      <c r="K597">
        <v>1.971234449941566E-4</v>
      </c>
      <c r="L597" t="s">
        <v>168</v>
      </c>
      <c r="N597" t="s">
        <v>206</v>
      </c>
      <c r="O597" t="s">
        <v>357</v>
      </c>
      <c r="P597">
        <v>1.0107222619286802E-4</v>
      </c>
      <c r="Q597" t="s">
        <v>168</v>
      </c>
      <c r="S597" t="s">
        <v>225</v>
      </c>
      <c r="T597" t="s">
        <v>357</v>
      </c>
      <c r="U597">
        <v>5.7574081638965317E-5</v>
      </c>
      <c r="V597" t="s">
        <v>168</v>
      </c>
    </row>
    <row r="598" spans="9:22" x14ac:dyDescent="0.45">
      <c r="I598" t="s">
        <v>182</v>
      </c>
      <c r="J598" t="s">
        <v>358</v>
      </c>
      <c r="K598">
        <v>1.3394141889510203E-4</v>
      </c>
      <c r="L598" t="s">
        <v>168</v>
      </c>
      <c r="N598" t="s">
        <v>206</v>
      </c>
      <c r="O598" t="s">
        <v>358</v>
      </c>
      <c r="P598">
        <v>1.1214078970131794E-4</v>
      </c>
      <c r="Q598" t="s">
        <v>168</v>
      </c>
      <c r="S598" t="s">
        <v>225</v>
      </c>
      <c r="T598" t="s">
        <v>358</v>
      </c>
      <c r="U598">
        <v>5.6889262857792265E-5</v>
      </c>
      <c r="V598" t="s">
        <v>168</v>
      </c>
    </row>
    <row r="599" spans="9:22" x14ac:dyDescent="0.45">
      <c r="I599" t="s">
        <v>182</v>
      </c>
      <c r="J599" t="s">
        <v>359</v>
      </c>
      <c r="K599">
        <v>0</v>
      </c>
      <c r="L599" t="s">
        <v>168</v>
      </c>
      <c r="N599" t="s">
        <v>206</v>
      </c>
      <c r="O599" t="s">
        <v>359</v>
      </c>
      <c r="P599">
        <v>1.2770439658089068E-4</v>
      </c>
      <c r="Q599" t="s">
        <v>168</v>
      </c>
      <c r="S599" t="s">
        <v>225</v>
      </c>
      <c r="T599" t="s">
        <v>359</v>
      </c>
      <c r="U599">
        <v>4.8840375221007375E-5</v>
      </c>
      <c r="V599" t="s">
        <v>168</v>
      </c>
    </row>
    <row r="600" spans="9:22" x14ac:dyDescent="0.45">
      <c r="I600" t="s">
        <v>182</v>
      </c>
      <c r="J600" t="s">
        <v>360</v>
      </c>
      <c r="K600">
        <v>0</v>
      </c>
      <c r="L600" t="s">
        <v>168</v>
      </c>
      <c r="N600" t="s">
        <v>206</v>
      </c>
      <c r="O600" t="s">
        <v>360</v>
      </c>
      <c r="P600">
        <v>1.4518125855775789E-4</v>
      </c>
      <c r="Q600" t="s">
        <v>168</v>
      </c>
      <c r="S600" t="s">
        <v>225</v>
      </c>
      <c r="T600" t="s">
        <v>360</v>
      </c>
      <c r="U600">
        <v>3.494261230089173E-5</v>
      </c>
      <c r="V600" t="s">
        <v>168</v>
      </c>
    </row>
    <row r="601" spans="9:22" x14ac:dyDescent="0.45">
      <c r="I601" t="s">
        <v>182</v>
      </c>
      <c r="J601" t="s">
        <v>361</v>
      </c>
      <c r="K601">
        <v>0</v>
      </c>
      <c r="L601" t="s">
        <v>168</v>
      </c>
      <c r="N601" t="s">
        <v>206</v>
      </c>
      <c r="O601" t="s">
        <v>361</v>
      </c>
      <c r="P601">
        <v>1.4017897591692461E-4</v>
      </c>
      <c r="Q601" t="s">
        <v>168</v>
      </c>
      <c r="S601" t="s">
        <v>225</v>
      </c>
      <c r="T601" t="s">
        <v>361</v>
      </c>
      <c r="U601">
        <v>2.1825304130045355E-5</v>
      </c>
      <c r="V601" t="s">
        <v>168</v>
      </c>
    </row>
    <row r="602" spans="9:22" x14ac:dyDescent="0.45">
      <c r="I602" t="s">
        <v>182</v>
      </c>
      <c r="J602" t="s">
        <v>362</v>
      </c>
      <c r="K602">
        <v>0</v>
      </c>
      <c r="L602" t="s">
        <v>168</v>
      </c>
      <c r="N602" t="s">
        <v>206</v>
      </c>
      <c r="O602" t="s">
        <v>362</v>
      </c>
      <c r="P602">
        <v>1.1568758604603416E-4</v>
      </c>
      <c r="Q602" t="s">
        <v>168</v>
      </c>
      <c r="S602" t="s">
        <v>225</v>
      </c>
      <c r="T602" t="s">
        <v>362</v>
      </c>
      <c r="U602">
        <v>1.2873909953205705E-5</v>
      </c>
      <c r="V602" t="s">
        <v>168</v>
      </c>
    </row>
    <row r="603" spans="9:22" x14ac:dyDescent="0.45">
      <c r="I603" t="s">
        <v>182</v>
      </c>
      <c r="J603" t="s">
        <v>363</v>
      </c>
      <c r="K603">
        <v>0</v>
      </c>
      <c r="L603" t="s">
        <v>168</v>
      </c>
      <c r="N603" t="s">
        <v>206</v>
      </c>
      <c r="O603" t="s">
        <v>363</v>
      </c>
      <c r="P603">
        <v>8.6548199595542024E-5</v>
      </c>
      <c r="Q603" t="s">
        <v>168</v>
      </c>
      <c r="S603" t="s">
        <v>225</v>
      </c>
      <c r="T603" t="s">
        <v>363</v>
      </c>
      <c r="U603">
        <v>2.8332152899118476E-6</v>
      </c>
      <c r="V603" t="s">
        <v>168</v>
      </c>
    </row>
    <row r="604" spans="9:22" x14ac:dyDescent="0.45">
      <c r="I604" t="s">
        <v>182</v>
      </c>
      <c r="J604" t="s">
        <v>364</v>
      </c>
      <c r="K604">
        <v>0</v>
      </c>
      <c r="L604" t="s">
        <v>168</v>
      </c>
      <c r="N604" t="s">
        <v>206</v>
      </c>
      <c r="O604" t="s">
        <v>364</v>
      </c>
      <c r="P604">
        <v>7.1041607378711914E-5</v>
      </c>
      <c r="Q604" t="s">
        <v>168</v>
      </c>
      <c r="S604" t="s">
        <v>225</v>
      </c>
      <c r="T604" t="s">
        <v>364</v>
      </c>
      <c r="U604">
        <v>8.0589494418088914E-7</v>
      </c>
      <c r="V604" t="s">
        <v>168</v>
      </c>
    </row>
    <row r="605" spans="9:22" x14ac:dyDescent="0.45">
      <c r="I605" t="s">
        <v>182</v>
      </c>
      <c r="J605" t="s">
        <v>277</v>
      </c>
      <c r="K605">
        <v>3.4088956524461742E-3</v>
      </c>
      <c r="L605" t="s">
        <v>168</v>
      </c>
      <c r="N605" t="s">
        <v>206</v>
      </c>
      <c r="O605" t="s">
        <v>277</v>
      </c>
      <c r="P605">
        <v>6.8558587939969939E-2</v>
      </c>
      <c r="Q605" t="s">
        <v>168</v>
      </c>
      <c r="S605" t="s">
        <v>225</v>
      </c>
      <c r="T605" t="s">
        <v>277</v>
      </c>
      <c r="U605">
        <v>6.6977282772221869E-2</v>
      </c>
      <c r="V605" t="s">
        <v>168</v>
      </c>
    </row>
    <row r="606" spans="9:22" x14ac:dyDescent="0.45">
      <c r="I606" t="s">
        <v>182</v>
      </c>
      <c r="J606" t="s">
        <v>278</v>
      </c>
      <c r="K606">
        <v>7.3510638715542677E-3</v>
      </c>
      <c r="L606" t="s">
        <v>168</v>
      </c>
      <c r="N606" t="s">
        <v>206</v>
      </c>
      <c r="O606" t="s">
        <v>278</v>
      </c>
      <c r="P606">
        <v>9.0681489394072307E-3</v>
      </c>
      <c r="Q606" t="s">
        <v>168</v>
      </c>
      <c r="S606" t="s">
        <v>225</v>
      </c>
      <c r="T606" t="s">
        <v>278</v>
      </c>
      <c r="U606">
        <v>8.3557445476629567E-3</v>
      </c>
      <c r="V606" t="s">
        <v>168</v>
      </c>
    </row>
    <row r="607" spans="9:22" x14ac:dyDescent="0.45">
      <c r="I607" t="s">
        <v>182</v>
      </c>
      <c r="J607" t="s">
        <v>279</v>
      </c>
      <c r="K607">
        <v>1.0304842352800931E-2</v>
      </c>
      <c r="L607" t="s">
        <v>168</v>
      </c>
      <c r="N607" t="s">
        <v>206</v>
      </c>
      <c r="O607" t="s">
        <v>279</v>
      </c>
      <c r="P607">
        <v>9.0659699043336948E-3</v>
      </c>
      <c r="Q607" t="s">
        <v>168</v>
      </c>
      <c r="S607" t="s">
        <v>225</v>
      </c>
      <c r="T607" t="s">
        <v>279</v>
      </c>
      <c r="U607">
        <v>8.4249916796944237E-3</v>
      </c>
      <c r="V607" t="s">
        <v>168</v>
      </c>
    </row>
    <row r="608" spans="9:22" x14ac:dyDescent="0.45">
      <c r="I608" t="s">
        <v>182</v>
      </c>
      <c r="J608" t="s">
        <v>280</v>
      </c>
      <c r="K608">
        <v>6.4695264715076417E-2</v>
      </c>
      <c r="L608" t="s">
        <v>168</v>
      </c>
      <c r="N608" t="s">
        <v>206</v>
      </c>
      <c r="O608" t="s">
        <v>280</v>
      </c>
      <c r="P608">
        <v>6.8140304226310011E-2</v>
      </c>
      <c r="Q608" t="s">
        <v>168</v>
      </c>
      <c r="S608" t="s">
        <v>225</v>
      </c>
      <c r="T608" t="s">
        <v>280</v>
      </c>
      <c r="U608">
        <v>5.1802559641453638E-2</v>
      </c>
      <c r="V608" t="s">
        <v>168</v>
      </c>
    </row>
    <row r="609" spans="9:22" x14ac:dyDescent="0.45">
      <c r="I609" t="s">
        <v>182</v>
      </c>
      <c r="J609" t="s">
        <v>281</v>
      </c>
      <c r="K609">
        <v>5.1736408859602758E-3</v>
      </c>
      <c r="L609" t="s">
        <v>168</v>
      </c>
      <c r="N609" t="s">
        <v>206</v>
      </c>
      <c r="O609" t="s">
        <v>281</v>
      </c>
      <c r="P609">
        <v>1.1606814210299247E-2</v>
      </c>
      <c r="Q609" t="s">
        <v>168</v>
      </c>
      <c r="S609" t="s">
        <v>225</v>
      </c>
      <c r="T609" t="s">
        <v>281</v>
      </c>
      <c r="U609">
        <v>8.8609712454434802E-3</v>
      </c>
      <c r="V609" t="s">
        <v>168</v>
      </c>
    </row>
    <row r="610" spans="9:22" x14ac:dyDescent="0.45">
      <c r="I610" t="s">
        <v>182</v>
      </c>
      <c r="J610" t="s">
        <v>282</v>
      </c>
      <c r="K610">
        <v>6.0352025137870439E-4</v>
      </c>
      <c r="L610" t="s">
        <v>168</v>
      </c>
      <c r="N610" t="s">
        <v>206</v>
      </c>
      <c r="O610" t="s">
        <v>282</v>
      </c>
      <c r="P610">
        <v>7.1224879477634673E-2</v>
      </c>
      <c r="Q610" t="s">
        <v>168</v>
      </c>
      <c r="S610" t="s">
        <v>225</v>
      </c>
      <c r="T610" t="s">
        <v>282</v>
      </c>
      <c r="U610">
        <v>6.0491120164812132E-2</v>
      </c>
      <c r="V610" t="s">
        <v>168</v>
      </c>
    </row>
    <row r="611" spans="9:22" x14ac:dyDescent="0.45">
      <c r="I611" t="s">
        <v>182</v>
      </c>
      <c r="J611" t="s">
        <v>283</v>
      </c>
      <c r="K611">
        <v>0</v>
      </c>
      <c r="L611" t="s">
        <v>168</v>
      </c>
      <c r="N611" t="s">
        <v>206</v>
      </c>
      <c r="O611" t="s">
        <v>283</v>
      </c>
      <c r="P611">
        <v>3.7880914019270372E-2</v>
      </c>
      <c r="Q611" t="s">
        <v>168</v>
      </c>
      <c r="S611" t="s">
        <v>225</v>
      </c>
      <c r="T611" t="s">
        <v>283</v>
      </c>
      <c r="U611">
        <v>2.1905959815022313E-2</v>
      </c>
      <c r="V611" t="s">
        <v>168</v>
      </c>
    </row>
    <row r="612" spans="9:22" x14ac:dyDescent="0.45">
      <c r="I612" t="s">
        <v>182</v>
      </c>
      <c r="J612" t="s">
        <v>284</v>
      </c>
      <c r="K612">
        <v>2.9694017572538269E-3</v>
      </c>
      <c r="L612" t="s">
        <v>168</v>
      </c>
      <c r="N612" t="s">
        <v>206</v>
      </c>
      <c r="O612" t="s">
        <v>284</v>
      </c>
      <c r="P612">
        <v>5.023003173937988E-3</v>
      </c>
      <c r="Q612" t="s">
        <v>168</v>
      </c>
      <c r="S612" t="s">
        <v>225</v>
      </c>
      <c r="T612" t="s">
        <v>284</v>
      </c>
      <c r="U612">
        <v>2.7528618533708997E-3</v>
      </c>
      <c r="V612" t="s">
        <v>168</v>
      </c>
    </row>
    <row r="613" spans="9:22" x14ac:dyDescent="0.45">
      <c r="I613" t="s">
        <v>182</v>
      </c>
      <c r="J613" t="s">
        <v>285</v>
      </c>
      <c r="K613">
        <v>4.8442102248899927E-3</v>
      </c>
      <c r="L613" t="s">
        <v>168</v>
      </c>
      <c r="N613" t="s">
        <v>206</v>
      </c>
      <c r="O613" t="s">
        <v>285</v>
      </c>
      <c r="P613">
        <v>4.9467150996181757E-3</v>
      </c>
      <c r="Q613" t="s">
        <v>168</v>
      </c>
      <c r="S613" t="s">
        <v>225</v>
      </c>
      <c r="T613" t="s">
        <v>285</v>
      </c>
      <c r="U613">
        <v>2.6977484560455792E-3</v>
      </c>
      <c r="V613" t="s">
        <v>168</v>
      </c>
    </row>
    <row r="614" spans="9:22" x14ac:dyDescent="0.45">
      <c r="I614" t="s">
        <v>182</v>
      </c>
      <c r="J614" t="s">
        <v>286</v>
      </c>
      <c r="K614">
        <v>3.4740761971278254E-2</v>
      </c>
      <c r="L614" t="s">
        <v>168</v>
      </c>
      <c r="N614" t="s">
        <v>206</v>
      </c>
      <c r="O614" t="s">
        <v>286</v>
      </c>
      <c r="P614">
        <v>2.6965645811959881E-2</v>
      </c>
      <c r="Q614" t="s">
        <v>168</v>
      </c>
      <c r="S614" t="s">
        <v>225</v>
      </c>
      <c r="T614" t="s">
        <v>286</v>
      </c>
      <c r="U614">
        <v>1.6164741583317547E-2</v>
      </c>
      <c r="V614" t="s">
        <v>168</v>
      </c>
    </row>
    <row r="615" spans="9:22" x14ac:dyDescent="0.45">
      <c r="I615" t="s">
        <v>182</v>
      </c>
      <c r="J615" t="s">
        <v>287</v>
      </c>
      <c r="K615">
        <v>9.4955963558805397E-4</v>
      </c>
      <c r="L615" t="s">
        <v>168</v>
      </c>
      <c r="N615" t="s">
        <v>206</v>
      </c>
      <c r="O615" t="s">
        <v>287</v>
      </c>
      <c r="P615">
        <v>4.19972319194333E-3</v>
      </c>
      <c r="Q615" t="s">
        <v>168</v>
      </c>
      <c r="S615" t="s">
        <v>225</v>
      </c>
      <c r="T615" t="s">
        <v>287</v>
      </c>
      <c r="U615">
        <v>2.6215922758423748E-3</v>
      </c>
      <c r="V615" t="s">
        <v>168</v>
      </c>
    </row>
    <row r="616" spans="9:22" x14ac:dyDescent="0.45">
      <c r="I616" t="s">
        <v>182</v>
      </c>
      <c r="J616" t="s">
        <v>288</v>
      </c>
      <c r="K616">
        <v>0</v>
      </c>
      <c r="L616" t="s">
        <v>168</v>
      </c>
      <c r="N616" t="s">
        <v>206</v>
      </c>
      <c r="O616" t="s">
        <v>288</v>
      </c>
      <c r="P616">
        <v>2.6902386054187918E-2</v>
      </c>
      <c r="Q616" t="s">
        <v>168</v>
      </c>
      <c r="S616" t="s">
        <v>225</v>
      </c>
      <c r="T616" t="s">
        <v>288</v>
      </c>
      <c r="U616">
        <v>1.6876259032587576E-2</v>
      </c>
      <c r="V616" t="s">
        <v>168</v>
      </c>
    </row>
    <row r="617" spans="9:22" x14ac:dyDescent="0.45">
      <c r="I617" t="s">
        <v>182</v>
      </c>
      <c r="J617" t="s">
        <v>365</v>
      </c>
      <c r="K617">
        <v>0</v>
      </c>
      <c r="L617" t="s">
        <v>168</v>
      </c>
      <c r="N617" t="s">
        <v>206</v>
      </c>
      <c r="O617" t="s">
        <v>365</v>
      </c>
      <c r="P617">
        <v>3.5323636088473194E-9</v>
      </c>
      <c r="Q617" t="s">
        <v>168</v>
      </c>
      <c r="S617" t="s">
        <v>225</v>
      </c>
      <c r="T617" t="s">
        <v>365</v>
      </c>
      <c r="U617">
        <v>4.3173639793915988E-6</v>
      </c>
      <c r="V617" t="s">
        <v>168</v>
      </c>
    </row>
    <row r="618" spans="9:22" x14ac:dyDescent="0.45">
      <c r="I618" t="s">
        <v>182</v>
      </c>
      <c r="J618" t="s">
        <v>366</v>
      </c>
      <c r="K618">
        <v>0</v>
      </c>
      <c r="L618" t="s">
        <v>168</v>
      </c>
      <c r="N618" t="s">
        <v>206</v>
      </c>
      <c r="O618" t="s">
        <v>366</v>
      </c>
      <c r="P618">
        <v>4.1728965427167232E-9</v>
      </c>
      <c r="Q618" t="s">
        <v>168</v>
      </c>
      <c r="S618" t="s">
        <v>225</v>
      </c>
      <c r="T618" t="s">
        <v>366</v>
      </c>
      <c r="U618">
        <v>4.6102854294255774E-6</v>
      </c>
      <c r="V618" t="s">
        <v>168</v>
      </c>
    </row>
    <row r="619" spans="9:22" x14ac:dyDescent="0.45">
      <c r="I619" t="s">
        <v>182</v>
      </c>
      <c r="J619" t="s">
        <v>367</v>
      </c>
      <c r="K619">
        <v>0</v>
      </c>
      <c r="L619" t="s">
        <v>168</v>
      </c>
      <c r="N619" t="s">
        <v>206</v>
      </c>
      <c r="O619" t="s">
        <v>367</v>
      </c>
      <c r="P619">
        <v>6.6492570917892048E-9</v>
      </c>
      <c r="Q619" t="s">
        <v>168</v>
      </c>
      <c r="S619" t="s">
        <v>225</v>
      </c>
      <c r="T619" t="s">
        <v>367</v>
      </c>
      <c r="U619">
        <v>4.3624090441831143E-6</v>
      </c>
      <c r="V619" t="s">
        <v>168</v>
      </c>
    </row>
    <row r="620" spans="9:22" x14ac:dyDescent="0.45">
      <c r="I620" t="s">
        <v>182</v>
      </c>
      <c r="J620" t="s">
        <v>368</v>
      </c>
      <c r="K620">
        <v>0</v>
      </c>
      <c r="L620" t="s">
        <v>168</v>
      </c>
      <c r="N620" t="s">
        <v>206</v>
      </c>
      <c r="O620" t="s">
        <v>368</v>
      </c>
      <c r="P620">
        <v>1.0100893143648698E-8</v>
      </c>
      <c r="Q620" t="s">
        <v>168</v>
      </c>
      <c r="S620" t="s">
        <v>225</v>
      </c>
      <c r="T620" t="s">
        <v>368</v>
      </c>
      <c r="U620">
        <v>5.2008186803892127E-6</v>
      </c>
      <c r="V620" t="s">
        <v>168</v>
      </c>
    </row>
    <row r="621" spans="9:22" x14ac:dyDescent="0.45">
      <c r="I621" t="s">
        <v>182</v>
      </c>
      <c r="J621" t="s">
        <v>369</v>
      </c>
      <c r="K621">
        <v>0</v>
      </c>
      <c r="L621" t="s">
        <v>168</v>
      </c>
      <c r="N621" t="s">
        <v>206</v>
      </c>
      <c r="O621" t="s">
        <v>369</v>
      </c>
      <c r="P621">
        <v>3.4758661009476083E-8</v>
      </c>
      <c r="Q621" t="s">
        <v>168</v>
      </c>
      <c r="S621" t="s">
        <v>225</v>
      </c>
      <c r="T621" t="s">
        <v>369</v>
      </c>
      <c r="U621">
        <v>4.6121202167791779E-6</v>
      </c>
      <c r="V621" t="s">
        <v>168</v>
      </c>
    </row>
    <row r="622" spans="9:22" x14ac:dyDescent="0.45">
      <c r="I622" t="s">
        <v>182</v>
      </c>
      <c r="J622" t="s">
        <v>370</v>
      </c>
      <c r="K622">
        <v>0</v>
      </c>
      <c r="L622" t="s">
        <v>168</v>
      </c>
      <c r="N622" t="s">
        <v>206</v>
      </c>
      <c r="O622" t="s">
        <v>370</v>
      </c>
      <c r="P622">
        <v>2.2156083505553097E-8</v>
      </c>
      <c r="Q622" t="s">
        <v>168</v>
      </c>
      <c r="S622" t="s">
        <v>225</v>
      </c>
      <c r="T622" t="s">
        <v>370</v>
      </c>
      <c r="U622">
        <v>3.976909503787264E-6</v>
      </c>
      <c r="V622" t="s">
        <v>168</v>
      </c>
    </row>
    <row r="623" spans="9:22" x14ac:dyDescent="0.45">
      <c r="I623" t="s">
        <v>182</v>
      </c>
      <c r="J623" t="s">
        <v>371</v>
      </c>
      <c r="K623">
        <v>0</v>
      </c>
      <c r="L623" t="s">
        <v>168</v>
      </c>
      <c r="N623" t="s">
        <v>206</v>
      </c>
      <c r="O623" t="s">
        <v>371</v>
      </c>
      <c r="P623">
        <v>4.2717356406115941E-8</v>
      </c>
      <c r="Q623" t="s">
        <v>168</v>
      </c>
      <c r="S623" t="s">
        <v>225</v>
      </c>
      <c r="T623" t="s">
        <v>371</v>
      </c>
      <c r="U623">
        <v>2.3124398411910484E-6</v>
      </c>
      <c r="V623" t="s">
        <v>168</v>
      </c>
    </row>
    <row r="624" spans="9:22" x14ac:dyDescent="0.45">
      <c r="I624" t="s">
        <v>182</v>
      </c>
      <c r="J624" t="s">
        <v>372</v>
      </c>
      <c r="K624">
        <v>0</v>
      </c>
      <c r="L624" t="s">
        <v>168</v>
      </c>
      <c r="N624" t="s">
        <v>206</v>
      </c>
      <c r="O624" t="s">
        <v>372</v>
      </c>
      <c r="P624">
        <v>1.5314946792415801E-7</v>
      </c>
      <c r="Q624" t="s">
        <v>168</v>
      </c>
      <c r="S624" t="s">
        <v>225</v>
      </c>
      <c r="T624" t="s">
        <v>372</v>
      </c>
      <c r="U624">
        <v>1.7998589922362676E-6</v>
      </c>
      <c r="V624" t="s">
        <v>168</v>
      </c>
    </row>
    <row r="625" spans="9:22" x14ac:dyDescent="0.45">
      <c r="I625" t="s">
        <v>182</v>
      </c>
      <c r="J625" t="s">
        <v>373</v>
      </c>
      <c r="K625">
        <v>4.6719095634231916E-5</v>
      </c>
      <c r="L625" t="s">
        <v>168</v>
      </c>
      <c r="N625" t="s">
        <v>206</v>
      </c>
      <c r="O625" t="s">
        <v>373</v>
      </c>
      <c r="P625">
        <v>2.0781575195544854E-7</v>
      </c>
      <c r="Q625" t="s">
        <v>168</v>
      </c>
      <c r="S625" t="s">
        <v>225</v>
      </c>
      <c r="T625" t="s">
        <v>373</v>
      </c>
      <c r="U625">
        <v>1.5408114328720936E-6</v>
      </c>
      <c r="V625" t="s">
        <v>168</v>
      </c>
    </row>
    <row r="626" spans="9:22" x14ac:dyDescent="0.45">
      <c r="I626" t="s">
        <v>182</v>
      </c>
      <c r="J626" t="s">
        <v>374</v>
      </c>
      <c r="K626">
        <v>1.1655657509639706E-4</v>
      </c>
      <c r="L626" t="s">
        <v>168</v>
      </c>
      <c r="N626" t="s">
        <v>206</v>
      </c>
      <c r="O626" t="s">
        <v>374</v>
      </c>
      <c r="P626">
        <v>3.5440198166391568E-7</v>
      </c>
      <c r="Q626" t="s">
        <v>168</v>
      </c>
      <c r="S626" t="s">
        <v>225</v>
      </c>
      <c r="T626" t="s">
        <v>374</v>
      </c>
      <c r="U626">
        <v>1.5666689484800352E-6</v>
      </c>
      <c r="V626" t="s">
        <v>168</v>
      </c>
    </row>
    <row r="627" spans="9:22" x14ac:dyDescent="0.45">
      <c r="I627" t="s">
        <v>182</v>
      </c>
      <c r="J627" t="s">
        <v>375</v>
      </c>
      <c r="K627">
        <v>1.4151547901309705E-4</v>
      </c>
      <c r="L627" t="s">
        <v>168</v>
      </c>
      <c r="N627" t="s">
        <v>206</v>
      </c>
      <c r="O627" t="s">
        <v>375</v>
      </c>
      <c r="P627">
        <v>4.0270495926492135E-6</v>
      </c>
      <c r="Q627" t="s">
        <v>168</v>
      </c>
      <c r="S627" t="s">
        <v>225</v>
      </c>
      <c r="T627" t="s">
        <v>375</v>
      </c>
      <c r="U627">
        <v>1.9144377829825369E-6</v>
      </c>
      <c r="V627" t="s">
        <v>168</v>
      </c>
    </row>
    <row r="628" spans="9:22" x14ac:dyDescent="0.45">
      <c r="I628" t="s">
        <v>182</v>
      </c>
      <c r="J628" t="s">
        <v>376</v>
      </c>
      <c r="K628">
        <v>1.4953021817735928E-4</v>
      </c>
      <c r="L628" t="s">
        <v>168</v>
      </c>
      <c r="N628" t="s">
        <v>206</v>
      </c>
      <c r="O628" t="s">
        <v>376</v>
      </c>
      <c r="P628">
        <v>1.4360580720648105E-7</v>
      </c>
      <c r="Q628" t="s">
        <v>168</v>
      </c>
      <c r="S628" t="s">
        <v>225</v>
      </c>
      <c r="T628" t="s">
        <v>376</v>
      </c>
      <c r="U628">
        <v>4.1578392478679021E-6</v>
      </c>
      <c r="V628" t="s">
        <v>168</v>
      </c>
    </row>
    <row r="629" spans="9:22" x14ac:dyDescent="0.45">
      <c r="I629" t="s">
        <v>182</v>
      </c>
      <c r="J629" t="s">
        <v>377</v>
      </c>
      <c r="K629">
        <v>1.5002933670767098E-4</v>
      </c>
      <c r="L629" t="s">
        <v>168</v>
      </c>
      <c r="N629" t="s">
        <v>206</v>
      </c>
      <c r="O629" t="s">
        <v>377</v>
      </c>
      <c r="P629">
        <v>1.3042335654243569E-8</v>
      </c>
      <c r="Q629" t="s">
        <v>168</v>
      </c>
      <c r="S629" t="s">
        <v>225</v>
      </c>
      <c r="T629" t="s">
        <v>377</v>
      </c>
      <c r="U629">
        <v>4.6507089360788584E-6</v>
      </c>
      <c r="V629" t="s">
        <v>168</v>
      </c>
    </row>
    <row r="630" spans="9:22" x14ac:dyDescent="0.45">
      <c r="I630" t="s">
        <v>182</v>
      </c>
      <c r="J630" t="s">
        <v>378</v>
      </c>
      <c r="K630">
        <v>1.9919288860311833E-4</v>
      </c>
      <c r="L630" t="s">
        <v>168</v>
      </c>
      <c r="N630" t="s">
        <v>206</v>
      </c>
      <c r="O630" t="s">
        <v>378</v>
      </c>
      <c r="P630">
        <v>7.8165088133378907E-9</v>
      </c>
      <c r="Q630" t="s">
        <v>168</v>
      </c>
      <c r="S630" t="s">
        <v>225</v>
      </c>
      <c r="T630" t="s">
        <v>378</v>
      </c>
      <c r="U630">
        <v>4.7701801618576192E-6</v>
      </c>
      <c r="V630" t="s">
        <v>168</v>
      </c>
    </row>
    <row r="631" spans="9:22" x14ac:dyDescent="0.45">
      <c r="I631" t="s">
        <v>182</v>
      </c>
      <c r="J631" t="s">
        <v>379</v>
      </c>
      <c r="K631">
        <v>1.9548958144263503E-4</v>
      </c>
      <c r="L631" t="s">
        <v>168</v>
      </c>
      <c r="N631" t="s">
        <v>206</v>
      </c>
      <c r="O631" t="s">
        <v>379</v>
      </c>
      <c r="P631">
        <v>4.2296375513833281E-8</v>
      </c>
      <c r="Q631" t="s">
        <v>168</v>
      </c>
      <c r="S631" t="s">
        <v>225</v>
      </c>
      <c r="T631" t="s">
        <v>379</v>
      </c>
      <c r="U631">
        <v>3.4864171250264863E-6</v>
      </c>
      <c r="V631" t="s">
        <v>168</v>
      </c>
    </row>
    <row r="632" spans="9:22" x14ac:dyDescent="0.45">
      <c r="I632" t="s">
        <v>182</v>
      </c>
      <c r="J632" t="s">
        <v>380</v>
      </c>
      <c r="K632">
        <v>1.3542314303210571E-4</v>
      </c>
      <c r="L632" t="s">
        <v>168</v>
      </c>
      <c r="N632" t="s">
        <v>206</v>
      </c>
      <c r="O632" t="s">
        <v>380</v>
      </c>
      <c r="P632">
        <v>2.1946888907434304E-7</v>
      </c>
      <c r="Q632" t="s">
        <v>168</v>
      </c>
      <c r="S632" t="s">
        <v>225</v>
      </c>
      <c r="T632" t="s">
        <v>380</v>
      </c>
      <c r="U632">
        <v>2.2559319324922681E-6</v>
      </c>
      <c r="V632" t="s">
        <v>168</v>
      </c>
    </row>
    <row r="633" spans="9:22" x14ac:dyDescent="0.45">
      <c r="I633" t="s">
        <v>182</v>
      </c>
      <c r="J633" t="s">
        <v>381</v>
      </c>
      <c r="K633">
        <v>1.5294680924713948E-6</v>
      </c>
      <c r="L633" t="s">
        <v>168</v>
      </c>
      <c r="N633" t="s">
        <v>206</v>
      </c>
      <c r="O633" t="s">
        <v>381</v>
      </c>
      <c r="P633">
        <v>3.649909714179842E-7</v>
      </c>
      <c r="Q633" t="s">
        <v>168</v>
      </c>
      <c r="S633" t="s">
        <v>225</v>
      </c>
      <c r="T633" t="s">
        <v>381</v>
      </c>
      <c r="U633">
        <v>1.6266015144935642E-6</v>
      </c>
      <c r="V633" t="s">
        <v>168</v>
      </c>
    </row>
    <row r="634" spans="9:22" x14ac:dyDescent="0.45">
      <c r="I634" t="s">
        <v>182</v>
      </c>
      <c r="J634" t="s">
        <v>382</v>
      </c>
      <c r="K634">
        <v>0</v>
      </c>
      <c r="L634" t="s">
        <v>168</v>
      </c>
      <c r="N634" t="s">
        <v>206</v>
      </c>
      <c r="O634" t="s">
        <v>382</v>
      </c>
      <c r="P634">
        <v>2.9643094387983652E-7</v>
      </c>
      <c r="Q634" t="s">
        <v>168</v>
      </c>
      <c r="S634" t="s">
        <v>225</v>
      </c>
      <c r="T634" t="s">
        <v>382</v>
      </c>
      <c r="U634">
        <v>1.4140576290490492E-6</v>
      </c>
      <c r="V634" t="s">
        <v>168</v>
      </c>
    </row>
    <row r="635" spans="9:22" x14ac:dyDescent="0.45">
      <c r="I635" t="s">
        <v>182</v>
      </c>
      <c r="J635" t="s">
        <v>383</v>
      </c>
      <c r="K635">
        <v>0</v>
      </c>
      <c r="L635" t="s">
        <v>168</v>
      </c>
      <c r="N635" t="s">
        <v>206</v>
      </c>
      <c r="O635" t="s">
        <v>383</v>
      </c>
      <c r="P635">
        <v>1.0541615856599294E-6</v>
      </c>
      <c r="Q635" t="s">
        <v>168</v>
      </c>
      <c r="S635" t="s">
        <v>225</v>
      </c>
      <c r="T635" t="s">
        <v>383</v>
      </c>
      <c r="U635">
        <v>8.7063836671825897E-7</v>
      </c>
      <c r="V635" t="s">
        <v>168</v>
      </c>
    </row>
    <row r="636" spans="9:22" x14ac:dyDescent="0.45">
      <c r="I636" t="s">
        <v>182</v>
      </c>
      <c r="J636" t="s">
        <v>384</v>
      </c>
      <c r="K636">
        <v>0</v>
      </c>
      <c r="L636" t="s">
        <v>168</v>
      </c>
      <c r="N636" t="s">
        <v>206</v>
      </c>
      <c r="O636" t="s">
        <v>384</v>
      </c>
      <c r="P636">
        <v>1.8513434395696268E-6</v>
      </c>
      <c r="Q636" t="s">
        <v>168</v>
      </c>
      <c r="S636" t="s">
        <v>225</v>
      </c>
      <c r="T636" t="s">
        <v>384</v>
      </c>
      <c r="U636">
        <v>2.7177821378435711E-7</v>
      </c>
      <c r="V636" t="s">
        <v>168</v>
      </c>
    </row>
    <row r="637" spans="9:22" x14ac:dyDescent="0.45">
      <c r="I637" t="s">
        <v>182</v>
      </c>
      <c r="J637" t="s">
        <v>385</v>
      </c>
      <c r="K637">
        <v>0</v>
      </c>
      <c r="L637" t="s">
        <v>168</v>
      </c>
      <c r="N637" t="s">
        <v>206</v>
      </c>
      <c r="O637" t="s">
        <v>385</v>
      </c>
      <c r="P637">
        <v>4.5975688338588577E-7</v>
      </c>
      <c r="Q637" t="s">
        <v>168</v>
      </c>
      <c r="S637" t="s">
        <v>225</v>
      </c>
      <c r="T637" t="s">
        <v>385</v>
      </c>
      <c r="U637">
        <v>0</v>
      </c>
      <c r="V637" t="s">
        <v>168</v>
      </c>
    </row>
    <row r="638" spans="9:22" x14ac:dyDescent="0.45">
      <c r="I638" t="s">
        <v>182</v>
      </c>
      <c r="J638" t="s">
        <v>386</v>
      </c>
      <c r="K638">
        <v>0</v>
      </c>
      <c r="L638" t="s">
        <v>168</v>
      </c>
      <c r="N638" t="s">
        <v>206</v>
      </c>
      <c r="O638" t="s">
        <v>386</v>
      </c>
      <c r="P638">
        <v>3.1875457118087878E-7</v>
      </c>
      <c r="Q638" t="s">
        <v>168</v>
      </c>
      <c r="S638" t="s">
        <v>225</v>
      </c>
      <c r="T638" t="s">
        <v>386</v>
      </c>
      <c r="U638">
        <v>0</v>
      </c>
      <c r="V638" t="s">
        <v>168</v>
      </c>
    </row>
    <row r="639" spans="9:22" x14ac:dyDescent="0.45">
      <c r="I639" t="s">
        <v>182</v>
      </c>
      <c r="J639" t="s">
        <v>387</v>
      </c>
      <c r="K639">
        <v>0</v>
      </c>
      <c r="L639" t="s">
        <v>168</v>
      </c>
      <c r="N639" t="s">
        <v>206</v>
      </c>
      <c r="O639" t="s">
        <v>387</v>
      </c>
      <c r="P639">
        <v>2.6796972682947654E-7</v>
      </c>
      <c r="Q639" t="s">
        <v>168</v>
      </c>
      <c r="S639" t="s">
        <v>225</v>
      </c>
      <c r="T639" t="s">
        <v>387</v>
      </c>
      <c r="U639">
        <v>1.9524116669065568E-6</v>
      </c>
      <c r="V639" t="s">
        <v>168</v>
      </c>
    </row>
    <row r="640" spans="9:22" x14ac:dyDescent="0.45">
      <c r="I640" t="s">
        <v>182</v>
      </c>
      <c r="J640" t="s">
        <v>388</v>
      </c>
      <c r="K640">
        <v>0</v>
      </c>
      <c r="L640" t="s">
        <v>168</v>
      </c>
      <c r="N640" t="s">
        <v>206</v>
      </c>
      <c r="O640" t="s">
        <v>388</v>
      </c>
      <c r="P640">
        <v>3.7971587117621213E-9</v>
      </c>
      <c r="Q640" t="s">
        <v>168</v>
      </c>
      <c r="S640" t="s">
        <v>225</v>
      </c>
      <c r="T640" t="s">
        <v>388</v>
      </c>
      <c r="U640">
        <v>1.8414033314038162E-6</v>
      </c>
      <c r="V640" t="s">
        <v>168</v>
      </c>
    </row>
    <row r="641" spans="9:22" x14ac:dyDescent="0.45">
      <c r="I641" t="s">
        <v>183</v>
      </c>
      <c r="J641" t="s">
        <v>167</v>
      </c>
      <c r="K641">
        <v>1.9525353543487936E-3</v>
      </c>
      <c r="L641" t="s">
        <v>168</v>
      </c>
      <c r="N641" t="s">
        <v>207</v>
      </c>
      <c r="O641" t="s">
        <v>167</v>
      </c>
      <c r="P641">
        <v>7.4195916562832337E-2</v>
      </c>
      <c r="Q641" t="s">
        <v>168</v>
      </c>
      <c r="S641" t="s">
        <v>226</v>
      </c>
      <c r="T641" t="s">
        <v>167</v>
      </c>
      <c r="U641">
        <v>7.0570225551127699E-2</v>
      </c>
      <c r="V641" t="s">
        <v>168</v>
      </c>
    </row>
    <row r="642" spans="9:22" x14ac:dyDescent="0.45">
      <c r="I642" t="s">
        <v>183</v>
      </c>
      <c r="J642" t="s">
        <v>169</v>
      </c>
      <c r="K642">
        <v>7.2205053656744303E-3</v>
      </c>
      <c r="L642" t="s">
        <v>168</v>
      </c>
      <c r="N642" t="s">
        <v>207</v>
      </c>
      <c r="O642" t="s">
        <v>169</v>
      </c>
      <c r="P642">
        <v>9.2854316014839688E-3</v>
      </c>
      <c r="Q642" t="s">
        <v>168</v>
      </c>
      <c r="S642" t="s">
        <v>226</v>
      </c>
      <c r="T642" t="s">
        <v>169</v>
      </c>
      <c r="U642">
        <v>8.8900612889737142E-3</v>
      </c>
      <c r="V642" t="s">
        <v>168</v>
      </c>
    </row>
    <row r="643" spans="9:22" x14ac:dyDescent="0.45">
      <c r="I643" t="s">
        <v>183</v>
      </c>
      <c r="J643" t="s">
        <v>170</v>
      </c>
      <c r="K643">
        <v>1.1030583059229878E-2</v>
      </c>
      <c r="L643" t="s">
        <v>168</v>
      </c>
      <c r="N643" t="s">
        <v>207</v>
      </c>
      <c r="O643" t="s">
        <v>170</v>
      </c>
      <c r="P643">
        <v>8.9724089180231153E-3</v>
      </c>
      <c r="Q643" t="s">
        <v>168</v>
      </c>
      <c r="S643" t="s">
        <v>226</v>
      </c>
      <c r="T643" t="s">
        <v>170</v>
      </c>
      <c r="U643">
        <v>9.0105946459319713E-3</v>
      </c>
      <c r="V643" t="s">
        <v>168</v>
      </c>
    </row>
    <row r="644" spans="9:22" x14ac:dyDescent="0.45">
      <c r="I644" t="s">
        <v>183</v>
      </c>
      <c r="J644" t="s">
        <v>256</v>
      </c>
      <c r="K644">
        <v>7.5417912560173175E-2</v>
      </c>
      <c r="L644" t="s">
        <v>168</v>
      </c>
      <c r="N644" t="s">
        <v>207</v>
      </c>
      <c r="O644" t="s">
        <v>256</v>
      </c>
      <c r="P644">
        <v>5.2811016664166592E-2</v>
      </c>
      <c r="Q644" t="s">
        <v>168</v>
      </c>
      <c r="S644" t="s">
        <v>226</v>
      </c>
      <c r="T644" t="s">
        <v>256</v>
      </c>
      <c r="U644">
        <v>5.3879717148530411E-2</v>
      </c>
      <c r="V644" t="s">
        <v>168</v>
      </c>
    </row>
    <row r="645" spans="9:22" x14ac:dyDescent="0.45">
      <c r="I645" t="s">
        <v>183</v>
      </c>
      <c r="J645" t="s">
        <v>257</v>
      </c>
      <c r="K645">
        <v>7.8425377587173894E-3</v>
      </c>
      <c r="L645" t="s">
        <v>168</v>
      </c>
      <c r="N645" t="s">
        <v>207</v>
      </c>
      <c r="O645" t="s">
        <v>257</v>
      </c>
      <c r="P645">
        <v>1.0186934805402715E-2</v>
      </c>
      <c r="Q645" t="s">
        <v>168</v>
      </c>
      <c r="S645" t="s">
        <v>226</v>
      </c>
      <c r="T645" t="s">
        <v>257</v>
      </c>
      <c r="U645">
        <v>9.365610958969919E-3</v>
      </c>
      <c r="V645" t="s">
        <v>168</v>
      </c>
    </row>
    <row r="646" spans="9:22" x14ac:dyDescent="0.45">
      <c r="I646" t="s">
        <v>183</v>
      </c>
      <c r="J646" t="s">
        <v>258</v>
      </c>
      <c r="K646">
        <v>2.4805525277758339E-3</v>
      </c>
      <c r="L646" t="s">
        <v>168</v>
      </c>
      <c r="N646" t="s">
        <v>207</v>
      </c>
      <c r="O646" t="s">
        <v>258</v>
      </c>
      <c r="P646">
        <v>6.5087501475974918E-2</v>
      </c>
      <c r="Q646" t="s">
        <v>168</v>
      </c>
      <c r="S646" t="s">
        <v>226</v>
      </c>
      <c r="T646" t="s">
        <v>258</v>
      </c>
      <c r="U646">
        <v>6.9536858378016125E-2</v>
      </c>
      <c r="V646" t="s">
        <v>168</v>
      </c>
    </row>
    <row r="647" spans="9:22" x14ac:dyDescent="0.45">
      <c r="I647" t="s">
        <v>183</v>
      </c>
      <c r="J647" t="s">
        <v>171</v>
      </c>
      <c r="K647">
        <v>4.4205596056888334E-2</v>
      </c>
      <c r="L647" t="s">
        <v>168</v>
      </c>
      <c r="N647" t="s">
        <v>207</v>
      </c>
      <c r="O647" t="s">
        <v>171</v>
      </c>
      <c r="P647">
        <v>0.10694988893008187</v>
      </c>
      <c r="Q647" t="s">
        <v>168</v>
      </c>
      <c r="S647" t="s">
        <v>226</v>
      </c>
      <c r="T647" t="s">
        <v>171</v>
      </c>
      <c r="U647">
        <v>0.12014538693999501</v>
      </c>
      <c r="V647" t="s">
        <v>168</v>
      </c>
    </row>
    <row r="648" spans="9:22" x14ac:dyDescent="0.45">
      <c r="I648" t="s">
        <v>183</v>
      </c>
      <c r="J648" t="s">
        <v>172</v>
      </c>
      <c r="K648">
        <v>3.1720219760898734E-2</v>
      </c>
      <c r="L648" t="s">
        <v>168</v>
      </c>
      <c r="N648" t="s">
        <v>207</v>
      </c>
      <c r="O648" t="s">
        <v>172</v>
      </c>
      <c r="P648">
        <v>1.2295142060666071E-2</v>
      </c>
      <c r="Q648" t="s">
        <v>168</v>
      </c>
      <c r="S648" t="s">
        <v>226</v>
      </c>
      <c r="T648" t="s">
        <v>172</v>
      </c>
      <c r="U648">
        <v>1.5419721409339483E-2</v>
      </c>
      <c r="V648" t="s">
        <v>168</v>
      </c>
    </row>
    <row r="649" spans="9:22" x14ac:dyDescent="0.45">
      <c r="I649" t="s">
        <v>183</v>
      </c>
      <c r="J649" t="s">
        <v>173</v>
      </c>
      <c r="K649">
        <v>3.6207990023673607E-2</v>
      </c>
      <c r="L649" t="s">
        <v>168</v>
      </c>
      <c r="N649" t="s">
        <v>207</v>
      </c>
      <c r="O649" t="s">
        <v>173</v>
      </c>
      <c r="P649">
        <v>1.1840690171160517E-2</v>
      </c>
      <c r="Q649" t="s">
        <v>168</v>
      </c>
      <c r="S649" t="s">
        <v>226</v>
      </c>
      <c r="T649" t="s">
        <v>173</v>
      </c>
      <c r="U649">
        <v>1.5559624399698586E-2</v>
      </c>
      <c r="V649" t="s">
        <v>168</v>
      </c>
    </row>
    <row r="650" spans="9:22" x14ac:dyDescent="0.45">
      <c r="I650" t="s">
        <v>183</v>
      </c>
      <c r="J650" t="s">
        <v>259</v>
      </c>
      <c r="K650">
        <v>0.23067219772417061</v>
      </c>
      <c r="L650" t="s">
        <v>168</v>
      </c>
      <c r="N650" t="s">
        <v>207</v>
      </c>
      <c r="O650" t="s">
        <v>259</v>
      </c>
      <c r="P650">
        <v>9.0274741239947318E-2</v>
      </c>
      <c r="Q650" t="s">
        <v>168</v>
      </c>
      <c r="S650" t="s">
        <v>226</v>
      </c>
      <c r="T650" t="s">
        <v>259</v>
      </c>
      <c r="U650">
        <v>9.4461959074145577E-2</v>
      </c>
      <c r="V650" t="s">
        <v>168</v>
      </c>
    </row>
    <row r="651" spans="9:22" x14ac:dyDescent="0.45">
      <c r="I651" t="s">
        <v>183</v>
      </c>
      <c r="J651" t="s">
        <v>260</v>
      </c>
      <c r="K651">
        <v>3.0079471440579774E-2</v>
      </c>
      <c r="L651" t="s">
        <v>168</v>
      </c>
      <c r="N651" t="s">
        <v>207</v>
      </c>
      <c r="O651" t="s">
        <v>260</v>
      </c>
      <c r="P651">
        <v>1.8451565408517171E-2</v>
      </c>
      <c r="Q651" t="s">
        <v>168</v>
      </c>
      <c r="S651" t="s">
        <v>226</v>
      </c>
      <c r="T651" t="s">
        <v>260</v>
      </c>
      <c r="U651">
        <v>1.7643170567797878E-2</v>
      </c>
      <c r="V651" t="s">
        <v>168</v>
      </c>
    </row>
    <row r="652" spans="9:22" x14ac:dyDescent="0.45">
      <c r="I652" t="s">
        <v>183</v>
      </c>
      <c r="J652" t="s">
        <v>261</v>
      </c>
      <c r="K652">
        <v>3.6110173781504835E-2</v>
      </c>
      <c r="L652" t="s">
        <v>168</v>
      </c>
      <c r="N652" t="s">
        <v>207</v>
      </c>
      <c r="O652" t="s">
        <v>261</v>
      </c>
      <c r="P652">
        <v>9.9214494780713355E-2</v>
      </c>
      <c r="Q652" t="s">
        <v>168</v>
      </c>
      <c r="S652" t="s">
        <v>226</v>
      </c>
      <c r="T652" t="s">
        <v>261</v>
      </c>
      <c r="U652">
        <v>0.12023154076947791</v>
      </c>
      <c r="V652" t="s">
        <v>168</v>
      </c>
    </row>
    <row r="653" spans="9:22" x14ac:dyDescent="0.45">
      <c r="I653" t="s">
        <v>183</v>
      </c>
      <c r="J653" t="s">
        <v>174</v>
      </c>
      <c r="K653">
        <v>1.5616452330613699E-2</v>
      </c>
      <c r="L653" t="s">
        <v>168</v>
      </c>
      <c r="N653" t="s">
        <v>207</v>
      </c>
      <c r="O653" t="s">
        <v>174</v>
      </c>
      <c r="P653">
        <v>2.1005849113484926E-2</v>
      </c>
      <c r="Q653" t="s">
        <v>168</v>
      </c>
      <c r="S653" t="s">
        <v>226</v>
      </c>
      <c r="T653" t="s">
        <v>174</v>
      </c>
      <c r="U653">
        <v>7.9060071684872914E-3</v>
      </c>
      <c r="V653" t="s">
        <v>168</v>
      </c>
    </row>
    <row r="654" spans="9:22" x14ac:dyDescent="0.45">
      <c r="I654" t="s">
        <v>183</v>
      </c>
      <c r="J654" t="s">
        <v>175</v>
      </c>
      <c r="K654">
        <v>9.4554200943849052E-3</v>
      </c>
      <c r="L654" t="s">
        <v>168</v>
      </c>
      <c r="N654" t="s">
        <v>207</v>
      </c>
      <c r="O654" t="s">
        <v>175</v>
      </c>
      <c r="P654">
        <v>2.2809698177098004E-3</v>
      </c>
      <c r="Q654" t="s">
        <v>168</v>
      </c>
      <c r="S654" t="s">
        <v>226</v>
      </c>
      <c r="T654" t="s">
        <v>175</v>
      </c>
      <c r="U654">
        <v>7.2885643145015843E-4</v>
      </c>
      <c r="V654" t="s">
        <v>168</v>
      </c>
    </row>
    <row r="655" spans="9:22" x14ac:dyDescent="0.45">
      <c r="I655" t="s">
        <v>183</v>
      </c>
      <c r="J655" t="s">
        <v>176</v>
      </c>
      <c r="K655">
        <v>1.0772815095631568E-2</v>
      </c>
      <c r="L655" t="s">
        <v>168</v>
      </c>
      <c r="N655" t="s">
        <v>207</v>
      </c>
      <c r="O655" t="s">
        <v>176</v>
      </c>
      <c r="P655">
        <v>2.4061251586599253E-3</v>
      </c>
      <c r="Q655" t="s">
        <v>168</v>
      </c>
      <c r="S655" t="s">
        <v>226</v>
      </c>
      <c r="T655" t="s">
        <v>176</v>
      </c>
      <c r="U655">
        <v>6.0877326874291297E-4</v>
      </c>
      <c r="V655" t="s">
        <v>168</v>
      </c>
    </row>
    <row r="656" spans="9:22" x14ac:dyDescent="0.45">
      <c r="I656" t="s">
        <v>183</v>
      </c>
      <c r="J656" t="s">
        <v>262</v>
      </c>
      <c r="K656">
        <v>6.5966316445010359E-2</v>
      </c>
      <c r="L656" t="s">
        <v>168</v>
      </c>
      <c r="N656" t="s">
        <v>207</v>
      </c>
      <c r="O656" t="s">
        <v>262</v>
      </c>
      <c r="P656">
        <v>1.5022931070771628E-2</v>
      </c>
      <c r="Q656" t="s">
        <v>168</v>
      </c>
      <c r="S656" t="s">
        <v>226</v>
      </c>
      <c r="T656" t="s">
        <v>262</v>
      </c>
      <c r="U656">
        <v>3.6862771254380579E-3</v>
      </c>
      <c r="V656" t="s">
        <v>168</v>
      </c>
    </row>
    <row r="657" spans="9:22" x14ac:dyDescent="0.45">
      <c r="I657" t="s">
        <v>183</v>
      </c>
      <c r="J657" t="s">
        <v>263</v>
      </c>
      <c r="K657">
        <v>8.8570304445911852E-3</v>
      </c>
      <c r="L657" t="s">
        <v>168</v>
      </c>
      <c r="N657" t="s">
        <v>207</v>
      </c>
      <c r="O657" t="s">
        <v>263</v>
      </c>
      <c r="P657">
        <v>2.9734836487584236E-3</v>
      </c>
      <c r="Q657" t="s">
        <v>168</v>
      </c>
      <c r="S657" t="s">
        <v>226</v>
      </c>
      <c r="T657" t="s">
        <v>263</v>
      </c>
      <c r="U657">
        <v>1.2143809861526725E-3</v>
      </c>
      <c r="V657" t="s">
        <v>168</v>
      </c>
    </row>
    <row r="658" spans="9:22" x14ac:dyDescent="0.45">
      <c r="I658" t="s">
        <v>183</v>
      </c>
      <c r="J658" t="s">
        <v>264</v>
      </c>
      <c r="K658">
        <v>1.3591048589990728E-2</v>
      </c>
      <c r="L658" t="s">
        <v>168</v>
      </c>
      <c r="N658" t="s">
        <v>207</v>
      </c>
      <c r="O658" t="s">
        <v>264</v>
      </c>
      <c r="P658">
        <v>1.8948007317481665E-2</v>
      </c>
      <c r="Q658" t="s">
        <v>168</v>
      </c>
      <c r="S658" t="s">
        <v>226</v>
      </c>
      <c r="T658" t="s">
        <v>264</v>
      </c>
      <c r="U658">
        <v>9.745470252301873E-3</v>
      </c>
      <c r="V658" t="s">
        <v>168</v>
      </c>
    </row>
    <row r="659" spans="9:22" x14ac:dyDescent="0.45">
      <c r="I659" t="s">
        <v>183</v>
      </c>
      <c r="J659" t="s">
        <v>265</v>
      </c>
      <c r="K659">
        <v>1.3200175980789179E-2</v>
      </c>
      <c r="L659" t="s">
        <v>168</v>
      </c>
      <c r="N659" t="s">
        <v>207</v>
      </c>
      <c r="O659" t="s">
        <v>265</v>
      </c>
      <c r="P659">
        <v>2.2059994941300946E-2</v>
      </c>
      <c r="Q659" t="s">
        <v>168</v>
      </c>
      <c r="S659" t="s">
        <v>226</v>
      </c>
      <c r="T659" t="s">
        <v>265</v>
      </c>
      <c r="U659">
        <v>1.2179751554395228E-2</v>
      </c>
      <c r="V659" t="s">
        <v>168</v>
      </c>
    </row>
    <row r="660" spans="9:22" x14ac:dyDescent="0.45">
      <c r="I660" t="s">
        <v>183</v>
      </c>
      <c r="J660" t="s">
        <v>266</v>
      </c>
      <c r="K660">
        <v>9.466401105975266E-3</v>
      </c>
      <c r="L660" t="s">
        <v>168</v>
      </c>
      <c r="N660" t="s">
        <v>207</v>
      </c>
      <c r="O660" t="s">
        <v>266</v>
      </c>
      <c r="P660">
        <v>2.4382487201603524E-3</v>
      </c>
      <c r="Q660" t="s">
        <v>168</v>
      </c>
      <c r="S660" t="s">
        <v>226</v>
      </c>
      <c r="T660" t="s">
        <v>266</v>
      </c>
      <c r="U660">
        <v>1.366562595738652E-3</v>
      </c>
      <c r="V660" t="s">
        <v>168</v>
      </c>
    </row>
    <row r="661" spans="9:22" x14ac:dyDescent="0.45">
      <c r="I661" t="s">
        <v>183</v>
      </c>
      <c r="J661" t="s">
        <v>267</v>
      </c>
      <c r="K661">
        <v>1.0620582898848398E-2</v>
      </c>
      <c r="L661" t="s">
        <v>168</v>
      </c>
      <c r="N661" t="s">
        <v>207</v>
      </c>
      <c r="O661" t="s">
        <v>267</v>
      </c>
      <c r="P661">
        <v>2.3594195629451668E-3</v>
      </c>
      <c r="Q661" t="s">
        <v>168</v>
      </c>
      <c r="S661" t="s">
        <v>226</v>
      </c>
      <c r="T661" t="s">
        <v>267</v>
      </c>
      <c r="U661">
        <v>1.1858517681523427E-3</v>
      </c>
      <c r="V661" t="s">
        <v>168</v>
      </c>
    </row>
    <row r="662" spans="9:22" x14ac:dyDescent="0.45">
      <c r="I662" t="s">
        <v>183</v>
      </c>
      <c r="J662" t="s">
        <v>268</v>
      </c>
      <c r="K662">
        <v>6.4955735485633145E-2</v>
      </c>
      <c r="L662" t="s">
        <v>168</v>
      </c>
      <c r="N662" t="s">
        <v>207</v>
      </c>
      <c r="O662" t="s">
        <v>268</v>
      </c>
      <c r="P662">
        <v>1.3923530562450976E-2</v>
      </c>
      <c r="Q662" t="s">
        <v>168</v>
      </c>
      <c r="S662" t="s">
        <v>226</v>
      </c>
      <c r="T662" t="s">
        <v>268</v>
      </c>
      <c r="U662">
        <v>7.0587686173514061E-3</v>
      </c>
      <c r="V662" t="s">
        <v>168</v>
      </c>
    </row>
    <row r="663" spans="9:22" x14ac:dyDescent="0.45">
      <c r="I663" t="s">
        <v>183</v>
      </c>
      <c r="J663" t="s">
        <v>269</v>
      </c>
      <c r="K663">
        <v>8.6668558452463393E-3</v>
      </c>
      <c r="L663" t="s">
        <v>168</v>
      </c>
      <c r="N663" t="s">
        <v>207</v>
      </c>
      <c r="O663" t="s">
        <v>269</v>
      </c>
      <c r="P663">
        <v>2.8716223640231934E-3</v>
      </c>
      <c r="Q663" t="s">
        <v>168</v>
      </c>
      <c r="S663" t="s">
        <v>226</v>
      </c>
      <c r="T663" t="s">
        <v>269</v>
      </c>
      <c r="U663">
        <v>1.9215255021178732E-3</v>
      </c>
      <c r="V663" t="s">
        <v>168</v>
      </c>
    </row>
    <row r="664" spans="9:22" x14ac:dyDescent="0.45">
      <c r="I664" t="s">
        <v>183</v>
      </c>
      <c r="J664" t="s">
        <v>270</v>
      </c>
      <c r="K664">
        <v>1.0630072029165258E-2</v>
      </c>
      <c r="L664" t="s">
        <v>168</v>
      </c>
      <c r="N664" t="s">
        <v>207</v>
      </c>
      <c r="O664" t="s">
        <v>270</v>
      </c>
      <c r="P664">
        <v>1.6570299547025075E-2</v>
      </c>
      <c r="Q664" t="s">
        <v>168</v>
      </c>
      <c r="S664" t="s">
        <v>226</v>
      </c>
      <c r="T664" t="s">
        <v>270</v>
      </c>
      <c r="U664">
        <v>1.2055221947346165E-2</v>
      </c>
      <c r="V664" t="s">
        <v>168</v>
      </c>
    </row>
    <row r="665" spans="9:22" x14ac:dyDescent="0.45">
      <c r="I665" t="s">
        <v>183</v>
      </c>
      <c r="J665" t="s">
        <v>271</v>
      </c>
      <c r="K665">
        <v>8.3111306049674059E-3</v>
      </c>
      <c r="L665" t="s">
        <v>168</v>
      </c>
      <c r="N665" t="s">
        <v>207</v>
      </c>
      <c r="O665" t="s">
        <v>271</v>
      </c>
      <c r="P665">
        <v>1.326270365484444E-2</v>
      </c>
      <c r="Q665" t="s">
        <v>168</v>
      </c>
      <c r="S665" t="s">
        <v>226</v>
      </c>
      <c r="T665" t="s">
        <v>271</v>
      </c>
      <c r="U665">
        <v>1.9868599250691749E-2</v>
      </c>
      <c r="V665" t="s">
        <v>168</v>
      </c>
    </row>
    <row r="666" spans="9:22" x14ac:dyDescent="0.45">
      <c r="I666" t="s">
        <v>183</v>
      </c>
      <c r="J666" t="s">
        <v>272</v>
      </c>
      <c r="K666">
        <v>7.4354800303798136E-3</v>
      </c>
      <c r="L666" t="s">
        <v>168</v>
      </c>
      <c r="N666" t="s">
        <v>207</v>
      </c>
      <c r="O666" t="s">
        <v>272</v>
      </c>
      <c r="P666">
        <v>1.3378648956373252E-3</v>
      </c>
      <c r="Q666" t="s">
        <v>168</v>
      </c>
      <c r="S666" t="s">
        <v>226</v>
      </c>
      <c r="T666" t="s">
        <v>272</v>
      </c>
      <c r="U666">
        <v>2.30848368340113E-3</v>
      </c>
      <c r="V666" t="s">
        <v>168</v>
      </c>
    </row>
    <row r="667" spans="9:22" x14ac:dyDescent="0.45">
      <c r="I667" t="s">
        <v>183</v>
      </c>
      <c r="J667" t="s">
        <v>273</v>
      </c>
      <c r="K667">
        <v>8.5762683605738865E-3</v>
      </c>
      <c r="L667" t="s">
        <v>168</v>
      </c>
      <c r="N667" t="s">
        <v>207</v>
      </c>
      <c r="O667" t="s">
        <v>273</v>
      </c>
      <c r="P667">
        <v>1.1142088209388928E-3</v>
      </c>
      <c r="Q667" t="s">
        <v>168</v>
      </c>
      <c r="S667" t="s">
        <v>226</v>
      </c>
      <c r="T667" t="s">
        <v>273</v>
      </c>
      <c r="U667">
        <v>2.3263040774755585E-3</v>
      </c>
      <c r="V667" t="s">
        <v>168</v>
      </c>
    </row>
    <row r="668" spans="9:22" x14ac:dyDescent="0.45">
      <c r="I668" t="s">
        <v>183</v>
      </c>
      <c r="J668" t="s">
        <v>274</v>
      </c>
      <c r="K668">
        <v>5.3224172265025516E-2</v>
      </c>
      <c r="L668" t="s">
        <v>168</v>
      </c>
      <c r="N668" t="s">
        <v>207</v>
      </c>
      <c r="O668" t="s">
        <v>274</v>
      </c>
      <c r="P668">
        <v>1.0637797101594196E-2</v>
      </c>
      <c r="Q668" t="s">
        <v>168</v>
      </c>
      <c r="S668" t="s">
        <v>226</v>
      </c>
      <c r="T668" t="s">
        <v>274</v>
      </c>
      <c r="U668">
        <v>1.4775008583013572E-2</v>
      </c>
      <c r="V668" t="s">
        <v>168</v>
      </c>
    </row>
    <row r="669" spans="9:22" x14ac:dyDescent="0.45">
      <c r="I669" t="s">
        <v>183</v>
      </c>
      <c r="J669" t="s">
        <v>275</v>
      </c>
      <c r="K669">
        <v>6.7533858627310071E-3</v>
      </c>
      <c r="L669" t="s">
        <v>168</v>
      </c>
      <c r="N669" t="s">
        <v>207</v>
      </c>
      <c r="O669" t="s">
        <v>275</v>
      </c>
      <c r="P669">
        <v>2.5776544474308857E-3</v>
      </c>
      <c r="Q669" t="s">
        <v>168</v>
      </c>
      <c r="S669" t="s">
        <v>226</v>
      </c>
      <c r="T669" t="s">
        <v>275</v>
      </c>
      <c r="U669">
        <v>2.6987270031471572E-3</v>
      </c>
      <c r="V669" t="s">
        <v>168</v>
      </c>
    </row>
    <row r="670" spans="9:22" x14ac:dyDescent="0.45">
      <c r="I670" t="s">
        <v>183</v>
      </c>
      <c r="J670" t="s">
        <v>276</v>
      </c>
      <c r="K670">
        <v>5.1674281877619153E-3</v>
      </c>
      <c r="L670" t="s">
        <v>168</v>
      </c>
      <c r="N670" t="s">
        <v>207</v>
      </c>
      <c r="O670" t="s">
        <v>276</v>
      </c>
      <c r="P670">
        <v>1.2776555816821356E-2</v>
      </c>
      <c r="Q670" t="s">
        <v>168</v>
      </c>
      <c r="S670" t="s">
        <v>226</v>
      </c>
      <c r="T670" t="s">
        <v>276</v>
      </c>
      <c r="U670">
        <v>1.8713639430752289E-2</v>
      </c>
      <c r="V670" t="s">
        <v>168</v>
      </c>
    </row>
    <row r="671" spans="9:22" x14ac:dyDescent="0.45">
      <c r="I671" t="s">
        <v>183</v>
      </c>
      <c r="J671" t="s">
        <v>341</v>
      </c>
      <c r="K671">
        <v>0</v>
      </c>
      <c r="L671" t="s">
        <v>168</v>
      </c>
      <c r="N671" t="s">
        <v>207</v>
      </c>
      <c r="O671" t="s">
        <v>341</v>
      </c>
      <c r="P671">
        <v>7.4845835351289842E-5</v>
      </c>
      <c r="Q671" t="s">
        <v>168</v>
      </c>
      <c r="S671" t="s">
        <v>226</v>
      </c>
      <c r="T671" t="s">
        <v>341</v>
      </c>
      <c r="U671">
        <v>5.2070767357250217E-6</v>
      </c>
      <c r="V671" t="s">
        <v>168</v>
      </c>
    </row>
    <row r="672" spans="9:22" x14ac:dyDescent="0.45">
      <c r="I672" t="s">
        <v>183</v>
      </c>
      <c r="J672" t="s">
        <v>342</v>
      </c>
      <c r="K672">
        <v>0</v>
      </c>
      <c r="L672" t="s">
        <v>168</v>
      </c>
      <c r="N672" t="s">
        <v>207</v>
      </c>
      <c r="O672" t="s">
        <v>342</v>
      </c>
      <c r="P672">
        <v>8.5488943890515856E-5</v>
      </c>
      <c r="Q672" t="s">
        <v>168</v>
      </c>
      <c r="S672" t="s">
        <v>226</v>
      </c>
      <c r="T672" t="s">
        <v>342</v>
      </c>
      <c r="U672">
        <v>7.5869191638394828E-6</v>
      </c>
      <c r="V672" t="s">
        <v>168</v>
      </c>
    </row>
    <row r="673" spans="9:22" x14ac:dyDescent="0.45">
      <c r="I673" t="s">
        <v>183</v>
      </c>
      <c r="J673" t="s">
        <v>343</v>
      </c>
      <c r="K673">
        <v>0</v>
      </c>
      <c r="L673" t="s">
        <v>168</v>
      </c>
      <c r="N673" t="s">
        <v>207</v>
      </c>
      <c r="O673" t="s">
        <v>343</v>
      </c>
      <c r="P673">
        <v>9.1290370500083699E-5</v>
      </c>
      <c r="Q673" t="s">
        <v>168</v>
      </c>
      <c r="S673" t="s">
        <v>226</v>
      </c>
      <c r="T673" t="s">
        <v>343</v>
      </c>
      <c r="U673">
        <v>9.3175857181812494E-6</v>
      </c>
      <c r="V673" t="s">
        <v>168</v>
      </c>
    </row>
    <row r="674" spans="9:22" x14ac:dyDescent="0.45">
      <c r="I674" t="s">
        <v>183</v>
      </c>
      <c r="J674" t="s">
        <v>344</v>
      </c>
      <c r="K674">
        <v>0</v>
      </c>
      <c r="L674" t="s">
        <v>168</v>
      </c>
      <c r="N674" t="s">
        <v>207</v>
      </c>
      <c r="O674" t="s">
        <v>344</v>
      </c>
      <c r="P674">
        <v>9.1190253272180219E-5</v>
      </c>
      <c r="Q674" t="s">
        <v>168</v>
      </c>
      <c r="S674" t="s">
        <v>226</v>
      </c>
      <c r="T674" t="s">
        <v>344</v>
      </c>
      <c r="U674">
        <v>1.022617366340256E-5</v>
      </c>
      <c r="V674" t="s">
        <v>168</v>
      </c>
    </row>
    <row r="675" spans="9:22" x14ac:dyDescent="0.45">
      <c r="I675" t="s">
        <v>183</v>
      </c>
      <c r="J675" t="s">
        <v>345</v>
      </c>
      <c r="K675">
        <v>0</v>
      </c>
      <c r="L675" t="s">
        <v>168</v>
      </c>
      <c r="N675" t="s">
        <v>207</v>
      </c>
      <c r="O675" t="s">
        <v>345</v>
      </c>
      <c r="P675">
        <v>9.2442342270051718E-5</v>
      </c>
      <c r="Q675" t="s">
        <v>168</v>
      </c>
      <c r="S675" t="s">
        <v>226</v>
      </c>
      <c r="T675" t="s">
        <v>345</v>
      </c>
      <c r="U675">
        <v>1.1509486371549659E-5</v>
      </c>
      <c r="V675" t="s">
        <v>168</v>
      </c>
    </row>
    <row r="676" spans="9:22" x14ac:dyDescent="0.45">
      <c r="I676" t="s">
        <v>183</v>
      </c>
      <c r="J676" t="s">
        <v>346</v>
      </c>
      <c r="K676">
        <v>0</v>
      </c>
      <c r="L676" t="s">
        <v>168</v>
      </c>
      <c r="N676" t="s">
        <v>207</v>
      </c>
      <c r="O676" t="s">
        <v>346</v>
      </c>
      <c r="P676">
        <v>8.5489121565187422E-5</v>
      </c>
      <c r="Q676" t="s">
        <v>168</v>
      </c>
      <c r="S676" t="s">
        <v>226</v>
      </c>
      <c r="T676" t="s">
        <v>346</v>
      </c>
      <c r="U676">
        <v>1.1692178874996515E-5</v>
      </c>
      <c r="V676" t="s">
        <v>168</v>
      </c>
    </row>
    <row r="677" spans="9:22" x14ac:dyDescent="0.45">
      <c r="I677" t="s">
        <v>183</v>
      </c>
      <c r="J677" t="s">
        <v>347</v>
      </c>
      <c r="K677">
        <v>9.2224284715554603E-5</v>
      </c>
      <c r="L677" t="s">
        <v>168</v>
      </c>
      <c r="N677" t="s">
        <v>207</v>
      </c>
      <c r="O677" t="s">
        <v>347</v>
      </c>
      <c r="P677">
        <v>7.0898571665696319E-5</v>
      </c>
      <c r="Q677" t="s">
        <v>168</v>
      </c>
      <c r="S677" t="s">
        <v>226</v>
      </c>
      <c r="T677" t="s">
        <v>347</v>
      </c>
      <c r="U677">
        <v>1.2627760533883002E-5</v>
      </c>
      <c r="V677" t="s">
        <v>168</v>
      </c>
    </row>
    <row r="678" spans="9:22" x14ac:dyDescent="0.45">
      <c r="I678" t="s">
        <v>183</v>
      </c>
      <c r="J678" t="s">
        <v>348</v>
      </c>
      <c r="K678">
        <v>1.4369804555363258E-4</v>
      </c>
      <c r="L678" t="s">
        <v>168</v>
      </c>
      <c r="N678" t="s">
        <v>207</v>
      </c>
      <c r="O678" t="s">
        <v>348</v>
      </c>
      <c r="P678">
        <v>5.4196078386669586E-5</v>
      </c>
      <c r="Q678" t="s">
        <v>168</v>
      </c>
      <c r="S678" t="s">
        <v>226</v>
      </c>
      <c r="T678" t="s">
        <v>348</v>
      </c>
      <c r="U678">
        <v>1.3313801895870587E-5</v>
      </c>
      <c r="V678" t="s">
        <v>168</v>
      </c>
    </row>
    <row r="679" spans="9:22" x14ac:dyDescent="0.45">
      <c r="I679" t="s">
        <v>183</v>
      </c>
      <c r="J679" t="s">
        <v>349</v>
      </c>
      <c r="K679">
        <v>1.9747699196257177E-4</v>
      </c>
      <c r="L679" t="s">
        <v>168</v>
      </c>
      <c r="N679" t="s">
        <v>207</v>
      </c>
      <c r="O679" t="s">
        <v>349</v>
      </c>
      <c r="P679">
        <v>2.9323079549201109E-5</v>
      </c>
      <c r="Q679" t="s">
        <v>168</v>
      </c>
      <c r="S679" t="s">
        <v>226</v>
      </c>
      <c r="T679" t="s">
        <v>349</v>
      </c>
      <c r="U679">
        <v>1.3641601501503007E-5</v>
      </c>
      <c r="V679" t="s">
        <v>168</v>
      </c>
    </row>
    <row r="680" spans="9:22" x14ac:dyDescent="0.45">
      <c r="I680" t="s">
        <v>183</v>
      </c>
      <c r="J680" t="s">
        <v>350</v>
      </c>
      <c r="K680">
        <v>2.8099391173034145E-4</v>
      </c>
      <c r="L680" t="s">
        <v>168</v>
      </c>
      <c r="N680" t="s">
        <v>207</v>
      </c>
      <c r="O680" t="s">
        <v>350</v>
      </c>
      <c r="P680">
        <v>1.4463045331124835E-5</v>
      </c>
      <c r="Q680" t="s">
        <v>168</v>
      </c>
      <c r="S680" t="s">
        <v>226</v>
      </c>
      <c r="T680" t="s">
        <v>350</v>
      </c>
      <c r="U680">
        <v>1.357577267978877E-5</v>
      </c>
      <c r="V680" t="s">
        <v>168</v>
      </c>
    </row>
    <row r="681" spans="9:22" x14ac:dyDescent="0.45">
      <c r="I681" t="s">
        <v>183</v>
      </c>
      <c r="J681" t="s">
        <v>351</v>
      </c>
      <c r="K681">
        <v>3.1761388343937538E-4</v>
      </c>
      <c r="L681" t="s">
        <v>168</v>
      </c>
      <c r="N681" t="s">
        <v>207</v>
      </c>
      <c r="O681" t="s">
        <v>351</v>
      </c>
      <c r="P681">
        <v>8.1271400307297793E-6</v>
      </c>
      <c r="Q681" t="s">
        <v>168</v>
      </c>
      <c r="S681" t="s">
        <v>226</v>
      </c>
      <c r="T681" t="s">
        <v>351</v>
      </c>
      <c r="U681">
        <v>1.3246404428141445E-5</v>
      </c>
      <c r="V681" t="s">
        <v>168</v>
      </c>
    </row>
    <row r="682" spans="9:22" x14ac:dyDescent="0.45">
      <c r="I682" t="s">
        <v>183</v>
      </c>
      <c r="J682" t="s">
        <v>352</v>
      </c>
      <c r="K682">
        <v>2.8950818235014069E-4</v>
      </c>
      <c r="L682" t="s">
        <v>168</v>
      </c>
      <c r="N682" t="s">
        <v>207</v>
      </c>
      <c r="O682" t="s">
        <v>352</v>
      </c>
      <c r="P682">
        <v>5.7906456833413144E-6</v>
      </c>
      <c r="Q682" t="s">
        <v>168</v>
      </c>
      <c r="S682" t="s">
        <v>226</v>
      </c>
      <c r="T682" t="s">
        <v>352</v>
      </c>
      <c r="U682">
        <v>9.7599559671119818E-6</v>
      </c>
      <c r="V682" t="s">
        <v>168</v>
      </c>
    </row>
    <row r="683" spans="9:22" x14ac:dyDescent="0.45">
      <c r="I683" t="s">
        <v>183</v>
      </c>
      <c r="J683" t="s">
        <v>353</v>
      </c>
      <c r="K683">
        <v>3.0539247660914715E-4</v>
      </c>
      <c r="L683" t="s">
        <v>168</v>
      </c>
      <c r="N683" t="s">
        <v>207</v>
      </c>
      <c r="O683" t="s">
        <v>353</v>
      </c>
      <c r="P683">
        <v>1.564434942946364E-5</v>
      </c>
      <c r="Q683" t="s">
        <v>168</v>
      </c>
      <c r="S683" t="s">
        <v>226</v>
      </c>
      <c r="T683" t="s">
        <v>353</v>
      </c>
      <c r="U683">
        <v>1.1062763989553067E-5</v>
      </c>
      <c r="V683" t="s">
        <v>168</v>
      </c>
    </row>
    <row r="684" spans="9:22" x14ac:dyDescent="0.45">
      <c r="I684" t="s">
        <v>183</v>
      </c>
      <c r="J684" t="s">
        <v>354</v>
      </c>
      <c r="K684">
        <v>3.3196275761006024E-4</v>
      </c>
      <c r="L684" t="s">
        <v>168</v>
      </c>
      <c r="N684" t="s">
        <v>207</v>
      </c>
      <c r="O684" t="s">
        <v>354</v>
      </c>
      <c r="P684">
        <v>2.1785466865444693E-5</v>
      </c>
      <c r="Q684" t="s">
        <v>168</v>
      </c>
      <c r="S684" t="s">
        <v>226</v>
      </c>
      <c r="T684" t="s">
        <v>354</v>
      </c>
      <c r="U684">
        <v>1.2391993051340082E-5</v>
      </c>
      <c r="V684" t="s">
        <v>168</v>
      </c>
    </row>
    <row r="685" spans="9:22" x14ac:dyDescent="0.45">
      <c r="I685" t="s">
        <v>183</v>
      </c>
      <c r="J685" t="s">
        <v>355</v>
      </c>
      <c r="K685">
        <v>3.1896629016834975E-4</v>
      </c>
      <c r="L685" t="s">
        <v>168</v>
      </c>
      <c r="N685" t="s">
        <v>207</v>
      </c>
      <c r="O685" t="s">
        <v>355</v>
      </c>
      <c r="P685">
        <v>6.4325660499336599E-5</v>
      </c>
      <c r="Q685" t="s">
        <v>168</v>
      </c>
      <c r="S685" t="s">
        <v>226</v>
      </c>
      <c r="T685" t="s">
        <v>355</v>
      </c>
      <c r="U685">
        <v>1.6550796198084357E-5</v>
      </c>
      <c r="V685" t="s">
        <v>168</v>
      </c>
    </row>
    <row r="686" spans="9:22" x14ac:dyDescent="0.45">
      <c r="I686" t="s">
        <v>183</v>
      </c>
      <c r="J686" t="s">
        <v>356</v>
      </c>
      <c r="K686">
        <v>2.8864668694756745E-4</v>
      </c>
      <c r="L686" t="s">
        <v>168</v>
      </c>
      <c r="N686" t="s">
        <v>207</v>
      </c>
      <c r="O686" t="s">
        <v>356</v>
      </c>
      <c r="P686">
        <v>1.2324212531573465E-4</v>
      </c>
      <c r="Q686" t="s">
        <v>168</v>
      </c>
      <c r="S686" t="s">
        <v>226</v>
      </c>
      <c r="T686" t="s">
        <v>356</v>
      </c>
      <c r="U686">
        <v>1.8746706516142085E-5</v>
      </c>
      <c r="V686" t="s">
        <v>168</v>
      </c>
    </row>
    <row r="687" spans="9:22" x14ac:dyDescent="0.45">
      <c r="I687" t="s">
        <v>183</v>
      </c>
      <c r="J687" t="s">
        <v>357</v>
      </c>
      <c r="K687">
        <v>2.6124776867849102E-4</v>
      </c>
      <c r="L687" t="s">
        <v>168</v>
      </c>
      <c r="N687" t="s">
        <v>207</v>
      </c>
      <c r="O687" t="s">
        <v>357</v>
      </c>
      <c r="P687">
        <v>1.2730925869773696E-4</v>
      </c>
      <c r="Q687" t="s">
        <v>168</v>
      </c>
      <c r="S687" t="s">
        <v>226</v>
      </c>
      <c r="T687" t="s">
        <v>357</v>
      </c>
      <c r="U687">
        <v>2.0098540191188638E-5</v>
      </c>
      <c r="V687" t="s">
        <v>168</v>
      </c>
    </row>
    <row r="688" spans="9:22" x14ac:dyDescent="0.45">
      <c r="I688" t="s">
        <v>183</v>
      </c>
      <c r="J688" t="s">
        <v>358</v>
      </c>
      <c r="K688">
        <v>1.4681195727854593E-4</v>
      </c>
      <c r="L688" t="s">
        <v>168</v>
      </c>
      <c r="N688" t="s">
        <v>207</v>
      </c>
      <c r="O688" t="s">
        <v>358</v>
      </c>
      <c r="P688">
        <v>1.0145109012406982E-4</v>
      </c>
      <c r="Q688" t="s">
        <v>168</v>
      </c>
      <c r="S688" t="s">
        <v>226</v>
      </c>
      <c r="T688" t="s">
        <v>358</v>
      </c>
      <c r="U688">
        <v>2.1739168137207339E-5</v>
      </c>
      <c r="V688" t="s">
        <v>168</v>
      </c>
    </row>
    <row r="689" spans="9:22" x14ac:dyDescent="0.45">
      <c r="I689" t="s">
        <v>183</v>
      </c>
      <c r="J689" t="s">
        <v>359</v>
      </c>
      <c r="K689">
        <v>0</v>
      </c>
      <c r="L689" t="s">
        <v>168</v>
      </c>
      <c r="N689" t="s">
        <v>207</v>
      </c>
      <c r="O689" t="s">
        <v>359</v>
      </c>
      <c r="P689">
        <v>9.411453457521168E-5</v>
      </c>
      <c r="Q689" t="s">
        <v>168</v>
      </c>
      <c r="S689" t="s">
        <v>226</v>
      </c>
      <c r="T689" t="s">
        <v>359</v>
      </c>
      <c r="U689">
        <v>2.1290770778973925E-5</v>
      </c>
      <c r="V689" t="s">
        <v>168</v>
      </c>
    </row>
    <row r="690" spans="9:22" x14ac:dyDescent="0.45">
      <c r="I690" t="s">
        <v>183</v>
      </c>
      <c r="J690" t="s">
        <v>360</v>
      </c>
      <c r="K690">
        <v>0</v>
      </c>
      <c r="L690" t="s">
        <v>168</v>
      </c>
      <c r="N690" t="s">
        <v>207</v>
      </c>
      <c r="O690" t="s">
        <v>360</v>
      </c>
      <c r="P690">
        <v>8.6811140462992887E-5</v>
      </c>
      <c r="Q690" t="s">
        <v>168</v>
      </c>
      <c r="S690" t="s">
        <v>226</v>
      </c>
      <c r="T690" t="s">
        <v>360</v>
      </c>
      <c r="U690">
        <v>1.771365637109855E-5</v>
      </c>
      <c r="V690" t="s">
        <v>168</v>
      </c>
    </row>
    <row r="691" spans="9:22" x14ac:dyDescent="0.45">
      <c r="I691" t="s">
        <v>183</v>
      </c>
      <c r="J691" t="s">
        <v>361</v>
      </c>
      <c r="K691">
        <v>0</v>
      </c>
      <c r="L691" t="s">
        <v>168</v>
      </c>
      <c r="N691" t="s">
        <v>207</v>
      </c>
      <c r="O691" t="s">
        <v>361</v>
      </c>
      <c r="P691">
        <v>6.6705316470984773E-5</v>
      </c>
      <c r="Q691" t="s">
        <v>168</v>
      </c>
      <c r="S691" t="s">
        <v>226</v>
      </c>
      <c r="T691" t="s">
        <v>361</v>
      </c>
      <c r="U691">
        <v>1.1022288582004896E-5</v>
      </c>
      <c r="V691" t="s">
        <v>168</v>
      </c>
    </row>
    <row r="692" spans="9:22" x14ac:dyDescent="0.45">
      <c r="I692" t="s">
        <v>183</v>
      </c>
      <c r="J692" t="s">
        <v>362</v>
      </c>
      <c r="K692">
        <v>0</v>
      </c>
      <c r="L692" t="s">
        <v>168</v>
      </c>
      <c r="N692" t="s">
        <v>207</v>
      </c>
      <c r="O692" t="s">
        <v>362</v>
      </c>
      <c r="P692">
        <v>4.7812400149940203E-5</v>
      </c>
      <c r="Q692" t="s">
        <v>168</v>
      </c>
      <c r="S692" t="s">
        <v>226</v>
      </c>
      <c r="T692" t="s">
        <v>362</v>
      </c>
      <c r="U692">
        <v>5.9458042517680092E-6</v>
      </c>
      <c r="V692" t="s">
        <v>168</v>
      </c>
    </row>
    <row r="693" spans="9:22" x14ac:dyDescent="0.45">
      <c r="I693" t="s">
        <v>183</v>
      </c>
      <c r="J693" t="s">
        <v>363</v>
      </c>
      <c r="K693">
        <v>0</v>
      </c>
      <c r="L693" t="s">
        <v>168</v>
      </c>
      <c r="N693" t="s">
        <v>207</v>
      </c>
      <c r="O693" t="s">
        <v>363</v>
      </c>
      <c r="P693">
        <v>4.3768836939672024E-5</v>
      </c>
      <c r="Q693" t="s">
        <v>168</v>
      </c>
      <c r="S693" t="s">
        <v>226</v>
      </c>
      <c r="T693" t="s">
        <v>363</v>
      </c>
      <c r="U693">
        <v>2.8551948049912763E-6</v>
      </c>
      <c r="V693" t="s">
        <v>168</v>
      </c>
    </row>
    <row r="694" spans="9:22" x14ac:dyDescent="0.45">
      <c r="I694" t="s">
        <v>183</v>
      </c>
      <c r="J694" t="s">
        <v>364</v>
      </c>
      <c r="K694">
        <v>0</v>
      </c>
      <c r="L694" t="s">
        <v>168</v>
      </c>
      <c r="N694" t="s">
        <v>207</v>
      </c>
      <c r="O694" t="s">
        <v>364</v>
      </c>
      <c r="P694">
        <v>5.6314697585623675E-5</v>
      </c>
      <c r="Q694" t="s">
        <v>168</v>
      </c>
      <c r="S694" t="s">
        <v>226</v>
      </c>
      <c r="T694" t="s">
        <v>364</v>
      </c>
      <c r="U694">
        <v>0</v>
      </c>
      <c r="V694" t="s">
        <v>168</v>
      </c>
    </row>
    <row r="695" spans="9:22" x14ac:dyDescent="0.45">
      <c r="I695" t="s">
        <v>183</v>
      </c>
      <c r="J695" t="s">
        <v>277</v>
      </c>
      <c r="K695">
        <v>5.0584315274851454E-3</v>
      </c>
      <c r="L695" t="s">
        <v>168</v>
      </c>
      <c r="N695" t="s">
        <v>207</v>
      </c>
      <c r="O695" t="s">
        <v>277</v>
      </c>
      <c r="P695">
        <v>5.5098832265098811E-2</v>
      </c>
      <c r="Q695" t="s">
        <v>168</v>
      </c>
      <c r="S695" t="s">
        <v>226</v>
      </c>
      <c r="T695" t="s">
        <v>277</v>
      </c>
      <c r="U695">
        <v>6.792718224640705E-2</v>
      </c>
      <c r="V695" t="s">
        <v>168</v>
      </c>
    </row>
    <row r="696" spans="9:22" x14ac:dyDescent="0.45">
      <c r="I696" t="s">
        <v>183</v>
      </c>
      <c r="J696" t="s">
        <v>278</v>
      </c>
      <c r="K696">
        <v>9.0108223643243866E-3</v>
      </c>
      <c r="L696" t="s">
        <v>168</v>
      </c>
      <c r="N696" t="s">
        <v>207</v>
      </c>
      <c r="O696" t="s">
        <v>278</v>
      </c>
      <c r="P696">
        <v>6.8807169041932873E-3</v>
      </c>
      <c r="Q696" t="s">
        <v>168</v>
      </c>
      <c r="S696" t="s">
        <v>226</v>
      </c>
      <c r="T696" t="s">
        <v>278</v>
      </c>
      <c r="U696">
        <v>8.2770381446549794E-3</v>
      </c>
      <c r="V696" t="s">
        <v>168</v>
      </c>
    </row>
    <row r="697" spans="9:22" x14ac:dyDescent="0.45">
      <c r="I697" t="s">
        <v>183</v>
      </c>
      <c r="J697" t="s">
        <v>279</v>
      </c>
      <c r="K697">
        <v>1.189245960419096E-2</v>
      </c>
      <c r="L697" t="s">
        <v>168</v>
      </c>
      <c r="N697" t="s">
        <v>207</v>
      </c>
      <c r="O697" t="s">
        <v>279</v>
      </c>
      <c r="P697">
        <v>6.9323164057444979E-3</v>
      </c>
      <c r="Q697" t="s">
        <v>168</v>
      </c>
      <c r="S697" t="s">
        <v>226</v>
      </c>
      <c r="T697" t="s">
        <v>279</v>
      </c>
      <c r="U697">
        <v>8.2599230569146715E-3</v>
      </c>
      <c r="V697" t="s">
        <v>168</v>
      </c>
    </row>
    <row r="698" spans="9:22" x14ac:dyDescent="0.45">
      <c r="I698" t="s">
        <v>183</v>
      </c>
      <c r="J698" t="s">
        <v>280</v>
      </c>
      <c r="K698">
        <v>7.2972013755106188E-2</v>
      </c>
      <c r="L698" t="s">
        <v>168</v>
      </c>
      <c r="N698" t="s">
        <v>207</v>
      </c>
      <c r="O698" t="s">
        <v>280</v>
      </c>
      <c r="P698">
        <v>4.6971096967257694E-2</v>
      </c>
      <c r="Q698" t="s">
        <v>168</v>
      </c>
      <c r="S698" t="s">
        <v>226</v>
      </c>
      <c r="T698" t="s">
        <v>280</v>
      </c>
      <c r="U698">
        <v>5.0397157731729175E-2</v>
      </c>
      <c r="V698" t="s">
        <v>168</v>
      </c>
    </row>
    <row r="699" spans="9:22" x14ac:dyDescent="0.45">
      <c r="I699" t="s">
        <v>183</v>
      </c>
      <c r="J699" t="s">
        <v>281</v>
      </c>
      <c r="K699">
        <v>6.2126764373418202E-3</v>
      </c>
      <c r="L699" t="s">
        <v>168</v>
      </c>
      <c r="N699" t="s">
        <v>207</v>
      </c>
      <c r="O699" t="s">
        <v>281</v>
      </c>
      <c r="P699">
        <v>8.1658445809988673E-3</v>
      </c>
      <c r="Q699" t="s">
        <v>168</v>
      </c>
      <c r="S699" t="s">
        <v>226</v>
      </c>
      <c r="T699" t="s">
        <v>281</v>
      </c>
      <c r="U699">
        <v>8.8275021756655456E-3</v>
      </c>
      <c r="V699" t="s">
        <v>168</v>
      </c>
    </row>
    <row r="700" spans="9:22" x14ac:dyDescent="0.45">
      <c r="I700" t="s">
        <v>183</v>
      </c>
      <c r="J700" t="s">
        <v>282</v>
      </c>
      <c r="K700">
        <v>9.9260016806149826E-4</v>
      </c>
      <c r="L700" t="s">
        <v>168</v>
      </c>
      <c r="N700" t="s">
        <v>207</v>
      </c>
      <c r="O700" t="s">
        <v>282</v>
      </c>
      <c r="P700">
        <v>5.4255182579463081E-2</v>
      </c>
      <c r="Q700" t="s">
        <v>168</v>
      </c>
      <c r="S700" t="s">
        <v>226</v>
      </c>
      <c r="T700" t="s">
        <v>282</v>
      </c>
      <c r="U700">
        <v>6.4139632261411297E-2</v>
      </c>
      <c r="V700" t="s">
        <v>168</v>
      </c>
    </row>
    <row r="701" spans="9:22" x14ac:dyDescent="0.45">
      <c r="I701" t="s">
        <v>183</v>
      </c>
      <c r="J701" t="s">
        <v>283</v>
      </c>
      <c r="K701">
        <v>0</v>
      </c>
      <c r="L701" t="s">
        <v>168</v>
      </c>
      <c r="N701" t="s">
        <v>207</v>
      </c>
      <c r="O701" t="s">
        <v>283</v>
      </c>
      <c r="P701">
        <v>3.4432565607960541E-2</v>
      </c>
      <c r="Q701" t="s">
        <v>168</v>
      </c>
      <c r="S701" t="s">
        <v>226</v>
      </c>
      <c r="T701" t="s">
        <v>283</v>
      </c>
      <c r="U701">
        <v>2.3950072992425606E-2</v>
      </c>
      <c r="V701" t="s">
        <v>168</v>
      </c>
    </row>
    <row r="702" spans="9:22" x14ac:dyDescent="0.45">
      <c r="I702" t="s">
        <v>183</v>
      </c>
      <c r="J702" t="s">
        <v>284</v>
      </c>
      <c r="K702">
        <v>3.0752928413988129E-3</v>
      </c>
      <c r="L702" t="s">
        <v>168</v>
      </c>
      <c r="N702" t="s">
        <v>207</v>
      </c>
      <c r="O702" t="s">
        <v>284</v>
      </c>
      <c r="P702">
        <v>4.7564637828445616E-3</v>
      </c>
      <c r="Q702" t="s">
        <v>168</v>
      </c>
      <c r="S702" t="s">
        <v>226</v>
      </c>
      <c r="T702" t="s">
        <v>284</v>
      </c>
      <c r="U702">
        <v>2.9380595301930373E-3</v>
      </c>
      <c r="V702" t="s">
        <v>168</v>
      </c>
    </row>
    <row r="703" spans="9:22" x14ac:dyDescent="0.45">
      <c r="I703" t="s">
        <v>183</v>
      </c>
      <c r="J703" t="s">
        <v>285</v>
      </c>
      <c r="K703">
        <v>4.8677123208941322E-3</v>
      </c>
      <c r="L703" t="s">
        <v>168</v>
      </c>
      <c r="N703" t="s">
        <v>207</v>
      </c>
      <c r="O703" t="s">
        <v>285</v>
      </c>
      <c r="P703">
        <v>4.7720261976578688E-3</v>
      </c>
      <c r="Q703" t="s">
        <v>168</v>
      </c>
      <c r="S703" t="s">
        <v>226</v>
      </c>
      <c r="T703" t="s">
        <v>285</v>
      </c>
      <c r="U703">
        <v>2.8343179308166974E-3</v>
      </c>
      <c r="V703" t="s">
        <v>168</v>
      </c>
    </row>
    <row r="704" spans="9:22" x14ac:dyDescent="0.45">
      <c r="I704" t="s">
        <v>183</v>
      </c>
      <c r="J704" t="s">
        <v>286</v>
      </c>
      <c r="K704">
        <v>3.3076917296878561E-2</v>
      </c>
      <c r="L704" t="s">
        <v>168</v>
      </c>
      <c r="N704" t="s">
        <v>207</v>
      </c>
      <c r="O704" t="s">
        <v>286</v>
      </c>
      <c r="P704">
        <v>2.5690898115412052E-2</v>
      </c>
      <c r="Q704" t="s">
        <v>168</v>
      </c>
      <c r="S704" t="s">
        <v>226</v>
      </c>
      <c r="T704" t="s">
        <v>286</v>
      </c>
      <c r="U704">
        <v>1.5556774594043912E-2</v>
      </c>
      <c r="V704" t="s">
        <v>168</v>
      </c>
    </row>
    <row r="705" spans="9:22" x14ac:dyDescent="0.45">
      <c r="I705" t="s">
        <v>183</v>
      </c>
      <c r="J705" t="s">
        <v>287</v>
      </c>
      <c r="K705">
        <v>2.493347092123452E-3</v>
      </c>
      <c r="L705" t="s">
        <v>168</v>
      </c>
      <c r="N705" t="s">
        <v>207</v>
      </c>
      <c r="O705" t="s">
        <v>287</v>
      </c>
      <c r="P705">
        <v>3.8166485787128669E-3</v>
      </c>
      <c r="Q705" t="s">
        <v>168</v>
      </c>
      <c r="S705" t="s">
        <v>226</v>
      </c>
      <c r="T705" t="s">
        <v>287</v>
      </c>
      <c r="U705">
        <v>2.5952555330052982E-3</v>
      </c>
      <c r="V705" t="s">
        <v>168</v>
      </c>
    </row>
    <row r="706" spans="9:22" x14ac:dyDescent="0.45">
      <c r="I706" t="s">
        <v>183</v>
      </c>
      <c r="J706" t="s">
        <v>288</v>
      </c>
      <c r="K706">
        <v>0</v>
      </c>
      <c r="L706" t="s">
        <v>168</v>
      </c>
      <c r="N706" t="s">
        <v>207</v>
      </c>
      <c r="O706" t="s">
        <v>288</v>
      </c>
      <c r="P706">
        <v>2.234933308888408E-2</v>
      </c>
      <c r="Q706" t="s">
        <v>168</v>
      </c>
      <c r="S706" t="s">
        <v>226</v>
      </c>
      <c r="T706" t="s">
        <v>288</v>
      </c>
      <c r="U706">
        <v>1.8762227685879842E-2</v>
      </c>
      <c r="V706" t="s">
        <v>168</v>
      </c>
    </row>
    <row r="707" spans="9:22" x14ac:dyDescent="0.45">
      <c r="I707" t="s">
        <v>183</v>
      </c>
      <c r="J707" t="s">
        <v>365</v>
      </c>
      <c r="K707">
        <v>0</v>
      </c>
      <c r="L707" t="s">
        <v>168</v>
      </c>
      <c r="N707" t="s">
        <v>207</v>
      </c>
      <c r="O707" t="s">
        <v>365</v>
      </c>
      <c r="P707">
        <v>0</v>
      </c>
      <c r="Q707" t="s">
        <v>168</v>
      </c>
      <c r="S707" t="s">
        <v>226</v>
      </c>
      <c r="T707" t="s">
        <v>365</v>
      </c>
      <c r="U707">
        <v>1.8096757253217967E-5</v>
      </c>
      <c r="V707" t="s">
        <v>168</v>
      </c>
    </row>
    <row r="708" spans="9:22" x14ac:dyDescent="0.45">
      <c r="I708" t="s">
        <v>183</v>
      </c>
      <c r="J708" t="s">
        <v>366</v>
      </c>
      <c r="K708">
        <v>0</v>
      </c>
      <c r="L708" t="s">
        <v>168</v>
      </c>
      <c r="N708" t="s">
        <v>207</v>
      </c>
      <c r="O708" t="s">
        <v>366</v>
      </c>
      <c r="P708">
        <v>4.7226608507524094E-8</v>
      </c>
      <c r="Q708" t="s">
        <v>168</v>
      </c>
      <c r="S708" t="s">
        <v>226</v>
      </c>
      <c r="T708" t="s">
        <v>366</v>
      </c>
      <c r="U708">
        <v>1.3398570100514358E-5</v>
      </c>
      <c r="V708" t="s">
        <v>168</v>
      </c>
    </row>
    <row r="709" spans="9:22" x14ac:dyDescent="0.45">
      <c r="I709" t="s">
        <v>183</v>
      </c>
      <c r="J709" t="s">
        <v>367</v>
      </c>
      <c r="K709">
        <v>0</v>
      </c>
      <c r="L709" t="s">
        <v>168</v>
      </c>
      <c r="N709" t="s">
        <v>207</v>
      </c>
      <c r="O709" t="s">
        <v>367</v>
      </c>
      <c r="P709">
        <v>1.2972149832799779E-7</v>
      </c>
      <c r="Q709" t="s">
        <v>168</v>
      </c>
      <c r="S709" t="s">
        <v>226</v>
      </c>
      <c r="T709" t="s">
        <v>367</v>
      </c>
      <c r="U709">
        <v>9.3316022016760775E-6</v>
      </c>
      <c r="V709" t="s">
        <v>168</v>
      </c>
    </row>
    <row r="710" spans="9:22" x14ac:dyDescent="0.45">
      <c r="I710" t="s">
        <v>183</v>
      </c>
      <c r="J710" t="s">
        <v>368</v>
      </c>
      <c r="K710">
        <v>0</v>
      </c>
      <c r="L710" t="s">
        <v>168</v>
      </c>
      <c r="N710" t="s">
        <v>207</v>
      </c>
      <c r="O710" t="s">
        <v>368</v>
      </c>
      <c r="P710">
        <v>1.1849817067302172E-7</v>
      </c>
      <c r="Q710" t="s">
        <v>168</v>
      </c>
      <c r="S710" t="s">
        <v>226</v>
      </c>
      <c r="T710" t="s">
        <v>368</v>
      </c>
      <c r="U710">
        <v>8.0021502835658963E-6</v>
      </c>
      <c r="V710" t="s">
        <v>168</v>
      </c>
    </row>
    <row r="711" spans="9:22" x14ac:dyDescent="0.45">
      <c r="I711" t="s">
        <v>183</v>
      </c>
      <c r="J711" t="s">
        <v>369</v>
      </c>
      <c r="K711">
        <v>0</v>
      </c>
      <c r="L711" t="s">
        <v>168</v>
      </c>
      <c r="N711" t="s">
        <v>207</v>
      </c>
      <c r="O711" t="s">
        <v>369</v>
      </c>
      <c r="P711">
        <v>1.9460121477166294E-7</v>
      </c>
      <c r="Q711" t="s">
        <v>168</v>
      </c>
      <c r="S711" t="s">
        <v>226</v>
      </c>
      <c r="T711" t="s">
        <v>369</v>
      </c>
      <c r="U711">
        <v>6.6220624745028713E-6</v>
      </c>
      <c r="V711" t="s">
        <v>168</v>
      </c>
    </row>
    <row r="712" spans="9:22" x14ac:dyDescent="0.45">
      <c r="I712" t="s">
        <v>183</v>
      </c>
      <c r="J712" t="s">
        <v>370</v>
      </c>
      <c r="K712">
        <v>0</v>
      </c>
      <c r="L712" t="s">
        <v>168</v>
      </c>
      <c r="N712" t="s">
        <v>207</v>
      </c>
      <c r="O712" t="s">
        <v>370</v>
      </c>
      <c r="P712">
        <v>1.546035702469109E-7</v>
      </c>
      <c r="Q712" t="s">
        <v>168</v>
      </c>
      <c r="S712" t="s">
        <v>226</v>
      </c>
      <c r="T712" t="s">
        <v>370</v>
      </c>
      <c r="U712">
        <v>7.917349455552295E-6</v>
      </c>
      <c r="V712" t="s">
        <v>168</v>
      </c>
    </row>
    <row r="713" spans="9:22" x14ac:dyDescent="0.45">
      <c r="I713" t="s">
        <v>183</v>
      </c>
      <c r="J713" t="s">
        <v>371</v>
      </c>
      <c r="K713">
        <v>0</v>
      </c>
      <c r="L713" t="s">
        <v>168</v>
      </c>
      <c r="N713" t="s">
        <v>207</v>
      </c>
      <c r="O713" t="s">
        <v>371</v>
      </c>
      <c r="P713">
        <v>1.4361985494187174E-7</v>
      </c>
      <c r="Q713" t="s">
        <v>168</v>
      </c>
      <c r="S713" t="s">
        <v>226</v>
      </c>
      <c r="T713" t="s">
        <v>371</v>
      </c>
      <c r="U713">
        <v>8.3460324378109545E-6</v>
      </c>
      <c r="V713" t="s">
        <v>168</v>
      </c>
    </row>
    <row r="714" spans="9:22" x14ac:dyDescent="0.45">
      <c r="I714" t="s">
        <v>183</v>
      </c>
      <c r="J714" t="s">
        <v>372</v>
      </c>
      <c r="K714">
        <v>0</v>
      </c>
      <c r="L714" t="s">
        <v>168</v>
      </c>
      <c r="N714" t="s">
        <v>207</v>
      </c>
      <c r="O714" t="s">
        <v>372</v>
      </c>
      <c r="P714">
        <v>2.5879740560124312E-7</v>
      </c>
      <c r="Q714" t="s">
        <v>168</v>
      </c>
      <c r="S714" t="s">
        <v>226</v>
      </c>
      <c r="T714" t="s">
        <v>372</v>
      </c>
      <c r="U714">
        <v>8.6346981590689064E-6</v>
      </c>
      <c r="V714" t="s">
        <v>168</v>
      </c>
    </row>
    <row r="715" spans="9:22" x14ac:dyDescent="0.45">
      <c r="I715" t="s">
        <v>183</v>
      </c>
      <c r="J715" t="s">
        <v>373</v>
      </c>
      <c r="K715">
        <v>7.5535425403254372E-5</v>
      </c>
      <c r="L715" t="s">
        <v>168</v>
      </c>
      <c r="N715" t="s">
        <v>207</v>
      </c>
      <c r="O715" t="s">
        <v>373</v>
      </c>
      <c r="P715">
        <v>4.4974477609610962E-7</v>
      </c>
      <c r="Q715" t="s">
        <v>168</v>
      </c>
      <c r="S715" t="s">
        <v>226</v>
      </c>
      <c r="T715" t="s">
        <v>373</v>
      </c>
      <c r="U715">
        <v>8.6398229971809213E-6</v>
      </c>
      <c r="V715" t="s">
        <v>168</v>
      </c>
    </row>
    <row r="716" spans="9:22" x14ac:dyDescent="0.45">
      <c r="I716" t="s">
        <v>183</v>
      </c>
      <c r="J716" t="s">
        <v>374</v>
      </c>
      <c r="K716">
        <v>1.1539689316801145E-4</v>
      </c>
      <c r="L716" t="s">
        <v>168</v>
      </c>
      <c r="N716" t="s">
        <v>207</v>
      </c>
      <c r="O716" t="s">
        <v>374</v>
      </c>
      <c r="P716">
        <v>4.650455324987728E-7</v>
      </c>
      <c r="Q716" t="s">
        <v>168</v>
      </c>
      <c r="S716" t="s">
        <v>226</v>
      </c>
      <c r="T716" t="s">
        <v>374</v>
      </c>
      <c r="U716">
        <v>7.6039668381990711E-6</v>
      </c>
      <c r="V716" t="s">
        <v>168</v>
      </c>
    </row>
    <row r="717" spans="9:22" x14ac:dyDescent="0.45">
      <c r="I717" t="s">
        <v>183</v>
      </c>
      <c r="J717" t="s">
        <v>375</v>
      </c>
      <c r="K717">
        <v>1.6873537367492896E-4</v>
      </c>
      <c r="L717" t="s">
        <v>168</v>
      </c>
      <c r="N717" t="s">
        <v>207</v>
      </c>
      <c r="O717" t="s">
        <v>375</v>
      </c>
      <c r="P717">
        <v>7.8216039733459921E-7</v>
      </c>
      <c r="Q717" t="s">
        <v>168</v>
      </c>
      <c r="S717" t="s">
        <v>226</v>
      </c>
      <c r="T717" t="s">
        <v>375</v>
      </c>
      <c r="U717">
        <v>5.8104792340719982E-6</v>
      </c>
      <c r="V717" t="s">
        <v>168</v>
      </c>
    </row>
    <row r="718" spans="9:22" x14ac:dyDescent="0.45">
      <c r="I718" t="s">
        <v>183</v>
      </c>
      <c r="J718" t="s">
        <v>376</v>
      </c>
      <c r="K718">
        <v>1.8632144366472652E-4</v>
      </c>
      <c r="L718" t="s">
        <v>168</v>
      </c>
      <c r="N718" t="s">
        <v>207</v>
      </c>
      <c r="O718" t="s">
        <v>376</v>
      </c>
      <c r="P718">
        <v>3.3202372086780823E-6</v>
      </c>
      <c r="Q718" t="s">
        <v>168</v>
      </c>
      <c r="S718" t="s">
        <v>226</v>
      </c>
      <c r="T718" t="s">
        <v>376</v>
      </c>
      <c r="U718">
        <v>4.0078713525641015E-6</v>
      </c>
      <c r="V718" t="s">
        <v>168</v>
      </c>
    </row>
    <row r="719" spans="9:22" x14ac:dyDescent="0.45">
      <c r="I719" t="s">
        <v>183</v>
      </c>
      <c r="J719" t="s">
        <v>377</v>
      </c>
      <c r="K719">
        <v>1.5755492723623009E-4</v>
      </c>
      <c r="L719" t="s">
        <v>168</v>
      </c>
      <c r="N719" t="s">
        <v>207</v>
      </c>
      <c r="O719" t="s">
        <v>377</v>
      </c>
      <c r="P719">
        <v>5.3693651935226533E-6</v>
      </c>
      <c r="Q719" t="s">
        <v>168</v>
      </c>
      <c r="S719" t="s">
        <v>226</v>
      </c>
      <c r="T719" t="s">
        <v>377</v>
      </c>
      <c r="U719">
        <v>3.9407504258518912E-6</v>
      </c>
      <c r="V719" t="s">
        <v>168</v>
      </c>
    </row>
    <row r="720" spans="9:22" x14ac:dyDescent="0.45">
      <c r="I720" t="s">
        <v>183</v>
      </c>
      <c r="J720" t="s">
        <v>378</v>
      </c>
      <c r="K720">
        <v>1.900295056151363E-4</v>
      </c>
      <c r="L720" t="s">
        <v>168</v>
      </c>
      <c r="N720" t="s">
        <v>207</v>
      </c>
      <c r="O720" t="s">
        <v>378</v>
      </c>
      <c r="P720">
        <v>5.7467929854104629E-6</v>
      </c>
      <c r="Q720" t="s">
        <v>168</v>
      </c>
      <c r="S720" t="s">
        <v>226</v>
      </c>
      <c r="T720" t="s">
        <v>378</v>
      </c>
      <c r="U720">
        <v>2.6693302533016339E-6</v>
      </c>
      <c r="V720" t="s">
        <v>168</v>
      </c>
    </row>
    <row r="721" spans="9:22" x14ac:dyDescent="0.45">
      <c r="I721" t="s">
        <v>183</v>
      </c>
      <c r="J721" t="s">
        <v>379</v>
      </c>
      <c r="K721">
        <v>1.5186882078817155E-4</v>
      </c>
      <c r="L721" t="s">
        <v>168</v>
      </c>
      <c r="N721" t="s">
        <v>207</v>
      </c>
      <c r="O721" t="s">
        <v>379</v>
      </c>
      <c r="P721">
        <v>8.2398781070843043E-6</v>
      </c>
      <c r="Q721" t="s">
        <v>168</v>
      </c>
      <c r="S721" t="s">
        <v>226</v>
      </c>
      <c r="T721" t="s">
        <v>379</v>
      </c>
      <c r="U721">
        <v>2.6755065938534413E-6</v>
      </c>
      <c r="V721" t="s">
        <v>168</v>
      </c>
    </row>
    <row r="722" spans="9:22" x14ac:dyDescent="0.45">
      <c r="I722" t="s">
        <v>183</v>
      </c>
      <c r="J722" t="s">
        <v>380</v>
      </c>
      <c r="K722">
        <v>7.6521302067479396E-5</v>
      </c>
      <c r="L722" t="s">
        <v>168</v>
      </c>
      <c r="N722" t="s">
        <v>207</v>
      </c>
      <c r="O722" t="s">
        <v>380</v>
      </c>
      <c r="P722">
        <v>9.4465905338044337E-6</v>
      </c>
      <c r="Q722" t="s">
        <v>168</v>
      </c>
      <c r="S722" t="s">
        <v>226</v>
      </c>
      <c r="T722" t="s">
        <v>380</v>
      </c>
      <c r="U722">
        <v>1.9585549859166229E-6</v>
      </c>
      <c r="V722" t="s">
        <v>168</v>
      </c>
    </row>
    <row r="723" spans="9:22" x14ac:dyDescent="0.45">
      <c r="I723" t="s">
        <v>183</v>
      </c>
      <c r="J723" t="s">
        <v>381</v>
      </c>
      <c r="K723">
        <v>4.4172592579222457E-5</v>
      </c>
      <c r="L723" t="s">
        <v>168</v>
      </c>
      <c r="N723" t="s">
        <v>207</v>
      </c>
      <c r="O723" t="s">
        <v>381</v>
      </c>
      <c r="P723">
        <v>1.5798842758542372E-5</v>
      </c>
      <c r="Q723" t="s">
        <v>168</v>
      </c>
      <c r="S723" t="s">
        <v>226</v>
      </c>
      <c r="T723" t="s">
        <v>381</v>
      </c>
      <c r="U723">
        <v>1.7626112020780188E-6</v>
      </c>
      <c r="V723" t="s">
        <v>168</v>
      </c>
    </row>
    <row r="724" spans="9:22" x14ac:dyDescent="0.45">
      <c r="I724" t="s">
        <v>183</v>
      </c>
      <c r="J724" t="s">
        <v>382</v>
      </c>
      <c r="K724">
        <v>0</v>
      </c>
      <c r="L724" t="s">
        <v>168</v>
      </c>
      <c r="N724" t="s">
        <v>207</v>
      </c>
      <c r="O724" t="s">
        <v>382</v>
      </c>
      <c r="P724">
        <v>3.2016116408556974E-5</v>
      </c>
      <c r="Q724" t="s">
        <v>168</v>
      </c>
      <c r="S724" t="s">
        <v>226</v>
      </c>
      <c r="T724" t="s">
        <v>382</v>
      </c>
      <c r="U724">
        <v>1.6574785731217687E-6</v>
      </c>
      <c r="V724" t="s">
        <v>168</v>
      </c>
    </row>
    <row r="725" spans="9:22" x14ac:dyDescent="0.45">
      <c r="I725" t="s">
        <v>183</v>
      </c>
      <c r="J725" t="s">
        <v>383</v>
      </c>
      <c r="K725">
        <v>0</v>
      </c>
      <c r="L725" t="s">
        <v>168</v>
      </c>
      <c r="N725" t="s">
        <v>207</v>
      </c>
      <c r="O725" t="s">
        <v>383</v>
      </c>
      <c r="P725">
        <v>3.0069489567692378E-5</v>
      </c>
      <c r="Q725" t="s">
        <v>168</v>
      </c>
      <c r="S725" t="s">
        <v>226</v>
      </c>
      <c r="T725" t="s">
        <v>383</v>
      </c>
      <c r="U725">
        <v>1.6734066063655718E-6</v>
      </c>
      <c r="V725" t="s">
        <v>168</v>
      </c>
    </row>
    <row r="726" spans="9:22" x14ac:dyDescent="0.45">
      <c r="I726" t="s">
        <v>183</v>
      </c>
      <c r="J726" t="s">
        <v>384</v>
      </c>
      <c r="K726">
        <v>0</v>
      </c>
      <c r="L726" t="s">
        <v>168</v>
      </c>
      <c r="N726" t="s">
        <v>207</v>
      </c>
      <c r="O726" t="s">
        <v>384</v>
      </c>
      <c r="P726">
        <v>2.32039436064452E-5</v>
      </c>
      <c r="Q726" t="s">
        <v>168</v>
      </c>
      <c r="S726" t="s">
        <v>226</v>
      </c>
      <c r="T726" t="s">
        <v>384</v>
      </c>
      <c r="U726">
        <v>4.5310467255535109E-6</v>
      </c>
      <c r="V726" t="s">
        <v>168</v>
      </c>
    </row>
    <row r="727" spans="9:22" x14ac:dyDescent="0.45">
      <c r="I727" t="s">
        <v>183</v>
      </c>
      <c r="J727" t="s">
        <v>385</v>
      </c>
      <c r="K727">
        <v>0</v>
      </c>
      <c r="L727" t="s">
        <v>168</v>
      </c>
      <c r="N727" t="s">
        <v>207</v>
      </c>
      <c r="O727" t="s">
        <v>385</v>
      </c>
      <c r="P727">
        <v>1.8519515367309589E-5</v>
      </c>
      <c r="Q727" t="s">
        <v>168</v>
      </c>
      <c r="S727" t="s">
        <v>226</v>
      </c>
      <c r="T727" t="s">
        <v>385</v>
      </c>
      <c r="U727">
        <v>6.7999908091475211E-6</v>
      </c>
      <c r="V727" t="s">
        <v>168</v>
      </c>
    </row>
    <row r="728" spans="9:22" x14ac:dyDescent="0.45">
      <c r="I728" t="s">
        <v>183</v>
      </c>
      <c r="J728" t="s">
        <v>386</v>
      </c>
      <c r="K728">
        <v>0</v>
      </c>
      <c r="L728" t="s">
        <v>168</v>
      </c>
      <c r="N728" t="s">
        <v>207</v>
      </c>
      <c r="O728" t="s">
        <v>386</v>
      </c>
      <c r="P728">
        <v>1.7583256665047544E-5</v>
      </c>
      <c r="Q728" t="s">
        <v>168</v>
      </c>
      <c r="S728" t="s">
        <v>226</v>
      </c>
      <c r="T728" t="s">
        <v>386</v>
      </c>
      <c r="U728">
        <v>9.5346037761711247E-6</v>
      </c>
      <c r="V728" t="s">
        <v>168</v>
      </c>
    </row>
    <row r="729" spans="9:22" x14ac:dyDescent="0.45">
      <c r="I729" t="s">
        <v>183</v>
      </c>
      <c r="J729" t="s">
        <v>387</v>
      </c>
      <c r="K729">
        <v>0</v>
      </c>
      <c r="L729" t="s">
        <v>168</v>
      </c>
      <c r="N729" t="s">
        <v>207</v>
      </c>
      <c r="O729" t="s">
        <v>387</v>
      </c>
      <c r="P729">
        <v>1.4131367011835198E-5</v>
      </c>
      <c r="Q729" t="s">
        <v>168</v>
      </c>
      <c r="S729" t="s">
        <v>226</v>
      </c>
      <c r="T729" t="s">
        <v>387</v>
      </c>
      <c r="U729">
        <v>1.373273025513166E-5</v>
      </c>
      <c r="V729" t="s">
        <v>168</v>
      </c>
    </row>
    <row r="730" spans="9:22" x14ac:dyDescent="0.45">
      <c r="I730" t="s">
        <v>183</v>
      </c>
      <c r="J730" t="s">
        <v>388</v>
      </c>
      <c r="K730">
        <v>0</v>
      </c>
      <c r="L730" t="s">
        <v>168</v>
      </c>
      <c r="N730" t="s">
        <v>207</v>
      </c>
      <c r="O730" t="s">
        <v>388</v>
      </c>
      <c r="P730">
        <v>6.0560257078292261E-6</v>
      </c>
      <c r="Q730" t="s">
        <v>168</v>
      </c>
      <c r="S730" t="s">
        <v>226</v>
      </c>
      <c r="T730" t="s">
        <v>388</v>
      </c>
      <c r="U730">
        <v>2.3705965293653889E-5</v>
      </c>
      <c r="V730" t="s">
        <v>168</v>
      </c>
    </row>
    <row r="731" spans="9:22" x14ac:dyDescent="0.45">
      <c r="I731" t="s">
        <v>184</v>
      </c>
      <c r="J731" t="s">
        <v>167</v>
      </c>
      <c r="K731">
        <v>1.6377169592862357E-3</v>
      </c>
      <c r="L731" t="s">
        <v>168</v>
      </c>
      <c r="N731" t="s">
        <v>208</v>
      </c>
      <c r="O731" t="s">
        <v>167</v>
      </c>
      <c r="P731">
        <v>6.2819226090541511E-2</v>
      </c>
      <c r="Q731" t="s">
        <v>168</v>
      </c>
      <c r="S731" t="s">
        <v>227</v>
      </c>
      <c r="T731" t="s">
        <v>167</v>
      </c>
      <c r="U731">
        <v>6.9190871050094763E-2</v>
      </c>
      <c r="V731" t="s">
        <v>168</v>
      </c>
    </row>
    <row r="732" spans="9:22" x14ac:dyDescent="0.45">
      <c r="I732" t="s">
        <v>184</v>
      </c>
      <c r="J732" t="s">
        <v>169</v>
      </c>
      <c r="K732">
        <v>6.8800169956718827E-3</v>
      </c>
      <c r="L732" t="s">
        <v>168</v>
      </c>
      <c r="N732" t="s">
        <v>208</v>
      </c>
      <c r="O732" t="s">
        <v>169</v>
      </c>
      <c r="P732">
        <v>7.488750913952404E-3</v>
      </c>
      <c r="Q732" t="s">
        <v>168</v>
      </c>
      <c r="S732" t="s">
        <v>227</v>
      </c>
      <c r="T732" t="s">
        <v>169</v>
      </c>
      <c r="U732">
        <v>8.7060010259168447E-3</v>
      </c>
      <c r="V732" t="s">
        <v>168</v>
      </c>
    </row>
    <row r="733" spans="9:22" x14ac:dyDescent="0.45">
      <c r="I733" t="s">
        <v>184</v>
      </c>
      <c r="J733" t="s">
        <v>170</v>
      </c>
      <c r="K733">
        <v>1.0751321348216951E-2</v>
      </c>
      <c r="L733" t="s">
        <v>168</v>
      </c>
      <c r="N733" t="s">
        <v>208</v>
      </c>
      <c r="O733" t="s">
        <v>170</v>
      </c>
      <c r="P733">
        <v>7.2648170441467668E-3</v>
      </c>
      <c r="Q733" t="s">
        <v>168</v>
      </c>
      <c r="S733" t="s">
        <v>227</v>
      </c>
      <c r="T733" t="s">
        <v>170</v>
      </c>
      <c r="U733">
        <v>8.6214922808006411E-3</v>
      </c>
      <c r="V733" t="s">
        <v>168</v>
      </c>
    </row>
    <row r="734" spans="9:22" x14ac:dyDescent="0.45">
      <c r="I734" t="s">
        <v>184</v>
      </c>
      <c r="J734" t="s">
        <v>256</v>
      </c>
      <c r="K734">
        <v>7.3676700165182546E-2</v>
      </c>
      <c r="L734" t="s">
        <v>168</v>
      </c>
      <c r="N734" t="s">
        <v>208</v>
      </c>
      <c r="O734" t="s">
        <v>256</v>
      </c>
      <c r="P734">
        <v>4.3186996523822581E-2</v>
      </c>
      <c r="Q734" t="s">
        <v>168</v>
      </c>
      <c r="S734" t="s">
        <v>227</v>
      </c>
      <c r="T734" t="s">
        <v>256</v>
      </c>
      <c r="U734">
        <v>4.9309289787358511E-2</v>
      </c>
      <c r="V734" t="s">
        <v>168</v>
      </c>
    </row>
    <row r="735" spans="9:22" x14ac:dyDescent="0.45">
      <c r="I735" t="s">
        <v>184</v>
      </c>
      <c r="J735" t="s">
        <v>257</v>
      </c>
      <c r="K735">
        <v>7.1519803271004254E-3</v>
      </c>
      <c r="L735" t="s">
        <v>168</v>
      </c>
      <c r="N735" t="s">
        <v>208</v>
      </c>
      <c r="O735" t="s">
        <v>257</v>
      </c>
      <c r="P735">
        <v>7.6001628162375347E-3</v>
      </c>
      <c r="Q735" t="s">
        <v>168</v>
      </c>
      <c r="S735" t="s">
        <v>227</v>
      </c>
      <c r="T735" t="s">
        <v>257</v>
      </c>
      <c r="U735">
        <v>8.6432500567317789E-3</v>
      </c>
      <c r="V735" t="s">
        <v>168</v>
      </c>
    </row>
    <row r="736" spans="9:22" x14ac:dyDescent="0.45">
      <c r="I736" t="s">
        <v>184</v>
      </c>
      <c r="J736" t="s">
        <v>258</v>
      </c>
      <c r="K736">
        <v>2.0286216955057684E-3</v>
      </c>
      <c r="L736" t="s">
        <v>168</v>
      </c>
      <c r="N736" t="s">
        <v>208</v>
      </c>
      <c r="O736" t="s">
        <v>258</v>
      </c>
      <c r="P736">
        <v>5.4868465082378283E-2</v>
      </c>
      <c r="Q736" t="s">
        <v>168</v>
      </c>
      <c r="S736" t="s">
        <v>227</v>
      </c>
      <c r="T736" t="s">
        <v>258</v>
      </c>
      <c r="U736">
        <v>6.1755437993840374E-2</v>
      </c>
      <c r="V736" t="s">
        <v>168</v>
      </c>
    </row>
    <row r="737" spans="9:22" x14ac:dyDescent="0.45">
      <c r="I737" t="s">
        <v>184</v>
      </c>
      <c r="J737" t="s">
        <v>171</v>
      </c>
      <c r="K737">
        <v>4.3224057993845974E-2</v>
      </c>
      <c r="L737" t="s">
        <v>168</v>
      </c>
      <c r="N737" t="s">
        <v>208</v>
      </c>
      <c r="O737" t="s">
        <v>171</v>
      </c>
      <c r="P737">
        <v>0.12775854709139084</v>
      </c>
      <c r="Q737" t="s">
        <v>168</v>
      </c>
      <c r="S737" t="s">
        <v>227</v>
      </c>
      <c r="T737" t="s">
        <v>171</v>
      </c>
      <c r="U737">
        <v>0.10963525348680821</v>
      </c>
      <c r="V737" t="s">
        <v>168</v>
      </c>
    </row>
    <row r="738" spans="9:22" x14ac:dyDescent="0.45">
      <c r="I738" t="s">
        <v>184</v>
      </c>
      <c r="J738" t="s">
        <v>172</v>
      </c>
      <c r="K738">
        <v>3.1291297601975569E-2</v>
      </c>
      <c r="L738" t="s">
        <v>168</v>
      </c>
      <c r="N738" t="s">
        <v>208</v>
      </c>
      <c r="O738" t="s">
        <v>172</v>
      </c>
      <c r="P738">
        <v>1.342436513158555E-2</v>
      </c>
      <c r="Q738" t="s">
        <v>168</v>
      </c>
      <c r="S738" t="s">
        <v>227</v>
      </c>
      <c r="T738" t="s">
        <v>172</v>
      </c>
      <c r="U738">
        <v>1.4239570290559779E-2</v>
      </c>
      <c r="V738" t="s">
        <v>168</v>
      </c>
    </row>
    <row r="739" spans="9:22" x14ac:dyDescent="0.45">
      <c r="I739" t="s">
        <v>184</v>
      </c>
      <c r="J739" t="s">
        <v>173</v>
      </c>
      <c r="K739">
        <v>3.6549138736985641E-2</v>
      </c>
      <c r="L739" t="s">
        <v>168</v>
      </c>
      <c r="N739" t="s">
        <v>208</v>
      </c>
      <c r="O739" t="s">
        <v>173</v>
      </c>
      <c r="P739">
        <v>1.2939871392594839E-2</v>
      </c>
      <c r="Q739" t="s">
        <v>168</v>
      </c>
      <c r="S739" t="s">
        <v>227</v>
      </c>
      <c r="T739" t="s">
        <v>173</v>
      </c>
      <c r="U739">
        <v>1.4570929001918337E-2</v>
      </c>
      <c r="V739" t="s">
        <v>168</v>
      </c>
    </row>
    <row r="740" spans="9:22" x14ac:dyDescent="0.45">
      <c r="I740" t="s">
        <v>184</v>
      </c>
      <c r="J740" t="s">
        <v>259</v>
      </c>
      <c r="K740">
        <v>0.22767900141714686</v>
      </c>
      <c r="L740" t="s">
        <v>168</v>
      </c>
      <c r="N740" t="s">
        <v>208</v>
      </c>
      <c r="O740" t="s">
        <v>259</v>
      </c>
      <c r="P740">
        <v>7.3707591442289833E-2</v>
      </c>
      <c r="Q740" t="s">
        <v>168</v>
      </c>
      <c r="S740" t="s">
        <v>227</v>
      </c>
      <c r="T740" t="s">
        <v>259</v>
      </c>
      <c r="U740">
        <v>9.0927499535683923E-2</v>
      </c>
      <c r="V740" t="s">
        <v>168</v>
      </c>
    </row>
    <row r="741" spans="9:22" x14ac:dyDescent="0.45">
      <c r="I741" t="s">
        <v>184</v>
      </c>
      <c r="J741" t="s">
        <v>260</v>
      </c>
      <c r="K741">
        <v>2.8416663375332659E-2</v>
      </c>
      <c r="L741" t="s">
        <v>168</v>
      </c>
      <c r="N741" t="s">
        <v>208</v>
      </c>
      <c r="O741" t="s">
        <v>260</v>
      </c>
      <c r="P741">
        <v>1.535119717346595E-2</v>
      </c>
      <c r="Q741" t="s">
        <v>168</v>
      </c>
      <c r="S741" t="s">
        <v>227</v>
      </c>
      <c r="T741" t="s">
        <v>260</v>
      </c>
      <c r="U741">
        <v>1.6274222604586195E-2</v>
      </c>
      <c r="V741" t="s">
        <v>168</v>
      </c>
    </row>
    <row r="742" spans="9:22" x14ac:dyDescent="0.45">
      <c r="I742" t="s">
        <v>184</v>
      </c>
      <c r="J742" t="s">
        <v>261</v>
      </c>
      <c r="K742">
        <v>3.4910358971927721E-2</v>
      </c>
      <c r="L742" t="s">
        <v>168</v>
      </c>
      <c r="N742" t="s">
        <v>208</v>
      </c>
      <c r="O742" t="s">
        <v>261</v>
      </c>
      <c r="P742">
        <v>0.11158154207737214</v>
      </c>
      <c r="Q742" t="s">
        <v>168</v>
      </c>
      <c r="S742" t="s">
        <v>227</v>
      </c>
      <c r="T742" t="s">
        <v>261</v>
      </c>
      <c r="U742">
        <v>0.1034368560004188</v>
      </c>
      <c r="V742" t="s">
        <v>168</v>
      </c>
    </row>
    <row r="743" spans="9:22" x14ac:dyDescent="0.45">
      <c r="I743" t="s">
        <v>184</v>
      </c>
      <c r="J743" t="s">
        <v>174</v>
      </c>
      <c r="K743">
        <v>1.7145143814377765E-2</v>
      </c>
      <c r="L743" t="s">
        <v>168</v>
      </c>
      <c r="N743" t="s">
        <v>208</v>
      </c>
      <c r="O743" t="s">
        <v>174</v>
      </c>
      <c r="P743">
        <v>1.3698424127021725E-2</v>
      </c>
      <c r="Q743" t="s">
        <v>168</v>
      </c>
      <c r="S743" t="s">
        <v>227</v>
      </c>
      <c r="T743" t="s">
        <v>174</v>
      </c>
      <c r="U743">
        <v>9.559152404829855E-3</v>
      </c>
      <c r="V743" t="s">
        <v>168</v>
      </c>
    </row>
    <row r="744" spans="9:22" x14ac:dyDescent="0.45">
      <c r="I744" t="s">
        <v>184</v>
      </c>
      <c r="J744" t="s">
        <v>175</v>
      </c>
      <c r="K744">
        <v>1.0329170183840605E-2</v>
      </c>
      <c r="L744" t="s">
        <v>168</v>
      </c>
      <c r="N744" t="s">
        <v>208</v>
      </c>
      <c r="O744" t="s">
        <v>175</v>
      </c>
      <c r="P744">
        <v>1.5580817933882475E-3</v>
      </c>
      <c r="Q744" t="s">
        <v>168</v>
      </c>
      <c r="S744" t="s">
        <v>227</v>
      </c>
      <c r="T744" t="s">
        <v>175</v>
      </c>
      <c r="U744">
        <v>1.2516437869493366E-3</v>
      </c>
      <c r="V744" t="s">
        <v>168</v>
      </c>
    </row>
    <row r="745" spans="9:22" x14ac:dyDescent="0.45">
      <c r="I745" t="s">
        <v>184</v>
      </c>
      <c r="J745" t="s">
        <v>176</v>
      </c>
      <c r="K745">
        <v>1.1720795541759029E-2</v>
      </c>
      <c r="L745" t="s">
        <v>168</v>
      </c>
      <c r="N745" t="s">
        <v>208</v>
      </c>
      <c r="O745" t="s">
        <v>176</v>
      </c>
      <c r="P745">
        <v>1.5749883151755222E-3</v>
      </c>
      <c r="Q745" t="s">
        <v>168</v>
      </c>
      <c r="S745" t="s">
        <v>227</v>
      </c>
      <c r="T745" t="s">
        <v>176</v>
      </c>
      <c r="U745">
        <v>1.1265490233438968E-3</v>
      </c>
      <c r="V745" t="s">
        <v>168</v>
      </c>
    </row>
    <row r="746" spans="9:22" x14ac:dyDescent="0.45">
      <c r="I746" t="s">
        <v>184</v>
      </c>
      <c r="J746" t="s">
        <v>262</v>
      </c>
      <c r="K746">
        <v>6.9908810420736767E-2</v>
      </c>
      <c r="L746" t="s">
        <v>168</v>
      </c>
      <c r="N746" t="s">
        <v>208</v>
      </c>
      <c r="O746" t="s">
        <v>262</v>
      </c>
      <c r="P746">
        <v>8.5850401570827396E-3</v>
      </c>
      <c r="Q746" t="s">
        <v>168</v>
      </c>
      <c r="S746" t="s">
        <v>227</v>
      </c>
      <c r="T746" t="s">
        <v>262</v>
      </c>
      <c r="U746">
        <v>6.5808808174117389E-3</v>
      </c>
      <c r="V746" t="s">
        <v>168</v>
      </c>
    </row>
    <row r="747" spans="9:22" x14ac:dyDescent="0.45">
      <c r="I747" t="s">
        <v>184</v>
      </c>
      <c r="J747" t="s">
        <v>263</v>
      </c>
      <c r="K747">
        <v>8.9764207576257492E-3</v>
      </c>
      <c r="L747" t="s">
        <v>168</v>
      </c>
      <c r="N747" t="s">
        <v>208</v>
      </c>
      <c r="O747" t="s">
        <v>263</v>
      </c>
      <c r="P747">
        <v>1.4284991499113897E-3</v>
      </c>
      <c r="Q747" t="s">
        <v>168</v>
      </c>
      <c r="S747" t="s">
        <v>227</v>
      </c>
      <c r="T747" t="s">
        <v>263</v>
      </c>
      <c r="U747">
        <v>1.8246783562178789E-3</v>
      </c>
      <c r="V747" t="s">
        <v>168</v>
      </c>
    </row>
    <row r="748" spans="9:22" x14ac:dyDescent="0.45">
      <c r="I748" t="s">
        <v>184</v>
      </c>
      <c r="J748" t="s">
        <v>264</v>
      </c>
      <c r="K748">
        <v>1.3677909244917158E-2</v>
      </c>
      <c r="L748" t="s">
        <v>168</v>
      </c>
      <c r="N748" t="s">
        <v>208</v>
      </c>
      <c r="O748" t="s">
        <v>264</v>
      </c>
      <c r="P748">
        <v>1.003937995915357E-2</v>
      </c>
      <c r="Q748" t="s">
        <v>168</v>
      </c>
      <c r="S748" t="s">
        <v>227</v>
      </c>
      <c r="T748" t="s">
        <v>264</v>
      </c>
      <c r="U748">
        <v>1.1968973104523889E-2</v>
      </c>
      <c r="V748" t="s">
        <v>168</v>
      </c>
    </row>
    <row r="749" spans="9:22" x14ac:dyDescent="0.45">
      <c r="I749" t="s">
        <v>184</v>
      </c>
      <c r="J749" t="s">
        <v>265</v>
      </c>
      <c r="K749">
        <v>1.4534140343992558E-2</v>
      </c>
      <c r="L749" t="s">
        <v>168</v>
      </c>
      <c r="N749" t="s">
        <v>208</v>
      </c>
      <c r="O749" t="s">
        <v>265</v>
      </c>
      <c r="P749">
        <v>2.1819147033733083E-2</v>
      </c>
      <c r="Q749" t="s">
        <v>168</v>
      </c>
      <c r="S749" t="s">
        <v>227</v>
      </c>
      <c r="T749" t="s">
        <v>265</v>
      </c>
      <c r="U749">
        <v>1.5255148660026779E-2</v>
      </c>
      <c r="V749" t="s">
        <v>168</v>
      </c>
    </row>
    <row r="750" spans="9:22" x14ac:dyDescent="0.45">
      <c r="I750" t="s">
        <v>184</v>
      </c>
      <c r="J750" t="s">
        <v>266</v>
      </c>
      <c r="K750">
        <v>1.0326500464888306E-2</v>
      </c>
      <c r="L750" t="s">
        <v>168</v>
      </c>
      <c r="N750" t="s">
        <v>208</v>
      </c>
      <c r="O750" t="s">
        <v>266</v>
      </c>
      <c r="P750">
        <v>2.665010496421301E-3</v>
      </c>
      <c r="Q750" t="s">
        <v>168</v>
      </c>
      <c r="S750" t="s">
        <v>227</v>
      </c>
      <c r="T750" t="s">
        <v>266</v>
      </c>
      <c r="U750">
        <v>1.4461092018241803E-3</v>
      </c>
      <c r="V750" t="s">
        <v>168</v>
      </c>
    </row>
    <row r="751" spans="9:22" x14ac:dyDescent="0.45">
      <c r="I751" t="s">
        <v>184</v>
      </c>
      <c r="J751" t="s">
        <v>267</v>
      </c>
      <c r="K751">
        <v>1.1647999313679016E-2</v>
      </c>
      <c r="L751" t="s">
        <v>168</v>
      </c>
      <c r="N751" t="s">
        <v>208</v>
      </c>
      <c r="O751" t="s">
        <v>267</v>
      </c>
      <c r="P751">
        <v>2.6076387641291872E-3</v>
      </c>
      <c r="Q751" t="s">
        <v>168</v>
      </c>
      <c r="S751" t="s">
        <v>227</v>
      </c>
      <c r="T751" t="s">
        <v>267</v>
      </c>
      <c r="U751">
        <v>1.1777624795205697E-3</v>
      </c>
      <c r="V751" t="s">
        <v>168</v>
      </c>
    </row>
    <row r="752" spans="9:22" x14ac:dyDescent="0.45">
      <c r="I752" t="s">
        <v>184</v>
      </c>
      <c r="J752" t="s">
        <v>268</v>
      </c>
      <c r="K752">
        <v>6.9960552463292941E-2</v>
      </c>
      <c r="L752" t="s">
        <v>168</v>
      </c>
      <c r="N752" t="s">
        <v>208</v>
      </c>
      <c r="O752" t="s">
        <v>268</v>
      </c>
      <c r="P752">
        <v>1.1342173197502891E-2</v>
      </c>
      <c r="Q752" t="s">
        <v>168</v>
      </c>
      <c r="S752" t="s">
        <v>227</v>
      </c>
      <c r="T752" t="s">
        <v>268</v>
      </c>
      <c r="U752">
        <v>8.384841821505902E-3</v>
      </c>
      <c r="V752" t="s">
        <v>168</v>
      </c>
    </row>
    <row r="753" spans="9:22" x14ac:dyDescent="0.45">
      <c r="I753" t="s">
        <v>184</v>
      </c>
      <c r="J753" t="s">
        <v>269</v>
      </c>
      <c r="K753">
        <v>9.373918928822618E-3</v>
      </c>
      <c r="L753" t="s">
        <v>168</v>
      </c>
      <c r="N753" t="s">
        <v>208</v>
      </c>
      <c r="O753" t="s">
        <v>269</v>
      </c>
      <c r="P753">
        <v>2.0119600911800745E-3</v>
      </c>
      <c r="Q753" t="s">
        <v>168</v>
      </c>
      <c r="S753" t="s">
        <v>227</v>
      </c>
      <c r="T753" t="s">
        <v>269</v>
      </c>
      <c r="U753">
        <v>2.3162294552030766E-3</v>
      </c>
      <c r="V753" t="s">
        <v>168</v>
      </c>
    </row>
    <row r="754" spans="9:22" x14ac:dyDescent="0.45">
      <c r="I754" t="s">
        <v>184</v>
      </c>
      <c r="J754" t="s">
        <v>270</v>
      </c>
      <c r="K754">
        <v>1.1739720944422818E-2</v>
      </c>
      <c r="L754" t="s">
        <v>168</v>
      </c>
      <c r="N754" t="s">
        <v>208</v>
      </c>
      <c r="O754" t="s">
        <v>270</v>
      </c>
      <c r="P754">
        <v>1.5022875487782979E-2</v>
      </c>
      <c r="Q754" t="s">
        <v>168</v>
      </c>
      <c r="S754" t="s">
        <v>227</v>
      </c>
      <c r="T754" t="s">
        <v>270</v>
      </c>
      <c r="U754">
        <v>1.5920071861668113E-2</v>
      </c>
      <c r="V754" t="s">
        <v>168</v>
      </c>
    </row>
    <row r="755" spans="9:22" x14ac:dyDescent="0.45">
      <c r="I755" t="s">
        <v>184</v>
      </c>
      <c r="J755" t="s">
        <v>271</v>
      </c>
      <c r="K755">
        <v>8.097885448988722E-3</v>
      </c>
      <c r="L755" t="s">
        <v>168</v>
      </c>
      <c r="N755" t="s">
        <v>208</v>
      </c>
      <c r="O755" t="s">
        <v>271</v>
      </c>
      <c r="P755">
        <v>2.3647329516388874E-2</v>
      </c>
      <c r="Q755" t="s">
        <v>168</v>
      </c>
      <c r="S755" t="s">
        <v>227</v>
      </c>
      <c r="T755" t="s">
        <v>271</v>
      </c>
      <c r="U755">
        <v>1.7298816048865372E-2</v>
      </c>
      <c r="V755" t="s">
        <v>168</v>
      </c>
    </row>
    <row r="756" spans="9:22" x14ac:dyDescent="0.45">
      <c r="I756" t="s">
        <v>184</v>
      </c>
      <c r="J756" t="s">
        <v>272</v>
      </c>
      <c r="K756">
        <v>7.106424462306523E-3</v>
      </c>
      <c r="L756" t="s">
        <v>168</v>
      </c>
      <c r="N756" t="s">
        <v>208</v>
      </c>
      <c r="O756" t="s">
        <v>272</v>
      </c>
      <c r="P756">
        <v>2.0201959877382447E-3</v>
      </c>
      <c r="Q756" t="s">
        <v>168</v>
      </c>
      <c r="S756" t="s">
        <v>227</v>
      </c>
      <c r="T756" t="s">
        <v>272</v>
      </c>
      <c r="U756">
        <v>1.9479974079247829E-3</v>
      </c>
      <c r="V756" t="s">
        <v>168</v>
      </c>
    </row>
    <row r="757" spans="9:22" x14ac:dyDescent="0.45">
      <c r="I757" t="s">
        <v>184</v>
      </c>
      <c r="J757" t="s">
        <v>273</v>
      </c>
      <c r="K757">
        <v>8.3650246728997624E-3</v>
      </c>
      <c r="L757" t="s">
        <v>168</v>
      </c>
      <c r="N757" t="s">
        <v>208</v>
      </c>
      <c r="O757" t="s">
        <v>273</v>
      </c>
      <c r="P757">
        <v>1.8839960816747067E-3</v>
      </c>
      <c r="Q757" t="s">
        <v>168</v>
      </c>
      <c r="S757" t="s">
        <v>227</v>
      </c>
      <c r="T757" t="s">
        <v>273</v>
      </c>
      <c r="U757">
        <v>1.9524156303347886E-3</v>
      </c>
      <c r="V757" t="s">
        <v>168</v>
      </c>
    </row>
    <row r="758" spans="9:22" x14ac:dyDescent="0.45">
      <c r="I758" t="s">
        <v>184</v>
      </c>
      <c r="J758" t="s">
        <v>274</v>
      </c>
      <c r="K758">
        <v>5.2544440374281833E-2</v>
      </c>
      <c r="L758" t="s">
        <v>168</v>
      </c>
      <c r="N758" t="s">
        <v>208</v>
      </c>
      <c r="O758" t="s">
        <v>274</v>
      </c>
      <c r="P758">
        <v>1.0407610394772565E-2</v>
      </c>
      <c r="Q758" t="s">
        <v>168</v>
      </c>
      <c r="S758" t="s">
        <v>227</v>
      </c>
      <c r="T758" t="s">
        <v>274</v>
      </c>
      <c r="U758">
        <v>1.4171249603629392E-2</v>
      </c>
      <c r="V758" t="s">
        <v>168</v>
      </c>
    </row>
    <row r="759" spans="9:22" x14ac:dyDescent="0.45">
      <c r="I759" t="s">
        <v>184</v>
      </c>
      <c r="J759" t="s">
        <v>275</v>
      </c>
      <c r="K759">
        <v>6.68544163699174E-3</v>
      </c>
      <c r="L759" t="s">
        <v>168</v>
      </c>
      <c r="N759" t="s">
        <v>208</v>
      </c>
      <c r="O759" t="s">
        <v>275</v>
      </c>
      <c r="P759">
        <v>1.9417884832140374E-3</v>
      </c>
      <c r="Q759" t="s">
        <v>168</v>
      </c>
      <c r="S759" t="s">
        <v>227</v>
      </c>
      <c r="T759" t="s">
        <v>275</v>
      </c>
      <c r="U759">
        <v>2.7229568709927509E-3</v>
      </c>
      <c r="V759" t="s">
        <v>168</v>
      </c>
    </row>
    <row r="760" spans="9:22" x14ac:dyDescent="0.45">
      <c r="I760" t="s">
        <v>184</v>
      </c>
      <c r="J760" t="s">
        <v>276</v>
      </c>
      <c r="K760">
        <v>5.1829760947270835E-3</v>
      </c>
      <c r="L760" t="s">
        <v>168</v>
      </c>
      <c r="N760" t="s">
        <v>208</v>
      </c>
      <c r="O760" t="s">
        <v>276</v>
      </c>
      <c r="P760">
        <v>1.7085450052362856E-2</v>
      </c>
      <c r="Q760" t="s">
        <v>168</v>
      </c>
      <c r="S760" t="s">
        <v>227</v>
      </c>
      <c r="T760" t="s">
        <v>276</v>
      </c>
      <c r="U760">
        <v>1.7803042182310252E-2</v>
      </c>
      <c r="V760" t="s">
        <v>168</v>
      </c>
    </row>
    <row r="761" spans="9:22" x14ac:dyDescent="0.45">
      <c r="I761" t="s">
        <v>184</v>
      </c>
      <c r="J761" t="s">
        <v>341</v>
      </c>
      <c r="K761">
        <v>0</v>
      </c>
      <c r="L761" t="s">
        <v>168</v>
      </c>
      <c r="N761" t="s">
        <v>208</v>
      </c>
      <c r="O761" t="s">
        <v>341</v>
      </c>
      <c r="P761">
        <v>1.8745086145672199E-4</v>
      </c>
      <c r="Q761" t="s">
        <v>168</v>
      </c>
      <c r="S761" t="s">
        <v>227</v>
      </c>
      <c r="T761" t="s">
        <v>341</v>
      </c>
      <c r="U761">
        <v>2.1780128931611984E-5</v>
      </c>
      <c r="V761" t="s">
        <v>168</v>
      </c>
    </row>
    <row r="762" spans="9:22" x14ac:dyDescent="0.45">
      <c r="I762" t="s">
        <v>184</v>
      </c>
      <c r="J762" t="s">
        <v>342</v>
      </c>
      <c r="K762">
        <v>0</v>
      </c>
      <c r="L762" t="s">
        <v>168</v>
      </c>
      <c r="N762" t="s">
        <v>208</v>
      </c>
      <c r="O762" t="s">
        <v>342</v>
      </c>
      <c r="P762">
        <v>2.1710457554789778E-4</v>
      </c>
      <c r="Q762" t="s">
        <v>168</v>
      </c>
      <c r="S762" t="s">
        <v>227</v>
      </c>
      <c r="T762" t="s">
        <v>342</v>
      </c>
      <c r="U762">
        <v>2.4413797450738861E-5</v>
      </c>
      <c r="V762" t="s">
        <v>168</v>
      </c>
    </row>
    <row r="763" spans="9:22" x14ac:dyDescent="0.45">
      <c r="I763" t="s">
        <v>184</v>
      </c>
      <c r="J763" t="s">
        <v>343</v>
      </c>
      <c r="K763">
        <v>0</v>
      </c>
      <c r="L763" t="s">
        <v>168</v>
      </c>
      <c r="N763" t="s">
        <v>208</v>
      </c>
      <c r="O763" t="s">
        <v>343</v>
      </c>
      <c r="P763">
        <v>2.3998417961700855E-4</v>
      </c>
      <c r="Q763" t="s">
        <v>168</v>
      </c>
      <c r="S763" t="s">
        <v>227</v>
      </c>
      <c r="T763" t="s">
        <v>343</v>
      </c>
      <c r="U763">
        <v>2.8297374644062809E-5</v>
      </c>
      <c r="V763" t="s">
        <v>168</v>
      </c>
    </row>
    <row r="764" spans="9:22" x14ac:dyDescent="0.45">
      <c r="I764" t="s">
        <v>184</v>
      </c>
      <c r="J764" t="s">
        <v>344</v>
      </c>
      <c r="K764">
        <v>0</v>
      </c>
      <c r="L764" t="s">
        <v>168</v>
      </c>
      <c r="N764" t="s">
        <v>208</v>
      </c>
      <c r="O764" t="s">
        <v>344</v>
      </c>
      <c r="P764">
        <v>2.3448763440461035E-4</v>
      </c>
      <c r="Q764" t="s">
        <v>168</v>
      </c>
      <c r="S764" t="s">
        <v>227</v>
      </c>
      <c r="T764" t="s">
        <v>344</v>
      </c>
      <c r="U764">
        <v>3.3168126115634054E-5</v>
      </c>
      <c r="V764" t="s">
        <v>168</v>
      </c>
    </row>
    <row r="765" spans="9:22" x14ac:dyDescent="0.45">
      <c r="I765" t="s">
        <v>184</v>
      </c>
      <c r="J765" t="s">
        <v>345</v>
      </c>
      <c r="K765">
        <v>0</v>
      </c>
      <c r="L765" t="s">
        <v>168</v>
      </c>
      <c r="N765" t="s">
        <v>208</v>
      </c>
      <c r="O765" t="s">
        <v>345</v>
      </c>
      <c r="P765">
        <v>2.1866395240869438E-4</v>
      </c>
      <c r="Q765" t="s">
        <v>168</v>
      </c>
      <c r="S765" t="s">
        <v>227</v>
      </c>
      <c r="T765" t="s">
        <v>345</v>
      </c>
      <c r="U765">
        <v>3.5219811912734882E-5</v>
      </c>
      <c r="V765" t="s">
        <v>168</v>
      </c>
    </row>
    <row r="766" spans="9:22" x14ac:dyDescent="0.45">
      <c r="I766" t="s">
        <v>184</v>
      </c>
      <c r="J766" t="s">
        <v>346</v>
      </c>
      <c r="K766">
        <v>0</v>
      </c>
      <c r="L766" t="s">
        <v>168</v>
      </c>
      <c r="N766" t="s">
        <v>208</v>
      </c>
      <c r="O766" t="s">
        <v>346</v>
      </c>
      <c r="P766">
        <v>1.9215059156562541E-4</v>
      </c>
      <c r="Q766" t="s">
        <v>168</v>
      </c>
      <c r="S766" t="s">
        <v>227</v>
      </c>
      <c r="T766" t="s">
        <v>346</v>
      </c>
      <c r="U766">
        <v>3.9156338798066617E-5</v>
      </c>
      <c r="V766" t="s">
        <v>168</v>
      </c>
    </row>
    <row r="767" spans="9:22" x14ac:dyDescent="0.45">
      <c r="I767" t="s">
        <v>184</v>
      </c>
      <c r="J767" t="s">
        <v>347</v>
      </c>
      <c r="K767">
        <v>1.0295872043143051E-4</v>
      </c>
      <c r="L767" t="s">
        <v>168</v>
      </c>
      <c r="N767" t="s">
        <v>208</v>
      </c>
      <c r="O767" t="s">
        <v>347</v>
      </c>
      <c r="P767">
        <v>1.6185891675345458E-4</v>
      </c>
      <c r="Q767" t="s">
        <v>168</v>
      </c>
      <c r="S767" t="s">
        <v>227</v>
      </c>
      <c r="T767" t="s">
        <v>347</v>
      </c>
      <c r="U767">
        <v>4.0317031094207118E-5</v>
      </c>
      <c r="V767" t="s">
        <v>168</v>
      </c>
    </row>
    <row r="768" spans="9:22" x14ac:dyDescent="0.45">
      <c r="I768" t="s">
        <v>184</v>
      </c>
      <c r="J768" t="s">
        <v>348</v>
      </c>
      <c r="K768">
        <v>1.0113148730268799E-4</v>
      </c>
      <c r="L768" t="s">
        <v>168</v>
      </c>
      <c r="N768" t="s">
        <v>208</v>
      </c>
      <c r="O768" t="s">
        <v>348</v>
      </c>
      <c r="P768">
        <v>1.3071211705575905E-4</v>
      </c>
      <c r="Q768" t="s">
        <v>168</v>
      </c>
      <c r="S768" t="s">
        <v>227</v>
      </c>
      <c r="T768" t="s">
        <v>348</v>
      </c>
      <c r="U768">
        <v>3.7796469045622128E-5</v>
      </c>
      <c r="V768" t="s">
        <v>168</v>
      </c>
    </row>
    <row r="769" spans="9:22" x14ac:dyDescent="0.45">
      <c r="I769" t="s">
        <v>184</v>
      </c>
      <c r="J769" t="s">
        <v>349</v>
      </c>
      <c r="K769">
        <v>1.4781281569659633E-4</v>
      </c>
      <c r="L769" t="s">
        <v>168</v>
      </c>
      <c r="N769" t="s">
        <v>208</v>
      </c>
      <c r="O769" t="s">
        <v>349</v>
      </c>
      <c r="P769">
        <v>8.5744085299944419E-5</v>
      </c>
      <c r="Q769" t="s">
        <v>168</v>
      </c>
      <c r="S769" t="s">
        <v>227</v>
      </c>
      <c r="T769" t="s">
        <v>349</v>
      </c>
      <c r="U769">
        <v>3.4440954102563769E-5</v>
      </c>
      <c r="V769" t="s">
        <v>168</v>
      </c>
    </row>
    <row r="770" spans="9:22" x14ac:dyDescent="0.45">
      <c r="I770" t="s">
        <v>184</v>
      </c>
      <c r="J770" t="s">
        <v>350</v>
      </c>
      <c r="K770">
        <v>2.115001333794181E-4</v>
      </c>
      <c r="L770" t="s">
        <v>168</v>
      </c>
      <c r="N770" t="s">
        <v>208</v>
      </c>
      <c r="O770" t="s">
        <v>350</v>
      </c>
      <c r="P770">
        <v>5.2964404537996278E-5</v>
      </c>
      <c r="Q770" t="s">
        <v>168</v>
      </c>
      <c r="S770" t="s">
        <v>227</v>
      </c>
      <c r="T770" t="s">
        <v>350</v>
      </c>
      <c r="U770">
        <v>2.8594626644604663E-5</v>
      </c>
      <c r="V770" t="s">
        <v>168</v>
      </c>
    </row>
    <row r="771" spans="9:22" x14ac:dyDescent="0.45">
      <c r="I771" t="s">
        <v>184</v>
      </c>
      <c r="J771" t="s">
        <v>351</v>
      </c>
      <c r="K771">
        <v>2.4822113863270148E-4</v>
      </c>
      <c r="L771" t="s">
        <v>168</v>
      </c>
      <c r="N771" t="s">
        <v>208</v>
      </c>
      <c r="O771" t="s">
        <v>351</v>
      </c>
      <c r="P771">
        <v>4.0965092870033283E-5</v>
      </c>
      <c r="Q771" t="s">
        <v>168</v>
      </c>
      <c r="S771" t="s">
        <v>227</v>
      </c>
      <c r="T771" t="s">
        <v>351</v>
      </c>
      <c r="U771">
        <v>1.8383088962969915E-5</v>
      </c>
      <c r="V771" t="s">
        <v>168</v>
      </c>
    </row>
    <row r="772" spans="9:22" x14ac:dyDescent="0.45">
      <c r="I772" t="s">
        <v>184</v>
      </c>
      <c r="J772" t="s">
        <v>352</v>
      </c>
      <c r="K772">
        <v>2.985407306631311E-4</v>
      </c>
      <c r="L772" t="s">
        <v>168</v>
      </c>
      <c r="N772" t="s">
        <v>208</v>
      </c>
      <c r="O772" t="s">
        <v>352</v>
      </c>
      <c r="P772">
        <v>1.716024956619588E-5</v>
      </c>
      <c r="Q772" t="s">
        <v>168</v>
      </c>
      <c r="S772" t="s">
        <v>227</v>
      </c>
      <c r="T772" t="s">
        <v>352</v>
      </c>
      <c r="U772">
        <v>1.9296114768244885E-5</v>
      </c>
      <c r="V772" t="s">
        <v>168</v>
      </c>
    </row>
    <row r="773" spans="9:22" x14ac:dyDescent="0.45">
      <c r="I773" t="s">
        <v>184</v>
      </c>
      <c r="J773" t="s">
        <v>353</v>
      </c>
      <c r="K773">
        <v>2.9238608627860736E-4</v>
      </c>
      <c r="L773" t="s">
        <v>168</v>
      </c>
      <c r="N773" t="s">
        <v>208</v>
      </c>
      <c r="O773" t="s">
        <v>353</v>
      </c>
      <c r="P773">
        <v>8.7079447508669865E-6</v>
      </c>
      <c r="Q773" t="s">
        <v>168</v>
      </c>
      <c r="S773" t="s">
        <v>227</v>
      </c>
      <c r="T773" t="s">
        <v>353</v>
      </c>
      <c r="U773">
        <v>2.1566916223521396E-5</v>
      </c>
      <c r="V773" t="s">
        <v>168</v>
      </c>
    </row>
    <row r="774" spans="9:22" x14ac:dyDescent="0.45">
      <c r="I774" t="s">
        <v>184</v>
      </c>
      <c r="J774" t="s">
        <v>354</v>
      </c>
      <c r="K774">
        <v>3.5502051268511214E-4</v>
      </c>
      <c r="L774" t="s">
        <v>168</v>
      </c>
      <c r="N774" t="s">
        <v>208</v>
      </c>
      <c r="O774" t="s">
        <v>354</v>
      </c>
      <c r="P774">
        <v>5.3497198626686343E-6</v>
      </c>
      <c r="Q774" t="s">
        <v>168</v>
      </c>
      <c r="S774" t="s">
        <v>227</v>
      </c>
      <c r="T774" t="s">
        <v>354</v>
      </c>
      <c r="U774">
        <v>2.5501275755622027E-5</v>
      </c>
      <c r="V774" t="s">
        <v>168</v>
      </c>
    </row>
    <row r="775" spans="9:22" x14ac:dyDescent="0.45">
      <c r="I775" t="s">
        <v>184</v>
      </c>
      <c r="J775" t="s">
        <v>355</v>
      </c>
      <c r="K775">
        <v>3.6063060007293792E-4</v>
      </c>
      <c r="L775" t="s">
        <v>168</v>
      </c>
      <c r="N775" t="s">
        <v>208</v>
      </c>
      <c r="O775" t="s">
        <v>355</v>
      </c>
      <c r="P775">
        <v>1.4320351478037701E-5</v>
      </c>
      <c r="Q775" t="s">
        <v>168</v>
      </c>
      <c r="S775" t="s">
        <v>227</v>
      </c>
      <c r="T775" t="s">
        <v>355</v>
      </c>
      <c r="U775">
        <v>3.0163954509869533E-5</v>
      </c>
      <c r="V775" t="s">
        <v>168</v>
      </c>
    </row>
    <row r="776" spans="9:22" x14ac:dyDescent="0.45">
      <c r="I776" t="s">
        <v>184</v>
      </c>
      <c r="J776" t="s">
        <v>356</v>
      </c>
      <c r="K776">
        <v>3.3774583818712238E-4</v>
      </c>
      <c r="L776" t="s">
        <v>168</v>
      </c>
      <c r="N776" t="s">
        <v>208</v>
      </c>
      <c r="O776" t="s">
        <v>356</v>
      </c>
      <c r="P776">
        <v>3.6324129647780054E-5</v>
      </c>
      <c r="Q776" t="s">
        <v>168</v>
      </c>
      <c r="S776" t="s">
        <v>227</v>
      </c>
      <c r="T776" t="s">
        <v>356</v>
      </c>
      <c r="U776">
        <v>3.7343095075055337E-5</v>
      </c>
      <c r="V776" t="s">
        <v>168</v>
      </c>
    </row>
    <row r="777" spans="9:22" x14ac:dyDescent="0.45">
      <c r="I777" t="s">
        <v>184</v>
      </c>
      <c r="J777" t="s">
        <v>357</v>
      </c>
      <c r="K777">
        <v>2.6774123414104536E-4</v>
      </c>
      <c r="L777" t="s">
        <v>168</v>
      </c>
      <c r="N777" t="s">
        <v>208</v>
      </c>
      <c r="O777" t="s">
        <v>357</v>
      </c>
      <c r="P777">
        <v>6.111036543970835E-5</v>
      </c>
      <c r="Q777" t="s">
        <v>168</v>
      </c>
      <c r="S777" t="s">
        <v>227</v>
      </c>
      <c r="T777" t="s">
        <v>357</v>
      </c>
      <c r="U777">
        <v>4.4187129738614013E-5</v>
      </c>
      <c r="V777" t="s">
        <v>168</v>
      </c>
    </row>
    <row r="778" spans="9:22" x14ac:dyDescent="0.45">
      <c r="I778" t="s">
        <v>184</v>
      </c>
      <c r="J778" t="s">
        <v>358</v>
      </c>
      <c r="K778">
        <v>1.5974047801983274E-4</v>
      </c>
      <c r="L778" t="s">
        <v>168</v>
      </c>
      <c r="N778" t="s">
        <v>208</v>
      </c>
      <c r="O778" t="s">
        <v>358</v>
      </c>
      <c r="P778">
        <v>9.1863203922856951E-5</v>
      </c>
      <c r="Q778" t="s">
        <v>168</v>
      </c>
      <c r="S778" t="s">
        <v>227</v>
      </c>
      <c r="T778" t="s">
        <v>358</v>
      </c>
      <c r="U778">
        <v>4.5154743706030158E-5</v>
      </c>
      <c r="V778" t="s">
        <v>168</v>
      </c>
    </row>
    <row r="779" spans="9:22" x14ac:dyDescent="0.45">
      <c r="I779" t="s">
        <v>184</v>
      </c>
      <c r="J779" t="s">
        <v>359</v>
      </c>
      <c r="K779">
        <v>0</v>
      </c>
      <c r="L779" t="s">
        <v>168</v>
      </c>
      <c r="N779" t="s">
        <v>208</v>
      </c>
      <c r="O779" t="s">
        <v>359</v>
      </c>
      <c r="P779">
        <v>1.3475532432597105E-4</v>
      </c>
      <c r="Q779" t="s">
        <v>168</v>
      </c>
      <c r="S779" t="s">
        <v>227</v>
      </c>
      <c r="T779" t="s">
        <v>359</v>
      </c>
      <c r="U779">
        <v>4.0499565594360768E-5</v>
      </c>
      <c r="V779" t="s">
        <v>168</v>
      </c>
    </row>
    <row r="780" spans="9:22" x14ac:dyDescent="0.45">
      <c r="I780" t="s">
        <v>184</v>
      </c>
      <c r="J780" t="s">
        <v>360</v>
      </c>
      <c r="K780">
        <v>0</v>
      </c>
      <c r="L780" t="s">
        <v>168</v>
      </c>
      <c r="N780" t="s">
        <v>208</v>
      </c>
      <c r="O780" t="s">
        <v>360</v>
      </c>
      <c r="P780">
        <v>1.5642506375689199E-4</v>
      </c>
      <c r="Q780" t="s">
        <v>168</v>
      </c>
      <c r="S780" t="s">
        <v>227</v>
      </c>
      <c r="T780" t="s">
        <v>360</v>
      </c>
      <c r="U780">
        <v>3.2900884359894275E-5</v>
      </c>
      <c r="V780" t="s">
        <v>168</v>
      </c>
    </row>
    <row r="781" spans="9:22" x14ac:dyDescent="0.45">
      <c r="I781" t="s">
        <v>184</v>
      </c>
      <c r="J781" t="s">
        <v>361</v>
      </c>
      <c r="K781">
        <v>0</v>
      </c>
      <c r="L781" t="s">
        <v>168</v>
      </c>
      <c r="N781" t="s">
        <v>208</v>
      </c>
      <c r="O781" t="s">
        <v>361</v>
      </c>
      <c r="P781">
        <v>1.4762226157285022E-4</v>
      </c>
      <c r="Q781" t="s">
        <v>168</v>
      </c>
      <c r="S781" t="s">
        <v>227</v>
      </c>
      <c r="T781" t="s">
        <v>361</v>
      </c>
      <c r="U781">
        <v>2.5848312941289653E-5</v>
      </c>
      <c r="V781" t="s">
        <v>168</v>
      </c>
    </row>
    <row r="782" spans="9:22" x14ac:dyDescent="0.45">
      <c r="I782" t="s">
        <v>184</v>
      </c>
      <c r="J782" t="s">
        <v>362</v>
      </c>
      <c r="K782">
        <v>0</v>
      </c>
      <c r="L782" t="s">
        <v>168</v>
      </c>
      <c r="N782" t="s">
        <v>208</v>
      </c>
      <c r="O782" t="s">
        <v>362</v>
      </c>
      <c r="P782">
        <v>1.434830319963682E-4</v>
      </c>
      <c r="Q782" t="s">
        <v>168</v>
      </c>
      <c r="S782" t="s">
        <v>227</v>
      </c>
      <c r="T782" t="s">
        <v>362</v>
      </c>
      <c r="U782">
        <v>2.0677338157302678E-5</v>
      </c>
      <c r="V782" t="s">
        <v>168</v>
      </c>
    </row>
    <row r="783" spans="9:22" x14ac:dyDescent="0.45">
      <c r="I783" t="s">
        <v>184</v>
      </c>
      <c r="J783" t="s">
        <v>363</v>
      </c>
      <c r="K783">
        <v>0</v>
      </c>
      <c r="L783" t="s">
        <v>168</v>
      </c>
      <c r="N783" t="s">
        <v>208</v>
      </c>
      <c r="O783" t="s">
        <v>363</v>
      </c>
      <c r="P783">
        <v>1.6981305278656252E-4</v>
      </c>
      <c r="Q783" t="s">
        <v>168</v>
      </c>
      <c r="S783" t="s">
        <v>227</v>
      </c>
      <c r="T783" t="s">
        <v>363</v>
      </c>
      <c r="U783">
        <v>8.9598175725941487E-6</v>
      </c>
      <c r="V783" t="s">
        <v>168</v>
      </c>
    </row>
    <row r="784" spans="9:22" x14ac:dyDescent="0.45">
      <c r="I784" t="s">
        <v>184</v>
      </c>
      <c r="J784" t="s">
        <v>364</v>
      </c>
      <c r="K784">
        <v>0</v>
      </c>
      <c r="L784" t="s">
        <v>168</v>
      </c>
      <c r="N784" t="s">
        <v>208</v>
      </c>
      <c r="O784" t="s">
        <v>364</v>
      </c>
      <c r="P784">
        <v>1.7399066330726456E-4</v>
      </c>
      <c r="Q784" t="s">
        <v>168</v>
      </c>
      <c r="S784" t="s">
        <v>227</v>
      </c>
      <c r="T784" t="s">
        <v>364</v>
      </c>
      <c r="U784">
        <v>4.072611078656201E-6</v>
      </c>
      <c r="V784" t="s">
        <v>168</v>
      </c>
    </row>
    <row r="785" spans="9:22" x14ac:dyDescent="0.45">
      <c r="I785" t="s">
        <v>184</v>
      </c>
      <c r="J785" t="s">
        <v>277</v>
      </c>
      <c r="K785">
        <v>4.3807535324300343E-3</v>
      </c>
      <c r="L785" t="s">
        <v>168</v>
      </c>
      <c r="N785" t="s">
        <v>208</v>
      </c>
      <c r="O785" t="s">
        <v>277</v>
      </c>
      <c r="P785">
        <v>7.0481247333761501E-2</v>
      </c>
      <c r="Q785" t="s">
        <v>168</v>
      </c>
      <c r="S785" t="s">
        <v>227</v>
      </c>
      <c r="T785" t="s">
        <v>277</v>
      </c>
      <c r="U785">
        <v>7.5959047271817862E-2</v>
      </c>
      <c r="V785" t="s">
        <v>168</v>
      </c>
    </row>
    <row r="786" spans="9:22" x14ac:dyDescent="0.45">
      <c r="I786" t="s">
        <v>184</v>
      </c>
      <c r="J786" t="s">
        <v>278</v>
      </c>
      <c r="K786">
        <v>8.2263752581327367E-3</v>
      </c>
      <c r="L786" t="s">
        <v>168</v>
      </c>
      <c r="N786" t="s">
        <v>208</v>
      </c>
      <c r="O786" t="s">
        <v>278</v>
      </c>
      <c r="P786">
        <v>9.0974085001539334E-3</v>
      </c>
      <c r="Q786" t="s">
        <v>168</v>
      </c>
      <c r="S786" t="s">
        <v>227</v>
      </c>
      <c r="T786" t="s">
        <v>278</v>
      </c>
      <c r="U786">
        <v>9.3366933882462894E-3</v>
      </c>
      <c r="V786" t="s">
        <v>168</v>
      </c>
    </row>
    <row r="787" spans="9:22" x14ac:dyDescent="0.45">
      <c r="I787" t="s">
        <v>184</v>
      </c>
      <c r="J787" t="s">
        <v>279</v>
      </c>
      <c r="K787">
        <v>1.1159067394831204E-2</v>
      </c>
      <c r="L787" t="s">
        <v>168</v>
      </c>
      <c r="N787" t="s">
        <v>208</v>
      </c>
      <c r="O787" t="s">
        <v>279</v>
      </c>
      <c r="P787">
        <v>9.1073523951830035E-3</v>
      </c>
      <c r="Q787" t="s">
        <v>168</v>
      </c>
      <c r="S787" t="s">
        <v>227</v>
      </c>
      <c r="T787" t="s">
        <v>279</v>
      </c>
      <c r="U787">
        <v>9.3531656597696036E-3</v>
      </c>
      <c r="V787" t="s">
        <v>168</v>
      </c>
    </row>
    <row r="788" spans="9:22" x14ac:dyDescent="0.45">
      <c r="I788" t="s">
        <v>184</v>
      </c>
      <c r="J788" t="s">
        <v>280</v>
      </c>
      <c r="K788">
        <v>7.0418160112831654E-2</v>
      </c>
      <c r="L788" t="s">
        <v>168</v>
      </c>
      <c r="N788" t="s">
        <v>208</v>
      </c>
      <c r="O788" t="s">
        <v>280</v>
      </c>
      <c r="P788">
        <v>5.3720759544392843E-2</v>
      </c>
      <c r="Q788" t="s">
        <v>168</v>
      </c>
      <c r="S788" t="s">
        <v>227</v>
      </c>
      <c r="T788" t="s">
        <v>280</v>
      </c>
      <c r="U788">
        <v>5.7524856346928749E-2</v>
      </c>
      <c r="V788" t="s">
        <v>168</v>
      </c>
    </row>
    <row r="789" spans="9:22" x14ac:dyDescent="0.45">
      <c r="I789" t="s">
        <v>184</v>
      </c>
      <c r="J789" t="s">
        <v>281</v>
      </c>
      <c r="K789">
        <v>6.0733647387172405E-3</v>
      </c>
      <c r="L789" t="s">
        <v>168</v>
      </c>
      <c r="N789" t="s">
        <v>208</v>
      </c>
      <c r="O789" t="s">
        <v>281</v>
      </c>
      <c r="P789">
        <v>9.4110569306972564E-3</v>
      </c>
      <c r="Q789" t="s">
        <v>168</v>
      </c>
      <c r="S789" t="s">
        <v>227</v>
      </c>
      <c r="T789" t="s">
        <v>281</v>
      </c>
      <c r="U789">
        <v>9.9568568867586978E-3</v>
      </c>
      <c r="V789" t="s">
        <v>168</v>
      </c>
    </row>
    <row r="790" spans="9:22" x14ac:dyDescent="0.45">
      <c r="I790" t="s">
        <v>184</v>
      </c>
      <c r="J790" t="s">
        <v>282</v>
      </c>
      <c r="K790">
        <v>7.7681899167826845E-4</v>
      </c>
      <c r="L790" t="s">
        <v>168</v>
      </c>
      <c r="N790" t="s">
        <v>208</v>
      </c>
      <c r="O790" t="s">
        <v>282</v>
      </c>
      <c r="P790">
        <v>7.0717035412624474E-2</v>
      </c>
      <c r="Q790" t="s">
        <v>168</v>
      </c>
      <c r="S790" t="s">
        <v>227</v>
      </c>
      <c r="T790" t="s">
        <v>282</v>
      </c>
      <c r="U790">
        <v>7.0573260265699128E-2</v>
      </c>
      <c r="V790" t="s">
        <v>168</v>
      </c>
    </row>
    <row r="791" spans="9:22" x14ac:dyDescent="0.45">
      <c r="I791" t="s">
        <v>184</v>
      </c>
      <c r="J791" t="s">
        <v>283</v>
      </c>
      <c r="K791">
        <v>0</v>
      </c>
      <c r="L791" t="s">
        <v>168</v>
      </c>
      <c r="N791" t="s">
        <v>208</v>
      </c>
      <c r="O791" t="s">
        <v>283</v>
      </c>
      <c r="P791">
        <v>3.2885742818307334E-2</v>
      </c>
      <c r="Q791" t="s">
        <v>168</v>
      </c>
      <c r="S791" t="s">
        <v>227</v>
      </c>
      <c r="T791" t="s">
        <v>283</v>
      </c>
      <c r="U791">
        <v>2.8255304782386588E-2</v>
      </c>
      <c r="V791" t="s">
        <v>168</v>
      </c>
    </row>
    <row r="792" spans="9:22" x14ac:dyDescent="0.45">
      <c r="I792" t="s">
        <v>184</v>
      </c>
      <c r="J792" t="s">
        <v>284</v>
      </c>
      <c r="K792">
        <v>3.0514809643376376E-3</v>
      </c>
      <c r="L792" t="s">
        <v>168</v>
      </c>
      <c r="N792" t="s">
        <v>208</v>
      </c>
      <c r="O792" t="s">
        <v>284</v>
      </c>
      <c r="P792">
        <v>4.5803355796848961E-3</v>
      </c>
      <c r="Q792" t="s">
        <v>168</v>
      </c>
      <c r="S792" t="s">
        <v>227</v>
      </c>
      <c r="T792" t="s">
        <v>284</v>
      </c>
      <c r="U792">
        <v>3.2099331039246053E-3</v>
      </c>
      <c r="V792" t="s">
        <v>168</v>
      </c>
    </row>
    <row r="793" spans="9:22" x14ac:dyDescent="0.45">
      <c r="I793" t="s">
        <v>184</v>
      </c>
      <c r="J793" t="s">
        <v>285</v>
      </c>
      <c r="K793">
        <v>5.0558828998457754E-3</v>
      </c>
      <c r="L793" t="s">
        <v>168</v>
      </c>
      <c r="N793" t="s">
        <v>208</v>
      </c>
      <c r="O793" t="s">
        <v>285</v>
      </c>
      <c r="P793">
        <v>4.5229404332311502E-3</v>
      </c>
      <c r="Q793" t="s">
        <v>168</v>
      </c>
      <c r="S793" t="s">
        <v>227</v>
      </c>
      <c r="T793" t="s">
        <v>285</v>
      </c>
      <c r="U793">
        <v>3.1791003648989845E-3</v>
      </c>
      <c r="V793" t="s">
        <v>168</v>
      </c>
    </row>
    <row r="794" spans="9:22" x14ac:dyDescent="0.45">
      <c r="I794" t="s">
        <v>184</v>
      </c>
      <c r="J794" t="s">
        <v>286</v>
      </c>
      <c r="K794">
        <v>3.4002941593098357E-2</v>
      </c>
      <c r="L794" t="s">
        <v>168</v>
      </c>
      <c r="N794" t="s">
        <v>208</v>
      </c>
      <c r="O794" t="s">
        <v>286</v>
      </c>
      <c r="P794">
        <v>2.2730605420015697E-2</v>
      </c>
      <c r="Q794" t="s">
        <v>168</v>
      </c>
      <c r="S794" t="s">
        <v>227</v>
      </c>
      <c r="T794" t="s">
        <v>286</v>
      </c>
      <c r="U794">
        <v>1.8419900472083712E-2</v>
      </c>
      <c r="V794" t="s">
        <v>168</v>
      </c>
    </row>
    <row r="795" spans="9:22" x14ac:dyDescent="0.45">
      <c r="I795" t="s">
        <v>184</v>
      </c>
      <c r="J795" t="s">
        <v>287</v>
      </c>
      <c r="K795">
        <v>1.4068598269563089E-3</v>
      </c>
      <c r="L795" t="s">
        <v>168</v>
      </c>
      <c r="N795" t="s">
        <v>208</v>
      </c>
      <c r="O795" t="s">
        <v>287</v>
      </c>
      <c r="P795">
        <v>3.1010383344370453E-3</v>
      </c>
      <c r="Q795" t="s">
        <v>168</v>
      </c>
      <c r="S795" t="s">
        <v>227</v>
      </c>
      <c r="T795" t="s">
        <v>287</v>
      </c>
      <c r="U795">
        <v>3.1232920339139937E-3</v>
      </c>
      <c r="V795" t="s">
        <v>168</v>
      </c>
    </row>
    <row r="796" spans="9:22" x14ac:dyDescent="0.45">
      <c r="I796" t="s">
        <v>184</v>
      </c>
      <c r="J796" t="s">
        <v>288</v>
      </c>
      <c r="K796">
        <v>0</v>
      </c>
      <c r="L796" t="s">
        <v>168</v>
      </c>
      <c r="N796" t="s">
        <v>208</v>
      </c>
      <c r="O796" t="s">
        <v>288</v>
      </c>
      <c r="P796">
        <v>1.9248390072159251E-2</v>
      </c>
      <c r="Q796" t="s">
        <v>168</v>
      </c>
      <c r="S796" t="s">
        <v>227</v>
      </c>
      <c r="T796" t="s">
        <v>288</v>
      </c>
      <c r="U796">
        <v>2.234995372366962E-2</v>
      </c>
      <c r="V796" t="s">
        <v>168</v>
      </c>
    </row>
    <row r="797" spans="9:22" x14ac:dyDescent="0.45">
      <c r="I797" t="s">
        <v>184</v>
      </c>
      <c r="J797" t="s">
        <v>365</v>
      </c>
      <c r="K797">
        <v>0</v>
      </c>
      <c r="L797" t="s">
        <v>168</v>
      </c>
      <c r="N797" t="s">
        <v>208</v>
      </c>
      <c r="O797" t="s">
        <v>365</v>
      </c>
      <c r="P797">
        <v>7.543381821161039E-8</v>
      </c>
      <c r="Q797" t="s">
        <v>168</v>
      </c>
      <c r="S797" t="s">
        <v>227</v>
      </c>
      <c r="T797" t="s">
        <v>365</v>
      </c>
      <c r="U797">
        <v>6.4426803017236928E-6</v>
      </c>
      <c r="V797" t="s">
        <v>168</v>
      </c>
    </row>
    <row r="798" spans="9:22" x14ac:dyDescent="0.45">
      <c r="I798" t="s">
        <v>184</v>
      </c>
      <c r="J798" t="s">
        <v>366</v>
      </c>
      <c r="K798">
        <v>0</v>
      </c>
      <c r="L798" t="s">
        <v>168</v>
      </c>
      <c r="N798" t="s">
        <v>208</v>
      </c>
      <c r="O798" t="s">
        <v>366</v>
      </c>
      <c r="P798">
        <v>3.1727066462017784E-6</v>
      </c>
      <c r="Q798" t="s">
        <v>168</v>
      </c>
      <c r="S798" t="s">
        <v>227</v>
      </c>
      <c r="T798" t="s">
        <v>366</v>
      </c>
      <c r="U798">
        <v>3.3602173566537128E-6</v>
      </c>
      <c r="V798" t="s">
        <v>168</v>
      </c>
    </row>
    <row r="799" spans="9:22" x14ac:dyDescent="0.45">
      <c r="I799" t="s">
        <v>184</v>
      </c>
      <c r="J799" t="s">
        <v>367</v>
      </c>
      <c r="K799">
        <v>0</v>
      </c>
      <c r="L799" t="s">
        <v>168</v>
      </c>
      <c r="N799" t="s">
        <v>208</v>
      </c>
      <c r="O799" t="s">
        <v>367</v>
      </c>
      <c r="P799">
        <v>8.0900291495497144E-6</v>
      </c>
      <c r="Q799" t="s">
        <v>168</v>
      </c>
      <c r="S799" t="s">
        <v>227</v>
      </c>
      <c r="T799" t="s">
        <v>367</v>
      </c>
      <c r="U799">
        <v>3.1743497757618219E-6</v>
      </c>
      <c r="V799" t="s">
        <v>168</v>
      </c>
    </row>
    <row r="800" spans="9:22" x14ac:dyDescent="0.45">
      <c r="I800" t="s">
        <v>184</v>
      </c>
      <c r="J800" t="s">
        <v>368</v>
      </c>
      <c r="K800">
        <v>0</v>
      </c>
      <c r="L800" t="s">
        <v>168</v>
      </c>
      <c r="N800" t="s">
        <v>208</v>
      </c>
      <c r="O800" t="s">
        <v>368</v>
      </c>
      <c r="P800">
        <v>9.5492585631435873E-6</v>
      </c>
      <c r="Q800" t="s">
        <v>168</v>
      </c>
      <c r="S800" t="s">
        <v>227</v>
      </c>
      <c r="T800" t="s">
        <v>368</v>
      </c>
      <c r="U800">
        <v>3.218610500724651E-6</v>
      </c>
      <c r="V800" t="s">
        <v>168</v>
      </c>
    </row>
    <row r="801" spans="9:22" x14ac:dyDescent="0.45">
      <c r="I801" t="s">
        <v>184</v>
      </c>
      <c r="J801" t="s">
        <v>369</v>
      </c>
      <c r="K801">
        <v>0</v>
      </c>
      <c r="L801" t="s">
        <v>168</v>
      </c>
      <c r="N801" t="s">
        <v>208</v>
      </c>
      <c r="O801" t="s">
        <v>369</v>
      </c>
      <c r="P801">
        <v>6.6089540306323347E-6</v>
      </c>
      <c r="Q801" t="s">
        <v>168</v>
      </c>
      <c r="S801" t="s">
        <v>227</v>
      </c>
      <c r="T801" t="s">
        <v>369</v>
      </c>
      <c r="U801">
        <v>2.6608367032322402E-6</v>
      </c>
      <c r="V801" t="s">
        <v>168</v>
      </c>
    </row>
    <row r="802" spans="9:22" x14ac:dyDescent="0.45">
      <c r="I802" t="s">
        <v>184</v>
      </c>
      <c r="J802" t="s">
        <v>370</v>
      </c>
      <c r="K802">
        <v>0</v>
      </c>
      <c r="L802" t="s">
        <v>168</v>
      </c>
      <c r="N802" t="s">
        <v>208</v>
      </c>
      <c r="O802" t="s">
        <v>370</v>
      </c>
      <c r="P802">
        <v>5.0013157408384057E-6</v>
      </c>
      <c r="Q802" t="s">
        <v>168</v>
      </c>
      <c r="S802" t="s">
        <v>227</v>
      </c>
      <c r="T802" t="s">
        <v>370</v>
      </c>
      <c r="U802">
        <v>2.1346736403400127E-6</v>
      </c>
      <c r="V802" t="s">
        <v>168</v>
      </c>
    </row>
    <row r="803" spans="9:22" x14ac:dyDescent="0.45">
      <c r="I803" t="s">
        <v>184</v>
      </c>
      <c r="J803" t="s">
        <v>371</v>
      </c>
      <c r="K803">
        <v>0</v>
      </c>
      <c r="L803" t="s">
        <v>168</v>
      </c>
      <c r="N803" t="s">
        <v>208</v>
      </c>
      <c r="O803" t="s">
        <v>371</v>
      </c>
      <c r="P803">
        <v>9.988654458528039E-6</v>
      </c>
      <c r="Q803" t="s">
        <v>168</v>
      </c>
      <c r="S803" t="s">
        <v>227</v>
      </c>
      <c r="T803" t="s">
        <v>371</v>
      </c>
      <c r="U803">
        <v>2.7268834159587534E-6</v>
      </c>
      <c r="V803" t="s">
        <v>168</v>
      </c>
    </row>
    <row r="804" spans="9:22" x14ac:dyDescent="0.45">
      <c r="I804" t="s">
        <v>184</v>
      </c>
      <c r="J804" t="s">
        <v>372</v>
      </c>
      <c r="K804">
        <v>0</v>
      </c>
      <c r="L804" t="s">
        <v>168</v>
      </c>
      <c r="N804" t="s">
        <v>208</v>
      </c>
      <c r="O804" t="s">
        <v>372</v>
      </c>
      <c r="P804">
        <v>1.4138912992450834E-5</v>
      </c>
      <c r="Q804" t="s">
        <v>168</v>
      </c>
      <c r="S804" t="s">
        <v>227</v>
      </c>
      <c r="T804" t="s">
        <v>372</v>
      </c>
      <c r="U804">
        <v>2.7738682401291368E-6</v>
      </c>
      <c r="V804" t="s">
        <v>168</v>
      </c>
    </row>
    <row r="805" spans="9:22" x14ac:dyDescent="0.45">
      <c r="I805" t="s">
        <v>184</v>
      </c>
      <c r="J805" t="s">
        <v>373</v>
      </c>
      <c r="K805">
        <v>4.5985903515259138E-5</v>
      </c>
      <c r="L805" t="s">
        <v>168</v>
      </c>
      <c r="N805" t="s">
        <v>208</v>
      </c>
      <c r="O805" t="s">
        <v>373</v>
      </c>
      <c r="P805">
        <v>1.0312541238207429E-5</v>
      </c>
      <c r="Q805" t="s">
        <v>168</v>
      </c>
      <c r="S805" t="s">
        <v>227</v>
      </c>
      <c r="T805" t="s">
        <v>373</v>
      </c>
      <c r="U805">
        <v>1.8718062801208417E-6</v>
      </c>
      <c r="V805" t="s">
        <v>168</v>
      </c>
    </row>
    <row r="806" spans="9:22" x14ac:dyDescent="0.45">
      <c r="I806" t="s">
        <v>184</v>
      </c>
      <c r="J806" t="s">
        <v>374</v>
      </c>
      <c r="K806">
        <v>9.772442093666408E-5</v>
      </c>
      <c r="L806" t="s">
        <v>168</v>
      </c>
      <c r="N806" t="s">
        <v>208</v>
      </c>
      <c r="O806" t="s">
        <v>374</v>
      </c>
      <c r="P806">
        <v>6.1945009791074224E-6</v>
      </c>
      <c r="Q806" t="s">
        <v>168</v>
      </c>
      <c r="S806" t="s">
        <v>227</v>
      </c>
      <c r="T806" t="s">
        <v>374</v>
      </c>
      <c r="U806">
        <v>1.0063259572669463E-6</v>
      </c>
      <c r="V806" t="s">
        <v>168</v>
      </c>
    </row>
    <row r="807" spans="9:22" x14ac:dyDescent="0.45">
      <c r="I807" t="s">
        <v>184</v>
      </c>
      <c r="J807" t="s">
        <v>375</v>
      </c>
      <c r="K807">
        <v>1.4744838124104516E-4</v>
      </c>
      <c r="L807" t="s">
        <v>168</v>
      </c>
      <c r="N807" t="s">
        <v>208</v>
      </c>
      <c r="O807" t="s">
        <v>375</v>
      </c>
      <c r="P807">
        <v>3.0452551532010938E-6</v>
      </c>
      <c r="Q807" t="s">
        <v>168</v>
      </c>
      <c r="S807" t="s">
        <v>227</v>
      </c>
      <c r="T807" t="s">
        <v>375</v>
      </c>
      <c r="U807">
        <v>1.7430269472343485E-7</v>
      </c>
      <c r="V807" t="s">
        <v>168</v>
      </c>
    </row>
    <row r="808" spans="9:22" x14ac:dyDescent="0.45">
      <c r="I808" t="s">
        <v>184</v>
      </c>
      <c r="J808" t="s">
        <v>376</v>
      </c>
      <c r="K808">
        <v>1.7716074317521664E-4</v>
      </c>
      <c r="L808" t="s">
        <v>168</v>
      </c>
      <c r="N808" t="s">
        <v>208</v>
      </c>
      <c r="O808" t="s">
        <v>376</v>
      </c>
      <c r="P808">
        <v>2.3319706589691873E-6</v>
      </c>
      <c r="Q808" t="s">
        <v>168</v>
      </c>
      <c r="S808" t="s">
        <v>227</v>
      </c>
      <c r="T808" t="s">
        <v>376</v>
      </c>
      <c r="U808">
        <v>1.813710414174694E-6</v>
      </c>
      <c r="V808" t="s">
        <v>168</v>
      </c>
    </row>
    <row r="809" spans="9:22" x14ac:dyDescent="0.45">
      <c r="I809" t="s">
        <v>184</v>
      </c>
      <c r="J809" t="s">
        <v>377</v>
      </c>
      <c r="K809">
        <v>1.5163057972792494E-4</v>
      </c>
      <c r="L809" t="s">
        <v>168</v>
      </c>
      <c r="N809" t="s">
        <v>208</v>
      </c>
      <c r="O809" t="s">
        <v>377</v>
      </c>
      <c r="P809">
        <v>3.0894929593872577E-6</v>
      </c>
      <c r="Q809" t="s">
        <v>168</v>
      </c>
      <c r="S809" t="s">
        <v>227</v>
      </c>
      <c r="T809" t="s">
        <v>377</v>
      </c>
      <c r="U809">
        <v>2.3663135036991102E-6</v>
      </c>
      <c r="V809" t="s">
        <v>168</v>
      </c>
    </row>
    <row r="810" spans="9:22" x14ac:dyDescent="0.45">
      <c r="I810" t="s">
        <v>184</v>
      </c>
      <c r="J810" t="s">
        <v>378</v>
      </c>
      <c r="K810">
        <v>1.7267922418733085E-4</v>
      </c>
      <c r="L810" t="s">
        <v>168</v>
      </c>
      <c r="N810" t="s">
        <v>208</v>
      </c>
      <c r="O810" t="s">
        <v>378</v>
      </c>
      <c r="P810">
        <v>7.4695517406090297E-6</v>
      </c>
      <c r="Q810" t="s">
        <v>168</v>
      </c>
      <c r="S810" t="s">
        <v>227</v>
      </c>
      <c r="T810" t="s">
        <v>378</v>
      </c>
      <c r="U810">
        <v>2.0957604636744557E-6</v>
      </c>
      <c r="V810" t="s">
        <v>168</v>
      </c>
    </row>
    <row r="811" spans="9:22" x14ac:dyDescent="0.45">
      <c r="I811" t="s">
        <v>184</v>
      </c>
      <c r="J811" t="s">
        <v>379</v>
      </c>
      <c r="K811">
        <v>1.4432516343975527E-4</v>
      </c>
      <c r="L811" t="s">
        <v>168</v>
      </c>
      <c r="N811" t="s">
        <v>208</v>
      </c>
      <c r="O811" t="s">
        <v>379</v>
      </c>
      <c r="P811">
        <v>8.4627562318940846E-6</v>
      </c>
      <c r="Q811" t="s">
        <v>168</v>
      </c>
      <c r="S811" t="s">
        <v>227</v>
      </c>
      <c r="T811" t="s">
        <v>379</v>
      </c>
      <c r="U811">
        <v>1.0926894064603345E-6</v>
      </c>
      <c r="V811" t="s">
        <v>168</v>
      </c>
    </row>
    <row r="812" spans="9:22" x14ac:dyDescent="0.45">
      <c r="I812" t="s">
        <v>184</v>
      </c>
      <c r="J812" t="s">
        <v>380</v>
      </c>
      <c r="K812">
        <v>1.0277213955360867E-4</v>
      </c>
      <c r="L812" t="s">
        <v>168</v>
      </c>
      <c r="N812" t="s">
        <v>208</v>
      </c>
      <c r="O812" t="s">
        <v>380</v>
      </c>
      <c r="P812">
        <v>7.9567254208629291E-6</v>
      </c>
      <c r="Q812" t="s">
        <v>168</v>
      </c>
      <c r="S812" t="s">
        <v>227</v>
      </c>
      <c r="T812" t="s">
        <v>380</v>
      </c>
      <c r="U812">
        <v>4.2255639299164305E-7</v>
      </c>
      <c r="V812" t="s">
        <v>168</v>
      </c>
    </row>
    <row r="813" spans="9:22" x14ac:dyDescent="0.45">
      <c r="I813" t="s">
        <v>184</v>
      </c>
      <c r="J813" t="s">
        <v>381</v>
      </c>
      <c r="K813">
        <v>4.987655147069514E-6</v>
      </c>
      <c r="L813" t="s">
        <v>168</v>
      </c>
      <c r="N813" t="s">
        <v>208</v>
      </c>
      <c r="O813" t="s">
        <v>381</v>
      </c>
      <c r="P813">
        <v>7.2955881256592628E-6</v>
      </c>
      <c r="Q813" t="s">
        <v>168</v>
      </c>
      <c r="S813" t="s">
        <v>227</v>
      </c>
      <c r="T813" t="s">
        <v>381</v>
      </c>
      <c r="U813">
        <v>0</v>
      </c>
      <c r="V813" t="s">
        <v>168</v>
      </c>
    </row>
    <row r="814" spans="9:22" x14ac:dyDescent="0.45">
      <c r="I814" t="s">
        <v>184</v>
      </c>
      <c r="J814" t="s">
        <v>382</v>
      </c>
      <c r="K814">
        <v>0</v>
      </c>
      <c r="L814" t="s">
        <v>168</v>
      </c>
      <c r="N814" t="s">
        <v>208</v>
      </c>
      <c r="O814" t="s">
        <v>382</v>
      </c>
      <c r="P814">
        <v>8.4418516305896532E-6</v>
      </c>
      <c r="Q814" t="s">
        <v>168</v>
      </c>
      <c r="S814" t="s">
        <v>227</v>
      </c>
      <c r="T814" t="s">
        <v>382</v>
      </c>
      <c r="U814">
        <v>0</v>
      </c>
      <c r="V814" t="s">
        <v>168</v>
      </c>
    </row>
    <row r="815" spans="9:22" x14ac:dyDescent="0.45">
      <c r="I815" t="s">
        <v>184</v>
      </c>
      <c r="J815" t="s">
        <v>383</v>
      </c>
      <c r="K815">
        <v>0</v>
      </c>
      <c r="L815" t="s">
        <v>168</v>
      </c>
      <c r="N815" t="s">
        <v>208</v>
      </c>
      <c r="O815" t="s">
        <v>383</v>
      </c>
      <c r="P815">
        <v>7.3053773875386678E-6</v>
      </c>
      <c r="Q815" t="s">
        <v>168</v>
      </c>
      <c r="S815" t="s">
        <v>227</v>
      </c>
      <c r="T815" t="s">
        <v>383</v>
      </c>
      <c r="U815">
        <v>0</v>
      </c>
      <c r="V815" t="s">
        <v>168</v>
      </c>
    </row>
    <row r="816" spans="9:22" x14ac:dyDescent="0.45">
      <c r="I816" t="s">
        <v>184</v>
      </c>
      <c r="J816" t="s">
        <v>384</v>
      </c>
      <c r="K816">
        <v>0</v>
      </c>
      <c r="L816" t="s">
        <v>168</v>
      </c>
      <c r="N816" t="s">
        <v>208</v>
      </c>
      <c r="O816" t="s">
        <v>384</v>
      </c>
      <c r="P816">
        <v>5.2876773412782665E-6</v>
      </c>
      <c r="Q816" t="s">
        <v>168</v>
      </c>
      <c r="S816" t="s">
        <v>227</v>
      </c>
      <c r="T816" t="s">
        <v>384</v>
      </c>
      <c r="U816">
        <v>0</v>
      </c>
      <c r="V816" t="s">
        <v>168</v>
      </c>
    </row>
    <row r="817" spans="9:22" x14ac:dyDescent="0.45">
      <c r="I817" t="s">
        <v>184</v>
      </c>
      <c r="J817" t="s">
        <v>385</v>
      </c>
      <c r="K817">
        <v>0</v>
      </c>
      <c r="L817" t="s">
        <v>168</v>
      </c>
      <c r="N817" t="s">
        <v>208</v>
      </c>
      <c r="O817" t="s">
        <v>385</v>
      </c>
      <c r="P817">
        <v>4.0037379259476221E-6</v>
      </c>
      <c r="Q817" t="s">
        <v>168</v>
      </c>
      <c r="S817" t="s">
        <v>227</v>
      </c>
      <c r="T817" t="s">
        <v>385</v>
      </c>
      <c r="U817">
        <v>0</v>
      </c>
      <c r="V817" t="s">
        <v>168</v>
      </c>
    </row>
    <row r="818" spans="9:22" x14ac:dyDescent="0.45">
      <c r="I818" t="s">
        <v>184</v>
      </c>
      <c r="J818" t="s">
        <v>386</v>
      </c>
      <c r="K818">
        <v>0</v>
      </c>
      <c r="L818" t="s">
        <v>168</v>
      </c>
      <c r="N818" t="s">
        <v>208</v>
      </c>
      <c r="O818" t="s">
        <v>386</v>
      </c>
      <c r="P818">
        <v>2.2369408607106417E-6</v>
      </c>
      <c r="Q818" t="s">
        <v>168</v>
      </c>
      <c r="S818" t="s">
        <v>227</v>
      </c>
      <c r="T818" t="s">
        <v>386</v>
      </c>
      <c r="U818">
        <v>4.6654827553926961E-7</v>
      </c>
      <c r="V818" t="s">
        <v>168</v>
      </c>
    </row>
    <row r="819" spans="9:22" x14ac:dyDescent="0.45">
      <c r="I819" t="s">
        <v>184</v>
      </c>
      <c r="J819" t="s">
        <v>387</v>
      </c>
      <c r="K819">
        <v>0</v>
      </c>
      <c r="L819" t="s">
        <v>168</v>
      </c>
      <c r="N819" t="s">
        <v>208</v>
      </c>
      <c r="O819" t="s">
        <v>387</v>
      </c>
      <c r="P819">
        <v>1.6307486453646003E-6</v>
      </c>
      <c r="Q819" t="s">
        <v>168</v>
      </c>
      <c r="S819" t="s">
        <v>227</v>
      </c>
      <c r="T819" t="s">
        <v>387</v>
      </c>
      <c r="U819">
        <v>2.4157955521374042E-6</v>
      </c>
      <c r="V819" t="s">
        <v>168</v>
      </c>
    </row>
    <row r="820" spans="9:22" x14ac:dyDescent="0.45">
      <c r="I820" t="s">
        <v>184</v>
      </c>
      <c r="J820" t="s">
        <v>388</v>
      </c>
      <c r="K820">
        <v>0</v>
      </c>
      <c r="L820" t="s">
        <v>168</v>
      </c>
      <c r="N820" t="s">
        <v>208</v>
      </c>
      <c r="O820" t="s">
        <v>388</v>
      </c>
      <c r="P820">
        <v>2.6360130513686388E-7</v>
      </c>
      <c r="Q820" t="s">
        <v>168</v>
      </c>
      <c r="S820" t="s">
        <v>227</v>
      </c>
      <c r="T820" t="s">
        <v>388</v>
      </c>
      <c r="U820">
        <v>1.4864320398167936E-6</v>
      </c>
      <c r="V820" t="s">
        <v>168</v>
      </c>
    </row>
    <row r="821" spans="9:22" x14ac:dyDescent="0.45">
      <c r="I821" t="s">
        <v>185</v>
      </c>
      <c r="J821" t="s">
        <v>167</v>
      </c>
      <c r="K821">
        <v>1.6315865690661913E-3</v>
      </c>
      <c r="L821" t="s">
        <v>168</v>
      </c>
      <c r="N821" t="s">
        <v>209</v>
      </c>
      <c r="O821" t="s">
        <v>167</v>
      </c>
      <c r="P821">
        <v>7.5978034007958065E-2</v>
      </c>
      <c r="Q821" t="s">
        <v>168</v>
      </c>
      <c r="S821" t="s">
        <v>228</v>
      </c>
      <c r="T821" t="s">
        <v>167</v>
      </c>
      <c r="U821">
        <v>5.5916499574841481E-2</v>
      </c>
      <c r="V821" t="s">
        <v>168</v>
      </c>
    </row>
    <row r="822" spans="9:22" x14ac:dyDescent="0.45">
      <c r="I822" t="s">
        <v>185</v>
      </c>
      <c r="J822" t="s">
        <v>169</v>
      </c>
      <c r="K822">
        <v>7.5092399967293241E-3</v>
      </c>
      <c r="L822" t="s">
        <v>168</v>
      </c>
      <c r="N822" t="s">
        <v>209</v>
      </c>
      <c r="O822" t="s">
        <v>169</v>
      </c>
      <c r="P822">
        <v>8.8322092098138474E-3</v>
      </c>
      <c r="Q822" t="s">
        <v>168</v>
      </c>
      <c r="S822" t="s">
        <v>228</v>
      </c>
      <c r="T822" t="s">
        <v>169</v>
      </c>
      <c r="U822">
        <v>6.9435779762990271E-3</v>
      </c>
      <c r="V822" t="s">
        <v>168</v>
      </c>
    </row>
    <row r="823" spans="9:22" x14ac:dyDescent="0.45">
      <c r="I823" t="s">
        <v>185</v>
      </c>
      <c r="J823" t="s">
        <v>170</v>
      </c>
      <c r="K823">
        <v>1.1702180310951424E-2</v>
      </c>
      <c r="L823" t="s">
        <v>168</v>
      </c>
      <c r="N823" t="s">
        <v>209</v>
      </c>
      <c r="O823" t="s">
        <v>170</v>
      </c>
      <c r="P823">
        <v>8.6354705674660318E-3</v>
      </c>
      <c r="Q823" t="s">
        <v>168</v>
      </c>
      <c r="S823" t="s">
        <v>228</v>
      </c>
      <c r="T823" t="s">
        <v>170</v>
      </c>
      <c r="U823">
        <v>7.2984196394391115E-3</v>
      </c>
      <c r="V823" t="s">
        <v>168</v>
      </c>
    </row>
    <row r="824" spans="9:22" x14ac:dyDescent="0.45">
      <c r="I824" t="s">
        <v>185</v>
      </c>
      <c r="J824" t="s">
        <v>256</v>
      </c>
      <c r="K824">
        <v>7.7870802188630128E-2</v>
      </c>
      <c r="L824" t="s">
        <v>168</v>
      </c>
      <c r="N824" t="s">
        <v>209</v>
      </c>
      <c r="O824" t="s">
        <v>256</v>
      </c>
      <c r="P824">
        <v>5.6163732621663409E-2</v>
      </c>
      <c r="Q824" t="s">
        <v>168</v>
      </c>
      <c r="S824" t="s">
        <v>228</v>
      </c>
      <c r="T824" t="s">
        <v>256</v>
      </c>
      <c r="U824">
        <v>4.2683998612294966E-2</v>
      </c>
      <c r="V824" t="s">
        <v>168</v>
      </c>
    </row>
    <row r="825" spans="9:22" x14ac:dyDescent="0.45">
      <c r="I825" t="s">
        <v>185</v>
      </c>
      <c r="J825" t="s">
        <v>257</v>
      </c>
      <c r="K825">
        <v>8.0971245856852562E-3</v>
      </c>
      <c r="L825" t="s">
        <v>168</v>
      </c>
      <c r="N825" t="s">
        <v>209</v>
      </c>
      <c r="O825" t="s">
        <v>257</v>
      </c>
      <c r="P825">
        <v>9.3514122763573293E-3</v>
      </c>
      <c r="Q825" t="s">
        <v>168</v>
      </c>
      <c r="S825" t="s">
        <v>228</v>
      </c>
      <c r="T825" t="s">
        <v>257</v>
      </c>
      <c r="U825">
        <v>7.1982908650316041E-3</v>
      </c>
      <c r="V825" t="s">
        <v>168</v>
      </c>
    </row>
    <row r="826" spans="9:22" x14ac:dyDescent="0.45">
      <c r="I826" t="s">
        <v>185</v>
      </c>
      <c r="J826" t="s">
        <v>258</v>
      </c>
      <c r="K826">
        <v>2.7989347324351354E-3</v>
      </c>
      <c r="L826" t="s">
        <v>168</v>
      </c>
      <c r="N826" t="s">
        <v>209</v>
      </c>
      <c r="O826" t="s">
        <v>258</v>
      </c>
      <c r="P826">
        <v>6.5390280034146764E-2</v>
      </c>
      <c r="Q826" t="s">
        <v>168</v>
      </c>
      <c r="S826" t="s">
        <v>228</v>
      </c>
      <c r="T826" t="s">
        <v>258</v>
      </c>
      <c r="U826">
        <v>5.1402560940920189E-2</v>
      </c>
      <c r="V826" t="s">
        <v>168</v>
      </c>
    </row>
    <row r="827" spans="9:22" x14ac:dyDescent="0.45">
      <c r="I827" t="s">
        <v>185</v>
      </c>
      <c r="J827" t="s">
        <v>171</v>
      </c>
      <c r="K827">
        <v>3.8474527438961875E-2</v>
      </c>
      <c r="L827" t="s">
        <v>168</v>
      </c>
      <c r="N827" t="s">
        <v>209</v>
      </c>
      <c r="O827" t="s">
        <v>171</v>
      </c>
      <c r="P827">
        <v>0.10991548849289312</v>
      </c>
      <c r="Q827" t="s">
        <v>168</v>
      </c>
      <c r="S827" t="s">
        <v>228</v>
      </c>
      <c r="T827" t="s">
        <v>171</v>
      </c>
      <c r="U827">
        <v>0.12921037457526138</v>
      </c>
      <c r="V827" t="s">
        <v>168</v>
      </c>
    </row>
    <row r="828" spans="9:22" x14ac:dyDescent="0.45">
      <c r="I828" t="s">
        <v>185</v>
      </c>
      <c r="J828" t="s">
        <v>172</v>
      </c>
      <c r="K828">
        <v>2.9797782696540896E-2</v>
      </c>
      <c r="L828" t="s">
        <v>168</v>
      </c>
      <c r="N828" t="s">
        <v>209</v>
      </c>
      <c r="O828" t="s">
        <v>172</v>
      </c>
      <c r="P828">
        <v>1.281120135684769E-2</v>
      </c>
      <c r="Q828" t="s">
        <v>168</v>
      </c>
      <c r="S828" t="s">
        <v>228</v>
      </c>
      <c r="T828" t="s">
        <v>172</v>
      </c>
      <c r="U828">
        <v>1.6304809053103119E-2</v>
      </c>
      <c r="V828" t="s">
        <v>168</v>
      </c>
    </row>
    <row r="829" spans="9:22" x14ac:dyDescent="0.45">
      <c r="I829" t="s">
        <v>185</v>
      </c>
      <c r="J829" t="s">
        <v>173</v>
      </c>
      <c r="K829">
        <v>3.4931165380246161E-2</v>
      </c>
      <c r="L829" t="s">
        <v>168</v>
      </c>
      <c r="N829" t="s">
        <v>209</v>
      </c>
      <c r="O829" t="s">
        <v>173</v>
      </c>
      <c r="P829">
        <v>1.2673403079730026E-2</v>
      </c>
      <c r="Q829" t="s">
        <v>168</v>
      </c>
      <c r="S829" t="s">
        <v>228</v>
      </c>
      <c r="T829" t="s">
        <v>173</v>
      </c>
      <c r="U829">
        <v>1.6276070090415318E-2</v>
      </c>
      <c r="V829" t="s">
        <v>168</v>
      </c>
    </row>
    <row r="830" spans="9:22" x14ac:dyDescent="0.45">
      <c r="I830" t="s">
        <v>185</v>
      </c>
      <c r="J830" t="s">
        <v>259</v>
      </c>
      <c r="K830">
        <v>0.22935011341495079</v>
      </c>
      <c r="L830" t="s">
        <v>168</v>
      </c>
      <c r="N830" t="s">
        <v>209</v>
      </c>
      <c r="O830" t="s">
        <v>259</v>
      </c>
      <c r="P830">
        <v>9.0501625790123441E-2</v>
      </c>
      <c r="Q830" t="s">
        <v>168</v>
      </c>
      <c r="S830" t="s">
        <v>228</v>
      </c>
      <c r="T830" t="s">
        <v>259</v>
      </c>
      <c r="U830">
        <v>9.4145265370959949E-2</v>
      </c>
      <c r="V830" t="s">
        <v>168</v>
      </c>
    </row>
    <row r="831" spans="9:22" x14ac:dyDescent="0.45">
      <c r="I831" t="s">
        <v>185</v>
      </c>
      <c r="J831" t="s">
        <v>260</v>
      </c>
      <c r="K831">
        <v>3.0965061171333564E-2</v>
      </c>
      <c r="L831" t="s">
        <v>168</v>
      </c>
      <c r="N831" t="s">
        <v>209</v>
      </c>
      <c r="O831" t="s">
        <v>260</v>
      </c>
      <c r="P831">
        <v>1.8240307116178821E-2</v>
      </c>
      <c r="Q831" t="s">
        <v>168</v>
      </c>
      <c r="S831" t="s">
        <v>228</v>
      </c>
      <c r="T831" t="s">
        <v>260</v>
      </c>
      <c r="U831">
        <v>1.619717713067113E-2</v>
      </c>
      <c r="V831" t="s">
        <v>168</v>
      </c>
    </row>
    <row r="832" spans="9:22" x14ac:dyDescent="0.45">
      <c r="I832" t="s">
        <v>185</v>
      </c>
      <c r="J832" t="s">
        <v>261</v>
      </c>
      <c r="K832">
        <v>3.7374871149304621E-2</v>
      </c>
      <c r="L832" t="s">
        <v>168</v>
      </c>
      <c r="N832" t="s">
        <v>209</v>
      </c>
      <c r="O832" t="s">
        <v>261</v>
      </c>
      <c r="P832">
        <v>0.10900308619373673</v>
      </c>
      <c r="Q832" t="s">
        <v>168</v>
      </c>
      <c r="S832" t="s">
        <v>228</v>
      </c>
      <c r="T832" t="s">
        <v>261</v>
      </c>
      <c r="U832">
        <v>0.11071637578303367</v>
      </c>
      <c r="V832" t="s">
        <v>168</v>
      </c>
    </row>
    <row r="833" spans="9:22" x14ac:dyDescent="0.45">
      <c r="I833" t="s">
        <v>185</v>
      </c>
      <c r="J833" t="s">
        <v>174</v>
      </c>
      <c r="K833">
        <v>1.4840167133087228E-2</v>
      </c>
      <c r="L833" t="s">
        <v>168</v>
      </c>
      <c r="N833" t="s">
        <v>209</v>
      </c>
      <c r="O833" t="s">
        <v>174</v>
      </c>
      <c r="P833">
        <v>1.8364044821148028E-2</v>
      </c>
      <c r="Q833" t="s">
        <v>168</v>
      </c>
      <c r="S833" t="s">
        <v>228</v>
      </c>
      <c r="T833" t="s">
        <v>174</v>
      </c>
      <c r="U833">
        <v>5.9577713147973953E-3</v>
      </c>
      <c r="V833" t="s">
        <v>168</v>
      </c>
    </row>
    <row r="834" spans="9:22" x14ac:dyDescent="0.45">
      <c r="I834" t="s">
        <v>185</v>
      </c>
      <c r="J834" t="s">
        <v>175</v>
      </c>
      <c r="K834">
        <v>9.4295360436353632E-3</v>
      </c>
      <c r="L834" t="s">
        <v>168</v>
      </c>
      <c r="N834" t="s">
        <v>209</v>
      </c>
      <c r="O834" t="s">
        <v>175</v>
      </c>
      <c r="P834">
        <v>2.2475282390400867E-3</v>
      </c>
      <c r="Q834" t="s">
        <v>168</v>
      </c>
      <c r="S834" t="s">
        <v>228</v>
      </c>
      <c r="T834" t="s">
        <v>175</v>
      </c>
      <c r="U834">
        <v>6.9055565332392646E-4</v>
      </c>
      <c r="V834" t="s">
        <v>168</v>
      </c>
    </row>
    <row r="835" spans="9:22" x14ac:dyDescent="0.45">
      <c r="I835" t="s">
        <v>185</v>
      </c>
      <c r="J835" t="s">
        <v>176</v>
      </c>
      <c r="K835">
        <v>1.0631615874565889E-2</v>
      </c>
      <c r="L835" t="s">
        <v>168</v>
      </c>
      <c r="N835" t="s">
        <v>209</v>
      </c>
      <c r="O835" t="s">
        <v>176</v>
      </c>
      <c r="P835">
        <v>2.2876234730363448E-3</v>
      </c>
      <c r="Q835" t="s">
        <v>168</v>
      </c>
      <c r="S835" t="s">
        <v>228</v>
      </c>
      <c r="T835" t="s">
        <v>176</v>
      </c>
      <c r="U835">
        <v>6.957742036477996E-4</v>
      </c>
      <c r="V835" t="s">
        <v>168</v>
      </c>
    </row>
    <row r="836" spans="9:22" x14ac:dyDescent="0.45">
      <c r="I836" t="s">
        <v>185</v>
      </c>
      <c r="J836" t="s">
        <v>262</v>
      </c>
      <c r="K836">
        <v>6.4885301465261988E-2</v>
      </c>
      <c r="L836" t="s">
        <v>168</v>
      </c>
      <c r="N836" t="s">
        <v>209</v>
      </c>
      <c r="O836" t="s">
        <v>262</v>
      </c>
      <c r="P836">
        <v>1.5637085766577474E-2</v>
      </c>
      <c r="Q836" t="s">
        <v>168</v>
      </c>
      <c r="S836" t="s">
        <v>228</v>
      </c>
      <c r="T836" t="s">
        <v>262</v>
      </c>
      <c r="U836">
        <v>5.7449287416043195E-3</v>
      </c>
      <c r="V836" t="s">
        <v>168</v>
      </c>
    </row>
    <row r="837" spans="9:22" x14ac:dyDescent="0.45">
      <c r="I837" t="s">
        <v>185</v>
      </c>
      <c r="J837" t="s">
        <v>263</v>
      </c>
      <c r="K837">
        <v>8.5463893018102588E-3</v>
      </c>
      <c r="L837" t="s">
        <v>168</v>
      </c>
      <c r="N837" t="s">
        <v>209</v>
      </c>
      <c r="O837" t="s">
        <v>263</v>
      </c>
      <c r="P837">
        <v>2.8529075011588956E-3</v>
      </c>
      <c r="Q837" t="s">
        <v>168</v>
      </c>
      <c r="S837" t="s">
        <v>228</v>
      </c>
      <c r="T837" t="s">
        <v>263</v>
      </c>
      <c r="U837">
        <v>1.3668002432983878E-3</v>
      </c>
      <c r="V837" t="s">
        <v>168</v>
      </c>
    </row>
    <row r="838" spans="9:22" x14ac:dyDescent="0.45">
      <c r="I838" t="s">
        <v>185</v>
      </c>
      <c r="J838" t="s">
        <v>264</v>
      </c>
      <c r="K838">
        <v>1.412299760916077E-2</v>
      </c>
      <c r="L838" t="s">
        <v>168</v>
      </c>
      <c r="N838" t="s">
        <v>209</v>
      </c>
      <c r="O838" t="s">
        <v>264</v>
      </c>
      <c r="P838">
        <v>1.8203466055472788E-2</v>
      </c>
      <c r="Q838" t="s">
        <v>168</v>
      </c>
      <c r="S838" t="s">
        <v>228</v>
      </c>
      <c r="T838" t="s">
        <v>264</v>
      </c>
      <c r="U838">
        <v>8.5276538037636716E-3</v>
      </c>
      <c r="V838" t="s">
        <v>168</v>
      </c>
    </row>
    <row r="839" spans="9:22" x14ac:dyDescent="0.45">
      <c r="I839" t="s">
        <v>185</v>
      </c>
      <c r="J839" t="s">
        <v>265</v>
      </c>
      <c r="K839">
        <v>1.1187351667214815E-2</v>
      </c>
      <c r="L839" t="s">
        <v>168</v>
      </c>
      <c r="N839" t="s">
        <v>209</v>
      </c>
      <c r="O839" t="s">
        <v>265</v>
      </c>
      <c r="P839">
        <v>1.9878499623637785E-2</v>
      </c>
      <c r="Q839" t="s">
        <v>168</v>
      </c>
      <c r="S839" t="s">
        <v>228</v>
      </c>
      <c r="T839" t="s">
        <v>265</v>
      </c>
      <c r="U839">
        <v>1.0930985442444951E-2</v>
      </c>
      <c r="V839" t="s">
        <v>168</v>
      </c>
    </row>
    <row r="840" spans="9:22" x14ac:dyDescent="0.45">
      <c r="I840" t="s">
        <v>185</v>
      </c>
      <c r="J840" t="s">
        <v>266</v>
      </c>
      <c r="K840">
        <v>8.8926433711545502E-3</v>
      </c>
      <c r="L840" t="s">
        <v>168</v>
      </c>
      <c r="N840" t="s">
        <v>209</v>
      </c>
      <c r="O840" t="s">
        <v>266</v>
      </c>
      <c r="P840">
        <v>2.499490781049996E-3</v>
      </c>
      <c r="Q840" t="s">
        <v>168</v>
      </c>
      <c r="S840" t="s">
        <v>228</v>
      </c>
      <c r="T840" t="s">
        <v>266</v>
      </c>
      <c r="U840">
        <v>1.021424445882176E-3</v>
      </c>
      <c r="V840" t="s">
        <v>168</v>
      </c>
    </row>
    <row r="841" spans="9:22" x14ac:dyDescent="0.45">
      <c r="I841" t="s">
        <v>185</v>
      </c>
      <c r="J841" t="s">
        <v>267</v>
      </c>
      <c r="K841">
        <v>1.0217456340986007E-2</v>
      </c>
      <c r="L841" t="s">
        <v>168</v>
      </c>
      <c r="N841" t="s">
        <v>209</v>
      </c>
      <c r="O841" t="s">
        <v>267</v>
      </c>
      <c r="P841">
        <v>2.6430844871889571E-3</v>
      </c>
      <c r="Q841" t="s">
        <v>168</v>
      </c>
      <c r="S841" t="s">
        <v>228</v>
      </c>
      <c r="T841" t="s">
        <v>267</v>
      </c>
      <c r="U841">
        <v>9.7491488648558406E-4</v>
      </c>
      <c r="V841" t="s">
        <v>168</v>
      </c>
    </row>
    <row r="842" spans="9:22" x14ac:dyDescent="0.45">
      <c r="I842" t="s">
        <v>185</v>
      </c>
      <c r="J842" t="s">
        <v>268</v>
      </c>
      <c r="K842">
        <v>6.221267975588618E-2</v>
      </c>
      <c r="L842" t="s">
        <v>168</v>
      </c>
      <c r="N842" t="s">
        <v>209</v>
      </c>
      <c r="O842" t="s">
        <v>268</v>
      </c>
      <c r="P842">
        <v>1.678056485063505E-2</v>
      </c>
      <c r="Q842" t="s">
        <v>168</v>
      </c>
      <c r="S842" t="s">
        <v>228</v>
      </c>
      <c r="T842" t="s">
        <v>268</v>
      </c>
      <c r="U842">
        <v>7.0043986582762827E-3</v>
      </c>
      <c r="V842" t="s">
        <v>168</v>
      </c>
    </row>
    <row r="843" spans="9:22" x14ac:dyDescent="0.45">
      <c r="I843" t="s">
        <v>185</v>
      </c>
      <c r="J843" t="s">
        <v>269</v>
      </c>
      <c r="K843">
        <v>8.2772230353405068E-3</v>
      </c>
      <c r="L843" t="s">
        <v>168</v>
      </c>
      <c r="N843" t="s">
        <v>209</v>
      </c>
      <c r="O843" t="s">
        <v>269</v>
      </c>
      <c r="P843">
        <v>2.9750176681330133E-3</v>
      </c>
      <c r="Q843" t="s">
        <v>168</v>
      </c>
      <c r="S843" t="s">
        <v>228</v>
      </c>
      <c r="T843" t="s">
        <v>269</v>
      </c>
      <c r="U843">
        <v>1.793824978570604E-3</v>
      </c>
      <c r="V843" t="s">
        <v>168</v>
      </c>
    </row>
    <row r="844" spans="9:22" x14ac:dyDescent="0.45">
      <c r="I844" t="s">
        <v>185</v>
      </c>
      <c r="J844" t="s">
        <v>270</v>
      </c>
      <c r="K844">
        <v>1.0506789221013552E-2</v>
      </c>
      <c r="L844" t="s">
        <v>168</v>
      </c>
      <c r="N844" t="s">
        <v>209</v>
      </c>
      <c r="O844" t="s">
        <v>270</v>
      </c>
      <c r="P844">
        <v>1.6412415524222894E-2</v>
      </c>
      <c r="Q844" t="s">
        <v>168</v>
      </c>
      <c r="S844" t="s">
        <v>228</v>
      </c>
      <c r="T844" t="s">
        <v>270</v>
      </c>
      <c r="U844">
        <v>1.1933452016625729E-2</v>
      </c>
      <c r="V844" t="s">
        <v>168</v>
      </c>
    </row>
    <row r="845" spans="9:22" x14ac:dyDescent="0.45">
      <c r="I845" t="s">
        <v>185</v>
      </c>
      <c r="J845" t="s">
        <v>271</v>
      </c>
      <c r="K845">
        <v>7.3028158848451102E-3</v>
      </c>
      <c r="L845" t="s">
        <v>168</v>
      </c>
      <c r="N845" t="s">
        <v>209</v>
      </c>
      <c r="O845" t="s">
        <v>271</v>
      </c>
      <c r="P845">
        <v>1.6338961808966469E-2</v>
      </c>
      <c r="Q845" t="s">
        <v>168</v>
      </c>
      <c r="S845" t="s">
        <v>228</v>
      </c>
      <c r="T845" t="s">
        <v>271</v>
      </c>
      <c r="U845">
        <v>2.0641135899249399E-2</v>
      </c>
      <c r="V845" t="s">
        <v>168</v>
      </c>
    </row>
    <row r="846" spans="9:22" x14ac:dyDescent="0.45">
      <c r="I846" t="s">
        <v>185</v>
      </c>
      <c r="J846" t="s">
        <v>272</v>
      </c>
      <c r="K846">
        <v>6.9989980620832042E-3</v>
      </c>
      <c r="L846" t="s">
        <v>168</v>
      </c>
      <c r="N846" t="s">
        <v>209</v>
      </c>
      <c r="O846" t="s">
        <v>272</v>
      </c>
      <c r="P846">
        <v>1.5424981613360556E-3</v>
      </c>
      <c r="Q846" t="s">
        <v>168</v>
      </c>
      <c r="S846" t="s">
        <v>228</v>
      </c>
      <c r="T846" t="s">
        <v>272</v>
      </c>
      <c r="U846">
        <v>2.1203228770190906E-3</v>
      </c>
      <c r="V846" t="s">
        <v>168</v>
      </c>
    </row>
    <row r="847" spans="9:22" x14ac:dyDescent="0.45">
      <c r="I847" t="s">
        <v>185</v>
      </c>
      <c r="J847" t="s">
        <v>273</v>
      </c>
      <c r="K847">
        <v>8.3175971124427543E-3</v>
      </c>
      <c r="L847" t="s">
        <v>168</v>
      </c>
      <c r="N847" t="s">
        <v>209</v>
      </c>
      <c r="O847" t="s">
        <v>273</v>
      </c>
      <c r="P847">
        <v>1.6652335187387595E-3</v>
      </c>
      <c r="Q847" t="s">
        <v>168</v>
      </c>
      <c r="S847" t="s">
        <v>228</v>
      </c>
      <c r="T847" t="s">
        <v>273</v>
      </c>
      <c r="U847">
        <v>2.0569676634059524E-3</v>
      </c>
      <c r="V847" t="s">
        <v>168</v>
      </c>
    </row>
    <row r="848" spans="9:22" x14ac:dyDescent="0.45">
      <c r="I848" t="s">
        <v>185</v>
      </c>
      <c r="J848" t="s">
        <v>274</v>
      </c>
      <c r="K848">
        <v>5.222995355952189E-2</v>
      </c>
      <c r="L848" t="s">
        <v>168</v>
      </c>
      <c r="N848" t="s">
        <v>209</v>
      </c>
      <c r="O848" t="s">
        <v>274</v>
      </c>
      <c r="P848">
        <v>1.6114008064626675E-2</v>
      </c>
      <c r="Q848" t="s">
        <v>168</v>
      </c>
      <c r="S848" t="s">
        <v>228</v>
      </c>
      <c r="T848" t="s">
        <v>274</v>
      </c>
      <c r="U848">
        <v>1.2893366481704721E-2</v>
      </c>
      <c r="V848" t="s">
        <v>168</v>
      </c>
    </row>
    <row r="849" spans="9:22" x14ac:dyDescent="0.45">
      <c r="I849" t="s">
        <v>185</v>
      </c>
      <c r="J849" t="s">
        <v>275</v>
      </c>
      <c r="K849">
        <v>6.5944977212251043E-3</v>
      </c>
      <c r="L849" t="s">
        <v>168</v>
      </c>
      <c r="N849" t="s">
        <v>209</v>
      </c>
      <c r="O849" t="s">
        <v>275</v>
      </c>
      <c r="P849">
        <v>3.30570890509411E-3</v>
      </c>
      <c r="Q849" t="s">
        <v>168</v>
      </c>
      <c r="S849" t="s">
        <v>228</v>
      </c>
      <c r="T849" t="s">
        <v>275</v>
      </c>
      <c r="U849">
        <v>2.8156137215398841E-3</v>
      </c>
      <c r="V849" t="s">
        <v>168</v>
      </c>
    </row>
    <row r="850" spans="9:22" x14ac:dyDescent="0.45">
      <c r="I850" t="s">
        <v>185</v>
      </c>
      <c r="J850" t="s">
        <v>276</v>
      </c>
      <c r="K850">
        <v>5.2634426123473509E-3</v>
      </c>
      <c r="L850" t="s">
        <v>168</v>
      </c>
      <c r="N850" t="s">
        <v>209</v>
      </c>
      <c r="O850" t="s">
        <v>276</v>
      </c>
      <c r="P850">
        <v>1.7735292220853904E-2</v>
      </c>
      <c r="Q850" t="s">
        <v>168</v>
      </c>
      <c r="S850" t="s">
        <v>228</v>
      </c>
      <c r="T850" t="s">
        <v>276</v>
      </c>
      <c r="U850">
        <v>2.1607056590421694E-2</v>
      </c>
      <c r="V850" t="s">
        <v>168</v>
      </c>
    </row>
    <row r="851" spans="9:22" x14ac:dyDescent="0.45">
      <c r="I851" t="s">
        <v>185</v>
      </c>
      <c r="J851" t="s">
        <v>341</v>
      </c>
      <c r="K851">
        <v>0</v>
      </c>
      <c r="L851" t="s">
        <v>168</v>
      </c>
      <c r="N851" t="s">
        <v>209</v>
      </c>
      <c r="O851" t="s">
        <v>341</v>
      </c>
      <c r="P851">
        <v>3.7538731877944871E-5</v>
      </c>
      <c r="Q851" t="s">
        <v>168</v>
      </c>
      <c r="S851" t="s">
        <v>228</v>
      </c>
      <c r="T851" t="s">
        <v>341</v>
      </c>
      <c r="U851">
        <v>1.4023293781046217E-5</v>
      </c>
      <c r="V851" t="s">
        <v>168</v>
      </c>
    </row>
    <row r="852" spans="9:22" x14ac:dyDescent="0.45">
      <c r="I852" t="s">
        <v>185</v>
      </c>
      <c r="J852" t="s">
        <v>342</v>
      </c>
      <c r="K852">
        <v>0</v>
      </c>
      <c r="L852" t="s">
        <v>168</v>
      </c>
      <c r="N852" t="s">
        <v>209</v>
      </c>
      <c r="O852" t="s">
        <v>342</v>
      </c>
      <c r="P852">
        <v>3.9019915973364621E-5</v>
      </c>
      <c r="Q852" t="s">
        <v>168</v>
      </c>
      <c r="S852" t="s">
        <v>228</v>
      </c>
      <c r="T852" t="s">
        <v>342</v>
      </c>
      <c r="U852">
        <v>1.2952895545384412E-5</v>
      </c>
      <c r="V852" t="s">
        <v>168</v>
      </c>
    </row>
    <row r="853" spans="9:22" x14ac:dyDescent="0.45">
      <c r="I853" t="s">
        <v>185</v>
      </c>
      <c r="J853" t="s">
        <v>343</v>
      </c>
      <c r="K853">
        <v>0</v>
      </c>
      <c r="L853" t="s">
        <v>168</v>
      </c>
      <c r="N853" t="s">
        <v>209</v>
      </c>
      <c r="O853" t="s">
        <v>343</v>
      </c>
      <c r="P853">
        <v>4.2102356523245684E-5</v>
      </c>
      <c r="Q853" t="s">
        <v>168</v>
      </c>
      <c r="S853" t="s">
        <v>228</v>
      </c>
      <c r="T853" t="s">
        <v>343</v>
      </c>
      <c r="U853">
        <v>1.2011210228715191E-5</v>
      </c>
      <c r="V853" t="s">
        <v>168</v>
      </c>
    </row>
    <row r="854" spans="9:22" x14ac:dyDescent="0.45">
      <c r="I854" t="s">
        <v>185</v>
      </c>
      <c r="J854" t="s">
        <v>344</v>
      </c>
      <c r="K854">
        <v>0</v>
      </c>
      <c r="L854" t="s">
        <v>168</v>
      </c>
      <c r="N854" t="s">
        <v>209</v>
      </c>
      <c r="O854" t="s">
        <v>344</v>
      </c>
      <c r="P854">
        <v>3.9276760521402651E-5</v>
      </c>
      <c r="Q854" t="s">
        <v>168</v>
      </c>
      <c r="S854" t="s">
        <v>228</v>
      </c>
      <c r="T854" t="s">
        <v>344</v>
      </c>
      <c r="U854">
        <v>1.3646457737730367E-5</v>
      </c>
      <c r="V854" t="s">
        <v>168</v>
      </c>
    </row>
    <row r="855" spans="9:22" x14ac:dyDescent="0.45">
      <c r="I855" t="s">
        <v>185</v>
      </c>
      <c r="J855" t="s">
        <v>345</v>
      </c>
      <c r="K855">
        <v>0</v>
      </c>
      <c r="L855" t="s">
        <v>168</v>
      </c>
      <c r="N855" t="s">
        <v>209</v>
      </c>
      <c r="O855" t="s">
        <v>345</v>
      </c>
      <c r="P855">
        <v>3.5491781822111137E-5</v>
      </c>
      <c r="Q855" t="s">
        <v>168</v>
      </c>
      <c r="S855" t="s">
        <v>228</v>
      </c>
      <c r="T855" t="s">
        <v>345</v>
      </c>
      <c r="U855">
        <v>1.4764779867197587E-5</v>
      </c>
      <c r="V855" t="s">
        <v>168</v>
      </c>
    </row>
    <row r="856" spans="9:22" x14ac:dyDescent="0.45">
      <c r="I856" t="s">
        <v>185</v>
      </c>
      <c r="J856" t="s">
        <v>346</v>
      </c>
      <c r="K856">
        <v>0</v>
      </c>
      <c r="L856" t="s">
        <v>168</v>
      </c>
      <c r="N856" t="s">
        <v>209</v>
      </c>
      <c r="O856" t="s">
        <v>346</v>
      </c>
      <c r="P856">
        <v>3.1707264482721402E-5</v>
      </c>
      <c r="Q856" t="s">
        <v>168</v>
      </c>
      <c r="S856" t="s">
        <v>228</v>
      </c>
      <c r="T856" t="s">
        <v>346</v>
      </c>
      <c r="U856">
        <v>1.6856749769187273E-5</v>
      </c>
      <c r="V856" t="s">
        <v>168</v>
      </c>
    </row>
    <row r="857" spans="9:22" x14ac:dyDescent="0.45">
      <c r="I857" t="s">
        <v>185</v>
      </c>
      <c r="J857" t="s">
        <v>347</v>
      </c>
      <c r="K857">
        <v>1.2557914249163965E-4</v>
      </c>
      <c r="L857" t="s">
        <v>168</v>
      </c>
      <c r="N857" t="s">
        <v>209</v>
      </c>
      <c r="O857" t="s">
        <v>347</v>
      </c>
      <c r="P857">
        <v>3.0477152808675083E-5</v>
      </c>
      <c r="Q857" t="s">
        <v>168</v>
      </c>
      <c r="S857" t="s">
        <v>228</v>
      </c>
      <c r="T857" t="s">
        <v>347</v>
      </c>
      <c r="U857">
        <v>1.9020992572236246E-5</v>
      </c>
      <c r="V857" t="s">
        <v>168</v>
      </c>
    </row>
    <row r="858" spans="9:22" x14ac:dyDescent="0.45">
      <c r="I858" t="s">
        <v>185</v>
      </c>
      <c r="J858" t="s">
        <v>348</v>
      </c>
      <c r="K858">
        <v>2.1017738666538979E-4</v>
      </c>
      <c r="L858" t="s">
        <v>168</v>
      </c>
      <c r="N858" t="s">
        <v>209</v>
      </c>
      <c r="O858" t="s">
        <v>348</v>
      </c>
      <c r="P858">
        <v>2.6799837624010234E-5</v>
      </c>
      <c r="Q858" t="s">
        <v>168</v>
      </c>
      <c r="S858" t="s">
        <v>228</v>
      </c>
      <c r="T858" t="s">
        <v>348</v>
      </c>
      <c r="U858">
        <v>1.9302981022813866E-5</v>
      </c>
      <c r="V858" t="s">
        <v>168</v>
      </c>
    </row>
    <row r="859" spans="9:22" x14ac:dyDescent="0.45">
      <c r="I859" t="s">
        <v>185</v>
      </c>
      <c r="J859" t="s">
        <v>349</v>
      </c>
      <c r="K859">
        <v>2.9767109197216719E-4</v>
      </c>
      <c r="L859" t="s">
        <v>168</v>
      </c>
      <c r="N859" t="s">
        <v>209</v>
      </c>
      <c r="O859" t="s">
        <v>349</v>
      </c>
      <c r="P859">
        <v>1.5770925954652146E-5</v>
      </c>
      <c r="Q859" t="s">
        <v>168</v>
      </c>
      <c r="S859" t="s">
        <v>228</v>
      </c>
      <c r="T859" t="s">
        <v>349</v>
      </c>
      <c r="U859">
        <v>1.725793724096208E-5</v>
      </c>
      <c r="V859" t="s">
        <v>168</v>
      </c>
    </row>
    <row r="860" spans="9:22" x14ac:dyDescent="0.45">
      <c r="I860" t="s">
        <v>185</v>
      </c>
      <c r="J860" t="s">
        <v>350</v>
      </c>
      <c r="K860">
        <v>3.4081754630099038E-4</v>
      </c>
      <c r="L860" t="s">
        <v>168</v>
      </c>
      <c r="N860" t="s">
        <v>209</v>
      </c>
      <c r="O860" t="s">
        <v>350</v>
      </c>
      <c r="P860">
        <v>5.9273844060386473E-6</v>
      </c>
      <c r="Q860" t="s">
        <v>168</v>
      </c>
      <c r="S860" t="s">
        <v>228</v>
      </c>
      <c r="T860" t="s">
        <v>350</v>
      </c>
      <c r="U860">
        <v>1.4593941420580346E-5</v>
      </c>
      <c r="V860" t="s">
        <v>168</v>
      </c>
    </row>
    <row r="861" spans="9:22" x14ac:dyDescent="0.45">
      <c r="I861" t="s">
        <v>185</v>
      </c>
      <c r="J861" t="s">
        <v>351</v>
      </c>
      <c r="K861">
        <v>3.5121637952272142E-4</v>
      </c>
      <c r="L861" t="s">
        <v>168</v>
      </c>
      <c r="N861" t="s">
        <v>209</v>
      </c>
      <c r="O861" t="s">
        <v>351</v>
      </c>
      <c r="P861">
        <v>4.4104225672195547E-6</v>
      </c>
      <c r="Q861" t="s">
        <v>168</v>
      </c>
      <c r="S861" t="s">
        <v>228</v>
      </c>
      <c r="T861" t="s">
        <v>351</v>
      </c>
      <c r="U861">
        <v>4.9048217942797886E-6</v>
      </c>
      <c r="V861" t="s">
        <v>168</v>
      </c>
    </row>
    <row r="862" spans="9:22" x14ac:dyDescent="0.45">
      <c r="I862" t="s">
        <v>185</v>
      </c>
      <c r="J862" t="s">
        <v>352</v>
      </c>
      <c r="K862">
        <v>3.3654865313299576E-4</v>
      </c>
      <c r="L862" t="s">
        <v>168</v>
      </c>
      <c r="N862" t="s">
        <v>209</v>
      </c>
      <c r="O862" t="s">
        <v>352</v>
      </c>
      <c r="P862">
        <v>1.1521826852964387E-5</v>
      </c>
      <c r="Q862" t="s">
        <v>168</v>
      </c>
      <c r="S862" t="s">
        <v>228</v>
      </c>
      <c r="T862" t="s">
        <v>352</v>
      </c>
      <c r="U862">
        <v>9.2373338813428358E-6</v>
      </c>
      <c r="V862" t="s">
        <v>168</v>
      </c>
    </row>
    <row r="863" spans="9:22" x14ac:dyDescent="0.45">
      <c r="I863" t="s">
        <v>185</v>
      </c>
      <c r="J863" t="s">
        <v>353</v>
      </c>
      <c r="K863">
        <v>3.1978738533613353E-4</v>
      </c>
      <c r="L863" t="s">
        <v>168</v>
      </c>
      <c r="N863" t="s">
        <v>209</v>
      </c>
      <c r="O863" t="s">
        <v>353</v>
      </c>
      <c r="P863">
        <v>2.2497432838464125E-5</v>
      </c>
      <c r="Q863" t="s">
        <v>168</v>
      </c>
      <c r="S863" t="s">
        <v>228</v>
      </c>
      <c r="T863" t="s">
        <v>353</v>
      </c>
      <c r="U863">
        <v>9.5710346332415129E-6</v>
      </c>
      <c r="V863" t="s">
        <v>168</v>
      </c>
    </row>
    <row r="864" spans="9:22" x14ac:dyDescent="0.45">
      <c r="I864" t="s">
        <v>185</v>
      </c>
      <c r="J864" t="s">
        <v>354</v>
      </c>
      <c r="K864">
        <v>3.4575545983775891E-4</v>
      </c>
      <c r="L864" t="s">
        <v>168</v>
      </c>
      <c r="N864" t="s">
        <v>209</v>
      </c>
      <c r="O864" t="s">
        <v>354</v>
      </c>
      <c r="P864">
        <v>3.0307002010257069E-5</v>
      </c>
      <c r="Q864" t="s">
        <v>168</v>
      </c>
      <c r="S864" t="s">
        <v>228</v>
      </c>
      <c r="T864" t="s">
        <v>354</v>
      </c>
      <c r="U864">
        <v>7.9268817653518406E-6</v>
      </c>
      <c r="V864" t="s">
        <v>168</v>
      </c>
    </row>
    <row r="865" spans="9:22" x14ac:dyDescent="0.45">
      <c r="I865" t="s">
        <v>185</v>
      </c>
      <c r="J865" t="s">
        <v>355</v>
      </c>
      <c r="K865">
        <v>3.4619499378858081E-4</v>
      </c>
      <c r="L865" t="s">
        <v>168</v>
      </c>
      <c r="N865" t="s">
        <v>209</v>
      </c>
      <c r="O865" t="s">
        <v>355</v>
      </c>
      <c r="P865">
        <v>4.1486835650674758E-5</v>
      </c>
      <c r="Q865" t="s">
        <v>168</v>
      </c>
      <c r="S865" t="s">
        <v>228</v>
      </c>
      <c r="T865" t="s">
        <v>355</v>
      </c>
      <c r="U865">
        <v>7.3543970155030157E-6</v>
      </c>
      <c r="V865" t="s">
        <v>168</v>
      </c>
    </row>
    <row r="866" spans="9:22" x14ac:dyDescent="0.45">
      <c r="I866" t="s">
        <v>185</v>
      </c>
      <c r="J866" t="s">
        <v>356</v>
      </c>
      <c r="K866">
        <v>3.215797931475703E-4</v>
      </c>
      <c r="L866" t="s">
        <v>168</v>
      </c>
      <c r="N866" t="s">
        <v>209</v>
      </c>
      <c r="O866" t="s">
        <v>356</v>
      </c>
      <c r="P866">
        <v>5.1406659284852862E-5</v>
      </c>
      <c r="Q866" t="s">
        <v>168</v>
      </c>
      <c r="S866" t="s">
        <v>228</v>
      </c>
      <c r="T866" t="s">
        <v>356</v>
      </c>
      <c r="U866">
        <v>8.0344146667118339E-6</v>
      </c>
      <c r="V866" t="s">
        <v>168</v>
      </c>
    </row>
    <row r="867" spans="9:22" x14ac:dyDescent="0.45">
      <c r="I867" t="s">
        <v>185</v>
      </c>
      <c r="J867" t="s">
        <v>357</v>
      </c>
      <c r="K867">
        <v>2.67073870068287E-4</v>
      </c>
      <c r="L867" t="s">
        <v>168</v>
      </c>
      <c r="N867" t="s">
        <v>209</v>
      </c>
      <c r="O867" t="s">
        <v>357</v>
      </c>
      <c r="P867">
        <v>5.4260550452818159E-5</v>
      </c>
      <c r="Q867" t="s">
        <v>168</v>
      </c>
      <c r="S867" t="s">
        <v>228</v>
      </c>
      <c r="T867" t="s">
        <v>357</v>
      </c>
      <c r="U867">
        <v>1.2420867754309897E-5</v>
      </c>
      <c r="V867" t="s">
        <v>168</v>
      </c>
    </row>
    <row r="868" spans="9:22" x14ac:dyDescent="0.45">
      <c r="I868" t="s">
        <v>185</v>
      </c>
      <c r="J868" t="s">
        <v>358</v>
      </c>
      <c r="K868">
        <v>1.6199636409923297E-4</v>
      </c>
      <c r="L868" t="s">
        <v>168</v>
      </c>
      <c r="N868" t="s">
        <v>209</v>
      </c>
      <c r="O868" t="s">
        <v>358</v>
      </c>
      <c r="P868">
        <v>4.9869895382407852E-5</v>
      </c>
      <c r="Q868" t="s">
        <v>168</v>
      </c>
      <c r="S868" t="s">
        <v>228</v>
      </c>
      <c r="T868" t="s">
        <v>358</v>
      </c>
      <c r="U868">
        <v>1.3531407276412961E-5</v>
      </c>
      <c r="V868" t="s">
        <v>168</v>
      </c>
    </row>
    <row r="869" spans="9:22" x14ac:dyDescent="0.45">
      <c r="I869" t="s">
        <v>185</v>
      </c>
      <c r="J869" t="s">
        <v>359</v>
      </c>
      <c r="K869">
        <v>0</v>
      </c>
      <c r="L869" t="s">
        <v>168</v>
      </c>
      <c r="N869" t="s">
        <v>209</v>
      </c>
      <c r="O869" t="s">
        <v>359</v>
      </c>
      <c r="P869">
        <v>4.7454072774022807E-5</v>
      </c>
      <c r="Q869" t="s">
        <v>168</v>
      </c>
      <c r="S869" t="s">
        <v>228</v>
      </c>
      <c r="T869" t="s">
        <v>359</v>
      </c>
      <c r="U869">
        <v>1.2903865675141981E-5</v>
      </c>
      <c r="V869" t="s">
        <v>168</v>
      </c>
    </row>
    <row r="870" spans="9:22" x14ac:dyDescent="0.45">
      <c r="I870" t="s">
        <v>185</v>
      </c>
      <c r="J870" t="s">
        <v>360</v>
      </c>
      <c r="K870">
        <v>0</v>
      </c>
      <c r="L870" t="s">
        <v>168</v>
      </c>
      <c r="N870" t="s">
        <v>209</v>
      </c>
      <c r="O870" t="s">
        <v>360</v>
      </c>
      <c r="P870">
        <v>2.708478671351675E-5</v>
      </c>
      <c r="Q870" t="s">
        <v>168</v>
      </c>
      <c r="S870" t="s">
        <v>228</v>
      </c>
      <c r="T870" t="s">
        <v>360</v>
      </c>
      <c r="U870">
        <v>1.1308526034662226E-5</v>
      </c>
      <c r="V870" t="s">
        <v>168</v>
      </c>
    </row>
    <row r="871" spans="9:22" x14ac:dyDescent="0.45">
      <c r="I871" t="s">
        <v>185</v>
      </c>
      <c r="J871" t="s">
        <v>361</v>
      </c>
      <c r="K871">
        <v>0</v>
      </c>
      <c r="L871" t="s">
        <v>168</v>
      </c>
      <c r="N871" t="s">
        <v>209</v>
      </c>
      <c r="O871" t="s">
        <v>361</v>
      </c>
      <c r="P871">
        <v>1.7089109554899226E-5</v>
      </c>
      <c r="Q871" t="s">
        <v>168</v>
      </c>
      <c r="S871" t="s">
        <v>228</v>
      </c>
      <c r="T871" t="s">
        <v>361</v>
      </c>
      <c r="U871">
        <v>8.6271318625206217E-6</v>
      </c>
      <c r="V871" t="s">
        <v>168</v>
      </c>
    </row>
    <row r="872" spans="9:22" x14ac:dyDescent="0.45">
      <c r="I872" t="s">
        <v>185</v>
      </c>
      <c r="J872" t="s">
        <v>362</v>
      </c>
      <c r="K872">
        <v>0</v>
      </c>
      <c r="L872" t="s">
        <v>168</v>
      </c>
      <c r="N872" t="s">
        <v>209</v>
      </c>
      <c r="O872" t="s">
        <v>362</v>
      </c>
      <c r="P872">
        <v>1.4228835093573628E-5</v>
      </c>
      <c r="Q872" t="s">
        <v>168</v>
      </c>
      <c r="S872" t="s">
        <v>228</v>
      </c>
      <c r="T872" t="s">
        <v>362</v>
      </c>
      <c r="U872">
        <v>4.8656991970396397E-6</v>
      </c>
      <c r="V872" t="s">
        <v>168</v>
      </c>
    </row>
    <row r="873" spans="9:22" x14ac:dyDescent="0.45">
      <c r="I873" t="s">
        <v>185</v>
      </c>
      <c r="J873" t="s">
        <v>363</v>
      </c>
      <c r="K873">
        <v>0</v>
      </c>
      <c r="L873" t="s">
        <v>168</v>
      </c>
      <c r="N873" t="s">
        <v>209</v>
      </c>
      <c r="O873" t="s">
        <v>363</v>
      </c>
      <c r="P873">
        <v>1.3546855847737268E-5</v>
      </c>
      <c r="Q873" t="s">
        <v>168</v>
      </c>
      <c r="S873" t="s">
        <v>228</v>
      </c>
      <c r="T873" t="s">
        <v>363</v>
      </c>
      <c r="U873">
        <v>5.0471694468890281E-6</v>
      </c>
      <c r="V873" t="s">
        <v>168</v>
      </c>
    </row>
    <row r="874" spans="9:22" x14ac:dyDescent="0.45">
      <c r="I874" t="s">
        <v>185</v>
      </c>
      <c r="J874" t="s">
        <v>364</v>
      </c>
      <c r="K874">
        <v>0</v>
      </c>
      <c r="L874" t="s">
        <v>168</v>
      </c>
      <c r="N874" t="s">
        <v>209</v>
      </c>
      <c r="O874" t="s">
        <v>364</v>
      </c>
      <c r="P874">
        <v>1.9041759471595994E-5</v>
      </c>
      <c r="Q874" t="s">
        <v>168</v>
      </c>
      <c r="S874" t="s">
        <v>228</v>
      </c>
      <c r="T874" t="s">
        <v>364</v>
      </c>
      <c r="U874">
        <v>3.2287638264810005E-6</v>
      </c>
      <c r="V874" t="s">
        <v>168</v>
      </c>
    </row>
    <row r="875" spans="9:22" x14ac:dyDescent="0.45">
      <c r="I875" t="s">
        <v>185</v>
      </c>
      <c r="J875" t="s">
        <v>277</v>
      </c>
      <c r="K875">
        <v>5.4065933926147284E-3</v>
      </c>
      <c r="L875" t="s">
        <v>168</v>
      </c>
      <c r="N875" t="s">
        <v>209</v>
      </c>
      <c r="O875" t="s">
        <v>277</v>
      </c>
      <c r="P875">
        <v>5.1275751661576087E-2</v>
      </c>
      <c r="Q875" t="s">
        <v>168</v>
      </c>
      <c r="S875" t="s">
        <v>228</v>
      </c>
      <c r="T875" t="s">
        <v>277</v>
      </c>
      <c r="U875">
        <v>8.7291703745364685E-2</v>
      </c>
      <c r="V875" t="s">
        <v>168</v>
      </c>
    </row>
    <row r="876" spans="9:22" x14ac:dyDescent="0.45">
      <c r="I876" t="s">
        <v>185</v>
      </c>
      <c r="J876" t="s">
        <v>278</v>
      </c>
      <c r="K876">
        <v>1.0337948210131814E-2</v>
      </c>
      <c r="L876" t="s">
        <v>168</v>
      </c>
      <c r="N876" t="s">
        <v>209</v>
      </c>
      <c r="O876" t="s">
        <v>278</v>
      </c>
      <c r="P876">
        <v>6.3441571179016212E-3</v>
      </c>
      <c r="Q876" t="s">
        <v>168</v>
      </c>
      <c r="S876" t="s">
        <v>228</v>
      </c>
      <c r="T876" t="s">
        <v>278</v>
      </c>
      <c r="U876">
        <v>1.0515127798047211E-2</v>
      </c>
      <c r="V876" t="s">
        <v>168</v>
      </c>
    </row>
    <row r="877" spans="9:22" x14ac:dyDescent="0.45">
      <c r="I877" t="s">
        <v>185</v>
      </c>
      <c r="J877" t="s">
        <v>279</v>
      </c>
      <c r="K877">
        <v>1.3741452701297133E-2</v>
      </c>
      <c r="L877" t="s">
        <v>168</v>
      </c>
      <c r="N877" t="s">
        <v>209</v>
      </c>
      <c r="O877" t="s">
        <v>279</v>
      </c>
      <c r="P877">
        <v>6.0532630610437487E-3</v>
      </c>
      <c r="Q877" t="s">
        <v>168</v>
      </c>
      <c r="S877" t="s">
        <v>228</v>
      </c>
      <c r="T877" t="s">
        <v>279</v>
      </c>
      <c r="U877">
        <v>1.0488347129471599E-2</v>
      </c>
      <c r="V877" t="s">
        <v>168</v>
      </c>
    </row>
    <row r="878" spans="9:22" x14ac:dyDescent="0.45">
      <c r="I878" t="s">
        <v>185</v>
      </c>
      <c r="J878" t="s">
        <v>280</v>
      </c>
      <c r="K878">
        <v>8.2044170886901802E-2</v>
      </c>
      <c r="L878" t="s">
        <v>168</v>
      </c>
      <c r="N878" t="s">
        <v>209</v>
      </c>
      <c r="O878" t="s">
        <v>280</v>
      </c>
      <c r="P878">
        <v>4.0325102876579838E-2</v>
      </c>
      <c r="Q878" t="s">
        <v>168</v>
      </c>
      <c r="S878" t="s">
        <v>228</v>
      </c>
      <c r="T878" t="s">
        <v>280</v>
      </c>
      <c r="U878">
        <v>6.1801034975160388E-2</v>
      </c>
      <c r="V878" t="s">
        <v>168</v>
      </c>
    </row>
    <row r="879" spans="9:22" x14ac:dyDescent="0.45">
      <c r="I879" t="s">
        <v>185</v>
      </c>
      <c r="J879" t="s">
        <v>281</v>
      </c>
      <c r="K879">
        <v>7.4055246163890892E-3</v>
      </c>
      <c r="L879" t="s">
        <v>168</v>
      </c>
      <c r="N879" t="s">
        <v>209</v>
      </c>
      <c r="O879" t="s">
        <v>281</v>
      </c>
      <c r="P879">
        <v>8.0505276245399406E-3</v>
      </c>
      <c r="Q879" t="s">
        <v>168</v>
      </c>
      <c r="S879" t="s">
        <v>228</v>
      </c>
      <c r="T879" t="s">
        <v>281</v>
      </c>
      <c r="U879">
        <v>1.0964223783518828E-2</v>
      </c>
      <c r="V879" t="s">
        <v>168</v>
      </c>
    </row>
    <row r="880" spans="9:22" x14ac:dyDescent="0.45">
      <c r="I880" t="s">
        <v>185</v>
      </c>
      <c r="J880" t="s">
        <v>282</v>
      </c>
      <c r="K880">
        <v>1.6520080765414402E-3</v>
      </c>
      <c r="L880" t="s">
        <v>168</v>
      </c>
      <c r="N880" t="s">
        <v>209</v>
      </c>
      <c r="O880" t="s">
        <v>282</v>
      </c>
      <c r="P880">
        <v>5.2742753456652421E-2</v>
      </c>
      <c r="Q880" t="s">
        <v>168</v>
      </c>
      <c r="S880" t="s">
        <v>228</v>
      </c>
      <c r="T880" t="s">
        <v>282</v>
      </c>
      <c r="U880">
        <v>7.796836375618757E-2</v>
      </c>
      <c r="V880" t="s">
        <v>168</v>
      </c>
    </row>
    <row r="881" spans="9:22" x14ac:dyDescent="0.45">
      <c r="I881" t="s">
        <v>185</v>
      </c>
      <c r="J881" t="s">
        <v>283</v>
      </c>
      <c r="K881">
        <v>0</v>
      </c>
      <c r="L881" t="s">
        <v>168</v>
      </c>
      <c r="N881" t="s">
        <v>209</v>
      </c>
      <c r="O881" t="s">
        <v>283</v>
      </c>
      <c r="P881">
        <v>2.5538702582121993E-2</v>
      </c>
      <c r="Q881" t="s">
        <v>168</v>
      </c>
      <c r="S881" t="s">
        <v>228</v>
      </c>
      <c r="T881" t="s">
        <v>283</v>
      </c>
      <c r="U881">
        <v>2.421750073262461E-2</v>
      </c>
      <c r="V881" t="s">
        <v>168</v>
      </c>
    </row>
    <row r="882" spans="9:22" x14ac:dyDescent="0.45">
      <c r="I882" t="s">
        <v>185</v>
      </c>
      <c r="J882" t="s">
        <v>284</v>
      </c>
      <c r="K882">
        <v>2.5826048073559851E-3</v>
      </c>
      <c r="L882" t="s">
        <v>168</v>
      </c>
      <c r="N882" t="s">
        <v>209</v>
      </c>
      <c r="O882" t="s">
        <v>284</v>
      </c>
      <c r="P882">
        <v>3.619193236703561E-3</v>
      </c>
      <c r="Q882" t="s">
        <v>168</v>
      </c>
      <c r="S882" t="s">
        <v>228</v>
      </c>
      <c r="T882" t="s">
        <v>284</v>
      </c>
      <c r="U882">
        <v>2.8780939859056518E-3</v>
      </c>
      <c r="V882" t="s">
        <v>168</v>
      </c>
    </row>
    <row r="883" spans="9:22" x14ac:dyDescent="0.45">
      <c r="I883" t="s">
        <v>185</v>
      </c>
      <c r="J883" t="s">
        <v>285</v>
      </c>
      <c r="K883">
        <v>4.5737776570412385E-3</v>
      </c>
      <c r="L883" t="s">
        <v>168</v>
      </c>
      <c r="N883" t="s">
        <v>209</v>
      </c>
      <c r="O883" t="s">
        <v>285</v>
      </c>
      <c r="P883">
        <v>3.5547303631450768E-3</v>
      </c>
      <c r="Q883" t="s">
        <v>168</v>
      </c>
      <c r="S883" t="s">
        <v>228</v>
      </c>
      <c r="T883" t="s">
        <v>285</v>
      </c>
      <c r="U883">
        <v>2.8732990483062723E-3</v>
      </c>
      <c r="V883" t="s">
        <v>168</v>
      </c>
    </row>
    <row r="884" spans="9:22" x14ac:dyDescent="0.45">
      <c r="I884" t="s">
        <v>185</v>
      </c>
      <c r="J884" t="s">
        <v>286</v>
      </c>
      <c r="K884">
        <v>3.3634108396848078E-2</v>
      </c>
      <c r="L884" t="s">
        <v>168</v>
      </c>
      <c r="N884" t="s">
        <v>209</v>
      </c>
      <c r="O884" t="s">
        <v>286</v>
      </c>
      <c r="P884">
        <v>2.197694160538164E-2</v>
      </c>
      <c r="Q884" t="s">
        <v>168</v>
      </c>
      <c r="S884" t="s">
        <v>228</v>
      </c>
      <c r="T884" t="s">
        <v>286</v>
      </c>
      <c r="U884">
        <v>1.6436015775412757E-2</v>
      </c>
      <c r="V884" t="s">
        <v>168</v>
      </c>
    </row>
    <row r="885" spans="9:22" x14ac:dyDescent="0.45">
      <c r="I885" t="s">
        <v>185</v>
      </c>
      <c r="J885" t="s">
        <v>287</v>
      </c>
      <c r="K885">
        <v>2.6860582646219154E-3</v>
      </c>
      <c r="L885" t="s">
        <v>168</v>
      </c>
      <c r="N885" t="s">
        <v>209</v>
      </c>
      <c r="O885" t="s">
        <v>287</v>
      </c>
      <c r="P885">
        <v>3.4490077650568894E-3</v>
      </c>
      <c r="Q885" t="s">
        <v>168</v>
      </c>
      <c r="S885" t="s">
        <v>228</v>
      </c>
      <c r="T885" t="s">
        <v>287</v>
      </c>
      <c r="U885">
        <v>2.6002181020431791E-3</v>
      </c>
      <c r="V885" t="s">
        <v>168</v>
      </c>
    </row>
    <row r="886" spans="9:22" x14ac:dyDescent="0.45">
      <c r="I886" t="s">
        <v>185</v>
      </c>
      <c r="J886" t="s">
        <v>288</v>
      </c>
      <c r="K886">
        <v>0</v>
      </c>
      <c r="L886" t="s">
        <v>168</v>
      </c>
      <c r="N886" t="s">
        <v>209</v>
      </c>
      <c r="O886" t="s">
        <v>288</v>
      </c>
      <c r="P886">
        <v>2.1293497085714704E-2</v>
      </c>
      <c r="Q886" t="s">
        <v>168</v>
      </c>
      <c r="S886" t="s">
        <v>228</v>
      </c>
      <c r="T886" t="s">
        <v>288</v>
      </c>
      <c r="U886">
        <v>1.8534947963684347E-2</v>
      </c>
      <c r="V886" t="s">
        <v>168</v>
      </c>
    </row>
    <row r="887" spans="9:22" x14ac:dyDescent="0.45">
      <c r="I887" t="s">
        <v>185</v>
      </c>
      <c r="J887" t="s">
        <v>365</v>
      </c>
      <c r="K887">
        <v>0</v>
      </c>
      <c r="L887" t="s">
        <v>168</v>
      </c>
      <c r="N887" t="s">
        <v>209</v>
      </c>
      <c r="O887" t="s">
        <v>365</v>
      </c>
      <c r="P887">
        <v>0</v>
      </c>
      <c r="Q887" t="s">
        <v>168</v>
      </c>
      <c r="S887" t="s">
        <v>228</v>
      </c>
      <c r="T887" t="s">
        <v>365</v>
      </c>
      <c r="U887">
        <v>5.0754464760209812E-6</v>
      </c>
      <c r="V887" t="s">
        <v>168</v>
      </c>
    </row>
    <row r="888" spans="9:22" x14ac:dyDescent="0.45">
      <c r="I888" t="s">
        <v>185</v>
      </c>
      <c r="J888" t="s">
        <v>366</v>
      </c>
      <c r="K888">
        <v>0</v>
      </c>
      <c r="L888" t="s">
        <v>168</v>
      </c>
      <c r="N888" t="s">
        <v>209</v>
      </c>
      <c r="O888" t="s">
        <v>366</v>
      </c>
      <c r="P888">
        <v>9.8504473594787619E-9</v>
      </c>
      <c r="Q888" t="s">
        <v>168</v>
      </c>
      <c r="S888" t="s">
        <v>228</v>
      </c>
      <c r="T888" t="s">
        <v>366</v>
      </c>
      <c r="U888">
        <v>5.133756025891497E-6</v>
      </c>
      <c r="V888" t="s">
        <v>168</v>
      </c>
    </row>
    <row r="889" spans="9:22" x14ac:dyDescent="0.45">
      <c r="I889" t="s">
        <v>185</v>
      </c>
      <c r="J889" t="s">
        <v>367</v>
      </c>
      <c r="K889">
        <v>0</v>
      </c>
      <c r="L889" t="s">
        <v>168</v>
      </c>
      <c r="N889" t="s">
        <v>209</v>
      </c>
      <c r="O889" t="s">
        <v>367</v>
      </c>
      <c r="P889">
        <v>2.6532505397863668E-8</v>
      </c>
      <c r="Q889" t="s">
        <v>168</v>
      </c>
      <c r="S889" t="s">
        <v>228</v>
      </c>
      <c r="T889" t="s">
        <v>367</v>
      </c>
      <c r="U889">
        <v>8.4524677583266533E-6</v>
      </c>
      <c r="V889" t="s">
        <v>168</v>
      </c>
    </row>
    <row r="890" spans="9:22" x14ac:dyDescent="0.45">
      <c r="I890" t="s">
        <v>185</v>
      </c>
      <c r="J890" t="s">
        <v>368</v>
      </c>
      <c r="K890">
        <v>0</v>
      </c>
      <c r="L890" t="s">
        <v>168</v>
      </c>
      <c r="N890" t="s">
        <v>209</v>
      </c>
      <c r="O890" t="s">
        <v>368</v>
      </c>
      <c r="P890">
        <v>3.1038221159541882E-8</v>
      </c>
      <c r="Q890" t="s">
        <v>168</v>
      </c>
      <c r="S890" t="s">
        <v>228</v>
      </c>
      <c r="T890" t="s">
        <v>368</v>
      </c>
      <c r="U890">
        <v>9.3674134946906312E-6</v>
      </c>
      <c r="V890" t="s">
        <v>168</v>
      </c>
    </row>
    <row r="891" spans="9:22" x14ac:dyDescent="0.45">
      <c r="I891" t="s">
        <v>185</v>
      </c>
      <c r="J891" t="s">
        <v>369</v>
      </c>
      <c r="K891">
        <v>0</v>
      </c>
      <c r="L891" t="s">
        <v>168</v>
      </c>
      <c r="N891" t="s">
        <v>209</v>
      </c>
      <c r="O891" t="s">
        <v>369</v>
      </c>
      <c r="P891">
        <v>5.348135261980157E-8</v>
      </c>
      <c r="Q891" t="s">
        <v>168</v>
      </c>
      <c r="S891" t="s">
        <v>228</v>
      </c>
      <c r="T891" t="s">
        <v>369</v>
      </c>
      <c r="U891">
        <v>8.8542212234146365E-6</v>
      </c>
      <c r="V891" t="s">
        <v>168</v>
      </c>
    </row>
    <row r="892" spans="9:22" x14ac:dyDescent="0.45">
      <c r="I892" t="s">
        <v>185</v>
      </c>
      <c r="J892" t="s">
        <v>370</v>
      </c>
      <c r="K892">
        <v>0</v>
      </c>
      <c r="L892" t="s">
        <v>168</v>
      </c>
      <c r="N892" t="s">
        <v>209</v>
      </c>
      <c r="O892" t="s">
        <v>370</v>
      </c>
      <c r="P892">
        <v>1.7595928059405965E-8</v>
      </c>
      <c r="Q892" t="s">
        <v>168</v>
      </c>
      <c r="S892" t="s">
        <v>228</v>
      </c>
      <c r="T892" t="s">
        <v>370</v>
      </c>
      <c r="U892">
        <v>7.0352821429597349E-6</v>
      </c>
      <c r="V892" t="s">
        <v>168</v>
      </c>
    </row>
    <row r="893" spans="9:22" x14ac:dyDescent="0.45">
      <c r="I893" t="s">
        <v>185</v>
      </c>
      <c r="J893" t="s">
        <v>371</v>
      </c>
      <c r="K893">
        <v>0</v>
      </c>
      <c r="L893" t="s">
        <v>168</v>
      </c>
      <c r="N893" t="s">
        <v>209</v>
      </c>
      <c r="O893" t="s">
        <v>371</v>
      </c>
      <c r="P893">
        <v>1.0628913872225137E-8</v>
      </c>
      <c r="Q893" t="s">
        <v>168</v>
      </c>
      <c r="S893" t="s">
        <v>228</v>
      </c>
      <c r="T893" t="s">
        <v>371</v>
      </c>
      <c r="U893">
        <v>5.9559089491970014E-6</v>
      </c>
      <c r="V893" t="s">
        <v>168</v>
      </c>
    </row>
    <row r="894" spans="9:22" x14ac:dyDescent="0.45">
      <c r="I894" t="s">
        <v>185</v>
      </c>
      <c r="J894" t="s">
        <v>372</v>
      </c>
      <c r="K894">
        <v>0</v>
      </c>
      <c r="L894" t="s">
        <v>168</v>
      </c>
      <c r="N894" t="s">
        <v>209</v>
      </c>
      <c r="O894" t="s">
        <v>372</v>
      </c>
      <c r="P894">
        <v>4.2337968557299016E-8</v>
      </c>
      <c r="Q894" t="s">
        <v>168</v>
      </c>
      <c r="S894" t="s">
        <v>228</v>
      </c>
      <c r="T894" t="s">
        <v>372</v>
      </c>
      <c r="U894">
        <v>4.6919935095082818E-6</v>
      </c>
      <c r="V894" t="s">
        <v>168</v>
      </c>
    </row>
    <row r="895" spans="9:22" x14ac:dyDescent="0.45">
      <c r="I895" t="s">
        <v>185</v>
      </c>
      <c r="J895" t="s">
        <v>373</v>
      </c>
      <c r="K895">
        <v>1.2140101338229013E-4</v>
      </c>
      <c r="L895" t="s">
        <v>168</v>
      </c>
      <c r="N895" t="s">
        <v>209</v>
      </c>
      <c r="O895" t="s">
        <v>373</v>
      </c>
      <c r="P895">
        <v>1.1852863316189343E-7</v>
      </c>
      <c r="Q895" t="s">
        <v>168</v>
      </c>
      <c r="S895" t="s">
        <v>228</v>
      </c>
      <c r="T895" t="s">
        <v>373</v>
      </c>
      <c r="U895">
        <v>3.5837009375900863E-6</v>
      </c>
      <c r="V895" t="s">
        <v>168</v>
      </c>
    </row>
    <row r="896" spans="9:22" x14ac:dyDescent="0.45">
      <c r="I896" t="s">
        <v>185</v>
      </c>
      <c r="J896" t="s">
        <v>374</v>
      </c>
      <c r="K896">
        <v>1.9437779965663201E-4</v>
      </c>
      <c r="L896" t="s">
        <v>168</v>
      </c>
      <c r="N896" t="s">
        <v>209</v>
      </c>
      <c r="O896" t="s">
        <v>374</v>
      </c>
      <c r="P896">
        <v>1.6771586289475102E-7</v>
      </c>
      <c r="Q896" t="s">
        <v>168</v>
      </c>
      <c r="S896" t="s">
        <v>228</v>
      </c>
      <c r="T896" t="s">
        <v>374</v>
      </c>
      <c r="U896">
        <v>1.7276972259754359E-6</v>
      </c>
      <c r="V896" t="s">
        <v>168</v>
      </c>
    </row>
    <row r="897" spans="9:22" x14ac:dyDescent="0.45">
      <c r="I897" t="s">
        <v>185</v>
      </c>
      <c r="J897" t="s">
        <v>375</v>
      </c>
      <c r="K897">
        <v>2.2065275240653259E-4</v>
      </c>
      <c r="L897" t="s">
        <v>168</v>
      </c>
      <c r="N897" t="s">
        <v>209</v>
      </c>
      <c r="O897" t="s">
        <v>375</v>
      </c>
      <c r="P897">
        <v>2.1266893303487894E-7</v>
      </c>
      <c r="Q897" t="s">
        <v>168</v>
      </c>
      <c r="S897" t="s">
        <v>228</v>
      </c>
      <c r="T897" t="s">
        <v>375</v>
      </c>
      <c r="U897">
        <v>1.9381666357090031E-6</v>
      </c>
      <c r="V897" t="s">
        <v>168</v>
      </c>
    </row>
    <row r="898" spans="9:22" x14ac:dyDescent="0.45">
      <c r="I898" t="s">
        <v>185</v>
      </c>
      <c r="J898" t="s">
        <v>376</v>
      </c>
      <c r="K898">
        <v>2.1509387934574297E-4</v>
      </c>
      <c r="L898" t="s">
        <v>168</v>
      </c>
      <c r="N898" t="s">
        <v>209</v>
      </c>
      <c r="O898" t="s">
        <v>376</v>
      </c>
      <c r="P898">
        <v>1.2451500707721555E-7</v>
      </c>
      <c r="Q898" t="s">
        <v>168</v>
      </c>
      <c r="S898" t="s">
        <v>228</v>
      </c>
      <c r="T898" t="s">
        <v>376</v>
      </c>
      <c r="U898">
        <v>0</v>
      </c>
      <c r="V898" t="s">
        <v>168</v>
      </c>
    </row>
    <row r="899" spans="9:22" x14ac:dyDescent="0.45">
      <c r="I899" t="s">
        <v>185</v>
      </c>
      <c r="J899" t="s">
        <v>377</v>
      </c>
      <c r="K899">
        <v>1.7755268272482693E-4</v>
      </c>
      <c r="L899" t="s">
        <v>168</v>
      </c>
      <c r="N899" t="s">
        <v>209</v>
      </c>
      <c r="O899" t="s">
        <v>377</v>
      </c>
      <c r="P899">
        <v>1.4162558391295049E-6</v>
      </c>
      <c r="Q899" t="s">
        <v>168</v>
      </c>
      <c r="S899" t="s">
        <v>228</v>
      </c>
      <c r="T899" t="s">
        <v>377</v>
      </c>
      <c r="U899">
        <v>0</v>
      </c>
      <c r="V899" t="s">
        <v>168</v>
      </c>
    </row>
    <row r="900" spans="9:22" x14ac:dyDescent="0.45">
      <c r="I900" t="s">
        <v>185</v>
      </c>
      <c r="J900" t="s">
        <v>378</v>
      </c>
      <c r="K900">
        <v>2.1580326879524266E-4</v>
      </c>
      <c r="L900" t="s">
        <v>168</v>
      </c>
      <c r="N900" t="s">
        <v>209</v>
      </c>
      <c r="O900" t="s">
        <v>378</v>
      </c>
      <c r="P900">
        <v>4.5720593944631666E-6</v>
      </c>
      <c r="Q900" t="s">
        <v>168</v>
      </c>
      <c r="S900" t="s">
        <v>228</v>
      </c>
      <c r="T900" t="s">
        <v>378</v>
      </c>
      <c r="U900">
        <v>0</v>
      </c>
      <c r="V900" t="s">
        <v>168</v>
      </c>
    </row>
    <row r="901" spans="9:22" x14ac:dyDescent="0.45">
      <c r="I901" t="s">
        <v>185</v>
      </c>
      <c r="J901" t="s">
        <v>379</v>
      </c>
      <c r="K901">
        <v>1.9085494471977142E-4</v>
      </c>
      <c r="L901" t="s">
        <v>168</v>
      </c>
      <c r="N901" t="s">
        <v>209</v>
      </c>
      <c r="O901" t="s">
        <v>379</v>
      </c>
      <c r="P901">
        <v>2.2369511993646312E-6</v>
      </c>
      <c r="Q901" t="s">
        <v>168</v>
      </c>
      <c r="S901" t="s">
        <v>228</v>
      </c>
      <c r="T901" t="s">
        <v>379</v>
      </c>
      <c r="U901">
        <v>0</v>
      </c>
      <c r="V901" t="s">
        <v>168</v>
      </c>
    </row>
    <row r="902" spans="9:22" x14ac:dyDescent="0.45">
      <c r="I902" t="s">
        <v>185</v>
      </c>
      <c r="J902" t="s">
        <v>380</v>
      </c>
      <c r="K902">
        <v>1.2898688775973518E-4</v>
      </c>
      <c r="L902" t="s">
        <v>168</v>
      </c>
      <c r="N902" t="s">
        <v>209</v>
      </c>
      <c r="O902" t="s">
        <v>380</v>
      </c>
      <c r="P902">
        <v>8.559538081032246E-7</v>
      </c>
      <c r="Q902" t="s">
        <v>168</v>
      </c>
      <c r="S902" t="s">
        <v>228</v>
      </c>
      <c r="T902" t="s">
        <v>380</v>
      </c>
      <c r="U902">
        <v>0</v>
      </c>
      <c r="V902" t="s">
        <v>168</v>
      </c>
    </row>
    <row r="903" spans="9:22" x14ac:dyDescent="0.45">
      <c r="I903" t="s">
        <v>185</v>
      </c>
      <c r="J903" t="s">
        <v>381</v>
      </c>
      <c r="K903">
        <v>8.5786288683465433E-5</v>
      </c>
      <c r="L903" t="s">
        <v>168</v>
      </c>
      <c r="N903" t="s">
        <v>209</v>
      </c>
      <c r="O903" t="s">
        <v>381</v>
      </c>
      <c r="P903">
        <v>4.7538477347652413E-7</v>
      </c>
      <c r="Q903" t="s">
        <v>168</v>
      </c>
      <c r="S903" t="s">
        <v>228</v>
      </c>
      <c r="T903" t="s">
        <v>381</v>
      </c>
      <c r="U903">
        <v>0</v>
      </c>
      <c r="V903" t="s">
        <v>168</v>
      </c>
    </row>
    <row r="904" spans="9:22" x14ac:dyDescent="0.45">
      <c r="I904" t="s">
        <v>185</v>
      </c>
      <c r="J904" t="s">
        <v>382</v>
      </c>
      <c r="K904">
        <v>0</v>
      </c>
      <c r="L904" t="s">
        <v>168</v>
      </c>
      <c r="N904" t="s">
        <v>209</v>
      </c>
      <c r="O904" t="s">
        <v>382</v>
      </c>
      <c r="P904">
        <v>1.5016851465838114E-6</v>
      </c>
      <c r="Q904" t="s">
        <v>168</v>
      </c>
      <c r="S904" t="s">
        <v>228</v>
      </c>
      <c r="T904" t="s">
        <v>382</v>
      </c>
      <c r="U904">
        <v>0</v>
      </c>
      <c r="V904" t="s">
        <v>168</v>
      </c>
    </row>
    <row r="905" spans="9:22" x14ac:dyDescent="0.45">
      <c r="I905" t="s">
        <v>185</v>
      </c>
      <c r="J905" t="s">
        <v>383</v>
      </c>
      <c r="K905">
        <v>0</v>
      </c>
      <c r="L905" t="s">
        <v>168</v>
      </c>
      <c r="N905" t="s">
        <v>209</v>
      </c>
      <c r="O905" t="s">
        <v>383</v>
      </c>
      <c r="P905">
        <v>3.6485022717085928E-6</v>
      </c>
      <c r="Q905" t="s">
        <v>168</v>
      </c>
      <c r="S905" t="s">
        <v>228</v>
      </c>
      <c r="T905" t="s">
        <v>383</v>
      </c>
      <c r="U905">
        <v>0</v>
      </c>
      <c r="V905" t="s">
        <v>168</v>
      </c>
    </row>
    <row r="906" spans="9:22" x14ac:dyDescent="0.45">
      <c r="I906" t="s">
        <v>185</v>
      </c>
      <c r="J906" t="s">
        <v>384</v>
      </c>
      <c r="K906">
        <v>0</v>
      </c>
      <c r="L906" t="s">
        <v>168</v>
      </c>
      <c r="N906" t="s">
        <v>209</v>
      </c>
      <c r="O906" t="s">
        <v>384</v>
      </c>
      <c r="P906">
        <v>6.5530248709038777E-6</v>
      </c>
      <c r="Q906" t="s">
        <v>168</v>
      </c>
      <c r="S906" t="s">
        <v>228</v>
      </c>
      <c r="T906" t="s">
        <v>384</v>
      </c>
      <c r="U906">
        <v>2.4722014936813169E-6</v>
      </c>
      <c r="V906" t="s">
        <v>168</v>
      </c>
    </row>
    <row r="907" spans="9:22" x14ac:dyDescent="0.45">
      <c r="I907" t="s">
        <v>185</v>
      </c>
      <c r="J907" t="s">
        <v>385</v>
      </c>
      <c r="K907">
        <v>0</v>
      </c>
      <c r="L907" t="s">
        <v>168</v>
      </c>
      <c r="N907" t="s">
        <v>209</v>
      </c>
      <c r="O907" t="s">
        <v>385</v>
      </c>
      <c r="P907">
        <v>8.8749628984554636E-6</v>
      </c>
      <c r="Q907" t="s">
        <v>168</v>
      </c>
      <c r="S907" t="s">
        <v>228</v>
      </c>
      <c r="T907" t="s">
        <v>385</v>
      </c>
      <c r="U907">
        <v>5.3438465829406286E-6</v>
      </c>
      <c r="V907" t="s">
        <v>168</v>
      </c>
    </row>
    <row r="908" spans="9:22" x14ac:dyDescent="0.45">
      <c r="I908" t="s">
        <v>185</v>
      </c>
      <c r="J908" t="s">
        <v>386</v>
      </c>
      <c r="K908">
        <v>0</v>
      </c>
      <c r="L908" t="s">
        <v>168</v>
      </c>
      <c r="N908" t="s">
        <v>209</v>
      </c>
      <c r="O908" t="s">
        <v>386</v>
      </c>
      <c r="P908">
        <v>1.3464037442110624E-5</v>
      </c>
      <c r="Q908" t="s">
        <v>168</v>
      </c>
      <c r="S908" t="s">
        <v>228</v>
      </c>
      <c r="T908" t="s">
        <v>386</v>
      </c>
      <c r="U908">
        <v>5.9148968029629036E-6</v>
      </c>
      <c r="V908" t="s">
        <v>168</v>
      </c>
    </row>
    <row r="909" spans="9:22" x14ac:dyDescent="0.45">
      <c r="I909" t="s">
        <v>185</v>
      </c>
      <c r="J909" t="s">
        <v>387</v>
      </c>
      <c r="K909">
        <v>0</v>
      </c>
      <c r="L909" t="s">
        <v>168</v>
      </c>
      <c r="N909" t="s">
        <v>209</v>
      </c>
      <c r="O909" t="s">
        <v>387</v>
      </c>
      <c r="P909">
        <v>2.1067127478507016E-5</v>
      </c>
      <c r="Q909" t="s">
        <v>168</v>
      </c>
      <c r="S909" t="s">
        <v>228</v>
      </c>
      <c r="T909" t="s">
        <v>387</v>
      </c>
      <c r="U909">
        <v>4.18908780747847E-6</v>
      </c>
      <c r="V909" t="s">
        <v>168</v>
      </c>
    </row>
    <row r="910" spans="9:22" x14ac:dyDescent="0.45">
      <c r="I910" t="s">
        <v>185</v>
      </c>
      <c r="J910" t="s">
        <v>388</v>
      </c>
      <c r="K910">
        <v>0</v>
      </c>
      <c r="L910" t="s">
        <v>168</v>
      </c>
      <c r="N910" t="s">
        <v>209</v>
      </c>
      <c r="O910" t="s">
        <v>388</v>
      </c>
      <c r="P910">
        <v>2.2890350362749053E-5</v>
      </c>
      <c r="Q910" t="s">
        <v>168</v>
      </c>
      <c r="S910" t="s">
        <v>228</v>
      </c>
      <c r="T910" t="s">
        <v>388</v>
      </c>
      <c r="U910">
        <v>7.6263288579587592E-6</v>
      </c>
      <c r="V910" t="s">
        <v>168</v>
      </c>
    </row>
    <row r="911" spans="9:22" x14ac:dyDescent="0.45">
      <c r="I911" t="s">
        <v>186</v>
      </c>
      <c r="J911" t="s">
        <v>167</v>
      </c>
      <c r="K911">
        <v>1.662831588770556E-3</v>
      </c>
      <c r="L911" t="s">
        <v>168</v>
      </c>
      <c r="N911" t="s">
        <v>210</v>
      </c>
      <c r="O911" t="s">
        <v>167</v>
      </c>
      <c r="P911">
        <v>7.3367383536215705E-2</v>
      </c>
      <c r="Q911" t="s">
        <v>168</v>
      </c>
      <c r="S911" t="s">
        <v>229</v>
      </c>
      <c r="T911" t="s">
        <v>167</v>
      </c>
      <c r="U911">
        <v>6.3584635432578487E-2</v>
      </c>
      <c r="V911" t="s">
        <v>168</v>
      </c>
    </row>
    <row r="912" spans="9:22" x14ac:dyDescent="0.45">
      <c r="I912" t="s">
        <v>186</v>
      </c>
      <c r="J912" t="s">
        <v>169</v>
      </c>
      <c r="K912">
        <v>7.7711697310517422E-3</v>
      </c>
      <c r="L912" t="s">
        <v>168</v>
      </c>
      <c r="N912" t="s">
        <v>210</v>
      </c>
      <c r="O912" t="s">
        <v>169</v>
      </c>
      <c r="P912">
        <v>8.2686160765390801E-3</v>
      </c>
      <c r="Q912" t="s">
        <v>168</v>
      </c>
      <c r="S912" t="s">
        <v>229</v>
      </c>
      <c r="T912" t="s">
        <v>169</v>
      </c>
      <c r="U912">
        <v>8.5200643017049986E-3</v>
      </c>
      <c r="V912" t="s">
        <v>168</v>
      </c>
    </row>
    <row r="913" spans="9:22" x14ac:dyDescent="0.45">
      <c r="I913" t="s">
        <v>186</v>
      </c>
      <c r="J913" t="s">
        <v>170</v>
      </c>
      <c r="K913">
        <v>1.1588426371118926E-2</v>
      </c>
      <c r="L913" t="s">
        <v>168</v>
      </c>
      <c r="N913" t="s">
        <v>210</v>
      </c>
      <c r="O913" t="s">
        <v>170</v>
      </c>
      <c r="P913">
        <v>7.8755091719551178E-3</v>
      </c>
      <c r="Q913" t="s">
        <v>168</v>
      </c>
      <c r="S913" t="s">
        <v>229</v>
      </c>
      <c r="T913" t="s">
        <v>170</v>
      </c>
      <c r="U913">
        <v>8.6422709796574147E-3</v>
      </c>
      <c r="V913" t="s">
        <v>168</v>
      </c>
    </row>
    <row r="914" spans="9:22" x14ac:dyDescent="0.45">
      <c r="I914" t="s">
        <v>186</v>
      </c>
      <c r="J914" t="s">
        <v>256</v>
      </c>
      <c r="K914">
        <v>7.7060634871042588E-2</v>
      </c>
      <c r="L914" t="s">
        <v>168</v>
      </c>
      <c r="N914" t="s">
        <v>210</v>
      </c>
      <c r="O914" t="s">
        <v>256</v>
      </c>
      <c r="P914">
        <v>5.2258987432086547E-2</v>
      </c>
      <c r="Q914" t="s">
        <v>168</v>
      </c>
      <c r="S914" t="s">
        <v>229</v>
      </c>
      <c r="T914" t="s">
        <v>256</v>
      </c>
      <c r="U914">
        <v>5.0944429518397193E-2</v>
      </c>
      <c r="V914" t="s">
        <v>168</v>
      </c>
    </row>
    <row r="915" spans="9:22" x14ac:dyDescent="0.45">
      <c r="I915" t="s">
        <v>186</v>
      </c>
      <c r="J915" t="s">
        <v>257</v>
      </c>
      <c r="K915">
        <v>8.0984788432025799E-3</v>
      </c>
      <c r="L915" t="s">
        <v>168</v>
      </c>
      <c r="N915" t="s">
        <v>210</v>
      </c>
      <c r="O915" t="s">
        <v>257</v>
      </c>
      <c r="P915">
        <v>9.1427852878903509E-3</v>
      </c>
      <c r="Q915" t="s">
        <v>168</v>
      </c>
      <c r="S915" t="s">
        <v>229</v>
      </c>
      <c r="T915" t="s">
        <v>257</v>
      </c>
      <c r="U915">
        <v>8.44654728887753E-3</v>
      </c>
      <c r="V915" t="s">
        <v>168</v>
      </c>
    </row>
    <row r="916" spans="9:22" x14ac:dyDescent="0.45">
      <c r="I916" t="s">
        <v>186</v>
      </c>
      <c r="J916" t="s">
        <v>258</v>
      </c>
      <c r="K916">
        <v>3.0298537727698636E-3</v>
      </c>
      <c r="L916" t="s">
        <v>168</v>
      </c>
      <c r="N916" t="s">
        <v>210</v>
      </c>
      <c r="O916" t="s">
        <v>258</v>
      </c>
      <c r="P916">
        <v>6.8662626830733736E-2</v>
      </c>
      <c r="Q916" t="s">
        <v>168</v>
      </c>
      <c r="S916" t="s">
        <v>229</v>
      </c>
      <c r="T916" t="s">
        <v>258</v>
      </c>
      <c r="U916">
        <v>5.8420744388017323E-2</v>
      </c>
      <c r="V916" t="s">
        <v>168</v>
      </c>
    </row>
    <row r="917" spans="9:22" x14ac:dyDescent="0.45">
      <c r="I917" t="s">
        <v>186</v>
      </c>
      <c r="J917" t="s">
        <v>171</v>
      </c>
      <c r="K917">
        <v>3.9660424987742512E-2</v>
      </c>
      <c r="L917" t="s">
        <v>168</v>
      </c>
      <c r="N917" t="s">
        <v>210</v>
      </c>
      <c r="O917" t="s">
        <v>171</v>
      </c>
      <c r="P917">
        <v>0.12473869310778286</v>
      </c>
      <c r="Q917" t="s">
        <v>168</v>
      </c>
      <c r="S917" t="s">
        <v>229</v>
      </c>
      <c r="T917" t="s">
        <v>171</v>
      </c>
      <c r="U917">
        <v>0.11109461940796689</v>
      </c>
      <c r="V917" t="s">
        <v>168</v>
      </c>
    </row>
    <row r="918" spans="9:22" x14ac:dyDescent="0.45">
      <c r="I918" t="s">
        <v>186</v>
      </c>
      <c r="J918" t="s">
        <v>172</v>
      </c>
      <c r="K918">
        <v>3.0666143372811736E-2</v>
      </c>
      <c r="L918" t="s">
        <v>168</v>
      </c>
      <c r="N918" t="s">
        <v>210</v>
      </c>
      <c r="O918" t="s">
        <v>172</v>
      </c>
      <c r="P918">
        <v>1.3898654523981251E-2</v>
      </c>
      <c r="Q918" t="s">
        <v>168</v>
      </c>
      <c r="S918" t="s">
        <v>229</v>
      </c>
      <c r="T918" t="s">
        <v>172</v>
      </c>
      <c r="U918">
        <v>1.4322385447418956E-2</v>
      </c>
      <c r="V918" t="s">
        <v>168</v>
      </c>
    </row>
    <row r="919" spans="9:22" x14ac:dyDescent="0.45">
      <c r="I919" t="s">
        <v>186</v>
      </c>
      <c r="J919" t="s">
        <v>173</v>
      </c>
      <c r="K919">
        <v>3.5796532265318946E-2</v>
      </c>
      <c r="L919" t="s">
        <v>168</v>
      </c>
      <c r="N919" t="s">
        <v>210</v>
      </c>
      <c r="O919" t="s">
        <v>173</v>
      </c>
      <c r="P919">
        <v>1.4144917973100911E-2</v>
      </c>
      <c r="Q919" t="s">
        <v>168</v>
      </c>
      <c r="S919" t="s">
        <v>229</v>
      </c>
      <c r="T919" t="s">
        <v>173</v>
      </c>
      <c r="U919">
        <v>1.4353779988652594E-2</v>
      </c>
      <c r="V919" t="s">
        <v>168</v>
      </c>
    </row>
    <row r="920" spans="9:22" x14ac:dyDescent="0.45">
      <c r="I920" t="s">
        <v>186</v>
      </c>
      <c r="J920" t="s">
        <v>259</v>
      </c>
      <c r="K920">
        <v>0.23191457041224328</v>
      </c>
      <c r="L920" t="s">
        <v>168</v>
      </c>
      <c r="N920" t="s">
        <v>210</v>
      </c>
      <c r="O920" t="s">
        <v>259</v>
      </c>
      <c r="P920">
        <v>9.2488417917116816E-2</v>
      </c>
      <c r="Q920" t="s">
        <v>168</v>
      </c>
      <c r="S920" t="s">
        <v>229</v>
      </c>
      <c r="T920" t="s">
        <v>259</v>
      </c>
      <c r="U920">
        <v>8.4437484998600154E-2</v>
      </c>
      <c r="V920" t="s">
        <v>168</v>
      </c>
    </row>
    <row r="921" spans="9:22" x14ac:dyDescent="0.45">
      <c r="I921" t="s">
        <v>186</v>
      </c>
      <c r="J921" t="s">
        <v>260</v>
      </c>
      <c r="K921">
        <v>3.0777875237320923E-2</v>
      </c>
      <c r="L921" t="s">
        <v>168</v>
      </c>
      <c r="N921" t="s">
        <v>210</v>
      </c>
      <c r="O921" t="s">
        <v>260</v>
      </c>
      <c r="P921">
        <v>1.6834937837484854E-2</v>
      </c>
      <c r="Q921" t="s">
        <v>168</v>
      </c>
      <c r="S921" t="s">
        <v>229</v>
      </c>
      <c r="T921" t="s">
        <v>260</v>
      </c>
      <c r="U921">
        <v>1.4381886190972764E-2</v>
      </c>
      <c r="V921" t="s">
        <v>168</v>
      </c>
    </row>
    <row r="922" spans="9:22" x14ac:dyDescent="0.45">
      <c r="I922" t="s">
        <v>186</v>
      </c>
      <c r="J922" t="s">
        <v>261</v>
      </c>
      <c r="K922">
        <v>3.719682178261758E-2</v>
      </c>
      <c r="L922" t="s">
        <v>168</v>
      </c>
      <c r="N922" t="s">
        <v>210</v>
      </c>
      <c r="O922" t="s">
        <v>261</v>
      </c>
      <c r="P922">
        <v>0.11063921775714554</v>
      </c>
      <c r="Q922" t="s">
        <v>168</v>
      </c>
      <c r="S922" t="s">
        <v>229</v>
      </c>
      <c r="T922" t="s">
        <v>261</v>
      </c>
      <c r="U922">
        <v>9.8562379301411221E-2</v>
      </c>
      <c r="V922" t="s">
        <v>168</v>
      </c>
    </row>
    <row r="923" spans="9:22" x14ac:dyDescent="0.45">
      <c r="I923" t="s">
        <v>186</v>
      </c>
      <c r="J923" t="s">
        <v>174</v>
      </c>
      <c r="K923">
        <v>1.3665623463445221E-2</v>
      </c>
      <c r="L923" t="s">
        <v>168</v>
      </c>
      <c r="N923" t="s">
        <v>210</v>
      </c>
      <c r="O923" t="s">
        <v>174</v>
      </c>
      <c r="P923">
        <v>2.4475385821478957E-2</v>
      </c>
      <c r="Q923" t="s">
        <v>168</v>
      </c>
      <c r="S923" t="s">
        <v>229</v>
      </c>
      <c r="T923" t="s">
        <v>174</v>
      </c>
      <c r="U923">
        <v>6.9255627615984515E-3</v>
      </c>
      <c r="V923" t="s">
        <v>168</v>
      </c>
    </row>
    <row r="924" spans="9:22" x14ac:dyDescent="0.45">
      <c r="I924" t="s">
        <v>186</v>
      </c>
      <c r="J924" t="s">
        <v>175</v>
      </c>
      <c r="K924">
        <v>9.0434729035872956E-3</v>
      </c>
      <c r="L924" t="s">
        <v>168</v>
      </c>
      <c r="N924" t="s">
        <v>210</v>
      </c>
      <c r="O924" t="s">
        <v>175</v>
      </c>
      <c r="P924">
        <v>2.6176828703812862E-3</v>
      </c>
      <c r="Q924" t="s">
        <v>168</v>
      </c>
      <c r="S924" t="s">
        <v>229</v>
      </c>
      <c r="T924" t="s">
        <v>175</v>
      </c>
      <c r="U924">
        <v>1.2512656069347114E-3</v>
      </c>
      <c r="V924" t="s">
        <v>168</v>
      </c>
    </row>
    <row r="925" spans="9:22" x14ac:dyDescent="0.45">
      <c r="I925" t="s">
        <v>186</v>
      </c>
      <c r="J925" t="s">
        <v>176</v>
      </c>
      <c r="K925">
        <v>1.0205478386312774E-2</v>
      </c>
      <c r="L925" t="s">
        <v>168</v>
      </c>
      <c r="N925" t="s">
        <v>210</v>
      </c>
      <c r="O925" t="s">
        <v>176</v>
      </c>
      <c r="P925">
        <v>2.5123242782375595E-3</v>
      </c>
      <c r="Q925" t="s">
        <v>168</v>
      </c>
      <c r="S925" t="s">
        <v>229</v>
      </c>
      <c r="T925" t="s">
        <v>176</v>
      </c>
      <c r="U925">
        <v>1.416894584274418E-3</v>
      </c>
      <c r="V925" t="s">
        <v>168</v>
      </c>
    </row>
    <row r="926" spans="9:22" x14ac:dyDescent="0.45">
      <c r="I926" t="s">
        <v>186</v>
      </c>
      <c r="J926" t="s">
        <v>262</v>
      </c>
      <c r="K926">
        <v>6.3402324055833001E-2</v>
      </c>
      <c r="L926" t="s">
        <v>168</v>
      </c>
      <c r="N926" t="s">
        <v>210</v>
      </c>
      <c r="O926" t="s">
        <v>262</v>
      </c>
      <c r="P926">
        <v>1.5044586056225353E-2</v>
      </c>
      <c r="Q926" t="s">
        <v>168</v>
      </c>
      <c r="S926" t="s">
        <v>229</v>
      </c>
      <c r="T926" t="s">
        <v>262</v>
      </c>
      <c r="U926">
        <v>6.8393291270729085E-3</v>
      </c>
      <c r="V926" t="s">
        <v>168</v>
      </c>
    </row>
    <row r="927" spans="9:22" x14ac:dyDescent="0.45">
      <c r="I927" t="s">
        <v>186</v>
      </c>
      <c r="J927" t="s">
        <v>263</v>
      </c>
      <c r="K927">
        <v>8.5490624901981265E-3</v>
      </c>
      <c r="L927" t="s">
        <v>168</v>
      </c>
      <c r="N927" t="s">
        <v>210</v>
      </c>
      <c r="O927" t="s">
        <v>263</v>
      </c>
      <c r="P927">
        <v>2.8041842791729507E-3</v>
      </c>
      <c r="Q927" t="s">
        <v>168</v>
      </c>
      <c r="S927" t="s">
        <v>229</v>
      </c>
      <c r="T927" t="s">
        <v>263</v>
      </c>
      <c r="U927">
        <v>8.6241831833769268E-4</v>
      </c>
      <c r="V927" t="s">
        <v>168</v>
      </c>
    </row>
    <row r="928" spans="9:22" x14ac:dyDescent="0.45">
      <c r="I928" t="s">
        <v>186</v>
      </c>
      <c r="J928" t="s">
        <v>264</v>
      </c>
      <c r="K928">
        <v>1.3245036156942067E-2</v>
      </c>
      <c r="L928" t="s">
        <v>168</v>
      </c>
      <c r="N928" t="s">
        <v>210</v>
      </c>
      <c r="O928" t="s">
        <v>264</v>
      </c>
      <c r="P928">
        <v>1.9554686912720026E-2</v>
      </c>
      <c r="Q928" t="s">
        <v>168</v>
      </c>
      <c r="S928" t="s">
        <v>229</v>
      </c>
      <c r="T928" t="s">
        <v>264</v>
      </c>
      <c r="U928">
        <v>5.6548969297075553E-3</v>
      </c>
      <c r="V928" t="s">
        <v>168</v>
      </c>
    </row>
    <row r="929" spans="9:22" x14ac:dyDescent="0.45">
      <c r="I929" t="s">
        <v>186</v>
      </c>
      <c r="J929" t="s">
        <v>265</v>
      </c>
      <c r="K929">
        <v>1.0295529807643431E-2</v>
      </c>
      <c r="L929" t="s">
        <v>168</v>
      </c>
      <c r="N929" t="s">
        <v>210</v>
      </c>
      <c r="O929" t="s">
        <v>265</v>
      </c>
      <c r="P929">
        <v>2.3689401807940665E-2</v>
      </c>
      <c r="Q929" t="s">
        <v>168</v>
      </c>
      <c r="S929" t="s">
        <v>229</v>
      </c>
      <c r="T929" t="s">
        <v>265</v>
      </c>
      <c r="U929">
        <v>1.5631397063667101E-2</v>
      </c>
      <c r="V929" t="s">
        <v>168</v>
      </c>
    </row>
    <row r="930" spans="9:22" x14ac:dyDescent="0.45">
      <c r="I930" t="s">
        <v>186</v>
      </c>
      <c r="J930" t="s">
        <v>266</v>
      </c>
      <c r="K930">
        <v>8.3669311062086141E-3</v>
      </c>
      <c r="L930" t="s">
        <v>168</v>
      </c>
      <c r="N930" t="s">
        <v>210</v>
      </c>
      <c r="O930" t="s">
        <v>266</v>
      </c>
      <c r="P930">
        <v>2.6214021281722203E-3</v>
      </c>
      <c r="Q930" t="s">
        <v>168</v>
      </c>
      <c r="S930" t="s">
        <v>229</v>
      </c>
      <c r="T930" t="s">
        <v>266</v>
      </c>
      <c r="U930">
        <v>2.2067525197821841E-3</v>
      </c>
      <c r="V930" t="s">
        <v>168</v>
      </c>
    </row>
    <row r="931" spans="9:22" x14ac:dyDescent="0.45">
      <c r="I931" t="s">
        <v>186</v>
      </c>
      <c r="J931" t="s">
        <v>267</v>
      </c>
      <c r="K931">
        <v>9.6260490587626833E-3</v>
      </c>
      <c r="L931" t="s">
        <v>168</v>
      </c>
      <c r="N931" t="s">
        <v>210</v>
      </c>
      <c r="O931" t="s">
        <v>267</v>
      </c>
      <c r="P931">
        <v>2.4586436610552474E-3</v>
      </c>
      <c r="Q931" t="s">
        <v>168</v>
      </c>
      <c r="S931" t="s">
        <v>229</v>
      </c>
      <c r="T931" t="s">
        <v>267</v>
      </c>
      <c r="U931">
        <v>2.123938104186809E-3</v>
      </c>
      <c r="V931" t="s">
        <v>168</v>
      </c>
    </row>
    <row r="932" spans="9:22" x14ac:dyDescent="0.45">
      <c r="I932" t="s">
        <v>186</v>
      </c>
      <c r="J932" t="s">
        <v>268</v>
      </c>
      <c r="K932">
        <v>6.1080704444429333E-2</v>
      </c>
      <c r="L932" t="s">
        <v>168</v>
      </c>
      <c r="N932" t="s">
        <v>210</v>
      </c>
      <c r="O932" t="s">
        <v>268</v>
      </c>
      <c r="P932">
        <v>1.3238050525104678E-2</v>
      </c>
      <c r="Q932" t="s">
        <v>168</v>
      </c>
      <c r="S932" t="s">
        <v>229</v>
      </c>
      <c r="T932" t="s">
        <v>268</v>
      </c>
      <c r="U932">
        <v>8.9838213910562858E-3</v>
      </c>
      <c r="V932" t="s">
        <v>168</v>
      </c>
    </row>
    <row r="933" spans="9:22" x14ac:dyDescent="0.45">
      <c r="I933" t="s">
        <v>186</v>
      </c>
      <c r="J933" t="s">
        <v>269</v>
      </c>
      <c r="K933">
        <v>8.317563456934669E-3</v>
      </c>
      <c r="L933" t="s">
        <v>168</v>
      </c>
      <c r="N933" t="s">
        <v>210</v>
      </c>
      <c r="O933" t="s">
        <v>269</v>
      </c>
      <c r="P933">
        <v>2.4239963886117382E-3</v>
      </c>
      <c r="Q933" t="s">
        <v>168</v>
      </c>
      <c r="S933" t="s">
        <v>229</v>
      </c>
      <c r="T933" t="s">
        <v>269</v>
      </c>
      <c r="U933">
        <v>1.0170177307753001E-3</v>
      </c>
      <c r="V933" t="s">
        <v>168</v>
      </c>
    </row>
    <row r="934" spans="9:22" x14ac:dyDescent="0.45">
      <c r="I934" t="s">
        <v>186</v>
      </c>
      <c r="J934" t="s">
        <v>270</v>
      </c>
      <c r="K934">
        <v>1.0192182026384711E-2</v>
      </c>
      <c r="L934" t="s">
        <v>168</v>
      </c>
      <c r="N934" t="s">
        <v>210</v>
      </c>
      <c r="O934" t="s">
        <v>270</v>
      </c>
      <c r="P934">
        <v>1.4512886103533061E-2</v>
      </c>
      <c r="Q934" t="s">
        <v>168</v>
      </c>
      <c r="S934" t="s">
        <v>229</v>
      </c>
      <c r="T934" t="s">
        <v>270</v>
      </c>
      <c r="U934">
        <v>8.0143226414597334E-3</v>
      </c>
      <c r="V934" t="s">
        <v>168</v>
      </c>
    </row>
    <row r="935" spans="9:22" x14ac:dyDescent="0.45">
      <c r="I935" t="s">
        <v>186</v>
      </c>
      <c r="J935" t="s">
        <v>271</v>
      </c>
      <c r="K935">
        <v>6.8030444533116637E-3</v>
      </c>
      <c r="L935" t="s">
        <v>168</v>
      </c>
      <c r="N935" t="s">
        <v>210</v>
      </c>
      <c r="O935" t="s">
        <v>271</v>
      </c>
      <c r="P935">
        <v>1.7880401862247038E-2</v>
      </c>
      <c r="Q935" t="s">
        <v>168</v>
      </c>
      <c r="S935" t="s">
        <v>229</v>
      </c>
      <c r="T935" t="s">
        <v>271</v>
      </c>
      <c r="U935">
        <v>1.0540894077969262E-2</v>
      </c>
      <c r="V935" t="s">
        <v>168</v>
      </c>
    </row>
    <row r="936" spans="9:22" x14ac:dyDescent="0.45">
      <c r="I936" t="s">
        <v>186</v>
      </c>
      <c r="J936" t="s">
        <v>272</v>
      </c>
      <c r="K936">
        <v>6.691345263722677E-3</v>
      </c>
      <c r="L936" t="s">
        <v>168</v>
      </c>
      <c r="N936" t="s">
        <v>210</v>
      </c>
      <c r="O936" t="s">
        <v>272</v>
      </c>
      <c r="P936">
        <v>1.9861295948946723E-3</v>
      </c>
      <c r="Q936" t="s">
        <v>168</v>
      </c>
      <c r="S936" t="s">
        <v>229</v>
      </c>
      <c r="T936" t="s">
        <v>272</v>
      </c>
      <c r="U936">
        <v>1.1473373244669371E-3</v>
      </c>
      <c r="V936" t="s">
        <v>168</v>
      </c>
    </row>
    <row r="937" spans="9:22" x14ac:dyDescent="0.45">
      <c r="I937" t="s">
        <v>186</v>
      </c>
      <c r="J937" t="s">
        <v>273</v>
      </c>
      <c r="K937">
        <v>8.0870450570947067E-3</v>
      </c>
      <c r="L937" t="s">
        <v>168</v>
      </c>
      <c r="N937" t="s">
        <v>210</v>
      </c>
      <c r="O937" t="s">
        <v>273</v>
      </c>
      <c r="P937">
        <v>2.0056453361688999E-3</v>
      </c>
      <c r="Q937" t="s">
        <v>168</v>
      </c>
      <c r="S937" t="s">
        <v>229</v>
      </c>
      <c r="T937" t="s">
        <v>273</v>
      </c>
      <c r="U937">
        <v>1.1285273538339208E-3</v>
      </c>
      <c r="V937" t="s">
        <v>168</v>
      </c>
    </row>
    <row r="938" spans="9:22" x14ac:dyDescent="0.45">
      <c r="I938" t="s">
        <v>186</v>
      </c>
      <c r="J938" t="s">
        <v>274</v>
      </c>
      <c r="K938">
        <v>4.9779515252969406E-2</v>
      </c>
      <c r="L938" t="s">
        <v>168</v>
      </c>
      <c r="N938" t="s">
        <v>210</v>
      </c>
      <c r="O938" t="s">
        <v>274</v>
      </c>
      <c r="P938">
        <v>1.2427686559330249E-2</v>
      </c>
      <c r="Q938" t="s">
        <v>168</v>
      </c>
      <c r="S938" t="s">
        <v>229</v>
      </c>
      <c r="T938" t="s">
        <v>274</v>
      </c>
      <c r="U938">
        <v>6.9330945852119109E-3</v>
      </c>
      <c r="V938" t="s">
        <v>168</v>
      </c>
    </row>
    <row r="939" spans="9:22" x14ac:dyDescent="0.45">
      <c r="I939" t="s">
        <v>186</v>
      </c>
      <c r="J939" t="s">
        <v>275</v>
      </c>
      <c r="K939">
        <v>6.0817856441485046E-3</v>
      </c>
      <c r="L939" t="s">
        <v>168</v>
      </c>
      <c r="N939" t="s">
        <v>210</v>
      </c>
      <c r="O939" t="s">
        <v>275</v>
      </c>
      <c r="P939">
        <v>2.4504528690119111E-3</v>
      </c>
      <c r="Q939" t="s">
        <v>168</v>
      </c>
      <c r="S939" t="s">
        <v>229</v>
      </c>
      <c r="T939" t="s">
        <v>275</v>
      </c>
      <c r="U939">
        <v>1.6144131651165434E-3</v>
      </c>
      <c r="V939" t="s">
        <v>168</v>
      </c>
    </row>
    <row r="940" spans="9:22" x14ac:dyDescent="0.45">
      <c r="I940" t="s">
        <v>186</v>
      </c>
      <c r="J940" t="s">
        <v>276</v>
      </c>
      <c r="K940">
        <v>4.6102626195233766E-3</v>
      </c>
      <c r="L940" t="s">
        <v>168</v>
      </c>
      <c r="N940" t="s">
        <v>210</v>
      </c>
      <c r="O940" t="s">
        <v>276</v>
      </c>
      <c r="P940">
        <v>1.4806074515584876E-2</v>
      </c>
      <c r="Q940" t="s">
        <v>168</v>
      </c>
      <c r="S940" t="s">
        <v>229</v>
      </c>
      <c r="T940" t="s">
        <v>276</v>
      </c>
      <c r="U940">
        <v>1.0847585571853582E-2</v>
      </c>
      <c r="V940" t="s">
        <v>168</v>
      </c>
    </row>
    <row r="941" spans="9:22" x14ac:dyDescent="0.45">
      <c r="I941" t="s">
        <v>186</v>
      </c>
      <c r="J941" t="s">
        <v>341</v>
      </c>
      <c r="K941">
        <v>0</v>
      </c>
      <c r="L941" t="s">
        <v>168</v>
      </c>
      <c r="N941" t="s">
        <v>210</v>
      </c>
      <c r="O941" t="s">
        <v>341</v>
      </c>
      <c r="P941">
        <v>6.3622231646395366E-6</v>
      </c>
      <c r="Q941" t="s">
        <v>168</v>
      </c>
      <c r="S941" t="s">
        <v>229</v>
      </c>
      <c r="T941" t="s">
        <v>341</v>
      </c>
      <c r="U941">
        <v>4.9611854020959626E-5</v>
      </c>
      <c r="V941" t="s">
        <v>168</v>
      </c>
    </row>
    <row r="942" spans="9:22" x14ac:dyDescent="0.45">
      <c r="I942" t="s">
        <v>186</v>
      </c>
      <c r="J942" t="s">
        <v>342</v>
      </c>
      <c r="K942">
        <v>0</v>
      </c>
      <c r="L942" t="s">
        <v>168</v>
      </c>
      <c r="N942" t="s">
        <v>210</v>
      </c>
      <c r="O942" t="s">
        <v>342</v>
      </c>
      <c r="P942">
        <v>7.0072442400463988E-6</v>
      </c>
      <c r="Q942" t="s">
        <v>168</v>
      </c>
      <c r="S942" t="s">
        <v>229</v>
      </c>
      <c r="T942" t="s">
        <v>342</v>
      </c>
      <c r="U942">
        <v>4.3549981944273213E-5</v>
      </c>
      <c r="V942" t="s">
        <v>168</v>
      </c>
    </row>
    <row r="943" spans="9:22" x14ac:dyDescent="0.45">
      <c r="I943" t="s">
        <v>186</v>
      </c>
      <c r="J943" t="s">
        <v>343</v>
      </c>
      <c r="K943">
        <v>0</v>
      </c>
      <c r="L943" t="s">
        <v>168</v>
      </c>
      <c r="N943" t="s">
        <v>210</v>
      </c>
      <c r="O943" t="s">
        <v>343</v>
      </c>
      <c r="P943">
        <v>6.6599210761955301E-6</v>
      </c>
      <c r="Q943" t="s">
        <v>168</v>
      </c>
      <c r="S943" t="s">
        <v>229</v>
      </c>
      <c r="T943" t="s">
        <v>343</v>
      </c>
      <c r="U943">
        <v>3.766227082905688E-5</v>
      </c>
      <c r="V943" t="s">
        <v>168</v>
      </c>
    </row>
    <row r="944" spans="9:22" x14ac:dyDescent="0.45">
      <c r="I944" t="s">
        <v>186</v>
      </c>
      <c r="J944" t="s">
        <v>344</v>
      </c>
      <c r="K944">
        <v>0</v>
      </c>
      <c r="L944" t="s">
        <v>168</v>
      </c>
      <c r="N944" t="s">
        <v>210</v>
      </c>
      <c r="O944" t="s">
        <v>344</v>
      </c>
      <c r="P944">
        <v>5.8653155384374042E-6</v>
      </c>
      <c r="Q944" t="s">
        <v>168</v>
      </c>
      <c r="S944" t="s">
        <v>229</v>
      </c>
      <c r="T944" t="s">
        <v>344</v>
      </c>
      <c r="U944">
        <v>4.1574432553112942E-5</v>
      </c>
      <c r="V944" t="s">
        <v>168</v>
      </c>
    </row>
    <row r="945" spans="9:22" x14ac:dyDescent="0.45">
      <c r="I945" t="s">
        <v>186</v>
      </c>
      <c r="J945" t="s">
        <v>345</v>
      </c>
      <c r="K945">
        <v>0</v>
      </c>
      <c r="L945" t="s">
        <v>168</v>
      </c>
      <c r="N945" t="s">
        <v>210</v>
      </c>
      <c r="O945" t="s">
        <v>345</v>
      </c>
      <c r="P945">
        <v>5.8194911226283491E-6</v>
      </c>
      <c r="Q945" t="s">
        <v>168</v>
      </c>
      <c r="S945" t="s">
        <v>229</v>
      </c>
      <c r="T945" t="s">
        <v>345</v>
      </c>
      <c r="U945">
        <v>4.5944730713012504E-5</v>
      </c>
      <c r="V945" t="s">
        <v>168</v>
      </c>
    </row>
    <row r="946" spans="9:22" x14ac:dyDescent="0.45">
      <c r="I946" t="s">
        <v>186</v>
      </c>
      <c r="J946" t="s">
        <v>346</v>
      </c>
      <c r="K946">
        <v>0</v>
      </c>
      <c r="L946" t="s">
        <v>168</v>
      </c>
      <c r="N946" t="s">
        <v>210</v>
      </c>
      <c r="O946" t="s">
        <v>346</v>
      </c>
      <c r="P946">
        <v>6.0726696626492683E-6</v>
      </c>
      <c r="Q946" t="s">
        <v>168</v>
      </c>
      <c r="S946" t="s">
        <v>229</v>
      </c>
      <c r="T946" t="s">
        <v>346</v>
      </c>
      <c r="U946">
        <v>5.1395495404107655E-5</v>
      </c>
      <c r="V946" t="s">
        <v>168</v>
      </c>
    </row>
    <row r="947" spans="9:22" x14ac:dyDescent="0.45">
      <c r="I947" t="s">
        <v>186</v>
      </c>
      <c r="J947" t="s">
        <v>347</v>
      </c>
      <c r="K947">
        <v>1.0277060133986186E-4</v>
      </c>
      <c r="L947" t="s">
        <v>168</v>
      </c>
      <c r="N947" t="s">
        <v>210</v>
      </c>
      <c r="O947" t="s">
        <v>347</v>
      </c>
      <c r="P947">
        <v>6.5942582232270932E-6</v>
      </c>
      <c r="Q947" t="s">
        <v>168</v>
      </c>
      <c r="S947" t="s">
        <v>229</v>
      </c>
      <c r="T947" t="s">
        <v>347</v>
      </c>
      <c r="U947">
        <v>5.7120835722531131E-5</v>
      </c>
      <c r="V947" t="s">
        <v>168</v>
      </c>
    </row>
    <row r="948" spans="9:22" x14ac:dyDescent="0.45">
      <c r="I948" t="s">
        <v>186</v>
      </c>
      <c r="J948" t="s">
        <v>348</v>
      </c>
      <c r="K948">
        <v>1.6682026422623126E-4</v>
      </c>
      <c r="L948" t="s">
        <v>168</v>
      </c>
      <c r="N948" t="s">
        <v>210</v>
      </c>
      <c r="O948" t="s">
        <v>348</v>
      </c>
      <c r="P948">
        <v>7.505947804807417E-6</v>
      </c>
      <c r="Q948" t="s">
        <v>168</v>
      </c>
      <c r="S948" t="s">
        <v>229</v>
      </c>
      <c r="T948" t="s">
        <v>348</v>
      </c>
      <c r="U948">
        <v>6.167326775619973E-5</v>
      </c>
      <c r="V948" t="s">
        <v>168</v>
      </c>
    </row>
    <row r="949" spans="9:22" x14ac:dyDescent="0.45">
      <c r="I949" t="s">
        <v>186</v>
      </c>
      <c r="J949" t="s">
        <v>349</v>
      </c>
      <c r="K949">
        <v>2.6121335220782209E-4</v>
      </c>
      <c r="L949" t="s">
        <v>168</v>
      </c>
      <c r="N949" t="s">
        <v>210</v>
      </c>
      <c r="O949" t="s">
        <v>349</v>
      </c>
      <c r="P949">
        <v>5.528778319381613E-6</v>
      </c>
      <c r="Q949" t="s">
        <v>168</v>
      </c>
      <c r="S949" t="s">
        <v>229</v>
      </c>
      <c r="T949" t="s">
        <v>349</v>
      </c>
      <c r="U949">
        <v>6.6281830689265378E-5</v>
      </c>
      <c r="V949" t="s">
        <v>168</v>
      </c>
    </row>
    <row r="950" spans="9:22" x14ac:dyDescent="0.45">
      <c r="I950" t="s">
        <v>186</v>
      </c>
      <c r="J950" t="s">
        <v>350</v>
      </c>
      <c r="K950">
        <v>3.1476258682741918E-4</v>
      </c>
      <c r="L950" t="s">
        <v>168</v>
      </c>
      <c r="N950" t="s">
        <v>210</v>
      </c>
      <c r="O950" t="s">
        <v>350</v>
      </c>
      <c r="P950">
        <v>3.6971823458336034E-6</v>
      </c>
      <c r="Q950" t="s">
        <v>168</v>
      </c>
      <c r="S950" t="s">
        <v>229</v>
      </c>
      <c r="T950" t="s">
        <v>350</v>
      </c>
      <c r="U950">
        <v>6.7263420955217864E-5</v>
      </c>
      <c r="V950" t="s">
        <v>168</v>
      </c>
    </row>
    <row r="951" spans="9:22" x14ac:dyDescent="0.45">
      <c r="I951" t="s">
        <v>186</v>
      </c>
      <c r="J951" t="s">
        <v>351</v>
      </c>
      <c r="K951">
        <v>3.2817958878684068E-4</v>
      </c>
      <c r="L951" t="s">
        <v>168</v>
      </c>
      <c r="N951" t="s">
        <v>210</v>
      </c>
      <c r="O951" t="s">
        <v>351</v>
      </c>
      <c r="P951">
        <v>5.7236200783188426E-6</v>
      </c>
      <c r="Q951" t="s">
        <v>168</v>
      </c>
      <c r="S951" t="s">
        <v>229</v>
      </c>
      <c r="T951" t="s">
        <v>351</v>
      </c>
      <c r="U951">
        <v>4.0633466237563099E-5</v>
      </c>
      <c r="V951" t="s">
        <v>168</v>
      </c>
    </row>
    <row r="952" spans="9:22" x14ac:dyDescent="0.45">
      <c r="I952" t="s">
        <v>186</v>
      </c>
      <c r="J952" t="s">
        <v>352</v>
      </c>
      <c r="K952">
        <v>3.2284186951572405E-4</v>
      </c>
      <c r="L952" t="s">
        <v>168</v>
      </c>
      <c r="N952" t="s">
        <v>210</v>
      </c>
      <c r="O952" t="s">
        <v>352</v>
      </c>
      <c r="P952">
        <v>9.2315351694653621E-6</v>
      </c>
      <c r="Q952" t="s">
        <v>168</v>
      </c>
      <c r="S952" t="s">
        <v>229</v>
      </c>
      <c r="T952" t="s">
        <v>352</v>
      </c>
      <c r="U952">
        <v>5.1840106674649147E-5</v>
      </c>
      <c r="V952" t="s">
        <v>168</v>
      </c>
    </row>
    <row r="953" spans="9:22" x14ac:dyDescent="0.45">
      <c r="I953" t="s">
        <v>186</v>
      </c>
      <c r="J953" t="s">
        <v>353</v>
      </c>
      <c r="K953">
        <v>3.0442315594935603E-4</v>
      </c>
      <c r="L953" t="s">
        <v>168</v>
      </c>
      <c r="N953" t="s">
        <v>210</v>
      </c>
      <c r="O953" t="s">
        <v>353</v>
      </c>
      <c r="P953">
        <v>2.2187993053201322E-5</v>
      </c>
      <c r="Q953" t="s">
        <v>168</v>
      </c>
      <c r="S953" t="s">
        <v>229</v>
      </c>
      <c r="T953" t="s">
        <v>353</v>
      </c>
      <c r="U953">
        <v>5.8206782406554975E-5</v>
      </c>
      <c r="V953" t="s">
        <v>168</v>
      </c>
    </row>
    <row r="954" spans="9:22" x14ac:dyDescent="0.45">
      <c r="I954" t="s">
        <v>186</v>
      </c>
      <c r="J954" t="s">
        <v>354</v>
      </c>
      <c r="K954">
        <v>3.2046503601879887E-4</v>
      </c>
      <c r="L954" t="s">
        <v>168</v>
      </c>
      <c r="N954" t="s">
        <v>210</v>
      </c>
      <c r="O954" t="s">
        <v>354</v>
      </c>
      <c r="P954">
        <v>3.6239078068490525E-5</v>
      </c>
      <c r="Q954" t="s">
        <v>168</v>
      </c>
      <c r="S954" t="s">
        <v>229</v>
      </c>
      <c r="T954" t="s">
        <v>354</v>
      </c>
      <c r="U954">
        <v>6.2679408914390237E-5</v>
      </c>
      <c r="V954" t="s">
        <v>168</v>
      </c>
    </row>
    <row r="955" spans="9:22" x14ac:dyDescent="0.45">
      <c r="I955" t="s">
        <v>186</v>
      </c>
      <c r="J955" t="s">
        <v>355</v>
      </c>
      <c r="K955">
        <v>3.0673213794528794E-4</v>
      </c>
      <c r="L955" t="s">
        <v>168</v>
      </c>
      <c r="N955" t="s">
        <v>210</v>
      </c>
      <c r="O955" t="s">
        <v>355</v>
      </c>
      <c r="P955">
        <v>6.0741426429132484E-5</v>
      </c>
      <c r="Q955" t="s">
        <v>168</v>
      </c>
      <c r="S955" t="s">
        <v>229</v>
      </c>
      <c r="T955" t="s">
        <v>355</v>
      </c>
      <c r="U955">
        <v>6.5257941108058103E-5</v>
      </c>
      <c r="V955" t="s">
        <v>168</v>
      </c>
    </row>
    <row r="956" spans="9:22" x14ac:dyDescent="0.45">
      <c r="I956" t="s">
        <v>186</v>
      </c>
      <c r="J956" t="s">
        <v>356</v>
      </c>
      <c r="K956">
        <v>2.7698856803608815E-4</v>
      </c>
      <c r="L956" t="s">
        <v>168</v>
      </c>
      <c r="N956" t="s">
        <v>210</v>
      </c>
      <c r="O956" t="s">
        <v>356</v>
      </c>
      <c r="P956">
        <v>8.8755443080561268E-5</v>
      </c>
      <c r="Q956" t="s">
        <v>168</v>
      </c>
      <c r="S956" t="s">
        <v>229</v>
      </c>
      <c r="T956" t="s">
        <v>356</v>
      </c>
      <c r="U956">
        <v>5.9630635373498406E-5</v>
      </c>
      <c r="V956" t="s">
        <v>168</v>
      </c>
    </row>
    <row r="957" spans="9:22" x14ac:dyDescent="0.45">
      <c r="I957" t="s">
        <v>186</v>
      </c>
      <c r="J957" t="s">
        <v>357</v>
      </c>
      <c r="K957">
        <v>2.3962371753601103E-4</v>
      </c>
      <c r="L957" t="s">
        <v>168</v>
      </c>
      <c r="N957" t="s">
        <v>210</v>
      </c>
      <c r="O957" t="s">
        <v>357</v>
      </c>
      <c r="P957">
        <v>1.1243761593823689E-4</v>
      </c>
      <c r="Q957" t="s">
        <v>168</v>
      </c>
      <c r="S957" t="s">
        <v>229</v>
      </c>
      <c r="T957" t="s">
        <v>357</v>
      </c>
      <c r="U957">
        <v>5.0759819564647985E-5</v>
      </c>
      <c r="V957" t="s">
        <v>168</v>
      </c>
    </row>
    <row r="958" spans="9:22" x14ac:dyDescent="0.45">
      <c r="I958" t="s">
        <v>186</v>
      </c>
      <c r="J958" t="s">
        <v>358</v>
      </c>
      <c r="K958">
        <v>1.3911980119761964E-4</v>
      </c>
      <c r="L958" t="s">
        <v>168</v>
      </c>
      <c r="N958" t="s">
        <v>210</v>
      </c>
      <c r="O958" t="s">
        <v>358</v>
      </c>
      <c r="P958">
        <v>1.1914521187973477E-4</v>
      </c>
      <c r="Q958" t="s">
        <v>168</v>
      </c>
      <c r="S958" t="s">
        <v>229</v>
      </c>
      <c r="T958" t="s">
        <v>358</v>
      </c>
      <c r="U958">
        <v>4.1264245657000313E-5</v>
      </c>
      <c r="V958" t="s">
        <v>168</v>
      </c>
    </row>
    <row r="959" spans="9:22" x14ac:dyDescent="0.45">
      <c r="I959" t="s">
        <v>186</v>
      </c>
      <c r="J959" t="s">
        <v>359</v>
      </c>
      <c r="K959">
        <v>0</v>
      </c>
      <c r="L959" t="s">
        <v>168</v>
      </c>
      <c r="N959" t="s">
        <v>210</v>
      </c>
      <c r="O959" t="s">
        <v>359</v>
      </c>
      <c r="P959">
        <v>1.1357589781843832E-4</v>
      </c>
      <c r="Q959" t="s">
        <v>168</v>
      </c>
      <c r="S959" t="s">
        <v>229</v>
      </c>
      <c r="T959" t="s">
        <v>359</v>
      </c>
      <c r="U959">
        <v>3.6943979263677372E-5</v>
      </c>
      <c r="V959" t="s">
        <v>168</v>
      </c>
    </row>
    <row r="960" spans="9:22" x14ac:dyDescent="0.45">
      <c r="I960" t="s">
        <v>186</v>
      </c>
      <c r="J960" t="s">
        <v>360</v>
      </c>
      <c r="K960">
        <v>0</v>
      </c>
      <c r="L960" t="s">
        <v>168</v>
      </c>
      <c r="N960" t="s">
        <v>210</v>
      </c>
      <c r="O960" t="s">
        <v>360</v>
      </c>
      <c r="P960">
        <v>9.8042726079021405E-5</v>
      </c>
      <c r="Q960" t="s">
        <v>168</v>
      </c>
      <c r="S960" t="s">
        <v>229</v>
      </c>
      <c r="T960" t="s">
        <v>360</v>
      </c>
      <c r="U960">
        <v>3.3598130777481135E-5</v>
      </c>
      <c r="V960" t="s">
        <v>168</v>
      </c>
    </row>
    <row r="961" spans="9:22" x14ac:dyDescent="0.45">
      <c r="I961" t="s">
        <v>186</v>
      </c>
      <c r="J961" t="s">
        <v>361</v>
      </c>
      <c r="K961">
        <v>0</v>
      </c>
      <c r="L961" t="s">
        <v>168</v>
      </c>
      <c r="N961" t="s">
        <v>210</v>
      </c>
      <c r="O961" t="s">
        <v>361</v>
      </c>
      <c r="P961">
        <v>8.5314893826156742E-5</v>
      </c>
      <c r="Q961" t="s">
        <v>168</v>
      </c>
      <c r="S961" t="s">
        <v>229</v>
      </c>
      <c r="T961" t="s">
        <v>361</v>
      </c>
      <c r="U961">
        <v>3.4710016888548528E-5</v>
      </c>
      <c r="V961" t="s">
        <v>168</v>
      </c>
    </row>
    <row r="962" spans="9:22" x14ac:dyDescent="0.45">
      <c r="I962" t="s">
        <v>186</v>
      </c>
      <c r="J962" t="s">
        <v>362</v>
      </c>
      <c r="K962">
        <v>0</v>
      </c>
      <c r="L962" t="s">
        <v>168</v>
      </c>
      <c r="N962" t="s">
        <v>210</v>
      </c>
      <c r="O962" t="s">
        <v>362</v>
      </c>
      <c r="P962">
        <v>7.877271535119947E-5</v>
      </c>
      <c r="Q962" t="s">
        <v>168</v>
      </c>
      <c r="S962" t="s">
        <v>229</v>
      </c>
      <c r="T962" t="s">
        <v>362</v>
      </c>
      <c r="U962">
        <v>3.3851711776130865E-5</v>
      </c>
      <c r="V962" t="s">
        <v>168</v>
      </c>
    </row>
    <row r="963" spans="9:22" x14ac:dyDescent="0.45">
      <c r="I963" t="s">
        <v>186</v>
      </c>
      <c r="J963" t="s">
        <v>363</v>
      </c>
      <c r="K963">
        <v>0</v>
      </c>
      <c r="L963" t="s">
        <v>168</v>
      </c>
      <c r="N963" t="s">
        <v>210</v>
      </c>
      <c r="O963" t="s">
        <v>363</v>
      </c>
      <c r="P963">
        <v>7.6541746805647797E-5</v>
      </c>
      <c r="Q963" t="s">
        <v>168</v>
      </c>
      <c r="S963" t="s">
        <v>229</v>
      </c>
      <c r="T963" t="s">
        <v>363</v>
      </c>
      <c r="U963">
        <v>3.4520293887479072E-5</v>
      </c>
      <c r="V963" t="s">
        <v>168</v>
      </c>
    </row>
    <row r="964" spans="9:22" x14ac:dyDescent="0.45">
      <c r="I964" t="s">
        <v>186</v>
      </c>
      <c r="J964" t="s">
        <v>364</v>
      </c>
      <c r="K964">
        <v>0</v>
      </c>
      <c r="L964" t="s">
        <v>168</v>
      </c>
      <c r="N964" t="s">
        <v>210</v>
      </c>
      <c r="O964" t="s">
        <v>364</v>
      </c>
      <c r="P964">
        <v>9.294616334659256E-5</v>
      </c>
      <c r="Q964" t="s">
        <v>168</v>
      </c>
      <c r="S964" t="s">
        <v>229</v>
      </c>
      <c r="T964" t="s">
        <v>364</v>
      </c>
      <c r="U964">
        <v>4.369758100533639E-5</v>
      </c>
      <c r="V964" t="s">
        <v>168</v>
      </c>
    </row>
    <row r="965" spans="9:22" x14ac:dyDescent="0.45">
      <c r="I965" t="s">
        <v>186</v>
      </c>
      <c r="J965" t="s">
        <v>277</v>
      </c>
      <c r="K965">
        <v>6.292085520873709E-3</v>
      </c>
      <c r="L965" t="s">
        <v>168</v>
      </c>
      <c r="N965" t="s">
        <v>210</v>
      </c>
      <c r="O965" t="s">
        <v>277</v>
      </c>
      <c r="P965">
        <v>5.0904455520569124E-2</v>
      </c>
      <c r="Q965" t="s">
        <v>168</v>
      </c>
      <c r="S965" t="s">
        <v>229</v>
      </c>
      <c r="T965" t="s">
        <v>277</v>
      </c>
      <c r="U965">
        <v>9.1850153379575777E-2</v>
      </c>
      <c r="V965" t="s">
        <v>168</v>
      </c>
    </row>
    <row r="966" spans="9:22" x14ac:dyDescent="0.45">
      <c r="I966" t="s">
        <v>186</v>
      </c>
      <c r="J966" t="s">
        <v>278</v>
      </c>
      <c r="K966">
        <v>1.1159161044036525E-2</v>
      </c>
      <c r="L966" t="s">
        <v>168</v>
      </c>
      <c r="N966" t="s">
        <v>210</v>
      </c>
      <c r="O966" t="s">
        <v>278</v>
      </c>
      <c r="P966">
        <v>6.2777946445762203E-3</v>
      </c>
      <c r="Q966" t="s">
        <v>168</v>
      </c>
      <c r="S966" t="s">
        <v>229</v>
      </c>
      <c r="T966" t="s">
        <v>278</v>
      </c>
      <c r="U966">
        <v>1.1322529334459029E-2</v>
      </c>
      <c r="V966" t="s">
        <v>168</v>
      </c>
    </row>
    <row r="967" spans="9:22" x14ac:dyDescent="0.45">
      <c r="I967" t="s">
        <v>186</v>
      </c>
      <c r="J967" t="s">
        <v>279</v>
      </c>
      <c r="K967">
        <v>1.4512667449383376E-2</v>
      </c>
      <c r="L967" t="s">
        <v>168</v>
      </c>
      <c r="N967" t="s">
        <v>210</v>
      </c>
      <c r="O967" t="s">
        <v>279</v>
      </c>
      <c r="P967">
        <v>6.3397441982690293E-3</v>
      </c>
      <c r="Q967" t="s">
        <v>168</v>
      </c>
      <c r="S967" t="s">
        <v>229</v>
      </c>
      <c r="T967" t="s">
        <v>279</v>
      </c>
      <c r="U967">
        <v>1.1596144627578287E-2</v>
      </c>
      <c r="V967" t="s">
        <v>168</v>
      </c>
    </row>
    <row r="968" spans="9:22" x14ac:dyDescent="0.45">
      <c r="I968" t="s">
        <v>186</v>
      </c>
      <c r="J968" t="s">
        <v>280</v>
      </c>
      <c r="K968">
        <v>8.6618914079255399E-2</v>
      </c>
      <c r="L968" t="s">
        <v>168</v>
      </c>
      <c r="N968" t="s">
        <v>210</v>
      </c>
      <c r="O968" t="s">
        <v>280</v>
      </c>
      <c r="P968">
        <v>3.8725798502735435E-2</v>
      </c>
      <c r="Q968" t="s">
        <v>168</v>
      </c>
      <c r="S968" t="s">
        <v>229</v>
      </c>
      <c r="T968" t="s">
        <v>280</v>
      </c>
      <c r="U968">
        <v>7.2633666543632763E-2</v>
      </c>
      <c r="V968" t="s">
        <v>168</v>
      </c>
    </row>
    <row r="969" spans="9:22" x14ac:dyDescent="0.45">
      <c r="I969" t="s">
        <v>186</v>
      </c>
      <c r="J969" t="s">
        <v>281</v>
      </c>
      <c r="K969">
        <v>8.1878540618182515E-3</v>
      </c>
      <c r="L969" t="s">
        <v>168</v>
      </c>
      <c r="N969" t="s">
        <v>210</v>
      </c>
      <c r="O969" t="s">
        <v>281</v>
      </c>
      <c r="P969">
        <v>6.9221105349859223E-3</v>
      </c>
      <c r="Q969" t="s">
        <v>168</v>
      </c>
      <c r="S969" t="s">
        <v>229</v>
      </c>
      <c r="T969" t="s">
        <v>281</v>
      </c>
      <c r="U969">
        <v>1.2521006627775806E-2</v>
      </c>
      <c r="V969" t="s">
        <v>168</v>
      </c>
    </row>
    <row r="970" spans="9:22" x14ac:dyDescent="0.45">
      <c r="I970" t="s">
        <v>186</v>
      </c>
      <c r="J970" t="s">
        <v>282</v>
      </c>
      <c r="K970">
        <v>1.9875159164693072E-3</v>
      </c>
      <c r="L970" t="s">
        <v>168</v>
      </c>
      <c r="N970" t="s">
        <v>210</v>
      </c>
      <c r="O970" t="s">
        <v>282</v>
      </c>
      <c r="P970">
        <v>4.9346702394846113E-2</v>
      </c>
      <c r="Q970" t="s">
        <v>168</v>
      </c>
      <c r="S970" t="s">
        <v>229</v>
      </c>
      <c r="T970" t="s">
        <v>282</v>
      </c>
      <c r="U970">
        <v>8.9243177818996849E-2</v>
      </c>
      <c r="V970" t="s">
        <v>168</v>
      </c>
    </row>
    <row r="971" spans="9:22" x14ac:dyDescent="0.45">
      <c r="I971" t="s">
        <v>186</v>
      </c>
      <c r="J971" t="s">
        <v>283</v>
      </c>
      <c r="K971">
        <v>6.5783894117671127E-5</v>
      </c>
      <c r="L971" t="s">
        <v>168</v>
      </c>
      <c r="N971" t="s">
        <v>210</v>
      </c>
      <c r="O971" t="s">
        <v>283</v>
      </c>
      <c r="P971">
        <v>2.4744624253419861E-2</v>
      </c>
      <c r="Q971" t="s">
        <v>168</v>
      </c>
      <c r="S971" t="s">
        <v>229</v>
      </c>
      <c r="T971" t="s">
        <v>283</v>
      </c>
      <c r="U971">
        <v>2.8170294954413058E-2</v>
      </c>
      <c r="V971" t="s">
        <v>168</v>
      </c>
    </row>
    <row r="972" spans="9:22" x14ac:dyDescent="0.45">
      <c r="I972" t="s">
        <v>186</v>
      </c>
      <c r="J972" t="s">
        <v>284</v>
      </c>
      <c r="K972">
        <v>2.9494537734292142E-3</v>
      </c>
      <c r="L972" t="s">
        <v>168</v>
      </c>
      <c r="N972" t="s">
        <v>210</v>
      </c>
      <c r="O972" t="s">
        <v>284</v>
      </c>
      <c r="P972">
        <v>3.1280466934871026E-3</v>
      </c>
      <c r="Q972" t="s">
        <v>168</v>
      </c>
      <c r="S972" t="s">
        <v>229</v>
      </c>
      <c r="T972" t="s">
        <v>284</v>
      </c>
      <c r="U972">
        <v>3.476109755290746E-3</v>
      </c>
      <c r="V972" t="s">
        <v>168</v>
      </c>
    </row>
    <row r="973" spans="9:22" x14ac:dyDescent="0.45">
      <c r="I973" t="s">
        <v>186</v>
      </c>
      <c r="J973" t="s">
        <v>285</v>
      </c>
      <c r="K973">
        <v>4.8005306274821668E-3</v>
      </c>
      <c r="L973" t="s">
        <v>168</v>
      </c>
      <c r="N973" t="s">
        <v>210</v>
      </c>
      <c r="O973" t="s">
        <v>285</v>
      </c>
      <c r="P973">
        <v>3.0641191745509103E-3</v>
      </c>
      <c r="Q973" t="s">
        <v>168</v>
      </c>
      <c r="S973" t="s">
        <v>229</v>
      </c>
      <c r="T973" t="s">
        <v>285</v>
      </c>
      <c r="U973">
        <v>3.4629659735795452E-3</v>
      </c>
      <c r="V973" t="s">
        <v>168</v>
      </c>
    </row>
    <row r="974" spans="9:22" x14ac:dyDescent="0.45">
      <c r="I974" t="s">
        <v>186</v>
      </c>
      <c r="J974" t="s">
        <v>286</v>
      </c>
      <c r="K974">
        <v>3.2729409028628212E-2</v>
      </c>
      <c r="L974" t="s">
        <v>168</v>
      </c>
      <c r="N974" t="s">
        <v>210</v>
      </c>
      <c r="O974" t="s">
        <v>286</v>
      </c>
      <c r="P974">
        <v>1.8363552642551507E-2</v>
      </c>
      <c r="Q974" t="s">
        <v>168</v>
      </c>
      <c r="S974" t="s">
        <v>229</v>
      </c>
      <c r="T974" t="s">
        <v>286</v>
      </c>
      <c r="U974">
        <v>1.8341441750635283E-2</v>
      </c>
      <c r="V974" t="s">
        <v>168</v>
      </c>
    </row>
    <row r="975" spans="9:22" x14ac:dyDescent="0.45">
      <c r="I975" t="s">
        <v>186</v>
      </c>
      <c r="J975" t="s">
        <v>287</v>
      </c>
      <c r="K975">
        <v>2.6862014098106126E-3</v>
      </c>
      <c r="L975" t="s">
        <v>168</v>
      </c>
      <c r="N975" t="s">
        <v>210</v>
      </c>
      <c r="O975" t="s">
        <v>287</v>
      </c>
      <c r="P975">
        <v>2.9531847023711597E-3</v>
      </c>
      <c r="Q975" t="s">
        <v>168</v>
      </c>
      <c r="S975" t="s">
        <v>229</v>
      </c>
      <c r="T975" t="s">
        <v>287</v>
      </c>
      <c r="U975">
        <v>3.2171919108733484E-3</v>
      </c>
      <c r="V975" t="s">
        <v>168</v>
      </c>
    </row>
    <row r="976" spans="9:22" x14ac:dyDescent="0.45">
      <c r="I976" t="s">
        <v>186</v>
      </c>
      <c r="J976" t="s">
        <v>288</v>
      </c>
      <c r="K976">
        <v>0</v>
      </c>
      <c r="L976" t="s">
        <v>168</v>
      </c>
      <c r="N976" t="s">
        <v>210</v>
      </c>
      <c r="O976" t="s">
        <v>288</v>
      </c>
      <c r="P976">
        <v>1.8009724301466492E-2</v>
      </c>
      <c r="Q976" t="s">
        <v>168</v>
      </c>
      <c r="S976" t="s">
        <v>229</v>
      </c>
      <c r="T976" t="s">
        <v>288</v>
      </c>
      <c r="U976">
        <v>2.3875918425581278E-2</v>
      </c>
      <c r="V976" t="s">
        <v>168</v>
      </c>
    </row>
    <row r="977" spans="9:22" x14ac:dyDescent="0.45">
      <c r="I977" t="s">
        <v>186</v>
      </c>
      <c r="J977" t="s">
        <v>365</v>
      </c>
      <c r="K977">
        <v>0</v>
      </c>
      <c r="L977" t="s">
        <v>168</v>
      </c>
      <c r="N977" t="s">
        <v>210</v>
      </c>
      <c r="O977" t="s">
        <v>365</v>
      </c>
      <c r="P977">
        <v>1.9779005823946829E-5</v>
      </c>
      <c r="Q977" t="s">
        <v>168</v>
      </c>
      <c r="S977" t="s">
        <v>229</v>
      </c>
      <c r="T977" t="s">
        <v>365</v>
      </c>
      <c r="U977">
        <v>3.83048852032832E-6</v>
      </c>
      <c r="V977" t="s">
        <v>168</v>
      </c>
    </row>
    <row r="978" spans="9:22" x14ac:dyDescent="0.45">
      <c r="I978" t="s">
        <v>186</v>
      </c>
      <c r="J978" t="s">
        <v>366</v>
      </c>
      <c r="K978">
        <v>0</v>
      </c>
      <c r="L978" t="s">
        <v>168</v>
      </c>
      <c r="N978" t="s">
        <v>210</v>
      </c>
      <c r="O978" t="s">
        <v>366</v>
      </c>
      <c r="P978">
        <v>1.6535132634607812E-5</v>
      </c>
      <c r="Q978" t="s">
        <v>168</v>
      </c>
      <c r="S978" t="s">
        <v>229</v>
      </c>
      <c r="T978" t="s">
        <v>366</v>
      </c>
      <c r="U978">
        <v>2.4665363196445973E-6</v>
      </c>
      <c r="V978" t="s">
        <v>168</v>
      </c>
    </row>
    <row r="979" spans="9:22" x14ac:dyDescent="0.45">
      <c r="I979" t="s">
        <v>186</v>
      </c>
      <c r="J979" t="s">
        <v>367</v>
      </c>
      <c r="K979">
        <v>0</v>
      </c>
      <c r="L979" t="s">
        <v>168</v>
      </c>
      <c r="N979" t="s">
        <v>210</v>
      </c>
      <c r="O979" t="s">
        <v>367</v>
      </c>
      <c r="P979">
        <v>1.4226009497200675E-5</v>
      </c>
      <c r="Q979" t="s">
        <v>168</v>
      </c>
      <c r="S979" t="s">
        <v>229</v>
      </c>
      <c r="T979" t="s">
        <v>367</v>
      </c>
      <c r="U979">
        <v>5.8990433870075101E-7</v>
      </c>
      <c r="V979" t="s">
        <v>168</v>
      </c>
    </row>
    <row r="980" spans="9:22" x14ac:dyDescent="0.45">
      <c r="I980" t="s">
        <v>186</v>
      </c>
      <c r="J980" t="s">
        <v>368</v>
      </c>
      <c r="K980">
        <v>0</v>
      </c>
      <c r="L980" t="s">
        <v>168</v>
      </c>
      <c r="N980" t="s">
        <v>210</v>
      </c>
      <c r="O980" t="s">
        <v>368</v>
      </c>
      <c r="P980">
        <v>1.5120758619948521E-5</v>
      </c>
      <c r="Q980" t="s">
        <v>168</v>
      </c>
      <c r="S980" t="s">
        <v>229</v>
      </c>
      <c r="T980" t="s">
        <v>368</v>
      </c>
      <c r="U980">
        <v>2.9166814218816438E-6</v>
      </c>
      <c r="V980" t="s">
        <v>168</v>
      </c>
    </row>
    <row r="981" spans="9:22" x14ac:dyDescent="0.45">
      <c r="I981" t="s">
        <v>186</v>
      </c>
      <c r="J981" t="s">
        <v>369</v>
      </c>
      <c r="K981">
        <v>0</v>
      </c>
      <c r="L981" t="s">
        <v>168</v>
      </c>
      <c r="N981" t="s">
        <v>210</v>
      </c>
      <c r="O981" t="s">
        <v>369</v>
      </c>
      <c r="P981">
        <v>1.5890070426495326E-5</v>
      </c>
      <c r="Q981" t="s">
        <v>168</v>
      </c>
      <c r="S981" t="s">
        <v>229</v>
      </c>
      <c r="T981" t="s">
        <v>369</v>
      </c>
      <c r="U981">
        <v>5.1484537010602355E-6</v>
      </c>
      <c r="V981" t="s">
        <v>168</v>
      </c>
    </row>
    <row r="982" spans="9:22" x14ac:dyDescent="0.45">
      <c r="I982" t="s">
        <v>186</v>
      </c>
      <c r="J982" t="s">
        <v>370</v>
      </c>
      <c r="K982">
        <v>0</v>
      </c>
      <c r="L982" t="s">
        <v>168</v>
      </c>
      <c r="N982" t="s">
        <v>210</v>
      </c>
      <c r="O982" t="s">
        <v>370</v>
      </c>
      <c r="P982">
        <v>1.2642523860645112E-5</v>
      </c>
      <c r="Q982" t="s">
        <v>168</v>
      </c>
      <c r="S982" t="s">
        <v>229</v>
      </c>
      <c r="T982" t="s">
        <v>370</v>
      </c>
      <c r="U982">
        <v>5.6390984967269182E-6</v>
      </c>
      <c r="V982" t="s">
        <v>168</v>
      </c>
    </row>
    <row r="983" spans="9:22" x14ac:dyDescent="0.45">
      <c r="I983" t="s">
        <v>186</v>
      </c>
      <c r="J983" t="s">
        <v>371</v>
      </c>
      <c r="K983">
        <v>0</v>
      </c>
      <c r="L983" t="s">
        <v>168</v>
      </c>
      <c r="N983" t="s">
        <v>210</v>
      </c>
      <c r="O983" t="s">
        <v>371</v>
      </c>
      <c r="P983">
        <v>8.8338452268891825E-6</v>
      </c>
      <c r="Q983" t="s">
        <v>168</v>
      </c>
      <c r="S983" t="s">
        <v>229</v>
      </c>
      <c r="T983" t="s">
        <v>371</v>
      </c>
      <c r="U983">
        <v>4.5525864866099422E-6</v>
      </c>
      <c r="V983" t="s">
        <v>168</v>
      </c>
    </row>
    <row r="984" spans="9:22" x14ac:dyDescent="0.45">
      <c r="I984" t="s">
        <v>186</v>
      </c>
      <c r="J984" t="s">
        <v>372</v>
      </c>
      <c r="K984">
        <v>9.1290905874489819E-6</v>
      </c>
      <c r="L984" t="s">
        <v>168</v>
      </c>
      <c r="N984" t="s">
        <v>210</v>
      </c>
      <c r="O984" t="s">
        <v>372</v>
      </c>
      <c r="P984">
        <v>7.5977776246454176E-6</v>
      </c>
      <c r="Q984" t="s">
        <v>168</v>
      </c>
      <c r="S984" t="s">
        <v>229</v>
      </c>
      <c r="T984" t="s">
        <v>372</v>
      </c>
      <c r="U984">
        <v>5.6625069307880718E-6</v>
      </c>
      <c r="V984" t="s">
        <v>168</v>
      </c>
    </row>
    <row r="985" spans="9:22" x14ac:dyDescent="0.45">
      <c r="I985" t="s">
        <v>186</v>
      </c>
      <c r="J985" t="s">
        <v>373</v>
      </c>
      <c r="K985">
        <v>1.2534364298402232E-4</v>
      </c>
      <c r="L985" t="s">
        <v>168</v>
      </c>
      <c r="N985" t="s">
        <v>210</v>
      </c>
      <c r="O985" t="s">
        <v>373</v>
      </c>
      <c r="P985">
        <v>8.9990752542197968E-6</v>
      </c>
      <c r="Q985" t="s">
        <v>168</v>
      </c>
      <c r="S985" t="s">
        <v>229</v>
      </c>
      <c r="T985" t="s">
        <v>373</v>
      </c>
      <c r="U985">
        <v>7.8295926415433033E-6</v>
      </c>
      <c r="V985" t="s">
        <v>168</v>
      </c>
    </row>
    <row r="986" spans="9:22" x14ac:dyDescent="0.45">
      <c r="I986" t="s">
        <v>186</v>
      </c>
      <c r="J986" t="s">
        <v>374</v>
      </c>
      <c r="K986">
        <v>1.928514977035182E-4</v>
      </c>
      <c r="L986" t="s">
        <v>168</v>
      </c>
      <c r="N986" t="s">
        <v>210</v>
      </c>
      <c r="O986" t="s">
        <v>374</v>
      </c>
      <c r="P986">
        <v>9.2140665403652166E-6</v>
      </c>
      <c r="Q986" t="s">
        <v>168</v>
      </c>
      <c r="S986" t="s">
        <v>229</v>
      </c>
      <c r="T986" t="s">
        <v>374</v>
      </c>
      <c r="U986">
        <v>1.0401285872900509E-5</v>
      </c>
      <c r="V986" t="s">
        <v>168</v>
      </c>
    </row>
    <row r="987" spans="9:22" x14ac:dyDescent="0.45">
      <c r="I987" t="s">
        <v>186</v>
      </c>
      <c r="J987" t="s">
        <v>375</v>
      </c>
      <c r="K987">
        <v>2.2143846727261463E-4</v>
      </c>
      <c r="L987" t="s">
        <v>168</v>
      </c>
      <c r="N987" t="s">
        <v>210</v>
      </c>
      <c r="O987" t="s">
        <v>375</v>
      </c>
      <c r="P987">
        <v>6.3389502930994059E-6</v>
      </c>
      <c r="Q987" t="s">
        <v>168</v>
      </c>
      <c r="S987" t="s">
        <v>229</v>
      </c>
      <c r="T987" t="s">
        <v>375</v>
      </c>
      <c r="U987">
        <v>3.1169966479137793E-6</v>
      </c>
      <c r="V987" t="s">
        <v>168</v>
      </c>
    </row>
    <row r="988" spans="9:22" x14ac:dyDescent="0.45">
      <c r="I988" t="s">
        <v>186</v>
      </c>
      <c r="J988" t="s">
        <v>376</v>
      </c>
      <c r="K988">
        <v>2.0488706163224307E-4</v>
      </c>
      <c r="L988" t="s">
        <v>168</v>
      </c>
      <c r="N988" t="s">
        <v>210</v>
      </c>
      <c r="O988" t="s">
        <v>376</v>
      </c>
      <c r="P988">
        <v>2.8018014897005287E-6</v>
      </c>
      <c r="Q988" t="s">
        <v>168</v>
      </c>
      <c r="S988" t="s">
        <v>229</v>
      </c>
      <c r="T988" t="s">
        <v>376</v>
      </c>
      <c r="U988">
        <v>4.3286167610697969E-6</v>
      </c>
      <c r="V988" t="s">
        <v>168</v>
      </c>
    </row>
    <row r="989" spans="9:22" x14ac:dyDescent="0.45">
      <c r="I989" t="s">
        <v>186</v>
      </c>
      <c r="J989" t="s">
        <v>377</v>
      </c>
      <c r="K989">
        <v>1.9238291019990552E-4</v>
      </c>
      <c r="L989" t="s">
        <v>168</v>
      </c>
      <c r="N989" t="s">
        <v>210</v>
      </c>
      <c r="O989" t="s">
        <v>377</v>
      </c>
      <c r="P989">
        <v>2.8976956066069539E-6</v>
      </c>
      <c r="Q989" t="s">
        <v>168</v>
      </c>
      <c r="S989" t="s">
        <v>229</v>
      </c>
      <c r="T989" t="s">
        <v>377</v>
      </c>
      <c r="U989">
        <v>3.0255105682620787E-6</v>
      </c>
      <c r="V989" t="s">
        <v>168</v>
      </c>
    </row>
    <row r="990" spans="9:22" x14ac:dyDescent="0.45">
      <c r="I990" t="s">
        <v>186</v>
      </c>
      <c r="J990" t="s">
        <v>378</v>
      </c>
      <c r="K990">
        <v>2.3679621441661269E-4</v>
      </c>
      <c r="L990" t="s">
        <v>168</v>
      </c>
      <c r="N990" t="s">
        <v>210</v>
      </c>
      <c r="O990" t="s">
        <v>378</v>
      </c>
      <c r="P990">
        <v>4.6471895391613407E-6</v>
      </c>
      <c r="Q990" t="s">
        <v>168</v>
      </c>
      <c r="S990" t="s">
        <v>229</v>
      </c>
      <c r="T990" t="s">
        <v>378</v>
      </c>
      <c r="U990">
        <v>2.6247543320694721E-6</v>
      </c>
      <c r="V990" t="s">
        <v>168</v>
      </c>
    </row>
    <row r="991" spans="9:22" x14ac:dyDescent="0.45">
      <c r="I991" t="s">
        <v>186</v>
      </c>
      <c r="J991" t="s">
        <v>379</v>
      </c>
      <c r="K991">
        <v>2.0465203028253025E-4</v>
      </c>
      <c r="L991" t="s">
        <v>168</v>
      </c>
      <c r="N991" t="s">
        <v>210</v>
      </c>
      <c r="O991" t="s">
        <v>379</v>
      </c>
      <c r="P991">
        <v>5.7630530708228063E-6</v>
      </c>
      <c r="Q991" t="s">
        <v>168</v>
      </c>
      <c r="S991" t="s">
        <v>229</v>
      </c>
      <c r="T991" t="s">
        <v>379</v>
      </c>
      <c r="U991">
        <v>6.4184611550352309E-6</v>
      </c>
      <c r="V991" t="s">
        <v>168</v>
      </c>
    </row>
    <row r="992" spans="9:22" x14ac:dyDescent="0.45">
      <c r="I992" t="s">
        <v>186</v>
      </c>
      <c r="J992" t="s">
        <v>380</v>
      </c>
      <c r="K992">
        <v>1.6948364473804347E-4</v>
      </c>
      <c r="L992" t="s">
        <v>168</v>
      </c>
      <c r="N992" t="s">
        <v>210</v>
      </c>
      <c r="O992" t="s">
        <v>380</v>
      </c>
      <c r="P992">
        <v>4.7017272273100945E-6</v>
      </c>
      <c r="Q992" t="s">
        <v>168</v>
      </c>
      <c r="S992" t="s">
        <v>229</v>
      </c>
      <c r="T992" t="s">
        <v>380</v>
      </c>
      <c r="U992">
        <v>9.587247331144421E-6</v>
      </c>
      <c r="V992" t="s">
        <v>168</v>
      </c>
    </row>
    <row r="993" spans="9:22" x14ac:dyDescent="0.45">
      <c r="I993" t="s">
        <v>186</v>
      </c>
      <c r="J993" t="s">
        <v>381</v>
      </c>
      <c r="K993">
        <v>1.0279907182956506E-4</v>
      </c>
      <c r="L993" t="s">
        <v>168</v>
      </c>
      <c r="N993" t="s">
        <v>210</v>
      </c>
      <c r="O993" t="s">
        <v>381</v>
      </c>
      <c r="P993">
        <v>4.1366926342422013E-6</v>
      </c>
      <c r="Q993" t="s">
        <v>168</v>
      </c>
      <c r="S993" t="s">
        <v>229</v>
      </c>
      <c r="T993" t="s">
        <v>381</v>
      </c>
      <c r="U993">
        <v>1.1058037434527639E-5</v>
      </c>
      <c r="V993" t="s">
        <v>168</v>
      </c>
    </row>
    <row r="994" spans="9:22" x14ac:dyDescent="0.45">
      <c r="I994" t="s">
        <v>186</v>
      </c>
      <c r="J994" t="s">
        <v>382</v>
      </c>
      <c r="K994">
        <v>0</v>
      </c>
      <c r="L994" t="s">
        <v>168</v>
      </c>
      <c r="N994" t="s">
        <v>210</v>
      </c>
      <c r="O994" t="s">
        <v>382</v>
      </c>
      <c r="P994">
        <v>5.71623167697233E-6</v>
      </c>
      <c r="Q994" t="s">
        <v>168</v>
      </c>
      <c r="S994" t="s">
        <v>229</v>
      </c>
      <c r="T994" t="s">
        <v>382</v>
      </c>
      <c r="U994">
        <v>1.3772425486404908E-5</v>
      </c>
      <c r="V994" t="s">
        <v>168</v>
      </c>
    </row>
    <row r="995" spans="9:22" x14ac:dyDescent="0.45">
      <c r="I995" t="s">
        <v>186</v>
      </c>
      <c r="J995" t="s">
        <v>383</v>
      </c>
      <c r="K995">
        <v>0</v>
      </c>
      <c r="L995" t="s">
        <v>168</v>
      </c>
      <c r="N995" t="s">
        <v>210</v>
      </c>
      <c r="O995" t="s">
        <v>383</v>
      </c>
      <c r="P995">
        <v>6.6730421970110961E-6</v>
      </c>
      <c r="Q995" t="s">
        <v>168</v>
      </c>
      <c r="S995" t="s">
        <v>229</v>
      </c>
      <c r="T995" t="s">
        <v>383</v>
      </c>
      <c r="U995">
        <v>1.7385094325083375E-5</v>
      </c>
      <c r="V995" t="s">
        <v>168</v>
      </c>
    </row>
    <row r="996" spans="9:22" x14ac:dyDescent="0.45">
      <c r="I996" t="s">
        <v>186</v>
      </c>
      <c r="J996" t="s">
        <v>384</v>
      </c>
      <c r="K996">
        <v>0</v>
      </c>
      <c r="L996" t="s">
        <v>168</v>
      </c>
      <c r="N996" t="s">
        <v>210</v>
      </c>
      <c r="O996" t="s">
        <v>384</v>
      </c>
      <c r="P996">
        <v>9.5928707630662634E-6</v>
      </c>
      <c r="Q996" t="s">
        <v>168</v>
      </c>
      <c r="S996" t="s">
        <v>229</v>
      </c>
      <c r="T996" t="s">
        <v>384</v>
      </c>
      <c r="U996">
        <v>2.4363189183277239E-5</v>
      </c>
      <c r="V996" t="s">
        <v>168</v>
      </c>
    </row>
    <row r="997" spans="9:22" x14ac:dyDescent="0.45">
      <c r="I997" t="s">
        <v>186</v>
      </c>
      <c r="J997" t="s">
        <v>385</v>
      </c>
      <c r="K997">
        <v>0</v>
      </c>
      <c r="L997" t="s">
        <v>168</v>
      </c>
      <c r="N997" t="s">
        <v>210</v>
      </c>
      <c r="O997" t="s">
        <v>385</v>
      </c>
      <c r="P997">
        <v>1.6643731031914683E-5</v>
      </c>
      <c r="Q997" t="s">
        <v>168</v>
      </c>
      <c r="S997" t="s">
        <v>229</v>
      </c>
      <c r="T997" t="s">
        <v>385</v>
      </c>
      <c r="U997">
        <v>3.2590778180073112E-5</v>
      </c>
      <c r="V997" t="s">
        <v>168</v>
      </c>
    </row>
    <row r="998" spans="9:22" x14ac:dyDescent="0.45">
      <c r="I998" t="s">
        <v>186</v>
      </c>
      <c r="J998" t="s">
        <v>386</v>
      </c>
      <c r="K998">
        <v>0</v>
      </c>
      <c r="L998" t="s">
        <v>168</v>
      </c>
      <c r="N998" t="s">
        <v>210</v>
      </c>
      <c r="O998" t="s">
        <v>386</v>
      </c>
      <c r="P998">
        <v>2.9191764202467135E-5</v>
      </c>
      <c r="Q998" t="s">
        <v>168</v>
      </c>
      <c r="S998" t="s">
        <v>229</v>
      </c>
      <c r="T998" t="s">
        <v>386</v>
      </c>
      <c r="U998">
        <v>3.4747021762480752E-5</v>
      </c>
      <c r="V998" t="s">
        <v>168</v>
      </c>
    </row>
    <row r="999" spans="9:22" x14ac:dyDescent="0.45">
      <c r="I999" t="s">
        <v>186</v>
      </c>
      <c r="J999" t="s">
        <v>387</v>
      </c>
      <c r="K999">
        <v>0</v>
      </c>
      <c r="L999" t="s">
        <v>168</v>
      </c>
      <c r="N999" t="s">
        <v>210</v>
      </c>
      <c r="O999" t="s">
        <v>387</v>
      </c>
      <c r="P999">
        <v>4.4831846627989521E-5</v>
      </c>
      <c r="Q999" t="s">
        <v>168</v>
      </c>
      <c r="S999" t="s">
        <v>229</v>
      </c>
      <c r="T999" t="s">
        <v>387</v>
      </c>
      <c r="U999">
        <v>2.4670155635466817E-5</v>
      </c>
      <c r="V999" t="s">
        <v>168</v>
      </c>
    </row>
    <row r="1000" spans="9:22" x14ac:dyDescent="0.45">
      <c r="I1000" t="s">
        <v>186</v>
      </c>
      <c r="J1000" t="s">
        <v>388</v>
      </c>
      <c r="K1000">
        <v>0</v>
      </c>
      <c r="L1000" t="s">
        <v>168</v>
      </c>
      <c r="N1000" t="s">
        <v>210</v>
      </c>
      <c r="O1000" t="s">
        <v>388</v>
      </c>
      <c r="P1000">
        <v>5.6229453977283425E-5</v>
      </c>
      <c r="Q1000" t="s">
        <v>168</v>
      </c>
      <c r="S1000" t="s">
        <v>229</v>
      </c>
      <c r="T1000" t="s">
        <v>388</v>
      </c>
      <c r="U1000">
        <v>3.2305132393817382E-5</v>
      </c>
      <c r="V1000" t="s">
        <v>168</v>
      </c>
    </row>
    <row r="1001" spans="9:22" x14ac:dyDescent="0.45">
      <c r="I1001" t="s">
        <v>187</v>
      </c>
      <c r="J1001" t="s">
        <v>167</v>
      </c>
      <c r="K1001">
        <v>0</v>
      </c>
      <c r="L1001" t="s">
        <v>168</v>
      </c>
      <c r="N1001" t="s">
        <v>211</v>
      </c>
      <c r="O1001" t="s">
        <v>167</v>
      </c>
      <c r="P1001">
        <v>6.8680311118034201E-2</v>
      </c>
      <c r="Q1001" t="s">
        <v>168</v>
      </c>
      <c r="S1001" t="s">
        <v>230</v>
      </c>
      <c r="T1001" t="s">
        <v>167</v>
      </c>
      <c r="U1001">
        <v>6.8753518112299225E-2</v>
      </c>
      <c r="V1001" t="s">
        <v>168</v>
      </c>
    </row>
    <row r="1002" spans="9:22" x14ac:dyDescent="0.45">
      <c r="I1002" t="s">
        <v>187</v>
      </c>
      <c r="J1002" t="s">
        <v>169</v>
      </c>
      <c r="K1002">
        <v>3.9444048358804407E-3</v>
      </c>
      <c r="L1002" t="s">
        <v>168</v>
      </c>
      <c r="N1002" t="s">
        <v>211</v>
      </c>
      <c r="O1002" t="s">
        <v>169</v>
      </c>
      <c r="P1002">
        <v>7.088281643294214E-3</v>
      </c>
      <c r="Q1002" t="s">
        <v>168</v>
      </c>
      <c r="S1002" t="s">
        <v>230</v>
      </c>
      <c r="T1002" t="s">
        <v>169</v>
      </c>
      <c r="U1002">
        <v>8.1860731652407242E-3</v>
      </c>
      <c r="V1002" t="s">
        <v>168</v>
      </c>
    </row>
    <row r="1003" spans="9:22" x14ac:dyDescent="0.45">
      <c r="I1003" t="s">
        <v>187</v>
      </c>
      <c r="J1003" t="s">
        <v>170</v>
      </c>
      <c r="K1003">
        <v>8.8260594296330763E-3</v>
      </c>
      <c r="L1003" t="s">
        <v>168</v>
      </c>
      <c r="N1003" t="s">
        <v>211</v>
      </c>
      <c r="O1003" t="s">
        <v>170</v>
      </c>
      <c r="P1003">
        <v>6.7205866747290484E-3</v>
      </c>
      <c r="Q1003" t="s">
        <v>168</v>
      </c>
      <c r="S1003" t="s">
        <v>230</v>
      </c>
      <c r="T1003" t="s">
        <v>170</v>
      </c>
      <c r="U1003">
        <v>8.6723292452786302E-3</v>
      </c>
      <c r="V1003" t="s">
        <v>168</v>
      </c>
    </row>
    <row r="1004" spans="9:22" x14ac:dyDescent="0.45">
      <c r="I1004" t="s">
        <v>187</v>
      </c>
      <c r="J1004" t="s">
        <v>256</v>
      </c>
      <c r="K1004">
        <v>7.9561289165417784E-2</v>
      </c>
      <c r="L1004" t="s">
        <v>168</v>
      </c>
      <c r="N1004" t="s">
        <v>211</v>
      </c>
      <c r="O1004" t="s">
        <v>256</v>
      </c>
      <c r="P1004">
        <v>6.1294241720854264E-2</v>
      </c>
      <c r="Q1004" t="s">
        <v>168</v>
      </c>
      <c r="S1004" t="s">
        <v>230</v>
      </c>
      <c r="T1004" t="s">
        <v>256</v>
      </c>
      <c r="U1004">
        <v>5.9956614327169339E-2</v>
      </c>
      <c r="V1004" t="s">
        <v>168</v>
      </c>
    </row>
    <row r="1005" spans="9:22" x14ac:dyDescent="0.45">
      <c r="I1005" t="s">
        <v>187</v>
      </c>
      <c r="J1005" t="s">
        <v>257</v>
      </c>
      <c r="K1005">
        <v>1.1511231367731875E-2</v>
      </c>
      <c r="L1005" t="s">
        <v>168</v>
      </c>
      <c r="N1005" t="s">
        <v>211</v>
      </c>
      <c r="O1005" t="s">
        <v>257</v>
      </c>
      <c r="P1005">
        <v>1.0729986556844274E-2</v>
      </c>
      <c r="Q1005" t="s">
        <v>168</v>
      </c>
      <c r="S1005" t="s">
        <v>230</v>
      </c>
      <c r="T1005" t="s">
        <v>257</v>
      </c>
      <c r="U1005">
        <v>1.0177303156388318E-2</v>
      </c>
      <c r="V1005" t="s">
        <v>168</v>
      </c>
    </row>
    <row r="1006" spans="9:22" x14ac:dyDescent="0.45">
      <c r="I1006" t="s">
        <v>187</v>
      </c>
      <c r="J1006" t="s">
        <v>258</v>
      </c>
      <c r="K1006">
        <v>9.491991966523056E-3</v>
      </c>
      <c r="L1006" t="s">
        <v>168</v>
      </c>
      <c r="N1006" t="s">
        <v>211</v>
      </c>
      <c r="O1006" t="s">
        <v>258</v>
      </c>
      <c r="P1006">
        <v>6.5748176022586383E-2</v>
      </c>
      <c r="Q1006" t="s">
        <v>168</v>
      </c>
      <c r="S1006" t="s">
        <v>230</v>
      </c>
      <c r="T1006" t="s">
        <v>258</v>
      </c>
      <c r="U1006">
        <v>6.8437122996472644E-2</v>
      </c>
      <c r="V1006" t="s">
        <v>168</v>
      </c>
    </row>
    <row r="1007" spans="9:22" x14ac:dyDescent="0.45">
      <c r="I1007" t="s">
        <v>187</v>
      </c>
      <c r="J1007" t="s">
        <v>171</v>
      </c>
      <c r="K1007">
        <v>2.088368457520165E-2</v>
      </c>
      <c r="L1007" t="s">
        <v>168</v>
      </c>
      <c r="N1007" t="s">
        <v>211</v>
      </c>
      <c r="O1007" t="s">
        <v>171</v>
      </c>
      <c r="P1007">
        <v>9.8466583938092753E-2</v>
      </c>
      <c r="Q1007" t="s">
        <v>168</v>
      </c>
      <c r="S1007" t="s">
        <v>230</v>
      </c>
      <c r="T1007" t="s">
        <v>171</v>
      </c>
      <c r="U1007">
        <v>0.14090092856207079</v>
      </c>
      <c r="V1007" t="s">
        <v>168</v>
      </c>
    </row>
    <row r="1008" spans="9:22" x14ac:dyDescent="0.45">
      <c r="I1008" t="s">
        <v>187</v>
      </c>
      <c r="J1008" t="s">
        <v>172</v>
      </c>
      <c r="K1008">
        <v>2.6077763945195537E-2</v>
      </c>
      <c r="L1008" t="s">
        <v>168</v>
      </c>
      <c r="N1008" t="s">
        <v>211</v>
      </c>
      <c r="O1008" t="s">
        <v>172</v>
      </c>
      <c r="P1008">
        <v>1.4203496742476151E-2</v>
      </c>
      <c r="Q1008" t="s">
        <v>168</v>
      </c>
      <c r="S1008" t="s">
        <v>230</v>
      </c>
      <c r="T1008" t="s">
        <v>172</v>
      </c>
      <c r="U1008">
        <v>1.7573022726829708E-2</v>
      </c>
      <c r="V1008" t="s">
        <v>168</v>
      </c>
    </row>
    <row r="1009" spans="9:22" x14ac:dyDescent="0.45">
      <c r="I1009" t="s">
        <v>187</v>
      </c>
      <c r="J1009" t="s">
        <v>173</v>
      </c>
      <c r="K1009">
        <v>3.3183830842279619E-2</v>
      </c>
      <c r="L1009" t="s">
        <v>168</v>
      </c>
      <c r="N1009" t="s">
        <v>211</v>
      </c>
      <c r="O1009" t="s">
        <v>173</v>
      </c>
      <c r="P1009">
        <v>1.7696296987369596E-2</v>
      </c>
      <c r="Q1009" t="s">
        <v>168</v>
      </c>
      <c r="S1009" t="s">
        <v>230</v>
      </c>
      <c r="T1009" t="s">
        <v>173</v>
      </c>
      <c r="U1009">
        <v>1.7955797919270173E-2</v>
      </c>
      <c r="V1009" t="s">
        <v>168</v>
      </c>
    </row>
    <row r="1010" spans="9:22" x14ac:dyDescent="0.45">
      <c r="I1010" t="s">
        <v>187</v>
      </c>
      <c r="J1010" t="s">
        <v>259</v>
      </c>
      <c r="K1010">
        <v>0.23772736370024738</v>
      </c>
      <c r="L1010" t="s">
        <v>168</v>
      </c>
      <c r="N1010" t="s">
        <v>211</v>
      </c>
      <c r="O1010" t="s">
        <v>259</v>
      </c>
      <c r="P1010">
        <v>0.14500224663102623</v>
      </c>
      <c r="Q1010" t="s">
        <v>168</v>
      </c>
      <c r="S1010" t="s">
        <v>230</v>
      </c>
      <c r="T1010" t="s">
        <v>259</v>
      </c>
      <c r="U1010">
        <v>0.10628742193232105</v>
      </c>
      <c r="V1010" t="s">
        <v>168</v>
      </c>
    </row>
    <row r="1011" spans="9:22" x14ac:dyDescent="0.45">
      <c r="I1011" t="s">
        <v>187</v>
      </c>
      <c r="J1011" t="s">
        <v>260</v>
      </c>
      <c r="K1011">
        <v>3.5878820869616614E-2</v>
      </c>
      <c r="L1011" t="s">
        <v>168</v>
      </c>
      <c r="N1011" t="s">
        <v>211</v>
      </c>
      <c r="O1011" t="s">
        <v>260</v>
      </c>
      <c r="P1011">
        <v>2.4142045556655493E-2</v>
      </c>
      <c r="Q1011" t="s">
        <v>168</v>
      </c>
      <c r="S1011" t="s">
        <v>230</v>
      </c>
      <c r="T1011" t="s">
        <v>260</v>
      </c>
      <c r="U1011">
        <v>1.9624891316783268E-2</v>
      </c>
      <c r="V1011" t="s">
        <v>168</v>
      </c>
    </row>
    <row r="1012" spans="9:22" x14ac:dyDescent="0.45">
      <c r="I1012" t="s">
        <v>187</v>
      </c>
      <c r="J1012" t="s">
        <v>261</v>
      </c>
      <c r="K1012">
        <v>5.962627391736653E-2</v>
      </c>
      <c r="L1012" t="s">
        <v>168</v>
      </c>
      <c r="N1012" t="s">
        <v>211</v>
      </c>
      <c r="O1012" t="s">
        <v>261</v>
      </c>
      <c r="P1012">
        <v>0.11303234460697918</v>
      </c>
      <c r="Q1012" t="s">
        <v>168</v>
      </c>
      <c r="S1012" t="s">
        <v>230</v>
      </c>
      <c r="T1012" t="s">
        <v>261</v>
      </c>
      <c r="U1012">
        <v>0.1402480540270781</v>
      </c>
      <c r="V1012" t="s">
        <v>168</v>
      </c>
    </row>
    <row r="1013" spans="9:22" x14ac:dyDescent="0.45">
      <c r="I1013" t="s">
        <v>187</v>
      </c>
      <c r="J1013" t="s">
        <v>174</v>
      </c>
      <c r="K1013">
        <v>7.8315907189465492E-3</v>
      </c>
      <c r="L1013" t="s">
        <v>168</v>
      </c>
      <c r="N1013" t="s">
        <v>211</v>
      </c>
      <c r="O1013" t="s">
        <v>174</v>
      </c>
      <c r="P1013">
        <v>7.1765949259350306E-3</v>
      </c>
      <c r="Q1013" t="s">
        <v>168</v>
      </c>
      <c r="S1013" t="s">
        <v>230</v>
      </c>
      <c r="T1013" t="s">
        <v>174</v>
      </c>
      <c r="U1013">
        <v>3.5247946703251213E-3</v>
      </c>
      <c r="V1013" t="s">
        <v>168</v>
      </c>
    </row>
    <row r="1014" spans="9:22" x14ac:dyDescent="0.45">
      <c r="I1014" t="s">
        <v>187</v>
      </c>
      <c r="J1014" t="s">
        <v>175</v>
      </c>
      <c r="K1014">
        <v>7.6707132061860162E-3</v>
      </c>
      <c r="L1014" t="s">
        <v>168</v>
      </c>
      <c r="N1014" t="s">
        <v>211</v>
      </c>
      <c r="O1014" t="s">
        <v>175</v>
      </c>
      <c r="P1014">
        <v>1.0614382827516045E-3</v>
      </c>
      <c r="Q1014" t="s">
        <v>168</v>
      </c>
      <c r="S1014" t="s">
        <v>230</v>
      </c>
      <c r="T1014" t="s">
        <v>175</v>
      </c>
      <c r="U1014">
        <v>3.5712360769388115E-4</v>
      </c>
      <c r="V1014" t="s">
        <v>168</v>
      </c>
    </row>
    <row r="1015" spans="9:22" x14ac:dyDescent="0.45">
      <c r="I1015" t="s">
        <v>187</v>
      </c>
      <c r="J1015" t="s">
        <v>176</v>
      </c>
      <c r="K1015">
        <v>9.2088744036641218E-3</v>
      </c>
      <c r="L1015" t="s">
        <v>168</v>
      </c>
      <c r="N1015" t="s">
        <v>211</v>
      </c>
      <c r="O1015" t="s">
        <v>176</v>
      </c>
      <c r="P1015">
        <v>1.3344958299147927E-3</v>
      </c>
      <c r="Q1015" t="s">
        <v>168</v>
      </c>
      <c r="S1015" t="s">
        <v>230</v>
      </c>
      <c r="T1015" t="s">
        <v>176</v>
      </c>
      <c r="U1015">
        <v>3.2873761475044777E-4</v>
      </c>
      <c r="V1015" t="s">
        <v>168</v>
      </c>
    </row>
    <row r="1016" spans="9:22" x14ac:dyDescent="0.45">
      <c r="I1016" t="s">
        <v>187</v>
      </c>
      <c r="J1016" t="s">
        <v>262</v>
      </c>
      <c r="K1016">
        <v>6.4241874954020617E-2</v>
      </c>
      <c r="L1016" t="s">
        <v>168</v>
      </c>
      <c r="N1016" t="s">
        <v>211</v>
      </c>
      <c r="O1016" t="s">
        <v>262</v>
      </c>
      <c r="P1016">
        <v>9.8769377467964742E-3</v>
      </c>
      <c r="Q1016" t="s">
        <v>168</v>
      </c>
      <c r="S1016" t="s">
        <v>230</v>
      </c>
      <c r="T1016" t="s">
        <v>262</v>
      </c>
      <c r="U1016">
        <v>3.2410438973440748E-3</v>
      </c>
      <c r="V1016" t="s">
        <v>168</v>
      </c>
    </row>
    <row r="1017" spans="9:22" x14ac:dyDescent="0.45">
      <c r="I1017" t="s">
        <v>187</v>
      </c>
      <c r="J1017" t="s">
        <v>263</v>
      </c>
      <c r="K1017">
        <v>9.7403582543609951E-3</v>
      </c>
      <c r="L1017" t="s">
        <v>168</v>
      </c>
      <c r="N1017" t="s">
        <v>211</v>
      </c>
      <c r="O1017" t="s">
        <v>263</v>
      </c>
      <c r="P1017">
        <v>2.1700569429730248E-3</v>
      </c>
      <c r="Q1017" t="s">
        <v>168</v>
      </c>
      <c r="S1017" t="s">
        <v>230</v>
      </c>
      <c r="T1017" t="s">
        <v>263</v>
      </c>
      <c r="U1017">
        <v>1.3362030490448656E-3</v>
      </c>
      <c r="V1017" t="s">
        <v>168</v>
      </c>
    </row>
    <row r="1018" spans="9:22" x14ac:dyDescent="0.45">
      <c r="I1018" t="s">
        <v>187</v>
      </c>
      <c r="J1018" t="s">
        <v>264</v>
      </c>
      <c r="K1018">
        <v>1.8964790214307865E-2</v>
      </c>
      <c r="L1018" t="s">
        <v>168</v>
      </c>
      <c r="N1018" t="s">
        <v>211</v>
      </c>
      <c r="O1018" t="s">
        <v>264</v>
      </c>
      <c r="P1018">
        <v>1.0933860866120904E-2</v>
      </c>
      <c r="Q1018" t="s">
        <v>168</v>
      </c>
      <c r="S1018" t="s">
        <v>230</v>
      </c>
      <c r="T1018" t="s">
        <v>264</v>
      </c>
      <c r="U1018">
        <v>9.281179188587247E-3</v>
      </c>
      <c r="V1018" t="s">
        <v>168</v>
      </c>
    </row>
    <row r="1019" spans="9:22" x14ac:dyDescent="0.45">
      <c r="I1019" t="s">
        <v>187</v>
      </c>
      <c r="J1019" t="s">
        <v>265</v>
      </c>
      <c r="K1019">
        <v>4.9870316994810957E-3</v>
      </c>
      <c r="L1019" t="s">
        <v>168</v>
      </c>
      <c r="N1019" t="s">
        <v>211</v>
      </c>
      <c r="O1019" t="s">
        <v>265</v>
      </c>
      <c r="P1019">
        <v>8.1704685957517537E-3</v>
      </c>
      <c r="Q1019" t="s">
        <v>168</v>
      </c>
      <c r="S1019" t="s">
        <v>230</v>
      </c>
      <c r="T1019" t="s">
        <v>265</v>
      </c>
      <c r="U1019">
        <v>6.4191534072547563E-3</v>
      </c>
      <c r="V1019" t="s">
        <v>168</v>
      </c>
    </row>
    <row r="1020" spans="9:22" x14ac:dyDescent="0.45">
      <c r="I1020" t="s">
        <v>187</v>
      </c>
      <c r="J1020" t="s">
        <v>266</v>
      </c>
      <c r="K1020">
        <v>6.9025747348350286E-3</v>
      </c>
      <c r="L1020" t="s">
        <v>168</v>
      </c>
      <c r="N1020" t="s">
        <v>211</v>
      </c>
      <c r="O1020" t="s">
        <v>266</v>
      </c>
      <c r="P1020">
        <v>1.3058735529765018E-3</v>
      </c>
      <c r="Q1020" t="s">
        <v>168</v>
      </c>
      <c r="S1020" t="s">
        <v>230</v>
      </c>
      <c r="T1020" t="s">
        <v>266</v>
      </c>
      <c r="U1020">
        <v>7.3615821122328202E-4</v>
      </c>
      <c r="V1020" t="s">
        <v>168</v>
      </c>
    </row>
    <row r="1021" spans="9:22" x14ac:dyDescent="0.45">
      <c r="I1021" t="s">
        <v>187</v>
      </c>
      <c r="J1021" t="s">
        <v>267</v>
      </c>
      <c r="K1021">
        <v>8.4832384891921943E-3</v>
      </c>
      <c r="L1021" t="s">
        <v>168</v>
      </c>
      <c r="N1021" t="s">
        <v>211</v>
      </c>
      <c r="O1021" t="s">
        <v>267</v>
      </c>
      <c r="P1021">
        <v>1.6192788361581601E-3</v>
      </c>
      <c r="Q1021" t="s">
        <v>168</v>
      </c>
      <c r="S1021" t="s">
        <v>230</v>
      </c>
      <c r="T1021" t="s">
        <v>267</v>
      </c>
      <c r="U1021">
        <v>7.3854872581487327E-4</v>
      </c>
      <c r="V1021" t="s">
        <v>168</v>
      </c>
    </row>
    <row r="1022" spans="9:22" x14ac:dyDescent="0.45">
      <c r="I1022" t="s">
        <v>187</v>
      </c>
      <c r="J1022" t="s">
        <v>268</v>
      </c>
      <c r="K1022">
        <v>6.0076511495108731E-2</v>
      </c>
      <c r="L1022" t="s">
        <v>168</v>
      </c>
      <c r="N1022" t="s">
        <v>211</v>
      </c>
      <c r="O1022" t="s">
        <v>268</v>
      </c>
      <c r="P1022">
        <v>1.0379229408680194E-2</v>
      </c>
      <c r="Q1022" t="s">
        <v>168</v>
      </c>
      <c r="S1022" t="s">
        <v>230</v>
      </c>
      <c r="T1022" t="s">
        <v>268</v>
      </c>
      <c r="U1022">
        <v>4.5539704441385533E-3</v>
      </c>
      <c r="V1022" t="s">
        <v>168</v>
      </c>
    </row>
    <row r="1023" spans="9:22" x14ac:dyDescent="0.45">
      <c r="I1023" t="s">
        <v>187</v>
      </c>
      <c r="J1023" t="s">
        <v>269</v>
      </c>
      <c r="K1023">
        <v>9.0653225887705365E-3</v>
      </c>
      <c r="L1023" t="s">
        <v>168</v>
      </c>
      <c r="N1023" t="s">
        <v>211</v>
      </c>
      <c r="O1023" t="s">
        <v>269</v>
      </c>
      <c r="P1023">
        <v>2.2465477486327745E-3</v>
      </c>
      <c r="Q1023" t="s">
        <v>168</v>
      </c>
      <c r="S1023" t="s">
        <v>230</v>
      </c>
      <c r="T1023" t="s">
        <v>269</v>
      </c>
      <c r="U1023">
        <v>1.4000224255212238E-3</v>
      </c>
      <c r="V1023" t="s">
        <v>168</v>
      </c>
    </row>
    <row r="1024" spans="9:22" x14ac:dyDescent="0.45">
      <c r="I1024" t="s">
        <v>187</v>
      </c>
      <c r="J1024" t="s">
        <v>270</v>
      </c>
      <c r="K1024">
        <v>1.5682209757162616E-2</v>
      </c>
      <c r="L1024" t="s">
        <v>168</v>
      </c>
      <c r="N1024" t="s">
        <v>211</v>
      </c>
      <c r="O1024" t="s">
        <v>270</v>
      </c>
      <c r="P1024">
        <v>8.3381557689848566E-3</v>
      </c>
      <c r="Q1024" t="s">
        <v>168</v>
      </c>
      <c r="S1024" t="s">
        <v>230</v>
      </c>
      <c r="T1024" t="s">
        <v>270</v>
      </c>
      <c r="U1024">
        <v>9.1317169347823971E-3</v>
      </c>
      <c r="V1024" t="s">
        <v>168</v>
      </c>
    </row>
    <row r="1025" spans="9:22" x14ac:dyDescent="0.45">
      <c r="I1025" t="s">
        <v>187</v>
      </c>
      <c r="J1025" t="s">
        <v>271</v>
      </c>
      <c r="K1025">
        <v>2.5349695179041681E-3</v>
      </c>
      <c r="L1025" t="s">
        <v>168</v>
      </c>
      <c r="N1025" t="s">
        <v>211</v>
      </c>
      <c r="O1025" t="s">
        <v>271</v>
      </c>
      <c r="P1025">
        <v>1.641841188238231E-2</v>
      </c>
      <c r="Q1025" t="s">
        <v>168</v>
      </c>
      <c r="S1025" t="s">
        <v>230</v>
      </c>
      <c r="T1025" t="s">
        <v>271</v>
      </c>
      <c r="U1025">
        <v>1.6828473818799553E-2</v>
      </c>
      <c r="V1025" t="s">
        <v>168</v>
      </c>
    </row>
    <row r="1026" spans="9:22" x14ac:dyDescent="0.45">
      <c r="I1026" t="s">
        <v>187</v>
      </c>
      <c r="J1026" t="s">
        <v>272</v>
      </c>
      <c r="K1026">
        <v>5.0342511821768153E-3</v>
      </c>
      <c r="L1026" t="s">
        <v>168</v>
      </c>
      <c r="N1026" t="s">
        <v>211</v>
      </c>
      <c r="O1026" t="s">
        <v>272</v>
      </c>
      <c r="P1026">
        <v>1.6798129475347047E-3</v>
      </c>
      <c r="Q1026" t="s">
        <v>168</v>
      </c>
      <c r="S1026" t="s">
        <v>230</v>
      </c>
      <c r="T1026" t="s">
        <v>272</v>
      </c>
      <c r="U1026">
        <v>2.0642935080902435E-3</v>
      </c>
      <c r="V1026" t="s">
        <v>168</v>
      </c>
    </row>
    <row r="1027" spans="9:22" x14ac:dyDescent="0.45">
      <c r="I1027" t="s">
        <v>187</v>
      </c>
      <c r="J1027" t="s">
        <v>273</v>
      </c>
      <c r="K1027">
        <v>6.9380532361748804E-3</v>
      </c>
      <c r="L1027" t="s">
        <v>168</v>
      </c>
      <c r="N1027" t="s">
        <v>211</v>
      </c>
      <c r="O1027" t="s">
        <v>273</v>
      </c>
      <c r="P1027">
        <v>2.305816141365831E-3</v>
      </c>
      <c r="Q1027" t="s">
        <v>168</v>
      </c>
      <c r="S1027" t="s">
        <v>230</v>
      </c>
      <c r="T1027" t="s">
        <v>273</v>
      </c>
      <c r="U1027">
        <v>2.0835767788426286E-3</v>
      </c>
      <c r="V1027" t="s">
        <v>168</v>
      </c>
    </row>
    <row r="1028" spans="9:22" x14ac:dyDescent="0.45">
      <c r="I1028" t="s">
        <v>187</v>
      </c>
      <c r="J1028" t="s">
        <v>274</v>
      </c>
      <c r="K1028">
        <v>4.8791157921761211E-2</v>
      </c>
      <c r="L1028" t="s">
        <v>168</v>
      </c>
      <c r="N1028" t="s">
        <v>211</v>
      </c>
      <c r="O1028" t="s">
        <v>274</v>
      </c>
      <c r="P1028">
        <v>2.3916524100289365E-2</v>
      </c>
      <c r="Q1028" t="s">
        <v>168</v>
      </c>
      <c r="S1028" t="s">
        <v>230</v>
      </c>
      <c r="T1028" t="s">
        <v>274</v>
      </c>
      <c r="U1028">
        <v>1.2378371175345603E-2</v>
      </c>
      <c r="V1028" t="s">
        <v>168</v>
      </c>
    </row>
    <row r="1029" spans="9:22" x14ac:dyDescent="0.45">
      <c r="I1029" t="s">
        <v>187</v>
      </c>
      <c r="J1029" t="s">
        <v>275</v>
      </c>
      <c r="K1029">
        <v>7.1302375327925291E-3</v>
      </c>
      <c r="L1029" t="s">
        <v>168</v>
      </c>
      <c r="N1029" t="s">
        <v>211</v>
      </c>
      <c r="O1029" t="s">
        <v>275</v>
      </c>
      <c r="P1029">
        <v>4.8169118035610598E-3</v>
      </c>
      <c r="Q1029" t="s">
        <v>168</v>
      </c>
      <c r="S1029" t="s">
        <v>230</v>
      </c>
      <c r="T1029" t="s">
        <v>275</v>
      </c>
      <c r="U1029">
        <v>2.1524083382141895E-3</v>
      </c>
      <c r="V1029" t="s">
        <v>168</v>
      </c>
    </row>
    <row r="1030" spans="9:22" x14ac:dyDescent="0.45">
      <c r="I1030" t="s">
        <v>187</v>
      </c>
      <c r="J1030" t="s">
        <v>276</v>
      </c>
      <c r="K1030">
        <v>8.6571280873799731E-3</v>
      </c>
      <c r="L1030" t="s">
        <v>168</v>
      </c>
      <c r="N1030" t="s">
        <v>211</v>
      </c>
      <c r="O1030" t="s">
        <v>276</v>
      </c>
      <c r="P1030">
        <v>1.8327949485909725E-2</v>
      </c>
      <c r="Q1030" t="s">
        <v>168</v>
      </c>
      <c r="S1030" t="s">
        <v>230</v>
      </c>
      <c r="T1030" t="s">
        <v>276</v>
      </c>
      <c r="U1030">
        <v>1.5943175432526682E-2</v>
      </c>
      <c r="V1030" t="s">
        <v>168</v>
      </c>
    </row>
    <row r="1031" spans="9:22" x14ac:dyDescent="0.45">
      <c r="I1031" t="s">
        <v>187</v>
      </c>
      <c r="J1031" t="s">
        <v>341</v>
      </c>
      <c r="K1031">
        <v>0</v>
      </c>
      <c r="L1031" t="s">
        <v>168</v>
      </c>
      <c r="N1031" t="s">
        <v>211</v>
      </c>
      <c r="O1031" t="s">
        <v>341</v>
      </c>
      <c r="P1031">
        <v>5.2291930257046258E-5</v>
      </c>
      <c r="Q1031" t="s">
        <v>168</v>
      </c>
      <c r="S1031" t="s">
        <v>230</v>
      </c>
      <c r="T1031" t="s">
        <v>341</v>
      </c>
      <c r="U1031">
        <v>3.1153241814170456E-7</v>
      </c>
      <c r="V1031" t="s">
        <v>168</v>
      </c>
    </row>
    <row r="1032" spans="9:22" x14ac:dyDescent="0.45">
      <c r="I1032" t="s">
        <v>187</v>
      </c>
      <c r="J1032" t="s">
        <v>342</v>
      </c>
      <c r="K1032">
        <v>0</v>
      </c>
      <c r="L1032" t="s">
        <v>168</v>
      </c>
      <c r="N1032" t="s">
        <v>211</v>
      </c>
      <c r="O1032" t="s">
        <v>342</v>
      </c>
      <c r="P1032">
        <v>5.3786327382220972E-5</v>
      </c>
      <c r="Q1032" t="s">
        <v>168</v>
      </c>
      <c r="S1032" t="s">
        <v>230</v>
      </c>
      <c r="T1032" t="s">
        <v>342</v>
      </c>
      <c r="U1032">
        <v>2.4936590563848257E-7</v>
      </c>
      <c r="V1032" t="s">
        <v>168</v>
      </c>
    </row>
    <row r="1033" spans="9:22" x14ac:dyDescent="0.45">
      <c r="I1033" t="s">
        <v>187</v>
      </c>
      <c r="J1033" t="s">
        <v>343</v>
      </c>
      <c r="K1033">
        <v>0</v>
      </c>
      <c r="L1033" t="s">
        <v>168</v>
      </c>
      <c r="N1033" t="s">
        <v>211</v>
      </c>
      <c r="O1033" t="s">
        <v>343</v>
      </c>
      <c r="P1033">
        <v>5.2947163332088488E-5</v>
      </c>
      <c r="Q1033" t="s">
        <v>168</v>
      </c>
      <c r="S1033" t="s">
        <v>230</v>
      </c>
      <c r="T1033" t="s">
        <v>343</v>
      </c>
      <c r="U1033">
        <v>3.5528294587746931E-7</v>
      </c>
      <c r="V1033" t="s">
        <v>168</v>
      </c>
    </row>
    <row r="1034" spans="9:22" x14ac:dyDescent="0.45">
      <c r="I1034" t="s">
        <v>187</v>
      </c>
      <c r="J1034" t="s">
        <v>344</v>
      </c>
      <c r="K1034">
        <v>0</v>
      </c>
      <c r="L1034" t="s">
        <v>168</v>
      </c>
      <c r="N1034" t="s">
        <v>211</v>
      </c>
      <c r="O1034" t="s">
        <v>344</v>
      </c>
      <c r="P1034">
        <v>5.0525938151620586E-5</v>
      </c>
      <c r="Q1034" t="s">
        <v>168</v>
      </c>
      <c r="S1034" t="s">
        <v>230</v>
      </c>
      <c r="T1034" t="s">
        <v>344</v>
      </c>
      <c r="U1034">
        <v>3.7423600370595622E-7</v>
      </c>
      <c r="V1034" t="s">
        <v>168</v>
      </c>
    </row>
    <row r="1035" spans="9:22" x14ac:dyDescent="0.45">
      <c r="I1035" t="s">
        <v>187</v>
      </c>
      <c r="J1035" t="s">
        <v>345</v>
      </c>
      <c r="K1035">
        <v>0</v>
      </c>
      <c r="L1035" t="s">
        <v>168</v>
      </c>
      <c r="N1035" t="s">
        <v>211</v>
      </c>
      <c r="O1035" t="s">
        <v>345</v>
      </c>
      <c r="P1035">
        <v>4.9203576943508521E-5</v>
      </c>
      <c r="Q1035" t="s">
        <v>168</v>
      </c>
      <c r="S1035" t="s">
        <v>230</v>
      </c>
      <c r="T1035" t="s">
        <v>345</v>
      </c>
      <c r="U1035">
        <v>1.1101622674351585E-6</v>
      </c>
      <c r="V1035" t="s">
        <v>168</v>
      </c>
    </row>
    <row r="1036" spans="9:22" x14ac:dyDescent="0.45">
      <c r="I1036" t="s">
        <v>187</v>
      </c>
      <c r="J1036" t="s">
        <v>346</v>
      </c>
      <c r="K1036">
        <v>0</v>
      </c>
      <c r="L1036" t="s">
        <v>168</v>
      </c>
      <c r="N1036" t="s">
        <v>211</v>
      </c>
      <c r="O1036" t="s">
        <v>346</v>
      </c>
      <c r="P1036">
        <v>4.7649441865620947E-5</v>
      </c>
      <c r="Q1036" t="s">
        <v>168</v>
      </c>
      <c r="S1036" t="s">
        <v>230</v>
      </c>
      <c r="T1036" t="s">
        <v>346</v>
      </c>
      <c r="U1036">
        <v>1.8224598678454627E-6</v>
      </c>
      <c r="V1036" t="s">
        <v>168</v>
      </c>
    </row>
    <row r="1037" spans="9:22" x14ac:dyDescent="0.45">
      <c r="I1037" t="s">
        <v>187</v>
      </c>
      <c r="J1037" t="s">
        <v>347</v>
      </c>
      <c r="K1037">
        <v>0</v>
      </c>
      <c r="L1037" t="s">
        <v>168</v>
      </c>
      <c r="N1037" t="s">
        <v>211</v>
      </c>
      <c r="O1037" t="s">
        <v>347</v>
      </c>
      <c r="P1037">
        <v>5.1023427592340064E-5</v>
      </c>
      <c r="Q1037" t="s">
        <v>168</v>
      </c>
      <c r="S1037" t="s">
        <v>230</v>
      </c>
      <c r="T1037" t="s">
        <v>347</v>
      </c>
      <c r="U1037">
        <v>2.2951995403579626E-6</v>
      </c>
      <c r="V1037" t="s">
        <v>168</v>
      </c>
    </row>
    <row r="1038" spans="9:22" x14ac:dyDescent="0.45">
      <c r="I1038" t="s">
        <v>187</v>
      </c>
      <c r="J1038" t="s">
        <v>348</v>
      </c>
      <c r="K1038">
        <v>1.014181810961926E-4</v>
      </c>
      <c r="L1038" t="s">
        <v>168</v>
      </c>
      <c r="N1038" t="s">
        <v>211</v>
      </c>
      <c r="O1038" t="s">
        <v>348</v>
      </c>
      <c r="P1038">
        <v>5.2077832681706453E-5</v>
      </c>
      <c r="Q1038" t="s">
        <v>168</v>
      </c>
      <c r="S1038" t="s">
        <v>230</v>
      </c>
      <c r="T1038" t="s">
        <v>348</v>
      </c>
      <c r="U1038">
        <v>1.9854421371620509E-6</v>
      </c>
      <c r="V1038" t="s">
        <v>168</v>
      </c>
    </row>
    <row r="1039" spans="9:22" x14ac:dyDescent="0.45">
      <c r="I1039" t="s">
        <v>187</v>
      </c>
      <c r="J1039" t="s">
        <v>349</v>
      </c>
      <c r="K1039">
        <v>2.0505169224130083E-4</v>
      </c>
      <c r="L1039" t="s">
        <v>168</v>
      </c>
      <c r="N1039" t="s">
        <v>211</v>
      </c>
      <c r="O1039" t="s">
        <v>349</v>
      </c>
      <c r="P1039">
        <v>3.8528016115478683E-5</v>
      </c>
      <c r="Q1039" t="s">
        <v>168</v>
      </c>
      <c r="S1039" t="s">
        <v>230</v>
      </c>
      <c r="T1039" t="s">
        <v>349</v>
      </c>
      <c r="U1039">
        <v>1.4867057731364623E-6</v>
      </c>
      <c r="V1039" t="s">
        <v>168</v>
      </c>
    </row>
    <row r="1040" spans="9:22" x14ac:dyDescent="0.45">
      <c r="I1040" t="s">
        <v>187</v>
      </c>
      <c r="J1040" t="s">
        <v>350</v>
      </c>
      <c r="K1040">
        <v>2.8299312861976056E-4</v>
      </c>
      <c r="L1040" t="s">
        <v>168</v>
      </c>
      <c r="N1040" t="s">
        <v>211</v>
      </c>
      <c r="O1040" t="s">
        <v>350</v>
      </c>
      <c r="P1040">
        <v>2.0134058461166701E-5</v>
      </c>
      <c r="Q1040" t="s">
        <v>168</v>
      </c>
      <c r="S1040" t="s">
        <v>230</v>
      </c>
      <c r="T1040" t="s">
        <v>350</v>
      </c>
      <c r="U1040">
        <v>5.299980973929103E-7</v>
      </c>
      <c r="V1040" t="s">
        <v>168</v>
      </c>
    </row>
    <row r="1041" spans="9:22" x14ac:dyDescent="0.45">
      <c r="I1041" t="s">
        <v>187</v>
      </c>
      <c r="J1041" t="s">
        <v>351</v>
      </c>
      <c r="K1041">
        <v>3.2842949621240584E-4</v>
      </c>
      <c r="L1041" t="s">
        <v>168</v>
      </c>
      <c r="N1041" t="s">
        <v>211</v>
      </c>
      <c r="O1041" t="s">
        <v>351</v>
      </c>
      <c r="P1041">
        <v>3.3565887818386836E-5</v>
      </c>
      <c r="Q1041" t="s">
        <v>168</v>
      </c>
      <c r="S1041" t="s">
        <v>230</v>
      </c>
      <c r="T1041" t="s">
        <v>351</v>
      </c>
      <c r="U1041">
        <v>3.6602988129736621E-7</v>
      </c>
      <c r="V1041" t="s">
        <v>168</v>
      </c>
    </row>
    <row r="1042" spans="9:22" x14ac:dyDescent="0.45">
      <c r="I1042" t="s">
        <v>187</v>
      </c>
      <c r="J1042" t="s">
        <v>352</v>
      </c>
      <c r="K1042">
        <v>3.3297640115365019E-4</v>
      </c>
      <c r="L1042" t="s">
        <v>168</v>
      </c>
      <c r="N1042" t="s">
        <v>211</v>
      </c>
      <c r="O1042" t="s">
        <v>352</v>
      </c>
      <c r="P1042">
        <v>3.3844005134687051E-5</v>
      </c>
      <c r="Q1042" t="s">
        <v>168</v>
      </c>
      <c r="S1042" t="s">
        <v>230</v>
      </c>
      <c r="T1042" t="s">
        <v>352</v>
      </c>
      <c r="U1042">
        <v>0</v>
      </c>
      <c r="V1042" t="s">
        <v>168</v>
      </c>
    </row>
    <row r="1043" spans="9:22" x14ac:dyDescent="0.45">
      <c r="I1043" t="s">
        <v>187</v>
      </c>
      <c r="J1043" t="s">
        <v>353</v>
      </c>
      <c r="K1043">
        <v>3.164138824712374E-4</v>
      </c>
      <c r="L1043" t="s">
        <v>168</v>
      </c>
      <c r="N1043" t="s">
        <v>211</v>
      </c>
      <c r="O1043" t="s">
        <v>353</v>
      </c>
      <c r="P1043">
        <v>4.0856735108389338E-5</v>
      </c>
      <c r="Q1043" t="s">
        <v>168</v>
      </c>
      <c r="S1043" t="s">
        <v>230</v>
      </c>
      <c r="T1043" t="s">
        <v>353</v>
      </c>
      <c r="U1043">
        <v>6.198716678905037E-8</v>
      </c>
      <c r="V1043" t="s">
        <v>168</v>
      </c>
    </row>
    <row r="1044" spans="9:22" x14ac:dyDescent="0.45">
      <c r="I1044" t="s">
        <v>187</v>
      </c>
      <c r="J1044" t="s">
        <v>354</v>
      </c>
      <c r="K1044">
        <v>3.1443007779450595E-4</v>
      </c>
      <c r="L1044" t="s">
        <v>168</v>
      </c>
      <c r="N1044" t="s">
        <v>211</v>
      </c>
      <c r="O1044" t="s">
        <v>354</v>
      </c>
      <c r="P1044">
        <v>4.4088210356547538E-5</v>
      </c>
      <c r="Q1044" t="s">
        <v>168</v>
      </c>
      <c r="S1044" t="s">
        <v>230</v>
      </c>
      <c r="T1044" t="s">
        <v>354</v>
      </c>
      <c r="U1044">
        <v>8.6550574150607506E-7</v>
      </c>
      <c r="V1044" t="s">
        <v>168</v>
      </c>
    </row>
    <row r="1045" spans="9:22" x14ac:dyDescent="0.45">
      <c r="I1045" t="s">
        <v>187</v>
      </c>
      <c r="J1045" t="s">
        <v>355</v>
      </c>
      <c r="K1045">
        <v>3.2882766528506029E-4</v>
      </c>
      <c r="L1045" t="s">
        <v>168</v>
      </c>
      <c r="N1045" t="s">
        <v>211</v>
      </c>
      <c r="O1045" t="s">
        <v>355</v>
      </c>
      <c r="P1045">
        <v>5.1912991922837393E-5</v>
      </c>
      <c r="Q1045" t="s">
        <v>168</v>
      </c>
      <c r="S1045" t="s">
        <v>230</v>
      </c>
      <c r="T1045" t="s">
        <v>355</v>
      </c>
      <c r="U1045">
        <v>2.6392247018210216E-6</v>
      </c>
      <c r="V1045" t="s">
        <v>168</v>
      </c>
    </row>
    <row r="1046" spans="9:22" x14ac:dyDescent="0.45">
      <c r="I1046" t="s">
        <v>187</v>
      </c>
      <c r="J1046" t="s">
        <v>356</v>
      </c>
      <c r="K1046">
        <v>3.0870052018999044E-4</v>
      </c>
      <c r="L1046" t="s">
        <v>168</v>
      </c>
      <c r="N1046" t="s">
        <v>211</v>
      </c>
      <c r="O1046" t="s">
        <v>356</v>
      </c>
      <c r="P1046">
        <v>6.61624064294703E-5</v>
      </c>
      <c r="Q1046" t="s">
        <v>168</v>
      </c>
      <c r="S1046" t="s">
        <v>230</v>
      </c>
      <c r="T1046" t="s">
        <v>356</v>
      </c>
      <c r="U1046">
        <v>4.8287509067010365E-6</v>
      </c>
      <c r="V1046" t="s">
        <v>168</v>
      </c>
    </row>
    <row r="1047" spans="9:22" x14ac:dyDescent="0.45">
      <c r="I1047" t="s">
        <v>187</v>
      </c>
      <c r="J1047" t="s">
        <v>357</v>
      </c>
      <c r="K1047">
        <v>2.7354881623044237E-4</v>
      </c>
      <c r="L1047" t="s">
        <v>168</v>
      </c>
      <c r="N1047" t="s">
        <v>211</v>
      </c>
      <c r="O1047" t="s">
        <v>357</v>
      </c>
      <c r="P1047">
        <v>8.298426055535815E-5</v>
      </c>
      <c r="Q1047" t="s">
        <v>168</v>
      </c>
      <c r="S1047" t="s">
        <v>230</v>
      </c>
      <c r="T1047" t="s">
        <v>357</v>
      </c>
      <c r="U1047">
        <v>6.6007124534835918E-6</v>
      </c>
      <c r="V1047" t="s">
        <v>168</v>
      </c>
    </row>
    <row r="1048" spans="9:22" x14ac:dyDescent="0.45">
      <c r="I1048" t="s">
        <v>187</v>
      </c>
      <c r="J1048" t="s">
        <v>358</v>
      </c>
      <c r="K1048">
        <v>2.1697599103514555E-4</v>
      </c>
      <c r="L1048" t="s">
        <v>168</v>
      </c>
      <c r="N1048" t="s">
        <v>211</v>
      </c>
      <c r="O1048" t="s">
        <v>358</v>
      </c>
      <c r="P1048">
        <v>8.7780915112523156E-5</v>
      </c>
      <c r="Q1048" t="s">
        <v>168</v>
      </c>
      <c r="S1048" t="s">
        <v>230</v>
      </c>
      <c r="T1048" t="s">
        <v>358</v>
      </c>
      <c r="U1048">
        <v>7.9706517366602199E-6</v>
      </c>
      <c r="V1048" t="s">
        <v>168</v>
      </c>
    </row>
    <row r="1049" spans="9:22" x14ac:dyDescent="0.45">
      <c r="I1049" t="s">
        <v>187</v>
      </c>
      <c r="J1049" t="s">
        <v>359</v>
      </c>
      <c r="K1049">
        <v>1.165830179302669E-4</v>
      </c>
      <c r="L1049" t="s">
        <v>168</v>
      </c>
      <c r="N1049" t="s">
        <v>211</v>
      </c>
      <c r="O1049" t="s">
        <v>359</v>
      </c>
      <c r="P1049">
        <v>1.070891455008861E-4</v>
      </c>
      <c r="Q1049" t="s">
        <v>168</v>
      </c>
      <c r="S1049" t="s">
        <v>230</v>
      </c>
      <c r="T1049" t="s">
        <v>359</v>
      </c>
      <c r="U1049">
        <v>6.9829992387668273E-6</v>
      </c>
      <c r="V1049" t="s">
        <v>168</v>
      </c>
    </row>
    <row r="1050" spans="9:22" x14ac:dyDescent="0.45">
      <c r="I1050" t="s">
        <v>187</v>
      </c>
      <c r="J1050" t="s">
        <v>360</v>
      </c>
      <c r="K1050">
        <v>0</v>
      </c>
      <c r="L1050" t="s">
        <v>168</v>
      </c>
      <c r="N1050" t="s">
        <v>211</v>
      </c>
      <c r="O1050" t="s">
        <v>360</v>
      </c>
      <c r="P1050">
        <v>7.4934990455060495E-5</v>
      </c>
      <c r="Q1050" t="s">
        <v>168</v>
      </c>
      <c r="S1050" t="s">
        <v>230</v>
      </c>
      <c r="T1050" t="s">
        <v>360</v>
      </c>
      <c r="U1050">
        <v>3.6057715712481279E-6</v>
      </c>
      <c r="V1050" t="s">
        <v>168</v>
      </c>
    </row>
    <row r="1051" spans="9:22" x14ac:dyDescent="0.45">
      <c r="I1051" t="s">
        <v>187</v>
      </c>
      <c r="J1051" t="s">
        <v>361</v>
      </c>
      <c r="K1051">
        <v>0</v>
      </c>
      <c r="L1051" t="s">
        <v>168</v>
      </c>
      <c r="N1051" t="s">
        <v>211</v>
      </c>
      <c r="O1051" t="s">
        <v>361</v>
      </c>
      <c r="P1051">
        <v>7.0250160346924716E-5</v>
      </c>
      <c r="Q1051" t="s">
        <v>168</v>
      </c>
      <c r="S1051" t="s">
        <v>230</v>
      </c>
      <c r="T1051" t="s">
        <v>361</v>
      </c>
      <c r="U1051">
        <v>4.5717139511494368E-7</v>
      </c>
      <c r="V1051" t="s">
        <v>168</v>
      </c>
    </row>
    <row r="1052" spans="9:22" x14ac:dyDescent="0.45">
      <c r="I1052" t="s">
        <v>187</v>
      </c>
      <c r="J1052" t="s">
        <v>362</v>
      </c>
      <c r="K1052">
        <v>0</v>
      </c>
      <c r="L1052" t="s">
        <v>168</v>
      </c>
      <c r="N1052" t="s">
        <v>211</v>
      </c>
      <c r="O1052" t="s">
        <v>362</v>
      </c>
      <c r="P1052">
        <v>7.2912792568370616E-5</v>
      </c>
      <c r="Q1052" t="s">
        <v>168</v>
      </c>
      <c r="S1052" t="s">
        <v>230</v>
      </c>
      <c r="T1052" t="s">
        <v>362</v>
      </c>
      <c r="U1052">
        <v>6.5370132950563212E-7</v>
      </c>
      <c r="V1052" t="s">
        <v>168</v>
      </c>
    </row>
    <row r="1053" spans="9:22" x14ac:dyDescent="0.45">
      <c r="I1053" t="s">
        <v>187</v>
      </c>
      <c r="J1053" t="s">
        <v>363</v>
      </c>
      <c r="K1053">
        <v>0</v>
      </c>
      <c r="L1053" t="s">
        <v>168</v>
      </c>
      <c r="N1053" t="s">
        <v>211</v>
      </c>
      <c r="O1053" t="s">
        <v>363</v>
      </c>
      <c r="P1053">
        <v>7.648150940235732E-5</v>
      </c>
      <c r="Q1053" t="s">
        <v>168</v>
      </c>
      <c r="S1053" t="s">
        <v>230</v>
      </c>
      <c r="T1053" t="s">
        <v>363</v>
      </c>
      <c r="U1053">
        <v>8.787926617581954E-7</v>
      </c>
      <c r="V1053" t="s">
        <v>168</v>
      </c>
    </row>
    <row r="1054" spans="9:22" x14ac:dyDescent="0.45">
      <c r="I1054" t="s">
        <v>187</v>
      </c>
      <c r="J1054" t="s">
        <v>364</v>
      </c>
      <c r="K1054">
        <v>0</v>
      </c>
      <c r="L1054" t="s">
        <v>168</v>
      </c>
      <c r="N1054" t="s">
        <v>211</v>
      </c>
      <c r="O1054" t="s">
        <v>364</v>
      </c>
      <c r="P1054">
        <v>7.7392876334773919E-5</v>
      </c>
      <c r="Q1054" t="s">
        <v>168</v>
      </c>
      <c r="S1054" t="s">
        <v>230</v>
      </c>
      <c r="T1054" t="s">
        <v>364</v>
      </c>
      <c r="U1054">
        <v>2.1762700663719371E-6</v>
      </c>
      <c r="V1054" t="s">
        <v>168</v>
      </c>
    </row>
    <row r="1055" spans="9:22" x14ac:dyDescent="0.45">
      <c r="I1055" t="s">
        <v>187</v>
      </c>
      <c r="J1055" t="s">
        <v>277</v>
      </c>
      <c r="K1055">
        <v>1.3666066208935174E-3</v>
      </c>
      <c r="L1055" t="s">
        <v>168</v>
      </c>
      <c r="N1055" t="s">
        <v>211</v>
      </c>
      <c r="O1055" t="s">
        <v>277</v>
      </c>
      <c r="P1055">
        <v>4.8368602188461299E-2</v>
      </c>
      <c r="Q1055" t="s">
        <v>168</v>
      </c>
      <c r="S1055" t="s">
        <v>230</v>
      </c>
      <c r="T1055" t="s">
        <v>277</v>
      </c>
      <c r="U1055">
        <v>5.7857194379399304E-2</v>
      </c>
      <c r="V1055" t="s">
        <v>168</v>
      </c>
    </row>
    <row r="1056" spans="9:22" x14ac:dyDescent="0.45">
      <c r="I1056" t="s">
        <v>187</v>
      </c>
      <c r="J1056" t="s">
        <v>278</v>
      </c>
      <c r="K1056">
        <v>7.1511031445500774E-3</v>
      </c>
      <c r="L1056" t="s">
        <v>168</v>
      </c>
      <c r="N1056" t="s">
        <v>211</v>
      </c>
      <c r="O1056" t="s">
        <v>278</v>
      </c>
      <c r="P1056">
        <v>5.4270392789931062E-3</v>
      </c>
      <c r="Q1056" t="s">
        <v>168</v>
      </c>
      <c r="S1056" t="s">
        <v>230</v>
      </c>
      <c r="T1056" t="s">
        <v>278</v>
      </c>
      <c r="U1056">
        <v>7.174648015117106E-3</v>
      </c>
      <c r="V1056" t="s">
        <v>168</v>
      </c>
    </row>
    <row r="1057" spans="9:22" x14ac:dyDescent="0.45">
      <c r="I1057" t="s">
        <v>187</v>
      </c>
      <c r="J1057" t="s">
        <v>279</v>
      </c>
      <c r="K1057">
        <v>1.1509441157172031E-2</v>
      </c>
      <c r="L1057" t="s">
        <v>168</v>
      </c>
      <c r="N1057" t="s">
        <v>211</v>
      </c>
      <c r="O1057" t="s">
        <v>279</v>
      </c>
      <c r="P1057">
        <v>5.7799964105174307E-3</v>
      </c>
      <c r="Q1057" t="s">
        <v>168</v>
      </c>
      <c r="S1057" t="s">
        <v>230</v>
      </c>
      <c r="T1057" t="s">
        <v>279</v>
      </c>
      <c r="U1057">
        <v>7.0705618498128221E-3</v>
      </c>
      <c r="V1057" t="s">
        <v>168</v>
      </c>
    </row>
    <row r="1058" spans="9:22" x14ac:dyDescent="0.45">
      <c r="I1058" t="s">
        <v>187</v>
      </c>
      <c r="J1058" t="s">
        <v>280</v>
      </c>
      <c r="K1058">
        <v>8.511399398452521E-2</v>
      </c>
      <c r="L1058" t="s">
        <v>168</v>
      </c>
      <c r="N1058" t="s">
        <v>211</v>
      </c>
      <c r="O1058" t="s">
        <v>280</v>
      </c>
      <c r="P1058">
        <v>4.3186443393024077E-2</v>
      </c>
      <c r="Q1058" t="s">
        <v>168</v>
      </c>
      <c r="S1058" t="s">
        <v>230</v>
      </c>
      <c r="T1058" t="s">
        <v>280</v>
      </c>
      <c r="U1058">
        <v>4.2069161885807171E-2</v>
      </c>
      <c r="V1058" t="s">
        <v>168</v>
      </c>
    </row>
    <row r="1059" spans="9:22" x14ac:dyDescent="0.45">
      <c r="I1059" t="s">
        <v>187</v>
      </c>
      <c r="J1059" t="s">
        <v>281</v>
      </c>
      <c r="K1059">
        <v>1.1011450332131332E-2</v>
      </c>
      <c r="L1059" t="s">
        <v>168</v>
      </c>
      <c r="N1059" t="s">
        <v>211</v>
      </c>
      <c r="O1059" t="s">
        <v>281</v>
      </c>
      <c r="P1059">
        <v>7.0409551166129673E-3</v>
      </c>
      <c r="Q1059" t="s">
        <v>168</v>
      </c>
      <c r="S1059" t="s">
        <v>230</v>
      </c>
      <c r="T1059" t="s">
        <v>281</v>
      </c>
      <c r="U1059">
        <v>7.3928797576001308E-3</v>
      </c>
      <c r="V1059" t="s">
        <v>168</v>
      </c>
    </row>
    <row r="1060" spans="9:22" x14ac:dyDescent="0.45">
      <c r="I1060" t="s">
        <v>187</v>
      </c>
      <c r="J1060" t="s">
        <v>282</v>
      </c>
      <c r="K1060">
        <v>7.4922263505717368E-3</v>
      </c>
      <c r="L1060" t="s">
        <v>168</v>
      </c>
      <c r="N1060" t="s">
        <v>211</v>
      </c>
      <c r="O1060" t="s">
        <v>282</v>
      </c>
      <c r="P1060">
        <v>4.6184879788375578E-2</v>
      </c>
      <c r="Q1060" t="s">
        <v>168</v>
      </c>
      <c r="S1060" t="s">
        <v>230</v>
      </c>
      <c r="T1060" t="s">
        <v>282</v>
      </c>
      <c r="U1060">
        <v>5.4473470780520894E-2</v>
      </c>
      <c r="V1060" t="s">
        <v>168</v>
      </c>
    </row>
    <row r="1061" spans="9:22" x14ac:dyDescent="0.45">
      <c r="I1061" t="s">
        <v>187</v>
      </c>
      <c r="J1061" t="s">
        <v>283</v>
      </c>
      <c r="K1061">
        <v>0</v>
      </c>
      <c r="L1061" t="s">
        <v>168</v>
      </c>
      <c r="N1061" t="s">
        <v>211</v>
      </c>
      <c r="O1061" t="s">
        <v>283</v>
      </c>
      <c r="P1061">
        <v>2.4533268380515744E-2</v>
      </c>
      <c r="Q1061" t="s">
        <v>168</v>
      </c>
      <c r="S1061" t="s">
        <v>230</v>
      </c>
      <c r="T1061" t="s">
        <v>283</v>
      </c>
      <c r="U1061">
        <v>2.2315994683888365E-2</v>
      </c>
      <c r="V1061" t="s">
        <v>168</v>
      </c>
    </row>
    <row r="1062" spans="9:22" x14ac:dyDescent="0.45">
      <c r="I1062" t="s">
        <v>187</v>
      </c>
      <c r="J1062" t="s">
        <v>284</v>
      </c>
      <c r="K1062">
        <v>1.3610487256627811E-3</v>
      </c>
      <c r="L1062" t="s">
        <v>168</v>
      </c>
      <c r="N1062" t="s">
        <v>211</v>
      </c>
      <c r="O1062" t="s">
        <v>284</v>
      </c>
      <c r="P1062">
        <v>3.7750224489694747E-3</v>
      </c>
      <c r="Q1062" t="s">
        <v>168</v>
      </c>
      <c r="S1062" t="s">
        <v>230</v>
      </c>
      <c r="T1062" t="s">
        <v>284</v>
      </c>
      <c r="U1062">
        <v>2.724308488500264E-3</v>
      </c>
      <c r="V1062" t="s">
        <v>168</v>
      </c>
    </row>
    <row r="1063" spans="9:22" x14ac:dyDescent="0.45">
      <c r="I1063" t="s">
        <v>187</v>
      </c>
      <c r="J1063" t="s">
        <v>285</v>
      </c>
      <c r="K1063">
        <v>3.6309446258175745E-3</v>
      </c>
      <c r="L1063" t="s">
        <v>168</v>
      </c>
      <c r="N1063" t="s">
        <v>211</v>
      </c>
      <c r="O1063" t="s">
        <v>285</v>
      </c>
      <c r="P1063">
        <v>3.656498378137185E-3</v>
      </c>
      <c r="Q1063" t="s">
        <v>168</v>
      </c>
      <c r="S1063" t="s">
        <v>230</v>
      </c>
      <c r="T1063" t="s">
        <v>285</v>
      </c>
      <c r="U1063">
        <v>2.7270271036272131E-3</v>
      </c>
      <c r="V1063" t="s">
        <v>168</v>
      </c>
    </row>
    <row r="1064" spans="9:22" x14ac:dyDescent="0.45">
      <c r="I1064" t="s">
        <v>187</v>
      </c>
      <c r="J1064" t="s">
        <v>286</v>
      </c>
      <c r="K1064">
        <v>3.3061388338227984E-2</v>
      </c>
      <c r="L1064" t="s">
        <v>168</v>
      </c>
      <c r="N1064" t="s">
        <v>211</v>
      </c>
      <c r="O1064" t="s">
        <v>286</v>
      </c>
      <c r="P1064">
        <v>2.4273701214276359E-2</v>
      </c>
      <c r="Q1064" t="s">
        <v>168</v>
      </c>
      <c r="S1064" t="s">
        <v>230</v>
      </c>
      <c r="T1064" t="s">
        <v>286</v>
      </c>
      <c r="U1064">
        <v>1.6428887843718848E-2</v>
      </c>
      <c r="V1064" t="s">
        <v>168</v>
      </c>
    </row>
    <row r="1065" spans="9:22" x14ac:dyDescent="0.45">
      <c r="I1065" t="s">
        <v>187</v>
      </c>
      <c r="J1065" t="s">
        <v>287</v>
      </c>
      <c r="K1065">
        <v>3.9644876784681394E-3</v>
      </c>
      <c r="L1065" t="s">
        <v>168</v>
      </c>
      <c r="N1065" t="s">
        <v>211</v>
      </c>
      <c r="O1065" t="s">
        <v>287</v>
      </c>
      <c r="P1065">
        <v>3.3277020293049739E-3</v>
      </c>
      <c r="Q1065" t="s">
        <v>168</v>
      </c>
      <c r="S1065" t="s">
        <v>230</v>
      </c>
      <c r="T1065" t="s">
        <v>287</v>
      </c>
      <c r="U1065">
        <v>2.5918703253820013E-3</v>
      </c>
      <c r="V1065" t="s">
        <v>168</v>
      </c>
    </row>
    <row r="1066" spans="9:22" x14ac:dyDescent="0.45">
      <c r="I1066" t="s">
        <v>187</v>
      </c>
      <c r="J1066" t="s">
        <v>288</v>
      </c>
      <c r="K1066">
        <v>2.1355548913441725E-3</v>
      </c>
      <c r="L1066" t="s">
        <v>168</v>
      </c>
      <c r="N1066" t="s">
        <v>211</v>
      </c>
      <c r="O1066" t="s">
        <v>288</v>
      </c>
      <c r="P1066">
        <v>1.7876103533244744E-2</v>
      </c>
      <c r="Q1066" t="s">
        <v>168</v>
      </c>
      <c r="S1066" t="s">
        <v>230</v>
      </c>
      <c r="T1066" t="s">
        <v>288</v>
      </c>
      <c r="U1066">
        <v>1.7484817594293756E-2</v>
      </c>
      <c r="V1066" t="s">
        <v>168</v>
      </c>
    </row>
    <row r="1067" spans="9:22" x14ac:dyDescent="0.45">
      <c r="I1067" t="s">
        <v>187</v>
      </c>
      <c r="J1067" t="s">
        <v>365</v>
      </c>
      <c r="K1067">
        <v>0</v>
      </c>
      <c r="L1067" t="s">
        <v>168</v>
      </c>
      <c r="N1067" t="s">
        <v>211</v>
      </c>
      <c r="O1067" t="s">
        <v>365</v>
      </c>
      <c r="P1067">
        <v>2.7462067220661593E-6</v>
      </c>
      <c r="Q1067" t="s">
        <v>168</v>
      </c>
      <c r="S1067" t="s">
        <v>230</v>
      </c>
      <c r="T1067" t="s">
        <v>365</v>
      </c>
      <c r="U1067">
        <v>3.5084648515190278E-5</v>
      </c>
      <c r="V1067" t="s">
        <v>168</v>
      </c>
    </row>
    <row r="1068" spans="9:22" x14ac:dyDescent="0.45">
      <c r="I1068" t="s">
        <v>187</v>
      </c>
      <c r="J1068" t="s">
        <v>366</v>
      </c>
      <c r="K1068">
        <v>0</v>
      </c>
      <c r="L1068" t="s">
        <v>168</v>
      </c>
      <c r="N1068" t="s">
        <v>211</v>
      </c>
      <c r="O1068" t="s">
        <v>366</v>
      </c>
      <c r="P1068">
        <v>2.8900471443395118E-6</v>
      </c>
      <c r="Q1068" t="s">
        <v>168</v>
      </c>
      <c r="S1068" t="s">
        <v>230</v>
      </c>
      <c r="T1068" t="s">
        <v>366</v>
      </c>
      <c r="U1068">
        <v>2.4610898458795524E-5</v>
      </c>
      <c r="V1068" t="s">
        <v>168</v>
      </c>
    </row>
    <row r="1069" spans="9:22" x14ac:dyDescent="0.45">
      <c r="I1069" t="s">
        <v>187</v>
      </c>
      <c r="J1069" t="s">
        <v>367</v>
      </c>
      <c r="K1069">
        <v>0</v>
      </c>
      <c r="L1069" t="s">
        <v>168</v>
      </c>
      <c r="N1069" t="s">
        <v>211</v>
      </c>
      <c r="O1069" t="s">
        <v>367</v>
      </c>
      <c r="P1069">
        <v>2.8580524801272796E-6</v>
      </c>
      <c r="Q1069" t="s">
        <v>168</v>
      </c>
      <c r="S1069" t="s">
        <v>230</v>
      </c>
      <c r="T1069" t="s">
        <v>367</v>
      </c>
      <c r="U1069">
        <v>1.6259782228909462E-5</v>
      </c>
      <c r="V1069" t="s">
        <v>168</v>
      </c>
    </row>
    <row r="1070" spans="9:22" x14ac:dyDescent="0.45">
      <c r="I1070" t="s">
        <v>187</v>
      </c>
      <c r="J1070" t="s">
        <v>368</v>
      </c>
      <c r="K1070">
        <v>0</v>
      </c>
      <c r="L1070" t="s">
        <v>168</v>
      </c>
      <c r="N1070" t="s">
        <v>211</v>
      </c>
      <c r="O1070" t="s">
        <v>368</v>
      </c>
      <c r="P1070">
        <v>2.9021979383782246E-6</v>
      </c>
      <c r="Q1070" t="s">
        <v>168</v>
      </c>
      <c r="S1070" t="s">
        <v>230</v>
      </c>
      <c r="T1070" t="s">
        <v>368</v>
      </c>
      <c r="U1070">
        <v>1.2245281222726513E-5</v>
      </c>
      <c r="V1070" t="s">
        <v>168</v>
      </c>
    </row>
    <row r="1071" spans="9:22" x14ac:dyDescent="0.45">
      <c r="I1071" t="s">
        <v>187</v>
      </c>
      <c r="J1071" t="s">
        <v>369</v>
      </c>
      <c r="K1071">
        <v>0</v>
      </c>
      <c r="L1071" t="s">
        <v>168</v>
      </c>
      <c r="N1071" t="s">
        <v>211</v>
      </c>
      <c r="O1071" t="s">
        <v>369</v>
      </c>
      <c r="P1071">
        <v>4.7435452227026116E-6</v>
      </c>
      <c r="Q1071" t="s">
        <v>168</v>
      </c>
      <c r="S1071" t="s">
        <v>230</v>
      </c>
      <c r="T1071" t="s">
        <v>369</v>
      </c>
      <c r="U1071">
        <v>1.1908979761644093E-5</v>
      </c>
      <c r="V1071" t="s">
        <v>168</v>
      </c>
    </row>
    <row r="1072" spans="9:22" x14ac:dyDescent="0.45">
      <c r="I1072" t="s">
        <v>187</v>
      </c>
      <c r="J1072" t="s">
        <v>370</v>
      </c>
      <c r="K1072">
        <v>0</v>
      </c>
      <c r="L1072" t="s">
        <v>168</v>
      </c>
      <c r="N1072" t="s">
        <v>211</v>
      </c>
      <c r="O1072" t="s">
        <v>370</v>
      </c>
      <c r="P1072">
        <v>2.8466973058736989E-6</v>
      </c>
      <c r="Q1072" t="s">
        <v>168</v>
      </c>
      <c r="S1072" t="s">
        <v>230</v>
      </c>
      <c r="T1072" t="s">
        <v>370</v>
      </c>
      <c r="U1072">
        <v>8.1059682550672609E-6</v>
      </c>
      <c r="V1072" t="s">
        <v>168</v>
      </c>
    </row>
    <row r="1073" spans="9:22" x14ac:dyDescent="0.45">
      <c r="I1073" t="s">
        <v>187</v>
      </c>
      <c r="J1073" t="s">
        <v>371</v>
      </c>
      <c r="K1073">
        <v>0</v>
      </c>
      <c r="L1073" t="s">
        <v>168</v>
      </c>
      <c r="N1073" t="s">
        <v>211</v>
      </c>
      <c r="O1073" t="s">
        <v>371</v>
      </c>
      <c r="P1073">
        <v>2.333586076840941E-6</v>
      </c>
      <c r="Q1073" t="s">
        <v>168</v>
      </c>
      <c r="S1073" t="s">
        <v>230</v>
      </c>
      <c r="T1073" t="s">
        <v>371</v>
      </c>
      <c r="U1073">
        <v>5.7589079722911385E-6</v>
      </c>
      <c r="V1073" t="s">
        <v>168</v>
      </c>
    </row>
    <row r="1074" spans="9:22" x14ac:dyDescent="0.45">
      <c r="I1074" t="s">
        <v>187</v>
      </c>
      <c r="J1074" t="s">
        <v>372</v>
      </c>
      <c r="K1074">
        <v>0</v>
      </c>
      <c r="L1074" t="s">
        <v>168</v>
      </c>
      <c r="N1074" t="s">
        <v>211</v>
      </c>
      <c r="O1074" t="s">
        <v>372</v>
      </c>
      <c r="P1074">
        <v>2.995486267905636E-6</v>
      </c>
      <c r="Q1074" t="s">
        <v>168</v>
      </c>
      <c r="S1074" t="s">
        <v>230</v>
      </c>
      <c r="T1074" t="s">
        <v>372</v>
      </c>
      <c r="U1074">
        <v>7.2564039916651058E-6</v>
      </c>
      <c r="V1074" t="s">
        <v>168</v>
      </c>
    </row>
    <row r="1075" spans="9:22" x14ac:dyDescent="0.45">
      <c r="I1075" t="s">
        <v>187</v>
      </c>
      <c r="J1075" t="s">
        <v>373</v>
      </c>
      <c r="K1075">
        <v>1.8790221796106425E-5</v>
      </c>
      <c r="L1075" t="s">
        <v>168</v>
      </c>
      <c r="N1075" t="s">
        <v>211</v>
      </c>
      <c r="O1075" t="s">
        <v>373</v>
      </c>
      <c r="P1075">
        <v>5.4496518730668003E-6</v>
      </c>
      <c r="Q1075" t="s">
        <v>168</v>
      </c>
      <c r="S1075" t="s">
        <v>230</v>
      </c>
      <c r="T1075" t="s">
        <v>373</v>
      </c>
      <c r="U1075">
        <v>8.2422116848742262E-6</v>
      </c>
      <c r="V1075" t="s">
        <v>168</v>
      </c>
    </row>
    <row r="1076" spans="9:22" x14ac:dyDescent="0.45">
      <c r="I1076" t="s">
        <v>187</v>
      </c>
      <c r="J1076" t="s">
        <v>374</v>
      </c>
      <c r="K1076">
        <v>2.6932478552273057E-5</v>
      </c>
      <c r="L1076" t="s">
        <v>168</v>
      </c>
      <c r="N1076" t="s">
        <v>211</v>
      </c>
      <c r="O1076" t="s">
        <v>374</v>
      </c>
      <c r="P1076">
        <v>7.0236240311622657E-6</v>
      </c>
      <c r="Q1076" t="s">
        <v>168</v>
      </c>
      <c r="S1076" t="s">
        <v>230</v>
      </c>
      <c r="T1076" t="s">
        <v>374</v>
      </c>
      <c r="U1076">
        <v>1.0270904125563921E-5</v>
      </c>
      <c r="V1076" t="s">
        <v>168</v>
      </c>
    </row>
    <row r="1077" spans="9:22" x14ac:dyDescent="0.45">
      <c r="I1077" t="s">
        <v>187</v>
      </c>
      <c r="J1077" t="s">
        <v>375</v>
      </c>
      <c r="K1077">
        <v>3.8767466472285566E-5</v>
      </c>
      <c r="L1077" t="s">
        <v>168</v>
      </c>
      <c r="N1077" t="s">
        <v>211</v>
      </c>
      <c r="O1077" t="s">
        <v>375</v>
      </c>
      <c r="P1077">
        <v>2.74526591573536E-6</v>
      </c>
      <c r="Q1077" t="s">
        <v>168</v>
      </c>
      <c r="S1077" t="s">
        <v>230</v>
      </c>
      <c r="T1077" t="s">
        <v>375</v>
      </c>
      <c r="U1077">
        <v>1.1155553658682974E-5</v>
      </c>
      <c r="V1077" t="s">
        <v>168</v>
      </c>
    </row>
    <row r="1078" spans="9:22" x14ac:dyDescent="0.45">
      <c r="I1078" t="s">
        <v>187</v>
      </c>
      <c r="J1078" t="s">
        <v>376</v>
      </c>
      <c r="K1078">
        <v>5.6403226455554058E-5</v>
      </c>
      <c r="L1078" t="s">
        <v>168</v>
      </c>
      <c r="N1078" t="s">
        <v>211</v>
      </c>
      <c r="O1078" t="s">
        <v>376</v>
      </c>
      <c r="P1078">
        <v>2.172847374983019E-5</v>
      </c>
      <c r="Q1078" t="s">
        <v>168</v>
      </c>
      <c r="S1078" t="s">
        <v>230</v>
      </c>
      <c r="T1078" t="s">
        <v>376</v>
      </c>
      <c r="U1078">
        <v>2.7732444274857823E-5</v>
      </c>
      <c r="V1078" t="s">
        <v>168</v>
      </c>
    </row>
    <row r="1079" spans="9:22" x14ac:dyDescent="0.45">
      <c r="I1079" t="s">
        <v>187</v>
      </c>
      <c r="J1079" t="s">
        <v>377</v>
      </c>
      <c r="K1079">
        <v>6.730409608927276E-5</v>
      </c>
      <c r="L1079" t="s">
        <v>168</v>
      </c>
      <c r="N1079" t="s">
        <v>211</v>
      </c>
      <c r="O1079" t="s">
        <v>377</v>
      </c>
      <c r="P1079">
        <v>3.3791522741164498E-5</v>
      </c>
      <c r="Q1079" t="s">
        <v>168</v>
      </c>
      <c r="S1079" t="s">
        <v>230</v>
      </c>
      <c r="T1079" t="s">
        <v>377</v>
      </c>
      <c r="U1079">
        <v>3.3210841291064322E-5</v>
      </c>
      <c r="V1079" t="s">
        <v>168</v>
      </c>
    </row>
    <row r="1080" spans="9:22" x14ac:dyDescent="0.45">
      <c r="I1080" t="s">
        <v>187</v>
      </c>
      <c r="J1080" t="s">
        <v>378</v>
      </c>
      <c r="K1080">
        <v>6.0232477946920236E-5</v>
      </c>
      <c r="L1080" t="s">
        <v>168</v>
      </c>
      <c r="N1080" t="s">
        <v>211</v>
      </c>
      <c r="O1080" t="s">
        <v>378</v>
      </c>
      <c r="P1080">
        <v>4.5615585301241016E-5</v>
      </c>
      <c r="Q1080" t="s">
        <v>168</v>
      </c>
      <c r="S1080" t="s">
        <v>230</v>
      </c>
      <c r="T1080" t="s">
        <v>378</v>
      </c>
      <c r="U1080">
        <v>3.2137723795920382E-5</v>
      </c>
      <c r="V1080" t="s">
        <v>168</v>
      </c>
    </row>
    <row r="1081" spans="9:22" x14ac:dyDescent="0.45">
      <c r="I1081" t="s">
        <v>187</v>
      </c>
      <c r="J1081" t="s">
        <v>379</v>
      </c>
      <c r="K1081">
        <v>5.9607820259121741E-5</v>
      </c>
      <c r="L1081" t="s">
        <v>168</v>
      </c>
      <c r="N1081" t="s">
        <v>211</v>
      </c>
      <c r="O1081" t="s">
        <v>379</v>
      </c>
      <c r="P1081">
        <v>3.6555542106667246E-5</v>
      </c>
      <c r="Q1081" t="s">
        <v>168</v>
      </c>
      <c r="S1081" t="s">
        <v>230</v>
      </c>
      <c r="T1081" t="s">
        <v>379</v>
      </c>
      <c r="U1081">
        <v>2.748758106297903E-5</v>
      </c>
      <c r="V1081" t="s">
        <v>168</v>
      </c>
    </row>
    <row r="1082" spans="9:22" x14ac:dyDescent="0.45">
      <c r="I1082" t="s">
        <v>187</v>
      </c>
      <c r="J1082" t="s">
        <v>380</v>
      </c>
      <c r="K1082">
        <v>4.6410639013126008E-5</v>
      </c>
      <c r="L1082" t="s">
        <v>168</v>
      </c>
      <c r="N1082" t="s">
        <v>211</v>
      </c>
      <c r="O1082" t="s">
        <v>380</v>
      </c>
      <c r="P1082">
        <v>1.9049367348293911E-5</v>
      </c>
      <c r="Q1082" t="s">
        <v>168</v>
      </c>
      <c r="S1082" t="s">
        <v>230</v>
      </c>
      <c r="T1082" t="s">
        <v>380</v>
      </c>
      <c r="U1082">
        <v>2.2793736997516343E-5</v>
      </c>
      <c r="V1082" t="s">
        <v>168</v>
      </c>
    </row>
    <row r="1083" spans="9:22" x14ac:dyDescent="0.45">
      <c r="I1083" t="s">
        <v>187</v>
      </c>
      <c r="J1083" t="s">
        <v>381</v>
      </c>
      <c r="K1083">
        <v>2.6833183552061705E-5</v>
      </c>
      <c r="L1083" t="s">
        <v>168</v>
      </c>
      <c r="N1083" t="s">
        <v>211</v>
      </c>
      <c r="O1083" t="s">
        <v>381</v>
      </c>
      <c r="P1083">
        <v>1.2101433576627553E-5</v>
      </c>
      <c r="Q1083" t="s">
        <v>168</v>
      </c>
      <c r="S1083" t="s">
        <v>230</v>
      </c>
      <c r="T1083" t="s">
        <v>381</v>
      </c>
      <c r="U1083">
        <v>1.8625930346717259E-5</v>
      </c>
      <c r="V1083" t="s">
        <v>168</v>
      </c>
    </row>
    <row r="1084" spans="9:22" x14ac:dyDescent="0.45">
      <c r="I1084" t="s">
        <v>187</v>
      </c>
      <c r="J1084" t="s">
        <v>382</v>
      </c>
      <c r="K1084">
        <v>2.0521060919390059E-5</v>
      </c>
      <c r="L1084" t="s">
        <v>168</v>
      </c>
      <c r="N1084" t="s">
        <v>211</v>
      </c>
      <c r="O1084" t="s">
        <v>382</v>
      </c>
      <c r="P1084">
        <v>1.2413564291940575E-5</v>
      </c>
      <c r="Q1084" t="s">
        <v>168</v>
      </c>
      <c r="S1084" t="s">
        <v>230</v>
      </c>
      <c r="T1084" t="s">
        <v>382</v>
      </c>
      <c r="U1084">
        <v>1.4602487868175217E-5</v>
      </c>
      <c r="V1084" t="s">
        <v>168</v>
      </c>
    </row>
    <row r="1085" spans="9:22" x14ac:dyDescent="0.45">
      <c r="I1085" t="s">
        <v>187</v>
      </c>
      <c r="J1085" t="s">
        <v>383</v>
      </c>
      <c r="K1085">
        <v>0</v>
      </c>
      <c r="L1085" t="s">
        <v>168</v>
      </c>
      <c r="N1085" t="s">
        <v>211</v>
      </c>
      <c r="O1085" t="s">
        <v>383</v>
      </c>
      <c r="P1085">
        <v>1.1791786346290626E-5</v>
      </c>
      <c r="Q1085" t="s">
        <v>168</v>
      </c>
      <c r="S1085" t="s">
        <v>230</v>
      </c>
      <c r="T1085" t="s">
        <v>383</v>
      </c>
      <c r="U1085">
        <v>1.1858537344169764E-5</v>
      </c>
      <c r="V1085" t="s">
        <v>168</v>
      </c>
    </row>
    <row r="1086" spans="9:22" x14ac:dyDescent="0.45">
      <c r="I1086" t="s">
        <v>187</v>
      </c>
      <c r="J1086" t="s">
        <v>384</v>
      </c>
      <c r="K1086">
        <v>0</v>
      </c>
      <c r="L1086" t="s">
        <v>168</v>
      </c>
      <c r="N1086" t="s">
        <v>211</v>
      </c>
      <c r="O1086" t="s">
        <v>384</v>
      </c>
      <c r="P1086">
        <v>1.1672397520551081E-5</v>
      </c>
      <c r="Q1086" t="s">
        <v>168</v>
      </c>
      <c r="S1086" t="s">
        <v>230</v>
      </c>
      <c r="T1086" t="s">
        <v>384</v>
      </c>
      <c r="U1086">
        <v>9.2320123319226762E-6</v>
      </c>
      <c r="V1086" t="s">
        <v>168</v>
      </c>
    </row>
    <row r="1087" spans="9:22" x14ac:dyDescent="0.45">
      <c r="I1087" t="s">
        <v>187</v>
      </c>
      <c r="J1087" t="s">
        <v>385</v>
      </c>
      <c r="K1087">
        <v>0</v>
      </c>
      <c r="L1087" t="s">
        <v>168</v>
      </c>
      <c r="N1087" t="s">
        <v>211</v>
      </c>
      <c r="O1087" t="s">
        <v>385</v>
      </c>
      <c r="P1087">
        <v>1.0577785185253361E-5</v>
      </c>
      <c r="Q1087" t="s">
        <v>168</v>
      </c>
      <c r="S1087" t="s">
        <v>230</v>
      </c>
      <c r="T1087" t="s">
        <v>385</v>
      </c>
      <c r="U1087">
        <v>5.6051978572083865E-6</v>
      </c>
      <c r="V1087" t="s">
        <v>168</v>
      </c>
    </row>
    <row r="1088" spans="9:22" x14ac:dyDescent="0.45">
      <c r="I1088" t="s">
        <v>187</v>
      </c>
      <c r="J1088" t="s">
        <v>386</v>
      </c>
      <c r="K1088">
        <v>0</v>
      </c>
      <c r="L1088" t="s">
        <v>168</v>
      </c>
      <c r="N1088" t="s">
        <v>211</v>
      </c>
      <c r="O1088" t="s">
        <v>386</v>
      </c>
      <c r="P1088">
        <v>1.330145712658417E-5</v>
      </c>
      <c r="Q1088" t="s">
        <v>168</v>
      </c>
      <c r="S1088" t="s">
        <v>230</v>
      </c>
      <c r="T1088" t="s">
        <v>386</v>
      </c>
      <c r="U1088">
        <v>4.0382107555296293E-6</v>
      </c>
      <c r="V1088" t="s">
        <v>168</v>
      </c>
    </row>
    <row r="1089" spans="9:22" x14ac:dyDescent="0.45">
      <c r="I1089" t="s">
        <v>187</v>
      </c>
      <c r="J1089" t="s">
        <v>387</v>
      </c>
      <c r="K1089">
        <v>0</v>
      </c>
      <c r="L1089" t="s">
        <v>168</v>
      </c>
      <c r="N1089" t="s">
        <v>211</v>
      </c>
      <c r="O1089" t="s">
        <v>387</v>
      </c>
      <c r="P1089">
        <v>1.6562748609233287E-5</v>
      </c>
      <c r="Q1089" t="s">
        <v>168</v>
      </c>
      <c r="S1089" t="s">
        <v>230</v>
      </c>
      <c r="T1089" t="s">
        <v>387</v>
      </c>
      <c r="U1089">
        <v>4.4123760895818789E-6</v>
      </c>
      <c r="V1089" t="s">
        <v>168</v>
      </c>
    </row>
    <row r="1090" spans="9:22" x14ac:dyDescent="0.45">
      <c r="I1090" t="s">
        <v>187</v>
      </c>
      <c r="J1090" t="s">
        <v>388</v>
      </c>
      <c r="K1090">
        <v>0</v>
      </c>
      <c r="L1090" t="s">
        <v>168</v>
      </c>
      <c r="N1090" t="s">
        <v>211</v>
      </c>
      <c r="O1090" t="s">
        <v>388</v>
      </c>
      <c r="P1090">
        <v>1.3704149195369044E-5</v>
      </c>
      <c r="Q1090" t="s">
        <v>168</v>
      </c>
      <c r="S1090" t="s">
        <v>230</v>
      </c>
      <c r="T1090" t="s">
        <v>388</v>
      </c>
      <c r="U1090">
        <v>5.9040031351792633E-6</v>
      </c>
      <c r="V1090" t="s">
        <v>168</v>
      </c>
    </row>
    <row r="1091" spans="9:22" x14ac:dyDescent="0.45">
      <c r="I1091" t="s">
        <v>188</v>
      </c>
      <c r="J1091" t="s">
        <v>167</v>
      </c>
      <c r="K1091">
        <v>0</v>
      </c>
      <c r="L1091" t="s">
        <v>168</v>
      </c>
      <c r="N1091" t="s">
        <v>212</v>
      </c>
      <c r="O1091" t="s">
        <v>167</v>
      </c>
      <c r="P1091">
        <v>8.2824760551566429E-2</v>
      </c>
      <c r="Q1091" t="s">
        <v>168</v>
      </c>
      <c r="S1091" t="s">
        <v>231</v>
      </c>
      <c r="T1091" t="s">
        <v>167</v>
      </c>
      <c r="U1091">
        <v>8.4801301394065845E-2</v>
      </c>
      <c r="V1091" t="s">
        <v>168</v>
      </c>
    </row>
    <row r="1092" spans="9:22" x14ac:dyDescent="0.45">
      <c r="I1092" t="s">
        <v>188</v>
      </c>
      <c r="J1092" t="s">
        <v>169</v>
      </c>
      <c r="K1092">
        <v>5.7036362915102211E-3</v>
      </c>
      <c r="L1092" t="s">
        <v>168</v>
      </c>
      <c r="N1092" t="s">
        <v>212</v>
      </c>
      <c r="O1092" t="s">
        <v>169</v>
      </c>
      <c r="P1092">
        <v>8.819734255164564E-3</v>
      </c>
      <c r="Q1092" t="s">
        <v>168</v>
      </c>
      <c r="S1092" t="s">
        <v>231</v>
      </c>
      <c r="T1092" t="s">
        <v>169</v>
      </c>
      <c r="U1092">
        <v>9.3620288340560149E-3</v>
      </c>
      <c r="V1092" t="s">
        <v>168</v>
      </c>
    </row>
    <row r="1093" spans="9:22" x14ac:dyDescent="0.45">
      <c r="I1093" t="s">
        <v>188</v>
      </c>
      <c r="J1093" t="s">
        <v>170</v>
      </c>
      <c r="K1093">
        <v>9.9335973496695543E-3</v>
      </c>
      <c r="L1093" t="s">
        <v>168</v>
      </c>
      <c r="N1093" t="s">
        <v>212</v>
      </c>
      <c r="O1093" t="s">
        <v>170</v>
      </c>
      <c r="P1093">
        <v>8.1674729908492259E-3</v>
      </c>
      <c r="Q1093" t="s">
        <v>168</v>
      </c>
      <c r="S1093" t="s">
        <v>231</v>
      </c>
      <c r="T1093" t="s">
        <v>170</v>
      </c>
      <c r="U1093">
        <v>9.3576368824383523E-3</v>
      </c>
      <c r="V1093" t="s">
        <v>168</v>
      </c>
    </row>
    <row r="1094" spans="9:22" x14ac:dyDescent="0.45">
      <c r="I1094" t="s">
        <v>188</v>
      </c>
      <c r="J1094" t="s">
        <v>256</v>
      </c>
      <c r="K1094">
        <v>8.1381086786966345E-2</v>
      </c>
      <c r="L1094" t="s">
        <v>168</v>
      </c>
      <c r="N1094" t="s">
        <v>212</v>
      </c>
      <c r="O1094" t="s">
        <v>256</v>
      </c>
      <c r="P1094">
        <v>7.2521885354431131E-2</v>
      </c>
      <c r="Q1094" t="s">
        <v>168</v>
      </c>
      <c r="S1094" t="s">
        <v>231</v>
      </c>
      <c r="T1094" t="s">
        <v>256</v>
      </c>
      <c r="U1094">
        <v>6.7572227464895981E-2</v>
      </c>
      <c r="V1094" t="s">
        <v>168</v>
      </c>
    </row>
    <row r="1095" spans="9:22" x14ac:dyDescent="0.45">
      <c r="I1095" t="s">
        <v>188</v>
      </c>
      <c r="J1095" t="s">
        <v>257</v>
      </c>
      <c r="K1095">
        <v>1.1022127819590973E-2</v>
      </c>
      <c r="L1095" t="s">
        <v>168</v>
      </c>
      <c r="N1095" t="s">
        <v>212</v>
      </c>
      <c r="O1095" t="s">
        <v>257</v>
      </c>
      <c r="P1095">
        <v>1.395147629641072E-2</v>
      </c>
      <c r="Q1095" t="s">
        <v>168</v>
      </c>
      <c r="S1095" t="s">
        <v>231</v>
      </c>
      <c r="T1095" t="s">
        <v>257</v>
      </c>
      <c r="U1095">
        <v>1.2406557834595424E-2</v>
      </c>
      <c r="V1095" t="s">
        <v>168</v>
      </c>
    </row>
    <row r="1096" spans="9:22" x14ac:dyDescent="0.45">
      <c r="I1096" t="s">
        <v>188</v>
      </c>
      <c r="J1096" t="s">
        <v>258</v>
      </c>
      <c r="K1096">
        <v>8.3952947198688375E-3</v>
      </c>
      <c r="L1096" t="s">
        <v>168</v>
      </c>
      <c r="N1096" t="s">
        <v>212</v>
      </c>
      <c r="O1096" t="s">
        <v>258</v>
      </c>
      <c r="P1096">
        <v>8.3463611437794918E-2</v>
      </c>
      <c r="Q1096" t="s">
        <v>168</v>
      </c>
      <c r="S1096" t="s">
        <v>231</v>
      </c>
      <c r="T1096" t="s">
        <v>258</v>
      </c>
      <c r="U1096">
        <v>8.0773672049337705E-2</v>
      </c>
      <c r="V1096" t="s">
        <v>168</v>
      </c>
    </row>
    <row r="1097" spans="9:22" x14ac:dyDescent="0.45">
      <c r="I1097" t="s">
        <v>188</v>
      </c>
      <c r="J1097" t="s">
        <v>171</v>
      </c>
      <c r="K1097">
        <v>2.3684316593723477E-2</v>
      </c>
      <c r="L1097" t="s">
        <v>168</v>
      </c>
      <c r="N1097" t="s">
        <v>212</v>
      </c>
      <c r="O1097" t="s">
        <v>171</v>
      </c>
      <c r="P1097">
        <v>0.13601426980877046</v>
      </c>
      <c r="Q1097" t="s">
        <v>168</v>
      </c>
      <c r="S1097" t="s">
        <v>231</v>
      </c>
      <c r="T1097" t="s">
        <v>171</v>
      </c>
      <c r="U1097">
        <v>0.15810487236538726</v>
      </c>
      <c r="V1097" t="s">
        <v>168</v>
      </c>
    </row>
    <row r="1098" spans="9:22" x14ac:dyDescent="0.45">
      <c r="I1098" t="s">
        <v>188</v>
      </c>
      <c r="J1098" t="s">
        <v>172</v>
      </c>
      <c r="K1098">
        <v>2.7787992650962476E-2</v>
      </c>
      <c r="L1098" t="s">
        <v>168</v>
      </c>
      <c r="N1098" t="s">
        <v>212</v>
      </c>
      <c r="O1098" t="s">
        <v>172</v>
      </c>
      <c r="P1098">
        <v>1.5708488409096034E-2</v>
      </c>
      <c r="Q1098" t="s">
        <v>168</v>
      </c>
      <c r="S1098" t="s">
        <v>231</v>
      </c>
      <c r="T1098" t="s">
        <v>172</v>
      </c>
      <c r="U1098">
        <v>1.912487386341016E-2</v>
      </c>
      <c r="V1098" t="s">
        <v>168</v>
      </c>
    </row>
    <row r="1099" spans="9:22" x14ac:dyDescent="0.45">
      <c r="I1099" t="s">
        <v>188</v>
      </c>
      <c r="J1099" t="s">
        <v>173</v>
      </c>
      <c r="K1099">
        <v>3.4857444674556051E-2</v>
      </c>
      <c r="L1099" t="s">
        <v>168</v>
      </c>
      <c r="N1099" t="s">
        <v>212</v>
      </c>
      <c r="O1099" t="s">
        <v>173</v>
      </c>
      <c r="P1099">
        <v>1.5903130071922567E-2</v>
      </c>
      <c r="Q1099" t="s">
        <v>168</v>
      </c>
      <c r="S1099" t="s">
        <v>231</v>
      </c>
      <c r="T1099" t="s">
        <v>173</v>
      </c>
      <c r="U1099">
        <v>1.8928548400235154E-2</v>
      </c>
      <c r="V1099" t="s">
        <v>168</v>
      </c>
    </row>
    <row r="1100" spans="9:22" x14ac:dyDescent="0.45">
      <c r="I1100" t="s">
        <v>188</v>
      </c>
      <c r="J1100" t="s">
        <v>259</v>
      </c>
      <c r="K1100">
        <v>0.23611917918432104</v>
      </c>
      <c r="L1100" t="s">
        <v>168</v>
      </c>
      <c r="N1100" t="s">
        <v>212</v>
      </c>
      <c r="O1100" t="s">
        <v>259</v>
      </c>
      <c r="P1100">
        <v>0.13055343903890279</v>
      </c>
      <c r="Q1100" t="s">
        <v>168</v>
      </c>
      <c r="S1100" t="s">
        <v>231</v>
      </c>
      <c r="T1100" t="s">
        <v>259</v>
      </c>
      <c r="U1100">
        <v>0.10889433541837167</v>
      </c>
      <c r="V1100" t="s">
        <v>168</v>
      </c>
    </row>
    <row r="1101" spans="9:22" x14ac:dyDescent="0.45">
      <c r="I1101" t="s">
        <v>188</v>
      </c>
      <c r="J1101" t="s">
        <v>260</v>
      </c>
      <c r="K1101">
        <v>3.4383661971996597E-2</v>
      </c>
      <c r="L1101" t="s">
        <v>168</v>
      </c>
      <c r="N1101" t="s">
        <v>212</v>
      </c>
      <c r="O1101" t="s">
        <v>260</v>
      </c>
      <c r="P1101">
        <v>2.4378041567991969E-2</v>
      </c>
      <c r="Q1101" t="s">
        <v>168</v>
      </c>
      <c r="S1101" t="s">
        <v>231</v>
      </c>
      <c r="T1101" t="s">
        <v>260</v>
      </c>
      <c r="U1101">
        <v>1.9817775471289194E-2</v>
      </c>
      <c r="V1101" t="s">
        <v>168</v>
      </c>
    </row>
    <row r="1102" spans="9:22" x14ac:dyDescent="0.45">
      <c r="I1102" t="s">
        <v>188</v>
      </c>
      <c r="J1102" t="s">
        <v>261</v>
      </c>
      <c r="K1102">
        <v>5.518115771211507E-2</v>
      </c>
      <c r="L1102" t="s">
        <v>168</v>
      </c>
      <c r="N1102" t="s">
        <v>212</v>
      </c>
      <c r="O1102" t="s">
        <v>261</v>
      </c>
      <c r="P1102">
        <v>0.13422596971873257</v>
      </c>
      <c r="Q1102" t="s">
        <v>168</v>
      </c>
      <c r="S1102" t="s">
        <v>231</v>
      </c>
      <c r="T1102" t="s">
        <v>261</v>
      </c>
      <c r="U1102">
        <v>0.14650312824258127</v>
      </c>
      <c r="V1102" t="s">
        <v>168</v>
      </c>
    </row>
    <row r="1103" spans="9:22" x14ac:dyDescent="0.45">
      <c r="I1103" t="s">
        <v>188</v>
      </c>
      <c r="J1103" t="s">
        <v>174</v>
      </c>
      <c r="K1103">
        <v>8.6199746096709169E-3</v>
      </c>
      <c r="L1103" t="s">
        <v>168</v>
      </c>
      <c r="N1103" t="s">
        <v>212</v>
      </c>
      <c r="O1103" t="s">
        <v>174</v>
      </c>
      <c r="P1103">
        <v>8.1804723292993372E-4</v>
      </c>
      <c r="Q1103" t="s">
        <v>168</v>
      </c>
      <c r="S1103" t="s">
        <v>231</v>
      </c>
      <c r="T1103" t="s">
        <v>174</v>
      </c>
      <c r="U1103">
        <v>1.7048973748724535E-3</v>
      </c>
      <c r="V1103" t="s">
        <v>168</v>
      </c>
    </row>
    <row r="1104" spans="9:22" x14ac:dyDescent="0.45">
      <c r="I1104" t="s">
        <v>188</v>
      </c>
      <c r="J1104" t="s">
        <v>175</v>
      </c>
      <c r="K1104">
        <v>7.9892333218411042E-3</v>
      </c>
      <c r="L1104" t="s">
        <v>168</v>
      </c>
      <c r="N1104" t="s">
        <v>212</v>
      </c>
      <c r="O1104" t="s">
        <v>175</v>
      </c>
      <c r="P1104">
        <v>6.8413005092197047E-5</v>
      </c>
      <c r="Q1104" t="s">
        <v>168</v>
      </c>
      <c r="S1104" t="s">
        <v>231</v>
      </c>
      <c r="T1104" t="s">
        <v>175</v>
      </c>
      <c r="U1104">
        <v>1.7366298726331463E-4</v>
      </c>
      <c r="V1104" t="s">
        <v>168</v>
      </c>
    </row>
    <row r="1105" spans="9:22" x14ac:dyDescent="0.45">
      <c r="I1105" t="s">
        <v>188</v>
      </c>
      <c r="J1105" t="s">
        <v>176</v>
      </c>
      <c r="K1105">
        <v>9.407909629933953E-3</v>
      </c>
      <c r="L1105" t="s">
        <v>168</v>
      </c>
      <c r="N1105" t="s">
        <v>212</v>
      </c>
      <c r="O1105" t="s">
        <v>176</v>
      </c>
      <c r="P1105">
        <v>5.2896549630956162E-5</v>
      </c>
      <c r="Q1105" t="s">
        <v>168</v>
      </c>
      <c r="S1105" t="s">
        <v>231</v>
      </c>
      <c r="T1105" t="s">
        <v>176</v>
      </c>
      <c r="U1105">
        <v>1.8198479296054287E-4</v>
      </c>
      <c r="V1105" t="s">
        <v>168</v>
      </c>
    </row>
    <row r="1106" spans="9:22" x14ac:dyDescent="0.45">
      <c r="I1106" t="s">
        <v>188</v>
      </c>
      <c r="J1106" t="s">
        <v>262</v>
      </c>
      <c r="K1106">
        <v>6.2682126622407366E-2</v>
      </c>
      <c r="L1106" t="s">
        <v>168</v>
      </c>
      <c r="N1106" t="s">
        <v>212</v>
      </c>
      <c r="O1106" t="s">
        <v>262</v>
      </c>
      <c r="P1106">
        <v>7.3296352549880759E-3</v>
      </c>
      <c r="Q1106" t="s">
        <v>168</v>
      </c>
      <c r="S1106" t="s">
        <v>231</v>
      </c>
      <c r="T1106" t="s">
        <v>262</v>
      </c>
      <c r="U1106">
        <v>1.7903229487796746E-3</v>
      </c>
      <c r="V1106" t="s">
        <v>168</v>
      </c>
    </row>
    <row r="1107" spans="9:22" x14ac:dyDescent="0.45">
      <c r="I1107" t="s">
        <v>188</v>
      </c>
      <c r="J1107" t="s">
        <v>263</v>
      </c>
      <c r="K1107">
        <v>8.8948856910367191E-3</v>
      </c>
      <c r="L1107" t="s">
        <v>168</v>
      </c>
      <c r="N1107" t="s">
        <v>212</v>
      </c>
      <c r="O1107" t="s">
        <v>263</v>
      </c>
      <c r="P1107">
        <v>2.3689781513611665E-3</v>
      </c>
      <c r="Q1107" t="s">
        <v>168</v>
      </c>
      <c r="S1107" t="s">
        <v>231</v>
      </c>
      <c r="T1107" t="s">
        <v>263</v>
      </c>
      <c r="U1107">
        <v>7.4269634639866707E-4</v>
      </c>
      <c r="V1107" t="s">
        <v>168</v>
      </c>
    </row>
    <row r="1108" spans="9:22" x14ac:dyDescent="0.45">
      <c r="I1108" t="s">
        <v>188</v>
      </c>
      <c r="J1108" t="s">
        <v>264</v>
      </c>
      <c r="K1108">
        <v>1.7115043473424886E-2</v>
      </c>
      <c r="L1108" t="s">
        <v>168</v>
      </c>
      <c r="N1108" t="s">
        <v>212</v>
      </c>
      <c r="O1108" t="s">
        <v>264</v>
      </c>
      <c r="P1108">
        <v>8.8443329781005085E-3</v>
      </c>
      <c r="Q1108" t="s">
        <v>168</v>
      </c>
      <c r="S1108" t="s">
        <v>231</v>
      </c>
      <c r="T1108" t="s">
        <v>264</v>
      </c>
      <c r="U1108">
        <v>5.1703179669640295E-3</v>
      </c>
      <c r="V1108" t="s">
        <v>168</v>
      </c>
    </row>
    <row r="1109" spans="9:22" x14ac:dyDescent="0.45">
      <c r="I1109" t="s">
        <v>188</v>
      </c>
      <c r="J1109" t="s">
        <v>265</v>
      </c>
      <c r="K1109">
        <v>6.2290410467395552E-3</v>
      </c>
      <c r="L1109" t="s">
        <v>168</v>
      </c>
      <c r="N1109" t="s">
        <v>212</v>
      </c>
      <c r="O1109" t="s">
        <v>265</v>
      </c>
      <c r="P1109">
        <v>1.9029673591380092E-3</v>
      </c>
      <c r="Q1109" t="s">
        <v>168</v>
      </c>
      <c r="S1109" t="s">
        <v>231</v>
      </c>
      <c r="T1109" t="s">
        <v>265</v>
      </c>
      <c r="U1109">
        <v>3.7124824518231909E-3</v>
      </c>
      <c r="V1109" t="s">
        <v>168</v>
      </c>
    </row>
    <row r="1110" spans="9:22" x14ac:dyDescent="0.45">
      <c r="I1110" t="s">
        <v>188</v>
      </c>
      <c r="J1110" t="s">
        <v>266</v>
      </c>
      <c r="K1110">
        <v>7.3988928220232878E-3</v>
      </c>
      <c r="L1110" t="s">
        <v>168</v>
      </c>
      <c r="N1110" t="s">
        <v>212</v>
      </c>
      <c r="O1110" t="s">
        <v>266</v>
      </c>
      <c r="P1110">
        <v>1.2782422118032217E-4</v>
      </c>
      <c r="Q1110" t="s">
        <v>168</v>
      </c>
      <c r="S1110" t="s">
        <v>231</v>
      </c>
      <c r="T1110" t="s">
        <v>266</v>
      </c>
      <c r="U1110">
        <v>3.6561416918487509E-4</v>
      </c>
      <c r="V1110" t="s">
        <v>168</v>
      </c>
    </row>
    <row r="1111" spans="9:22" x14ac:dyDescent="0.45">
      <c r="I1111" t="s">
        <v>188</v>
      </c>
      <c r="J1111" t="s">
        <v>267</v>
      </c>
      <c r="K1111">
        <v>9.0753850008205069E-3</v>
      </c>
      <c r="L1111" t="s">
        <v>168</v>
      </c>
      <c r="N1111" t="s">
        <v>212</v>
      </c>
      <c r="O1111" t="s">
        <v>267</v>
      </c>
      <c r="P1111">
        <v>1.1552884126760981E-4</v>
      </c>
      <c r="Q1111" t="s">
        <v>168</v>
      </c>
      <c r="S1111" t="s">
        <v>231</v>
      </c>
      <c r="T1111" t="s">
        <v>267</v>
      </c>
      <c r="U1111">
        <v>3.6143044967274326E-4</v>
      </c>
      <c r="V1111" t="s">
        <v>168</v>
      </c>
    </row>
    <row r="1112" spans="9:22" x14ac:dyDescent="0.45">
      <c r="I1112" t="s">
        <v>188</v>
      </c>
      <c r="J1112" t="s">
        <v>268</v>
      </c>
      <c r="K1112">
        <v>5.8724956881009434E-2</v>
      </c>
      <c r="L1112" t="s">
        <v>168</v>
      </c>
      <c r="N1112" t="s">
        <v>212</v>
      </c>
      <c r="O1112" t="s">
        <v>268</v>
      </c>
      <c r="P1112">
        <v>5.2250778641595086E-3</v>
      </c>
      <c r="Q1112" t="s">
        <v>168</v>
      </c>
      <c r="S1112" t="s">
        <v>231</v>
      </c>
      <c r="T1112" t="s">
        <v>268</v>
      </c>
      <c r="U1112">
        <v>2.6180345120848914E-3</v>
      </c>
      <c r="V1112" t="s">
        <v>168</v>
      </c>
    </row>
    <row r="1113" spans="9:22" x14ac:dyDescent="0.45">
      <c r="I1113" t="s">
        <v>188</v>
      </c>
      <c r="J1113" t="s">
        <v>269</v>
      </c>
      <c r="K1113">
        <v>8.0880811171821707E-3</v>
      </c>
      <c r="L1113" t="s">
        <v>168</v>
      </c>
      <c r="N1113" t="s">
        <v>212</v>
      </c>
      <c r="O1113" t="s">
        <v>269</v>
      </c>
      <c r="P1113">
        <v>1.647240750548668E-3</v>
      </c>
      <c r="Q1113" t="s">
        <v>168</v>
      </c>
      <c r="S1113" t="s">
        <v>231</v>
      </c>
      <c r="T1113" t="s">
        <v>269</v>
      </c>
      <c r="U1113">
        <v>8.4973816921751072E-4</v>
      </c>
      <c r="V1113" t="s">
        <v>168</v>
      </c>
    </row>
    <row r="1114" spans="9:22" x14ac:dyDescent="0.45">
      <c r="I1114" t="s">
        <v>188</v>
      </c>
      <c r="J1114" t="s">
        <v>270</v>
      </c>
      <c r="K1114">
        <v>1.3608144605360247E-2</v>
      </c>
      <c r="L1114" t="s">
        <v>168</v>
      </c>
      <c r="N1114" t="s">
        <v>212</v>
      </c>
      <c r="O1114" t="s">
        <v>270</v>
      </c>
      <c r="P1114">
        <v>3.802096879698875E-3</v>
      </c>
      <c r="Q1114" t="s">
        <v>168</v>
      </c>
      <c r="S1114" t="s">
        <v>231</v>
      </c>
      <c r="T1114" t="s">
        <v>270</v>
      </c>
      <c r="U1114">
        <v>4.7837562508547442E-3</v>
      </c>
      <c r="V1114" t="s">
        <v>168</v>
      </c>
    </row>
    <row r="1115" spans="9:22" x14ac:dyDescent="0.45">
      <c r="I1115" t="s">
        <v>188</v>
      </c>
      <c r="J1115" t="s">
        <v>271</v>
      </c>
      <c r="K1115">
        <v>2.9148625512873099E-3</v>
      </c>
      <c r="L1115" t="s">
        <v>168</v>
      </c>
      <c r="N1115" t="s">
        <v>212</v>
      </c>
      <c r="O1115" t="s">
        <v>271</v>
      </c>
      <c r="P1115">
        <v>6.9540494370626954E-3</v>
      </c>
      <c r="Q1115" t="s">
        <v>168</v>
      </c>
      <c r="S1115" t="s">
        <v>231</v>
      </c>
      <c r="T1115" t="s">
        <v>271</v>
      </c>
      <c r="U1115">
        <v>1.1717365668746862E-2</v>
      </c>
      <c r="V1115" t="s">
        <v>168</v>
      </c>
    </row>
    <row r="1116" spans="9:22" x14ac:dyDescent="0.45">
      <c r="I1116" t="s">
        <v>188</v>
      </c>
      <c r="J1116" t="s">
        <v>272</v>
      </c>
      <c r="K1116">
        <v>5.5024192773719142E-3</v>
      </c>
      <c r="L1116" t="s">
        <v>168</v>
      </c>
      <c r="N1116" t="s">
        <v>212</v>
      </c>
      <c r="O1116" t="s">
        <v>272</v>
      </c>
      <c r="P1116">
        <v>5.6802242876464863E-4</v>
      </c>
      <c r="Q1116" t="s">
        <v>168</v>
      </c>
      <c r="S1116" t="s">
        <v>231</v>
      </c>
      <c r="T1116" t="s">
        <v>272</v>
      </c>
      <c r="U1116">
        <v>1.6475762667730635E-3</v>
      </c>
      <c r="V1116" t="s">
        <v>168</v>
      </c>
    </row>
    <row r="1117" spans="9:22" x14ac:dyDescent="0.45">
      <c r="I1117" t="s">
        <v>188</v>
      </c>
      <c r="J1117" t="s">
        <v>273</v>
      </c>
      <c r="K1117">
        <v>7.4311302014982775E-3</v>
      </c>
      <c r="L1117" t="s">
        <v>168</v>
      </c>
      <c r="N1117" t="s">
        <v>212</v>
      </c>
      <c r="O1117" t="s">
        <v>273</v>
      </c>
      <c r="P1117">
        <v>6.6995652085666691E-4</v>
      </c>
      <c r="Q1117" t="s">
        <v>168</v>
      </c>
      <c r="S1117" t="s">
        <v>231</v>
      </c>
      <c r="T1117" t="s">
        <v>273</v>
      </c>
      <c r="U1117">
        <v>1.5799430056855632E-3</v>
      </c>
      <c r="V1117" t="s">
        <v>168</v>
      </c>
    </row>
    <row r="1118" spans="9:22" x14ac:dyDescent="0.45">
      <c r="I1118" t="s">
        <v>188</v>
      </c>
      <c r="J1118" t="s">
        <v>274</v>
      </c>
      <c r="K1118">
        <v>5.010366151119932E-2</v>
      </c>
      <c r="L1118" t="s">
        <v>168</v>
      </c>
      <c r="N1118" t="s">
        <v>212</v>
      </c>
      <c r="O1118" t="s">
        <v>274</v>
      </c>
      <c r="P1118">
        <v>9.4413221048135279E-3</v>
      </c>
      <c r="Q1118" t="s">
        <v>168</v>
      </c>
      <c r="S1118" t="s">
        <v>231</v>
      </c>
      <c r="T1118" t="s">
        <v>274</v>
      </c>
      <c r="U1118">
        <v>1.1639248268387668E-2</v>
      </c>
      <c r="V1118" t="s">
        <v>168</v>
      </c>
    </row>
    <row r="1119" spans="9:22" x14ac:dyDescent="0.45">
      <c r="I1119" t="s">
        <v>188</v>
      </c>
      <c r="J1119" t="s">
        <v>275</v>
      </c>
      <c r="K1119">
        <v>6.8925610391922538E-3</v>
      </c>
      <c r="L1119" t="s">
        <v>168</v>
      </c>
      <c r="N1119" t="s">
        <v>212</v>
      </c>
      <c r="O1119" t="s">
        <v>275</v>
      </c>
      <c r="P1119">
        <v>2.4816383725297098E-3</v>
      </c>
      <c r="Q1119" t="s">
        <v>168</v>
      </c>
      <c r="S1119" t="s">
        <v>231</v>
      </c>
      <c r="T1119" t="s">
        <v>275</v>
      </c>
      <c r="U1119">
        <v>2.2570859066869328E-3</v>
      </c>
      <c r="V1119" t="s">
        <v>168</v>
      </c>
    </row>
    <row r="1120" spans="9:22" x14ac:dyDescent="0.45">
      <c r="I1120" t="s">
        <v>188</v>
      </c>
      <c r="J1120" t="s">
        <v>276</v>
      </c>
      <c r="K1120">
        <v>7.9435324703453387E-3</v>
      </c>
      <c r="L1120" t="s">
        <v>168</v>
      </c>
      <c r="N1120" t="s">
        <v>212</v>
      </c>
      <c r="O1120" t="s">
        <v>276</v>
      </c>
      <c r="P1120">
        <v>1.1640077830705855E-2</v>
      </c>
      <c r="Q1120" t="s">
        <v>168</v>
      </c>
      <c r="S1120" t="s">
        <v>231</v>
      </c>
      <c r="T1120" t="s">
        <v>276</v>
      </c>
      <c r="U1120">
        <v>1.1609409424157486E-2</v>
      </c>
      <c r="V1120" t="s">
        <v>168</v>
      </c>
    </row>
    <row r="1121" spans="9:22" x14ac:dyDescent="0.45">
      <c r="I1121" t="s">
        <v>188</v>
      </c>
      <c r="J1121" t="s">
        <v>341</v>
      </c>
      <c r="K1121">
        <v>0</v>
      </c>
      <c r="L1121" t="s">
        <v>168</v>
      </c>
      <c r="N1121" t="s">
        <v>212</v>
      </c>
      <c r="O1121" t="s">
        <v>341</v>
      </c>
      <c r="P1121">
        <v>0</v>
      </c>
      <c r="Q1121" t="s">
        <v>168</v>
      </c>
      <c r="S1121" t="s">
        <v>231</v>
      </c>
      <c r="T1121" t="s">
        <v>341</v>
      </c>
      <c r="U1121">
        <v>0</v>
      </c>
      <c r="V1121" t="s">
        <v>168</v>
      </c>
    </row>
    <row r="1122" spans="9:22" x14ac:dyDescent="0.45">
      <c r="I1122" t="s">
        <v>188</v>
      </c>
      <c r="J1122" t="s">
        <v>342</v>
      </c>
      <c r="K1122">
        <v>0</v>
      </c>
      <c r="L1122" t="s">
        <v>168</v>
      </c>
      <c r="N1122" t="s">
        <v>212</v>
      </c>
      <c r="O1122" t="s">
        <v>342</v>
      </c>
      <c r="P1122">
        <v>4.8400378118381495E-10</v>
      </c>
      <c r="Q1122" t="s">
        <v>168</v>
      </c>
      <c r="S1122" t="s">
        <v>231</v>
      </c>
      <c r="T1122" t="s">
        <v>342</v>
      </c>
      <c r="U1122">
        <v>0</v>
      </c>
      <c r="V1122" t="s">
        <v>168</v>
      </c>
    </row>
    <row r="1123" spans="9:22" x14ac:dyDescent="0.45">
      <c r="I1123" t="s">
        <v>188</v>
      </c>
      <c r="J1123" t="s">
        <v>343</v>
      </c>
      <c r="K1123">
        <v>0</v>
      </c>
      <c r="L1123" t="s">
        <v>168</v>
      </c>
      <c r="N1123" t="s">
        <v>212</v>
      </c>
      <c r="O1123" t="s">
        <v>343</v>
      </c>
      <c r="P1123">
        <v>1.2719653838824122E-8</v>
      </c>
      <c r="Q1123" t="s">
        <v>168</v>
      </c>
      <c r="S1123" t="s">
        <v>231</v>
      </c>
      <c r="T1123" t="s">
        <v>343</v>
      </c>
      <c r="U1123">
        <v>0</v>
      </c>
      <c r="V1123" t="s">
        <v>168</v>
      </c>
    </row>
    <row r="1124" spans="9:22" x14ac:dyDescent="0.45">
      <c r="I1124" t="s">
        <v>188</v>
      </c>
      <c r="J1124" t="s">
        <v>344</v>
      </c>
      <c r="K1124">
        <v>0</v>
      </c>
      <c r="L1124" t="s">
        <v>168</v>
      </c>
      <c r="N1124" t="s">
        <v>212</v>
      </c>
      <c r="O1124" t="s">
        <v>344</v>
      </c>
      <c r="P1124">
        <v>1.0272397520856929E-8</v>
      </c>
      <c r="Q1124" t="s">
        <v>168</v>
      </c>
      <c r="S1124" t="s">
        <v>231</v>
      </c>
      <c r="T1124" t="s">
        <v>344</v>
      </c>
      <c r="U1124">
        <v>0</v>
      </c>
      <c r="V1124" t="s">
        <v>168</v>
      </c>
    </row>
    <row r="1125" spans="9:22" x14ac:dyDescent="0.45">
      <c r="I1125" t="s">
        <v>188</v>
      </c>
      <c r="J1125" t="s">
        <v>345</v>
      </c>
      <c r="K1125">
        <v>0</v>
      </c>
      <c r="L1125" t="s">
        <v>168</v>
      </c>
      <c r="N1125" t="s">
        <v>212</v>
      </c>
      <c r="O1125" t="s">
        <v>345</v>
      </c>
      <c r="P1125">
        <v>0</v>
      </c>
      <c r="Q1125" t="s">
        <v>168</v>
      </c>
      <c r="S1125" t="s">
        <v>231</v>
      </c>
      <c r="T1125" t="s">
        <v>345</v>
      </c>
      <c r="U1125">
        <v>0</v>
      </c>
      <c r="V1125" t="s">
        <v>168</v>
      </c>
    </row>
    <row r="1126" spans="9:22" x14ac:dyDescent="0.45">
      <c r="I1126" t="s">
        <v>188</v>
      </c>
      <c r="J1126" t="s">
        <v>346</v>
      </c>
      <c r="K1126">
        <v>0</v>
      </c>
      <c r="L1126" t="s">
        <v>168</v>
      </c>
      <c r="N1126" t="s">
        <v>212</v>
      </c>
      <c r="O1126" t="s">
        <v>346</v>
      </c>
      <c r="P1126">
        <v>0</v>
      </c>
      <c r="Q1126" t="s">
        <v>168</v>
      </c>
      <c r="S1126" t="s">
        <v>231</v>
      </c>
      <c r="T1126" t="s">
        <v>346</v>
      </c>
      <c r="U1126">
        <v>0</v>
      </c>
      <c r="V1126" t="s">
        <v>168</v>
      </c>
    </row>
    <row r="1127" spans="9:22" x14ac:dyDescent="0.45">
      <c r="I1127" t="s">
        <v>188</v>
      </c>
      <c r="J1127" t="s">
        <v>347</v>
      </c>
      <c r="K1127">
        <v>0</v>
      </c>
      <c r="L1127" t="s">
        <v>168</v>
      </c>
      <c r="N1127" t="s">
        <v>212</v>
      </c>
      <c r="O1127" t="s">
        <v>347</v>
      </c>
      <c r="P1127">
        <v>0</v>
      </c>
      <c r="Q1127" t="s">
        <v>168</v>
      </c>
      <c r="S1127" t="s">
        <v>231</v>
      </c>
      <c r="T1127" t="s">
        <v>347</v>
      </c>
      <c r="U1127">
        <v>0</v>
      </c>
      <c r="V1127" t="s">
        <v>168</v>
      </c>
    </row>
    <row r="1128" spans="9:22" x14ac:dyDescent="0.45">
      <c r="I1128" t="s">
        <v>188</v>
      </c>
      <c r="J1128" t="s">
        <v>348</v>
      </c>
      <c r="K1128">
        <v>1.1851159259994278E-4</v>
      </c>
      <c r="L1128" t="s">
        <v>168</v>
      </c>
      <c r="N1128" t="s">
        <v>212</v>
      </c>
      <c r="O1128" t="s">
        <v>348</v>
      </c>
      <c r="P1128">
        <v>0</v>
      </c>
      <c r="Q1128" t="s">
        <v>168</v>
      </c>
      <c r="S1128" t="s">
        <v>231</v>
      </c>
      <c r="T1128" t="s">
        <v>348</v>
      </c>
      <c r="U1128">
        <v>0</v>
      </c>
      <c r="V1128" t="s">
        <v>168</v>
      </c>
    </row>
    <row r="1129" spans="9:22" x14ac:dyDescent="0.45">
      <c r="I1129" t="s">
        <v>188</v>
      </c>
      <c r="J1129" t="s">
        <v>349</v>
      </c>
      <c r="K1129">
        <v>2.3395997490914048E-4</v>
      </c>
      <c r="L1129" t="s">
        <v>168</v>
      </c>
      <c r="N1129" t="s">
        <v>212</v>
      </c>
      <c r="O1129" t="s">
        <v>349</v>
      </c>
      <c r="P1129">
        <v>0</v>
      </c>
      <c r="Q1129" t="s">
        <v>168</v>
      </c>
      <c r="S1129" t="s">
        <v>231</v>
      </c>
      <c r="T1129" t="s">
        <v>349</v>
      </c>
      <c r="U1129">
        <v>0</v>
      </c>
      <c r="V1129" t="s">
        <v>168</v>
      </c>
    </row>
    <row r="1130" spans="9:22" x14ac:dyDescent="0.45">
      <c r="I1130" t="s">
        <v>188</v>
      </c>
      <c r="J1130" t="s">
        <v>350</v>
      </c>
      <c r="K1130">
        <v>2.9721679912914344E-4</v>
      </c>
      <c r="L1130" t="s">
        <v>168</v>
      </c>
      <c r="N1130" t="s">
        <v>212</v>
      </c>
      <c r="O1130" t="s">
        <v>350</v>
      </c>
      <c r="P1130">
        <v>0</v>
      </c>
      <c r="Q1130" t="s">
        <v>168</v>
      </c>
      <c r="S1130" t="s">
        <v>231</v>
      </c>
      <c r="T1130" t="s">
        <v>350</v>
      </c>
      <c r="U1130">
        <v>0</v>
      </c>
      <c r="V1130" t="s">
        <v>168</v>
      </c>
    </row>
    <row r="1131" spans="9:22" x14ac:dyDescent="0.45">
      <c r="I1131" t="s">
        <v>188</v>
      </c>
      <c r="J1131" t="s">
        <v>351</v>
      </c>
      <c r="K1131">
        <v>3.3637779490099107E-4</v>
      </c>
      <c r="L1131" t="s">
        <v>168</v>
      </c>
      <c r="N1131" t="s">
        <v>212</v>
      </c>
      <c r="O1131" t="s">
        <v>351</v>
      </c>
      <c r="P1131">
        <v>4.7372368137377045E-8</v>
      </c>
      <c r="Q1131" t="s">
        <v>168</v>
      </c>
      <c r="S1131" t="s">
        <v>231</v>
      </c>
      <c r="T1131" t="s">
        <v>351</v>
      </c>
      <c r="U1131">
        <v>0</v>
      </c>
      <c r="V1131" t="s">
        <v>168</v>
      </c>
    </row>
    <row r="1132" spans="9:22" x14ac:dyDescent="0.45">
      <c r="I1132" t="s">
        <v>188</v>
      </c>
      <c r="J1132" t="s">
        <v>352</v>
      </c>
      <c r="K1132">
        <v>3.3928167826496717E-4</v>
      </c>
      <c r="L1132" t="s">
        <v>168</v>
      </c>
      <c r="N1132" t="s">
        <v>212</v>
      </c>
      <c r="O1132" t="s">
        <v>352</v>
      </c>
      <c r="P1132">
        <v>3.6755546917110269E-7</v>
      </c>
      <c r="Q1132" t="s">
        <v>168</v>
      </c>
      <c r="S1132" t="s">
        <v>231</v>
      </c>
      <c r="T1132" t="s">
        <v>352</v>
      </c>
      <c r="U1132">
        <v>0</v>
      </c>
      <c r="V1132" t="s">
        <v>168</v>
      </c>
    </row>
    <row r="1133" spans="9:22" x14ac:dyDescent="0.45">
      <c r="I1133" t="s">
        <v>188</v>
      </c>
      <c r="J1133" t="s">
        <v>353</v>
      </c>
      <c r="K1133">
        <v>3.2059462778912505E-4</v>
      </c>
      <c r="L1133" t="s">
        <v>168</v>
      </c>
      <c r="N1133" t="s">
        <v>212</v>
      </c>
      <c r="O1133" t="s">
        <v>353</v>
      </c>
      <c r="P1133">
        <v>1.0667210603101102E-6</v>
      </c>
      <c r="Q1133" t="s">
        <v>168</v>
      </c>
      <c r="S1133" t="s">
        <v>231</v>
      </c>
      <c r="T1133" t="s">
        <v>353</v>
      </c>
      <c r="U1133">
        <v>0</v>
      </c>
      <c r="V1133" t="s">
        <v>168</v>
      </c>
    </row>
    <row r="1134" spans="9:22" x14ac:dyDescent="0.45">
      <c r="I1134" t="s">
        <v>188</v>
      </c>
      <c r="J1134" t="s">
        <v>354</v>
      </c>
      <c r="K1134">
        <v>3.2419559372681678E-4</v>
      </c>
      <c r="L1134" t="s">
        <v>168</v>
      </c>
      <c r="N1134" t="s">
        <v>212</v>
      </c>
      <c r="O1134" t="s">
        <v>354</v>
      </c>
      <c r="P1134">
        <v>7.0222548583635262E-6</v>
      </c>
      <c r="Q1134" t="s">
        <v>168</v>
      </c>
      <c r="S1134" t="s">
        <v>231</v>
      </c>
      <c r="T1134" t="s">
        <v>354</v>
      </c>
      <c r="U1134">
        <v>3.015717287321866E-7</v>
      </c>
      <c r="V1134" t="s">
        <v>168</v>
      </c>
    </row>
    <row r="1135" spans="9:22" x14ac:dyDescent="0.45">
      <c r="I1135" t="s">
        <v>188</v>
      </c>
      <c r="J1135" t="s">
        <v>355</v>
      </c>
      <c r="K1135">
        <v>3.3285024947649018E-4</v>
      </c>
      <c r="L1135" t="s">
        <v>168</v>
      </c>
      <c r="N1135" t="s">
        <v>212</v>
      </c>
      <c r="O1135" t="s">
        <v>355</v>
      </c>
      <c r="P1135">
        <v>3.031324121052028E-6</v>
      </c>
      <c r="Q1135" t="s">
        <v>168</v>
      </c>
      <c r="S1135" t="s">
        <v>231</v>
      </c>
      <c r="T1135" t="s">
        <v>355</v>
      </c>
      <c r="U1135">
        <v>5.5433325348990624E-7</v>
      </c>
      <c r="V1135" t="s">
        <v>168</v>
      </c>
    </row>
    <row r="1136" spans="9:22" x14ac:dyDescent="0.45">
      <c r="I1136" t="s">
        <v>188</v>
      </c>
      <c r="J1136" t="s">
        <v>356</v>
      </c>
      <c r="K1136">
        <v>3.2914903531801326E-4</v>
      </c>
      <c r="L1136" t="s">
        <v>168</v>
      </c>
      <c r="N1136" t="s">
        <v>212</v>
      </c>
      <c r="O1136" t="s">
        <v>356</v>
      </c>
      <c r="P1136">
        <v>1.1717776915509691E-6</v>
      </c>
      <c r="Q1136" t="s">
        <v>168</v>
      </c>
      <c r="S1136" t="s">
        <v>231</v>
      </c>
      <c r="T1136" t="s">
        <v>356</v>
      </c>
      <c r="U1136">
        <v>7.4558669061738464E-7</v>
      </c>
      <c r="V1136" t="s">
        <v>168</v>
      </c>
    </row>
    <row r="1137" spans="9:22" x14ac:dyDescent="0.45">
      <c r="I1137" t="s">
        <v>188</v>
      </c>
      <c r="J1137" t="s">
        <v>357</v>
      </c>
      <c r="K1137">
        <v>2.8538208938930497E-4</v>
      </c>
      <c r="L1137" t="s">
        <v>168</v>
      </c>
      <c r="N1137" t="s">
        <v>212</v>
      </c>
      <c r="O1137" t="s">
        <v>357</v>
      </c>
      <c r="P1137">
        <v>9.2700336957974198E-7</v>
      </c>
      <c r="Q1137" t="s">
        <v>168</v>
      </c>
      <c r="S1137" t="s">
        <v>231</v>
      </c>
      <c r="T1137" t="s">
        <v>357</v>
      </c>
      <c r="U1137">
        <v>8.6460490399527414E-7</v>
      </c>
      <c r="V1137" t="s">
        <v>168</v>
      </c>
    </row>
    <row r="1138" spans="9:22" x14ac:dyDescent="0.45">
      <c r="I1138" t="s">
        <v>188</v>
      </c>
      <c r="J1138" t="s">
        <v>358</v>
      </c>
      <c r="K1138">
        <v>2.1674584467591747E-4</v>
      </c>
      <c r="L1138" t="s">
        <v>168</v>
      </c>
      <c r="N1138" t="s">
        <v>212</v>
      </c>
      <c r="O1138" t="s">
        <v>358</v>
      </c>
      <c r="P1138">
        <v>7.7433720411241134E-7</v>
      </c>
      <c r="Q1138" t="s">
        <v>168</v>
      </c>
      <c r="S1138" t="s">
        <v>231</v>
      </c>
      <c r="T1138" t="s">
        <v>358</v>
      </c>
      <c r="U1138">
        <v>6.1636482709330389E-7</v>
      </c>
      <c r="V1138" t="s">
        <v>168</v>
      </c>
    </row>
    <row r="1139" spans="9:22" x14ac:dyDescent="0.45">
      <c r="I1139" t="s">
        <v>188</v>
      </c>
      <c r="J1139" t="s">
        <v>359</v>
      </c>
      <c r="K1139">
        <v>1.0861477071594124E-4</v>
      </c>
      <c r="L1139" t="s">
        <v>168</v>
      </c>
      <c r="N1139" t="s">
        <v>212</v>
      </c>
      <c r="O1139" t="s">
        <v>359</v>
      </c>
      <c r="P1139">
        <v>2.3076126596959016E-7</v>
      </c>
      <c r="Q1139" t="s">
        <v>168</v>
      </c>
      <c r="S1139" t="s">
        <v>231</v>
      </c>
      <c r="T1139" t="s">
        <v>359</v>
      </c>
      <c r="U1139">
        <v>0</v>
      </c>
      <c r="V1139" t="s">
        <v>168</v>
      </c>
    </row>
    <row r="1140" spans="9:22" x14ac:dyDescent="0.45">
      <c r="I1140" t="s">
        <v>188</v>
      </c>
      <c r="J1140" t="s">
        <v>360</v>
      </c>
      <c r="K1140">
        <v>0</v>
      </c>
      <c r="L1140" t="s">
        <v>168</v>
      </c>
      <c r="N1140" t="s">
        <v>212</v>
      </c>
      <c r="O1140" t="s">
        <v>360</v>
      </c>
      <c r="P1140">
        <v>0</v>
      </c>
      <c r="Q1140" t="s">
        <v>168</v>
      </c>
      <c r="S1140" t="s">
        <v>231</v>
      </c>
      <c r="T1140" t="s">
        <v>360</v>
      </c>
      <c r="U1140">
        <v>0</v>
      </c>
      <c r="V1140" t="s">
        <v>168</v>
      </c>
    </row>
    <row r="1141" spans="9:22" x14ac:dyDescent="0.45">
      <c r="I1141" t="s">
        <v>188</v>
      </c>
      <c r="J1141" t="s">
        <v>361</v>
      </c>
      <c r="K1141">
        <v>0</v>
      </c>
      <c r="L1141" t="s">
        <v>168</v>
      </c>
      <c r="N1141" t="s">
        <v>212</v>
      </c>
      <c r="O1141" t="s">
        <v>361</v>
      </c>
      <c r="P1141">
        <v>0</v>
      </c>
      <c r="Q1141" t="s">
        <v>168</v>
      </c>
      <c r="S1141" t="s">
        <v>231</v>
      </c>
      <c r="T1141" t="s">
        <v>361</v>
      </c>
      <c r="U1141">
        <v>2.2228371792104123E-6</v>
      </c>
      <c r="V1141" t="s">
        <v>168</v>
      </c>
    </row>
    <row r="1142" spans="9:22" x14ac:dyDescent="0.45">
      <c r="I1142" t="s">
        <v>188</v>
      </c>
      <c r="J1142" t="s">
        <v>362</v>
      </c>
      <c r="K1142">
        <v>0</v>
      </c>
      <c r="L1142" t="s">
        <v>168</v>
      </c>
      <c r="N1142" t="s">
        <v>212</v>
      </c>
      <c r="O1142" t="s">
        <v>362</v>
      </c>
      <c r="P1142">
        <v>0</v>
      </c>
      <c r="Q1142" t="s">
        <v>168</v>
      </c>
      <c r="S1142" t="s">
        <v>231</v>
      </c>
      <c r="T1142" t="s">
        <v>362</v>
      </c>
      <c r="U1142">
        <v>4.4439087804960411E-6</v>
      </c>
      <c r="V1142" t="s">
        <v>168</v>
      </c>
    </row>
    <row r="1143" spans="9:22" x14ac:dyDescent="0.45">
      <c r="I1143" t="s">
        <v>188</v>
      </c>
      <c r="J1143" t="s">
        <v>363</v>
      </c>
      <c r="K1143">
        <v>0</v>
      </c>
      <c r="L1143" t="s">
        <v>168</v>
      </c>
      <c r="N1143" t="s">
        <v>212</v>
      </c>
      <c r="O1143" t="s">
        <v>363</v>
      </c>
      <c r="P1143">
        <v>0</v>
      </c>
      <c r="Q1143" t="s">
        <v>168</v>
      </c>
      <c r="S1143" t="s">
        <v>231</v>
      </c>
      <c r="T1143" t="s">
        <v>363</v>
      </c>
      <c r="U1143">
        <v>5.2402568200607468E-6</v>
      </c>
      <c r="V1143" t="s">
        <v>168</v>
      </c>
    </row>
    <row r="1144" spans="9:22" x14ac:dyDescent="0.45">
      <c r="I1144" t="s">
        <v>188</v>
      </c>
      <c r="J1144" t="s">
        <v>364</v>
      </c>
      <c r="K1144">
        <v>0</v>
      </c>
      <c r="L1144" t="s">
        <v>168</v>
      </c>
      <c r="N1144" t="s">
        <v>212</v>
      </c>
      <c r="O1144" t="s">
        <v>364</v>
      </c>
      <c r="P1144">
        <v>0</v>
      </c>
      <c r="Q1144" t="s">
        <v>168</v>
      </c>
      <c r="S1144" t="s">
        <v>231</v>
      </c>
      <c r="T1144" t="s">
        <v>364</v>
      </c>
      <c r="U1144">
        <v>4.3277836906605877E-6</v>
      </c>
      <c r="V1144" t="s">
        <v>168</v>
      </c>
    </row>
    <row r="1145" spans="9:22" x14ac:dyDescent="0.45">
      <c r="I1145" t="s">
        <v>188</v>
      </c>
      <c r="J1145" t="s">
        <v>277</v>
      </c>
      <c r="K1145">
        <v>1.9807306117227154E-3</v>
      </c>
      <c r="L1145" t="s">
        <v>168</v>
      </c>
      <c r="N1145" t="s">
        <v>212</v>
      </c>
      <c r="O1145" t="s">
        <v>277</v>
      </c>
      <c r="P1145">
        <v>5.5701917742682225E-2</v>
      </c>
      <c r="Q1145" t="s">
        <v>168</v>
      </c>
      <c r="S1145" t="s">
        <v>231</v>
      </c>
      <c r="T1145" t="s">
        <v>277</v>
      </c>
      <c r="U1145">
        <v>4.8466409165520231E-2</v>
      </c>
      <c r="V1145" t="s">
        <v>168</v>
      </c>
    </row>
    <row r="1146" spans="9:22" x14ac:dyDescent="0.45">
      <c r="I1146" t="s">
        <v>188</v>
      </c>
      <c r="J1146" t="s">
        <v>278</v>
      </c>
      <c r="K1146">
        <v>7.5110854533893172E-3</v>
      </c>
      <c r="L1146" t="s">
        <v>168</v>
      </c>
      <c r="N1146" t="s">
        <v>212</v>
      </c>
      <c r="O1146" t="s">
        <v>278</v>
      </c>
      <c r="P1146">
        <v>6.1707518763425397E-3</v>
      </c>
      <c r="Q1146" t="s">
        <v>168</v>
      </c>
      <c r="S1146" t="s">
        <v>231</v>
      </c>
      <c r="T1146" t="s">
        <v>278</v>
      </c>
      <c r="U1146">
        <v>6.1993296763325689E-3</v>
      </c>
      <c r="V1146" t="s">
        <v>168</v>
      </c>
    </row>
    <row r="1147" spans="9:22" x14ac:dyDescent="0.45">
      <c r="I1147" t="s">
        <v>188</v>
      </c>
      <c r="J1147" t="s">
        <v>279</v>
      </c>
      <c r="K1147">
        <v>1.1907776171901217E-2</v>
      </c>
      <c r="L1147" t="s">
        <v>168</v>
      </c>
      <c r="N1147" t="s">
        <v>212</v>
      </c>
      <c r="O1147" t="s">
        <v>279</v>
      </c>
      <c r="P1147">
        <v>5.572107525976068E-3</v>
      </c>
      <c r="Q1147" t="s">
        <v>168</v>
      </c>
      <c r="S1147" t="s">
        <v>231</v>
      </c>
      <c r="T1147" t="s">
        <v>279</v>
      </c>
      <c r="U1147">
        <v>6.2584011932661993E-3</v>
      </c>
      <c r="V1147" t="s">
        <v>168</v>
      </c>
    </row>
    <row r="1148" spans="9:22" x14ac:dyDescent="0.45">
      <c r="I1148" t="s">
        <v>188</v>
      </c>
      <c r="J1148" t="s">
        <v>280</v>
      </c>
      <c r="K1148">
        <v>8.5210124963459796E-2</v>
      </c>
      <c r="L1148" t="s">
        <v>168</v>
      </c>
      <c r="N1148" t="s">
        <v>212</v>
      </c>
      <c r="O1148" t="s">
        <v>280</v>
      </c>
      <c r="P1148">
        <v>3.5730754189493931E-2</v>
      </c>
      <c r="Q1148" t="s">
        <v>168</v>
      </c>
      <c r="S1148" t="s">
        <v>231</v>
      </c>
      <c r="T1148" t="s">
        <v>280</v>
      </c>
      <c r="U1148">
        <v>3.7670828467260012E-2</v>
      </c>
      <c r="V1148" t="s">
        <v>168</v>
      </c>
    </row>
    <row r="1149" spans="9:22" x14ac:dyDescent="0.45">
      <c r="I1149" t="s">
        <v>188</v>
      </c>
      <c r="J1149" t="s">
        <v>281</v>
      </c>
      <c r="K1149">
        <v>1.0279480131429567E-2</v>
      </c>
      <c r="L1149" t="s">
        <v>168</v>
      </c>
      <c r="N1149" t="s">
        <v>212</v>
      </c>
      <c r="O1149" t="s">
        <v>281</v>
      </c>
      <c r="P1149">
        <v>5.9795179006818192E-3</v>
      </c>
      <c r="Q1149" t="s">
        <v>168</v>
      </c>
      <c r="S1149" t="s">
        <v>231</v>
      </c>
      <c r="T1149" t="s">
        <v>281</v>
      </c>
      <c r="U1149">
        <v>6.3276124786514351E-3</v>
      </c>
      <c r="V1149" t="s">
        <v>168</v>
      </c>
    </row>
    <row r="1150" spans="9:22" x14ac:dyDescent="0.45">
      <c r="I1150" t="s">
        <v>188</v>
      </c>
      <c r="J1150" t="s">
        <v>282</v>
      </c>
      <c r="K1150">
        <v>6.3818039050031793E-3</v>
      </c>
      <c r="L1150" t="s">
        <v>168</v>
      </c>
      <c r="N1150" t="s">
        <v>212</v>
      </c>
      <c r="O1150" t="s">
        <v>282</v>
      </c>
      <c r="P1150">
        <v>4.1330509132320663E-2</v>
      </c>
      <c r="Q1150" t="s">
        <v>168</v>
      </c>
      <c r="S1150" t="s">
        <v>231</v>
      </c>
      <c r="T1150" t="s">
        <v>282</v>
      </c>
      <c r="U1150">
        <v>4.5341676031398076E-2</v>
      </c>
      <c r="V1150" t="s">
        <v>168</v>
      </c>
    </row>
    <row r="1151" spans="9:22" x14ac:dyDescent="0.45">
      <c r="I1151" t="s">
        <v>188</v>
      </c>
      <c r="J1151" t="s">
        <v>283</v>
      </c>
      <c r="K1151">
        <v>0</v>
      </c>
      <c r="L1151" t="s">
        <v>168</v>
      </c>
      <c r="N1151" t="s">
        <v>212</v>
      </c>
      <c r="O1151" t="s">
        <v>283</v>
      </c>
      <c r="P1151">
        <v>2.1124213460927702E-2</v>
      </c>
      <c r="Q1151" t="s">
        <v>168</v>
      </c>
      <c r="S1151" t="s">
        <v>231</v>
      </c>
      <c r="T1151" t="s">
        <v>283</v>
      </c>
      <c r="U1151">
        <v>1.8531817604895487E-2</v>
      </c>
      <c r="V1151" t="s">
        <v>168</v>
      </c>
    </row>
    <row r="1152" spans="9:22" x14ac:dyDescent="0.45">
      <c r="I1152" t="s">
        <v>188</v>
      </c>
      <c r="J1152" t="s">
        <v>284</v>
      </c>
      <c r="K1152">
        <v>2.0211050280958408E-3</v>
      </c>
      <c r="L1152" t="s">
        <v>168</v>
      </c>
      <c r="N1152" t="s">
        <v>212</v>
      </c>
      <c r="O1152" t="s">
        <v>284</v>
      </c>
      <c r="P1152">
        <v>3.2017975998105842E-3</v>
      </c>
      <c r="Q1152" t="s">
        <v>168</v>
      </c>
      <c r="S1152" t="s">
        <v>231</v>
      </c>
      <c r="T1152" t="s">
        <v>284</v>
      </c>
      <c r="U1152">
        <v>2.0358231703722952E-3</v>
      </c>
      <c r="V1152" t="s">
        <v>168</v>
      </c>
    </row>
    <row r="1153" spans="9:22" x14ac:dyDescent="0.45">
      <c r="I1153" t="s">
        <v>188</v>
      </c>
      <c r="J1153" t="s">
        <v>285</v>
      </c>
      <c r="K1153">
        <v>4.0061613796393992E-3</v>
      </c>
      <c r="L1153" t="s">
        <v>168</v>
      </c>
      <c r="N1153" t="s">
        <v>212</v>
      </c>
      <c r="O1153" t="s">
        <v>285</v>
      </c>
      <c r="P1153">
        <v>3.0990089181261136E-3</v>
      </c>
      <c r="Q1153" t="s">
        <v>168</v>
      </c>
      <c r="S1153" t="s">
        <v>231</v>
      </c>
      <c r="T1153" t="s">
        <v>285</v>
      </c>
      <c r="U1153">
        <v>2.0346530408009945E-3</v>
      </c>
      <c r="V1153" t="s">
        <v>168</v>
      </c>
    </row>
    <row r="1154" spans="9:22" x14ac:dyDescent="0.45">
      <c r="I1154" t="s">
        <v>188</v>
      </c>
      <c r="J1154" t="s">
        <v>286</v>
      </c>
      <c r="K1154">
        <v>3.3484897718918202E-2</v>
      </c>
      <c r="L1154" t="s">
        <v>168</v>
      </c>
      <c r="N1154" t="s">
        <v>212</v>
      </c>
      <c r="O1154" t="s">
        <v>286</v>
      </c>
      <c r="P1154">
        <v>1.6883268824957647E-2</v>
      </c>
      <c r="Q1154" t="s">
        <v>168</v>
      </c>
      <c r="S1154" t="s">
        <v>231</v>
      </c>
      <c r="T1154" t="s">
        <v>286</v>
      </c>
      <c r="U1154">
        <v>1.2121534754458718E-2</v>
      </c>
      <c r="V1154" t="s">
        <v>168</v>
      </c>
    </row>
    <row r="1155" spans="9:22" x14ac:dyDescent="0.45">
      <c r="I1155" t="s">
        <v>188</v>
      </c>
      <c r="J1155" t="s">
        <v>287</v>
      </c>
      <c r="K1155">
        <v>3.6160635413002469E-3</v>
      </c>
      <c r="L1155" t="s">
        <v>168</v>
      </c>
      <c r="N1155" t="s">
        <v>212</v>
      </c>
      <c r="O1155" t="s">
        <v>287</v>
      </c>
      <c r="P1155">
        <v>2.2666047520534423E-3</v>
      </c>
      <c r="Q1155" t="s">
        <v>168</v>
      </c>
      <c r="S1155" t="s">
        <v>231</v>
      </c>
      <c r="T1155" t="s">
        <v>287</v>
      </c>
      <c r="U1155">
        <v>1.9232712556305149E-3</v>
      </c>
      <c r="V1155" t="s">
        <v>168</v>
      </c>
    </row>
    <row r="1156" spans="9:22" x14ac:dyDescent="0.45">
      <c r="I1156" t="s">
        <v>188</v>
      </c>
      <c r="J1156" t="s">
        <v>288</v>
      </c>
      <c r="K1156">
        <v>1.9849829102985064E-3</v>
      </c>
      <c r="L1156" t="s">
        <v>168</v>
      </c>
      <c r="N1156" t="s">
        <v>212</v>
      </c>
      <c r="O1156" t="s">
        <v>288</v>
      </c>
      <c r="P1156">
        <v>1.2261135383135108E-2</v>
      </c>
      <c r="Q1156" t="s">
        <v>168</v>
      </c>
      <c r="S1156" t="s">
        <v>231</v>
      </c>
      <c r="T1156" t="s">
        <v>288</v>
      </c>
      <c r="U1156">
        <v>1.4296646997580662E-2</v>
      </c>
      <c r="V1156" t="s">
        <v>168</v>
      </c>
    </row>
    <row r="1157" spans="9:22" x14ac:dyDescent="0.45">
      <c r="I1157" t="s">
        <v>188</v>
      </c>
      <c r="J1157" t="s">
        <v>365</v>
      </c>
      <c r="K1157">
        <v>0</v>
      </c>
      <c r="L1157" t="s">
        <v>168</v>
      </c>
      <c r="N1157" t="s">
        <v>212</v>
      </c>
      <c r="O1157" t="s">
        <v>365</v>
      </c>
      <c r="P1157">
        <v>3.7345740201241958E-6</v>
      </c>
      <c r="Q1157" t="s">
        <v>168</v>
      </c>
      <c r="S1157" t="s">
        <v>231</v>
      </c>
      <c r="T1157" t="s">
        <v>365</v>
      </c>
      <c r="U1157">
        <v>1.1948991084428703E-5</v>
      </c>
      <c r="V1157" t="s">
        <v>168</v>
      </c>
    </row>
    <row r="1158" spans="9:22" x14ac:dyDescent="0.45">
      <c r="I1158" t="s">
        <v>188</v>
      </c>
      <c r="J1158" t="s">
        <v>366</v>
      </c>
      <c r="K1158">
        <v>0</v>
      </c>
      <c r="L1158" t="s">
        <v>168</v>
      </c>
      <c r="N1158" t="s">
        <v>212</v>
      </c>
      <c r="O1158" t="s">
        <v>366</v>
      </c>
      <c r="P1158">
        <v>5.1297319078028331E-6</v>
      </c>
      <c r="Q1158" t="s">
        <v>168</v>
      </c>
      <c r="S1158" t="s">
        <v>231</v>
      </c>
      <c r="T1158" t="s">
        <v>366</v>
      </c>
      <c r="U1158">
        <v>1.0217730210899697E-5</v>
      </c>
      <c r="V1158" t="s">
        <v>168</v>
      </c>
    </row>
    <row r="1159" spans="9:22" x14ac:dyDescent="0.45">
      <c r="I1159" t="s">
        <v>188</v>
      </c>
      <c r="J1159" t="s">
        <v>367</v>
      </c>
      <c r="K1159">
        <v>0</v>
      </c>
      <c r="L1159" t="s">
        <v>168</v>
      </c>
      <c r="N1159" t="s">
        <v>212</v>
      </c>
      <c r="O1159" t="s">
        <v>367</v>
      </c>
      <c r="P1159">
        <v>1.0498179006176677E-6</v>
      </c>
      <c r="Q1159" t="s">
        <v>168</v>
      </c>
      <c r="S1159" t="s">
        <v>231</v>
      </c>
      <c r="T1159" t="s">
        <v>367</v>
      </c>
      <c r="U1159">
        <v>8.3171787169174739E-6</v>
      </c>
      <c r="V1159" t="s">
        <v>168</v>
      </c>
    </row>
    <row r="1160" spans="9:22" x14ac:dyDescent="0.45">
      <c r="I1160" t="s">
        <v>188</v>
      </c>
      <c r="J1160" t="s">
        <v>368</v>
      </c>
      <c r="K1160">
        <v>0</v>
      </c>
      <c r="L1160" t="s">
        <v>168</v>
      </c>
      <c r="N1160" t="s">
        <v>212</v>
      </c>
      <c r="O1160" t="s">
        <v>368</v>
      </c>
      <c r="P1160">
        <v>2.3402301065967917E-7</v>
      </c>
      <c r="Q1160" t="s">
        <v>168</v>
      </c>
      <c r="S1160" t="s">
        <v>231</v>
      </c>
      <c r="T1160" t="s">
        <v>368</v>
      </c>
      <c r="U1160">
        <v>5.5765844738927456E-6</v>
      </c>
      <c r="V1160" t="s">
        <v>168</v>
      </c>
    </row>
    <row r="1161" spans="9:22" x14ac:dyDescent="0.45">
      <c r="I1161" t="s">
        <v>188</v>
      </c>
      <c r="J1161" t="s">
        <v>369</v>
      </c>
      <c r="K1161">
        <v>0</v>
      </c>
      <c r="L1161" t="s">
        <v>168</v>
      </c>
      <c r="N1161" t="s">
        <v>212</v>
      </c>
      <c r="O1161" t="s">
        <v>369</v>
      </c>
      <c r="P1161">
        <v>3.1636221506874816E-7</v>
      </c>
      <c r="Q1161" t="s">
        <v>168</v>
      </c>
      <c r="S1161" t="s">
        <v>231</v>
      </c>
      <c r="T1161" t="s">
        <v>369</v>
      </c>
      <c r="U1161">
        <v>6.1556524050103806E-6</v>
      </c>
      <c r="V1161" t="s">
        <v>168</v>
      </c>
    </row>
    <row r="1162" spans="9:22" x14ac:dyDescent="0.45">
      <c r="I1162" t="s">
        <v>188</v>
      </c>
      <c r="J1162" t="s">
        <v>370</v>
      </c>
      <c r="K1162">
        <v>0</v>
      </c>
      <c r="L1162" t="s">
        <v>168</v>
      </c>
      <c r="N1162" t="s">
        <v>212</v>
      </c>
      <c r="O1162" t="s">
        <v>370</v>
      </c>
      <c r="P1162">
        <v>5.687806269322166E-7</v>
      </c>
      <c r="Q1162" t="s">
        <v>168</v>
      </c>
      <c r="S1162" t="s">
        <v>231</v>
      </c>
      <c r="T1162" t="s">
        <v>370</v>
      </c>
      <c r="U1162">
        <v>4.8386416354509384E-6</v>
      </c>
      <c r="V1162" t="s">
        <v>168</v>
      </c>
    </row>
    <row r="1163" spans="9:22" x14ac:dyDescent="0.45">
      <c r="I1163" t="s">
        <v>188</v>
      </c>
      <c r="J1163" t="s">
        <v>371</v>
      </c>
      <c r="K1163">
        <v>0</v>
      </c>
      <c r="L1163" t="s">
        <v>168</v>
      </c>
      <c r="N1163" t="s">
        <v>212</v>
      </c>
      <c r="O1163" t="s">
        <v>371</v>
      </c>
      <c r="P1163">
        <v>3.5066339572586438E-7</v>
      </c>
      <c r="Q1163" t="s">
        <v>168</v>
      </c>
      <c r="S1163" t="s">
        <v>231</v>
      </c>
      <c r="T1163" t="s">
        <v>371</v>
      </c>
      <c r="U1163">
        <v>3.950255147806849E-6</v>
      </c>
      <c r="V1163" t="s">
        <v>168</v>
      </c>
    </row>
    <row r="1164" spans="9:22" x14ac:dyDescent="0.45">
      <c r="I1164" t="s">
        <v>188</v>
      </c>
      <c r="J1164" t="s">
        <v>372</v>
      </c>
      <c r="K1164">
        <v>0</v>
      </c>
      <c r="L1164" t="s">
        <v>168</v>
      </c>
      <c r="N1164" t="s">
        <v>212</v>
      </c>
      <c r="O1164" t="s">
        <v>372</v>
      </c>
      <c r="P1164">
        <v>3.2340104320125071E-7</v>
      </c>
      <c r="Q1164" t="s">
        <v>168</v>
      </c>
      <c r="S1164" t="s">
        <v>231</v>
      </c>
      <c r="T1164" t="s">
        <v>372</v>
      </c>
      <c r="U1164">
        <v>5.6481924120591021E-6</v>
      </c>
      <c r="V1164" t="s">
        <v>168</v>
      </c>
    </row>
    <row r="1165" spans="9:22" x14ac:dyDescent="0.45">
      <c r="I1165" t="s">
        <v>188</v>
      </c>
      <c r="J1165" t="s">
        <v>373</v>
      </c>
      <c r="K1165">
        <v>6.9333039393168613E-5</v>
      </c>
      <c r="L1165" t="s">
        <v>168</v>
      </c>
      <c r="N1165" t="s">
        <v>212</v>
      </c>
      <c r="O1165" t="s">
        <v>373</v>
      </c>
      <c r="P1165">
        <v>2.956957960284937E-6</v>
      </c>
      <c r="Q1165" t="s">
        <v>168</v>
      </c>
      <c r="S1165" t="s">
        <v>231</v>
      </c>
      <c r="T1165" t="s">
        <v>373</v>
      </c>
      <c r="U1165">
        <v>6.1198505855760894E-6</v>
      </c>
      <c r="V1165" t="s">
        <v>168</v>
      </c>
    </row>
    <row r="1166" spans="9:22" x14ac:dyDescent="0.45">
      <c r="I1166" t="s">
        <v>188</v>
      </c>
      <c r="J1166" t="s">
        <v>374</v>
      </c>
      <c r="K1166">
        <v>1.1123303391848193E-4</v>
      </c>
      <c r="L1166" t="s">
        <v>168</v>
      </c>
      <c r="N1166" t="s">
        <v>212</v>
      </c>
      <c r="O1166" t="s">
        <v>374</v>
      </c>
      <c r="P1166">
        <v>6.3444459260937425E-6</v>
      </c>
      <c r="Q1166" t="s">
        <v>168</v>
      </c>
      <c r="S1166" t="s">
        <v>231</v>
      </c>
      <c r="T1166" t="s">
        <v>374</v>
      </c>
      <c r="U1166">
        <v>8.1313401698206943E-6</v>
      </c>
      <c r="V1166" t="s">
        <v>168</v>
      </c>
    </row>
    <row r="1167" spans="9:22" x14ac:dyDescent="0.45">
      <c r="I1167" t="s">
        <v>188</v>
      </c>
      <c r="J1167" t="s">
        <v>375</v>
      </c>
      <c r="K1167">
        <v>1.5724636592865762E-4</v>
      </c>
      <c r="L1167" t="s">
        <v>168</v>
      </c>
      <c r="N1167" t="s">
        <v>212</v>
      </c>
      <c r="O1167" t="s">
        <v>375</v>
      </c>
      <c r="P1167">
        <v>8.0189687947313544E-6</v>
      </c>
      <c r="Q1167" t="s">
        <v>168</v>
      </c>
      <c r="S1167" t="s">
        <v>231</v>
      </c>
      <c r="T1167" t="s">
        <v>375</v>
      </c>
      <c r="U1167">
        <v>9.9228257602546413E-6</v>
      </c>
      <c r="V1167" t="s">
        <v>168</v>
      </c>
    </row>
    <row r="1168" spans="9:22" x14ac:dyDescent="0.45">
      <c r="I1168" t="s">
        <v>188</v>
      </c>
      <c r="J1168" t="s">
        <v>376</v>
      </c>
      <c r="K1168">
        <v>1.8062394098698959E-4</v>
      </c>
      <c r="L1168" t="s">
        <v>168</v>
      </c>
      <c r="N1168" t="s">
        <v>212</v>
      </c>
      <c r="O1168" t="s">
        <v>376</v>
      </c>
      <c r="P1168">
        <v>1.1315984912810049E-6</v>
      </c>
      <c r="Q1168" t="s">
        <v>168</v>
      </c>
      <c r="S1168" t="s">
        <v>231</v>
      </c>
      <c r="T1168" t="s">
        <v>376</v>
      </c>
      <c r="U1168">
        <v>1.8435229299464313E-5</v>
      </c>
      <c r="V1168" t="s">
        <v>168</v>
      </c>
    </row>
    <row r="1169" spans="9:22" x14ac:dyDescent="0.45">
      <c r="I1169" t="s">
        <v>188</v>
      </c>
      <c r="J1169" t="s">
        <v>377</v>
      </c>
      <c r="K1169">
        <v>1.6583188403343651E-4</v>
      </c>
      <c r="L1169" t="s">
        <v>168</v>
      </c>
      <c r="N1169" t="s">
        <v>212</v>
      </c>
      <c r="O1169" t="s">
        <v>377</v>
      </c>
      <c r="P1169">
        <v>1.2889463574155423E-6</v>
      </c>
      <c r="Q1169" t="s">
        <v>168</v>
      </c>
      <c r="S1169" t="s">
        <v>231</v>
      </c>
      <c r="T1169" t="s">
        <v>377</v>
      </c>
      <c r="U1169">
        <v>2.3489497869933514E-5</v>
      </c>
      <c r="V1169" t="s">
        <v>168</v>
      </c>
    </row>
    <row r="1170" spans="9:22" x14ac:dyDescent="0.45">
      <c r="I1170" t="s">
        <v>188</v>
      </c>
      <c r="J1170" t="s">
        <v>378</v>
      </c>
      <c r="K1170">
        <v>1.7788161384603256E-4</v>
      </c>
      <c r="L1170" t="s">
        <v>168</v>
      </c>
      <c r="N1170" t="s">
        <v>212</v>
      </c>
      <c r="O1170" t="s">
        <v>378</v>
      </c>
      <c r="P1170">
        <v>5.2236483584357313E-6</v>
      </c>
      <c r="Q1170" t="s">
        <v>168</v>
      </c>
      <c r="S1170" t="s">
        <v>231</v>
      </c>
      <c r="T1170" t="s">
        <v>378</v>
      </c>
      <c r="U1170">
        <v>2.1618864720220692E-5</v>
      </c>
      <c r="V1170" t="s">
        <v>168</v>
      </c>
    </row>
    <row r="1171" spans="9:22" x14ac:dyDescent="0.45">
      <c r="I1171" t="s">
        <v>188</v>
      </c>
      <c r="J1171" t="s">
        <v>379</v>
      </c>
      <c r="K1171">
        <v>1.6572384300040269E-4</v>
      </c>
      <c r="L1171" t="s">
        <v>168</v>
      </c>
      <c r="N1171" t="s">
        <v>212</v>
      </c>
      <c r="O1171" t="s">
        <v>379</v>
      </c>
      <c r="P1171">
        <v>7.3678638284564608E-6</v>
      </c>
      <c r="Q1171" t="s">
        <v>168</v>
      </c>
      <c r="S1171" t="s">
        <v>231</v>
      </c>
      <c r="T1171" t="s">
        <v>379</v>
      </c>
      <c r="U1171">
        <v>2.0525835604685168E-5</v>
      </c>
      <c r="V1171" t="s">
        <v>168</v>
      </c>
    </row>
    <row r="1172" spans="9:22" x14ac:dyDescent="0.45">
      <c r="I1172" t="s">
        <v>188</v>
      </c>
      <c r="J1172" t="s">
        <v>380</v>
      </c>
      <c r="K1172">
        <v>1.4153518746661605E-4</v>
      </c>
      <c r="L1172" t="s">
        <v>168</v>
      </c>
      <c r="N1172" t="s">
        <v>212</v>
      </c>
      <c r="O1172" t="s">
        <v>380</v>
      </c>
      <c r="P1172">
        <v>8.7552359519589075E-6</v>
      </c>
      <c r="Q1172" t="s">
        <v>168</v>
      </c>
      <c r="S1172" t="s">
        <v>231</v>
      </c>
      <c r="T1172" t="s">
        <v>380</v>
      </c>
      <c r="U1172">
        <v>1.5164319060005564E-5</v>
      </c>
      <c r="V1172" t="s">
        <v>168</v>
      </c>
    </row>
    <row r="1173" spans="9:22" x14ac:dyDescent="0.45">
      <c r="I1173" t="s">
        <v>188</v>
      </c>
      <c r="J1173" t="s">
        <v>381</v>
      </c>
      <c r="K1173">
        <v>8.2905796680838724E-5</v>
      </c>
      <c r="L1173" t="s">
        <v>168</v>
      </c>
      <c r="N1173" t="s">
        <v>212</v>
      </c>
      <c r="O1173" t="s">
        <v>381</v>
      </c>
      <c r="P1173">
        <v>5.6545858640232769E-6</v>
      </c>
      <c r="Q1173" t="s">
        <v>168</v>
      </c>
      <c r="S1173" t="s">
        <v>231</v>
      </c>
      <c r="T1173" t="s">
        <v>381</v>
      </c>
      <c r="U1173">
        <v>8.9112588095839171E-6</v>
      </c>
      <c r="V1173" t="s">
        <v>168</v>
      </c>
    </row>
    <row r="1174" spans="9:22" x14ac:dyDescent="0.45">
      <c r="I1174" t="s">
        <v>188</v>
      </c>
      <c r="J1174" t="s">
        <v>382</v>
      </c>
      <c r="K1174">
        <v>4.9255801065044879E-5</v>
      </c>
      <c r="L1174" t="s">
        <v>168</v>
      </c>
      <c r="N1174" t="s">
        <v>212</v>
      </c>
      <c r="O1174" t="s">
        <v>382</v>
      </c>
      <c r="P1174">
        <v>8.9147000776705207E-7</v>
      </c>
      <c r="Q1174" t="s">
        <v>168</v>
      </c>
      <c r="S1174" t="s">
        <v>231</v>
      </c>
      <c r="T1174" t="s">
        <v>382</v>
      </c>
      <c r="U1174">
        <v>6.7630792540381351E-6</v>
      </c>
      <c r="V1174" t="s">
        <v>168</v>
      </c>
    </row>
    <row r="1175" spans="9:22" x14ac:dyDescent="0.45">
      <c r="I1175" t="s">
        <v>188</v>
      </c>
      <c r="J1175" t="s">
        <v>383</v>
      </c>
      <c r="K1175">
        <v>0</v>
      </c>
      <c r="L1175" t="s">
        <v>168</v>
      </c>
      <c r="N1175" t="s">
        <v>212</v>
      </c>
      <c r="O1175" t="s">
        <v>383</v>
      </c>
      <c r="P1175">
        <v>7.0535820031704247E-7</v>
      </c>
      <c r="Q1175" t="s">
        <v>168</v>
      </c>
      <c r="S1175" t="s">
        <v>231</v>
      </c>
      <c r="T1175" t="s">
        <v>383</v>
      </c>
      <c r="U1175">
        <v>5.3278243034756063E-6</v>
      </c>
      <c r="V1175" t="s">
        <v>168</v>
      </c>
    </row>
    <row r="1176" spans="9:22" x14ac:dyDescent="0.45">
      <c r="I1176" t="s">
        <v>188</v>
      </c>
      <c r="J1176" t="s">
        <v>384</v>
      </c>
      <c r="K1176">
        <v>0</v>
      </c>
      <c r="L1176" t="s">
        <v>168</v>
      </c>
      <c r="N1176" t="s">
        <v>212</v>
      </c>
      <c r="O1176" t="s">
        <v>384</v>
      </c>
      <c r="P1176">
        <v>5.7986222324098799E-7</v>
      </c>
      <c r="Q1176" t="s">
        <v>168</v>
      </c>
      <c r="S1176" t="s">
        <v>231</v>
      </c>
      <c r="T1176" t="s">
        <v>384</v>
      </c>
      <c r="U1176">
        <v>4.8152073546010887E-6</v>
      </c>
      <c r="V1176" t="s">
        <v>168</v>
      </c>
    </row>
    <row r="1177" spans="9:22" x14ac:dyDescent="0.45">
      <c r="I1177" t="s">
        <v>188</v>
      </c>
      <c r="J1177" t="s">
        <v>385</v>
      </c>
      <c r="K1177">
        <v>0</v>
      </c>
      <c r="L1177" t="s">
        <v>168</v>
      </c>
      <c r="N1177" t="s">
        <v>212</v>
      </c>
      <c r="O1177" t="s">
        <v>385</v>
      </c>
      <c r="P1177">
        <v>4.5343176688156659E-7</v>
      </c>
      <c r="Q1177" t="s">
        <v>168</v>
      </c>
      <c r="S1177" t="s">
        <v>231</v>
      </c>
      <c r="T1177" t="s">
        <v>385</v>
      </c>
      <c r="U1177">
        <v>3.7997225551296193E-6</v>
      </c>
      <c r="V1177" t="s">
        <v>168</v>
      </c>
    </row>
    <row r="1178" spans="9:22" x14ac:dyDescent="0.45">
      <c r="I1178" t="s">
        <v>188</v>
      </c>
      <c r="J1178" t="s">
        <v>386</v>
      </c>
      <c r="K1178">
        <v>0</v>
      </c>
      <c r="L1178" t="s">
        <v>168</v>
      </c>
      <c r="N1178" t="s">
        <v>212</v>
      </c>
      <c r="O1178" t="s">
        <v>386</v>
      </c>
      <c r="P1178">
        <v>4.7307158979417098E-7</v>
      </c>
      <c r="Q1178" t="s">
        <v>168</v>
      </c>
      <c r="S1178" t="s">
        <v>231</v>
      </c>
      <c r="T1178" t="s">
        <v>386</v>
      </c>
      <c r="U1178">
        <v>4.4966699848169074E-6</v>
      </c>
      <c r="V1178" t="s">
        <v>168</v>
      </c>
    </row>
    <row r="1179" spans="9:22" x14ac:dyDescent="0.45">
      <c r="I1179" t="s">
        <v>188</v>
      </c>
      <c r="J1179" t="s">
        <v>387</v>
      </c>
      <c r="K1179">
        <v>0</v>
      </c>
      <c r="L1179" t="s">
        <v>168</v>
      </c>
      <c r="N1179" t="s">
        <v>212</v>
      </c>
      <c r="O1179" t="s">
        <v>387</v>
      </c>
      <c r="P1179">
        <v>2.6081217210965912E-7</v>
      </c>
      <c r="Q1179" t="s">
        <v>168</v>
      </c>
      <c r="S1179" t="s">
        <v>231</v>
      </c>
      <c r="T1179" t="s">
        <v>387</v>
      </c>
      <c r="U1179">
        <v>4.1689052279806469E-6</v>
      </c>
      <c r="V1179" t="s">
        <v>168</v>
      </c>
    </row>
    <row r="1180" spans="9:22" x14ac:dyDescent="0.45">
      <c r="I1180" t="s">
        <v>188</v>
      </c>
      <c r="J1180" t="s">
        <v>388</v>
      </c>
      <c r="K1180">
        <v>0</v>
      </c>
      <c r="L1180" t="s">
        <v>168</v>
      </c>
      <c r="N1180" t="s">
        <v>212</v>
      </c>
      <c r="O1180" t="s">
        <v>388</v>
      </c>
      <c r="P1180">
        <v>1.1551213947785073E-5</v>
      </c>
      <c r="Q1180" t="s">
        <v>168</v>
      </c>
      <c r="S1180" t="s">
        <v>231</v>
      </c>
      <c r="T1180" t="s">
        <v>388</v>
      </c>
      <c r="U1180">
        <v>1.8100781327803328E-6</v>
      </c>
      <c r="V1180" t="s">
        <v>168</v>
      </c>
    </row>
    <row r="1181" spans="9:22" x14ac:dyDescent="0.45">
      <c r="I1181" t="s">
        <v>189</v>
      </c>
      <c r="J1181" t="s">
        <v>167</v>
      </c>
      <c r="K1181">
        <v>0</v>
      </c>
      <c r="L1181" t="s">
        <v>168</v>
      </c>
      <c r="N1181" t="s">
        <v>213</v>
      </c>
      <c r="O1181" t="s">
        <v>167</v>
      </c>
      <c r="P1181">
        <v>6.1411603445131691E-2</v>
      </c>
      <c r="Q1181" t="s">
        <v>168</v>
      </c>
      <c r="S1181" t="s">
        <v>232</v>
      </c>
      <c r="T1181" t="s">
        <v>167</v>
      </c>
      <c r="U1181">
        <v>8.4537206503642562E-2</v>
      </c>
      <c r="V1181" t="s">
        <v>168</v>
      </c>
    </row>
    <row r="1182" spans="9:22" x14ac:dyDescent="0.45">
      <c r="I1182" t="s">
        <v>189</v>
      </c>
      <c r="J1182" t="s">
        <v>169</v>
      </c>
      <c r="K1182">
        <v>5.6909938891325611E-3</v>
      </c>
      <c r="L1182" t="s">
        <v>168</v>
      </c>
      <c r="N1182" t="s">
        <v>213</v>
      </c>
      <c r="O1182" t="s">
        <v>169</v>
      </c>
      <c r="P1182">
        <v>6.9256741920536548E-3</v>
      </c>
      <c r="Q1182" t="s">
        <v>168</v>
      </c>
      <c r="S1182" t="s">
        <v>232</v>
      </c>
      <c r="T1182" t="s">
        <v>169</v>
      </c>
      <c r="U1182">
        <v>1.1120944334641735E-2</v>
      </c>
      <c r="V1182" t="s">
        <v>168</v>
      </c>
    </row>
    <row r="1183" spans="9:22" x14ac:dyDescent="0.45">
      <c r="I1183" t="s">
        <v>189</v>
      </c>
      <c r="J1183" t="s">
        <v>170</v>
      </c>
      <c r="K1183">
        <v>9.6386843521041755E-3</v>
      </c>
      <c r="L1183" t="s">
        <v>168</v>
      </c>
      <c r="N1183" t="s">
        <v>213</v>
      </c>
      <c r="O1183" t="s">
        <v>170</v>
      </c>
      <c r="P1183">
        <v>7.3920513744018925E-3</v>
      </c>
      <c r="Q1183" t="s">
        <v>168</v>
      </c>
      <c r="S1183" t="s">
        <v>232</v>
      </c>
      <c r="T1183" t="s">
        <v>170</v>
      </c>
      <c r="U1183">
        <v>1.1447531375733493E-2</v>
      </c>
      <c r="V1183" t="s">
        <v>168</v>
      </c>
    </row>
    <row r="1184" spans="9:22" x14ac:dyDescent="0.45">
      <c r="I1184" t="s">
        <v>189</v>
      </c>
      <c r="J1184" t="s">
        <v>256</v>
      </c>
      <c r="K1184">
        <v>7.8507267692166371E-2</v>
      </c>
      <c r="L1184" t="s">
        <v>168</v>
      </c>
      <c r="N1184" t="s">
        <v>213</v>
      </c>
      <c r="O1184" t="s">
        <v>256</v>
      </c>
      <c r="P1184">
        <v>5.6572396446743327E-2</v>
      </c>
      <c r="Q1184" t="s">
        <v>168</v>
      </c>
      <c r="S1184" t="s">
        <v>232</v>
      </c>
      <c r="T1184" t="s">
        <v>256</v>
      </c>
      <c r="U1184">
        <v>7.3462788229946313E-2</v>
      </c>
      <c r="V1184" t="s">
        <v>168</v>
      </c>
    </row>
    <row r="1185" spans="9:22" x14ac:dyDescent="0.45">
      <c r="I1185" t="s">
        <v>189</v>
      </c>
      <c r="J1185" t="s">
        <v>257</v>
      </c>
      <c r="K1185">
        <v>1.0059370250555541E-2</v>
      </c>
      <c r="L1185" t="s">
        <v>168</v>
      </c>
      <c r="N1185" t="s">
        <v>213</v>
      </c>
      <c r="O1185" t="s">
        <v>257</v>
      </c>
      <c r="P1185">
        <v>1.0445824427121921E-2</v>
      </c>
      <c r="Q1185" t="s">
        <v>168</v>
      </c>
      <c r="S1185" t="s">
        <v>232</v>
      </c>
      <c r="T1185" t="s">
        <v>257</v>
      </c>
      <c r="U1185">
        <v>1.20667606695693E-2</v>
      </c>
      <c r="V1185" t="s">
        <v>168</v>
      </c>
    </row>
    <row r="1186" spans="9:22" x14ac:dyDescent="0.45">
      <c r="I1186" t="s">
        <v>189</v>
      </c>
      <c r="J1186" t="s">
        <v>258</v>
      </c>
      <c r="K1186">
        <v>7.1788952535093509E-3</v>
      </c>
      <c r="L1186" t="s">
        <v>168</v>
      </c>
      <c r="N1186" t="s">
        <v>213</v>
      </c>
      <c r="O1186" t="s">
        <v>258</v>
      </c>
      <c r="P1186">
        <v>6.7029109163717362E-2</v>
      </c>
      <c r="Q1186" t="s">
        <v>168</v>
      </c>
      <c r="S1186" t="s">
        <v>232</v>
      </c>
      <c r="T1186" t="s">
        <v>258</v>
      </c>
      <c r="U1186">
        <v>7.5452404520284816E-2</v>
      </c>
      <c r="V1186" t="s">
        <v>168</v>
      </c>
    </row>
    <row r="1187" spans="9:22" x14ac:dyDescent="0.45">
      <c r="I1187" t="s">
        <v>189</v>
      </c>
      <c r="J1187" t="s">
        <v>171</v>
      </c>
      <c r="K1187">
        <v>2.6728956012183332E-2</v>
      </c>
      <c r="L1187" t="s">
        <v>168</v>
      </c>
      <c r="N1187" t="s">
        <v>213</v>
      </c>
      <c r="O1187" t="s">
        <v>171</v>
      </c>
      <c r="P1187">
        <v>0.12840446153419605</v>
      </c>
      <c r="Q1187" t="s">
        <v>168</v>
      </c>
      <c r="S1187" t="s">
        <v>232</v>
      </c>
      <c r="T1187" t="s">
        <v>171</v>
      </c>
      <c r="U1187">
        <v>0.14424018220573259</v>
      </c>
      <c r="V1187" t="s">
        <v>168</v>
      </c>
    </row>
    <row r="1188" spans="9:22" x14ac:dyDescent="0.45">
      <c r="I1188" t="s">
        <v>189</v>
      </c>
      <c r="J1188" t="s">
        <v>172</v>
      </c>
      <c r="K1188">
        <v>2.8567473637359748E-2</v>
      </c>
      <c r="L1188" t="s">
        <v>168</v>
      </c>
      <c r="N1188" t="s">
        <v>213</v>
      </c>
      <c r="O1188" t="s">
        <v>172</v>
      </c>
      <c r="P1188">
        <v>1.6154960814602916E-2</v>
      </c>
      <c r="Q1188" t="s">
        <v>168</v>
      </c>
      <c r="S1188" t="s">
        <v>232</v>
      </c>
      <c r="T1188" t="s">
        <v>172</v>
      </c>
      <c r="U1188">
        <v>1.7098030831351214E-2</v>
      </c>
      <c r="V1188" t="s">
        <v>168</v>
      </c>
    </row>
    <row r="1189" spans="9:22" x14ac:dyDescent="0.45">
      <c r="I1189" t="s">
        <v>189</v>
      </c>
      <c r="J1189" t="s">
        <v>173</v>
      </c>
      <c r="K1189">
        <v>3.5149627470219387E-2</v>
      </c>
      <c r="L1189" t="s">
        <v>168</v>
      </c>
      <c r="N1189" t="s">
        <v>213</v>
      </c>
      <c r="O1189" t="s">
        <v>173</v>
      </c>
      <c r="P1189">
        <v>1.6986365085758442E-2</v>
      </c>
      <c r="Q1189" t="s">
        <v>168</v>
      </c>
      <c r="S1189" t="s">
        <v>232</v>
      </c>
      <c r="T1189" t="s">
        <v>173</v>
      </c>
      <c r="U1189">
        <v>1.6856151703760928E-2</v>
      </c>
      <c r="V1189" t="s">
        <v>168</v>
      </c>
    </row>
    <row r="1190" spans="9:22" x14ac:dyDescent="0.45">
      <c r="I1190" t="s">
        <v>189</v>
      </c>
      <c r="J1190" t="s">
        <v>259</v>
      </c>
      <c r="K1190">
        <v>0.23736643576552013</v>
      </c>
      <c r="L1190" t="s">
        <v>168</v>
      </c>
      <c r="N1190" t="s">
        <v>213</v>
      </c>
      <c r="O1190" t="s">
        <v>259</v>
      </c>
      <c r="P1190">
        <v>0.11519952945983392</v>
      </c>
      <c r="Q1190" t="s">
        <v>168</v>
      </c>
      <c r="S1190" t="s">
        <v>232</v>
      </c>
      <c r="T1190" t="s">
        <v>259</v>
      </c>
      <c r="U1190">
        <v>0.10488150780087341</v>
      </c>
      <c r="V1190" t="s">
        <v>168</v>
      </c>
    </row>
    <row r="1191" spans="9:22" x14ac:dyDescent="0.45">
      <c r="I1191" t="s">
        <v>189</v>
      </c>
      <c r="J1191" t="s">
        <v>260</v>
      </c>
      <c r="K1191">
        <v>3.3346936832707431E-2</v>
      </c>
      <c r="L1191" t="s">
        <v>168</v>
      </c>
      <c r="N1191" t="s">
        <v>213</v>
      </c>
      <c r="O1191" t="s">
        <v>260</v>
      </c>
      <c r="P1191">
        <v>2.2080253185445611E-2</v>
      </c>
      <c r="Q1191" t="s">
        <v>168</v>
      </c>
      <c r="S1191" t="s">
        <v>232</v>
      </c>
      <c r="T1191" t="s">
        <v>260</v>
      </c>
      <c r="U1191">
        <v>1.9636680244237564E-2</v>
      </c>
      <c r="V1191" t="s">
        <v>168</v>
      </c>
    </row>
    <row r="1192" spans="9:22" x14ac:dyDescent="0.45">
      <c r="I1192" t="s">
        <v>189</v>
      </c>
      <c r="J1192" t="s">
        <v>261</v>
      </c>
      <c r="K1192">
        <v>5.1201288245365233E-2</v>
      </c>
      <c r="L1192" t="s">
        <v>168</v>
      </c>
      <c r="N1192" t="s">
        <v>213</v>
      </c>
      <c r="O1192" t="s">
        <v>261</v>
      </c>
      <c r="P1192">
        <v>0.13891120143771765</v>
      </c>
      <c r="Q1192" t="s">
        <v>168</v>
      </c>
      <c r="S1192" t="s">
        <v>232</v>
      </c>
      <c r="T1192" t="s">
        <v>261</v>
      </c>
      <c r="U1192">
        <v>0.13132097484050617</v>
      </c>
      <c r="V1192" t="s">
        <v>168</v>
      </c>
    </row>
    <row r="1193" spans="9:22" x14ac:dyDescent="0.45">
      <c r="I1193" t="s">
        <v>189</v>
      </c>
      <c r="J1193" t="s">
        <v>174</v>
      </c>
      <c r="K1193">
        <v>9.3630787778839278E-3</v>
      </c>
      <c r="L1193" t="s">
        <v>168</v>
      </c>
      <c r="N1193" t="s">
        <v>213</v>
      </c>
      <c r="O1193" t="s">
        <v>174</v>
      </c>
      <c r="P1193">
        <v>3.1693275657749521E-3</v>
      </c>
      <c r="Q1193" t="s">
        <v>168</v>
      </c>
      <c r="S1193" t="s">
        <v>232</v>
      </c>
      <c r="T1193" t="s">
        <v>174</v>
      </c>
      <c r="U1193">
        <v>2.857923057369352E-3</v>
      </c>
      <c r="V1193" t="s">
        <v>168</v>
      </c>
    </row>
    <row r="1194" spans="9:22" x14ac:dyDescent="0.45">
      <c r="I1194" t="s">
        <v>189</v>
      </c>
      <c r="J1194" t="s">
        <v>175</v>
      </c>
      <c r="K1194">
        <v>8.2492930869931605E-3</v>
      </c>
      <c r="L1194" t="s">
        <v>168</v>
      </c>
      <c r="N1194" t="s">
        <v>213</v>
      </c>
      <c r="O1194" t="s">
        <v>175</v>
      </c>
      <c r="P1194">
        <v>3.0766474775935652E-4</v>
      </c>
      <c r="Q1194" t="s">
        <v>168</v>
      </c>
      <c r="S1194" t="s">
        <v>232</v>
      </c>
      <c r="T1194" t="s">
        <v>175</v>
      </c>
      <c r="U1194">
        <v>4.275249551348817E-4</v>
      </c>
      <c r="V1194" t="s">
        <v>168</v>
      </c>
    </row>
    <row r="1195" spans="9:22" x14ac:dyDescent="0.45">
      <c r="I1195" t="s">
        <v>189</v>
      </c>
      <c r="J1195" t="s">
        <v>176</v>
      </c>
      <c r="K1195">
        <v>9.727954468050597E-3</v>
      </c>
      <c r="L1195" t="s">
        <v>168</v>
      </c>
      <c r="N1195" t="s">
        <v>213</v>
      </c>
      <c r="O1195" t="s">
        <v>176</v>
      </c>
      <c r="P1195">
        <v>2.976717201342097E-4</v>
      </c>
      <c r="Q1195" t="s">
        <v>168</v>
      </c>
      <c r="S1195" t="s">
        <v>232</v>
      </c>
      <c r="T1195" t="s">
        <v>176</v>
      </c>
      <c r="U1195">
        <v>4.5406716774037102E-4</v>
      </c>
      <c r="V1195" t="s">
        <v>168</v>
      </c>
    </row>
    <row r="1196" spans="9:22" x14ac:dyDescent="0.45">
      <c r="I1196" t="s">
        <v>189</v>
      </c>
      <c r="J1196" t="s">
        <v>262</v>
      </c>
      <c r="K1196">
        <v>6.3462802013027245E-2</v>
      </c>
      <c r="L1196" t="s">
        <v>168</v>
      </c>
      <c r="N1196" t="s">
        <v>213</v>
      </c>
      <c r="O1196" t="s">
        <v>262</v>
      </c>
      <c r="P1196">
        <v>6.2448815277735079E-3</v>
      </c>
      <c r="Q1196" t="s">
        <v>168</v>
      </c>
      <c r="S1196" t="s">
        <v>232</v>
      </c>
      <c r="T1196" t="s">
        <v>262</v>
      </c>
      <c r="U1196">
        <v>3.2371667701200282E-3</v>
      </c>
      <c r="V1196" t="s">
        <v>168</v>
      </c>
    </row>
    <row r="1197" spans="9:22" x14ac:dyDescent="0.45">
      <c r="I1197" t="s">
        <v>189</v>
      </c>
      <c r="J1197" t="s">
        <v>263</v>
      </c>
      <c r="K1197">
        <v>9.0978168701722206E-3</v>
      </c>
      <c r="L1197" t="s">
        <v>168</v>
      </c>
      <c r="N1197" t="s">
        <v>213</v>
      </c>
      <c r="O1197" t="s">
        <v>263</v>
      </c>
      <c r="P1197">
        <v>2.5550962323635457E-3</v>
      </c>
      <c r="Q1197" t="s">
        <v>168</v>
      </c>
      <c r="S1197" t="s">
        <v>232</v>
      </c>
      <c r="T1197" t="s">
        <v>263</v>
      </c>
      <c r="U1197">
        <v>8.6372341012353729E-4</v>
      </c>
      <c r="V1197" t="s">
        <v>168</v>
      </c>
    </row>
    <row r="1198" spans="9:22" x14ac:dyDescent="0.45">
      <c r="I1198" t="s">
        <v>189</v>
      </c>
      <c r="J1198" t="s">
        <v>264</v>
      </c>
      <c r="K1198">
        <v>1.6531525451771143E-2</v>
      </c>
      <c r="L1198" t="s">
        <v>168</v>
      </c>
      <c r="N1198" t="s">
        <v>213</v>
      </c>
      <c r="O1198" t="s">
        <v>264</v>
      </c>
      <c r="P1198">
        <v>1.1756534819839414E-2</v>
      </c>
      <c r="Q1198" t="s">
        <v>168</v>
      </c>
      <c r="S1198" t="s">
        <v>232</v>
      </c>
      <c r="T1198" t="s">
        <v>264</v>
      </c>
      <c r="U1198">
        <v>4.7662611434446129E-3</v>
      </c>
      <c r="V1198" t="s">
        <v>168</v>
      </c>
    </row>
    <row r="1199" spans="9:22" x14ac:dyDescent="0.45">
      <c r="I1199" t="s">
        <v>189</v>
      </c>
      <c r="J1199" t="s">
        <v>265</v>
      </c>
      <c r="K1199">
        <v>7.8576503953387625E-3</v>
      </c>
      <c r="L1199" t="s">
        <v>168</v>
      </c>
      <c r="N1199" t="s">
        <v>213</v>
      </c>
      <c r="O1199" t="s">
        <v>265</v>
      </c>
      <c r="P1199">
        <v>5.6475040438410647E-3</v>
      </c>
      <c r="Q1199" t="s">
        <v>168</v>
      </c>
      <c r="S1199" t="s">
        <v>232</v>
      </c>
      <c r="T1199" t="s">
        <v>265</v>
      </c>
      <c r="U1199">
        <v>7.3363425120903459E-3</v>
      </c>
      <c r="V1199" t="s">
        <v>168</v>
      </c>
    </row>
    <row r="1200" spans="9:22" x14ac:dyDescent="0.45">
      <c r="I1200" t="s">
        <v>189</v>
      </c>
      <c r="J1200" t="s">
        <v>266</v>
      </c>
      <c r="K1200">
        <v>7.8994785425936034E-3</v>
      </c>
      <c r="L1200" t="s">
        <v>168</v>
      </c>
      <c r="N1200" t="s">
        <v>213</v>
      </c>
      <c r="O1200" t="s">
        <v>266</v>
      </c>
      <c r="P1200">
        <v>5.8076224779890712E-4</v>
      </c>
      <c r="Q1200" t="s">
        <v>168</v>
      </c>
      <c r="S1200" t="s">
        <v>232</v>
      </c>
      <c r="T1200" t="s">
        <v>266</v>
      </c>
      <c r="U1200">
        <v>8.9111575085547626E-4</v>
      </c>
      <c r="V1200" t="s">
        <v>168</v>
      </c>
    </row>
    <row r="1201" spans="9:22" x14ac:dyDescent="0.45">
      <c r="I1201" t="s">
        <v>189</v>
      </c>
      <c r="J1201" t="s">
        <v>267</v>
      </c>
      <c r="K1201">
        <v>9.3591573125811154E-3</v>
      </c>
      <c r="L1201" t="s">
        <v>168</v>
      </c>
      <c r="N1201" t="s">
        <v>213</v>
      </c>
      <c r="O1201" t="s">
        <v>267</v>
      </c>
      <c r="P1201">
        <v>6.0663310252377905E-4</v>
      </c>
      <c r="Q1201" t="s">
        <v>168</v>
      </c>
      <c r="S1201" t="s">
        <v>232</v>
      </c>
      <c r="T1201" t="s">
        <v>267</v>
      </c>
      <c r="U1201">
        <v>8.5667843611264972E-4</v>
      </c>
      <c r="V1201" t="s">
        <v>168</v>
      </c>
    </row>
    <row r="1202" spans="9:22" x14ac:dyDescent="0.45">
      <c r="I1202" t="s">
        <v>189</v>
      </c>
      <c r="J1202" t="s">
        <v>268</v>
      </c>
      <c r="K1202">
        <v>6.120750768722763E-2</v>
      </c>
      <c r="L1202" t="s">
        <v>168</v>
      </c>
      <c r="N1202" t="s">
        <v>213</v>
      </c>
      <c r="O1202" t="s">
        <v>268</v>
      </c>
      <c r="P1202">
        <v>6.984760080809802E-3</v>
      </c>
      <c r="Q1202" t="s">
        <v>168</v>
      </c>
      <c r="S1202" t="s">
        <v>232</v>
      </c>
      <c r="T1202" t="s">
        <v>268</v>
      </c>
      <c r="U1202">
        <v>7.2015786734099104E-3</v>
      </c>
      <c r="V1202" t="s">
        <v>168</v>
      </c>
    </row>
    <row r="1203" spans="9:22" x14ac:dyDescent="0.45">
      <c r="I1203" t="s">
        <v>189</v>
      </c>
      <c r="J1203" t="s">
        <v>269</v>
      </c>
      <c r="K1203">
        <v>8.4135316721841037E-3</v>
      </c>
      <c r="L1203" t="s">
        <v>168</v>
      </c>
      <c r="N1203" t="s">
        <v>213</v>
      </c>
      <c r="O1203" t="s">
        <v>269</v>
      </c>
      <c r="P1203">
        <v>2.5072894685815366E-3</v>
      </c>
      <c r="Q1203" t="s">
        <v>168</v>
      </c>
      <c r="S1203" t="s">
        <v>232</v>
      </c>
      <c r="T1203" t="s">
        <v>269</v>
      </c>
      <c r="U1203">
        <v>1.5002310829499476E-3</v>
      </c>
      <c r="V1203" t="s">
        <v>168</v>
      </c>
    </row>
    <row r="1204" spans="9:22" x14ac:dyDescent="0.45">
      <c r="I1204" t="s">
        <v>189</v>
      </c>
      <c r="J1204" t="s">
        <v>270</v>
      </c>
      <c r="K1204">
        <v>1.368945113712719E-2</v>
      </c>
      <c r="L1204" t="s">
        <v>168</v>
      </c>
      <c r="N1204" t="s">
        <v>213</v>
      </c>
      <c r="O1204" t="s">
        <v>270</v>
      </c>
      <c r="P1204">
        <v>1.1848509213980708E-2</v>
      </c>
      <c r="Q1204" t="s">
        <v>168</v>
      </c>
      <c r="S1204" t="s">
        <v>232</v>
      </c>
      <c r="T1204" t="s">
        <v>270</v>
      </c>
      <c r="U1204">
        <v>6.7940561455675386E-3</v>
      </c>
      <c r="V1204" t="s">
        <v>168</v>
      </c>
    </row>
    <row r="1205" spans="9:22" x14ac:dyDescent="0.45">
      <c r="I1205" t="s">
        <v>189</v>
      </c>
      <c r="J1205" t="s">
        <v>271</v>
      </c>
      <c r="K1205">
        <v>3.6816869327551465E-3</v>
      </c>
      <c r="L1205" t="s">
        <v>168</v>
      </c>
      <c r="N1205" t="s">
        <v>213</v>
      </c>
      <c r="O1205" t="s">
        <v>271</v>
      </c>
      <c r="P1205">
        <v>1.3598822338765217E-2</v>
      </c>
      <c r="Q1205" t="s">
        <v>168</v>
      </c>
      <c r="S1205" t="s">
        <v>232</v>
      </c>
      <c r="T1205" t="s">
        <v>271</v>
      </c>
      <c r="U1205">
        <v>1.4876620599513612E-2</v>
      </c>
      <c r="V1205" t="s">
        <v>168</v>
      </c>
    </row>
    <row r="1206" spans="9:22" x14ac:dyDescent="0.45">
      <c r="I1206" t="s">
        <v>189</v>
      </c>
      <c r="J1206" t="s">
        <v>272</v>
      </c>
      <c r="K1206">
        <v>6.0426342536993817E-3</v>
      </c>
      <c r="L1206" t="s">
        <v>168</v>
      </c>
      <c r="N1206" t="s">
        <v>213</v>
      </c>
      <c r="O1206" t="s">
        <v>272</v>
      </c>
      <c r="P1206">
        <v>1.680736529068135E-3</v>
      </c>
      <c r="Q1206" t="s">
        <v>168</v>
      </c>
      <c r="S1206" t="s">
        <v>232</v>
      </c>
      <c r="T1206" t="s">
        <v>272</v>
      </c>
      <c r="U1206">
        <v>1.9079960316307205E-3</v>
      </c>
      <c r="V1206" t="s">
        <v>168</v>
      </c>
    </row>
    <row r="1207" spans="9:22" x14ac:dyDescent="0.45">
      <c r="I1207" t="s">
        <v>189</v>
      </c>
      <c r="J1207" t="s">
        <v>273</v>
      </c>
      <c r="K1207">
        <v>7.5835559461265691E-3</v>
      </c>
      <c r="L1207" t="s">
        <v>168</v>
      </c>
      <c r="N1207" t="s">
        <v>213</v>
      </c>
      <c r="O1207" t="s">
        <v>273</v>
      </c>
      <c r="P1207">
        <v>1.7759561921486357E-3</v>
      </c>
      <c r="Q1207" t="s">
        <v>168</v>
      </c>
      <c r="S1207" t="s">
        <v>232</v>
      </c>
      <c r="T1207" t="s">
        <v>273</v>
      </c>
      <c r="U1207">
        <v>1.8222760611117041E-3</v>
      </c>
      <c r="V1207" t="s">
        <v>168</v>
      </c>
    </row>
    <row r="1208" spans="9:22" x14ac:dyDescent="0.45">
      <c r="I1208" t="s">
        <v>189</v>
      </c>
      <c r="J1208" t="s">
        <v>274</v>
      </c>
      <c r="K1208">
        <v>5.0496457280378722E-2</v>
      </c>
      <c r="L1208" t="s">
        <v>168</v>
      </c>
      <c r="N1208" t="s">
        <v>213</v>
      </c>
      <c r="O1208" t="s">
        <v>274</v>
      </c>
      <c r="P1208">
        <v>1.376440523381578E-2</v>
      </c>
      <c r="Q1208" t="s">
        <v>168</v>
      </c>
      <c r="S1208" t="s">
        <v>232</v>
      </c>
      <c r="T1208" t="s">
        <v>274</v>
      </c>
      <c r="U1208">
        <v>1.3024453699003938E-2</v>
      </c>
      <c r="V1208" t="s">
        <v>168</v>
      </c>
    </row>
    <row r="1209" spans="9:22" x14ac:dyDescent="0.45">
      <c r="I1209" t="s">
        <v>189</v>
      </c>
      <c r="J1209" t="s">
        <v>275</v>
      </c>
      <c r="K1209">
        <v>6.7605146831493379E-3</v>
      </c>
      <c r="L1209" t="s">
        <v>168</v>
      </c>
      <c r="N1209" t="s">
        <v>213</v>
      </c>
      <c r="O1209" t="s">
        <v>275</v>
      </c>
      <c r="P1209">
        <v>3.1079215974377759E-3</v>
      </c>
      <c r="Q1209" t="s">
        <v>168</v>
      </c>
      <c r="S1209" t="s">
        <v>232</v>
      </c>
      <c r="T1209" t="s">
        <v>275</v>
      </c>
      <c r="U1209">
        <v>2.2342496816594084E-3</v>
      </c>
      <c r="V1209" t="s">
        <v>168</v>
      </c>
    </row>
    <row r="1210" spans="9:22" x14ac:dyDescent="0.45">
      <c r="I1210" t="s">
        <v>189</v>
      </c>
      <c r="J1210" t="s">
        <v>276</v>
      </c>
      <c r="K1210">
        <v>7.5881062553197157E-3</v>
      </c>
      <c r="L1210" t="s">
        <v>168</v>
      </c>
      <c r="N1210" t="s">
        <v>213</v>
      </c>
      <c r="O1210" t="s">
        <v>276</v>
      </c>
      <c r="P1210">
        <v>1.6248531221096225E-2</v>
      </c>
      <c r="Q1210" t="s">
        <v>168</v>
      </c>
      <c r="S1210" t="s">
        <v>232</v>
      </c>
      <c r="T1210" t="s">
        <v>276</v>
      </c>
      <c r="U1210">
        <v>1.1429627164381945E-2</v>
      </c>
      <c r="V1210" t="s">
        <v>168</v>
      </c>
    </row>
    <row r="1211" spans="9:22" x14ac:dyDescent="0.45">
      <c r="I1211" t="s">
        <v>189</v>
      </c>
      <c r="J1211" t="s">
        <v>341</v>
      </c>
      <c r="K1211">
        <v>0</v>
      </c>
      <c r="L1211" t="s">
        <v>168</v>
      </c>
      <c r="N1211" t="s">
        <v>213</v>
      </c>
      <c r="O1211" t="s">
        <v>341</v>
      </c>
      <c r="P1211">
        <v>1.8519211330070485E-8</v>
      </c>
      <c r="Q1211" t="s">
        <v>168</v>
      </c>
      <c r="S1211" t="s">
        <v>232</v>
      </c>
      <c r="T1211" t="s">
        <v>341</v>
      </c>
      <c r="U1211">
        <v>7.2331987405381816E-7</v>
      </c>
      <c r="V1211" t="s">
        <v>168</v>
      </c>
    </row>
    <row r="1212" spans="9:22" x14ac:dyDescent="0.45">
      <c r="I1212" t="s">
        <v>189</v>
      </c>
      <c r="J1212" t="s">
        <v>342</v>
      </c>
      <c r="K1212">
        <v>0</v>
      </c>
      <c r="L1212" t="s">
        <v>168</v>
      </c>
      <c r="N1212" t="s">
        <v>213</v>
      </c>
      <c r="O1212" t="s">
        <v>342</v>
      </c>
      <c r="P1212">
        <v>4.3592529271797751E-9</v>
      </c>
      <c r="Q1212" t="s">
        <v>168</v>
      </c>
      <c r="S1212" t="s">
        <v>232</v>
      </c>
      <c r="T1212" t="s">
        <v>342</v>
      </c>
      <c r="U1212">
        <v>0</v>
      </c>
      <c r="V1212" t="s">
        <v>168</v>
      </c>
    </row>
    <row r="1213" spans="9:22" x14ac:dyDescent="0.45">
      <c r="I1213" t="s">
        <v>189</v>
      </c>
      <c r="J1213" t="s">
        <v>343</v>
      </c>
      <c r="K1213">
        <v>0</v>
      </c>
      <c r="L1213" t="s">
        <v>168</v>
      </c>
      <c r="N1213" t="s">
        <v>213</v>
      </c>
      <c r="O1213" t="s">
        <v>343</v>
      </c>
      <c r="P1213">
        <v>3.7043298991090121E-9</v>
      </c>
      <c r="Q1213" t="s">
        <v>168</v>
      </c>
      <c r="S1213" t="s">
        <v>232</v>
      </c>
      <c r="T1213" t="s">
        <v>343</v>
      </c>
      <c r="U1213">
        <v>1.5828456429061425E-7</v>
      </c>
      <c r="V1213" t="s">
        <v>168</v>
      </c>
    </row>
    <row r="1214" spans="9:22" x14ac:dyDescent="0.45">
      <c r="I1214" t="s">
        <v>189</v>
      </c>
      <c r="J1214" t="s">
        <v>344</v>
      </c>
      <c r="K1214">
        <v>0</v>
      </c>
      <c r="L1214" t="s">
        <v>168</v>
      </c>
      <c r="N1214" t="s">
        <v>213</v>
      </c>
      <c r="O1214" t="s">
        <v>344</v>
      </c>
      <c r="P1214">
        <v>5.7130670281203725E-9</v>
      </c>
      <c r="Q1214" t="s">
        <v>168</v>
      </c>
      <c r="S1214" t="s">
        <v>232</v>
      </c>
      <c r="T1214" t="s">
        <v>344</v>
      </c>
      <c r="U1214">
        <v>7.2785025401235325E-7</v>
      </c>
      <c r="V1214" t="s">
        <v>168</v>
      </c>
    </row>
    <row r="1215" spans="9:22" x14ac:dyDescent="0.45">
      <c r="I1215" t="s">
        <v>189</v>
      </c>
      <c r="J1215" t="s">
        <v>345</v>
      </c>
      <c r="K1215">
        <v>0</v>
      </c>
      <c r="L1215" t="s">
        <v>168</v>
      </c>
      <c r="N1215" t="s">
        <v>213</v>
      </c>
      <c r="O1215" t="s">
        <v>345</v>
      </c>
      <c r="P1215">
        <v>1.7924071106035801E-8</v>
      </c>
      <c r="Q1215" t="s">
        <v>168</v>
      </c>
      <c r="S1215" t="s">
        <v>232</v>
      </c>
      <c r="T1215" t="s">
        <v>345</v>
      </c>
      <c r="U1215">
        <v>3.1710621486133509E-6</v>
      </c>
      <c r="V1215" t="s">
        <v>168</v>
      </c>
    </row>
    <row r="1216" spans="9:22" x14ac:dyDescent="0.45">
      <c r="I1216" t="s">
        <v>189</v>
      </c>
      <c r="J1216" t="s">
        <v>346</v>
      </c>
      <c r="K1216">
        <v>0</v>
      </c>
      <c r="L1216" t="s">
        <v>168</v>
      </c>
      <c r="N1216" t="s">
        <v>213</v>
      </c>
      <c r="O1216" t="s">
        <v>346</v>
      </c>
      <c r="P1216">
        <v>3.8892615741574708E-8</v>
      </c>
      <c r="Q1216" t="s">
        <v>168</v>
      </c>
      <c r="S1216" t="s">
        <v>232</v>
      </c>
      <c r="T1216" t="s">
        <v>346</v>
      </c>
      <c r="U1216">
        <v>4.718681433237044E-6</v>
      </c>
      <c r="V1216" t="s">
        <v>168</v>
      </c>
    </row>
    <row r="1217" spans="9:22" x14ac:dyDescent="0.45">
      <c r="I1217" t="s">
        <v>189</v>
      </c>
      <c r="J1217" t="s">
        <v>347</v>
      </c>
      <c r="K1217">
        <v>0</v>
      </c>
      <c r="L1217" t="s">
        <v>168</v>
      </c>
      <c r="N1217" t="s">
        <v>213</v>
      </c>
      <c r="O1217" t="s">
        <v>347</v>
      </c>
      <c r="P1217">
        <v>7.0194237494401987E-8</v>
      </c>
      <c r="Q1217" t="s">
        <v>168</v>
      </c>
      <c r="S1217" t="s">
        <v>232</v>
      </c>
      <c r="T1217" t="s">
        <v>347</v>
      </c>
      <c r="U1217">
        <v>5.2602652071348535E-6</v>
      </c>
      <c r="V1217" t="s">
        <v>168</v>
      </c>
    </row>
    <row r="1218" spans="9:22" x14ac:dyDescent="0.45">
      <c r="I1218" t="s">
        <v>189</v>
      </c>
      <c r="J1218" t="s">
        <v>348</v>
      </c>
      <c r="K1218">
        <v>1.5798471212378793E-4</v>
      </c>
      <c r="L1218" t="s">
        <v>168</v>
      </c>
      <c r="N1218" t="s">
        <v>213</v>
      </c>
      <c r="O1218" t="s">
        <v>348</v>
      </c>
      <c r="P1218">
        <v>1.313609068341075E-7</v>
      </c>
      <c r="Q1218" t="s">
        <v>168</v>
      </c>
      <c r="S1218" t="s">
        <v>232</v>
      </c>
      <c r="T1218" t="s">
        <v>348</v>
      </c>
      <c r="U1218">
        <v>6.5303353381448156E-6</v>
      </c>
      <c r="V1218" t="s">
        <v>168</v>
      </c>
    </row>
    <row r="1219" spans="9:22" x14ac:dyDescent="0.45">
      <c r="I1219" t="s">
        <v>189</v>
      </c>
      <c r="J1219" t="s">
        <v>349</v>
      </c>
      <c r="K1219">
        <v>2.7125931386724002E-4</v>
      </c>
      <c r="L1219" t="s">
        <v>168</v>
      </c>
      <c r="N1219" t="s">
        <v>213</v>
      </c>
      <c r="O1219" t="s">
        <v>349</v>
      </c>
      <c r="P1219">
        <v>1.584342128256271E-7</v>
      </c>
      <c r="Q1219" t="s">
        <v>168</v>
      </c>
      <c r="S1219" t="s">
        <v>232</v>
      </c>
      <c r="T1219" t="s">
        <v>349</v>
      </c>
      <c r="U1219">
        <v>7.3779210640590232E-6</v>
      </c>
      <c r="V1219" t="s">
        <v>168</v>
      </c>
    </row>
    <row r="1220" spans="9:22" x14ac:dyDescent="0.45">
      <c r="I1220" t="s">
        <v>189</v>
      </c>
      <c r="J1220" t="s">
        <v>350</v>
      </c>
      <c r="K1220">
        <v>3.2599882428126995E-4</v>
      </c>
      <c r="L1220" t="s">
        <v>168</v>
      </c>
      <c r="N1220" t="s">
        <v>213</v>
      </c>
      <c r="O1220" t="s">
        <v>350</v>
      </c>
      <c r="P1220">
        <v>1.4235953243532759E-7</v>
      </c>
      <c r="Q1220" t="s">
        <v>168</v>
      </c>
      <c r="S1220" t="s">
        <v>232</v>
      </c>
      <c r="T1220" t="s">
        <v>350</v>
      </c>
      <c r="U1220">
        <v>7.9589257323273671E-6</v>
      </c>
      <c r="V1220" t="s">
        <v>168</v>
      </c>
    </row>
    <row r="1221" spans="9:22" x14ac:dyDescent="0.45">
      <c r="I1221" t="s">
        <v>189</v>
      </c>
      <c r="J1221" t="s">
        <v>351</v>
      </c>
      <c r="K1221">
        <v>3.4719967961747012E-4</v>
      </c>
      <c r="L1221" t="s">
        <v>168</v>
      </c>
      <c r="N1221" t="s">
        <v>213</v>
      </c>
      <c r="O1221" t="s">
        <v>351</v>
      </c>
      <c r="P1221">
        <v>9.0987791049367863E-8</v>
      </c>
      <c r="Q1221" t="s">
        <v>168</v>
      </c>
      <c r="S1221" t="s">
        <v>232</v>
      </c>
      <c r="T1221" t="s">
        <v>351</v>
      </c>
      <c r="U1221">
        <v>9.9291590182975914E-6</v>
      </c>
      <c r="V1221" t="s">
        <v>168</v>
      </c>
    </row>
    <row r="1222" spans="9:22" x14ac:dyDescent="0.45">
      <c r="I1222" t="s">
        <v>189</v>
      </c>
      <c r="J1222" t="s">
        <v>352</v>
      </c>
      <c r="K1222">
        <v>3.4800750167987977E-4</v>
      </c>
      <c r="L1222" t="s">
        <v>168</v>
      </c>
      <c r="N1222" t="s">
        <v>213</v>
      </c>
      <c r="O1222" t="s">
        <v>352</v>
      </c>
      <c r="P1222">
        <v>6.2153882176810581E-8</v>
      </c>
      <c r="Q1222" t="s">
        <v>168</v>
      </c>
      <c r="S1222" t="s">
        <v>232</v>
      </c>
      <c r="T1222" t="s">
        <v>352</v>
      </c>
      <c r="U1222">
        <v>1.0065142366716604E-5</v>
      </c>
      <c r="V1222" t="s">
        <v>168</v>
      </c>
    </row>
    <row r="1223" spans="9:22" x14ac:dyDescent="0.45">
      <c r="I1223" t="s">
        <v>189</v>
      </c>
      <c r="J1223" t="s">
        <v>353</v>
      </c>
      <c r="K1223">
        <v>3.2440485428275671E-4</v>
      </c>
      <c r="L1223" t="s">
        <v>168</v>
      </c>
      <c r="N1223" t="s">
        <v>213</v>
      </c>
      <c r="O1223" t="s">
        <v>353</v>
      </c>
      <c r="P1223">
        <v>2.9342400732550901E-7</v>
      </c>
      <c r="Q1223" t="s">
        <v>168</v>
      </c>
      <c r="S1223" t="s">
        <v>232</v>
      </c>
      <c r="T1223" t="s">
        <v>353</v>
      </c>
      <c r="U1223">
        <v>1.476008364459792E-5</v>
      </c>
      <c r="V1223" t="s">
        <v>168</v>
      </c>
    </row>
    <row r="1224" spans="9:22" x14ac:dyDescent="0.45">
      <c r="I1224" t="s">
        <v>189</v>
      </c>
      <c r="J1224" t="s">
        <v>354</v>
      </c>
      <c r="K1224">
        <v>3.3775499162662153E-4</v>
      </c>
      <c r="L1224" t="s">
        <v>168</v>
      </c>
      <c r="N1224" t="s">
        <v>213</v>
      </c>
      <c r="O1224" t="s">
        <v>354</v>
      </c>
      <c r="P1224">
        <v>3.1172128054660589E-6</v>
      </c>
      <c r="Q1224" t="s">
        <v>168</v>
      </c>
      <c r="S1224" t="s">
        <v>232</v>
      </c>
      <c r="T1224" t="s">
        <v>354</v>
      </c>
      <c r="U1224">
        <v>1.9744754124034048E-5</v>
      </c>
      <c r="V1224" t="s">
        <v>168</v>
      </c>
    </row>
    <row r="1225" spans="9:22" x14ac:dyDescent="0.45">
      <c r="I1225" t="s">
        <v>189</v>
      </c>
      <c r="J1225" t="s">
        <v>355</v>
      </c>
      <c r="K1225">
        <v>3.5088166708796564E-4</v>
      </c>
      <c r="L1225" t="s">
        <v>168</v>
      </c>
      <c r="N1225" t="s">
        <v>213</v>
      </c>
      <c r="O1225" t="s">
        <v>355</v>
      </c>
      <c r="P1225">
        <v>9.1382850592875926E-6</v>
      </c>
      <c r="Q1225" t="s">
        <v>168</v>
      </c>
      <c r="S1225" t="s">
        <v>232</v>
      </c>
      <c r="T1225" t="s">
        <v>355</v>
      </c>
      <c r="U1225">
        <v>2.3866381919381931E-5</v>
      </c>
      <c r="V1225" t="s">
        <v>168</v>
      </c>
    </row>
    <row r="1226" spans="9:22" x14ac:dyDescent="0.45">
      <c r="I1226" t="s">
        <v>189</v>
      </c>
      <c r="J1226" t="s">
        <v>356</v>
      </c>
      <c r="K1226">
        <v>3.4023772084809998E-4</v>
      </c>
      <c r="L1226" t="s">
        <v>168</v>
      </c>
      <c r="N1226" t="s">
        <v>213</v>
      </c>
      <c r="O1226" t="s">
        <v>356</v>
      </c>
      <c r="P1226">
        <v>1.4068477350547079E-5</v>
      </c>
      <c r="Q1226" t="s">
        <v>168</v>
      </c>
      <c r="S1226" t="s">
        <v>232</v>
      </c>
      <c r="T1226" t="s">
        <v>356</v>
      </c>
      <c r="U1226">
        <v>2.4177428458301403E-5</v>
      </c>
      <c r="V1226" t="s">
        <v>168</v>
      </c>
    </row>
    <row r="1227" spans="9:22" x14ac:dyDescent="0.45">
      <c r="I1227" t="s">
        <v>189</v>
      </c>
      <c r="J1227" t="s">
        <v>357</v>
      </c>
      <c r="K1227">
        <v>3.0186866780061315E-4</v>
      </c>
      <c r="L1227" t="s">
        <v>168</v>
      </c>
      <c r="N1227" t="s">
        <v>213</v>
      </c>
      <c r="O1227" t="s">
        <v>357</v>
      </c>
      <c r="P1227">
        <v>1.6710841078975385E-5</v>
      </c>
      <c r="Q1227" t="s">
        <v>168</v>
      </c>
      <c r="S1227" t="s">
        <v>232</v>
      </c>
      <c r="T1227" t="s">
        <v>357</v>
      </c>
      <c r="U1227">
        <v>2.5153015857943672E-5</v>
      </c>
      <c r="V1227" t="s">
        <v>168</v>
      </c>
    </row>
    <row r="1228" spans="9:22" x14ac:dyDescent="0.45">
      <c r="I1228" t="s">
        <v>189</v>
      </c>
      <c r="J1228" t="s">
        <v>358</v>
      </c>
      <c r="K1228">
        <v>2.2196625992262423E-4</v>
      </c>
      <c r="L1228" t="s">
        <v>168</v>
      </c>
      <c r="N1228" t="s">
        <v>213</v>
      </c>
      <c r="O1228" t="s">
        <v>358</v>
      </c>
      <c r="P1228">
        <v>1.7240589410910627E-5</v>
      </c>
      <c r="Q1228" t="s">
        <v>168</v>
      </c>
      <c r="S1228" t="s">
        <v>232</v>
      </c>
      <c r="T1228" t="s">
        <v>358</v>
      </c>
      <c r="U1228">
        <v>2.6426245467664808E-5</v>
      </c>
      <c r="V1228" t="s">
        <v>168</v>
      </c>
    </row>
    <row r="1229" spans="9:22" x14ac:dyDescent="0.45">
      <c r="I1229" t="s">
        <v>189</v>
      </c>
      <c r="J1229" t="s">
        <v>359</v>
      </c>
      <c r="K1229">
        <v>1.1982110802634067E-4</v>
      </c>
      <c r="L1229" t="s">
        <v>168</v>
      </c>
      <c r="N1229" t="s">
        <v>213</v>
      </c>
      <c r="O1229" t="s">
        <v>359</v>
      </c>
      <c r="P1229">
        <v>1.1821477979782127E-5</v>
      </c>
      <c r="Q1229" t="s">
        <v>168</v>
      </c>
      <c r="S1229" t="s">
        <v>232</v>
      </c>
      <c r="T1229" t="s">
        <v>359</v>
      </c>
      <c r="U1229">
        <v>3.0265955758262757E-5</v>
      </c>
      <c r="V1229" t="s">
        <v>168</v>
      </c>
    </row>
    <row r="1230" spans="9:22" x14ac:dyDescent="0.45">
      <c r="I1230" t="s">
        <v>189</v>
      </c>
      <c r="J1230" t="s">
        <v>360</v>
      </c>
      <c r="K1230">
        <v>0</v>
      </c>
      <c r="L1230" t="s">
        <v>168</v>
      </c>
      <c r="N1230" t="s">
        <v>213</v>
      </c>
      <c r="O1230" t="s">
        <v>360</v>
      </c>
      <c r="P1230">
        <v>3.9528197493346678E-6</v>
      </c>
      <c r="Q1230" t="s">
        <v>168</v>
      </c>
      <c r="S1230" t="s">
        <v>232</v>
      </c>
      <c r="T1230" t="s">
        <v>360</v>
      </c>
      <c r="U1230">
        <v>3.6335518710987225E-5</v>
      </c>
      <c r="V1230" t="s">
        <v>168</v>
      </c>
    </row>
    <row r="1231" spans="9:22" x14ac:dyDescent="0.45">
      <c r="I1231" t="s">
        <v>189</v>
      </c>
      <c r="J1231" t="s">
        <v>361</v>
      </c>
      <c r="K1231">
        <v>0</v>
      </c>
      <c r="L1231" t="s">
        <v>168</v>
      </c>
      <c r="N1231" t="s">
        <v>213</v>
      </c>
      <c r="O1231" t="s">
        <v>361</v>
      </c>
      <c r="P1231">
        <v>1.7391888738432719E-7</v>
      </c>
      <c r="Q1231" t="s">
        <v>168</v>
      </c>
      <c r="S1231" t="s">
        <v>232</v>
      </c>
      <c r="T1231" t="s">
        <v>361</v>
      </c>
      <c r="U1231">
        <v>4.3662873389106591E-5</v>
      </c>
      <c r="V1231" t="s">
        <v>168</v>
      </c>
    </row>
    <row r="1232" spans="9:22" x14ac:dyDescent="0.45">
      <c r="I1232" t="s">
        <v>189</v>
      </c>
      <c r="J1232" t="s">
        <v>362</v>
      </c>
      <c r="K1232">
        <v>0</v>
      </c>
      <c r="L1232" t="s">
        <v>168</v>
      </c>
      <c r="N1232" t="s">
        <v>213</v>
      </c>
      <c r="O1232" t="s">
        <v>362</v>
      </c>
      <c r="P1232">
        <v>1.4317698865127162E-8</v>
      </c>
      <c r="Q1232" t="s">
        <v>168</v>
      </c>
      <c r="S1232" t="s">
        <v>232</v>
      </c>
      <c r="T1232" t="s">
        <v>362</v>
      </c>
      <c r="U1232">
        <v>5.1483066424218781E-5</v>
      </c>
      <c r="V1232" t="s">
        <v>168</v>
      </c>
    </row>
    <row r="1233" spans="9:22" x14ac:dyDescent="0.45">
      <c r="I1233" t="s">
        <v>189</v>
      </c>
      <c r="J1233" t="s">
        <v>363</v>
      </c>
      <c r="K1233">
        <v>0</v>
      </c>
      <c r="L1233" t="s">
        <v>168</v>
      </c>
      <c r="N1233" t="s">
        <v>213</v>
      </c>
      <c r="O1233" t="s">
        <v>363</v>
      </c>
      <c r="P1233">
        <v>1.029744929402822E-8</v>
      </c>
      <c r="Q1233" t="s">
        <v>168</v>
      </c>
      <c r="S1233" t="s">
        <v>232</v>
      </c>
      <c r="T1233" t="s">
        <v>363</v>
      </c>
      <c r="U1233">
        <v>5.8336378494645882E-5</v>
      </c>
      <c r="V1233" t="s">
        <v>168</v>
      </c>
    </row>
    <row r="1234" spans="9:22" x14ac:dyDescent="0.45">
      <c r="I1234" t="s">
        <v>189</v>
      </c>
      <c r="J1234" t="s">
        <v>364</v>
      </c>
      <c r="K1234">
        <v>0</v>
      </c>
      <c r="L1234" t="s">
        <v>168</v>
      </c>
      <c r="N1234" t="s">
        <v>213</v>
      </c>
      <c r="O1234" t="s">
        <v>364</v>
      </c>
      <c r="P1234">
        <v>2.3180183570941736E-8</v>
      </c>
      <c r="Q1234" t="s">
        <v>168</v>
      </c>
      <c r="S1234" t="s">
        <v>232</v>
      </c>
      <c r="T1234" t="s">
        <v>364</v>
      </c>
      <c r="U1234">
        <v>5.5341090078928086E-5</v>
      </c>
      <c r="V1234" t="s">
        <v>168</v>
      </c>
    </row>
    <row r="1235" spans="9:22" x14ac:dyDescent="0.45">
      <c r="I1235" t="s">
        <v>189</v>
      </c>
      <c r="J1235" t="s">
        <v>277</v>
      </c>
      <c r="K1235">
        <v>2.7470272421768142E-3</v>
      </c>
      <c r="L1235" t="s">
        <v>168</v>
      </c>
      <c r="N1235" t="s">
        <v>213</v>
      </c>
      <c r="O1235" t="s">
        <v>277</v>
      </c>
      <c r="P1235">
        <v>5.8985904877860172E-2</v>
      </c>
      <c r="Q1235" t="s">
        <v>168</v>
      </c>
      <c r="S1235" t="s">
        <v>232</v>
      </c>
      <c r="T1235" t="s">
        <v>277</v>
      </c>
      <c r="U1235">
        <v>5.2733628294368826E-2</v>
      </c>
      <c r="V1235" t="s">
        <v>168</v>
      </c>
    </row>
    <row r="1236" spans="9:22" x14ac:dyDescent="0.45">
      <c r="I1236" t="s">
        <v>189</v>
      </c>
      <c r="J1236" t="s">
        <v>278</v>
      </c>
      <c r="K1236">
        <v>8.3889972001734113E-3</v>
      </c>
      <c r="L1236" t="s">
        <v>168</v>
      </c>
      <c r="N1236" t="s">
        <v>213</v>
      </c>
      <c r="O1236" t="s">
        <v>278</v>
      </c>
      <c r="P1236">
        <v>7.0483583653756223E-3</v>
      </c>
      <c r="Q1236" t="s">
        <v>168</v>
      </c>
      <c r="S1236" t="s">
        <v>232</v>
      </c>
      <c r="T1236" t="s">
        <v>278</v>
      </c>
      <c r="U1236">
        <v>6.4776474660589896E-3</v>
      </c>
      <c r="V1236" t="s">
        <v>168</v>
      </c>
    </row>
    <row r="1237" spans="9:22" x14ac:dyDescent="0.45">
      <c r="I1237" t="s">
        <v>189</v>
      </c>
      <c r="J1237" t="s">
        <v>279</v>
      </c>
      <c r="K1237">
        <v>1.2367243494184159E-2</v>
      </c>
      <c r="L1237" t="s">
        <v>168</v>
      </c>
      <c r="N1237" t="s">
        <v>213</v>
      </c>
      <c r="O1237" t="s">
        <v>279</v>
      </c>
      <c r="P1237">
        <v>6.9009624300717795E-3</v>
      </c>
      <c r="Q1237" t="s">
        <v>168</v>
      </c>
      <c r="S1237" t="s">
        <v>232</v>
      </c>
      <c r="T1237" t="s">
        <v>279</v>
      </c>
      <c r="U1237">
        <v>6.4164449529876492E-3</v>
      </c>
      <c r="V1237" t="s">
        <v>168</v>
      </c>
    </row>
    <row r="1238" spans="9:22" x14ac:dyDescent="0.45">
      <c r="I1238" t="s">
        <v>189</v>
      </c>
      <c r="J1238" t="s">
        <v>280</v>
      </c>
      <c r="K1238">
        <v>8.2441240710138142E-2</v>
      </c>
      <c r="L1238" t="s">
        <v>168</v>
      </c>
      <c r="N1238" t="s">
        <v>213</v>
      </c>
      <c r="O1238" t="s">
        <v>280</v>
      </c>
      <c r="P1238">
        <v>4.2253844099883218E-2</v>
      </c>
      <c r="Q1238" t="s">
        <v>168</v>
      </c>
      <c r="S1238" t="s">
        <v>232</v>
      </c>
      <c r="T1238" t="s">
        <v>280</v>
      </c>
      <c r="U1238">
        <v>3.9699498577151722E-2</v>
      </c>
      <c r="V1238" t="s">
        <v>168</v>
      </c>
    </row>
    <row r="1239" spans="9:22" x14ac:dyDescent="0.45">
      <c r="I1239" t="s">
        <v>189</v>
      </c>
      <c r="J1239" t="s">
        <v>281</v>
      </c>
      <c r="K1239">
        <v>9.4195223085389249E-3</v>
      </c>
      <c r="L1239" t="s">
        <v>168</v>
      </c>
      <c r="N1239" t="s">
        <v>213</v>
      </c>
      <c r="O1239" t="s">
        <v>281</v>
      </c>
      <c r="P1239">
        <v>7.8909955677199158E-3</v>
      </c>
      <c r="Q1239" t="s">
        <v>168</v>
      </c>
      <c r="S1239" t="s">
        <v>232</v>
      </c>
      <c r="T1239" t="s">
        <v>281</v>
      </c>
      <c r="U1239">
        <v>6.9561052388949236E-3</v>
      </c>
      <c r="V1239" t="s">
        <v>168</v>
      </c>
    </row>
    <row r="1240" spans="9:22" x14ac:dyDescent="0.45">
      <c r="I1240" t="s">
        <v>189</v>
      </c>
      <c r="J1240" t="s">
        <v>282</v>
      </c>
      <c r="K1240">
        <v>4.6803943252238991E-3</v>
      </c>
      <c r="L1240" t="s">
        <v>168</v>
      </c>
      <c r="N1240" t="s">
        <v>213</v>
      </c>
      <c r="O1240" t="s">
        <v>282</v>
      </c>
      <c r="P1240">
        <v>5.9138246099530847E-2</v>
      </c>
      <c r="Q1240" t="s">
        <v>168</v>
      </c>
      <c r="S1240" t="s">
        <v>232</v>
      </c>
      <c r="T1240" t="s">
        <v>282</v>
      </c>
      <c r="U1240">
        <v>4.6372331758068507E-2</v>
      </c>
      <c r="V1240" t="s">
        <v>168</v>
      </c>
    </row>
    <row r="1241" spans="9:22" x14ac:dyDescent="0.45">
      <c r="I1241" t="s">
        <v>189</v>
      </c>
      <c r="J1241" t="s">
        <v>283</v>
      </c>
      <c r="K1241">
        <v>0</v>
      </c>
      <c r="L1241" t="s">
        <v>168</v>
      </c>
      <c r="N1241" t="s">
        <v>213</v>
      </c>
      <c r="O1241" t="s">
        <v>283</v>
      </c>
      <c r="P1241">
        <v>2.4383152059448836E-2</v>
      </c>
      <c r="Q1241" t="s">
        <v>168</v>
      </c>
      <c r="S1241" t="s">
        <v>232</v>
      </c>
      <c r="T1241" t="s">
        <v>283</v>
      </c>
      <c r="U1241">
        <v>2.0508462867605794E-2</v>
      </c>
      <c r="V1241" t="s">
        <v>168</v>
      </c>
    </row>
    <row r="1242" spans="9:22" x14ac:dyDescent="0.45">
      <c r="I1242" t="s">
        <v>189</v>
      </c>
      <c r="J1242" t="s">
        <v>284</v>
      </c>
      <c r="K1242">
        <v>2.4338650456004309E-3</v>
      </c>
      <c r="L1242" t="s">
        <v>168</v>
      </c>
      <c r="N1242" t="s">
        <v>213</v>
      </c>
      <c r="O1242" t="s">
        <v>284</v>
      </c>
      <c r="P1242">
        <v>3.0286982329665859E-3</v>
      </c>
      <c r="Q1242" t="s">
        <v>168</v>
      </c>
      <c r="S1242" t="s">
        <v>232</v>
      </c>
      <c r="T1242" t="s">
        <v>284</v>
      </c>
      <c r="U1242">
        <v>2.3488442386549197E-3</v>
      </c>
      <c r="V1242" t="s">
        <v>168</v>
      </c>
    </row>
    <row r="1243" spans="9:22" x14ac:dyDescent="0.45">
      <c r="I1243" t="s">
        <v>189</v>
      </c>
      <c r="J1243" t="s">
        <v>285</v>
      </c>
      <c r="K1243">
        <v>4.4951125502046057E-3</v>
      </c>
      <c r="L1243" t="s">
        <v>168</v>
      </c>
      <c r="N1243" t="s">
        <v>213</v>
      </c>
      <c r="O1243" t="s">
        <v>285</v>
      </c>
      <c r="P1243">
        <v>2.9627299703275413E-3</v>
      </c>
      <c r="Q1243" t="s">
        <v>168</v>
      </c>
      <c r="S1243" t="s">
        <v>232</v>
      </c>
      <c r="T1243" t="s">
        <v>285</v>
      </c>
      <c r="U1243">
        <v>2.2827938224597951E-3</v>
      </c>
      <c r="V1243" t="s">
        <v>168</v>
      </c>
    </row>
    <row r="1244" spans="9:22" x14ac:dyDescent="0.45">
      <c r="I1244" t="s">
        <v>189</v>
      </c>
      <c r="J1244" t="s">
        <v>286</v>
      </c>
      <c r="K1244">
        <v>3.4397214567882639E-2</v>
      </c>
      <c r="L1244" t="s">
        <v>168</v>
      </c>
      <c r="N1244" t="s">
        <v>213</v>
      </c>
      <c r="O1244" t="s">
        <v>286</v>
      </c>
      <c r="P1244">
        <v>1.6492684816205885E-2</v>
      </c>
      <c r="Q1244" t="s">
        <v>168</v>
      </c>
      <c r="S1244" t="s">
        <v>232</v>
      </c>
      <c r="T1244" t="s">
        <v>286</v>
      </c>
      <c r="U1244">
        <v>1.3509503769323536E-2</v>
      </c>
      <c r="V1244" t="s">
        <v>168</v>
      </c>
    </row>
    <row r="1245" spans="9:22" x14ac:dyDescent="0.45">
      <c r="I1245" t="s">
        <v>189</v>
      </c>
      <c r="J1245" t="s">
        <v>287</v>
      </c>
      <c r="K1245">
        <v>3.4178860907780879E-3</v>
      </c>
      <c r="L1245" t="s">
        <v>168</v>
      </c>
      <c r="N1245" t="s">
        <v>213</v>
      </c>
      <c r="O1245" t="s">
        <v>287</v>
      </c>
      <c r="P1245">
        <v>2.6681473132839288E-3</v>
      </c>
      <c r="Q1245" t="s">
        <v>168</v>
      </c>
      <c r="S1245" t="s">
        <v>232</v>
      </c>
      <c r="T1245" t="s">
        <v>287</v>
      </c>
      <c r="U1245">
        <v>2.2263246880327536E-3</v>
      </c>
      <c r="V1245" t="s">
        <v>168</v>
      </c>
    </row>
    <row r="1246" spans="9:22" x14ac:dyDescent="0.45">
      <c r="I1246" t="s">
        <v>189</v>
      </c>
      <c r="J1246" t="s">
        <v>288</v>
      </c>
      <c r="K1246">
        <v>1.5038032081835976E-4</v>
      </c>
      <c r="L1246" t="s">
        <v>168</v>
      </c>
      <c r="N1246" t="s">
        <v>213</v>
      </c>
      <c r="O1246" t="s">
        <v>288</v>
      </c>
      <c r="P1246">
        <v>1.7568194775764462E-2</v>
      </c>
      <c r="Q1246" t="s">
        <v>168</v>
      </c>
      <c r="S1246" t="s">
        <v>232</v>
      </c>
      <c r="T1246" t="s">
        <v>288</v>
      </c>
      <c r="U1246">
        <v>1.5304110523067493E-2</v>
      </c>
      <c r="V1246" t="s">
        <v>168</v>
      </c>
    </row>
    <row r="1247" spans="9:22" x14ac:dyDescent="0.45">
      <c r="I1247" t="s">
        <v>189</v>
      </c>
      <c r="J1247" t="s">
        <v>365</v>
      </c>
      <c r="K1247">
        <v>0</v>
      </c>
      <c r="L1247" t="s">
        <v>168</v>
      </c>
      <c r="N1247" t="s">
        <v>213</v>
      </c>
      <c r="O1247" t="s">
        <v>365</v>
      </c>
      <c r="P1247">
        <v>4.2845747516995007E-5</v>
      </c>
      <c r="Q1247" t="s">
        <v>168</v>
      </c>
      <c r="S1247" t="s">
        <v>232</v>
      </c>
      <c r="T1247" t="s">
        <v>365</v>
      </c>
      <c r="U1247">
        <v>6.4492303020095599E-7</v>
      </c>
      <c r="V1247" t="s">
        <v>168</v>
      </c>
    </row>
    <row r="1248" spans="9:22" x14ac:dyDescent="0.45">
      <c r="I1248" t="s">
        <v>189</v>
      </c>
      <c r="J1248" t="s">
        <v>366</v>
      </c>
      <c r="K1248">
        <v>0</v>
      </c>
      <c r="L1248" t="s">
        <v>168</v>
      </c>
      <c r="N1248" t="s">
        <v>213</v>
      </c>
      <c r="O1248" t="s">
        <v>366</v>
      </c>
      <c r="P1248">
        <v>3.3388620792653949E-5</v>
      </c>
      <c r="Q1248" t="s">
        <v>168</v>
      </c>
      <c r="S1248" t="s">
        <v>232</v>
      </c>
      <c r="T1248" t="s">
        <v>366</v>
      </c>
      <c r="U1248">
        <v>9.1713653116949874E-7</v>
      </c>
      <c r="V1248" t="s">
        <v>168</v>
      </c>
    </row>
    <row r="1249" spans="9:22" x14ac:dyDescent="0.45">
      <c r="I1249" t="s">
        <v>189</v>
      </c>
      <c r="J1249" t="s">
        <v>367</v>
      </c>
      <c r="K1249">
        <v>0</v>
      </c>
      <c r="L1249" t="s">
        <v>168</v>
      </c>
      <c r="N1249" t="s">
        <v>213</v>
      </c>
      <c r="O1249" t="s">
        <v>367</v>
      </c>
      <c r="P1249">
        <v>2.5292387660176595E-5</v>
      </c>
      <c r="Q1249" t="s">
        <v>168</v>
      </c>
      <c r="S1249" t="s">
        <v>232</v>
      </c>
      <c r="T1249" t="s">
        <v>367</v>
      </c>
      <c r="U1249">
        <v>1.850982196895174E-6</v>
      </c>
      <c r="V1249" t="s">
        <v>168</v>
      </c>
    </row>
    <row r="1250" spans="9:22" x14ac:dyDescent="0.45">
      <c r="I1250" t="s">
        <v>189</v>
      </c>
      <c r="J1250" t="s">
        <v>368</v>
      </c>
      <c r="K1250">
        <v>0</v>
      </c>
      <c r="L1250" t="s">
        <v>168</v>
      </c>
      <c r="N1250" t="s">
        <v>213</v>
      </c>
      <c r="O1250" t="s">
        <v>368</v>
      </c>
      <c r="P1250">
        <v>2.0912192684486743E-5</v>
      </c>
      <c r="Q1250" t="s">
        <v>168</v>
      </c>
      <c r="S1250" t="s">
        <v>232</v>
      </c>
      <c r="T1250" t="s">
        <v>368</v>
      </c>
      <c r="U1250">
        <v>2.3982013143760365E-6</v>
      </c>
      <c r="V1250" t="s">
        <v>168</v>
      </c>
    </row>
    <row r="1251" spans="9:22" x14ac:dyDescent="0.45">
      <c r="I1251" t="s">
        <v>189</v>
      </c>
      <c r="J1251" t="s">
        <v>369</v>
      </c>
      <c r="K1251">
        <v>0</v>
      </c>
      <c r="L1251" t="s">
        <v>168</v>
      </c>
      <c r="N1251" t="s">
        <v>213</v>
      </c>
      <c r="O1251" t="s">
        <v>369</v>
      </c>
      <c r="P1251">
        <v>1.714199656547748E-5</v>
      </c>
      <c r="Q1251" t="s">
        <v>168</v>
      </c>
      <c r="S1251" t="s">
        <v>232</v>
      </c>
      <c r="T1251" t="s">
        <v>369</v>
      </c>
      <c r="U1251">
        <v>5.4453549346193384E-6</v>
      </c>
      <c r="V1251" t="s">
        <v>168</v>
      </c>
    </row>
    <row r="1252" spans="9:22" x14ac:dyDescent="0.45">
      <c r="I1252" t="s">
        <v>189</v>
      </c>
      <c r="J1252" t="s">
        <v>370</v>
      </c>
      <c r="K1252">
        <v>0</v>
      </c>
      <c r="L1252" t="s">
        <v>168</v>
      </c>
      <c r="N1252" t="s">
        <v>213</v>
      </c>
      <c r="O1252" t="s">
        <v>370</v>
      </c>
      <c r="P1252">
        <v>1.3617547440097787E-5</v>
      </c>
      <c r="Q1252" t="s">
        <v>168</v>
      </c>
      <c r="S1252" t="s">
        <v>232</v>
      </c>
      <c r="T1252" t="s">
        <v>370</v>
      </c>
      <c r="U1252">
        <v>7.5021889564256613E-6</v>
      </c>
      <c r="V1252" t="s">
        <v>168</v>
      </c>
    </row>
    <row r="1253" spans="9:22" x14ac:dyDescent="0.45">
      <c r="I1253" t="s">
        <v>189</v>
      </c>
      <c r="J1253" t="s">
        <v>371</v>
      </c>
      <c r="K1253">
        <v>0</v>
      </c>
      <c r="L1253" t="s">
        <v>168</v>
      </c>
      <c r="N1253" t="s">
        <v>213</v>
      </c>
      <c r="O1253" t="s">
        <v>371</v>
      </c>
      <c r="P1253">
        <v>1.0981004594940741E-5</v>
      </c>
      <c r="Q1253" t="s">
        <v>168</v>
      </c>
      <c r="S1253" t="s">
        <v>232</v>
      </c>
      <c r="T1253" t="s">
        <v>371</v>
      </c>
      <c r="U1253">
        <v>8.8857604913775646E-6</v>
      </c>
      <c r="V1253" t="s">
        <v>168</v>
      </c>
    </row>
    <row r="1254" spans="9:22" x14ac:dyDescent="0.45">
      <c r="I1254" t="s">
        <v>189</v>
      </c>
      <c r="J1254" t="s">
        <v>372</v>
      </c>
      <c r="K1254">
        <v>0</v>
      </c>
      <c r="L1254" t="s">
        <v>168</v>
      </c>
      <c r="N1254" t="s">
        <v>213</v>
      </c>
      <c r="O1254" t="s">
        <v>372</v>
      </c>
      <c r="P1254">
        <v>1.1166347614745842E-5</v>
      </c>
      <c r="Q1254" t="s">
        <v>168</v>
      </c>
      <c r="S1254" t="s">
        <v>232</v>
      </c>
      <c r="T1254" t="s">
        <v>372</v>
      </c>
      <c r="U1254">
        <v>8.2113966292300052E-6</v>
      </c>
      <c r="V1254" t="s">
        <v>168</v>
      </c>
    </row>
    <row r="1255" spans="9:22" x14ac:dyDescent="0.45">
      <c r="I1255" t="s">
        <v>189</v>
      </c>
      <c r="J1255" t="s">
        <v>373</v>
      </c>
      <c r="K1255">
        <v>7.1841712967523079E-5</v>
      </c>
      <c r="L1255" t="s">
        <v>168</v>
      </c>
      <c r="N1255" t="s">
        <v>213</v>
      </c>
      <c r="O1255" t="s">
        <v>373</v>
      </c>
      <c r="P1255">
        <v>1.0129837151502568E-5</v>
      </c>
      <c r="Q1255" t="s">
        <v>168</v>
      </c>
      <c r="S1255" t="s">
        <v>232</v>
      </c>
      <c r="T1255" t="s">
        <v>373</v>
      </c>
      <c r="U1255">
        <v>6.3927015548697005E-6</v>
      </c>
      <c r="V1255" t="s">
        <v>168</v>
      </c>
    </row>
    <row r="1256" spans="9:22" x14ac:dyDescent="0.45">
      <c r="I1256" t="s">
        <v>189</v>
      </c>
      <c r="J1256" t="s">
        <v>374</v>
      </c>
      <c r="K1256">
        <v>1.1322678334194935E-4</v>
      </c>
      <c r="L1256" t="s">
        <v>168</v>
      </c>
      <c r="N1256" t="s">
        <v>213</v>
      </c>
      <c r="O1256" t="s">
        <v>374</v>
      </c>
      <c r="P1256">
        <v>9.0904534518310438E-6</v>
      </c>
      <c r="Q1256" t="s">
        <v>168</v>
      </c>
      <c r="S1256" t="s">
        <v>232</v>
      </c>
      <c r="T1256" t="s">
        <v>374</v>
      </c>
      <c r="U1256">
        <v>7.1400338094179866E-6</v>
      </c>
      <c r="V1256" t="s">
        <v>168</v>
      </c>
    </row>
    <row r="1257" spans="9:22" x14ac:dyDescent="0.45">
      <c r="I1257" t="s">
        <v>189</v>
      </c>
      <c r="J1257" t="s">
        <v>375</v>
      </c>
      <c r="K1257">
        <v>1.3172447460907543E-4</v>
      </c>
      <c r="L1257" t="s">
        <v>168</v>
      </c>
      <c r="N1257" t="s">
        <v>213</v>
      </c>
      <c r="O1257" t="s">
        <v>375</v>
      </c>
      <c r="P1257">
        <v>7.3656257781770269E-6</v>
      </c>
      <c r="Q1257" t="s">
        <v>168</v>
      </c>
      <c r="S1257" t="s">
        <v>232</v>
      </c>
      <c r="T1257" t="s">
        <v>375</v>
      </c>
      <c r="U1257">
        <v>7.9752355310851689E-6</v>
      </c>
      <c r="V1257" t="s">
        <v>168</v>
      </c>
    </row>
    <row r="1258" spans="9:22" x14ac:dyDescent="0.45">
      <c r="I1258" t="s">
        <v>189</v>
      </c>
      <c r="J1258" t="s">
        <v>376</v>
      </c>
      <c r="K1258">
        <v>1.7236281205756902E-4</v>
      </c>
      <c r="L1258" t="s">
        <v>168</v>
      </c>
      <c r="N1258" t="s">
        <v>213</v>
      </c>
      <c r="O1258" t="s">
        <v>376</v>
      </c>
      <c r="P1258">
        <v>1.7485163010497796E-5</v>
      </c>
      <c r="Q1258" t="s">
        <v>168</v>
      </c>
      <c r="S1258" t="s">
        <v>232</v>
      </c>
      <c r="T1258" t="s">
        <v>376</v>
      </c>
      <c r="U1258">
        <v>6.8625305145870534E-6</v>
      </c>
      <c r="V1258" t="s">
        <v>168</v>
      </c>
    </row>
    <row r="1259" spans="9:22" x14ac:dyDescent="0.45">
      <c r="I1259" t="s">
        <v>189</v>
      </c>
      <c r="J1259" t="s">
        <v>377</v>
      </c>
      <c r="K1259">
        <v>1.4594027184298587E-4</v>
      </c>
      <c r="L1259" t="s">
        <v>168</v>
      </c>
      <c r="N1259" t="s">
        <v>213</v>
      </c>
      <c r="O1259" t="s">
        <v>377</v>
      </c>
      <c r="P1259">
        <v>2.2837499058202863E-5</v>
      </c>
      <c r="Q1259" t="s">
        <v>168</v>
      </c>
      <c r="S1259" t="s">
        <v>232</v>
      </c>
      <c r="T1259" t="s">
        <v>377</v>
      </c>
      <c r="U1259">
        <v>7.3771094456148946E-6</v>
      </c>
      <c r="V1259" t="s">
        <v>168</v>
      </c>
    </row>
    <row r="1260" spans="9:22" x14ac:dyDescent="0.45">
      <c r="I1260" t="s">
        <v>189</v>
      </c>
      <c r="J1260" t="s">
        <v>378</v>
      </c>
      <c r="K1260">
        <v>1.5170853382632198E-4</v>
      </c>
      <c r="L1260" t="s">
        <v>168</v>
      </c>
      <c r="N1260" t="s">
        <v>213</v>
      </c>
      <c r="O1260" t="s">
        <v>378</v>
      </c>
      <c r="P1260">
        <v>2.4582803858904798E-5</v>
      </c>
      <c r="Q1260" t="s">
        <v>168</v>
      </c>
      <c r="S1260" t="s">
        <v>232</v>
      </c>
      <c r="T1260" t="s">
        <v>378</v>
      </c>
      <c r="U1260">
        <v>6.202499965446727E-6</v>
      </c>
      <c r="V1260" t="s">
        <v>168</v>
      </c>
    </row>
    <row r="1261" spans="9:22" x14ac:dyDescent="0.45">
      <c r="I1261" t="s">
        <v>189</v>
      </c>
      <c r="J1261" t="s">
        <v>379</v>
      </c>
      <c r="K1261">
        <v>1.6556579982350751E-4</v>
      </c>
      <c r="L1261" t="s">
        <v>168</v>
      </c>
      <c r="N1261" t="s">
        <v>213</v>
      </c>
      <c r="O1261" t="s">
        <v>379</v>
      </c>
      <c r="P1261">
        <v>2.4138553881267655E-5</v>
      </c>
      <c r="Q1261" t="s">
        <v>168</v>
      </c>
      <c r="S1261" t="s">
        <v>232</v>
      </c>
      <c r="T1261" t="s">
        <v>379</v>
      </c>
      <c r="U1261">
        <v>5.2694464635974958E-6</v>
      </c>
      <c r="V1261" t="s">
        <v>168</v>
      </c>
    </row>
    <row r="1262" spans="9:22" x14ac:dyDescent="0.45">
      <c r="I1262" t="s">
        <v>189</v>
      </c>
      <c r="J1262" t="s">
        <v>380</v>
      </c>
      <c r="K1262">
        <v>1.3759817227470108E-4</v>
      </c>
      <c r="L1262" t="s">
        <v>168</v>
      </c>
      <c r="N1262" t="s">
        <v>213</v>
      </c>
      <c r="O1262" t="s">
        <v>380</v>
      </c>
      <c r="P1262">
        <v>2.3894577931885124E-5</v>
      </c>
      <c r="Q1262" t="s">
        <v>168</v>
      </c>
      <c r="S1262" t="s">
        <v>232</v>
      </c>
      <c r="T1262" t="s">
        <v>380</v>
      </c>
      <c r="U1262">
        <v>3.0378444872644831E-6</v>
      </c>
      <c r="V1262" t="s">
        <v>168</v>
      </c>
    </row>
    <row r="1263" spans="9:22" x14ac:dyDescent="0.45">
      <c r="I1263" t="s">
        <v>189</v>
      </c>
      <c r="J1263" t="s">
        <v>381</v>
      </c>
      <c r="K1263">
        <v>7.5630115169826942E-5</v>
      </c>
      <c r="L1263" t="s">
        <v>168</v>
      </c>
      <c r="N1263" t="s">
        <v>213</v>
      </c>
      <c r="O1263" t="s">
        <v>381</v>
      </c>
      <c r="P1263">
        <v>1.9517796066610299E-5</v>
      </c>
      <c r="Q1263" t="s">
        <v>168</v>
      </c>
      <c r="S1263" t="s">
        <v>232</v>
      </c>
      <c r="T1263" t="s">
        <v>381</v>
      </c>
      <c r="U1263">
        <v>1.7745777636303408E-6</v>
      </c>
      <c r="V1263" t="s">
        <v>168</v>
      </c>
    </row>
    <row r="1264" spans="9:22" x14ac:dyDescent="0.45">
      <c r="I1264" t="s">
        <v>189</v>
      </c>
      <c r="J1264" t="s">
        <v>382</v>
      </c>
      <c r="K1264">
        <v>0</v>
      </c>
      <c r="L1264" t="s">
        <v>168</v>
      </c>
      <c r="N1264" t="s">
        <v>213</v>
      </c>
      <c r="O1264" t="s">
        <v>382</v>
      </c>
      <c r="P1264">
        <v>1.4245010948379744E-5</v>
      </c>
      <c r="Q1264" t="s">
        <v>168</v>
      </c>
      <c r="S1264" t="s">
        <v>232</v>
      </c>
      <c r="T1264" t="s">
        <v>382</v>
      </c>
      <c r="U1264">
        <v>1.578373353188753E-6</v>
      </c>
      <c r="V1264" t="s">
        <v>168</v>
      </c>
    </row>
    <row r="1265" spans="9:22" x14ac:dyDescent="0.45">
      <c r="I1265" t="s">
        <v>189</v>
      </c>
      <c r="J1265" t="s">
        <v>383</v>
      </c>
      <c r="K1265">
        <v>0</v>
      </c>
      <c r="L1265" t="s">
        <v>168</v>
      </c>
      <c r="N1265" t="s">
        <v>213</v>
      </c>
      <c r="O1265" t="s">
        <v>383</v>
      </c>
      <c r="P1265">
        <v>1.1672092792596443E-5</v>
      </c>
      <c r="Q1265" t="s">
        <v>168</v>
      </c>
      <c r="S1265" t="s">
        <v>232</v>
      </c>
      <c r="T1265" t="s">
        <v>383</v>
      </c>
      <c r="U1265">
        <v>1.688625472130425E-6</v>
      </c>
      <c r="V1265" t="s">
        <v>168</v>
      </c>
    </row>
    <row r="1266" spans="9:22" x14ac:dyDescent="0.45">
      <c r="I1266" t="s">
        <v>189</v>
      </c>
      <c r="J1266" t="s">
        <v>384</v>
      </c>
      <c r="K1266">
        <v>0</v>
      </c>
      <c r="L1266" t="s">
        <v>168</v>
      </c>
      <c r="N1266" t="s">
        <v>213</v>
      </c>
      <c r="O1266" t="s">
        <v>384</v>
      </c>
      <c r="P1266">
        <v>9.4586250004998117E-6</v>
      </c>
      <c r="Q1266" t="s">
        <v>168</v>
      </c>
      <c r="S1266" t="s">
        <v>232</v>
      </c>
      <c r="T1266" t="s">
        <v>384</v>
      </c>
      <c r="U1266">
        <v>1.9102545826991663E-6</v>
      </c>
      <c r="V1266" t="s">
        <v>168</v>
      </c>
    </row>
    <row r="1267" spans="9:22" x14ac:dyDescent="0.45">
      <c r="I1267" t="s">
        <v>189</v>
      </c>
      <c r="J1267" t="s">
        <v>385</v>
      </c>
      <c r="K1267">
        <v>0</v>
      </c>
      <c r="L1267" t="s">
        <v>168</v>
      </c>
      <c r="N1267" t="s">
        <v>213</v>
      </c>
      <c r="O1267" t="s">
        <v>385</v>
      </c>
      <c r="P1267">
        <v>7.1044619292515279E-6</v>
      </c>
      <c r="Q1267" t="s">
        <v>168</v>
      </c>
      <c r="S1267" t="s">
        <v>232</v>
      </c>
      <c r="T1267" t="s">
        <v>385</v>
      </c>
      <c r="U1267">
        <v>1.4346322633456183E-6</v>
      </c>
      <c r="V1267" t="s">
        <v>168</v>
      </c>
    </row>
    <row r="1268" spans="9:22" x14ac:dyDescent="0.45">
      <c r="I1268" t="s">
        <v>189</v>
      </c>
      <c r="J1268" t="s">
        <v>386</v>
      </c>
      <c r="K1268">
        <v>0</v>
      </c>
      <c r="L1268" t="s">
        <v>168</v>
      </c>
      <c r="N1268" t="s">
        <v>213</v>
      </c>
      <c r="O1268" t="s">
        <v>386</v>
      </c>
      <c r="P1268">
        <v>7.5436535450807974E-6</v>
      </c>
      <c r="Q1268" t="s">
        <v>168</v>
      </c>
      <c r="S1268" t="s">
        <v>232</v>
      </c>
      <c r="T1268" t="s">
        <v>386</v>
      </c>
      <c r="U1268">
        <v>0</v>
      </c>
      <c r="V1268" t="s">
        <v>168</v>
      </c>
    </row>
    <row r="1269" spans="9:22" x14ac:dyDescent="0.45">
      <c r="I1269" t="s">
        <v>189</v>
      </c>
      <c r="J1269" t="s">
        <v>387</v>
      </c>
      <c r="K1269">
        <v>0</v>
      </c>
      <c r="L1269" t="s">
        <v>168</v>
      </c>
      <c r="N1269" t="s">
        <v>213</v>
      </c>
      <c r="O1269" t="s">
        <v>387</v>
      </c>
      <c r="P1269">
        <v>9.6044785666991525E-6</v>
      </c>
      <c r="Q1269" t="s">
        <v>168</v>
      </c>
      <c r="S1269" t="s">
        <v>232</v>
      </c>
      <c r="T1269" t="s">
        <v>387</v>
      </c>
      <c r="U1269">
        <v>0</v>
      </c>
      <c r="V1269" t="s">
        <v>168</v>
      </c>
    </row>
    <row r="1270" spans="9:22" x14ac:dyDescent="0.45">
      <c r="I1270" t="s">
        <v>189</v>
      </c>
      <c r="J1270" t="s">
        <v>388</v>
      </c>
      <c r="K1270">
        <v>0</v>
      </c>
      <c r="L1270" t="s">
        <v>168</v>
      </c>
      <c r="N1270" t="s">
        <v>213</v>
      </c>
      <c r="O1270" t="s">
        <v>388</v>
      </c>
      <c r="P1270">
        <v>1.0317018704934182E-5</v>
      </c>
      <c r="Q1270" t="s">
        <v>168</v>
      </c>
      <c r="S1270" t="s">
        <v>232</v>
      </c>
      <c r="T1270" t="s">
        <v>388</v>
      </c>
      <c r="U1270">
        <v>5.746522012184964E-7</v>
      </c>
      <c r="V1270" t="s">
        <v>168</v>
      </c>
    </row>
    <row r="1271" spans="9:22" x14ac:dyDescent="0.45">
      <c r="I1271" t="s">
        <v>190</v>
      </c>
      <c r="J1271" t="s">
        <v>167</v>
      </c>
      <c r="K1271">
        <v>0</v>
      </c>
      <c r="L1271" t="s">
        <v>168</v>
      </c>
      <c r="N1271" t="s">
        <v>214</v>
      </c>
      <c r="O1271" t="s">
        <v>167</v>
      </c>
      <c r="P1271">
        <v>7.6129805188991248E-2</v>
      </c>
      <c r="Q1271" t="s">
        <v>168</v>
      </c>
      <c r="S1271" t="s">
        <v>233</v>
      </c>
      <c r="T1271" t="s">
        <v>167</v>
      </c>
      <c r="U1271">
        <v>8.0333282983695853E-2</v>
      </c>
      <c r="V1271" t="s">
        <v>168</v>
      </c>
    </row>
    <row r="1272" spans="9:22" x14ac:dyDescent="0.45">
      <c r="I1272" t="s">
        <v>190</v>
      </c>
      <c r="J1272" t="s">
        <v>169</v>
      </c>
      <c r="K1272">
        <v>5.4390947707566679E-3</v>
      </c>
      <c r="L1272" t="s">
        <v>168</v>
      </c>
      <c r="N1272" t="s">
        <v>214</v>
      </c>
      <c r="O1272" t="s">
        <v>169</v>
      </c>
      <c r="P1272">
        <v>9.3033798860237774E-3</v>
      </c>
      <c r="Q1272" t="s">
        <v>168</v>
      </c>
      <c r="S1272" t="s">
        <v>233</v>
      </c>
      <c r="T1272" t="s">
        <v>169</v>
      </c>
      <c r="U1272">
        <v>1.0474734447556311E-2</v>
      </c>
      <c r="V1272" t="s">
        <v>168</v>
      </c>
    </row>
    <row r="1273" spans="9:22" x14ac:dyDescent="0.45">
      <c r="I1273" t="s">
        <v>190</v>
      </c>
      <c r="J1273" t="s">
        <v>170</v>
      </c>
      <c r="K1273">
        <v>9.6915559562359751E-3</v>
      </c>
      <c r="L1273" t="s">
        <v>168</v>
      </c>
      <c r="N1273" t="s">
        <v>214</v>
      </c>
      <c r="O1273" t="s">
        <v>170</v>
      </c>
      <c r="P1273">
        <v>9.4106361249893071E-3</v>
      </c>
      <c r="Q1273" t="s">
        <v>168</v>
      </c>
      <c r="S1273" t="s">
        <v>233</v>
      </c>
      <c r="T1273" t="s">
        <v>170</v>
      </c>
      <c r="U1273">
        <v>1.04130334506697E-2</v>
      </c>
      <c r="V1273" t="s">
        <v>168</v>
      </c>
    </row>
    <row r="1274" spans="9:22" x14ac:dyDescent="0.45">
      <c r="I1274" t="s">
        <v>190</v>
      </c>
      <c r="J1274" t="s">
        <v>256</v>
      </c>
      <c r="K1274">
        <v>7.6446208824490144E-2</v>
      </c>
      <c r="L1274" t="s">
        <v>168</v>
      </c>
      <c r="N1274" t="s">
        <v>214</v>
      </c>
      <c r="O1274" t="s">
        <v>256</v>
      </c>
      <c r="P1274">
        <v>6.1169202064261533E-2</v>
      </c>
      <c r="Q1274" t="s">
        <v>168</v>
      </c>
      <c r="S1274" t="s">
        <v>233</v>
      </c>
      <c r="T1274" t="s">
        <v>256</v>
      </c>
      <c r="U1274">
        <v>6.0841799808246895E-2</v>
      </c>
      <c r="V1274" t="s">
        <v>168</v>
      </c>
    </row>
    <row r="1275" spans="9:22" x14ac:dyDescent="0.45">
      <c r="I1275" t="s">
        <v>190</v>
      </c>
      <c r="J1275" t="s">
        <v>257</v>
      </c>
      <c r="K1275">
        <v>9.2783734536730569E-3</v>
      </c>
      <c r="L1275" t="s">
        <v>168</v>
      </c>
      <c r="N1275" t="s">
        <v>214</v>
      </c>
      <c r="O1275" t="s">
        <v>257</v>
      </c>
      <c r="P1275">
        <v>9.9308163002067348E-3</v>
      </c>
      <c r="Q1275" t="s">
        <v>168</v>
      </c>
      <c r="S1275" t="s">
        <v>233</v>
      </c>
      <c r="T1275" t="s">
        <v>257</v>
      </c>
      <c r="U1275">
        <v>9.8052289351975401E-3</v>
      </c>
      <c r="V1275" t="s">
        <v>168</v>
      </c>
    </row>
    <row r="1276" spans="9:22" x14ac:dyDescent="0.45">
      <c r="I1276" t="s">
        <v>190</v>
      </c>
      <c r="J1276" t="s">
        <v>258</v>
      </c>
      <c r="K1276">
        <v>4.55843227993804E-3</v>
      </c>
      <c r="L1276" t="s">
        <v>168</v>
      </c>
      <c r="N1276" t="s">
        <v>214</v>
      </c>
      <c r="O1276" t="s">
        <v>258</v>
      </c>
      <c r="P1276">
        <v>6.745802486541852E-2</v>
      </c>
      <c r="Q1276" t="s">
        <v>168</v>
      </c>
      <c r="S1276" t="s">
        <v>233</v>
      </c>
      <c r="T1276" t="s">
        <v>258</v>
      </c>
      <c r="U1276">
        <v>6.5506053703533074E-2</v>
      </c>
      <c r="V1276" t="s">
        <v>168</v>
      </c>
    </row>
    <row r="1277" spans="9:22" x14ac:dyDescent="0.45">
      <c r="I1277" t="s">
        <v>190</v>
      </c>
      <c r="J1277" t="s">
        <v>171</v>
      </c>
      <c r="K1277">
        <v>3.1542878233474361E-2</v>
      </c>
      <c r="L1277" t="s">
        <v>168</v>
      </c>
      <c r="N1277" t="s">
        <v>214</v>
      </c>
      <c r="O1277" t="s">
        <v>171</v>
      </c>
      <c r="P1277">
        <v>0.1220913382991923</v>
      </c>
      <c r="Q1277" t="s">
        <v>168</v>
      </c>
      <c r="S1277" t="s">
        <v>233</v>
      </c>
      <c r="T1277" t="s">
        <v>171</v>
      </c>
      <c r="U1277">
        <v>0.13866544422185778</v>
      </c>
      <c r="V1277" t="s">
        <v>168</v>
      </c>
    </row>
    <row r="1278" spans="9:22" x14ac:dyDescent="0.45">
      <c r="I1278" t="s">
        <v>190</v>
      </c>
      <c r="J1278" t="s">
        <v>172</v>
      </c>
      <c r="K1278">
        <v>2.9414519159393193E-2</v>
      </c>
      <c r="L1278" t="s">
        <v>168</v>
      </c>
      <c r="N1278" t="s">
        <v>214</v>
      </c>
      <c r="O1278" t="s">
        <v>172</v>
      </c>
      <c r="P1278">
        <v>1.5458571545858092E-2</v>
      </c>
      <c r="Q1278" t="s">
        <v>168</v>
      </c>
      <c r="S1278" t="s">
        <v>233</v>
      </c>
      <c r="T1278" t="s">
        <v>172</v>
      </c>
      <c r="U1278">
        <v>1.5913332065784699E-2</v>
      </c>
      <c r="V1278" t="s">
        <v>168</v>
      </c>
    </row>
    <row r="1279" spans="9:22" x14ac:dyDescent="0.45">
      <c r="I1279" t="s">
        <v>190</v>
      </c>
      <c r="J1279" t="s">
        <v>173</v>
      </c>
      <c r="K1279">
        <v>3.5498408556822431E-2</v>
      </c>
      <c r="L1279" t="s">
        <v>168</v>
      </c>
      <c r="N1279" t="s">
        <v>214</v>
      </c>
      <c r="O1279" t="s">
        <v>173</v>
      </c>
      <c r="P1279">
        <v>1.606851130899891E-2</v>
      </c>
      <c r="Q1279" t="s">
        <v>168</v>
      </c>
      <c r="S1279" t="s">
        <v>233</v>
      </c>
      <c r="T1279" t="s">
        <v>173</v>
      </c>
      <c r="U1279">
        <v>1.5785982255415582E-2</v>
      </c>
      <c r="V1279" t="s">
        <v>168</v>
      </c>
    </row>
    <row r="1280" spans="9:22" x14ac:dyDescent="0.45">
      <c r="I1280" t="s">
        <v>190</v>
      </c>
      <c r="J1280" t="s">
        <v>259</v>
      </c>
      <c r="K1280">
        <v>0.23575251306692285</v>
      </c>
      <c r="L1280" t="s">
        <v>168</v>
      </c>
      <c r="N1280" t="s">
        <v>214</v>
      </c>
      <c r="O1280" t="s">
        <v>259</v>
      </c>
      <c r="P1280">
        <v>0.10881763658373408</v>
      </c>
      <c r="Q1280" t="s">
        <v>168</v>
      </c>
      <c r="S1280" t="s">
        <v>233</v>
      </c>
      <c r="T1280" t="s">
        <v>259</v>
      </c>
      <c r="U1280">
        <v>9.7127597321856982E-2</v>
      </c>
      <c r="V1280" t="s">
        <v>168</v>
      </c>
    </row>
    <row r="1281" spans="9:22" x14ac:dyDescent="0.45">
      <c r="I1281" t="s">
        <v>190</v>
      </c>
      <c r="J1281" t="s">
        <v>260</v>
      </c>
      <c r="K1281">
        <v>3.3222846773086782E-2</v>
      </c>
      <c r="L1281" t="s">
        <v>168</v>
      </c>
      <c r="N1281" t="s">
        <v>214</v>
      </c>
      <c r="O1281" t="s">
        <v>260</v>
      </c>
      <c r="P1281">
        <v>1.9264499893194845E-2</v>
      </c>
      <c r="Q1281" t="s">
        <v>168</v>
      </c>
      <c r="S1281" t="s">
        <v>233</v>
      </c>
      <c r="T1281" t="s">
        <v>260</v>
      </c>
      <c r="U1281">
        <v>1.7482045798959438E-2</v>
      </c>
      <c r="V1281" t="s">
        <v>168</v>
      </c>
    </row>
    <row r="1282" spans="9:22" x14ac:dyDescent="0.45">
      <c r="I1282" t="s">
        <v>190</v>
      </c>
      <c r="J1282" t="s">
        <v>261</v>
      </c>
      <c r="K1282">
        <v>4.9377666139811663E-2</v>
      </c>
      <c r="L1282" t="s">
        <v>168</v>
      </c>
      <c r="N1282" t="s">
        <v>214</v>
      </c>
      <c r="O1282" t="s">
        <v>261</v>
      </c>
      <c r="P1282">
        <v>0.11477808457534287</v>
      </c>
      <c r="Q1282" t="s">
        <v>168</v>
      </c>
      <c r="S1282" t="s">
        <v>233</v>
      </c>
      <c r="T1282" t="s">
        <v>261</v>
      </c>
      <c r="U1282">
        <v>0.12596137154275258</v>
      </c>
      <c r="V1282" t="s">
        <v>168</v>
      </c>
    </row>
    <row r="1283" spans="9:22" x14ac:dyDescent="0.45">
      <c r="I1283" t="s">
        <v>190</v>
      </c>
      <c r="J1283" t="s">
        <v>174</v>
      </c>
      <c r="K1283">
        <v>1.0866600282202734E-2</v>
      </c>
      <c r="L1283" t="s">
        <v>168</v>
      </c>
      <c r="N1283" t="s">
        <v>214</v>
      </c>
      <c r="O1283" t="s">
        <v>174</v>
      </c>
      <c r="P1283">
        <v>6.4906908888607432E-3</v>
      </c>
      <c r="Q1283" t="s">
        <v>168</v>
      </c>
      <c r="S1283" t="s">
        <v>233</v>
      </c>
      <c r="T1283" t="s">
        <v>174</v>
      </c>
      <c r="U1283">
        <v>6.9186611050589203E-3</v>
      </c>
      <c r="V1283" t="s">
        <v>168</v>
      </c>
    </row>
    <row r="1284" spans="9:22" x14ac:dyDescent="0.45">
      <c r="I1284" t="s">
        <v>190</v>
      </c>
      <c r="J1284" t="s">
        <v>175</v>
      </c>
      <c r="K1284">
        <v>8.7639573257551878E-3</v>
      </c>
      <c r="L1284" t="s">
        <v>168</v>
      </c>
      <c r="N1284" t="s">
        <v>214</v>
      </c>
      <c r="O1284" t="s">
        <v>175</v>
      </c>
      <c r="P1284">
        <v>7.8046182108044472E-4</v>
      </c>
      <c r="Q1284" t="s">
        <v>168</v>
      </c>
      <c r="S1284" t="s">
        <v>233</v>
      </c>
      <c r="T1284" t="s">
        <v>175</v>
      </c>
      <c r="U1284">
        <v>8.204774223934515E-4</v>
      </c>
      <c r="V1284" t="s">
        <v>168</v>
      </c>
    </row>
    <row r="1285" spans="9:22" x14ac:dyDescent="0.45">
      <c r="I1285" t="s">
        <v>190</v>
      </c>
      <c r="J1285" t="s">
        <v>176</v>
      </c>
      <c r="K1285">
        <v>1.0074103471092192E-2</v>
      </c>
      <c r="L1285" t="s">
        <v>168</v>
      </c>
      <c r="N1285" t="s">
        <v>214</v>
      </c>
      <c r="O1285" t="s">
        <v>176</v>
      </c>
      <c r="P1285">
        <v>8.2512488699120205E-4</v>
      </c>
      <c r="Q1285" t="s">
        <v>168</v>
      </c>
      <c r="S1285" t="s">
        <v>233</v>
      </c>
      <c r="T1285" t="s">
        <v>176</v>
      </c>
      <c r="U1285">
        <v>8.1706959389869782E-4</v>
      </c>
      <c r="V1285" t="s">
        <v>168</v>
      </c>
    </row>
    <row r="1286" spans="9:22" x14ac:dyDescent="0.45">
      <c r="I1286" t="s">
        <v>190</v>
      </c>
      <c r="J1286" t="s">
        <v>262</v>
      </c>
      <c r="K1286">
        <v>6.4991920233015185E-2</v>
      </c>
      <c r="L1286" t="s">
        <v>168</v>
      </c>
      <c r="N1286" t="s">
        <v>214</v>
      </c>
      <c r="O1286" t="s">
        <v>262</v>
      </c>
      <c r="P1286">
        <v>8.9797691852054589E-3</v>
      </c>
      <c r="Q1286" t="s">
        <v>168</v>
      </c>
      <c r="S1286" t="s">
        <v>233</v>
      </c>
      <c r="T1286" t="s">
        <v>262</v>
      </c>
      <c r="U1286">
        <v>5.3009051209359972E-3</v>
      </c>
      <c r="V1286" t="s">
        <v>168</v>
      </c>
    </row>
    <row r="1287" spans="9:22" x14ac:dyDescent="0.45">
      <c r="I1287" t="s">
        <v>190</v>
      </c>
      <c r="J1287" t="s">
        <v>263</v>
      </c>
      <c r="K1287">
        <v>9.3142743095985907E-3</v>
      </c>
      <c r="L1287" t="s">
        <v>168</v>
      </c>
      <c r="N1287" t="s">
        <v>214</v>
      </c>
      <c r="O1287" t="s">
        <v>263</v>
      </c>
      <c r="P1287">
        <v>1.988959021893907E-3</v>
      </c>
      <c r="Q1287" t="s">
        <v>168</v>
      </c>
      <c r="S1287" t="s">
        <v>233</v>
      </c>
      <c r="T1287" t="s">
        <v>263</v>
      </c>
      <c r="U1287">
        <v>1.1940813888111886E-3</v>
      </c>
      <c r="V1287" t="s">
        <v>168</v>
      </c>
    </row>
    <row r="1288" spans="9:22" x14ac:dyDescent="0.45">
      <c r="I1288" t="s">
        <v>190</v>
      </c>
      <c r="J1288" t="s">
        <v>264</v>
      </c>
      <c r="K1288">
        <v>1.6584808240209033E-2</v>
      </c>
      <c r="L1288" t="s">
        <v>168</v>
      </c>
      <c r="N1288" t="s">
        <v>214</v>
      </c>
      <c r="O1288" t="s">
        <v>264</v>
      </c>
      <c r="P1288">
        <v>8.5557343085231E-3</v>
      </c>
      <c r="Q1288" t="s">
        <v>168</v>
      </c>
      <c r="S1288" t="s">
        <v>233</v>
      </c>
      <c r="T1288" t="s">
        <v>264</v>
      </c>
      <c r="U1288">
        <v>8.722773736268211E-3</v>
      </c>
      <c r="V1288" t="s">
        <v>168</v>
      </c>
    </row>
    <row r="1289" spans="9:22" x14ac:dyDescent="0.45">
      <c r="I1289" t="s">
        <v>190</v>
      </c>
      <c r="J1289" t="s">
        <v>265</v>
      </c>
      <c r="K1289">
        <v>9.1090949949979971E-3</v>
      </c>
      <c r="L1289" t="s">
        <v>168</v>
      </c>
      <c r="N1289" t="s">
        <v>214</v>
      </c>
      <c r="O1289" t="s">
        <v>265</v>
      </c>
      <c r="P1289">
        <v>1.0742922654782694E-2</v>
      </c>
      <c r="Q1289" t="s">
        <v>168</v>
      </c>
      <c r="S1289" t="s">
        <v>233</v>
      </c>
      <c r="T1289" t="s">
        <v>265</v>
      </c>
      <c r="U1289">
        <v>1.1523559737663837E-2</v>
      </c>
      <c r="V1289" t="s">
        <v>168</v>
      </c>
    </row>
    <row r="1290" spans="9:22" x14ac:dyDescent="0.45">
      <c r="I1290" t="s">
        <v>190</v>
      </c>
      <c r="J1290" t="s">
        <v>266</v>
      </c>
      <c r="K1290">
        <v>7.9970929812903917E-3</v>
      </c>
      <c r="L1290" t="s">
        <v>168</v>
      </c>
      <c r="N1290" t="s">
        <v>214</v>
      </c>
      <c r="O1290" t="s">
        <v>266</v>
      </c>
      <c r="P1290">
        <v>1.1172326458195278E-3</v>
      </c>
      <c r="Q1290" t="s">
        <v>168</v>
      </c>
      <c r="S1290" t="s">
        <v>233</v>
      </c>
      <c r="T1290" t="s">
        <v>266</v>
      </c>
      <c r="U1290">
        <v>1.2599249180931813E-3</v>
      </c>
      <c r="V1290" t="s">
        <v>168</v>
      </c>
    </row>
    <row r="1291" spans="9:22" x14ac:dyDescent="0.45">
      <c r="I1291" t="s">
        <v>190</v>
      </c>
      <c r="J1291" t="s">
        <v>267</v>
      </c>
      <c r="K1291">
        <v>9.3326845046126927E-3</v>
      </c>
      <c r="L1291" t="s">
        <v>168</v>
      </c>
      <c r="N1291" t="s">
        <v>214</v>
      </c>
      <c r="O1291" t="s">
        <v>267</v>
      </c>
      <c r="P1291">
        <v>1.1180388487164227E-3</v>
      </c>
      <c r="Q1291" t="s">
        <v>168</v>
      </c>
      <c r="S1291" t="s">
        <v>233</v>
      </c>
      <c r="T1291" t="s">
        <v>267</v>
      </c>
      <c r="U1291">
        <v>1.2264617321084087E-3</v>
      </c>
      <c r="V1291" t="s">
        <v>168</v>
      </c>
    </row>
    <row r="1292" spans="9:22" x14ac:dyDescent="0.45">
      <c r="I1292" t="s">
        <v>190</v>
      </c>
      <c r="J1292" t="s">
        <v>268</v>
      </c>
      <c r="K1292">
        <v>6.1295138369565565E-2</v>
      </c>
      <c r="L1292" t="s">
        <v>168</v>
      </c>
      <c r="N1292" t="s">
        <v>214</v>
      </c>
      <c r="O1292" t="s">
        <v>268</v>
      </c>
      <c r="P1292">
        <v>1.0244403663350398E-2</v>
      </c>
      <c r="Q1292" t="s">
        <v>168</v>
      </c>
      <c r="S1292" t="s">
        <v>233</v>
      </c>
      <c r="T1292" t="s">
        <v>268</v>
      </c>
      <c r="U1292">
        <v>7.6931715450024533E-3</v>
      </c>
      <c r="V1292" t="s">
        <v>168</v>
      </c>
    </row>
    <row r="1293" spans="9:22" x14ac:dyDescent="0.45">
      <c r="I1293" t="s">
        <v>190</v>
      </c>
      <c r="J1293" t="s">
        <v>269</v>
      </c>
      <c r="K1293">
        <v>8.7894723095682647E-3</v>
      </c>
      <c r="L1293" t="s">
        <v>168</v>
      </c>
      <c r="N1293" t="s">
        <v>214</v>
      </c>
      <c r="O1293" t="s">
        <v>269</v>
      </c>
      <c r="P1293">
        <v>2.2115997667707904E-3</v>
      </c>
      <c r="Q1293" t="s">
        <v>168</v>
      </c>
      <c r="S1293" t="s">
        <v>233</v>
      </c>
      <c r="T1293" t="s">
        <v>269</v>
      </c>
      <c r="U1293">
        <v>1.486190862367832E-3</v>
      </c>
      <c r="V1293" t="s">
        <v>168</v>
      </c>
    </row>
    <row r="1294" spans="9:22" x14ac:dyDescent="0.45">
      <c r="I1294" t="s">
        <v>190</v>
      </c>
      <c r="J1294" t="s">
        <v>270</v>
      </c>
      <c r="K1294">
        <v>1.4135108674598966E-2</v>
      </c>
      <c r="L1294" t="s">
        <v>168</v>
      </c>
      <c r="N1294" t="s">
        <v>214</v>
      </c>
      <c r="O1294" t="s">
        <v>270</v>
      </c>
      <c r="P1294">
        <v>1.0511832053900133E-2</v>
      </c>
      <c r="Q1294" t="s">
        <v>168</v>
      </c>
      <c r="S1294" t="s">
        <v>233</v>
      </c>
      <c r="T1294" t="s">
        <v>270</v>
      </c>
      <c r="U1294">
        <v>1.0202697779811106E-2</v>
      </c>
      <c r="V1294" t="s">
        <v>168</v>
      </c>
    </row>
    <row r="1295" spans="9:22" x14ac:dyDescent="0.45">
      <c r="I1295" t="s">
        <v>190</v>
      </c>
      <c r="J1295" t="s">
        <v>271</v>
      </c>
      <c r="K1295">
        <v>4.9690575616011439E-3</v>
      </c>
      <c r="L1295" t="s">
        <v>168</v>
      </c>
      <c r="N1295" t="s">
        <v>214</v>
      </c>
      <c r="O1295" t="s">
        <v>271</v>
      </c>
      <c r="P1295">
        <v>1.7387375014169468E-2</v>
      </c>
      <c r="Q1295" t="s">
        <v>168</v>
      </c>
      <c r="S1295" t="s">
        <v>233</v>
      </c>
      <c r="T1295" t="s">
        <v>271</v>
      </c>
      <c r="U1295">
        <v>1.6685264897390476E-2</v>
      </c>
      <c r="V1295" t="s">
        <v>168</v>
      </c>
    </row>
    <row r="1296" spans="9:22" x14ac:dyDescent="0.45">
      <c r="I1296" t="s">
        <v>190</v>
      </c>
      <c r="J1296" t="s">
        <v>272</v>
      </c>
      <c r="K1296">
        <v>7.0211455864973796E-3</v>
      </c>
      <c r="L1296" t="s">
        <v>168</v>
      </c>
      <c r="N1296" t="s">
        <v>214</v>
      </c>
      <c r="O1296" t="s">
        <v>272</v>
      </c>
      <c r="P1296">
        <v>2.4850570817117885E-3</v>
      </c>
      <c r="Q1296" t="s">
        <v>168</v>
      </c>
      <c r="S1296" t="s">
        <v>233</v>
      </c>
      <c r="T1296" t="s">
        <v>272</v>
      </c>
      <c r="U1296">
        <v>1.9043837663013994E-3</v>
      </c>
      <c r="V1296" t="s">
        <v>168</v>
      </c>
    </row>
    <row r="1297" spans="9:22" x14ac:dyDescent="0.45">
      <c r="I1297" t="s">
        <v>190</v>
      </c>
      <c r="J1297" t="s">
        <v>273</v>
      </c>
      <c r="K1297">
        <v>8.5093096799073679E-3</v>
      </c>
      <c r="L1297" t="s">
        <v>168</v>
      </c>
      <c r="N1297" t="s">
        <v>214</v>
      </c>
      <c r="O1297" t="s">
        <v>273</v>
      </c>
      <c r="P1297">
        <v>2.5545302733528154E-3</v>
      </c>
      <c r="Q1297" t="s">
        <v>168</v>
      </c>
      <c r="S1297" t="s">
        <v>233</v>
      </c>
      <c r="T1297" t="s">
        <v>273</v>
      </c>
      <c r="U1297">
        <v>1.8547712829222534E-3</v>
      </c>
      <c r="V1297" t="s">
        <v>168</v>
      </c>
    </row>
    <row r="1298" spans="9:22" x14ac:dyDescent="0.45">
      <c r="I1298" t="s">
        <v>190</v>
      </c>
      <c r="J1298" t="s">
        <v>274</v>
      </c>
      <c r="K1298">
        <v>5.1693054237706967E-2</v>
      </c>
      <c r="L1298" t="s">
        <v>168</v>
      </c>
      <c r="N1298" t="s">
        <v>214</v>
      </c>
      <c r="O1298" t="s">
        <v>274</v>
      </c>
      <c r="P1298">
        <v>1.7963246033390941E-2</v>
      </c>
      <c r="Q1298" t="s">
        <v>168</v>
      </c>
      <c r="S1298" t="s">
        <v>233</v>
      </c>
      <c r="T1298" t="s">
        <v>274</v>
      </c>
      <c r="U1298">
        <v>1.1986441290449098E-2</v>
      </c>
      <c r="V1298" t="s">
        <v>168</v>
      </c>
    </row>
    <row r="1299" spans="9:22" x14ac:dyDescent="0.45">
      <c r="I1299" t="s">
        <v>190</v>
      </c>
      <c r="J1299" t="s">
        <v>275</v>
      </c>
      <c r="K1299">
        <v>7.0258582405236889E-3</v>
      </c>
      <c r="L1299" t="s">
        <v>168</v>
      </c>
      <c r="N1299" t="s">
        <v>214</v>
      </c>
      <c r="O1299" t="s">
        <v>275</v>
      </c>
      <c r="P1299">
        <v>3.0815017457086883E-3</v>
      </c>
      <c r="Q1299" t="s">
        <v>168</v>
      </c>
      <c r="S1299" t="s">
        <v>233</v>
      </c>
      <c r="T1299" t="s">
        <v>275</v>
      </c>
      <c r="U1299">
        <v>2.1017043628412E-3</v>
      </c>
      <c r="V1299" t="s">
        <v>168</v>
      </c>
    </row>
    <row r="1300" spans="9:22" x14ac:dyDescent="0.45">
      <c r="I1300" t="s">
        <v>190</v>
      </c>
      <c r="J1300" t="s">
        <v>276</v>
      </c>
      <c r="K1300">
        <v>7.9553971704573109E-3</v>
      </c>
      <c r="L1300" t="s">
        <v>168</v>
      </c>
      <c r="N1300" t="s">
        <v>214</v>
      </c>
      <c r="O1300" t="s">
        <v>276</v>
      </c>
      <c r="P1300">
        <v>1.6700297270250086E-2</v>
      </c>
      <c r="Q1300" t="s">
        <v>168</v>
      </c>
      <c r="S1300" t="s">
        <v>233</v>
      </c>
      <c r="T1300" t="s">
        <v>276</v>
      </c>
      <c r="U1300">
        <v>1.4894180097407603E-2</v>
      </c>
      <c r="V1300" t="s">
        <v>168</v>
      </c>
    </row>
    <row r="1301" spans="9:22" x14ac:dyDescent="0.45">
      <c r="I1301" t="s">
        <v>190</v>
      </c>
      <c r="J1301" t="s">
        <v>341</v>
      </c>
      <c r="K1301">
        <v>0</v>
      </c>
      <c r="L1301" t="s">
        <v>168</v>
      </c>
      <c r="N1301" t="s">
        <v>214</v>
      </c>
      <c r="O1301" t="s">
        <v>341</v>
      </c>
      <c r="P1301">
        <v>4.5295900919706341E-6</v>
      </c>
      <c r="Q1301" t="s">
        <v>168</v>
      </c>
      <c r="S1301" t="s">
        <v>233</v>
      </c>
      <c r="T1301" t="s">
        <v>341</v>
      </c>
      <c r="U1301">
        <v>2.0745687502585825E-5</v>
      </c>
      <c r="V1301" t="s">
        <v>168</v>
      </c>
    </row>
    <row r="1302" spans="9:22" x14ac:dyDescent="0.45">
      <c r="I1302" t="s">
        <v>190</v>
      </c>
      <c r="J1302" t="s">
        <v>342</v>
      </c>
      <c r="K1302">
        <v>0</v>
      </c>
      <c r="L1302" t="s">
        <v>168</v>
      </c>
      <c r="N1302" t="s">
        <v>214</v>
      </c>
      <c r="O1302" t="s">
        <v>342</v>
      </c>
      <c r="P1302">
        <v>4.0944908536772758E-6</v>
      </c>
      <c r="Q1302" t="s">
        <v>168</v>
      </c>
      <c r="S1302" t="s">
        <v>233</v>
      </c>
      <c r="T1302" t="s">
        <v>342</v>
      </c>
      <c r="U1302">
        <v>1.9366224929058029E-5</v>
      </c>
      <c r="V1302" t="s">
        <v>168</v>
      </c>
    </row>
    <row r="1303" spans="9:22" x14ac:dyDescent="0.45">
      <c r="I1303" t="s">
        <v>190</v>
      </c>
      <c r="J1303" t="s">
        <v>343</v>
      </c>
      <c r="K1303">
        <v>0</v>
      </c>
      <c r="L1303" t="s">
        <v>168</v>
      </c>
      <c r="N1303" t="s">
        <v>214</v>
      </c>
      <c r="O1303" t="s">
        <v>343</v>
      </c>
      <c r="P1303">
        <v>3.9544359533902815E-6</v>
      </c>
      <c r="Q1303" t="s">
        <v>168</v>
      </c>
      <c r="S1303" t="s">
        <v>233</v>
      </c>
      <c r="T1303" t="s">
        <v>343</v>
      </c>
      <c r="U1303">
        <v>2.0933755410632872E-5</v>
      </c>
      <c r="V1303" t="s">
        <v>168</v>
      </c>
    </row>
    <row r="1304" spans="9:22" x14ac:dyDescent="0.45">
      <c r="I1304" t="s">
        <v>190</v>
      </c>
      <c r="J1304" t="s">
        <v>344</v>
      </c>
      <c r="K1304">
        <v>0</v>
      </c>
      <c r="L1304" t="s">
        <v>168</v>
      </c>
      <c r="N1304" t="s">
        <v>214</v>
      </c>
      <c r="O1304" t="s">
        <v>344</v>
      </c>
      <c r="P1304">
        <v>4.9984169945973182E-6</v>
      </c>
      <c r="Q1304" t="s">
        <v>168</v>
      </c>
      <c r="S1304" t="s">
        <v>233</v>
      </c>
      <c r="T1304" t="s">
        <v>344</v>
      </c>
      <c r="U1304">
        <v>2.2881865086228079E-5</v>
      </c>
      <c r="V1304" t="s">
        <v>168</v>
      </c>
    </row>
    <row r="1305" spans="9:22" x14ac:dyDescent="0.45">
      <c r="I1305" t="s">
        <v>190</v>
      </c>
      <c r="J1305" t="s">
        <v>345</v>
      </c>
      <c r="K1305">
        <v>0</v>
      </c>
      <c r="L1305" t="s">
        <v>168</v>
      </c>
      <c r="N1305" t="s">
        <v>214</v>
      </c>
      <c r="O1305" t="s">
        <v>345</v>
      </c>
      <c r="P1305">
        <v>5.7911306833082784E-6</v>
      </c>
      <c r="Q1305" t="s">
        <v>168</v>
      </c>
      <c r="S1305" t="s">
        <v>233</v>
      </c>
      <c r="T1305" t="s">
        <v>345</v>
      </c>
      <c r="U1305">
        <v>2.4054097033393148E-5</v>
      </c>
      <c r="V1305" t="s">
        <v>168</v>
      </c>
    </row>
    <row r="1306" spans="9:22" x14ac:dyDescent="0.45">
      <c r="I1306" t="s">
        <v>190</v>
      </c>
      <c r="J1306" t="s">
        <v>346</v>
      </c>
      <c r="K1306">
        <v>0</v>
      </c>
      <c r="L1306" t="s">
        <v>168</v>
      </c>
      <c r="N1306" t="s">
        <v>214</v>
      </c>
      <c r="O1306" t="s">
        <v>346</v>
      </c>
      <c r="P1306">
        <v>6.2103314244764367E-6</v>
      </c>
      <c r="Q1306" t="s">
        <v>168</v>
      </c>
      <c r="S1306" t="s">
        <v>233</v>
      </c>
      <c r="T1306" t="s">
        <v>346</v>
      </c>
      <c r="U1306">
        <v>2.6419512588071051E-5</v>
      </c>
      <c r="V1306" t="s">
        <v>168</v>
      </c>
    </row>
    <row r="1307" spans="9:22" x14ac:dyDescent="0.45">
      <c r="I1307" t="s">
        <v>190</v>
      </c>
      <c r="J1307" t="s">
        <v>347</v>
      </c>
      <c r="K1307">
        <v>0</v>
      </c>
      <c r="L1307" t="s">
        <v>168</v>
      </c>
      <c r="N1307" t="s">
        <v>214</v>
      </c>
      <c r="O1307" t="s">
        <v>347</v>
      </c>
      <c r="P1307">
        <v>6.3236140696843078E-6</v>
      </c>
      <c r="Q1307" t="s">
        <v>168</v>
      </c>
      <c r="S1307" t="s">
        <v>233</v>
      </c>
      <c r="T1307" t="s">
        <v>347</v>
      </c>
      <c r="U1307">
        <v>3.2247776825794966E-5</v>
      </c>
      <c r="V1307" t="s">
        <v>168</v>
      </c>
    </row>
    <row r="1308" spans="9:22" x14ac:dyDescent="0.45">
      <c r="I1308" t="s">
        <v>190</v>
      </c>
      <c r="J1308" t="s">
        <v>348</v>
      </c>
      <c r="K1308">
        <v>1.7300021538369542E-4</v>
      </c>
      <c r="L1308" t="s">
        <v>168</v>
      </c>
      <c r="N1308" t="s">
        <v>214</v>
      </c>
      <c r="O1308" t="s">
        <v>348</v>
      </c>
      <c r="P1308">
        <v>6.1426172489861193E-6</v>
      </c>
      <c r="Q1308" t="s">
        <v>168</v>
      </c>
      <c r="S1308" t="s">
        <v>233</v>
      </c>
      <c r="T1308" t="s">
        <v>348</v>
      </c>
      <c r="U1308">
        <v>3.897138762908257E-5</v>
      </c>
      <c r="V1308" t="s">
        <v>168</v>
      </c>
    </row>
    <row r="1309" spans="9:22" x14ac:dyDescent="0.45">
      <c r="I1309" t="s">
        <v>190</v>
      </c>
      <c r="J1309" t="s">
        <v>349</v>
      </c>
      <c r="K1309">
        <v>2.7554081532893952E-4</v>
      </c>
      <c r="L1309" t="s">
        <v>168</v>
      </c>
      <c r="N1309" t="s">
        <v>214</v>
      </c>
      <c r="O1309" t="s">
        <v>349</v>
      </c>
      <c r="P1309">
        <v>6.0223234966409892E-6</v>
      </c>
      <c r="Q1309" t="s">
        <v>168</v>
      </c>
      <c r="S1309" t="s">
        <v>233</v>
      </c>
      <c r="T1309" t="s">
        <v>349</v>
      </c>
      <c r="U1309">
        <v>4.4919804323725138E-5</v>
      </c>
      <c r="V1309" t="s">
        <v>168</v>
      </c>
    </row>
    <row r="1310" spans="9:22" x14ac:dyDescent="0.45">
      <c r="I1310" t="s">
        <v>190</v>
      </c>
      <c r="J1310" t="s">
        <v>350</v>
      </c>
      <c r="K1310">
        <v>3.2547784922693662E-4</v>
      </c>
      <c r="L1310" t="s">
        <v>168</v>
      </c>
      <c r="N1310" t="s">
        <v>214</v>
      </c>
      <c r="O1310" t="s">
        <v>350</v>
      </c>
      <c r="P1310">
        <v>7.0155162879870309E-6</v>
      </c>
      <c r="Q1310" t="s">
        <v>168</v>
      </c>
      <c r="S1310" t="s">
        <v>233</v>
      </c>
      <c r="T1310" t="s">
        <v>350</v>
      </c>
      <c r="U1310">
        <v>5.126480785207483E-5</v>
      </c>
      <c r="V1310" t="s">
        <v>168</v>
      </c>
    </row>
    <row r="1311" spans="9:22" x14ac:dyDescent="0.45">
      <c r="I1311" t="s">
        <v>190</v>
      </c>
      <c r="J1311" t="s">
        <v>351</v>
      </c>
      <c r="K1311">
        <v>3.458411068442954E-4</v>
      </c>
      <c r="L1311" t="s">
        <v>168</v>
      </c>
      <c r="N1311" t="s">
        <v>214</v>
      </c>
      <c r="O1311" t="s">
        <v>351</v>
      </c>
      <c r="P1311">
        <v>8.5957562018808192E-6</v>
      </c>
      <c r="Q1311" t="s">
        <v>168</v>
      </c>
      <c r="S1311" t="s">
        <v>233</v>
      </c>
      <c r="T1311" t="s">
        <v>351</v>
      </c>
      <c r="U1311">
        <v>5.879071474055307E-5</v>
      </c>
      <c r="V1311" t="s">
        <v>168</v>
      </c>
    </row>
    <row r="1312" spans="9:22" x14ac:dyDescent="0.45">
      <c r="I1312" t="s">
        <v>190</v>
      </c>
      <c r="J1312" t="s">
        <v>352</v>
      </c>
      <c r="K1312">
        <v>3.4029366289188269E-4</v>
      </c>
      <c r="L1312" t="s">
        <v>168</v>
      </c>
      <c r="N1312" t="s">
        <v>214</v>
      </c>
      <c r="O1312" t="s">
        <v>352</v>
      </c>
      <c r="P1312">
        <v>1.0156160725221651E-5</v>
      </c>
      <c r="Q1312" t="s">
        <v>168</v>
      </c>
      <c r="S1312" t="s">
        <v>233</v>
      </c>
      <c r="T1312" t="s">
        <v>352</v>
      </c>
      <c r="U1312">
        <v>6.9042348176967869E-5</v>
      </c>
      <c r="V1312" t="s">
        <v>168</v>
      </c>
    </row>
    <row r="1313" spans="9:22" x14ac:dyDescent="0.45">
      <c r="I1313" t="s">
        <v>190</v>
      </c>
      <c r="J1313" t="s">
        <v>353</v>
      </c>
      <c r="K1313">
        <v>3.1245700855258597E-4</v>
      </c>
      <c r="L1313" t="s">
        <v>168</v>
      </c>
      <c r="N1313" t="s">
        <v>214</v>
      </c>
      <c r="O1313" t="s">
        <v>353</v>
      </c>
      <c r="P1313">
        <v>1.2986933524851224E-5</v>
      </c>
      <c r="Q1313" t="s">
        <v>168</v>
      </c>
      <c r="S1313" t="s">
        <v>233</v>
      </c>
      <c r="T1313" t="s">
        <v>353</v>
      </c>
      <c r="U1313">
        <v>7.9571103309635302E-5</v>
      </c>
      <c r="V1313" t="s">
        <v>168</v>
      </c>
    </row>
    <row r="1314" spans="9:22" x14ac:dyDescent="0.45">
      <c r="I1314" t="s">
        <v>190</v>
      </c>
      <c r="J1314" t="s">
        <v>354</v>
      </c>
      <c r="K1314">
        <v>3.3307437950225632E-4</v>
      </c>
      <c r="L1314" t="s">
        <v>168</v>
      </c>
      <c r="N1314" t="s">
        <v>214</v>
      </c>
      <c r="O1314" t="s">
        <v>354</v>
      </c>
      <c r="P1314">
        <v>1.8380918432933655E-5</v>
      </c>
      <c r="Q1314" t="s">
        <v>168</v>
      </c>
      <c r="S1314" t="s">
        <v>233</v>
      </c>
      <c r="T1314" t="s">
        <v>354</v>
      </c>
      <c r="U1314">
        <v>8.8535123796610121E-5</v>
      </c>
      <c r="V1314" t="s">
        <v>168</v>
      </c>
    </row>
    <row r="1315" spans="9:22" x14ac:dyDescent="0.45">
      <c r="I1315" t="s">
        <v>190</v>
      </c>
      <c r="J1315" t="s">
        <v>355</v>
      </c>
      <c r="K1315">
        <v>3.4580167282606495E-4</v>
      </c>
      <c r="L1315" t="s">
        <v>168</v>
      </c>
      <c r="N1315" t="s">
        <v>214</v>
      </c>
      <c r="O1315" t="s">
        <v>355</v>
      </c>
      <c r="P1315">
        <v>2.591652359702349E-5</v>
      </c>
      <c r="Q1315" t="s">
        <v>168</v>
      </c>
      <c r="S1315" t="s">
        <v>233</v>
      </c>
      <c r="T1315" t="s">
        <v>355</v>
      </c>
      <c r="U1315">
        <v>9.6338116136933009E-5</v>
      </c>
      <c r="V1315" t="s">
        <v>168</v>
      </c>
    </row>
    <row r="1316" spans="9:22" x14ac:dyDescent="0.45">
      <c r="I1316" t="s">
        <v>190</v>
      </c>
      <c r="J1316" t="s">
        <v>356</v>
      </c>
      <c r="K1316">
        <v>3.3378186599422772E-4</v>
      </c>
      <c r="L1316" t="s">
        <v>168</v>
      </c>
      <c r="N1316" t="s">
        <v>214</v>
      </c>
      <c r="O1316" t="s">
        <v>356</v>
      </c>
      <c r="P1316">
        <v>3.5945728729394613E-5</v>
      </c>
      <c r="Q1316" t="s">
        <v>168</v>
      </c>
      <c r="S1316" t="s">
        <v>233</v>
      </c>
      <c r="T1316" t="s">
        <v>356</v>
      </c>
      <c r="U1316">
        <v>1.0190167348545135E-4</v>
      </c>
      <c r="V1316" t="s">
        <v>168</v>
      </c>
    </row>
    <row r="1317" spans="9:22" x14ac:dyDescent="0.45">
      <c r="I1317" t="s">
        <v>190</v>
      </c>
      <c r="J1317" t="s">
        <v>357</v>
      </c>
      <c r="K1317">
        <v>2.9382198153608119E-4</v>
      </c>
      <c r="L1317" t="s">
        <v>168</v>
      </c>
      <c r="N1317" t="s">
        <v>214</v>
      </c>
      <c r="O1317" t="s">
        <v>357</v>
      </c>
      <c r="P1317">
        <v>4.3705498418137711E-5</v>
      </c>
      <c r="Q1317" t="s">
        <v>168</v>
      </c>
      <c r="S1317" t="s">
        <v>233</v>
      </c>
      <c r="T1317" t="s">
        <v>357</v>
      </c>
      <c r="U1317">
        <v>1.1228398833125259E-4</v>
      </c>
      <c r="V1317" t="s">
        <v>168</v>
      </c>
    </row>
    <row r="1318" spans="9:22" x14ac:dyDescent="0.45">
      <c r="I1318" t="s">
        <v>190</v>
      </c>
      <c r="J1318" t="s">
        <v>358</v>
      </c>
      <c r="K1318">
        <v>2.109133835213245E-4</v>
      </c>
      <c r="L1318" t="s">
        <v>168</v>
      </c>
      <c r="N1318" t="s">
        <v>214</v>
      </c>
      <c r="O1318" t="s">
        <v>358</v>
      </c>
      <c r="P1318">
        <v>3.8165237081940951E-5</v>
      </c>
      <c r="Q1318" t="s">
        <v>168</v>
      </c>
      <c r="S1318" t="s">
        <v>233</v>
      </c>
      <c r="T1318" t="s">
        <v>358</v>
      </c>
      <c r="U1318">
        <v>1.221735469325027E-4</v>
      </c>
      <c r="V1318" t="s">
        <v>168</v>
      </c>
    </row>
    <row r="1319" spans="9:22" x14ac:dyDescent="0.45">
      <c r="I1319" t="s">
        <v>190</v>
      </c>
      <c r="J1319" t="s">
        <v>359</v>
      </c>
      <c r="K1319">
        <v>1.2913312094492749E-4</v>
      </c>
      <c r="L1319" t="s">
        <v>168</v>
      </c>
      <c r="N1319" t="s">
        <v>214</v>
      </c>
      <c r="O1319" t="s">
        <v>359</v>
      </c>
      <c r="P1319">
        <v>2.7735166704339909E-5</v>
      </c>
      <c r="Q1319" t="s">
        <v>168</v>
      </c>
      <c r="S1319" t="s">
        <v>233</v>
      </c>
      <c r="T1319" t="s">
        <v>359</v>
      </c>
      <c r="U1319">
        <v>1.3266085504358091E-4</v>
      </c>
      <c r="V1319" t="s">
        <v>168</v>
      </c>
    </row>
    <row r="1320" spans="9:22" x14ac:dyDescent="0.45">
      <c r="I1320" t="s">
        <v>190</v>
      </c>
      <c r="J1320" t="s">
        <v>360</v>
      </c>
      <c r="K1320">
        <v>0</v>
      </c>
      <c r="L1320" t="s">
        <v>168</v>
      </c>
      <c r="N1320" t="s">
        <v>214</v>
      </c>
      <c r="O1320" t="s">
        <v>360</v>
      </c>
      <c r="P1320">
        <v>1.9432039010894676E-5</v>
      </c>
      <c r="Q1320" t="s">
        <v>168</v>
      </c>
      <c r="S1320" t="s">
        <v>233</v>
      </c>
      <c r="T1320" t="s">
        <v>360</v>
      </c>
      <c r="U1320">
        <v>1.4371276537049381E-4</v>
      </c>
      <c r="V1320" t="s">
        <v>168</v>
      </c>
    </row>
    <row r="1321" spans="9:22" x14ac:dyDescent="0.45">
      <c r="I1321" t="s">
        <v>190</v>
      </c>
      <c r="J1321" t="s">
        <v>361</v>
      </c>
      <c r="K1321">
        <v>0</v>
      </c>
      <c r="L1321" t="s">
        <v>168</v>
      </c>
      <c r="N1321" t="s">
        <v>214</v>
      </c>
      <c r="O1321" t="s">
        <v>361</v>
      </c>
      <c r="P1321">
        <v>1.4662529807604914E-5</v>
      </c>
      <c r="Q1321" t="s">
        <v>168</v>
      </c>
      <c r="S1321" t="s">
        <v>233</v>
      </c>
      <c r="T1321" t="s">
        <v>361</v>
      </c>
      <c r="U1321">
        <v>1.542514601480854E-4</v>
      </c>
      <c r="V1321" t="s">
        <v>168</v>
      </c>
    </row>
    <row r="1322" spans="9:22" x14ac:dyDescent="0.45">
      <c r="I1322" t="s">
        <v>190</v>
      </c>
      <c r="J1322" t="s">
        <v>362</v>
      </c>
      <c r="K1322">
        <v>0</v>
      </c>
      <c r="L1322" t="s">
        <v>168</v>
      </c>
      <c r="N1322" t="s">
        <v>214</v>
      </c>
      <c r="O1322" t="s">
        <v>362</v>
      </c>
      <c r="P1322">
        <v>1.1861296061914656E-5</v>
      </c>
      <c r="Q1322" t="s">
        <v>168</v>
      </c>
      <c r="S1322" t="s">
        <v>233</v>
      </c>
      <c r="T1322" t="s">
        <v>362</v>
      </c>
      <c r="U1322">
        <v>1.5956358369975502E-4</v>
      </c>
      <c r="V1322" t="s">
        <v>168</v>
      </c>
    </row>
    <row r="1323" spans="9:22" x14ac:dyDescent="0.45">
      <c r="I1323" t="s">
        <v>190</v>
      </c>
      <c r="J1323" t="s">
        <v>363</v>
      </c>
      <c r="K1323">
        <v>0</v>
      </c>
      <c r="L1323" t="s">
        <v>168</v>
      </c>
      <c r="N1323" t="s">
        <v>214</v>
      </c>
      <c r="O1323" t="s">
        <v>363</v>
      </c>
      <c r="P1323">
        <v>8.5301428927968056E-6</v>
      </c>
      <c r="Q1323" t="s">
        <v>168</v>
      </c>
      <c r="S1323" t="s">
        <v>233</v>
      </c>
      <c r="T1323" t="s">
        <v>363</v>
      </c>
      <c r="U1323">
        <v>1.528717443480281E-4</v>
      </c>
      <c r="V1323" t="s">
        <v>168</v>
      </c>
    </row>
    <row r="1324" spans="9:22" x14ac:dyDescent="0.45">
      <c r="I1324" t="s">
        <v>190</v>
      </c>
      <c r="J1324" t="s">
        <v>364</v>
      </c>
      <c r="K1324">
        <v>0</v>
      </c>
      <c r="L1324" t="s">
        <v>168</v>
      </c>
      <c r="N1324" t="s">
        <v>214</v>
      </c>
      <c r="O1324" t="s">
        <v>364</v>
      </c>
      <c r="P1324">
        <v>6.0811434825298251E-6</v>
      </c>
      <c r="Q1324" t="s">
        <v>168</v>
      </c>
      <c r="S1324" t="s">
        <v>233</v>
      </c>
      <c r="T1324" t="s">
        <v>364</v>
      </c>
      <c r="U1324">
        <v>1.4098479709789708E-4</v>
      </c>
      <c r="V1324" t="s">
        <v>168</v>
      </c>
    </row>
    <row r="1325" spans="9:22" x14ac:dyDescent="0.45">
      <c r="I1325" t="s">
        <v>190</v>
      </c>
      <c r="J1325" t="s">
        <v>277</v>
      </c>
      <c r="K1325">
        <v>2.5286158997487444E-3</v>
      </c>
      <c r="L1325" t="s">
        <v>168</v>
      </c>
      <c r="N1325" t="s">
        <v>214</v>
      </c>
      <c r="O1325" t="s">
        <v>277</v>
      </c>
      <c r="P1325">
        <v>6.029604567465862E-2</v>
      </c>
      <c r="Q1325" t="s">
        <v>168</v>
      </c>
      <c r="S1325" t="s">
        <v>233</v>
      </c>
      <c r="T1325" t="s">
        <v>277</v>
      </c>
      <c r="U1325">
        <v>6.1484682097445849E-2</v>
      </c>
      <c r="V1325" t="s">
        <v>168</v>
      </c>
    </row>
    <row r="1326" spans="9:22" x14ac:dyDescent="0.45">
      <c r="I1326" t="s">
        <v>190</v>
      </c>
      <c r="J1326" t="s">
        <v>278</v>
      </c>
      <c r="K1326">
        <v>7.6572786612893306E-3</v>
      </c>
      <c r="L1326" t="s">
        <v>168</v>
      </c>
      <c r="N1326" t="s">
        <v>214</v>
      </c>
      <c r="O1326" t="s">
        <v>278</v>
      </c>
      <c r="P1326">
        <v>7.2239543099648987E-3</v>
      </c>
      <c r="Q1326" t="s">
        <v>168</v>
      </c>
      <c r="S1326" t="s">
        <v>233</v>
      </c>
      <c r="T1326" t="s">
        <v>278</v>
      </c>
      <c r="U1326">
        <v>7.2539645039668222E-3</v>
      </c>
      <c r="V1326" t="s">
        <v>168</v>
      </c>
    </row>
    <row r="1327" spans="9:22" x14ac:dyDescent="0.45">
      <c r="I1327" t="s">
        <v>190</v>
      </c>
      <c r="J1327" t="s">
        <v>279</v>
      </c>
      <c r="K1327">
        <v>1.1426286594583269E-2</v>
      </c>
      <c r="L1327" t="s">
        <v>168</v>
      </c>
      <c r="N1327" t="s">
        <v>214</v>
      </c>
      <c r="O1327" t="s">
        <v>279</v>
      </c>
      <c r="P1327">
        <v>7.4812353968058617E-3</v>
      </c>
      <c r="Q1327" t="s">
        <v>168</v>
      </c>
      <c r="S1327" t="s">
        <v>233</v>
      </c>
      <c r="T1327" t="s">
        <v>279</v>
      </c>
      <c r="U1327">
        <v>7.0444199787031859E-3</v>
      </c>
      <c r="V1327" t="s">
        <v>168</v>
      </c>
    </row>
    <row r="1328" spans="9:22" x14ac:dyDescent="0.45">
      <c r="I1328" t="s">
        <v>190</v>
      </c>
      <c r="J1328" t="s">
        <v>280</v>
      </c>
      <c r="K1328">
        <v>7.8638199277779819E-2</v>
      </c>
      <c r="L1328" t="s">
        <v>168</v>
      </c>
      <c r="N1328" t="s">
        <v>214</v>
      </c>
      <c r="O1328" t="s">
        <v>280</v>
      </c>
      <c r="P1328">
        <v>4.7511150938247551E-2</v>
      </c>
      <c r="Q1328" t="s">
        <v>168</v>
      </c>
      <c r="S1328" t="s">
        <v>233</v>
      </c>
      <c r="T1328" t="s">
        <v>280</v>
      </c>
      <c r="U1328">
        <v>4.1446144079020877E-2</v>
      </c>
      <c r="V1328" t="s">
        <v>168</v>
      </c>
    </row>
    <row r="1329" spans="9:22" x14ac:dyDescent="0.45">
      <c r="I1329" t="s">
        <v>190</v>
      </c>
      <c r="J1329" t="s">
        <v>281</v>
      </c>
      <c r="K1329">
        <v>8.6454483514907081E-3</v>
      </c>
      <c r="L1329" t="s">
        <v>168</v>
      </c>
      <c r="N1329" t="s">
        <v>214</v>
      </c>
      <c r="O1329" t="s">
        <v>281</v>
      </c>
      <c r="P1329">
        <v>7.9707310102008697E-3</v>
      </c>
      <c r="Q1329" t="s">
        <v>168</v>
      </c>
      <c r="S1329" t="s">
        <v>233</v>
      </c>
      <c r="T1329" t="s">
        <v>281</v>
      </c>
      <c r="U1329">
        <v>7.1454123532888048E-3</v>
      </c>
      <c r="V1329" t="s">
        <v>168</v>
      </c>
    </row>
    <row r="1330" spans="9:22" x14ac:dyDescent="0.45">
      <c r="I1330" t="s">
        <v>190</v>
      </c>
      <c r="J1330" t="s">
        <v>282</v>
      </c>
      <c r="K1330">
        <v>3.6474237256057668E-3</v>
      </c>
      <c r="L1330" t="s">
        <v>168</v>
      </c>
      <c r="N1330" t="s">
        <v>214</v>
      </c>
      <c r="O1330" t="s">
        <v>282</v>
      </c>
      <c r="P1330">
        <v>5.4186178907916688E-2</v>
      </c>
      <c r="Q1330" t="s">
        <v>168</v>
      </c>
      <c r="S1330" t="s">
        <v>233</v>
      </c>
      <c r="T1330" t="s">
        <v>282</v>
      </c>
      <c r="U1330">
        <v>5.3622595388775403E-2</v>
      </c>
      <c r="V1330" t="s">
        <v>168</v>
      </c>
    </row>
    <row r="1331" spans="9:22" x14ac:dyDescent="0.45">
      <c r="I1331" t="s">
        <v>190</v>
      </c>
      <c r="J1331" t="s">
        <v>283</v>
      </c>
      <c r="K1331">
        <v>0</v>
      </c>
      <c r="L1331" t="s">
        <v>168</v>
      </c>
      <c r="N1331" t="s">
        <v>214</v>
      </c>
      <c r="O1331" t="s">
        <v>283</v>
      </c>
      <c r="P1331">
        <v>2.0193452990104339E-2</v>
      </c>
      <c r="Q1331" t="s">
        <v>168</v>
      </c>
      <c r="S1331" t="s">
        <v>233</v>
      </c>
      <c r="T1331" t="s">
        <v>283</v>
      </c>
      <c r="U1331">
        <v>2.2131983590819412E-2</v>
      </c>
      <c r="V1331" t="s">
        <v>168</v>
      </c>
    </row>
    <row r="1332" spans="9:22" x14ac:dyDescent="0.45">
      <c r="I1332" t="s">
        <v>190</v>
      </c>
      <c r="J1332" t="s">
        <v>284</v>
      </c>
      <c r="K1332">
        <v>2.3762932012471767E-3</v>
      </c>
      <c r="L1332" t="s">
        <v>168</v>
      </c>
      <c r="N1332" t="s">
        <v>214</v>
      </c>
      <c r="O1332" t="s">
        <v>284</v>
      </c>
      <c r="P1332">
        <v>2.5404704797786677E-3</v>
      </c>
      <c r="Q1332" t="s">
        <v>168</v>
      </c>
      <c r="S1332" t="s">
        <v>233</v>
      </c>
      <c r="T1332" t="s">
        <v>284</v>
      </c>
      <c r="U1332">
        <v>2.6587038826253293E-3</v>
      </c>
      <c r="V1332" t="s">
        <v>168</v>
      </c>
    </row>
    <row r="1333" spans="9:22" x14ac:dyDescent="0.45">
      <c r="I1333" t="s">
        <v>190</v>
      </c>
      <c r="J1333" t="s">
        <v>285</v>
      </c>
      <c r="K1333">
        <v>4.369968867602614E-3</v>
      </c>
      <c r="L1333" t="s">
        <v>168</v>
      </c>
      <c r="N1333" t="s">
        <v>214</v>
      </c>
      <c r="O1333" t="s">
        <v>285</v>
      </c>
      <c r="P1333">
        <v>2.5406990942320696E-3</v>
      </c>
      <c r="Q1333" t="s">
        <v>168</v>
      </c>
      <c r="S1333" t="s">
        <v>233</v>
      </c>
      <c r="T1333" t="s">
        <v>285</v>
      </c>
      <c r="U1333">
        <v>2.6784128790931722E-3</v>
      </c>
      <c r="V1333" t="s">
        <v>168</v>
      </c>
    </row>
    <row r="1334" spans="9:22" x14ac:dyDescent="0.45">
      <c r="I1334" t="s">
        <v>190</v>
      </c>
      <c r="J1334" t="s">
        <v>286</v>
      </c>
      <c r="K1334">
        <v>3.3922933311533295E-2</v>
      </c>
      <c r="L1334" t="s">
        <v>168</v>
      </c>
      <c r="N1334" t="s">
        <v>214</v>
      </c>
      <c r="O1334" t="s">
        <v>286</v>
      </c>
      <c r="P1334">
        <v>1.6205583900781053E-2</v>
      </c>
      <c r="Q1334" t="s">
        <v>168</v>
      </c>
      <c r="S1334" t="s">
        <v>233</v>
      </c>
      <c r="T1334" t="s">
        <v>286</v>
      </c>
      <c r="U1334">
        <v>1.5926061148582756E-2</v>
      </c>
      <c r="V1334" t="s">
        <v>168</v>
      </c>
    </row>
    <row r="1335" spans="9:22" x14ac:dyDescent="0.45">
      <c r="I1335" t="s">
        <v>190</v>
      </c>
      <c r="J1335" t="s">
        <v>287</v>
      </c>
      <c r="K1335">
        <v>3.2246957437499298E-3</v>
      </c>
      <c r="L1335" t="s">
        <v>168</v>
      </c>
      <c r="N1335" t="s">
        <v>214</v>
      </c>
      <c r="O1335" t="s">
        <v>287</v>
      </c>
      <c r="P1335">
        <v>2.5830082365519672E-3</v>
      </c>
      <c r="Q1335" t="s">
        <v>168</v>
      </c>
      <c r="S1335" t="s">
        <v>233</v>
      </c>
      <c r="T1335" t="s">
        <v>287</v>
      </c>
      <c r="U1335">
        <v>2.7055147687723123E-3</v>
      </c>
      <c r="V1335" t="s">
        <v>168</v>
      </c>
    </row>
    <row r="1336" spans="9:22" x14ac:dyDescent="0.45">
      <c r="I1336" t="s">
        <v>190</v>
      </c>
      <c r="J1336" t="s">
        <v>288</v>
      </c>
      <c r="K1336">
        <v>0</v>
      </c>
      <c r="L1336" t="s">
        <v>168</v>
      </c>
      <c r="N1336" t="s">
        <v>214</v>
      </c>
      <c r="O1336" t="s">
        <v>288</v>
      </c>
      <c r="P1336">
        <v>1.7303568453126972E-2</v>
      </c>
      <c r="Q1336" t="s">
        <v>168</v>
      </c>
      <c r="S1336" t="s">
        <v>233</v>
      </c>
      <c r="T1336" t="s">
        <v>288</v>
      </c>
      <c r="U1336">
        <v>1.8965597035204333E-2</v>
      </c>
      <c r="V1336" t="s">
        <v>168</v>
      </c>
    </row>
    <row r="1337" spans="9:22" x14ac:dyDescent="0.45">
      <c r="I1337" t="s">
        <v>190</v>
      </c>
      <c r="J1337" t="s">
        <v>365</v>
      </c>
      <c r="K1337">
        <v>0</v>
      </c>
      <c r="L1337" t="s">
        <v>168</v>
      </c>
      <c r="N1337" t="s">
        <v>214</v>
      </c>
      <c r="O1337" t="s">
        <v>365</v>
      </c>
      <c r="P1337">
        <v>1.4410628887459975E-6</v>
      </c>
      <c r="Q1337" t="s">
        <v>168</v>
      </c>
      <c r="S1337" t="s">
        <v>233</v>
      </c>
      <c r="T1337" t="s">
        <v>365</v>
      </c>
      <c r="U1337">
        <v>8.3432933120328472E-7</v>
      </c>
      <c r="V1337" t="s">
        <v>168</v>
      </c>
    </row>
    <row r="1338" spans="9:22" x14ac:dyDescent="0.45">
      <c r="I1338" t="s">
        <v>190</v>
      </c>
      <c r="J1338" t="s">
        <v>366</v>
      </c>
      <c r="K1338">
        <v>0</v>
      </c>
      <c r="L1338" t="s">
        <v>168</v>
      </c>
      <c r="N1338" t="s">
        <v>214</v>
      </c>
      <c r="O1338" t="s">
        <v>366</v>
      </c>
      <c r="P1338">
        <v>1.0830873124397329E-6</v>
      </c>
      <c r="Q1338" t="s">
        <v>168</v>
      </c>
      <c r="S1338" t="s">
        <v>233</v>
      </c>
      <c r="T1338" t="s">
        <v>366</v>
      </c>
      <c r="U1338">
        <v>1.3810897863192122E-6</v>
      </c>
      <c r="V1338" t="s">
        <v>168</v>
      </c>
    </row>
    <row r="1339" spans="9:22" x14ac:dyDescent="0.45">
      <c r="I1339" t="s">
        <v>190</v>
      </c>
      <c r="J1339" t="s">
        <v>367</v>
      </c>
      <c r="K1339">
        <v>0</v>
      </c>
      <c r="L1339" t="s">
        <v>168</v>
      </c>
      <c r="N1339" t="s">
        <v>214</v>
      </c>
      <c r="O1339" t="s">
        <v>367</v>
      </c>
      <c r="P1339">
        <v>8.4452802846936208E-7</v>
      </c>
      <c r="Q1339" t="s">
        <v>168</v>
      </c>
      <c r="S1339" t="s">
        <v>233</v>
      </c>
      <c r="T1339" t="s">
        <v>367</v>
      </c>
      <c r="U1339">
        <v>1.6738524712755365E-6</v>
      </c>
      <c r="V1339" t="s">
        <v>168</v>
      </c>
    </row>
    <row r="1340" spans="9:22" x14ac:dyDescent="0.45">
      <c r="I1340" t="s">
        <v>190</v>
      </c>
      <c r="J1340" t="s">
        <v>368</v>
      </c>
      <c r="K1340">
        <v>0</v>
      </c>
      <c r="L1340" t="s">
        <v>168</v>
      </c>
      <c r="N1340" t="s">
        <v>214</v>
      </c>
      <c r="O1340" t="s">
        <v>368</v>
      </c>
      <c r="P1340">
        <v>9.0840957797282525E-7</v>
      </c>
      <c r="Q1340" t="s">
        <v>168</v>
      </c>
      <c r="S1340" t="s">
        <v>233</v>
      </c>
      <c r="T1340" t="s">
        <v>368</v>
      </c>
      <c r="U1340">
        <v>1.9510559473649986E-6</v>
      </c>
      <c r="V1340" t="s">
        <v>168</v>
      </c>
    </row>
    <row r="1341" spans="9:22" x14ac:dyDescent="0.45">
      <c r="I1341" t="s">
        <v>190</v>
      </c>
      <c r="J1341" t="s">
        <v>369</v>
      </c>
      <c r="K1341">
        <v>0</v>
      </c>
      <c r="L1341" t="s">
        <v>168</v>
      </c>
      <c r="N1341" t="s">
        <v>214</v>
      </c>
      <c r="O1341" t="s">
        <v>369</v>
      </c>
      <c r="P1341">
        <v>7.1123183100525078E-7</v>
      </c>
      <c r="Q1341" t="s">
        <v>168</v>
      </c>
      <c r="S1341" t="s">
        <v>233</v>
      </c>
      <c r="T1341" t="s">
        <v>369</v>
      </c>
      <c r="U1341">
        <v>2.2552698535613766E-6</v>
      </c>
      <c r="V1341" t="s">
        <v>168</v>
      </c>
    </row>
    <row r="1342" spans="9:22" x14ac:dyDescent="0.45">
      <c r="I1342" t="s">
        <v>190</v>
      </c>
      <c r="J1342" t="s">
        <v>370</v>
      </c>
      <c r="K1342">
        <v>0</v>
      </c>
      <c r="L1342" t="s">
        <v>168</v>
      </c>
      <c r="N1342" t="s">
        <v>214</v>
      </c>
      <c r="O1342" t="s">
        <v>370</v>
      </c>
      <c r="P1342">
        <v>4.6672228078792439E-7</v>
      </c>
      <c r="Q1342" t="s">
        <v>168</v>
      </c>
      <c r="S1342" t="s">
        <v>233</v>
      </c>
      <c r="T1342" t="s">
        <v>370</v>
      </c>
      <c r="U1342">
        <v>3.0070058067364734E-6</v>
      </c>
      <c r="V1342" t="s">
        <v>168</v>
      </c>
    </row>
    <row r="1343" spans="9:22" x14ac:dyDescent="0.45">
      <c r="I1343" t="s">
        <v>190</v>
      </c>
      <c r="J1343" t="s">
        <v>371</v>
      </c>
      <c r="K1343">
        <v>0</v>
      </c>
      <c r="L1343" t="s">
        <v>168</v>
      </c>
      <c r="N1343" t="s">
        <v>214</v>
      </c>
      <c r="O1343" t="s">
        <v>371</v>
      </c>
      <c r="P1343">
        <v>1.0439620911897408E-7</v>
      </c>
      <c r="Q1343" t="s">
        <v>168</v>
      </c>
      <c r="S1343" t="s">
        <v>233</v>
      </c>
      <c r="T1343" t="s">
        <v>371</v>
      </c>
      <c r="U1343">
        <v>4.4239131588882781E-6</v>
      </c>
      <c r="V1343" t="s">
        <v>168</v>
      </c>
    </row>
    <row r="1344" spans="9:22" x14ac:dyDescent="0.45">
      <c r="I1344" t="s">
        <v>190</v>
      </c>
      <c r="J1344" t="s">
        <v>372</v>
      </c>
      <c r="K1344">
        <v>0</v>
      </c>
      <c r="L1344" t="s">
        <v>168</v>
      </c>
      <c r="N1344" t="s">
        <v>214</v>
      </c>
      <c r="O1344" t="s">
        <v>372</v>
      </c>
      <c r="P1344">
        <v>6.7247528241740202E-8</v>
      </c>
      <c r="Q1344" t="s">
        <v>168</v>
      </c>
      <c r="S1344" t="s">
        <v>233</v>
      </c>
      <c r="T1344" t="s">
        <v>372</v>
      </c>
      <c r="U1344">
        <v>6.3214591222663835E-6</v>
      </c>
      <c r="V1344" t="s">
        <v>168</v>
      </c>
    </row>
    <row r="1345" spans="9:22" x14ac:dyDescent="0.45">
      <c r="I1345" t="s">
        <v>190</v>
      </c>
      <c r="J1345" t="s">
        <v>373</v>
      </c>
      <c r="K1345">
        <v>1.1287777994298727E-4</v>
      </c>
      <c r="L1345" t="s">
        <v>168</v>
      </c>
      <c r="N1345" t="s">
        <v>214</v>
      </c>
      <c r="O1345" t="s">
        <v>373</v>
      </c>
      <c r="P1345">
        <v>1.2030999030398672E-7</v>
      </c>
      <c r="Q1345" t="s">
        <v>168</v>
      </c>
      <c r="S1345" t="s">
        <v>233</v>
      </c>
      <c r="T1345" t="s">
        <v>373</v>
      </c>
      <c r="U1345">
        <v>7.8663922647838982E-6</v>
      </c>
      <c r="V1345" t="s">
        <v>168</v>
      </c>
    </row>
    <row r="1346" spans="9:22" x14ac:dyDescent="0.45">
      <c r="I1346" t="s">
        <v>190</v>
      </c>
      <c r="J1346" t="s">
        <v>374</v>
      </c>
      <c r="K1346">
        <v>1.9967877007880642E-4</v>
      </c>
      <c r="L1346" t="s">
        <v>168</v>
      </c>
      <c r="N1346" t="s">
        <v>214</v>
      </c>
      <c r="O1346" t="s">
        <v>374</v>
      </c>
      <c r="P1346">
        <v>1.6913913310336613E-7</v>
      </c>
      <c r="Q1346" t="s">
        <v>168</v>
      </c>
      <c r="S1346" t="s">
        <v>233</v>
      </c>
      <c r="T1346" t="s">
        <v>374</v>
      </c>
      <c r="U1346">
        <v>8.9560435103437471E-6</v>
      </c>
      <c r="V1346" t="s">
        <v>168</v>
      </c>
    </row>
    <row r="1347" spans="9:22" x14ac:dyDescent="0.45">
      <c r="I1347" t="s">
        <v>190</v>
      </c>
      <c r="J1347" t="s">
        <v>375</v>
      </c>
      <c r="K1347">
        <v>2.103425396882744E-4</v>
      </c>
      <c r="L1347" t="s">
        <v>168</v>
      </c>
      <c r="N1347" t="s">
        <v>214</v>
      </c>
      <c r="O1347" t="s">
        <v>375</v>
      </c>
      <c r="P1347">
        <v>8.8622636065884501E-8</v>
      </c>
      <c r="Q1347" t="s">
        <v>168</v>
      </c>
      <c r="S1347" t="s">
        <v>233</v>
      </c>
      <c r="T1347" t="s">
        <v>375</v>
      </c>
      <c r="U1347">
        <v>1.0047330060329185E-5</v>
      </c>
      <c r="V1347" t="s">
        <v>168</v>
      </c>
    </row>
    <row r="1348" spans="9:22" x14ac:dyDescent="0.45">
      <c r="I1348" t="s">
        <v>190</v>
      </c>
      <c r="J1348" t="s">
        <v>376</v>
      </c>
      <c r="K1348">
        <v>2.0959544600439108E-4</v>
      </c>
      <c r="L1348" t="s">
        <v>168</v>
      </c>
      <c r="N1348" t="s">
        <v>214</v>
      </c>
      <c r="O1348" t="s">
        <v>376</v>
      </c>
      <c r="P1348">
        <v>2.8308814845778264E-7</v>
      </c>
      <c r="Q1348" t="s">
        <v>168</v>
      </c>
      <c r="S1348" t="s">
        <v>233</v>
      </c>
      <c r="T1348" t="s">
        <v>376</v>
      </c>
      <c r="U1348">
        <v>7.3685871519909156E-6</v>
      </c>
      <c r="V1348" t="s">
        <v>168</v>
      </c>
    </row>
    <row r="1349" spans="9:22" x14ac:dyDescent="0.45">
      <c r="I1349" t="s">
        <v>190</v>
      </c>
      <c r="J1349" t="s">
        <v>377</v>
      </c>
      <c r="K1349">
        <v>1.5742795582555059E-4</v>
      </c>
      <c r="L1349" t="s">
        <v>168</v>
      </c>
      <c r="N1349" t="s">
        <v>214</v>
      </c>
      <c r="O1349" t="s">
        <v>377</v>
      </c>
      <c r="P1349">
        <v>2.9187876073774938E-7</v>
      </c>
      <c r="Q1349" t="s">
        <v>168</v>
      </c>
      <c r="S1349" t="s">
        <v>233</v>
      </c>
      <c r="T1349" t="s">
        <v>377</v>
      </c>
      <c r="U1349">
        <v>5.3251456458648176E-6</v>
      </c>
      <c r="V1349" t="s">
        <v>168</v>
      </c>
    </row>
    <row r="1350" spans="9:22" x14ac:dyDescent="0.45">
      <c r="I1350" t="s">
        <v>190</v>
      </c>
      <c r="J1350" t="s">
        <v>378</v>
      </c>
      <c r="K1350">
        <v>1.7338572859045687E-4</v>
      </c>
      <c r="L1350" t="s">
        <v>168</v>
      </c>
      <c r="N1350" t="s">
        <v>214</v>
      </c>
      <c r="O1350" t="s">
        <v>378</v>
      </c>
      <c r="P1350">
        <v>2.1065270631440308E-7</v>
      </c>
      <c r="Q1350" t="s">
        <v>168</v>
      </c>
      <c r="S1350" t="s">
        <v>233</v>
      </c>
      <c r="T1350" t="s">
        <v>378</v>
      </c>
      <c r="U1350">
        <v>3.6890005076863322E-6</v>
      </c>
      <c r="V1350" t="s">
        <v>168</v>
      </c>
    </row>
    <row r="1351" spans="9:22" x14ac:dyDescent="0.45">
      <c r="I1351" t="s">
        <v>190</v>
      </c>
      <c r="J1351" t="s">
        <v>379</v>
      </c>
      <c r="K1351">
        <v>2.0910782240782201E-4</v>
      </c>
      <c r="L1351" t="s">
        <v>168</v>
      </c>
      <c r="N1351" t="s">
        <v>214</v>
      </c>
      <c r="O1351" t="s">
        <v>379</v>
      </c>
      <c r="P1351">
        <v>8.9076464991546216E-8</v>
      </c>
      <c r="Q1351" t="s">
        <v>168</v>
      </c>
      <c r="S1351" t="s">
        <v>233</v>
      </c>
      <c r="T1351" t="s">
        <v>379</v>
      </c>
      <c r="U1351">
        <v>3.6962397945214115E-6</v>
      </c>
      <c r="V1351" t="s">
        <v>168</v>
      </c>
    </row>
    <row r="1352" spans="9:22" x14ac:dyDescent="0.45">
      <c r="I1352" t="s">
        <v>190</v>
      </c>
      <c r="J1352" t="s">
        <v>380</v>
      </c>
      <c r="K1352">
        <v>1.3828082304292774E-4</v>
      </c>
      <c r="L1352" t="s">
        <v>168</v>
      </c>
      <c r="N1352" t="s">
        <v>214</v>
      </c>
      <c r="O1352" t="s">
        <v>380</v>
      </c>
      <c r="P1352">
        <v>3.5821988075137008E-8</v>
      </c>
      <c r="Q1352" t="s">
        <v>168</v>
      </c>
      <c r="S1352" t="s">
        <v>233</v>
      </c>
      <c r="T1352" t="s">
        <v>380</v>
      </c>
      <c r="U1352">
        <v>5.170821326106972E-6</v>
      </c>
      <c r="V1352" t="s">
        <v>168</v>
      </c>
    </row>
    <row r="1353" spans="9:22" x14ac:dyDescent="0.45">
      <c r="I1353" t="s">
        <v>190</v>
      </c>
      <c r="J1353" t="s">
        <v>381</v>
      </c>
      <c r="K1353">
        <v>8.2447049427867078E-5</v>
      </c>
      <c r="L1353" t="s">
        <v>168</v>
      </c>
      <c r="N1353" t="s">
        <v>214</v>
      </c>
      <c r="O1353" t="s">
        <v>381</v>
      </c>
      <c r="P1353">
        <v>4.9256119233687128E-8</v>
      </c>
      <c r="Q1353" t="s">
        <v>168</v>
      </c>
      <c r="S1353" t="s">
        <v>233</v>
      </c>
      <c r="T1353" t="s">
        <v>381</v>
      </c>
      <c r="U1353">
        <v>6.9778064593375504E-6</v>
      </c>
      <c r="V1353" t="s">
        <v>168</v>
      </c>
    </row>
    <row r="1354" spans="9:22" x14ac:dyDescent="0.45">
      <c r="I1354" t="s">
        <v>190</v>
      </c>
      <c r="J1354" t="s">
        <v>382</v>
      </c>
      <c r="K1354">
        <v>0</v>
      </c>
      <c r="L1354" t="s">
        <v>168</v>
      </c>
      <c r="N1354" t="s">
        <v>214</v>
      </c>
      <c r="O1354" t="s">
        <v>382</v>
      </c>
      <c r="P1354">
        <v>5.7882763063612528E-8</v>
      </c>
      <c r="Q1354" t="s">
        <v>168</v>
      </c>
      <c r="S1354" t="s">
        <v>233</v>
      </c>
      <c r="T1354" t="s">
        <v>382</v>
      </c>
      <c r="U1354">
        <v>7.3825073139501658E-6</v>
      </c>
      <c r="V1354" t="s">
        <v>168</v>
      </c>
    </row>
    <row r="1355" spans="9:22" x14ac:dyDescent="0.45">
      <c r="I1355" t="s">
        <v>190</v>
      </c>
      <c r="J1355" t="s">
        <v>383</v>
      </c>
      <c r="K1355">
        <v>0</v>
      </c>
      <c r="L1355" t="s">
        <v>168</v>
      </c>
      <c r="N1355" t="s">
        <v>214</v>
      </c>
      <c r="O1355" t="s">
        <v>383</v>
      </c>
      <c r="P1355">
        <v>4.2060374715210779E-8</v>
      </c>
      <c r="Q1355" t="s">
        <v>168</v>
      </c>
      <c r="S1355" t="s">
        <v>233</v>
      </c>
      <c r="T1355" t="s">
        <v>383</v>
      </c>
      <c r="U1355">
        <v>5.7615534690574565E-6</v>
      </c>
      <c r="V1355" t="s">
        <v>168</v>
      </c>
    </row>
    <row r="1356" spans="9:22" x14ac:dyDescent="0.45">
      <c r="I1356" t="s">
        <v>190</v>
      </c>
      <c r="J1356" t="s">
        <v>384</v>
      </c>
      <c r="K1356">
        <v>0</v>
      </c>
      <c r="L1356" t="s">
        <v>168</v>
      </c>
      <c r="N1356" t="s">
        <v>214</v>
      </c>
      <c r="O1356" t="s">
        <v>384</v>
      </c>
      <c r="P1356">
        <v>3.748258034339943E-8</v>
      </c>
      <c r="Q1356" t="s">
        <v>168</v>
      </c>
      <c r="S1356" t="s">
        <v>233</v>
      </c>
      <c r="T1356" t="s">
        <v>384</v>
      </c>
      <c r="U1356">
        <v>4.837961189784703E-6</v>
      </c>
      <c r="V1356" t="s">
        <v>168</v>
      </c>
    </row>
    <row r="1357" spans="9:22" x14ac:dyDescent="0.45">
      <c r="I1357" t="s">
        <v>190</v>
      </c>
      <c r="J1357" t="s">
        <v>385</v>
      </c>
      <c r="K1357">
        <v>0</v>
      </c>
      <c r="L1357" t="s">
        <v>168</v>
      </c>
      <c r="N1357" t="s">
        <v>214</v>
      </c>
      <c r="O1357" t="s">
        <v>385</v>
      </c>
      <c r="P1357">
        <v>4.1263874276728461E-8</v>
      </c>
      <c r="Q1357" t="s">
        <v>168</v>
      </c>
      <c r="S1357" t="s">
        <v>233</v>
      </c>
      <c r="T1357" t="s">
        <v>385</v>
      </c>
      <c r="U1357">
        <v>4.0082661129742354E-6</v>
      </c>
      <c r="V1357" t="s">
        <v>168</v>
      </c>
    </row>
    <row r="1358" spans="9:22" x14ac:dyDescent="0.45">
      <c r="I1358" t="s">
        <v>190</v>
      </c>
      <c r="J1358" t="s">
        <v>386</v>
      </c>
      <c r="K1358">
        <v>0</v>
      </c>
      <c r="L1358" t="s">
        <v>168</v>
      </c>
      <c r="N1358" t="s">
        <v>214</v>
      </c>
      <c r="O1358" t="s">
        <v>386</v>
      </c>
      <c r="P1358">
        <v>4.342699244790463E-8</v>
      </c>
      <c r="Q1358" t="s">
        <v>168</v>
      </c>
      <c r="S1358" t="s">
        <v>233</v>
      </c>
      <c r="T1358" t="s">
        <v>386</v>
      </c>
      <c r="U1358">
        <v>3.1560346923701741E-6</v>
      </c>
      <c r="V1358" t="s">
        <v>168</v>
      </c>
    </row>
    <row r="1359" spans="9:22" x14ac:dyDescent="0.45">
      <c r="I1359" t="s">
        <v>190</v>
      </c>
      <c r="J1359" t="s">
        <v>387</v>
      </c>
      <c r="K1359">
        <v>0</v>
      </c>
      <c r="L1359" t="s">
        <v>168</v>
      </c>
      <c r="N1359" t="s">
        <v>214</v>
      </c>
      <c r="O1359" t="s">
        <v>387</v>
      </c>
      <c r="P1359">
        <v>8.6416374512499235E-8</v>
      </c>
      <c r="Q1359" t="s">
        <v>168</v>
      </c>
      <c r="S1359" t="s">
        <v>233</v>
      </c>
      <c r="T1359" t="s">
        <v>387</v>
      </c>
      <c r="U1359">
        <v>5.2705219793373063E-6</v>
      </c>
      <c r="V1359" t="s">
        <v>168</v>
      </c>
    </row>
    <row r="1360" spans="9:22" x14ac:dyDescent="0.45">
      <c r="I1360" t="s">
        <v>190</v>
      </c>
      <c r="J1360" t="s">
        <v>388</v>
      </c>
      <c r="K1360">
        <v>0</v>
      </c>
      <c r="L1360" t="s">
        <v>168</v>
      </c>
      <c r="N1360" t="s">
        <v>214</v>
      </c>
      <c r="O1360" t="s">
        <v>388</v>
      </c>
      <c r="P1360">
        <v>1.262006044676452E-7</v>
      </c>
      <c r="Q1360" t="s">
        <v>168</v>
      </c>
      <c r="S1360" t="s">
        <v>233</v>
      </c>
      <c r="T1360" t="s">
        <v>388</v>
      </c>
      <c r="U1360">
        <v>8.0321916966726266E-6</v>
      </c>
      <c r="V1360" t="s">
        <v>168</v>
      </c>
    </row>
    <row r="1361" spans="9:22" x14ac:dyDescent="0.45">
      <c r="I1361" t="s">
        <v>191</v>
      </c>
      <c r="J1361" t="s">
        <v>167</v>
      </c>
      <c r="K1361">
        <v>0</v>
      </c>
      <c r="L1361" t="s">
        <v>168</v>
      </c>
      <c r="N1361" t="s">
        <v>215</v>
      </c>
      <c r="O1361" t="s">
        <v>167</v>
      </c>
      <c r="P1361">
        <v>7.7005101471764079E-2</v>
      </c>
      <c r="Q1361" t="s">
        <v>168</v>
      </c>
      <c r="S1361" t="s">
        <v>234</v>
      </c>
      <c r="T1361" t="s">
        <v>167</v>
      </c>
      <c r="U1361">
        <v>8.3521699184469098E-2</v>
      </c>
      <c r="V1361" t="s">
        <v>168</v>
      </c>
    </row>
    <row r="1362" spans="9:22" x14ac:dyDescent="0.45">
      <c r="I1362" t="s">
        <v>191</v>
      </c>
      <c r="J1362" t="s">
        <v>169</v>
      </c>
      <c r="K1362">
        <v>4.313165327807171E-3</v>
      </c>
      <c r="L1362" t="s">
        <v>168</v>
      </c>
      <c r="N1362" t="s">
        <v>215</v>
      </c>
      <c r="O1362" t="s">
        <v>169</v>
      </c>
      <c r="P1362">
        <v>9.9609506928929458E-3</v>
      </c>
      <c r="Q1362" t="s">
        <v>168</v>
      </c>
      <c r="S1362" t="s">
        <v>234</v>
      </c>
      <c r="T1362" t="s">
        <v>169</v>
      </c>
      <c r="U1362">
        <v>1.0073658786964212E-2</v>
      </c>
      <c r="V1362" t="s">
        <v>168</v>
      </c>
    </row>
    <row r="1363" spans="9:22" x14ac:dyDescent="0.45">
      <c r="I1363" t="s">
        <v>191</v>
      </c>
      <c r="J1363" t="s">
        <v>170</v>
      </c>
      <c r="K1363">
        <v>8.5759883763981189E-3</v>
      </c>
      <c r="L1363" t="s">
        <v>168</v>
      </c>
      <c r="N1363" t="s">
        <v>215</v>
      </c>
      <c r="O1363" t="s">
        <v>170</v>
      </c>
      <c r="P1363">
        <v>1.0056852026462466E-2</v>
      </c>
      <c r="Q1363" t="s">
        <v>168</v>
      </c>
      <c r="S1363" t="s">
        <v>234</v>
      </c>
      <c r="T1363" t="s">
        <v>170</v>
      </c>
      <c r="U1363">
        <v>1.0063844027529713E-2</v>
      </c>
      <c r="V1363" t="s">
        <v>168</v>
      </c>
    </row>
    <row r="1364" spans="9:22" x14ac:dyDescent="0.45">
      <c r="I1364" t="s">
        <v>191</v>
      </c>
      <c r="J1364" t="s">
        <v>256</v>
      </c>
      <c r="K1364">
        <v>7.2407943865301208E-2</v>
      </c>
      <c r="L1364" t="s">
        <v>168</v>
      </c>
      <c r="N1364" t="s">
        <v>215</v>
      </c>
      <c r="O1364" t="s">
        <v>256</v>
      </c>
      <c r="P1364">
        <v>6.7729132028707922E-2</v>
      </c>
      <c r="Q1364" t="s">
        <v>168</v>
      </c>
      <c r="S1364" t="s">
        <v>234</v>
      </c>
      <c r="T1364" t="s">
        <v>256</v>
      </c>
      <c r="U1364">
        <v>6.2605977723163758E-2</v>
      </c>
      <c r="V1364" t="s">
        <v>168</v>
      </c>
    </row>
    <row r="1365" spans="9:22" x14ac:dyDescent="0.45">
      <c r="I1365" t="s">
        <v>191</v>
      </c>
      <c r="J1365" t="s">
        <v>257</v>
      </c>
      <c r="K1365">
        <v>8.4273741448873327E-3</v>
      </c>
      <c r="L1365" t="s">
        <v>168</v>
      </c>
      <c r="N1365" t="s">
        <v>215</v>
      </c>
      <c r="O1365" t="s">
        <v>257</v>
      </c>
      <c r="P1365">
        <v>1.1554848829138981E-2</v>
      </c>
      <c r="Q1365" t="s">
        <v>168</v>
      </c>
      <c r="S1365" t="s">
        <v>234</v>
      </c>
      <c r="T1365" t="s">
        <v>257</v>
      </c>
      <c r="U1365">
        <v>1.0257765762153591E-2</v>
      </c>
      <c r="V1365" t="s">
        <v>168</v>
      </c>
    </row>
    <row r="1366" spans="9:22" x14ac:dyDescent="0.45">
      <c r="I1366" t="s">
        <v>191</v>
      </c>
      <c r="J1366" t="s">
        <v>258</v>
      </c>
      <c r="K1366">
        <v>5.4037167789594189E-3</v>
      </c>
      <c r="L1366" t="s">
        <v>168</v>
      </c>
      <c r="N1366" t="s">
        <v>215</v>
      </c>
      <c r="O1366" t="s">
        <v>258</v>
      </c>
      <c r="P1366">
        <v>7.2300845543772571E-2</v>
      </c>
      <c r="Q1366" t="s">
        <v>168</v>
      </c>
      <c r="S1366" t="s">
        <v>234</v>
      </c>
      <c r="T1366" t="s">
        <v>258</v>
      </c>
      <c r="U1366">
        <v>7.1523698848541914E-2</v>
      </c>
      <c r="V1366" t="s">
        <v>168</v>
      </c>
    </row>
    <row r="1367" spans="9:22" x14ac:dyDescent="0.45">
      <c r="I1367" t="s">
        <v>191</v>
      </c>
      <c r="J1367" t="s">
        <v>171</v>
      </c>
      <c r="K1367">
        <v>2.7268451041952971E-2</v>
      </c>
      <c r="L1367" t="s">
        <v>168</v>
      </c>
      <c r="N1367" t="s">
        <v>215</v>
      </c>
      <c r="O1367" t="s">
        <v>171</v>
      </c>
      <c r="P1367">
        <v>0.13039851272097513</v>
      </c>
      <c r="Q1367" t="s">
        <v>168</v>
      </c>
      <c r="S1367" t="s">
        <v>234</v>
      </c>
      <c r="T1367" t="s">
        <v>171</v>
      </c>
      <c r="U1367">
        <v>0.12579227950988892</v>
      </c>
      <c r="V1367" t="s">
        <v>168</v>
      </c>
    </row>
    <row r="1368" spans="9:22" x14ac:dyDescent="0.45">
      <c r="I1368" t="s">
        <v>191</v>
      </c>
      <c r="J1368" t="s">
        <v>172</v>
      </c>
      <c r="K1368">
        <v>2.8733771471511786E-2</v>
      </c>
      <c r="L1368" t="s">
        <v>168</v>
      </c>
      <c r="N1368" t="s">
        <v>215</v>
      </c>
      <c r="O1368" t="s">
        <v>172</v>
      </c>
      <c r="P1368">
        <v>1.5719597050042115E-2</v>
      </c>
      <c r="Q1368" t="s">
        <v>168</v>
      </c>
      <c r="S1368" t="s">
        <v>234</v>
      </c>
      <c r="T1368" t="s">
        <v>172</v>
      </c>
      <c r="U1368">
        <v>1.533326500610937E-2</v>
      </c>
      <c r="V1368" t="s">
        <v>168</v>
      </c>
    </row>
    <row r="1369" spans="9:22" x14ac:dyDescent="0.45">
      <c r="I1369" t="s">
        <v>191</v>
      </c>
      <c r="J1369" t="s">
        <v>173</v>
      </c>
      <c r="K1369">
        <v>3.5844587616808782E-2</v>
      </c>
      <c r="L1369" t="s">
        <v>168</v>
      </c>
      <c r="N1369" t="s">
        <v>215</v>
      </c>
      <c r="O1369" t="s">
        <v>173</v>
      </c>
      <c r="P1369">
        <v>1.5856096599924357E-2</v>
      </c>
      <c r="Q1369" t="s">
        <v>168</v>
      </c>
      <c r="S1369" t="s">
        <v>234</v>
      </c>
      <c r="T1369" t="s">
        <v>173</v>
      </c>
      <c r="U1369">
        <v>1.5521059189556567E-2</v>
      </c>
      <c r="V1369" t="s">
        <v>168</v>
      </c>
    </row>
    <row r="1370" spans="9:22" x14ac:dyDescent="0.45">
      <c r="I1370" t="s">
        <v>191</v>
      </c>
      <c r="J1370" t="s">
        <v>259</v>
      </c>
      <c r="K1370">
        <v>0.23959349620990766</v>
      </c>
      <c r="L1370" t="s">
        <v>168</v>
      </c>
      <c r="N1370" t="s">
        <v>215</v>
      </c>
      <c r="O1370" t="s">
        <v>259</v>
      </c>
      <c r="P1370">
        <v>0.10703761782947807</v>
      </c>
      <c r="Q1370" t="s">
        <v>168</v>
      </c>
      <c r="S1370" t="s">
        <v>234</v>
      </c>
      <c r="T1370" t="s">
        <v>259</v>
      </c>
      <c r="U1370">
        <v>0.10269540498447323</v>
      </c>
      <c r="V1370" t="s">
        <v>168</v>
      </c>
    </row>
    <row r="1371" spans="9:22" x14ac:dyDescent="0.45">
      <c r="I1371" t="s">
        <v>191</v>
      </c>
      <c r="J1371" t="s">
        <v>260</v>
      </c>
      <c r="K1371">
        <v>3.2971106118449396E-2</v>
      </c>
      <c r="L1371" t="s">
        <v>168</v>
      </c>
      <c r="N1371" t="s">
        <v>215</v>
      </c>
      <c r="O1371" t="s">
        <v>260</v>
      </c>
      <c r="P1371">
        <v>1.9493978699292924E-2</v>
      </c>
      <c r="Q1371" t="s">
        <v>168</v>
      </c>
      <c r="S1371" t="s">
        <v>234</v>
      </c>
      <c r="T1371" t="s">
        <v>260</v>
      </c>
      <c r="U1371">
        <v>1.8487208383634209E-2</v>
      </c>
      <c r="V1371" t="s">
        <v>168</v>
      </c>
    </row>
    <row r="1372" spans="9:22" x14ac:dyDescent="0.45">
      <c r="I1372" t="s">
        <v>191</v>
      </c>
      <c r="J1372" t="s">
        <v>261</v>
      </c>
      <c r="K1372">
        <v>5.108493181366159E-2</v>
      </c>
      <c r="L1372" t="s">
        <v>168</v>
      </c>
      <c r="N1372" t="s">
        <v>215</v>
      </c>
      <c r="O1372" t="s">
        <v>261</v>
      </c>
      <c r="P1372">
        <v>0.12395703960622553</v>
      </c>
      <c r="Q1372" t="s">
        <v>168</v>
      </c>
      <c r="S1372" t="s">
        <v>234</v>
      </c>
      <c r="T1372" t="s">
        <v>261</v>
      </c>
      <c r="U1372">
        <v>0.11466210047861385</v>
      </c>
      <c r="V1372" t="s">
        <v>168</v>
      </c>
    </row>
    <row r="1373" spans="9:22" x14ac:dyDescent="0.45">
      <c r="I1373" t="s">
        <v>191</v>
      </c>
      <c r="J1373" t="s">
        <v>174</v>
      </c>
      <c r="K1373">
        <v>1.0438962995034133E-2</v>
      </c>
      <c r="L1373" t="s">
        <v>168</v>
      </c>
      <c r="N1373" t="s">
        <v>215</v>
      </c>
      <c r="O1373" t="s">
        <v>174</v>
      </c>
      <c r="P1373">
        <v>7.4800207647056855E-3</v>
      </c>
      <c r="Q1373" t="s">
        <v>168</v>
      </c>
      <c r="S1373" t="s">
        <v>234</v>
      </c>
      <c r="T1373" t="s">
        <v>174</v>
      </c>
      <c r="U1373">
        <v>9.7183753059667758E-3</v>
      </c>
      <c r="V1373" t="s">
        <v>168</v>
      </c>
    </row>
    <row r="1374" spans="9:22" x14ac:dyDescent="0.45">
      <c r="I1374" t="s">
        <v>191</v>
      </c>
      <c r="J1374" t="s">
        <v>175</v>
      </c>
      <c r="K1374">
        <v>8.9557733438682067E-3</v>
      </c>
      <c r="L1374" t="s">
        <v>168</v>
      </c>
      <c r="N1374" t="s">
        <v>215</v>
      </c>
      <c r="O1374" t="s">
        <v>175</v>
      </c>
      <c r="P1374">
        <v>7.5905221651635885E-4</v>
      </c>
      <c r="Q1374" t="s">
        <v>168</v>
      </c>
      <c r="S1374" t="s">
        <v>234</v>
      </c>
      <c r="T1374" t="s">
        <v>175</v>
      </c>
      <c r="U1374">
        <v>1.1901550892211015E-3</v>
      </c>
      <c r="V1374" t="s">
        <v>168</v>
      </c>
    </row>
    <row r="1375" spans="9:22" x14ac:dyDescent="0.45">
      <c r="I1375" t="s">
        <v>191</v>
      </c>
      <c r="J1375" t="s">
        <v>176</v>
      </c>
      <c r="K1375">
        <v>1.0330537732555083E-2</v>
      </c>
      <c r="L1375" t="s">
        <v>168</v>
      </c>
      <c r="N1375" t="s">
        <v>215</v>
      </c>
      <c r="O1375" t="s">
        <v>176</v>
      </c>
      <c r="P1375">
        <v>7.3258650657436516E-4</v>
      </c>
      <c r="Q1375" t="s">
        <v>168</v>
      </c>
      <c r="S1375" t="s">
        <v>234</v>
      </c>
      <c r="T1375" t="s">
        <v>176</v>
      </c>
      <c r="U1375">
        <v>1.2011851146194537E-3</v>
      </c>
      <c r="V1375" t="s">
        <v>168</v>
      </c>
    </row>
    <row r="1376" spans="9:22" x14ac:dyDescent="0.45">
      <c r="I1376" t="s">
        <v>191</v>
      </c>
      <c r="J1376" t="s">
        <v>262</v>
      </c>
      <c r="K1376">
        <v>6.5640860632982356E-2</v>
      </c>
      <c r="L1376" t="s">
        <v>168</v>
      </c>
      <c r="N1376" t="s">
        <v>215</v>
      </c>
      <c r="O1376" t="s">
        <v>262</v>
      </c>
      <c r="P1376">
        <v>7.4279335347382097E-3</v>
      </c>
      <c r="Q1376" t="s">
        <v>168</v>
      </c>
      <c r="S1376" t="s">
        <v>234</v>
      </c>
      <c r="T1376" t="s">
        <v>262</v>
      </c>
      <c r="U1376">
        <v>9.3471930860571893E-3</v>
      </c>
      <c r="V1376" t="s">
        <v>168</v>
      </c>
    </row>
    <row r="1377" spans="9:22" x14ac:dyDescent="0.45">
      <c r="I1377" t="s">
        <v>191</v>
      </c>
      <c r="J1377" t="s">
        <v>263</v>
      </c>
      <c r="K1377">
        <v>8.8281601837870184E-3</v>
      </c>
      <c r="L1377" t="s">
        <v>168</v>
      </c>
      <c r="N1377" t="s">
        <v>215</v>
      </c>
      <c r="O1377" t="s">
        <v>263</v>
      </c>
      <c r="P1377">
        <v>2.0202154310873374E-3</v>
      </c>
      <c r="Q1377" t="s">
        <v>168</v>
      </c>
      <c r="S1377" t="s">
        <v>234</v>
      </c>
      <c r="T1377" t="s">
        <v>263</v>
      </c>
      <c r="U1377">
        <v>2.1250043089005499E-3</v>
      </c>
      <c r="V1377" t="s">
        <v>168</v>
      </c>
    </row>
    <row r="1378" spans="9:22" x14ac:dyDescent="0.45">
      <c r="I1378" t="s">
        <v>191</v>
      </c>
      <c r="J1378" t="s">
        <v>264</v>
      </c>
      <c r="K1378">
        <v>1.6290939885577466E-2</v>
      </c>
      <c r="L1378" t="s">
        <v>168</v>
      </c>
      <c r="N1378" t="s">
        <v>215</v>
      </c>
      <c r="O1378" t="s">
        <v>264</v>
      </c>
      <c r="P1378">
        <v>1.121625322368389E-2</v>
      </c>
      <c r="Q1378" t="s">
        <v>168</v>
      </c>
      <c r="S1378" t="s">
        <v>234</v>
      </c>
      <c r="T1378" t="s">
        <v>264</v>
      </c>
      <c r="U1378">
        <v>1.2373388893548932E-2</v>
      </c>
      <c r="V1378" t="s">
        <v>168</v>
      </c>
    </row>
    <row r="1379" spans="9:22" x14ac:dyDescent="0.45">
      <c r="I1379" t="s">
        <v>191</v>
      </c>
      <c r="J1379" t="s">
        <v>265</v>
      </c>
      <c r="K1379">
        <v>8.6545541780965792E-3</v>
      </c>
      <c r="L1379" t="s">
        <v>168</v>
      </c>
      <c r="N1379" t="s">
        <v>215</v>
      </c>
      <c r="O1379" t="s">
        <v>265</v>
      </c>
      <c r="P1379">
        <v>1.0814511854374407E-2</v>
      </c>
      <c r="Q1379" t="s">
        <v>168</v>
      </c>
      <c r="S1379" t="s">
        <v>234</v>
      </c>
      <c r="T1379" t="s">
        <v>265</v>
      </c>
      <c r="U1379">
        <v>1.2982943758864862E-2</v>
      </c>
      <c r="V1379" t="s">
        <v>168</v>
      </c>
    </row>
    <row r="1380" spans="9:22" x14ac:dyDescent="0.45">
      <c r="I1380" t="s">
        <v>191</v>
      </c>
      <c r="J1380" t="s">
        <v>266</v>
      </c>
      <c r="K1380">
        <v>8.1977981421526604E-3</v>
      </c>
      <c r="L1380" t="s">
        <v>168</v>
      </c>
      <c r="N1380" t="s">
        <v>215</v>
      </c>
      <c r="O1380" t="s">
        <v>266</v>
      </c>
      <c r="P1380">
        <v>1.1861960263815747E-3</v>
      </c>
      <c r="Q1380" t="s">
        <v>168</v>
      </c>
      <c r="S1380" t="s">
        <v>234</v>
      </c>
      <c r="T1380" t="s">
        <v>266</v>
      </c>
      <c r="U1380">
        <v>1.3962553960445278E-3</v>
      </c>
      <c r="V1380" t="s">
        <v>168</v>
      </c>
    </row>
    <row r="1381" spans="9:22" x14ac:dyDescent="0.45">
      <c r="I1381" t="s">
        <v>191</v>
      </c>
      <c r="J1381" t="s">
        <v>267</v>
      </c>
      <c r="K1381">
        <v>9.8157150071089168E-3</v>
      </c>
      <c r="L1381" t="s">
        <v>168</v>
      </c>
      <c r="N1381" t="s">
        <v>215</v>
      </c>
      <c r="O1381" t="s">
        <v>267</v>
      </c>
      <c r="P1381">
        <v>1.1844578726518788E-3</v>
      </c>
      <c r="Q1381" t="s">
        <v>168</v>
      </c>
      <c r="S1381" t="s">
        <v>234</v>
      </c>
      <c r="T1381" t="s">
        <v>267</v>
      </c>
      <c r="U1381">
        <v>1.3397069437403352E-3</v>
      </c>
      <c r="V1381" t="s">
        <v>168</v>
      </c>
    </row>
    <row r="1382" spans="9:22" x14ac:dyDescent="0.45">
      <c r="I1382" t="s">
        <v>191</v>
      </c>
      <c r="J1382" t="s">
        <v>268</v>
      </c>
      <c r="K1382">
        <v>6.3095916363126184E-2</v>
      </c>
      <c r="L1382" t="s">
        <v>168</v>
      </c>
      <c r="N1382" t="s">
        <v>215</v>
      </c>
      <c r="O1382" t="s">
        <v>268</v>
      </c>
      <c r="P1382">
        <v>1.0375727162787214E-2</v>
      </c>
      <c r="Q1382" t="s">
        <v>168</v>
      </c>
      <c r="S1382" t="s">
        <v>234</v>
      </c>
      <c r="T1382" t="s">
        <v>268</v>
      </c>
      <c r="U1382">
        <v>9.6791192233112843E-3</v>
      </c>
      <c r="V1382" t="s">
        <v>168</v>
      </c>
    </row>
    <row r="1383" spans="9:22" x14ac:dyDescent="0.45">
      <c r="I1383" t="s">
        <v>191</v>
      </c>
      <c r="J1383" t="s">
        <v>269</v>
      </c>
      <c r="K1383">
        <v>8.3512442278388839E-3</v>
      </c>
      <c r="L1383" t="s">
        <v>168</v>
      </c>
      <c r="N1383" t="s">
        <v>215</v>
      </c>
      <c r="O1383" t="s">
        <v>269</v>
      </c>
      <c r="P1383">
        <v>2.3424086132932641E-3</v>
      </c>
      <c r="Q1383" t="s">
        <v>168</v>
      </c>
      <c r="S1383" t="s">
        <v>234</v>
      </c>
      <c r="T1383" t="s">
        <v>269</v>
      </c>
      <c r="U1383">
        <v>2.0859960241950207E-3</v>
      </c>
      <c r="V1383" t="s">
        <v>168</v>
      </c>
    </row>
    <row r="1384" spans="9:22" x14ac:dyDescent="0.45">
      <c r="I1384" t="s">
        <v>191</v>
      </c>
      <c r="J1384" t="s">
        <v>270</v>
      </c>
      <c r="K1384">
        <v>1.3679480783888233E-2</v>
      </c>
      <c r="L1384" t="s">
        <v>168</v>
      </c>
      <c r="N1384" t="s">
        <v>215</v>
      </c>
      <c r="O1384" t="s">
        <v>270</v>
      </c>
      <c r="P1384">
        <v>1.2564400217474594E-2</v>
      </c>
      <c r="Q1384" t="s">
        <v>168</v>
      </c>
      <c r="S1384" t="s">
        <v>234</v>
      </c>
      <c r="T1384" t="s">
        <v>270</v>
      </c>
      <c r="U1384">
        <v>1.3009683694879528E-2</v>
      </c>
      <c r="V1384" t="s">
        <v>168</v>
      </c>
    </row>
    <row r="1385" spans="9:22" x14ac:dyDescent="0.45">
      <c r="I1385" t="s">
        <v>191</v>
      </c>
      <c r="J1385" t="s">
        <v>271</v>
      </c>
      <c r="K1385">
        <v>4.0750326412227686E-3</v>
      </c>
      <c r="L1385" t="s">
        <v>168</v>
      </c>
      <c r="N1385" t="s">
        <v>215</v>
      </c>
      <c r="O1385" t="s">
        <v>271</v>
      </c>
      <c r="P1385">
        <v>1.4145528615906813E-2</v>
      </c>
      <c r="Q1385" t="s">
        <v>168</v>
      </c>
      <c r="S1385" t="s">
        <v>234</v>
      </c>
      <c r="T1385" t="s">
        <v>271</v>
      </c>
      <c r="U1385">
        <v>1.3799075566324585E-2</v>
      </c>
      <c r="V1385" t="s">
        <v>168</v>
      </c>
    </row>
    <row r="1386" spans="9:22" x14ac:dyDescent="0.45">
      <c r="I1386" t="s">
        <v>191</v>
      </c>
      <c r="J1386" t="s">
        <v>272</v>
      </c>
      <c r="K1386">
        <v>6.6733004472936345E-3</v>
      </c>
      <c r="L1386" t="s">
        <v>168</v>
      </c>
      <c r="N1386" t="s">
        <v>215</v>
      </c>
      <c r="O1386" t="s">
        <v>272</v>
      </c>
      <c r="P1386">
        <v>1.7980907632610011E-3</v>
      </c>
      <c r="Q1386" t="s">
        <v>168</v>
      </c>
      <c r="S1386" t="s">
        <v>234</v>
      </c>
      <c r="T1386" t="s">
        <v>272</v>
      </c>
      <c r="U1386">
        <v>1.8146205424152085E-3</v>
      </c>
      <c r="V1386" t="s">
        <v>168</v>
      </c>
    </row>
    <row r="1387" spans="9:22" x14ac:dyDescent="0.45">
      <c r="I1387" t="s">
        <v>191</v>
      </c>
      <c r="J1387" t="s">
        <v>273</v>
      </c>
      <c r="K1387">
        <v>8.3679666480318375E-3</v>
      </c>
      <c r="L1387" t="s">
        <v>168</v>
      </c>
      <c r="N1387" t="s">
        <v>215</v>
      </c>
      <c r="O1387" t="s">
        <v>273</v>
      </c>
      <c r="P1387">
        <v>1.8279621862945213E-3</v>
      </c>
      <c r="Q1387" t="s">
        <v>168</v>
      </c>
      <c r="S1387" t="s">
        <v>234</v>
      </c>
      <c r="T1387" t="s">
        <v>273</v>
      </c>
      <c r="U1387">
        <v>1.7925780532950873E-3</v>
      </c>
      <c r="V1387" t="s">
        <v>168</v>
      </c>
    </row>
    <row r="1388" spans="9:22" x14ac:dyDescent="0.45">
      <c r="I1388" t="s">
        <v>191</v>
      </c>
      <c r="J1388" t="s">
        <v>274</v>
      </c>
      <c r="K1388">
        <v>5.3225845536395727E-2</v>
      </c>
      <c r="L1388" t="s">
        <v>168</v>
      </c>
      <c r="N1388" t="s">
        <v>215</v>
      </c>
      <c r="O1388" t="s">
        <v>274</v>
      </c>
      <c r="P1388">
        <v>1.3576003017094173E-2</v>
      </c>
      <c r="Q1388" t="s">
        <v>168</v>
      </c>
      <c r="S1388" t="s">
        <v>234</v>
      </c>
      <c r="T1388" t="s">
        <v>274</v>
      </c>
      <c r="U1388">
        <v>1.2009811564200478E-2</v>
      </c>
      <c r="V1388" t="s">
        <v>168</v>
      </c>
    </row>
    <row r="1389" spans="9:22" x14ac:dyDescent="0.45">
      <c r="I1389" t="s">
        <v>191</v>
      </c>
      <c r="J1389" t="s">
        <v>275</v>
      </c>
      <c r="K1389">
        <v>7.5251641371780441E-3</v>
      </c>
      <c r="L1389" t="s">
        <v>168</v>
      </c>
      <c r="N1389" t="s">
        <v>215</v>
      </c>
      <c r="O1389" t="s">
        <v>275</v>
      </c>
      <c r="P1389">
        <v>2.5876722931998681E-3</v>
      </c>
      <c r="Q1389" t="s">
        <v>168</v>
      </c>
      <c r="S1389" t="s">
        <v>234</v>
      </c>
      <c r="T1389" t="s">
        <v>275</v>
      </c>
      <c r="U1389">
        <v>2.2518197554928128E-3</v>
      </c>
      <c r="V1389" t="s">
        <v>168</v>
      </c>
    </row>
    <row r="1390" spans="9:22" x14ac:dyDescent="0.45">
      <c r="I1390" t="s">
        <v>191</v>
      </c>
      <c r="J1390" t="s">
        <v>276</v>
      </c>
      <c r="K1390">
        <v>8.7217164666404338E-3</v>
      </c>
      <c r="L1390" t="s">
        <v>168</v>
      </c>
      <c r="N1390" t="s">
        <v>215</v>
      </c>
      <c r="O1390" t="s">
        <v>276</v>
      </c>
      <c r="P1390">
        <v>1.486971965147357E-2</v>
      </c>
      <c r="Q1390" t="s">
        <v>168</v>
      </c>
      <c r="S1390" t="s">
        <v>234</v>
      </c>
      <c r="T1390" t="s">
        <v>276</v>
      </c>
      <c r="U1390">
        <v>1.2012276241783301E-2</v>
      </c>
      <c r="V1390" t="s">
        <v>168</v>
      </c>
    </row>
    <row r="1391" spans="9:22" x14ac:dyDescent="0.45">
      <c r="I1391" t="s">
        <v>191</v>
      </c>
      <c r="J1391" t="s">
        <v>341</v>
      </c>
      <c r="K1391">
        <v>0</v>
      </c>
      <c r="L1391" t="s">
        <v>168</v>
      </c>
      <c r="N1391" t="s">
        <v>215</v>
      </c>
      <c r="O1391" t="s">
        <v>341</v>
      </c>
      <c r="P1391">
        <v>7.4161926353608673E-6</v>
      </c>
      <c r="Q1391" t="s">
        <v>168</v>
      </c>
      <c r="S1391" t="s">
        <v>234</v>
      </c>
      <c r="T1391" t="s">
        <v>341</v>
      </c>
      <c r="U1391">
        <v>2.1818461728076183E-5</v>
      </c>
      <c r="V1391" t="s">
        <v>168</v>
      </c>
    </row>
    <row r="1392" spans="9:22" x14ac:dyDescent="0.45">
      <c r="I1392" t="s">
        <v>191</v>
      </c>
      <c r="J1392" t="s">
        <v>342</v>
      </c>
      <c r="K1392">
        <v>0</v>
      </c>
      <c r="L1392" t="s">
        <v>168</v>
      </c>
      <c r="N1392" t="s">
        <v>215</v>
      </c>
      <c r="O1392" t="s">
        <v>342</v>
      </c>
      <c r="P1392">
        <v>7.9706295563207269E-6</v>
      </c>
      <c r="Q1392" t="s">
        <v>168</v>
      </c>
      <c r="S1392" t="s">
        <v>234</v>
      </c>
      <c r="T1392" t="s">
        <v>342</v>
      </c>
      <c r="U1392">
        <v>1.8122914154013677E-5</v>
      </c>
      <c r="V1392" t="s">
        <v>168</v>
      </c>
    </row>
    <row r="1393" spans="9:22" x14ac:dyDescent="0.45">
      <c r="I1393" t="s">
        <v>191</v>
      </c>
      <c r="J1393" t="s">
        <v>343</v>
      </c>
      <c r="K1393">
        <v>0</v>
      </c>
      <c r="L1393" t="s">
        <v>168</v>
      </c>
      <c r="N1393" t="s">
        <v>215</v>
      </c>
      <c r="O1393" t="s">
        <v>343</v>
      </c>
      <c r="P1393">
        <v>9.5222623450482847E-6</v>
      </c>
      <c r="Q1393" t="s">
        <v>168</v>
      </c>
      <c r="S1393" t="s">
        <v>234</v>
      </c>
      <c r="T1393" t="s">
        <v>343</v>
      </c>
      <c r="U1393">
        <v>1.6672882075625821E-5</v>
      </c>
      <c r="V1393" t="s">
        <v>168</v>
      </c>
    </row>
    <row r="1394" spans="9:22" x14ac:dyDescent="0.45">
      <c r="I1394" t="s">
        <v>191</v>
      </c>
      <c r="J1394" t="s">
        <v>344</v>
      </c>
      <c r="K1394">
        <v>0</v>
      </c>
      <c r="L1394" t="s">
        <v>168</v>
      </c>
      <c r="N1394" t="s">
        <v>215</v>
      </c>
      <c r="O1394" t="s">
        <v>344</v>
      </c>
      <c r="P1394">
        <v>1.1792359599649542E-5</v>
      </c>
      <c r="Q1394" t="s">
        <v>168</v>
      </c>
      <c r="S1394" t="s">
        <v>234</v>
      </c>
      <c r="T1394" t="s">
        <v>344</v>
      </c>
      <c r="U1394">
        <v>1.6790801613247335E-5</v>
      </c>
      <c r="V1394" t="s">
        <v>168</v>
      </c>
    </row>
    <row r="1395" spans="9:22" x14ac:dyDescent="0.45">
      <c r="I1395" t="s">
        <v>191</v>
      </c>
      <c r="J1395" t="s">
        <v>345</v>
      </c>
      <c r="K1395">
        <v>0</v>
      </c>
      <c r="L1395" t="s">
        <v>168</v>
      </c>
      <c r="N1395" t="s">
        <v>215</v>
      </c>
      <c r="O1395" t="s">
        <v>345</v>
      </c>
      <c r="P1395">
        <v>1.4321372135810369E-5</v>
      </c>
      <c r="Q1395" t="s">
        <v>168</v>
      </c>
      <c r="S1395" t="s">
        <v>234</v>
      </c>
      <c r="T1395" t="s">
        <v>345</v>
      </c>
      <c r="U1395">
        <v>1.7005182611157042E-5</v>
      </c>
      <c r="V1395" t="s">
        <v>168</v>
      </c>
    </row>
    <row r="1396" spans="9:22" x14ac:dyDescent="0.45">
      <c r="I1396" t="s">
        <v>191</v>
      </c>
      <c r="J1396" t="s">
        <v>346</v>
      </c>
      <c r="K1396">
        <v>0</v>
      </c>
      <c r="L1396" t="s">
        <v>168</v>
      </c>
      <c r="N1396" t="s">
        <v>215</v>
      </c>
      <c r="O1396" t="s">
        <v>346</v>
      </c>
      <c r="P1396">
        <v>1.6042048731071438E-5</v>
      </c>
      <c r="Q1396" t="s">
        <v>168</v>
      </c>
      <c r="S1396" t="s">
        <v>234</v>
      </c>
      <c r="T1396" t="s">
        <v>346</v>
      </c>
      <c r="U1396">
        <v>1.8026504314670038E-5</v>
      </c>
      <c r="V1396" t="s">
        <v>168</v>
      </c>
    </row>
    <row r="1397" spans="9:22" x14ac:dyDescent="0.45">
      <c r="I1397" t="s">
        <v>191</v>
      </c>
      <c r="J1397" t="s">
        <v>347</v>
      </c>
      <c r="K1397">
        <v>0</v>
      </c>
      <c r="L1397" t="s">
        <v>168</v>
      </c>
      <c r="N1397" t="s">
        <v>215</v>
      </c>
      <c r="O1397" t="s">
        <v>347</v>
      </c>
      <c r="P1397">
        <v>1.8230819784379716E-5</v>
      </c>
      <c r="Q1397" t="s">
        <v>168</v>
      </c>
      <c r="S1397" t="s">
        <v>234</v>
      </c>
      <c r="T1397" t="s">
        <v>347</v>
      </c>
      <c r="U1397">
        <v>1.9861809961197774E-5</v>
      </c>
      <c r="V1397" t="s">
        <v>168</v>
      </c>
    </row>
    <row r="1398" spans="9:22" x14ac:dyDescent="0.45">
      <c r="I1398" t="s">
        <v>191</v>
      </c>
      <c r="J1398" t="s">
        <v>348</v>
      </c>
      <c r="K1398">
        <v>1.3668963743119838E-4</v>
      </c>
      <c r="L1398" t="s">
        <v>168</v>
      </c>
      <c r="N1398" t="s">
        <v>215</v>
      </c>
      <c r="O1398" t="s">
        <v>348</v>
      </c>
      <c r="P1398">
        <v>2.1975012893879807E-5</v>
      </c>
      <c r="Q1398" t="s">
        <v>168</v>
      </c>
      <c r="S1398" t="s">
        <v>234</v>
      </c>
      <c r="T1398" t="s">
        <v>348</v>
      </c>
      <c r="U1398">
        <v>2.122775390957653E-5</v>
      </c>
      <c r="V1398" t="s">
        <v>168</v>
      </c>
    </row>
    <row r="1399" spans="9:22" x14ac:dyDescent="0.45">
      <c r="I1399" t="s">
        <v>191</v>
      </c>
      <c r="J1399" t="s">
        <v>349</v>
      </c>
      <c r="K1399">
        <v>2.7321466274027821E-4</v>
      </c>
      <c r="L1399" t="s">
        <v>168</v>
      </c>
      <c r="N1399" t="s">
        <v>215</v>
      </c>
      <c r="O1399" t="s">
        <v>349</v>
      </c>
      <c r="P1399">
        <v>2.6707695517308366E-5</v>
      </c>
      <c r="Q1399" t="s">
        <v>168</v>
      </c>
      <c r="S1399" t="s">
        <v>234</v>
      </c>
      <c r="T1399" t="s">
        <v>349</v>
      </c>
      <c r="U1399">
        <v>2.1177895937472009E-5</v>
      </c>
      <c r="V1399" t="s">
        <v>168</v>
      </c>
    </row>
    <row r="1400" spans="9:22" x14ac:dyDescent="0.45">
      <c r="I1400" t="s">
        <v>191</v>
      </c>
      <c r="J1400" t="s">
        <v>350</v>
      </c>
      <c r="K1400">
        <v>3.3502427082372983E-4</v>
      </c>
      <c r="L1400" t="s">
        <v>168</v>
      </c>
      <c r="N1400" t="s">
        <v>215</v>
      </c>
      <c r="O1400" t="s">
        <v>350</v>
      </c>
      <c r="P1400">
        <v>3.4078031520536122E-5</v>
      </c>
      <c r="Q1400" t="s">
        <v>168</v>
      </c>
      <c r="S1400" t="s">
        <v>234</v>
      </c>
      <c r="T1400" t="s">
        <v>350</v>
      </c>
      <c r="U1400">
        <v>2.0244414872845857E-5</v>
      </c>
      <c r="V1400" t="s">
        <v>168</v>
      </c>
    </row>
    <row r="1401" spans="9:22" x14ac:dyDescent="0.45">
      <c r="I1401" t="s">
        <v>191</v>
      </c>
      <c r="J1401" t="s">
        <v>351</v>
      </c>
      <c r="K1401">
        <v>3.6627032062515764E-4</v>
      </c>
      <c r="L1401" t="s">
        <v>168</v>
      </c>
      <c r="N1401" t="s">
        <v>215</v>
      </c>
      <c r="O1401" t="s">
        <v>351</v>
      </c>
      <c r="P1401">
        <v>4.4551968431446879E-5</v>
      </c>
      <c r="Q1401" t="s">
        <v>168</v>
      </c>
      <c r="S1401" t="s">
        <v>234</v>
      </c>
      <c r="T1401" t="s">
        <v>351</v>
      </c>
      <c r="U1401">
        <v>1.9198886923885976E-5</v>
      </c>
      <c r="V1401" t="s">
        <v>168</v>
      </c>
    </row>
    <row r="1402" spans="9:22" x14ac:dyDescent="0.45">
      <c r="I1402" t="s">
        <v>191</v>
      </c>
      <c r="J1402" t="s">
        <v>352</v>
      </c>
      <c r="K1402">
        <v>3.6057487341816018E-4</v>
      </c>
      <c r="L1402" t="s">
        <v>168</v>
      </c>
      <c r="N1402" t="s">
        <v>215</v>
      </c>
      <c r="O1402" t="s">
        <v>352</v>
      </c>
      <c r="P1402">
        <v>5.7055827450640404E-5</v>
      </c>
      <c r="Q1402" t="s">
        <v>168</v>
      </c>
      <c r="S1402" t="s">
        <v>234</v>
      </c>
      <c r="T1402" t="s">
        <v>352</v>
      </c>
      <c r="U1402">
        <v>1.4761717636354284E-5</v>
      </c>
      <c r="V1402" t="s">
        <v>168</v>
      </c>
    </row>
    <row r="1403" spans="9:22" x14ac:dyDescent="0.45">
      <c r="I1403" t="s">
        <v>191</v>
      </c>
      <c r="J1403" t="s">
        <v>353</v>
      </c>
      <c r="K1403">
        <v>3.3320059032701597E-4</v>
      </c>
      <c r="L1403" t="s">
        <v>168</v>
      </c>
      <c r="N1403" t="s">
        <v>215</v>
      </c>
      <c r="O1403" t="s">
        <v>353</v>
      </c>
      <c r="P1403">
        <v>7.1813271959939986E-5</v>
      </c>
      <c r="Q1403" t="s">
        <v>168</v>
      </c>
      <c r="S1403" t="s">
        <v>234</v>
      </c>
      <c r="T1403" t="s">
        <v>353</v>
      </c>
      <c r="U1403">
        <v>9.9184911153442156E-6</v>
      </c>
      <c r="V1403" t="s">
        <v>168</v>
      </c>
    </row>
    <row r="1404" spans="9:22" x14ac:dyDescent="0.45">
      <c r="I1404" t="s">
        <v>191</v>
      </c>
      <c r="J1404" t="s">
        <v>354</v>
      </c>
      <c r="K1404">
        <v>3.4744483634676124E-4</v>
      </c>
      <c r="L1404" t="s">
        <v>168</v>
      </c>
      <c r="N1404" t="s">
        <v>215</v>
      </c>
      <c r="O1404" t="s">
        <v>354</v>
      </c>
      <c r="P1404">
        <v>8.2998851055878216E-5</v>
      </c>
      <c r="Q1404" t="s">
        <v>168</v>
      </c>
      <c r="S1404" t="s">
        <v>234</v>
      </c>
      <c r="T1404" t="s">
        <v>354</v>
      </c>
      <c r="U1404">
        <v>7.4857291135733399E-6</v>
      </c>
      <c r="V1404" t="s">
        <v>168</v>
      </c>
    </row>
    <row r="1405" spans="9:22" x14ac:dyDescent="0.45">
      <c r="I1405" t="s">
        <v>191</v>
      </c>
      <c r="J1405" t="s">
        <v>355</v>
      </c>
      <c r="K1405">
        <v>3.641175387264607E-4</v>
      </c>
      <c r="L1405" t="s">
        <v>168</v>
      </c>
      <c r="N1405" t="s">
        <v>215</v>
      </c>
      <c r="O1405" t="s">
        <v>355</v>
      </c>
      <c r="P1405">
        <v>8.7757993578649945E-5</v>
      </c>
      <c r="Q1405" t="s">
        <v>168</v>
      </c>
      <c r="S1405" t="s">
        <v>234</v>
      </c>
      <c r="T1405" t="s">
        <v>355</v>
      </c>
      <c r="U1405">
        <v>7.6162292234667455E-6</v>
      </c>
      <c r="V1405" t="s">
        <v>168</v>
      </c>
    </row>
    <row r="1406" spans="9:22" x14ac:dyDescent="0.45">
      <c r="I1406" t="s">
        <v>191</v>
      </c>
      <c r="J1406" t="s">
        <v>356</v>
      </c>
      <c r="K1406">
        <v>3.5504239620713049E-4</v>
      </c>
      <c r="L1406" t="s">
        <v>168</v>
      </c>
      <c r="N1406" t="s">
        <v>215</v>
      </c>
      <c r="O1406" t="s">
        <v>356</v>
      </c>
      <c r="P1406">
        <v>8.4915350474289004E-5</v>
      </c>
      <c r="Q1406" t="s">
        <v>168</v>
      </c>
      <c r="S1406" t="s">
        <v>234</v>
      </c>
      <c r="T1406" t="s">
        <v>356</v>
      </c>
      <c r="U1406">
        <v>1.1914311693699549E-5</v>
      </c>
      <c r="V1406" t="s">
        <v>168</v>
      </c>
    </row>
    <row r="1407" spans="9:22" x14ac:dyDescent="0.45">
      <c r="I1407" t="s">
        <v>191</v>
      </c>
      <c r="J1407" t="s">
        <v>357</v>
      </c>
      <c r="K1407">
        <v>3.1695032884584246E-4</v>
      </c>
      <c r="L1407" t="s">
        <v>168</v>
      </c>
      <c r="N1407" t="s">
        <v>215</v>
      </c>
      <c r="O1407" t="s">
        <v>357</v>
      </c>
      <c r="P1407">
        <v>8.118122693749181E-5</v>
      </c>
      <c r="Q1407" t="s">
        <v>168</v>
      </c>
      <c r="S1407" t="s">
        <v>234</v>
      </c>
      <c r="T1407" t="s">
        <v>357</v>
      </c>
      <c r="U1407">
        <v>1.5934570084403441E-5</v>
      </c>
      <c r="V1407" t="s">
        <v>168</v>
      </c>
    </row>
    <row r="1408" spans="9:22" x14ac:dyDescent="0.45">
      <c r="I1408" t="s">
        <v>191</v>
      </c>
      <c r="J1408" t="s">
        <v>358</v>
      </c>
      <c r="K1408">
        <v>2.3589824435223941E-4</v>
      </c>
      <c r="L1408" t="s">
        <v>168</v>
      </c>
      <c r="N1408" t="s">
        <v>215</v>
      </c>
      <c r="O1408" t="s">
        <v>358</v>
      </c>
      <c r="P1408">
        <v>8.1303921474339748E-5</v>
      </c>
      <c r="Q1408" t="s">
        <v>168</v>
      </c>
      <c r="S1408" t="s">
        <v>234</v>
      </c>
      <c r="T1408" t="s">
        <v>358</v>
      </c>
      <c r="U1408">
        <v>1.4632526911635353E-5</v>
      </c>
      <c r="V1408" t="s">
        <v>168</v>
      </c>
    </row>
    <row r="1409" spans="9:22" x14ac:dyDescent="0.45">
      <c r="I1409" t="s">
        <v>191</v>
      </c>
      <c r="J1409" t="s">
        <v>359</v>
      </c>
      <c r="K1409">
        <v>1.3305991785627735E-4</v>
      </c>
      <c r="L1409" t="s">
        <v>168</v>
      </c>
      <c r="N1409" t="s">
        <v>215</v>
      </c>
      <c r="O1409" t="s">
        <v>359</v>
      </c>
      <c r="P1409">
        <v>8.3375063027685251E-5</v>
      </c>
      <c r="Q1409" t="s">
        <v>168</v>
      </c>
      <c r="S1409" t="s">
        <v>234</v>
      </c>
      <c r="T1409" t="s">
        <v>359</v>
      </c>
      <c r="U1409">
        <v>1.0907090992761202E-5</v>
      </c>
      <c r="V1409" t="s">
        <v>168</v>
      </c>
    </row>
    <row r="1410" spans="9:22" x14ac:dyDescent="0.45">
      <c r="I1410" t="s">
        <v>191</v>
      </c>
      <c r="J1410" t="s">
        <v>360</v>
      </c>
      <c r="K1410">
        <v>0</v>
      </c>
      <c r="L1410" t="s">
        <v>168</v>
      </c>
      <c r="N1410" t="s">
        <v>215</v>
      </c>
      <c r="O1410" t="s">
        <v>360</v>
      </c>
      <c r="P1410">
        <v>8.8371456604555691E-5</v>
      </c>
      <c r="Q1410" t="s">
        <v>168</v>
      </c>
      <c r="S1410" t="s">
        <v>234</v>
      </c>
      <c r="T1410" t="s">
        <v>360</v>
      </c>
      <c r="U1410">
        <v>9.3066609417911049E-6</v>
      </c>
      <c r="V1410" t="s">
        <v>168</v>
      </c>
    </row>
    <row r="1411" spans="9:22" x14ac:dyDescent="0.45">
      <c r="I1411" t="s">
        <v>191</v>
      </c>
      <c r="J1411" t="s">
        <v>361</v>
      </c>
      <c r="K1411">
        <v>0</v>
      </c>
      <c r="L1411" t="s">
        <v>168</v>
      </c>
      <c r="N1411" t="s">
        <v>215</v>
      </c>
      <c r="O1411" t="s">
        <v>361</v>
      </c>
      <c r="P1411">
        <v>9.6123230514878549E-5</v>
      </c>
      <c r="Q1411" t="s">
        <v>168</v>
      </c>
      <c r="S1411" t="s">
        <v>234</v>
      </c>
      <c r="T1411" t="s">
        <v>361</v>
      </c>
      <c r="U1411">
        <v>1.1315899977538061E-5</v>
      </c>
      <c r="V1411" t="s">
        <v>168</v>
      </c>
    </row>
    <row r="1412" spans="9:22" x14ac:dyDescent="0.45">
      <c r="I1412" t="s">
        <v>191</v>
      </c>
      <c r="J1412" t="s">
        <v>362</v>
      </c>
      <c r="K1412">
        <v>0</v>
      </c>
      <c r="L1412" t="s">
        <v>168</v>
      </c>
      <c r="N1412" t="s">
        <v>215</v>
      </c>
      <c r="O1412" t="s">
        <v>362</v>
      </c>
      <c r="P1412">
        <v>1.0848206714336838E-4</v>
      </c>
      <c r="Q1412" t="s">
        <v>168</v>
      </c>
      <c r="S1412" t="s">
        <v>234</v>
      </c>
      <c r="T1412" t="s">
        <v>362</v>
      </c>
      <c r="U1412">
        <v>1.3396531501109143E-5</v>
      </c>
      <c r="V1412" t="s">
        <v>168</v>
      </c>
    </row>
    <row r="1413" spans="9:22" x14ac:dyDescent="0.45">
      <c r="I1413" t="s">
        <v>191</v>
      </c>
      <c r="J1413" t="s">
        <v>363</v>
      </c>
      <c r="K1413">
        <v>0</v>
      </c>
      <c r="L1413" t="s">
        <v>168</v>
      </c>
      <c r="N1413" t="s">
        <v>215</v>
      </c>
      <c r="O1413" t="s">
        <v>363</v>
      </c>
      <c r="P1413">
        <v>1.1810238483334209E-4</v>
      </c>
      <c r="Q1413" t="s">
        <v>168</v>
      </c>
      <c r="S1413" t="s">
        <v>234</v>
      </c>
      <c r="T1413" t="s">
        <v>363</v>
      </c>
      <c r="U1413">
        <v>1.2972015488297353E-5</v>
      </c>
      <c r="V1413" t="s">
        <v>168</v>
      </c>
    </row>
    <row r="1414" spans="9:22" x14ac:dyDescent="0.45">
      <c r="I1414" t="s">
        <v>191</v>
      </c>
      <c r="J1414" t="s">
        <v>364</v>
      </c>
      <c r="K1414">
        <v>0</v>
      </c>
      <c r="L1414" t="s">
        <v>168</v>
      </c>
      <c r="N1414" t="s">
        <v>215</v>
      </c>
      <c r="O1414" t="s">
        <v>364</v>
      </c>
      <c r="P1414">
        <v>1.1788007022785922E-4</v>
      </c>
      <c r="Q1414" t="s">
        <v>168</v>
      </c>
      <c r="S1414" t="s">
        <v>234</v>
      </c>
      <c r="T1414" t="s">
        <v>364</v>
      </c>
      <c r="U1414">
        <v>9.9683497171675988E-6</v>
      </c>
      <c r="V1414" t="s">
        <v>168</v>
      </c>
    </row>
    <row r="1415" spans="9:22" x14ac:dyDescent="0.45">
      <c r="I1415" t="s">
        <v>191</v>
      </c>
      <c r="J1415" t="s">
        <v>277</v>
      </c>
      <c r="K1415">
        <v>2.3085129231653753E-3</v>
      </c>
      <c r="L1415" t="s">
        <v>168</v>
      </c>
      <c r="N1415" t="s">
        <v>215</v>
      </c>
      <c r="O1415" t="s">
        <v>277</v>
      </c>
      <c r="P1415">
        <v>4.9709207986767381E-2</v>
      </c>
      <c r="Q1415" t="s">
        <v>168</v>
      </c>
      <c r="S1415" t="s">
        <v>234</v>
      </c>
      <c r="T1415" t="s">
        <v>277</v>
      </c>
      <c r="U1415">
        <v>5.8226958753224159E-2</v>
      </c>
      <c r="V1415" t="s">
        <v>168</v>
      </c>
    </row>
    <row r="1416" spans="9:22" x14ac:dyDescent="0.45">
      <c r="I1416" t="s">
        <v>191</v>
      </c>
      <c r="J1416" t="s">
        <v>278</v>
      </c>
      <c r="K1416">
        <v>7.1480896971075243E-3</v>
      </c>
      <c r="L1416" t="s">
        <v>168</v>
      </c>
      <c r="N1416" t="s">
        <v>215</v>
      </c>
      <c r="O1416" t="s">
        <v>278</v>
      </c>
      <c r="P1416">
        <v>6.1327514647508061E-3</v>
      </c>
      <c r="Q1416" t="s">
        <v>168</v>
      </c>
      <c r="S1416" t="s">
        <v>234</v>
      </c>
      <c r="T1416" t="s">
        <v>278</v>
      </c>
      <c r="U1416">
        <v>6.5532960972099928E-3</v>
      </c>
      <c r="V1416" t="s">
        <v>168</v>
      </c>
    </row>
    <row r="1417" spans="9:22" x14ac:dyDescent="0.45">
      <c r="I1417" t="s">
        <v>191</v>
      </c>
      <c r="J1417" t="s">
        <v>279</v>
      </c>
      <c r="K1417">
        <v>1.1005617270190272E-2</v>
      </c>
      <c r="L1417" t="s">
        <v>168</v>
      </c>
      <c r="N1417" t="s">
        <v>215</v>
      </c>
      <c r="O1417" t="s">
        <v>279</v>
      </c>
      <c r="P1417">
        <v>6.1321384749114935E-3</v>
      </c>
      <c r="Q1417" t="s">
        <v>168</v>
      </c>
      <c r="S1417" t="s">
        <v>234</v>
      </c>
      <c r="T1417" t="s">
        <v>279</v>
      </c>
      <c r="U1417">
        <v>6.6086364838392761E-3</v>
      </c>
      <c r="V1417" t="s">
        <v>168</v>
      </c>
    </row>
    <row r="1418" spans="9:22" x14ac:dyDescent="0.45">
      <c r="I1418" t="s">
        <v>191</v>
      </c>
      <c r="J1418" t="s">
        <v>280</v>
      </c>
      <c r="K1418">
        <v>8.0203990909652703E-2</v>
      </c>
      <c r="L1418" t="s">
        <v>168</v>
      </c>
      <c r="N1418" t="s">
        <v>215</v>
      </c>
      <c r="O1418" t="s">
        <v>280</v>
      </c>
      <c r="P1418">
        <v>3.9344125688942785E-2</v>
      </c>
      <c r="Q1418" t="s">
        <v>168</v>
      </c>
      <c r="S1418" t="s">
        <v>234</v>
      </c>
      <c r="T1418" t="s">
        <v>280</v>
      </c>
      <c r="U1418">
        <v>4.1480076086528012E-2</v>
      </c>
      <c r="V1418" t="s">
        <v>168</v>
      </c>
    </row>
    <row r="1419" spans="9:22" x14ac:dyDescent="0.45">
      <c r="I1419" t="s">
        <v>191</v>
      </c>
      <c r="J1419" t="s">
        <v>281</v>
      </c>
      <c r="K1419">
        <v>9.3443861727649808E-3</v>
      </c>
      <c r="L1419" t="s">
        <v>168</v>
      </c>
      <c r="N1419" t="s">
        <v>215</v>
      </c>
      <c r="O1419" t="s">
        <v>281</v>
      </c>
      <c r="P1419">
        <v>6.5069543896616507E-3</v>
      </c>
      <c r="Q1419" t="s">
        <v>168</v>
      </c>
      <c r="S1419" t="s">
        <v>234</v>
      </c>
      <c r="T1419" t="s">
        <v>281</v>
      </c>
      <c r="U1419">
        <v>7.2150017829079637E-3</v>
      </c>
      <c r="V1419" t="s">
        <v>168</v>
      </c>
    </row>
    <row r="1420" spans="9:22" x14ac:dyDescent="0.45">
      <c r="I1420" t="s">
        <v>191</v>
      </c>
      <c r="J1420" t="s">
        <v>282</v>
      </c>
      <c r="K1420">
        <v>4.7035656826976829E-3</v>
      </c>
      <c r="L1420" t="s">
        <v>168</v>
      </c>
      <c r="N1420" t="s">
        <v>215</v>
      </c>
      <c r="O1420" t="s">
        <v>282</v>
      </c>
      <c r="P1420">
        <v>4.4237339409112932E-2</v>
      </c>
      <c r="Q1420" t="s">
        <v>168</v>
      </c>
      <c r="S1420" t="s">
        <v>234</v>
      </c>
      <c r="T1420" t="s">
        <v>282</v>
      </c>
      <c r="U1420">
        <v>5.2767581889225111E-2</v>
      </c>
      <c r="V1420" t="s">
        <v>168</v>
      </c>
    </row>
    <row r="1421" spans="9:22" x14ac:dyDescent="0.45">
      <c r="I1421" t="s">
        <v>191</v>
      </c>
      <c r="J1421" t="s">
        <v>283</v>
      </c>
      <c r="K1421">
        <v>0</v>
      </c>
      <c r="L1421" t="s">
        <v>168</v>
      </c>
      <c r="N1421" t="s">
        <v>215</v>
      </c>
      <c r="O1421" t="s">
        <v>283</v>
      </c>
      <c r="P1421">
        <v>2.3092747328043912E-2</v>
      </c>
      <c r="Q1421" t="s">
        <v>168</v>
      </c>
      <c r="S1421" t="s">
        <v>234</v>
      </c>
      <c r="T1421" t="s">
        <v>283</v>
      </c>
      <c r="U1421">
        <v>2.2375108986094849E-2</v>
      </c>
      <c r="V1421" t="s">
        <v>168</v>
      </c>
    </row>
    <row r="1422" spans="9:22" x14ac:dyDescent="0.45">
      <c r="I1422" t="s">
        <v>191</v>
      </c>
      <c r="J1422" t="s">
        <v>284</v>
      </c>
      <c r="K1422">
        <v>1.9828728545536133E-3</v>
      </c>
      <c r="L1422" t="s">
        <v>168</v>
      </c>
      <c r="N1422" t="s">
        <v>215</v>
      </c>
      <c r="O1422" t="s">
        <v>284</v>
      </c>
      <c r="P1422">
        <v>2.6383740719997093E-3</v>
      </c>
      <c r="Q1422" t="s">
        <v>168</v>
      </c>
      <c r="S1422" t="s">
        <v>234</v>
      </c>
      <c r="T1422" t="s">
        <v>284</v>
      </c>
      <c r="U1422">
        <v>2.6809642782658089E-3</v>
      </c>
      <c r="V1422" t="s">
        <v>168</v>
      </c>
    </row>
    <row r="1423" spans="9:22" x14ac:dyDescent="0.45">
      <c r="I1423" t="s">
        <v>191</v>
      </c>
      <c r="J1423" t="s">
        <v>285</v>
      </c>
      <c r="K1423">
        <v>4.0233690648381094E-3</v>
      </c>
      <c r="L1423" t="s">
        <v>168</v>
      </c>
      <c r="N1423" t="s">
        <v>215</v>
      </c>
      <c r="O1423" t="s">
        <v>285</v>
      </c>
      <c r="P1423">
        <v>2.5966164670631476E-3</v>
      </c>
      <c r="Q1423" t="s">
        <v>168</v>
      </c>
      <c r="S1423" t="s">
        <v>234</v>
      </c>
      <c r="T1423" t="s">
        <v>285</v>
      </c>
      <c r="U1423">
        <v>2.6773894606097288E-3</v>
      </c>
      <c r="V1423" t="s">
        <v>168</v>
      </c>
    </row>
    <row r="1424" spans="9:22" x14ac:dyDescent="0.45">
      <c r="I1424" t="s">
        <v>191</v>
      </c>
      <c r="J1424" t="s">
        <v>286</v>
      </c>
      <c r="K1424">
        <v>3.5375630688439054E-2</v>
      </c>
      <c r="L1424" t="s">
        <v>168</v>
      </c>
      <c r="N1424" t="s">
        <v>215</v>
      </c>
      <c r="O1424" t="s">
        <v>286</v>
      </c>
      <c r="P1424">
        <v>1.5793064642261365E-2</v>
      </c>
      <c r="Q1424" t="s">
        <v>168</v>
      </c>
      <c r="S1424" t="s">
        <v>234</v>
      </c>
      <c r="T1424" t="s">
        <v>286</v>
      </c>
      <c r="U1424">
        <v>1.6449905144618058E-2</v>
      </c>
      <c r="V1424" t="s">
        <v>168</v>
      </c>
    </row>
    <row r="1425" spans="9:22" x14ac:dyDescent="0.45">
      <c r="I1425" t="s">
        <v>191</v>
      </c>
      <c r="J1425" t="s">
        <v>287</v>
      </c>
      <c r="K1425">
        <v>3.596994739477079E-3</v>
      </c>
      <c r="L1425" t="s">
        <v>168</v>
      </c>
      <c r="N1425" t="s">
        <v>215</v>
      </c>
      <c r="O1425" t="s">
        <v>287</v>
      </c>
      <c r="P1425">
        <v>2.8591718333052301E-3</v>
      </c>
      <c r="Q1425" t="s">
        <v>168</v>
      </c>
      <c r="S1425" t="s">
        <v>234</v>
      </c>
      <c r="T1425" t="s">
        <v>287</v>
      </c>
      <c r="U1425">
        <v>2.7066072478309565E-3</v>
      </c>
      <c r="V1425" t="s">
        <v>168</v>
      </c>
    </row>
    <row r="1426" spans="9:22" x14ac:dyDescent="0.45">
      <c r="I1426" t="s">
        <v>191</v>
      </c>
      <c r="J1426" t="s">
        <v>288</v>
      </c>
      <c r="K1426">
        <v>6.8535578863357264E-6</v>
      </c>
      <c r="L1426" t="s">
        <v>168</v>
      </c>
      <c r="N1426" t="s">
        <v>215</v>
      </c>
      <c r="O1426" t="s">
        <v>288</v>
      </c>
      <c r="P1426">
        <v>2.0912502988934538E-2</v>
      </c>
      <c r="Q1426" t="s">
        <v>168</v>
      </c>
      <c r="S1426" t="s">
        <v>234</v>
      </c>
      <c r="T1426" t="s">
        <v>288</v>
      </c>
      <c r="U1426">
        <v>1.9223505881035791E-2</v>
      </c>
      <c r="V1426" t="s">
        <v>168</v>
      </c>
    </row>
    <row r="1427" spans="9:22" x14ac:dyDescent="0.45">
      <c r="I1427" t="s">
        <v>191</v>
      </c>
      <c r="J1427" t="s">
        <v>365</v>
      </c>
      <c r="K1427">
        <v>0</v>
      </c>
      <c r="L1427" t="s">
        <v>168</v>
      </c>
      <c r="N1427" t="s">
        <v>215</v>
      </c>
      <c r="O1427" t="s">
        <v>365</v>
      </c>
      <c r="P1427">
        <v>4.7128271467663094E-5</v>
      </c>
      <c r="Q1427" t="s">
        <v>168</v>
      </c>
      <c r="S1427" t="s">
        <v>234</v>
      </c>
      <c r="T1427" t="s">
        <v>365</v>
      </c>
      <c r="U1427">
        <v>5.4745214765200382E-7</v>
      </c>
      <c r="V1427" t="s">
        <v>168</v>
      </c>
    </row>
    <row r="1428" spans="9:22" x14ac:dyDescent="0.45">
      <c r="I1428" t="s">
        <v>191</v>
      </c>
      <c r="J1428" t="s">
        <v>366</v>
      </c>
      <c r="K1428">
        <v>0</v>
      </c>
      <c r="L1428" t="s">
        <v>168</v>
      </c>
      <c r="N1428" t="s">
        <v>215</v>
      </c>
      <c r="O1428" t="s">
        <v>366</v>
      </c>
      <c r="P1428">
        <v>5.0650468377268317E-5</v>
      </c>
      <c r="Q1428" t="s">
        <v>168</v>
      </c>
      <c r="S1428" t="s">
        <v>234</v>
      </c>
      <c r="T1428" t="s">
        <v>366</v>
      </c>
      <c r="U1428">
        <v>8.4369554840109733E-7</v>
      </c>
      <c r="V1428" t="s">
        <v>168</v>
      </c>
    </row>
    <row r="1429" spans="9:22" x14ac:dyDescent="0.45">
      <c r="I1429" t="s">
        <v>191</v>
      </c>
      <c r="J1429" t="s">
        <v>367</v>
      </c>
      <c r="K1429">
        <v>0</v>
      </c>
      <c r="L1429" t="s">
        <v>168</v>
      </c>
      <c r="N1429" t="s">
        <v>215</v>
      </c>
      <c r="O1429" t="s">
        <v>367</v>
      </c>
      <c r="P1429">
        <v>4.9454769391885981E-5</v>
      </c>
      <c r="Q1429" t="s">
        <v>168</v>
      </c>
      <c r="S1429" t="s">
        <v>234</v>
      </c>
      <c r="T1429" t="s">
        <v>367</v>
      </c>
      <c r="U1429">
        <v>1.0105884388381623E-6</v>
      </c>
      <c r="V1429" t="s">
        <v>168</v>
      </c>
    </row>
    <row r="1430" spans="9:22" x14ac:dyDescent="0.45">
      <c r="I1430" t="s">
        <v>191</v>
      </c>
      <c r="J1430" t="s">
        <v>368</v>
      </c>
      <c r="K1430">
        <v>0</v>
      </c>
      <c r="L1430" t="s">
        <v>168</v>
      </c>
      <c r="N1430" t="s">
        <v>215</v>
      </c>
      <c r="O1430" t="s">
        <v>368</v>
      </c>
      <c r="P1430">
        <v>4.7650911198910473E-5</v>
      </c>
      <c r="Q1430" t="s">
        <v>168</v>
      </c>
      <c r="S1430" t="s">
        <v>234</v>
      </c>
      <c r="T1430" t="s">
        <v>368</v>
      </c>
      <c r="U1430">
        <v>9.8335942875920386E-7</v>
      </c>
      <c r="V1430" t="s">
        <v>168</v>
      </c>
    </row>
    <row r="1431" spans="9:22" x14ac:dyDescent="0.45">
      <c r="I1431" t="s">
        <v>191</v>
      </c>
      <c r="J1431" t="s">
        <v>369</v>
      </c>
      <c r="K1431">
        <v>0</v>
      </c>
      <c r="L1431" t="s">
        <v>168</v>
      </c>
      <c r="N1431" t="s">
        <v>215</v>
      </c>
      <c r="O1431" t="s">
        <v>369</v>
      </c>
      <c r="P1431">
        <v>4.6211168719145915E-5</v>
      </c>
      <c r="Q1431" t="s">
        <v>168</v>
      </c>
      <c r="S1431" t="s">
        <v>234</v>
      </c>
      <c r="T1431" t="s">
        <v>369</v>
      </c>
      <c r="U1431">
        <v>8.5550531953452409E-7</v>
      </c>
      <c r="V1431" t="s">
        <v>168</v>
      </c>
    </row>
    <row r="1432" spans="9:22" x14ac:dyDescent="0.45">
      <c r="I1432" t="s">
        <v>191</v>
      </c>
      <c r="J1432" t="s">
        <v>370</v>
      </c>
      <c r="K1432">
        <v>0</v>
      </c>
      <c r="L1432" t="s">
        <v>168</v>
      </c>
      <c r="N1432" t="s">
        <v>215</v>
      </c>
      <c r="O1432" t="s">
        <v>370</v>
      </c>
      <c r="P1432">
        <v>5.0277986686266328E-5</v>
      </c>
      <c r="Q1432" t="s">
        <v>168</v>
      </c>
      <c r="S1432" t="s">
        <v>234</v>
      </c>
      <c r="T1432" t="s">
        <v>370</v>
      </c>
      <c r="U1432">
        <v>3.5750660598193099E-7</v>
      </c>
      <c r="V1432" t="s">
        <v>168</v>
      </c>
    </row>
    <row r="1433" spans="9:22" x14ac:dyDescent="0.45">
      <c r="I1433" t="s">
        <v>191</v>
      </c>
      <c r="J1433" t="s">
        <v>371</v>
      </c>
      <c r="K1433">
        <v>0</v>
      </c>
      <c r="L1433" t="s">
        <v>168</v>
      </c>
      <c r="N1433" t="s">
        <v>215</v>
      </c>
      <c r="O1433" t="s">
        <v>371</v>
      </c>
      <c r="P1433">
        <v>5.4153688701743287E-5</v>
      </c>
      <c r="Q1433" t="s">
        <v>168</v>
      </c>
      <c r="S1433" t="s">
        <v>234</v>
      </c>
      <c r="T1433" t="s">
        <v>371</v>
      </c>
      <c r="U1433">
        <v>7.0949037040847632E-8</v>
      </c>
      <c r="V1433" t="s">
        <v>168</v>
      </c>
    </row>
    <row r="1434" spans="9:22" x14ac:dyDescent="0.45">
      <c r="I1434" t="s">
        <v>191</v>
      </c>
      <c r="J1434" t="s">
        <v>372</v>
      </c>
      <c r="K1434">
        <v>0</v>
      </c>
      <c r="L1434" t="s">
        <v>168</v>
      </c>
      <c r="N1434" t="s">
        <v>215</v>
      </c>
      <c r="O1434" t="s">
        <v>372</v>
      </c>
      <c r="P1434">
        <v>5.7122613298752406E-5</v>
      </c>
      <c r="Q1434" t="s">
        <v>168</v>
      </c>
      <c r="S1434" t="s">
        <v>234</v>
      </c>
      <c r="T1434" t="s">
        <v>372</v>
      </c>
      <c r="U1434">
        <v>1.1567914640179902E-8</v>
      </c>
      <c r="V1434" t="s">
        <v>168</v>
      </c>
    </row>
    <row r="1435" spans="9:22" x14ac:dyDescent="0.45">
      <c r="I1435" t="s">
        <v>191</v>
      </c>
      <c r="J1435" t="s">
        <v>373</v>
      </c>
      <c r="K1435">
        <v>7.353230746296893E-5</v>
      </c>
      <c r="L1435" t="s">
        <v>168</v>
      </c>
      <c r="N1435" t="s">
        <v>215</v>
      </c>
      <c r="O1435" t="s">
        <v>373</v>
      </c>
      <c r="P1435">
        <v>5.6699160055113274E-5</v>
      </c>
      <c r="Q1435" t="s">
        <v>168</v>
      </c>
      <c r="S1435" t="s">
        <v>234</v>
      </c>
      <c r="T1435" t="s">
        <v>373</v>
      </c>
      <c r="U1435">
        <v>0</v>
      </c>
      <c r="V1435" t="s">
        <v>168</v>
      </c>
    </row>
    <row r="1436" spans="9:22" x14ac:dyDescent="0.45">
      <c r="I1436" t="s">
        <v>191</v>
      </c>
      <c r="J1436" t="s">
        <v>374</v>
      </c>
      <c r="K1436">
        <v>1.1850506869844586E-4</v>
      </c>
      <c r="L1436" t="s">
        <v>168</v>
      </c>
      <c r="N1436" t="s">
        <v>215</v>
      </c>
      <c r="O1436" t="s">
        <v>374</v>
      </c>
      <c r="P1436">
        <v>5.5411989766026315E-5</v>
      </c>
      <c r="Q1436" t="s">
        <v>168</v>
      </c>
      <c r="S1436" t="s">
        <v>234</v>
      </c>
      <c r="T1436" t="s">
        <v>374</v>
      </c>
      <c r="U1436">
        <v>0</v>
      </c>
      <c r="V1436" t="s">
        <v>168</v>
      </c>
    </row>
    <row r="1437" spans="9:22" x14ac:dyDescent="0.45">
      <c r="I1437" t="s">
        <v>191</v>
      </c>
      <c r="J1437" t="s">
        <v>375</v>
      </c>
      <c r="K1437">
        <v>1.546628794570589E-4</v>
      </c>
      <c r="L1437" t="s">
        <v>168</v>
      </c>
      <c r="N1437" t="s">
        <v>215</v>
      </c>
      <c r="O1437" t="s">
        <v>375</v>
      </c>
      <c r="P1437">
        <v>5.2079697837039287E-5</v>
      </c>
      <c r="Q1437" t="s">
        <v>168</v>
      </c>
      <c r="S1437" t="s">
        <v>234</v>
      </c>
      <c r="T1437" t="s">
        <v>375</v>
      </c>
      <c r="U1437">
        <v>5.7093529680192246E-8</v>
      </c>
      <c r="V1437" t="s">
        <v>168</v>
      </c>
    </row>
    <row r="1438" spans="9:22" x14ac:dyDescent="0.45">
      <c r="I1438" t="s">
        <v>191</v>
      </c>
      <c r="J1438" t="s">
        <v>376</v>
      </c>
      <c r="K1438">
        <v>1.6879959762924757E-4</v>
      </c>
      <c r="L1438" t="s">
        <v>168</v>
      </c>
      <c r="N1438" t="s">
        <v>215</v>
      </c>
      <c r="O1438" t="s">
        <v>376</v>
      </c>
      <c r="P1438">
        <v>2.7229125941801086E-5</v>
      </c>
      <c r="Q1438" t="s">
        <v>168</v>
      </c>
      <c r="S1438" t="s">
        <v>234</v>
      </c>
      <c r="T1438" t="s">
        <v>376</v>
      </c>
      <c r="U1438">
        <v>0</v>
      </c>
      <c r="V1438" t="s">
        <v>168</v>
      </c>
    </row>
    <row r="1439" spans="9:22" x14ac:dyDescent="0.45">
      <c r="I1439" t="s">
        <v>191</v>
      </c>
      <c r="J1439" t="s">
        <v>377</v>
      </c>
      <c r="K1439">
        <v>1.4331913956006897E-4</v>
      </c>
      <c r="L1439" t="s">
        <v>168</v>
      </c>
      <c r="N1439" t="s">
        <v>215</v>
      </c>
      <c r="O1439" t="s">
        <v>377</v>
      </c>
      <c r="P1439">
        <v>2.3625671867643489E-5</v>
      </c>
      <c r="Q1439" t="s">
        <v>168</v>
      </c>
      <c r="S1439" t="s">
        <v>234</v>
      </c>
      <c r="T1439" t="s">
        <v>377</v>
      </c>
      <c r="U1439">
        <v>0</v>
      </c>
      <c r="V1439" t="s">
        <v>168</v>
      </c>
    </row>
    <row r="1440" spans="9:22" x14ac:dyDescent="0.45">
      <c r="I1440" t="s">
        <v>191</v>
      </c>
      <c r="J1440" t="s">
        <v>378</v>
      </c>
      <c r="K1440">
        <v>1.4647804637351954E-4</v>
      </c>
      <c r="L1440" t="s">
        <v>168</v>
      </c>
      <c r="N1440" t="s">
        <v>215</v>
      </c>
      <c r="O1440" t="s">
        <v>378</v>
      </c>
      <c r="P1440">
        <v>1.6922046893330102E-5</v>
      </c>
      <c r="Q1440" t="s">
        <v>168</v>
      </c>
      <c r="S1440" t="s">
        <v>234</v>
      </c>
      <c r="T1440" t="s">
        <v>378</v>
      </c>
      <c r="U1440">
        <v>0</v>
      </c>
      <c r="V1440" t="s">
        <v>168</v>
      </c>
    </row>
    <row r="1441" spans="9:22" x14ac:dyDescent="0.45">
      <c r="I1441" t="s">
        <v>191</v>
      </c>
      <c r="J1441" t="s">
        <v>379</v>
      </c>
      <c r="K1441">
        <v>1.9000081408119212E-4</v>
      </c>
      <c r="L1441" t="s">
        <v>168</v>
      </c>
      <c r="N1441" t="s">
        <v>215</v>
      </c>
      <c r="O1441" t="s">
        <v>379</v>
      </c>
      <c r="P1441">
        <v>1.232904239757455E-5</v>
      </c>
      <c r="Q1441" t="s">
        <v>168</v>
      </c>
      <c r="S1441" t="s">
        <v>234</v>
      </c>
      <c r="T1441" t="s">
        <v>379</v>
      </c>
      <c r="U1441">
        <v>1.1812910370411217E-7</v>
      </c>
      <c r="V1441" t="s">
        <v>168</v>
      </c>
    </row>
    <row r="1442" spans="9:22" x14ac:dyDescent="0.45">
      <c r="I1442" t="s">
        <v>191</v>
      </c>
      <c r="J1442" t="s">
        <v>380</v>
      </c>
      <c r="K1442">
        <v>1.5524652645727464E-4</v>
      </c>
      <c r="L1442" t="s">
        <v>168</v>
      </c>
      <c r="N1442" t="s">
        <v>215</v>
      </c>
      <c r="O1442" t="s">
        <v>380</v>
      </c>
      <c r="P1442">
        <v>7.8979120417419519E-6</v>
      </c>
      <c r="Q1442" t="s">
        <v>168</v>
      </c>
      <c r="S1442" t="s">
        <v>234</v>
      </c>
      <c r="T1442" t="s">
        <v>380</v>
      </c>
      <c r="U1442">
        <v>3.0365810475392011E-7</v>
      </c>
      <c r="V1442" t="s">
        <v>168</v>
      </c>
    </row>
    <row r="1443" spans="9:22" x14ac:dyDescent="0.45">
      <c r="I1443" t="s">
        <v>191</v>
      </c>
      <c r="J1443" t="s">
        <v>381</v>
      </c>
      <c r="K1443">
        <v>9.8582323386282866E-5</v>
      </c>
      <c r="L1443" t="s">
        <v>168</v>
      </c>
      <c r="N1443" t="s">
        <v>215</v>
      </c>
      <c r="O1443" t="s">
        <v>381</v>
      </c>
      <c r="P1443">
        <v>6.6071143662186019E-6</v>
      </c>
      <c r="Q1443" t="s">
        <v>168</v>
      </c>
      <c r="S1443" t="s">
        <v>234</v>
      </c>
      <c r="T1443" t="s">
        <v>381</v>
      </c>
      <c r="U1443">
        <v>4.6203692162059841E-7</v>
      </c>
      <c r="V1443" t="s">
        <v>168</v>
      </c>
    </row>
    <row r="1444" spans="9:22" x14ac:dyDescent="0.45">
      <c r="I1444" t="s">
        <v>191</v>
      </c>
      <c r="J1444" t="s">
        <v>382</v>
      </c>
      <c r="K1444">
        <v>0</v>
      </c>
      <c r="L1444" t="s">
        <v>168</v>
      </c>
      <c r="N1444" t="s">
        <v>215</v>
      </c>
      <c r="O1444" t="s">
        <v>382</v>
      </c>
      <c r="P1444">
        <v>6.4183684977410325E-6</v>
      </c>
      <c r="Q1444" t="s">
        <v>168</v>
      </c>
      <c r="S1444" t="s">
        <v>234</v>
      </c>
      <c r="T1444" t="s">
        <v>382</v>
      </c>
      <c r="U1444">
        <v>4.0352985969552753E-7</v>
      </c>
      <c r="V1444" t="s">
        <v>168</v>
      </c>
    </row>
    <row r="1445" spans="9:22" x14ac:dyDescent="0.45">
      <c r="I1445" t="s">
        <v>191</v>
      </c>
      <c r="J1445" t="s">
        <v>383</v>
      </c>
      <c r="K1445">
        <v>0</v>
      </c>
      <c r="L1445" t="s">
        <v>168</v>
      </c>
      <c r="N1445" t="s">
        <v>215</v>
      </c>
      <c r="O1445" t="s">
        <v>383</v>
      </c>
      <c r="P1445">
        <v>6.6854184838736779E-6</v>
      </c>
      <c r="Q1445" t="s">
        <v>168</v>
      </c>
      <c r="S1445" t="s">
        <v>234</v>
      </c>
      <c r="T1445" t="s">
        <v>383</v>
      </c>
      <c r="U1445">
        <v>3.4031855859323004E-7</v>
      </c>
      <c r="V1445" t="s">
        <v>168</v>
      </c>
    </row>
    <row r="1446" spans="9:22" x14ac:dyDescent="0.45">
      <c r="I1446" t="s">
        <v>191</v>
      </c>
      <c r="J1446" t="s">
        <v>384</v>
      </c>
      <c r="K1446">
        <v>0</v>
      </c>
      <c r="L1446" t="s">
        <v>168</v>
      </c>
      <c r="N1446" t="s">
        <v>215</v>
      </c>
      <c r="O1446" t="s">
        <v>384</v>
      </c>
      <c r="P1446">
        <v>7.2514349851742735E-6</v>
      </c>
      <c r="Q1446" t="s">
        <v>168</v>
      </c>
      <c r="S1446" t="s">
        <v>234</v>
      </c>
      <c r="T1446" t="s">
        <v>384</v>
      </c>
      <c r="U1446">
        <v>2.7854859161989978E-7</v>
      </c>
      <c r="V1446" t="s">
        <v>168</v>
      </c>
    </row>
    <row r="1447" spans="9:22" x14ac:dyDescent="0.45">
      <c r="I1447" t="s">
        <v>191</v>
      </c>
      <c r="J1447" t="s">
        <v>385</v>
      </c>
      <c r="K1447">
        <v>0</v>
      </c>
      <c r="L1447" t="s">
        <v>168</v>
      </c>
      <c r="N1447" t="s">
        <v>215</v>
      </c>
      <c r="O1447" t="s">
        <v>385</v>
      </c>
      <c r="P1447">
        <v>6.3431225905036351E-6</v>
      </c>
      <c r="Q1447" t="s">
        <v>168</v>
      </c>
      <c r="S1447" t="s">
        <v>234</v>
      </c>
      <c r="T1447" t="s">
        <v>385</v>
      </c>
      <c r="U1447">
        <v>2.2341751253581269E-7</v>
      </c>
      <c r="V1447" t="s">
        <v>168</v>
      </c>
    </row>
    <row r="1448" spans="9:22" x14ac:dyDescent="0.45">
      <c r="I1448" t="s">
        <v>191</v>
      </c>
      <c r="J1448" t="s">
        <v>386</v>
      </c>
      <c r="K1448">
        <v>0</v>
      </c>
      <c r="L1448" t="s">
        <v>168</v>
      </c>
      <c r="N1448" t="s">
        <v>215</v>
      </c>
      <c r="O1448" t="s">
        <v>386</v>
      </c>
      <c r="P1448">
        <v>3.0415516402972435E-6</v>
      </c>
      <c r="Q1448" t="s">
        <v>168</v>
      </c>
      <c r="S1448" t="s">
        <v>234</v>
      </c>
      <c r="T1448" t="s">
        <v>386</v>
      </c>
      <c r="U1448">
        <v>1.1752667454255607E-7</v>
      </c>
      <c r="V1448" t="s">
        <v>168</v>
      </c>
    </row>
    <row r="1449" spans="9:22" x14ac:dyDescent="0.45">
      <c r="I1449" t="s">
        <v>191</v>
      </c>
      <c r="J1449" t="s">
        <v>387</v>
      </c>
      <c r="K1449">
        <v>0</v>
      </c>
      <c r="L1449" t="s">
        <v>168</v>
      </c>
      <c r="N1449" t="s">
        <v>215</v>
      </c>
      <c r="O1449" t="s">
        <v>387</v>
      </c>
      <c r="P1449">
        <v>1.6733619841582862E-6</v>
      </c>
      <c r="Q1449" t="s">
        <v>168</v>
      </c>
      <c r="S1449" t="s">
        <v>234</v>
      </c>
      <c r="T1449" t="s">
        <v>387</v>
      </c>
      <c r="U1449">
        <v>2.883668176625285E-7</v>
      </c>
      <c r="V1449" t="s">
        <v>168</v>
      </c>
    </row>
    <row r="1450" spans="9:22" x14ac:dyDescent="0.45">
      <c r="I1450" t="s">
        <v>191</v>
      </c>
      <c r="J1450" t="s">
        <v>388</v>
      </c>
      <c r="K1450">
        <v>0</v>
      </c>
      <c r="L1450" t="s">
        <v>168</v>
      </c>
      <c r="N1450" t="s">
        <v>215</v>
      </c>
      <c r="O1450" t="s">
        <v>388</v>
      </c>
      <c r="P1450">
        <v>8.5819844780858387E-7</v>
      </c>
      <c r="Q1450" t="s">
        <v>168</v>
      </c>
      <c r="S1450" t="s">
        <v>234</v>
      </c>
      <c r="T1450" t="s">
        <v>388</v>
      </c>
      <c r="U1450">
        <v>2.6657804279333719E-7</v>
      </c>
      <c r="V1450" t="s">
        <v>168</v>
      </c>
    </row>
    <row r="1451" spans="9:22" x14ac:dyDescent="0.45">
      <c r="I1451" t="s">
        <v>192</v>
      </c>
      <c r="J1451" t="s">
        <v>167</v>
      </c>
      <c r="K1451">
        <v>0</v>
      </c>
      <c r="L1451" t="s">
        <v>168</v>
      </c>
      <c r="N1451" t="s">
        <v>216</v>
      </c>
      <c r="O1451" t="s">
        <v>167</v>
      </c>
      <c r="P1451">
        <v>8.2890073680358708E-2</v>
      </c>
      <c r="Q1451" t="s">
        <v>168</v>
      </c>
      <c r="S1451" t="s">
        <v>235</v>
      </c>
      <c r="T1451" t="s">
        <v>167</v>
      </c>
      <c r="U1451">
        <v>8.5255842282371638E-2</v>
      </c>
      <c r="V1451" t="s">
        <v>168</v>
      </c>
    </row>
    <row r="1452" spans="9:22" x14ac:dyDescent="0.45">
      <c r="I1452" t="s">
        <v>192</v>
      </c>
      <c r="J1452" t="s">
        <v>169</v>
      </c>
      <c r="K1452">
        <v>1.7837246821318304E-3</v>
      </c>
      <c r="L1452" t="s">
        <v>168</v>
      </c>
      <c r="N1452" t="s">
        <v>216</v>
      </c>
      <c r="O1452" t="s">
        <v>169</v>
      </c>
      <c r="P1452">
        <v>1.000246079449778E-2</v>
      </c>
      <c r="Q1452" t="s">
        <v>168</v>
      </c>
      <c r="S1452" t="s">
        <v>235</v>
      </c>
      <c r="T1452" t="s">
        <v>169</v>
      </c>
      <c r="U1452">
        <v>1.0539497417150543E-2</v>
      </c>
      <c r="V1452" t="s">
        <v>168</v>
      </c>
    </row>
    <row r="1453" spans="9:22" x14ac:dyDescent="0.45">
      <c r="I1453" t="s">
        <v>192</v>
      </c>
      <c r="J1453" t="s">
        <v>170</v>
      </c>
      <c r="K1453">
        <v>6.6976954241789654E-3</v>
      </c>
      <c r="L1453" t="s">
        <v>168</v>
      </c>
      <c r="N1453" t="s">
        <v>216</v>
      </c>
      <c r="O1453" t="s">
        <v>170</v>
      </c>
      <c r="P1453">
        <v>1.0120459906522218E-2</v>
      </c>
      <c r="Q1453" t="s">
        <v>168</v>
      </c>
      <c r="S1453" t="s">
        <v>235</v>
      </c>
      <c r="T1453" t="s">
        <v>170</v>
      </c>
      <c r="U1453">
        <v>1.0581711705164816E-2</v>
      </c>
      <c r="V1453" t="s">
        <v>168</v>
      </c>
    </row>
    <row r="1454" spans="9:22" x14ac:dyDescent="0.45">
      <c r="I1454" t="s">
        <v>192</v>
      </c>
      <c r="J1454" t="s">
        <v>256</v>
      </c>
      <c r="K1454">
        <v>7.2397051123384709E-2</v>
      </c>
      <c r="L1454" t="s">
        <v>168</v>
      </c>
      <c r="N1454" t="s">
        <v>216</v>
      </c>
      <c r="O1454" t="s">
        <v>256</v>
      </c>
      <c r="P1454">
        <v>8.4630862079938696E-2</v>
      </c>
      <c r="Q1454" t="s">
        <v>168</v>
      </c>
      <c r="S1454" t="s">
        <v>235</v>
      </c>
      <c r="T1454" t="s">
        <v>256</v>
      </c>
      <c r="U1454">
        <v>7.0317834517670069E-2</v>
      </c>
      <c r="V1454" t="s">
        <v>168</v>
      </c>
    </row>
    <row r="1455" spans="9:22" x14ac:dyDescent="0.45">
      <c r="I1455" t="s">
        <v>192</v>
      </c>
      <c r="J1455" t="s">
        <v>257</v>
      </c>
      <c r="K1455">
        <v>9.3009715928267199E-3</v>
      </c>
      <c r="L1455" t="s">
        <v>168</v>
      </c>
      <c r="N1455" t="s">
        <v>216</v>
      </c>
      <c r="O1455" t="s">
        <v>257</v>
      </c>
      <c r="P1455">
        <v>1.4071523557040982E-2</v>
      </c>
      <c r="Q1455" t="s">
        <v>168</v>
      </c>
      <c r="S1455" t="s">
        <v>235</v>
      </c>
      <c r="T1455" t="s">
        <v>257</v>
      </c>
      <c r="U1455">
        <v>1.2482627261925143E-2</v>
      </c>
      <c r="V1455" t="s">
        <v>168</v>
      </c>
    </row>
    <row r="1456" spans="9:22" x14ac:dyDescent="0.45">
      <c r="I1456" t="s">
        <v>192</v>
      </c>
      <c r="J1456" t="s">
        <v>258</v>
      </c>
      <c r="K1456">
        <v>5.5007432813915791E-3</v>
      </c>
      <c r="L1456" t="s">
        <v>168</v>
      </c>
      <c r="N1456" t="s">
        <v>216</v>
      </c>
      <c r="O1456" t="s">
        <v>258</v>
      </c>
      <c r="P1456">
        <v>8.1767415783735517E-2</v>
      </c>
      <c r="Q1456" t="s">
        <v>168</v>
      </c>
      <c r="S1456" t="s">
        <v>235</v>
      </c>
      <c r="T1456" t="s">
        <v>258</v>
      </c>
      <c r="U1456">
        <v>8.3041702530176953E-2</v>
      </c>
      <c r="V1456" t="s">
        <v>168</v>
      </c>
    </row>
    <row r="1457" spans="9:22" x14ac:dyDescent="0.45">
      <c r="I1457" t="s">
        <v>192</v>
      </c>
      <c r="J1457" t="s">
        <v>171</v>
      </c>
      <c r="K1457">
        <v>2.3744485040755194E-2</v>
      </c>
      <c r="L1457" t="s">
        <v>168</v>
      </c>
      <c r="N1457" t="s">
        <v>216</v>
      </c>
      <c r="O1457" t="s">
        <v>171</v>
      </c>
      <c r="P1457">
        <v>0.1311738596255656</v>
      </c>
      <c r="Q1457" t="s">
        <v>168</v>
      </c>
      <c r="S1457" t="s">
        <v>235</v>
      </c>
      <c r="T1457" t="s">
        <v>171</v>
      </c>
      <c r="U1457">
        <v>0.13603130017673362</v>
      </c>
      <c r="V1457" t="s">
        <v>168</v>
      </c>
    </row>
    <row r="1458" spans="9:22" x14ac:dyDescent="0.45">
      <c r="I1458" t="s">
        <v>192</v>
      </c>
      <c r="J1458" t="s">
        <v>172</v>
      </c>
      <c r="K1458">
        <v>2.5848154892384217E-2</v>
      </c>
      <c r="L1458" t="s">
        <v>168</v>
      </c>
      <c r="N1458" t="s">
        <v>216</v>
      </c>
      <c r="O1458" t="s">
        <v>172</v>
      </c>
      <c r="P1458">
        <v>1.6000647134015854E-2</v>
      </c>
      <c r="Q1458" t="s">
        <v>168</v>
      </c>
      <c r="S1458" t="s">
        <v>235</v>
      </c>
      <c r="T1458" t="s">
        <v>172</v>
      </c>
      <c r="U1458">
        <v>1.7418985769971647E-2</v>
      </c>
      <c r="V1458" t="s">
        <v>168</v>
      </c>
    </row>
    <row r="1459" spans="9:22" x14ac:dyDescent="0.45">
      <c r="I1459" t="s">
        <v>192</v>
      </c>
      <c r="J1459" t="s">
        <v>173</v>
      </c>
      <c r="K1459">
        <v>3.427379860597516E-2</v>
      </c>
      <c r="L1459" t="s">
        <v>168</v>
      </c>
      <c r="N1459" t="s">
        <v>216</v>
      </c>
      <c r="O1459" t="s">
        <v>173</v>
      </c>
      <c r="P1459">
        <v>1.6985764293070926E-2</v>
      </c>
      <c r="Q1459" t="s">
        <v>168</v>
      </c>
      <c r="S1459" t="s">
        <v>235</v>
      </c>
      <c r="T1459" t="s">
        <v>173</v>
      </c>
      <c r="U1459">
        <v>1.7495383182465161E-2</v>
      </c>
      <c r="V1459" t="s">
        <v>168</v>
      </c>
    </row>
    <row r="1460" spans="9:22" x14ac:dyDescent="0.45">
      <c r="I1460" t="s">
        <v>192</v>
      </c>
      <c r="J1460" t="s">
        <v>259</v>
      </c>
      <c r="K1460">
        <v>0.2426439365807479</v>
      </c>
      <c r="L1460" t="s">
        <v>168</v>
      </c>
      <c r="N1460" t="s">
        <v>216</v>
      </c>
      <c r="O1460" t="s">
        <v>259</v>
      </c>
      <c r="P1460">
        <v>0.12432824814695968</v>
      </c>
      <c r="Q1460" t="s">
        <v>168</v>
      </c>
      <c r="S1460" t="s">
        <v>235</v>
      </c>
      <c r="T1460" t="s">
        <v>259</v>
      </c>
      <c r="U1460">
        <v>0.11327640754288008</v>
      </c>
      <c r="V1460" t="s">
        <v>168</v>
      </c>
    </row>
    <row r="1461" spans="9:22" x14ac:dyDescent="0.45">
      <c r="I1461" t="s">
        <v>192</v>
      </c>
      <c r="J1461" t="s">
        <v>260</v>
      </c>
      <c r="K1461">
        <v>3.3821845111902143E-2</v>
      </c>
      <c r="L1461" t="s">
        <v>168</v>
      </c>
      <c r="N1461" t="s">
        <v>216</v>
      </c>
      <c r="O1461" t="s">
        <v>260</v>
      </c>
      <c r="P1461">
        <v>2.3407941832749548E-2</v>
      </c>
      <c r="Q1461" t="s">
        <v>168</v>
      </c>
      <c r="S1461" t="s">
        <v>235</v>
      </c>
      <c r="T1461" t="s">
        <v>260</v>
      </c>
      <c r="U1461">
        <v>2.0578815191507869E-2</v>
      </c>
      <c r="V1461" t="s">
        <v>168</v>
      </c>
    </row>
    <row r="1462" spans="9:22" x14ac:dyDescent="0.45">
      <c r="I1462" t="s">
        <v>192</v>
      </c>
      <c r="J1462" t="s">
        <v>261</v>
      </c>
      <c r="K1462">
        <v>5.4109766601597255E-2</v>
      </c>
      <c r="L1462" t="s">
        <v>168</v>
      </c>
      <c r="N1462" t="s">
        <v>216</v>
      </c>
      <c r="O1462" t="s">
        <v>261</v>
      </c>
      <c r="P1462">
        <v>0.13353430560393778</v>
      </c>
      <c r="Q1462" t="s">
        <v>168</v>
      </c>
      <c r="S1462" t="s">
        <v>235</v>
      </c>
      <c r="T1462" t="s">
        <v>261</v>
      </c>
      <c r="U1462">
        <v>0.13308139708996347</v>
      </c>
      <c r="V1462" t="s">
        <v>168</v>
      </c>
    </row>
    <row r="1463" spans="9:22" x14ac:dyDescent="0.45">
      <c r="I1463" t="s">
        <v>192</v>
      </c>
      <c r="J1463" t="s">
        <v>174</v>
      </c>
      <c r="K1463">
        <v>1.1135144911400793E-2</v>
      </c>
      <c r="L1463" t="s">
        <v>168</v>
      </c>
      <c r="N1463" t="s">
        <v>216</v>
      </c>
      <c r="O1463" t="s">
        <v>174</v>
      </c>
      <c r="P1463">
        <v>1.882696845546594E-3</v>
      </c>
      <c r="Q1463" t="s">
        <v>168</v>
      </c>
      <c r="S1463" t="s">
        <v>235</v>
      </c>
      <c r="T1463" t="s">
        <v>174</v>
      </c>
      <c r="U1463">
        <v>4.263106578782391E-3</v>
      </c>
      <c r="V1463" t="s">
        <v>168</v>
      </c>
    </row>
    <row r="1464" spans="9:22" x14ac:dyDescent="0.45">
      <c r="I1464" t="s">
        <v>192</v>
      </c>
      <c r="J1464" t="s">
        <v>175</v>
      </c>
      <c r="K1464">
        <v>1.0049230853228808E-2</v>
      </c>
      <c r="L1464" t="s">
        <v>168</v>
      </c>
      <c r="N1464" t="s">
        <v>216</v>
      </c>
      <c r="O1464" t="s">
        <v>175</v>
      </c>
      <c r="P1464">
        <v>2.6315616549969035E-4</v>
      </c>
      <c r="Q1464" t="s">
        <v>168</v>
      </c>
      <c r="S1464" t="s">
        <v>235</v>
      </c>
      <c r="T1464" t="s">
        <v>175</v>
      </c>
      <c r="U1464">
        <v>3.7806805156913737E-4</v>
      </c>
      <c r="V1464" t="s">
        <v>168</v>
      </c>
    </row>
    <row r="1465" spans="9:22" x14ac:dyDescent="0.45">
      <c r="I1465" t="s">
        <v>192</v>
      </c>
      <c r="J1465" t="s">
        <v>176</v>
      </c>
      <c r="K1465">
        <v>1.2020460498637331E-2</v>
      </c>
      <c r="L1465" t="s">
        <v>168</v>
      </c>
      <c r="N1465" t="s">
        <v>216</v>
      </c>
      <c r="O1465" t="s">
        <v>176</v>
      </c>
      <c r="P1465">
        <v>3.1521303822887743E-4</v>
      </c>
      <c r="Q1465" t="s">
        <v>168</v>
      </c>
      <c r="S1465" t="s">
        <v>235</v>
      </c>
      <c r="T1465" t="s">
        <v>176</v>
      </c>
      <c r="U1465">
        <v>3.6160981950884272E-4</v>
      </c>
      <c r="V1465" t="s">
        <v>168</v>
      </c>
    </row>
    <row r="1466" spans="9:22" x14ac:dyDescent="0.45">
      <c r="I1466" t="s">
        <v>192</v>
      </c>
      <c r="J1466" t="s">
        <v>262</v>
      </c>
      <c r="K1466">
        <v>7.5776013913077131E-2</v>
      </c>
      <c r="L1466" t="s">
        <v>168</v>
      </c>
      <c r="N1466" t="s">
        <v>216</v>
      </c>
      <c r="O1466" t="s">
        <v>262</v>
      </c>
      <c r="P1466">
        <v>4.0746131989350181E-3</v>
      </c>
      <c r="Q1466" t="s">
        <v>168</v>
      </c>
      <c r="S1466" t="s">
        <v>235</v>
      </c>
      <c r="T1466" t="s">
        <v>262</v>
      </c>
      <c r="U1466">
        <v>3.6561155794411445E-3</v>
      </c>
      <c r="V1466" t="s">
        <v>168</v>
      </c>
    </row>
    <row r="1467" spans="9:22" x14ac:dyDescent="0.45">
      <c r="I1467" t="s">
        <v>192</v>
      </c>
      <c r="J1467" t="s">
        <v>263</v>
      </c>
      <c r="K1467">
        <v>1.0178108338680119E-2</v>
      </c>
      <c r="L1467" t="s">
        <v>168</v>
      </c>
      <c r="N1467" t="s">
        <v>216</v>
      </c>
      <c r="O1467" t="s">
        <v>263</v>
      </c>
      <c r="P1467">
        <v>1.1586006247611127E-3</v>
      </c>
      <c r="Q1467" t="s">
        <v>168</v>
      </c>
      <c r="S1467" t="s">
        <v>235</v>
      </c>
      <c r="T1467" t="s">
        <v>263</v>
      </c>
      <c r="U1467">
        <v>9.6698364935966438E-4</v>
      </c>
      <c r="V1467" t="s">
        <v>168</v>
      </c>
    </row>
    <row r="1468" spans="9:22" x14ac:dyDescent="0.45">
      <c r="I1468" t="s">
        <v>192</v>
      </c>
      <c r="J1468" t="s">
        <v>264</v>
      </c>
      <c r="K1468">
        <v>2.1393018597651327E-2</v>
      </c>
      <c r="L1468" t="s">
        <v>168</v>
      </c>
      <c r="N1468" t="s">
        <v>216</v>
      </c>
      <c r="O1468" t="s">
        <v>264</v>
      </c>
      <c r="P1468">
        <v>4.0972874295978554E-3</v>
      </c>
      <c r="Q1468" t="s">
        <v>168</v>
      </c>
      <c r="S1468" t="s">
        <v>235</v>
      </c>
      <c r="T1468" t="s">
        <v>264</v>
      </c>
      <c r="U1468">
        <v>5.2394504488438819E-3</v>
      </c>
      <c r="V1468" t="s">
        <v>168</v>
      </c>
    </row>
    <row r="1469" spans="9:22" x14ac:dyDescent="0.45">
      <c r="I1469" t="s">
        <v>192</v>
      </c>
      <c r="J1469" t="s">
        <v>265</v>
      </c>
      <c r="K1469">
        <v>8.8460731456617651E-3</v>
      </c>
      <c r="L1469" t="s">
        <v>168</v>
      </c>
      <c r="N1469" t="s">
        <v>216</v>
      </c>
      <c r="O1469" t="s">
        <v>265</v>
      </c>
      <c r="P1469">
        <v>5.7500788193412915E-3</v>
      </c>
      <c r="Q1469" t="s">
        <v>168</v>
      </c>
      <c r="S1469" t="s">
        <v>235</v>
      </c>
      <c r="T1469" t="s">
        <v>265</v>
      </c>
      <c r="U1469">
        <v>7.2420973030115779E-3</v>
      </c>
      <c r="V1469" t="s">
        <v>168</v>
      </c>
    </row>
    <row r="1470" spans="9:22" x14ac:dyDescent="0.45">
      <c r="I1470" t="s">
        <v>192</v>
      </c>
      <c r="J1470" t="s">
        <v>266</v>
      </c>
      <c r="K1470">
        <v>8.744533490102983E-3</v>
      </c>
      <c r="L1470" t="s">
        <v>168</v>
      </c>
      <c r="N1470" t="s">
        <v>216</v>
      </c>
      <c r="O1470" t="s">
        <v>266</v>
      </c>
      <c r="P1470">
        <v>6.2933133657230877E-4</v>
      </c>
      <c r="Q1470" t="s">
        <v>168</v>
      </c>
      <c r="S1470" t="s">
        <v>235</v>
      </c>
      <c r="T1470" t="s">
        <v>266</v>
      </c>
      <c r="U1470">
        <v>8.9950479154794673E-4</v>
      </c>
      <c r="V1470" t="s">
        <v>168</v>
      </c>
    </row>
    <row r="1471" spans="9:22" x14ac:dyDescent="0.45">
      <c r="I1471" t="s">
        <v>192</v>
      </c>
      <c r="J1471" t="s">
        <v>267</v>
      </c>
      <c r="K1471">
        <v>1.0733970771879727E-2</v>
      </c>
      <c r="L1471" t="s">
        <v>168</v>
      </c>
      <c r="N1471" t="s">
        <v>216</v>
      </c>
      <c r="O1471" t="s">
        <v>267</v>
      </c>
      <c r="P1471">
        <v>6.0922979536716685E-4</v>
      </c>
      <c r="Q1471" t="s">
        <v>168</v>
      </c>
      <c r="S1471" t="s">
        <v>235</v>
      </c>
      <c r="T1471" t="s">
        <v>267</v>
      </c>
      <c r="U1471">
        <v>8.9273898276475067E-4</v>
      </c>
      <c r="V1471" t="s">
        <v>168</v>
      </c>
    </row>
    <row r="1472" spans="9:22" x14ac:dyDescent="0.45">
      <c r="I1472" t="s">
        <v>192</v>
      </c>
      <c r="J1472" t="s">
        <v>268</v>
      </c>
      <c r="K1472">
        <v>6.8956185964902772E-2</v>
      </c>
      <c r="L1472" t="s">
        <v>168</v>
      </c>
      <c r="N1472" t="s">
        <v>216</v>
      </c>
      <c r="O1472" t="s">
        <v>268</v>
      </c>
      <c r="P1472">
        <v>7.463143508015772E-3</v>
      </c>
      <c r="Q1472" t="s">
        <v>168</v>
      </c>
      <c r="S1472" t="s">
        <v>235</v>
      </c>
      <c r="T1472" t="s">
        <v>268</v>
      </c>
      <c r="U1472">
        <v>6.6831440738356037E-3</v>
      </c>
      <c r="V1472" t="s">
        <v>168</v>
      </c>
    </row>
    <row r="1473" spans="9:22" x14ac:dyDescent="0.45">
      <c r="I1473" t="s">
        <v>192</v>
      </c>
      <c r="J1473" t="s">
        <v>269</v>
      </c>
      <c r="K1473">
        <v>9.3733535526219717E-3</v>
      </c>
      <c r="L1473" t="s">
        <v>168</v>
      </c>
      <c r="N1473" t="s">
        <v>216</v>
      </c>
      <c r="O1473" t="s">
        <v>269</v>
      </c>
      <c r="P1473">
        <v>1.7368348274652073E-3</v>
      </c>
      <c r="Q1473" t="s">
        <v>168</v>
      </c>
      <c r="S1473" t="s">
        <v>235</v>
      </c>
      <c r="T1473" t="s">
        <v>269</v>
      </c>
      <c r="U1473">
        <v>1.6146711601973112E-3</v>
      </c>
      <c r="V1473" t="s">
        <v>168</v>
      </c>
    </row>
    <row r="1474" spans="9:22" x14ac:dyDescent="0.45">
      <c r="I1474" t="s">
        <v>192</v>
      </c>
      <c r="J1474" t="s">
        <v>270</v>
      </c>
      <c r="K1474">
        <v>1.8871296884292031E-2</v>
      </c>
      <c r="L1474" t="s">
        <v>168</v>
      </c>
      <c r="N1474" t="s">
        <v>216</v>
      </c>
      <c r="O1474" t="s">
        <v>270</v>
      </c>
      <c r="P1474">
        <v>6.5616839226411254E-3</v>
      </c>
      <c r="Q1474" t="s">
        <v>168</v>
      </c>
      <c r="S1474" t="s">
        <v>235</v>
      </c>
      <c r="T1474" t="s">
        <v>270</v>
      </c>
      <c r="U1474">
        <v>9.5715267138166121E-3</v>
      </c>
      <c r="V1474" t="s">
        <v>168</v>
      </c>
    </row>
    <row r="1475" spans="9:22" x14ac:dyDescent="0.45">
      <c r="I1475" t="s">
        <v>192</v>
      </c>
      <c r="J1475" t="s">
        <v>271</v>
      </c>
      <c r="K1475">
        <v>2.9625129102466181E-3</v>
      </c>
      <c r="L1475" t="s">
        <v>168</v>
      </c>
      <c r="N1475" t="s">
        <v>216</v>
      </c>
      <c r="O1475" t="s">
        <v>271</v>
      </c>
      <c r="P1475">
        <v>9.8466755161510881E-3</v>
      </c>
      <c r="Q1475" t="s">
        <v>168</v>
      </c>
      <c r="S1475" t="s">
        <v>235</v>
      </c>
      <c r="T1475" t="s">
        <v>271</v>
      </c>
      <c r="U1475">
        <v>1.3408901010829965E-2</v>
      </c>
      <c r="V1475" t="s">
        <v>168</v>
      </c>
    </row>
    <row r="1476" spans="9:22" x14ac:dyDescent="0.45">
      <c r="I1476" t="s">
        <v>192</v>
      </c>
      <c r="J1476" t="s">
        <v>272</v>
      </c>
      <c r="K1476">
        <v>5.0359484378458448E-3</v>
      </c>
      <c r="L1476" t="s">
        <v>168</v>
      </c>
      <c r="N1476" t="s">
        <v>216</v>
      </c>
      <c r="O1476" t="s">
        <v>272</v>
      </c>
      <c r="P1476">
        <v>1.3432547665000085E-3</v>
      </c>
      <c r="Q1476" t="s">
        <v>168</v>
      </c>
      <c r="S1476" t="s">
        <v>235</v>
      </c>
      <c r="T1476" t="s">
        <v>272</v>
      </c>
      <c r="U1476">
        <v>1.9895413525977527E-3</v>
      </c>
      <c r="V1476" t="s">
        <v>168</v>
      </c>
    </row>
    <row r="1477" spans="9:22" x14ac:dyDescent="0.45">
      <c r="I1477" t="s">
        <v>192</v>
      </c>
      <c r="J1477" t="s">
        <v>273</v>
      </c>
      <c r="K1477">
        <v>7.1086168053763454E-3</v>
      </c>
      <c r="L1477" t="s">
        <v>168</v>
      </c>
      <c r="N1477" t="s">
        <v>216</v>
      </c>
      <c r="O1477" t="s">
        <v>273</v>
      </c>
      <c r="P1477">
        <v>1.482449145419146E-3</v>
      </c>
      <c r="Q1477" t="s">
        <v>168</v>
      </c>
      <c r="S1477" t="s">
        <v>235</v>
      </c>
      <c r="T1477" t="s">
        <v>273</v>
      </c>
      <c r="U1477">
        <v>2.0714170491998307E-3</v>
      </c>
      <c r="V1477" t="s">
        <v>168</v>
      </c>
    </row>
    <row r="1478" spans="9:22" x14ac:dyDescent="0.45">
      <c r="I1478" t="s">
        <v>192</v>
      </c>
      <c r="J1478" t="s">
        <v>274</v>
      </c>
      <c r="K1478">
        <v>5.1711431472657853E-2</v>
      </c>
      <c r="L1478" t="s">
        <v>168</v>
      </c>
      <c r="N1478" t="s">
        <v>216</v>
      </c>
      <c r="O1478" t="s">
        <v>274</v>
      </c>
      <c r="P1478">
        <v>1.2942460584935065E-2</v>
      </c>
      <c r="Q1478" t="s">
        <v>168</v>
      </c>
      <c r="S1478" t="s">
        <v>235</v>
      </c>
      <c r="T1478" t="s">
        <v>274</v>
      </c>
      <c r="U1478">
        <v>1.4358856694188939E-2</v>
      </c>
      <c r="V1478" t="s">
        <v>168</v>
      </c>
    </row>
    <row r="1479" spans="9:22" x14ac:dyDescent="0.45">
      <c r="I1479" t="s">
        <v>192</v>
      </c>
      <c r="J1479" t="s">
        <v>275</v>
      </c>
      <c r="K1479">
        <v>6.9283811352865389E-3</v>
      </c>
      <c r="L1479" t="s">
        <v>168</v>
      </c>
      <c r="N1479" t="s">
        <v>216</v>
      </c>
      <c r="O1479" t="s">
        <v>275</v>
      </c>
      <c r="P1479">
        <v>2.4978610846339666E-3</v>
      </c>
      <c r="Q1479" t="s">
        <v>168</v>
      </c>
      <c r="S1479" t="s">
        <v>235</v>
      </c>
      <c r="T1479" t="s">
        <v>275</v>
      </c>
      <c r="U1479">
        <v>2.7661517468057801E-3</v>
      </c>
      <c r="V1479" t="s">
        <v>168</v>
      </c>
    </row>
    <row r="1480" spans="9:22" x14ac:dyDescent="0.45">
      <c r="I1480" t="s">
        <v>192</v>
      </c>
      <c r="J1480" t="s">
        <v>276</v>
      </c>
      <c r="K1480">
        <v>9.1833840298444595E-3</v>
      </c>
      <c r="L1480" t="s">
        <v>168</v>
      </c>
      <c r="N1480" t="s">
        <v>216</v>
      </c>
      <c r="O1480" t="s">
        <v>276</v>
      </c>
      <c r="P1480">
        <v>9.5998782113648137E-3</v>
      </c>
      <c r="Q1480" t="s">
        <v>168</v>
      </c>
      <c r="S1480" t="s">
        <v>235</v>
      </c>
      <c r="T1480" t="s">
        <v>276</v>
      </c>
      <c r="U1480">
        <v>1.7148894638503682E-2</v>
      </c>
      <c r="V1480" t="s">
        <v>168</v>
      </c>
    </row>
    <row r="1481" spans="9:22" x14ac:dyDescent="0.45">
      <c r="I1481" t="s">
        <v>192</v>
      </c>
      <c r="J1481" t="s">
        <v>341</v>
      </c>
      <c r="K1481">
        <v>0</v>
      </c>
      <c r="L1481" t="s">
        <v>168</v>
      </c>
      <c r="N1481" t="s">
        <v>216</v>
      </c>
      <c r="O1481" t="s">
        <v>341</v>
      </c>
      <c r="P1481">
        <v>7.1151855809778579E-7</v>
      </c>
      <c r="Q1481" t="s">
        <v>168</v>
      </c>
      <c r="S1481" t="s">
        <v>235</v>
      </c>
      <c r="T1481" t="s">
        <v>341</v>
      </c>
      <c r="U1481">
        <v>4.0133332873143249E-6</v>
      </c>
      <c r="V1481" t="s">
        <v>168</v>
      </c>
    </row>
    <row r="1482" spans="9:22" x14ac:dyDescent="0.45">
      <c r="I1482" t="s">
        <v>192</v>
      </c>
      <c r="J1482" t="s">
        <v>342</v>
      </c>
      <c r="K1482">
        <v>0</v>
      </c>
      <c r="L1482" t="s">
        <v>168</v>
      </c>
      <c r="N1482" t="s">
        <v>216</v>
      </c>
      <c r="O1482" t="s">
        <v>342</v>
      </c>
      <c r="P1482">
        <v>1.9595618703887619E-7</v>
      </c>
      <c r="Q1482" t="s">
        <v>168</v>
      </c>
      <c r="S1482" t="s">
        <v>235</v>
      </c>
      <c r="T1482" t="s">
        <v>342</v>
      </c>
      <c r="U1482">
        <v>4.4354361276928901E-6</v>
      </c>
      <c r="V1482" t="s">
        <v>168</v>
      </c>
    </row>
    <row r="1483" spans="9:22" x14ac:dyDescent="0.45">
      <c r="I1483" t="s">
        <v>192</v>
      </c>
      <c r="J1483" t="s">
        <v>343</v>
      </c>
      <c r="K1483">
        <v>0</v>
      </c>
      <c r="L1483" t="s">
        <v>168</v>
      </c>
      <c r="N1483" t="s">
        <v>216</v>
      </c>
      <c r="O1483" t="s">
        <v>343</v>
      </c>
      <c r="P1483">
        <v>2.5954667759450694E-7</v>
      </c>
      <c r="Q1483" t="s">
        <v>168</v>
      </c>
      <c r="S1483" t="s">
        <v>235</v>
      </c>
      <c r="T1483" t="s">
        <v>343</v>
      </c>
      <c r="U1483">
        <v>6.7955015694705968E-6</v>
      </c>
      <c r="V1483" t="s">
        <v>168</v>
      </c>
    </row>
    <row r="1484" spans="9:22" x14ac:dyDescent="0.45">
      <c r="I1484" t="s">
        <v>192</v>
      </c>
      <c r="J1484" t="s">
        <v>344</v>
      </c>
      <c r="K1484">
        <v>0</v>
      </c>
      <c r="L1484" t="s">
        <v>168</v>
      </c>
      <c r="N1484" t="s">
        <v>216</v>
      </c>
      <c r="O1484" t="s">
        <v>344</v>
      </c>
      <c r="P1484">
        <v>3.1759725509791768E-7</v>
      </c>
      <c r="Q1484" t="s">
        <v>168</v>
      </c>
      <c r="S1484" t="s">
        <v>235</v>
      </c>
      <c r="T1484" t="s">
        <v>344</v>
      </c>
      <c r="U1484">
        <v>1.1299887620011169E-5</v>
      </c>
      <c r="V1484" t="s">
        <v>168</v>
      </c>
    </row>
    <row r="1485" spans="9:22" x14ac:dyDescent="0.45">
      <c r="I1485" t="s">
        <v>192</v>
      </c>
      <c r="J1485" t="s">
        <v>345</v>
      </c>
      <c r="K1485">
        <v>0</v>
      </c>
      <c r="L1485" t="s">
        <v>168</v>
      </c>
      <c r="N1485" t="s">
        <v>216</v>
      </c>
      <c r="O1485" t="s">
        <v>345</v>
      </c>
      <c r="P1485">
        <v>1.6113862003012283E-6</v>
      </c>
      <c r="Q1485" t="s">
        <v>168</v>
      </c>
      <c r="S1485" t="s">
        <v>235</v>
      </c>
      <c r="T1485" t="s">
        <v>345</v>
      </c>
      <c r="U1485">
        <v>1.4888977812456955E-5</v>
      </c>
      <c r="V1485" t="s">
        <v>168</v>
      </c>
    </row>
    <row r="1486" spans="9:22" x14ac:dyDescent="0.45">
      <c r="I1486" t="s">
        <v>192</v>
      </c>
      <c r="J1486" t="s">
        <v>346</v>
      </c>
      <c r="K1486">
        <v>0</v>
      </c>
      <c r="L1486" t="s">
        <v>168</v>
      </c>
      <c r="N1486" t="s">
        <v>216</v>
      </c>
      <c r="O1486" t="s">
        <v>346</v>
      </c>
      <c r="P1486">
        <v>2.1898097409968408E-6</v>
      </c>
      <c r="Q1486" t="s">
        <v>168</v>
      </c>
      <c r="S1486" t="s">
        <v>235</v>
      </c>
      <c r="T1486" t="s">
        <v>346</v>
      </c>
      <c r="U1486">
        <v>1.5292061368699068E-5</v>
      </c>
      <c r="V1486" t="s">
        <v>168</v>
      </c>
    </row>
    <row r="1487" spans="9:22" x14ac:dyDescent="0.45">
      <c r="I1487" t="s">
        <v>192</v>
      </c>
      <c r="J1487" t="s">
        <v>347</v>
      </c>
      <c r="K1487">
        <v>0</v>
      </c>
      <c r="L1487" t="s">
        <v>168</v>
      </c>
      <c r="N1487" t="s">
        <v>216</v>
      </c>
      <c r="O1487" t="s">
        <v>347</v>
      </c>
      <c r="P1487">
        <v>2.8371334388086415E-6</v>
      </c>
      <c r="Q1487" t="s">
        <v>168</v>
      </c>
      <c r="S1487" t="s">
        <v>235</v>
      </c>
      <c r="T1487" t="s">
        <v>347</v>
      </c>
      <c r="U1487">
        <v>1.5202593586272704E-5</v>
      </c>
      <c r="V1487" t="s">
        <v>168</v>
      </c>
    </row>
    <row r="1488" spans="9:22" x14ac:dyDescent="0.45">
      <c r="I1488" t="s">
        <v>192</v>
      </c>
      <c r="J1488" t="s">
        <v>348</v>
      </c>
      <c r="K1488">
        <v>7.6664603546616652E-5</v>
      </c>
      <c r="L1488" t="s">
        <v>168</v>
      </c>
      <c r="N1488" t="s">
        <v>216</v>
      </c>
      <c r="O1488" t="s">
        <v>348</v>
      </c>
      <c r="P1488">
        <v>2.908507159243915E-6</v>
      </c>
      <c r="Q1488" t="s">
        <v>168</v>
      </c>
      <c r="S1488" t="s">
        <v>235</v>
      </c>
      <c r="T1488" t="s">
        <v>348</v>
      </c>
      <c r="U1488">
        <v>1.3835094473585722E-5</v>
      </c>
      <c r="V1488" t="s">
        <v>168</v>
      </c>
    </row>
    <row r="1489" spans="9:22" x14ac:dyDescent="0.45">
      <c r="I1489" t="s">
        <v>192</v>
      </c>
      <c r="J1489" t="s">
        <v>349</v>
      </c>
      <c r="K1489">
        <v>1.3009328507526438E-4</v>
      </c>
      <c r="L1489" t="s">
        <v>168</v>
      </c>
      <c r="N1489" t="s">
        <v>216</v>
      </c>
      <c r="O1489" t="s">
        <v>349</v>
      </c>
      <c r="P1489">
        <v>1.8017602635076809E-6</v>
      </c>
      <c r="Q1489" t="s">
        <v>168</v>
      </c>
      <c r="S1489" t="s">
        <v>235</v>
      </c>
      <c r="T1489" t="s">
        <v>349</v>
      </c>
      <c r="U1489">
        <v>1.1592880162443339E-5</v>
      </c>
      <c r="V1489" t="s">
        <v>168</v>
      </c>
    </row>
    <row r="1490" spans="9:22" x14ac:dyDescent="0.45">
      <c r="I1490" t="s">
        <v>192</v>
      </c>
      <c r="J1490" t="s">
        <v>350</v>
      </c>
      <c r="K1490">
        <v>1.6510168571368092E-4</v>
      </c>
      <c r="L1490" t="s">
        <v>168</v>
      </c>
      <c r="N1490" t="s">
        <v>216</v>
      </c>
      <c r="O1490" t="s">
        <v>350</v>
      </c>
      <c r="P1490">
        <v>3.7780986013495208E-7</v>
      </c>
      <c r="Q1490" t="s">
        <v>168</v>
      </c>
      <c r="S1490" t="s">
        <v>235</v>
      </c>
      <c r="T1490" t="s">
        <v>350</v>
      </c>
      <c r="U1490">
        <v>9.8232408658891073E-6</v>
      </c>
      <c r="V1490" t="s">
        <v>168</v>
      </c>
    </row>
    <row r="1491" spans="9:22" x14ac:dyDescent="0.45">
      <c r="I1491" t="s">
        <v>192</v>
      </c>
      <c r="J1491" t="s">
        <v>351</v>
      </c>
      <c r="K1491">
        <v>2.073250268533837E-4</v>
      </c>
      <c r="L1491" t="s">
        <v>168</v>
      </c>
      <c r="N1491" t="s">
        <v>216</v>
      </c>
      <c r="O1491" t="s">
        <v>351</v>
      </c>
      <c r="P1491">
        <v>5.8767543272531784E-7</v>
      </c>
      <c r="Q1491" t="s">
        <v>168</v>
      </c>
      <c r="S1491" t="s">
        <v>235</v>
      </c>
      <c r="T1491" t="s">
        <v>351</v>
      </c>
      <c r="U1491">
        <v>1.1035661781308364E-5</v>
      </c>
      <c r="V1491" t="s">
        <v>168</v>
      </c>
    </row>
    <row r="1492" spans="9:22" x14ac:dyDescent="0.45">
      <c r="I1492" t="s">
        <v>192</v>
      </c>
      <c r="J1492" t="s">
        <v>352</v>
      </c>
      <c r="K1492">
        <v>2.8441874859932748E-4</v>
      </c>
      <c r="L1492" t="s">
        <v>168</v>
      </c>
      <c r="N1492" t="s">
        <v>216</v>
      </c>
      <c r="O1492" t="s">
        <v>352</v>
      </c>
      <c r="P1492">
        <v>8.4666085957628615E-7</v>
      </c>
      <c r="Q1492" t="s">
        <v>168</v>
      </c>
      <c r="S1492" t="s">
        <v>235</v>
      </c>
      <c r="T1492" t="s">
        <v>352</v>
      </c>
      <c r="U1492">
        <v>1.4279429037838991E-5</v>
      </c>
      <c r="V1492" t="s">
        <v>168</v>
      </c>
    </row>
    <row r="1493" spans="9:22" x14ac:dyDescent="0.45">
      <c r="I1493" t="s">
        <v>192</v>
      </c>
      <c r="J1493" t="s">
        <v>353</v>
      </c>
      <c r="K1493">
        <v>2.5632050555180673E-4</v>
      </c>
      <c r="L1493" t="s">
        <v>168</v>
      </c>
      <c r="N1493" t="s">
        <v>216</v>
      </c>
      <c r="O1493" t="s">
        <v>353</v>
      </c>
      <c r="P1493">
        <v>2.7175792595137817E-6</v>
      </c>
      <c r="Q1493" t="s">
        <v>168</v>
      </c>
      <c r="S1493" t="s">
        <v>235</v>
      </c>
      <c r="T1493" t="s">
        <v>353</v>
      </c>
      <c r="U1493">
        <v>2.0265024802662101E-5</v>
      </c>
      <c r="V1493" t="s">
        <v>168</v>
      </c>
    </row>
    <row r="1494" spans="9:22" x14ac:dyDescent="0.45">
      <c r="I1494" t="s">
        <v>192</v>
      </c>
      <c r="J1494" t="s">
        <v>354</v>
      </c>
      <c r="K1494">
        <v>2.4554628603669197E-4</v>
      </c>
      <c r="L1494" t="s">
        <v>168</v>
      </c>
      <c r="N1494" t="s">
        <v>216</v>
      </c>
      <c r="O1494" t="s">
        <v>354</v>
      </c>
      <c r="P1494">
        <v>8.1645613195203261E-6</v>
      </c>
      <c r="Q1494" t="s">
        <v>168</v>
      </c>
      <c r="S1494" t="s">
        <v>235</v>
      </c>
      <c r="T1494" t="s">
        <v>354</v>
      </c>
      <c r="U1494">
        <v>2.1683757313913364E-5</v>
      </c>
      <c r="V1494" t="s">
        <v>168</v>
      </c>
    </row>
    <row r="1495" spans="9:22" x14ac:dyDescent="0.45">
      <c r="I1495" t="s">
        <v>192</v>
      </c>
      <c r="J1495" t="s">
        <v>355</v>
      </c>
      <c r="K1495">
        <v>2.6648054752353311E-4</v>
      </c>
      <c r="L1495" t="s">
        <v>168</v>
      </c>
      <c r="N1495" t="s">
        <v>216</v>
      </c>
      <c r="O1495" t="s">
        <v>355</v>
      </c>
      <c r="P1495">
        <v>1.1022117229423035E-5</v>
      </c>
      <c r="Q1495" t="s">
        <v>168</v>
      </c>
      <c r="S1495" t="s">
        <v>235</v>
      </c>
      <c r="T1495" t="s">
        <v>355</v>
      </c>
      <c r="U1495">
        <v>1.841282465102703E-5</v>
      </c>
      <c r="V1495" t="s">
        <v>168</v>
      </c>
    </row>
    <row r="1496" spans="9:22" x14ac:dyDescent="0.45">
      <c r="I1496" t="s">
        <v>192</v>
      </c>
      <c r="J1496" t="s">
        <v>356</v>
      </c>
      <c r="K1496">
        <v>2.5929274324871425E-4</v>
      </c>
      <c r="L1496" t="s">
        <v>168</v>
      </c>
      <c r="N1496" t="s">
        <v>216</v>
      </c>
      <c r="O1496" t="s">
        <v>356</v>
      </c>
      <c r="P1496">
        <v>1.1610246555492745E-5</v>
      </c>
      <c r="Q1496" t="s">
        <v>168</v>
      </c>
      <c r="S1496" t="s">
        <v>235</v>
      </c>
      <c r="T1496" t="s">
        <v>356</v>
      </c>
      <c r="U1496">
        <v>1.4095219876121531E-5</v>
      </c>
      <c r="V1496" t="s">
        <v>168</v>
      </c>
    </row>
    <row r="1497" spans="9:22" x14ac:dyDescent="0.45">
      <c r="I1497" t="s">
        <v>192</v>
      </c>
      <c r="J1497" t="s">
        <v>357</v>
      </c>
      <c r="K1497">
        <v>2.3758343979556615E-4</v>
      </c>
      <c r="L1497" t="s">
        <v>168</v>
      </c>
      <c r="N1497" t="s">
        <v>216</v>
      </c>
      <c r="O1497" t="s">
        <v>357</v>
      </c>
      <c r="P1497">
        <v>1.2892095598762738E-5</v>
      </c>
      <c r="Q1497" t="s">
        <v>168</v>
      </c>
      <c r="S1497" t="s">
        <v>235</v>
      </c>
      <c r="T1497" t="s">
        <v>357</v>
      </c>
      <c r="U1497">
        <v>1.0625929365957319E-5</v>
      </c>
      <c r="V1497" t="s">
        <v>168</v>
      </c>
    </row>
    <row r="1498" spans="9:22" x14ac:dyDescent="0.45">
      <c r="I1498" t="s">
        <v>192</v>
      </c>
      <c r="J1498" t="s">
        <v>358</v>
      </c>
      <c r="K1498">
        <v>1.9690243682565341E-4</v>
      </c>
      <c r="L1498" t="s">
        <v>168</v>
      </c>
      <c r="N1498" t="s">
        <v>216</v>
      </c>
      <c r="O1498" t="s">
        <v>358</v>
      </c>
      <c r="P1498">
        <v>1.5187653696928641E-5</v>
      </c>
      <c r="Q1498" t="s">
        <v>168</v>
      </c>
      <c r="S1498" t="s">
        <v>235</v>
      </c>
      <c r="T1498" t="s">
        <v>358</v>
      </c>
      <c r="U1498">
        <v>8.2575228205548552E-6</v>
      </c>
      <c r="V1498" t="s">
        <v>168</v>
      </c>
    </row>
    <row r="1499" spans="9:22" x14ac:dyDescent="0.45">
      <c r="I1499" t="s">
        <v>192</v>
      </c>
      <c r="J1499" t="s">
        <v>359</v>
      </c>
      <c r="K1499">
        <v>1.0613116890090816E-4</v>
      </c>
      <c r="L1499" t="s">
        <v>168</v>
      </c>
      <c r="N1499" t="s">
        <v>216</v>
      </c>
      <c r="O1499" t="s">
        <v>359</v>
      </c>
      <c r="P1499">
        <v>1.7716163632559513E-5</v>
      </c>
      <c r="Q1499" t="s">
        <v>168</v>
      </c>
      <c r="S1499" t="s">
        <v>235</v>
      </c>
      <c r="T1499" t="s">
        <v>359</v>
      </c>
      <c r="U1499">
        <v>8.1244080454301089E-6</v>
      </c>
      <c r="V1499" t="s">
        <v>168</v>
      </c>
    </row>
    <row r="1500" spans="9:22" x14ac:dyDescent="0.45">
      <c r="I1500" t="s">
        <v>192</v>
      </c>
      <c r="J1500" t="s">
        <v>360</v>
      </c>
      <c r="K1500">
        <v>0</v>
      </c>
      <c r="L1500" t="s">
        <v>168</v>
      </c>
      <c r="N1500" t="s">
        <v>216</v>
      </c>
      <c r="O1500" t="s">
        <v>360</v>
      </c>
      <c r="P1500">
        <v>1.4316837892785094E-5</v>
      </c>
      <c r="Q1500" t="s">
        <v>168</v>
      </c>
      <c r="S1500" t="s">
        <v>235</v>
      </c>
      <c r="T1500" t="s">
        <v>360</v>
      </c>
      <c r="U1500">
        <v>9.9536796523782082E-6</v>
      </c>
      <c r="V1500" t="s">
        <v>168</v>
      </c>
    </row>
    <row r="1501" spans="9:22" x14ac:dyDescent="0.45">
      <c r="I1501" t="s">
        <v>192</v>
      </c>
      <c r="J1501" t="s">
        <v>361</v>
      </c>
      <c r="K1501">
        <v>0</v>
      </c>
      <c r="L1501" t="s">
        <v>168</v>
      </c>
      <c r="N1501" t="s">
        <v>216</v>
      </c>
      <c r="O1501" t="s">
        <v>361</v>
      </c>
      <c r="P1501">
        <v>1.2741925430749548E-5</v>
      </c>
      <c r="Q1501" t="s">
        <v>168</v>
      </c>
      <c r="S1501" t="s">
        <v>235</v>
      </c>
      <c r="T1501" t="s">
        <v>361</v>
      </c>
      <c r="U1501">
        <v>1.4288976508576853E-5</v>
      </c>
      <c r="V1501" t="s">
        <v>168</v>
      </c>
    </row>
    <row r="1502" spans="9:22" x14ac:dyDescent="0.45">
      <c r="I1502" t="s">
        <v>192</v>
      </c>
      <c r="J1502" t="s">
        <v>362</v>
      </c>
      <c r="K1502">
        <v>0</v>
      </c>
      <c r="L1502" t="s">
        <v>168</v>
      </c>
      <c r="N1502" t="s">
        <v>216</v>
      </c>
      <c r="O1502" t="s">
        <v>362</v>
      </c>
      <c r="P1502">
        <v>1.3547213701168477E-5</v>
      </c>
      <c r="Q1502" t="s">
        <v>168</v>
      </c>
      <c r="S1502" t="s">
        <v>235</v>
      </c>
      <c r="T1502" t="s">
        <v>362</v>
      </c>
      <c r="U1502">
        <v>1.968655613618518E-5</v>
      </c>
      <c r="V1502" t="s">
        <v>168</v>
      </c>
    </row>
    <row r="1503" spans="9:22" x14ac:dyDescent="0.45">
      <c r="I1503" t="s">
        <v>192</v>
      </c>
      <c r="J1503" t="s">
        <v>363</v>
      </c>
      <c r="K1503">
        <v>0</v>
      </c>
      <c r="L1503" t="s">
        <v>168</v>
      </c>
      <c r="N1503" t="s">
        <v>216</v>
      </c>
      <c r="O1503" t="s">
        <v>363</v>
      </c>
      <c r="P1503">
        <v>1.409072870401363E-5</v>
      </c>
      <c r="Q1503" t="s">
        <v>168</v>
      </c>
      <c r="S1503" t="s">
        <v>235</v>
      </c>
      <c r="T1503" t="s">
        <v>363</v>
      </c>
      <c r="U1503">
        <v>2.0969105364152365E-5</v>
      </c>
      <c r="V1503" t="s">
        <v>168</v>
      </c>
    </row>
    <row r="1504" spans="9:22" x14ac:dyDescent="0.45">
      <c r="I1504" t="s">
        <v>192</v>
      </c>
      <c r="J1504" t="s">
        <v>364</v>
      </c>
      <c r="K1504">
        <v>0</v>
      </c>
      <c r="L1504" t="s">
        <v>168</v>
      </c>
      <c r="N1504" t="s">
        <v>216</v>
      </c>
      <c r="O1504" t="s">
        <v>364</v>
      </c>
      <c r="P1504">
        <v>1.5335747117370823E-5</v>
      </c>
      <c r="Q1504" t="s">
        <v>168</v>
      </c>
      <c r="S1504" t="s">
        <v>235</v>
      </c>
      <c r="T1504" t="s">
        <v>364</v>
      </c>
      <c r="U1504">
        <v>2.0549548153214801E-5</v>
      </c>
      <c r="V1504" t="s">
        <v>168</v>
      </c>
    </row>
    <row r="1505" spans="9:22" x14ac:dyDescent="0.45">
      <c r="I1505" t="s">
        <v>192</v>
      </c>
      <c r="J1505" t="s">
        <v>277</v>
      </c>
      <c r="K1505">
        <v>6.0329207473427591E-4</v>
      </c>
      <c r="L1505" t="s">
        <v>168</v>
      </c>
      <c r="N1505" t="s">
        <v>216</v>
      </c>
      <c r="O1505" t="s">
        <v>277</v>
      </c>
      <c r="P1505">
        <v>4.4572174021666584E-2</v>
      </c>
      <c r="Q1505" t="s">
        <v>168</v>
      </c>
      <c r="S1505" t="s">
        <v>235</v>
      </c>
      <c r="T1505" t="s">
        <v>277</v>
      </c>
      <c r="U1505">
        <v>3.9241109232416839E-2</v>
      </c>
      <c r="V1505" t="s">
        <v>168</v>
      </c>
    </row>
    <row r="1506" spans="9:22" x14ac:dyDescent="0.45">
      <c r="I1506" t="s">
        <v>192</v>
      </c>
      <c r="J1506" t="s">
        <v>278</v>
      </c>
      <c r="K1506">
        <v>3.4458675449672363E-3</v>
      </c>
      <c r="L1506" t="s">
        <v>168</v>
      </c>
      <c r="N1506" t="s">
        <v>216</v>
      </c>
      <c r="O1506" t="s">
        <v>278</v>
      </c>
      <c r="P1506">
        <v>5.4972403790275043E-3</v>
      </c>
      <c r="Q1506" t="s">
        <v>168</v>
      </c>
      <c r="S1506" t="s">
        <v>235</v>
      </c>
      <c r="T1506" t="s">
        <v>278</v>
      </c>
      <c r="U1506">
        <v>4.8609883453885625E-3</v>
      </c>
      <c r="V1506" t="s">
        <v>168</v>
      </c>
    </row>
    <row r="1507" spans="9:22" x14ac:dyDescent="0.45">
      <c r="I1507" t="s">
        <v>192</v>
      </c>
      <c r="J1507" t="s">
        <v>279</v>
      </c>
      <c r="K1507">
        <v>7.3112506706024382E-3</v>
      </c>
      <c r="L1507" t="s">
        <v>168</v>
      </c>
      <c r="N1507" t="s">
        <v>216</v>
      </c>
      <c r="O1507" t="s">
        <v>279</v>
      </c>
      <c r="P1507">
        <v>5.6178535906813007E-3</v>
      </c>
      <c r="Q1507" t="s">
        <v>168</v>
      </c>
      <c r="S1507" t="s">
        <v>235</v>
      </c>
      <c r="T1507" t="s">
        <v>279</v>
      </c>
      <c r="U1507">
        <v>5.0530355551258385E-3</v>
      </c>
      <c r="V1507" t="s">
        <v>168</v>
      </c>
    </row>
    <row r="1508" spans="9:22" x14ac:dyDescent="0.45">
      <c r="I1508" t="s">
        <v>192</v>
      </c>
      <c r="J1508" t="s">
        <v>280</v>
      </c>
      <c r="K1508">
        <v>6.8879972801073136E-2</v>
      </c>
      <c r="L1508" t="s">
        <v>168</v>
      </c>
      <c r="N1508" t="s">
        <v>216</v>
      </c>
      <c r="O1508" t="s">
        <v>280</v>
      </c>
      <c r="P1508">
        <v>4.6062102648695188E-2</v>
      </c>
      <c r="Q1508" t="s">
        <v>168</v>
      </c>
      <c r="S1508" t="s">
        <v>235</v>
      </c>
      <c r="T1508" t="s">
        <v>280</v>
      </c>
      <c r="U1508">
        <v>3.3602745103772605E-2</v>
      </c>
      <c r="V1508" t="s">
        <v>168</v>
      </c>
    </row>
    <row r="1509" spans="9:22" x14ac:dyDescent="0.45">
      <c r="I1509" t="s">
        <v>192</v>
      </c>
      <c r="J1509" t="s">
        <v>281</v>
      </c>
      <c r="K1509">
        <v>8.3514047486137385E-3</v>
      </c>
      <c r="L1509" t="s">
        <v>168</v>
      </c>
      <c r="N1509" t="s">
        <v>216</v>
      </c>
      <c r="O1509" t="s">
        <v>281</v>
      </c>
      <c r="P1509">
        <v>7.4273691635681136E-3</v>
      </c>
      <c r="Q1509" t="s">
        <v>168</v>
      </c>
      <c r="S1509" t="s">
        <v>235</v>
      </c>
      <c r="T1509" t="s">
        <v>281</v>
      </c>
      <c r="U1509">
        <v>5.6806850109476642E-3</v>
      </c>
      <c r="V1509" t="s">
        <v>168</v>
      </c>
    </row>
    <row r="1510" spans="9:22" x14ac:dyDescent="0.45">
      <c r="I1510" t="s">
        <v>192</v>
      </c>
      <c r="J1510" t="s">
        <v>282</v>
      </c>
      <c r="K1510">
        <v>4.0310893474177645E-3</v>
      </c>
      <c r="L1510" t="s">
        <v>168</v>
      </c>
      <c r="N1510" t="s">
        <v>216</v>
      </c>
      <c r="O1510" t="s">
        <v>282</v>
      </c>
      <c r="P1510">
        <v>4.0214650946605639E-2</v>
      </c>
      <c r="Q1510" t="s">
        <v>168</v>
      </c>
      <c r="S1510" t="s">
        <v>235</v>
      </c>
      <c r="T1510" t="s">
        <v>282</v>
      </c>
      <c r="U1510">
        <v>3.8100544117841431E-2</v>
      </c>
      <c r="V1510" t="s">
        <v>168</v>
      </c>
    </row>
    <row r="1511" spans="9:22" x14ac:dyDescent="0.45">
      <c r="I1511" t="s">
        <v>192</v>
      </c>
      <c r="J1511" t="s">
        <v>283</v>
      </c>
      <c r="K1511">
        <v>0</v>
      </c>
      <c r="L1511" t="s">
        <v>168</v>
      </c>
      <c r="N1511" t="s">
        <v>216</v>
      </c>
      <c r="O1511" t="s">
        <v>283</v>
      </c>
      <c r="P1511">
        <v>1.910831973488842E-2</v>
      </c>
      <c r="Q1511" t="s">
        <v>168</v>
      </c>
      <c r="S1511" t="s">
        <v>235</v>
      </c>
      <c r="T1511" t="s">
        <v>283</v>
      </c>
      <c r="U1511">
        <v>2.4210859025873374E-2</v>
      </c>
      <c r="V1511" t="s">
        <v>168</v>
      </c>
    </row>
    <row r="1512" spans="9:22" x14ac:dyDescent="0.45">
      <c r="I1512" t="s">
        <v>192</v>
      </c>
      <c r="J1512" t="s">
        <v>284</v>
      </c>
      <c r="K1512">
        <v>0</v>
      </c>
      <c r="L1512" t="s">
        <v>168</v>
      </c>
      <c r="N1512" t="s">
        <v>216</v>
      </c>
      <c r="O1512" t="s">
        <v>284</v>
      </c>
      <c r="P1512">
        <v>1.8987631825082083E-3</v>
      </c>
      <c r="Q1512" t="s">
        <v>168</v>
      </c>
      <c r="S1512" t="s">
        <v>235</v>
      </c>
      <c r="T1512" t="s">
        <v>284</v>
      </c>
      <c r="U1512">
        <v>2.7127313479887085E-3</v>
      </c>
      <c r="V1512" t="s">
        <v>168</v>
      </c>
    </row>
    <row r="1513" spans="9:22" x14ac:dyDescent="0.45">
      <c r="I1513" t="s">
        <v>192</v>
      </c>
      <c r="J1513" t="s">
        <v>285</v>
      </c>
      <c r="K1513">
        <v>3.8014058473235372E-3</v>
      </c>
      <c r="L1513" t="s">
        <v>168</v>
      </c>
      <c r="N1513" t="s">
        <v>216</v>
      </c>
      <c r="O1513" t="s">
        <v>285</v>
      </c>
      <c r="P1513">
        <v>1.7313011713463134E-3</v>
      </c>
      <c r="Q1513" t="s">
        <v>168</v>
      </c>
      <c r="S1513" t="s">
        <v>235</v>
      </c>
      <c r="T1513" t="s">
        <v>285</v>
      </c>
      <c r="U1513">
        <v>2.6303411805609911E-3</v>
      </c>
      <c r="V1513" t="s">
        <v>168</v>
      </c>
    </row>
    <row r="1514" spans="9:22" x14ac:dyDescent="0.45">
      <c r="I1514" t="s">
        <v>192</v>
      </c>
      <c r="J1514" t="s">
        <v>286</v>
      </c>
      <c r="K1514">
        <v>3.6615715441720723E-2</v>
      </c>
      <c r="L1514" t="s">
        <v>168</v>
      </c>
      <c r="N1514" t="s">
        <v>216</v>
      </c>
      <c r="O1514" t="s">
        <v>286</v>
      </c>
      <c r="P1514">
        <v>1.0989853730313798E-2</v>
      </c>
      <c r="Q1514" t="s">
        <v>168</v>
      </c>
      <c r="S1514" t="s">
        <v>235</v>
      </c>
      <c r="T1514" t="s">
        <v>286</v>
      </c>
      <c r="U1514">
        <v>1.4685429438843043E-2</v>
      </c>
      <c r="V1514" t="s">
        <v>168</v>
      </c>
    </row>
    <row r="1515" spans="9:22" x14ac:dyDescent="0.45">
      <c r="I1515" t="s">
        <v>192</v>
      </c>
      <c r="J1515" t="s">
        <v>287</v>
      </c>
      <c r="K1515">
        <v>3.9736798440847699E-3</v>
      </c>
      <c r="L1515" t="s">
        <v>168</v>
      </c>
      <c r="N1515" t="s">
        <v>216</v>
      </c>
      <c r="O1515" t="s">
        <v>287</v>
      </c>
      <c r="P1515">
        <v>1.9356560983609669E-3</v>
      </c>
      <c r="Q1515" t="s">
        <v>168</v>
      </c>
      <c r="S1515" t="s">
        <v>235</v>
      </c>
      <c r="T1515" t="s">
        <v>287</v>
      </c>
      <c r="U1515">
        <v>2.7587774001457568E-3</v>
      </c>
      <c r="V1515" t="s">
        <v>168</v>
      </c>
    </row>
    <row r="1516" spans="9:22" x14ac:dyDescent="0.45">
      <c r="I1516" t="s">
        <v>192</v>
      </c>
      <c r="J1516" t="s">
        <v>288</v>
      </c>
      <c r="K1516">
        <v>0</v>
      </c>
      <c r="L1516" t="s">
        <v>168</v>
      </c>
      <c r="N1516" t="s">
        <v>216</v>
      </c>
      <c r="O1516" t="s">
        <v>288</v>
      </c>
      <c r="P1516">
        <v>1.3528816557678965E-2</v>
      </c>
      <c r="Q1516" t="s">
        <v>168</v>
      </c>
      <c r="S1516" t="s">
        <v>235</v>
      </c>
      <c r="T1516" t="s">
        <v>288</v>
      </c>
      <c r="U1516">
        <v>2.2009448947198182E-2</v>
      </c>
      <c r="V1516" t="s">
        <v>168</v>
      </c>
    </row>
    <row r="1517" spans="9:22" x14ac:dyDescent="0.45">
      <c r="I1517" t="s">
        <v>192</v>
      </c>
      <c r="J1517" t="s">
        <v>365</v>
      </c>
      <c r="K1517">
        <v>0</v>
      </c>
      <c r="L1517" t="s">
        <v>168</v>
      </c>
      <c r="N1517" t="s">
        <v>216</v>
      </c>
      <c r="O1517" t="s">
        <v>365</v>
      </c>
      <c r="P1517">
        <v>1.0611473027241936E-5</v>
      </c>
      <c r="Q1517" t="s">
        <v>168</v>
      </c>
      <c r="S1517" t="s">
        <v>235</v>
      </c>
      <c r="T1517" t="s">
        <v>365</v>
      </c>
      <c r="U1517">
        <v>6.8471642561011793E-5</v>
      </c>
      <c r="V1517" t="s">
        <v>168</v>
      </c>
    </row>
    <row r="1518" spans="9:22" x14ac:dyDescent="0.45">
      <c r="I1518" t="s">
        <v>192</v>
      </c>
      <c r="J1518" t="s">
        <v>366</v>
      </c>
      <c r="K1518">
        <v>0</v>
      </c>
      <c r="L1518" t="s">
        <v>168</v>
      </c>
      <c r="N1518" t="s">
        <v>216</v>
      </c>
      <c r="O1518" t="s">
        <v>366</v>
      </c>
      <c r="P1518">
        <v>1.2220227366873872E-5</v>
      </c>
      <c r="Q1518" t="s">
        <v>168</v>
      </c>
      <c r="S1518" t="s">
        <v>235</v>
      </c>
      <c r="T1518" t="s">
        <v>366</v>
      </c>
      <c r="U1518">
        <v>6.853512358376908E-5</v>
      </c>
      <c r="V1518" t="s">
        <v>168</v>
      </c>
    </row>
    <row r="1519" spans="9:22" x14ac:dyDescent="0.45">
      <c r="I1519" t="s">
        <v>192</v>
      </c>
      <c r="J1519" t="s">
        <v>367</v>
      </c>
      <c r="K1519">
        <v>0</v>
      </c>
      <c r="L1519" t="s">
        <v>168</v>
      </c>
      <c r="N1519" t="s">
        <v>216</v>
      </c>
      <c r="O1519" t="s">
        <v>367</v>
      </c>
      <c r="P1519">
        <v>9.5362447979332008E-6</v>
      </c>
      <c r="Q1519" t="s">
        <v>168</v>
      </c>
      <c r="S1519" t="s">
        <v>235</v>
      </c>
      <c r="T1519" t="s">
        <v>367</v>
      </c>
      <c r="U1519">
        <v>6.2219813333659694E-5</v>
      </c>
      <c r="V1519" t="s">
        <v>168</v>
      </c>
    </row>
    <row r="1520" spans="9:22" x14ac:dyDescent="0.45">
      <c r="I1520" t="s">
        <v>192</v>
      </c>
      <c r="J1520" t="s">
        <v>368</v>
      </c>
      <c r="K1520">
        <v>0</v>
      </c>
      <c r="L1520" t="s">
        <v>168</v>
      </c>
      <c r="N1520" t="s">
        <v>216</v>
      </c>
      <c r="O1520" t="s">
        <v>368</v>
      </c>
      <c r="P1520">
        <v>7.6029030588364683E-6</v>
      </c>
      <c r="Q1520" t="s">
        <v>168</v>
      </c>
      <c r="S1520" t="s">
        <v>235</v>
      </c>
      <c r="T1520" t="s">
        <v>368</v>
      </c>
      <c r="U1520">
        <v>5.4643083004961437E-5</v>
      </c>
      <c r="V1520" t="s">
        <v>168</v>
      </c>
    </row>
    <row r="1521" spans="9:22" x14ac:dyDescent="0.45">
      <c r="I1521" t="s">
        <v>192</v>
      </c>
      <c r="J1521" t="s">
        <v>369</v>
      </c>
      <c r="K1521">
        <v>0</v>
      </c>
      <c r="L1521" t="s">
        <v>168</v>
      </c>
      <c r="N1521" t="s">
        <v>216</v>
      </c>
      <c r="O1521" t="s">
        <v>369</v>
      </c>
      <c r="P1521">
        <v>8.8635033405646438E-6</v>
      </c>
      <c r="Q1521" t="s">
        <v>168</v>
      </c>
      <c r="S1521" t="s">
        <v>235</v>
      </c>
      <c r="T1521" t="s">
        <v>369</v>
      </c>
      <c r="U1521">
        <v>4.3792083247436326E-5</v>
      </c>
      <c r="V1521" t="s">
        <v>168</v>
      </c>
    </row>
    <row r="1522" spans="9:22" x14ac:dyDescent="0.45">
      <c r="I1522" t="s">
        <v>192</v>
      </c>
      <c r="J1522" t="s">
        <v>370</v>
      </c>
      <c r="K1522">
        <v>0</v>
      </c>
      <c r="L1522" t="s">
        <v>168</v>
      </c>
      <c r="N1522" t="s">
        <v>216</v>
      </c>
      <c r="O1522" t="s">
        <v>370</v>
      </c>
      <c r="P1522">
        <v>8.1330126935454232E-6</v>
      </c>
      <c r="Q1522" t="s">
        <v>168</v>
      </c>
      <c r="S1522" t="s">
        <v>235</v>
      </c>
      <c r="T1522" t="s">
        <v>370</v>
      </c>
      <c r="U1522">
        <v>3.9184285920700652E-5</v>
      </c>
      <c r="V1522" t="s">
        <v>168</v>
      </c>
    </row>
    <row r="1523" spans="9:22" x14ac:dyDescent="0.45">
      <c r="I1523" t="s">
        <v>192</v>
      </c>
      <c r="J1523" t="s">
        <v>371</v>
      </c>
      <c r="K1523">
        <v>0</v>
      </c>
      <c r="L1523" t="s">
        <v>168</v>
      </c>
      <c r="N1523" t="s">
        <v>216</v>
      </c>
      <c r="O1523" t="s">
        <v>371</v>
      </c>
      <c r="P1523">
        <v>7.2629582632210177E-6</v>
      </c>
      <c r="Q1523" t="s">
        <v>168</v>
      </c>
      <c r="S1523" t="s">
        <v>235</v>
      </c>
      <c r="T1523" t="s">
        <v>371</v>
      </c>
      <c r="U1523">
        <v>3.4787875038260259E-5</v>
      </c>
      <c r="V1523" t="s">
        <v>168</v>
      </c>
    </row>
    <row r="1524" spans="9:22" x14ac:dyDescent="0.45">
      <c r="I1524" t="s">
        <v>192</v>
      </c>
      <c r="J1524" t="s">
        <v>372</v>
      </c>
      <c r="K1524">
        <v>0</v>
      </c>
      <c r="L1524" t="s">
        <v>168</v>
      </c>
      <c r="N1524" t="s">
        <v>216</v>
      </c>
      <c r="O1524" t="s">
        <v>372</v>
      </c>
      <c r="P1524">
        <v>5.7298099448228436E-6</v>
      </c>
      <c r="Q1524" t="s">
        <v>168</v>
      </c>
      <c r="S1524" t="s">
        <v>235</v>
      </c>
      <c r="T1524" t="s">
        <v>372</v>
      </c>
      <c r="U1524">
        <v>3.331594234176506E-5</v>
      </c>
      <c r="V1524" t="s">
        <v>168</v>
      </c>
    </row>
    <row r="1525" spans="9:22" x14ac:dyDescent="0.45">
      <c r="I1525" t="s">
        <v>192</v>
      </c>
      <c r="J1525" t="s">
        <v>373</v>
      </c>
      <c r="K1525">
        <v>0</v>
      </c>
      <c r="L1525" t="s">
        <v>168</v>
      </c>
      <c r="N1525" t="s">
        <v>216</v>
      </c>
      <c r="O1525" t="s">
        <v>373</v>
      </c>
      <c r="P1525">
        <v>4.29636290434015E-6</v>
      </c>
      <c r="Q1525" t="s">
        <v>168</v>
      </c>
      <c r="S1525" t="s">
        <v>235</v>
      </c>
      <c r="T1525" t="s">
        <v>373</v>
      </c>
      <c r="U1525">
        <v>3.1444088312205977E-5</v>
      </c>
      <c r="V1525" t="s">
        <v>168</v>
      </c>
    </row>
    <row r="1526" spans="9:22" x14ac:dyDescent="0.45">
      <c r="I1526" t="s">
        <v>192</v>
      </c>
      <c r="J1526" t="s">
        <v>374</v>
      </c>
      <c r="K1526">
        <v>1.0597672554365656E-4</v>
      </c>
      <c r="L1526" t="s">
        <v>168</v>
      </c>
      <c r="N1526" t="s">
        <v>216</v>
      </c>
      <c r="O1526" t="s">
        <v>374</v>
      </c>
      <c r="P1526">
        <v>3.7149587598827701E-6</v>
      </c>
      <c r="Q1526" t="s">
        <v>168</v>
      </c>
      <c r="S1526" t="s">
        <v>235</v>
      </c>
      <c r="T1526" t="s">
        <v>374</v>
      </c>
      <c r="U1526">
        <v>2.8530049595597445E-5</v>
      </c>
      <c r="V1526" t="s">
        <v>168</v>
      </c>
    </row>
    <row r="1527" spans="9:22" x14ac:dyDescent="0.45">
      <c r="I1527" t="s">
        <v>192</v>
      </c>
      <c r="J1527" t="s">
        <v>375</v>
      </c>
      <c r="K1527">
        <v>1.8638041799133939E-4</v>
      </c>
      <c r="L1527" t="s">
        <v>168</v>
      </c>
      <c r="N1527" t="s">
        <v>216</v>
      </c>
      <c r="O1527" t="s">
        <v>375</v>
      </c>
      <c r="P1527">
        <v>2.6021098409722093E-6</v>
      </c>
      <c r="Q1527" t="s">
        <v>168</v>
      </c>
      <c r="S1527" t="s">
        <v>235</v>
      </c>
      <c r="T1527" t="s">
        <v>375</v>
      </c>
      <c r="U1527">
        <v>2.4849918481756863E-5</v>
      </c>
      <c r="V1527" t="s">
        <v>168</v>
      </c>
    </row>
    <row r="1528" spans="9:22" x14ac:dyDescent="0.45">
      <c r="I1528" t="s">
        <v>192</v>
      </c>
      <c r="J1528" t="s">
        <v>376</v>
      </c>
      <c r="K1528">
        <v>2.5160178943233797E-4</v>
      </c>
      <c r="L1528" t="s">
        <v>168</v>
      </c>
      <c r="N1528" t="s">
        <v>216</v>
      </c>
      <c r="O1528" t="s">
        <v>376</v>
      </c>
      <c r="P1528">
        <v>7.0697131752825781E-7</v>
      </c>
      <c r="Q1528" t="s">
        <v>168</v>
      </c>
      <c r="S1528" t="s">
        <v>235</v>
      </c>
      <c r="T1528" t="s">
        <v>376</v>
      </c>
      <c r="U1528">
        <v>7.2839044895316499E-6</v>
      </c>
      <c r="V1528" t="s">
        <v>168</v>
      </c>
    </row>
    <row r="1529" spans="9:22" x14ac:dyDescent="0.45">
      <c r="I1529" t="s">
        <v>192</v>
      </c>
      <c r="J1529" t="s">
        <v>377</v>
      </c>
      <c r="K1529">
        <v>1.8772963952534474E-4</v>
      </c>
      <c r="L1529" t="s">
        <v>168</v>
      </c>
      <c r="N1529" t="s">
        <v>216</v>
      </c>
      <c r="O1529" t="s">
        <v>377</v>
      </c>
      <c r="P1529">
        <v>1.0497694486715191E-6</v>
      </c>
      <c r="Q1529" t="s">
        <v>168</v>
      </c>
      <c r="S1529" t="s">
        <v>235</v>
      </c>
      <c r="T1529" t="s">
        <v>377</v>
      </c>
      <c r="U1529">
        <v>4.8828810257941709E-6</v>
      </c>
      <c r="V1529" t="s">
        <v>168</v>
      </c>
    </row>
    <row r="1530" spans="9:22" x14ac:dyDescent="0.45">
      <c r="I1530" t="s">
        <v>192</v>
      </c>
      <c r="J1530" t="s">
        <v>378</v>
      </c>
      <c r="K1530">
        <v>1.9467204920769549E-4</v>
      </c>
      <c r="L1530" t="s">
        <v>168</v>
      </c>
      <c r="N1530" t="s">
        <v>216</v>
      </c>
      <c r="O1530" t="s">
        <v>378</v>
      </c>
      <c r="P1530">
        <v>5.2353962650285245E-7</v>
      </c>
      <c r="Q1530" t="s">
        <v>168</v>
      </c>
      <c r="S1530" t="s">
        <v>235</v>
      </c>
      <c r="T1530" t="s">
        <v>378</v>
      </c>
      <c r="U1530">
        <v>3.6534565006407914E-6</v>
      </c>
      <c r="V1530" t="s">
        <v>168</v>
      </c>
    </row>
    <row r="1531" spans="9:22" x14ac:dyDescent="0.45">
      <c r="I1531" t="s">
        <v>192</v>
      </c>
      <c r="J1531" t="s">
        <v>379</v>
      </c>
      <c r="K1531">
        <v>2.0651949323483696E-4</v>
      </c>
      <c r="L1531" t="s">
        <v>168</v>
      </c>
      <c r="N1531" t="s">
        <v>216</v>
      </c>
      <c r="O1531" t="s">
        <v>379</v>
      </c>
      <c r="P1531">
        <v>2.3643205084863342E-7</v>
      </c>
      <c r="Q1531" t="s">
        <v>168</v>
      </c>
      <c r="S1531" t="s">
        <v>235</v>
      </c>
      <c r="T1531" t="s">
        <v>379</v>
      </c>
      <c r="U1531">
        <v>2.4867597908244414E-6</v>
      </c>
      <c r="V1531" t="s">
        <v>168</v>
      </c>
    </row>
    <row r="1532" spans="9:22" x14ac:dyDescent="0.45">
      <c r="I1532" t="s">
        <v>192</v>
      </c>
      <c r="J1532" t="s">
        <v>380</v>
      </c>
      <c r="K1532">
        <v>1.8839355191294235E-4</v>
      </c>
      <c r="L1532" t="s">
        <v>168</v>
      </c>
      <c r="N1532" t="s">
        <v>216</v>
      </c>
      <c r="O1532" t="s">
        <v>380</v>
      </c>
      <c r="P1532">
        <v>1.4410360909490026E-7</v>
      </c>
      <c r="Q1532" t="s">
        <v>168</v>
      </c>
      <c r="S1532" t="s">
        <v>235</v>
      </c>
      <c r="T1532" t="s">
        <v>380</v>
      </c>
      <c r="U1532">
        <v>1.858465766046929E-6</v>
      </c>
      <c r="V1532" t="s">
        <v>168</v>
      </c>
    </row>
    <row r="1533" spans="9:22" x14ac:dyDescent="0.45">
      <c r="I1533" t="s">
        <v>192</v>
      </c>
      <c r="J1533" t="s">
        <v>381</v>
      </c>
      <c r="K1533">
        <v>1.0334888427174896E-4</v>
      </c>
      <c r="L1533" t="s">
        <v>168</v>
      </c>
      <c r="N1533" t="s">
        <v>216</v>
      </c>
      <c r="O1533" t="s">
        <v>381</v>
      </c>
      <c r="P1533">
        <v>1.6998176942348307E-7</v>
      </c>
      <c r="Q1533" t="s">
        <v>168</v>
      </c>
      <c r="S1533" t="s">
        <v>235</v>
      </c>
      <c r="T1533" t="s">
        <v>381</v>
      </c>
      <c r="U1533">
        <v>1.6575306887897085E-6</v>
      </c>
      <c r="V1533" t="s">
        <v>168</v>
      </c>
    </row>
    <row r="1534" spans="9:22" x14ac:dyDescent="0.45">
      <c r="I1534" t="s">
        <v>192</v>
      </c>
      <c r="J1534" t="s">
        <v>382</v>
      </c>
      <c r="K1534">
        <v>0</v>
      </c>
      <c r="L1534" t="s">
        <v>168</v>
      </c>
      <c r="N1534" t="s">
        <v>216</v>
      </c>
      <c r="O1534" t="s">
        <v>382</v>
      </c>
      <c r="P1534">
        <v>1.7417590301021731E-7</v>
      </c>
      <c r="Q1534" t="s">
        <v>168</v>
      </c>
      <c r="S1534" t="s">
        <v>235</v>
      </c>
      <c r="T1534" t="s">
        <v>382</v>
      </c>
      <c r="U1534">
        <v>1.6404417601955901E-6</v>
      </c>
      <c r="V1534" t="s">
        <v>168</v>
      </c>
    </row>
    <row r="1535" spans="9:22" x14ac:dyDescent="0.45">
      <c r="I1535" t="s">
        <v>192</v>
      </c>
      <c r="J1535" t="s">
        <v>383</v>
      </c>
      <c r="K1535">
        <v>0</v>
      </c>
      <c r="L1535" t="s">
        <v>168</v>
      </c>
      <c r="N1535" t="s">
        <v>216</v>
      </c>
      <c r="O1535" t="s">
        <v>383</v>
      </c>
      <c r="P1535">
        <v>1.2423511396849275E-7</v>
      </c>
      <c r="Q1535" t="s">
        <v>168</v>
      </c>
      <c r="S1535" t="s">
        <v>235</v>
      </c>
      <c r="T1535" t="s">
        <v>383</v>
      </c>
      <c r="U1535">
        <v>1.4561040619020384E-6</v>
      </c>
      <c r="V1535" t="s">
        <v>168</v>
      </c>
    </row>
    <row r="1536" spans="9:22" x14ac:dyDescent="0.45">
      <c r="I1536" t="s">
        <v>192</v>
      </c>
      <c r="J1536" t="s">
        <v>384</v>
      </c>
      <c r="K1536">
        <v>0</v>
      </c>
      <c r="L1536" t="s">
        <v>168</v>
      </c>
      <c r="N1536" t="s">
        <v>216</v>
      </c>
      <c r="O1536" t="s">
        <v>384</v>
      </c>
      <c r="P1536">
        <v>6.8831957590225865E-8</v>
      </c>
      <c r="Q1536" t="s">
        <v>168</v>
      </c>
      <c r="S1536" t="s">
        <v>235</v>
      </c>
      <c r="T1536" t="s">
        <v>384</v>
      </c>
      <c r="U1536">
        <v>1.3899525412875263E-6</v>
      </c>
      <c r="V1536" t="s">
        <v>168</v>
      </c>
    </row>
    <row r="1537" spans="9:22" x14ac:dyDescent="0.45">
      <c r="I1537" t="s">
        <v>192</v>
      </c>
      <c r="J1537" t="s">
        <v>385</v>
      </c>
      <c r="K1537">
        <v>0</v>
      </c>
      <c r="L1537" t="s">
        <v>168</v>
      </c>
      <c r="N1537" t="s">
        <v>216</v>
      </c>
      <c r="O1537" t="s">
        <v>385</v>
      </c>
      <c r="P1537">
        <v>2.0372703724870052E-8</v>
      </c>
      <c r="Q1537" t="s">
        <v>168</v>
      </c>
      <c r="S1537" t="s">
        <v>235</v>
      </c>
      <c r="T1537" t="s">
        <v>385</v>
      </c>
      <c r="U1537">
        <v>1.4464522831638298E-6</v>
      </c>
      <c r="V1537" t="s">
        <v>168</v>
      </c>
    </row>
    <row r="1538" spans="9:22" x14ac:dyDescent="0.45">
      <c r="I1538" t="s">
        <v>192</v>
      </c>
      <c r="J1538" t="s">
        <v>386</v>
      </c>
      <c r="K1538">
        <v>0</v>
      </c>
      <c r="L1538" t="s">
        <v>168</v>
      </c>
      <c r="N1538" t="s">
        <v>216</v>
      </c>
      <c r="O1538" t="s">
        <v>386</v>
      </c>
      <c r="P1538">
        <v>1.3595718319400432E-8</v>
      </c>
      <c r="Q1538" t="s">
        <v>168</v>
      </c>
      <c r="S1538" t="s">
        <v>235</v>
      </c>
      <c r="T1538" t="s">
        <v>386</v>
      </c>
      <c r="U1538">
        <v>1.139903382004311E-6</v>
      </c>
      <c r="V1538" t="s">
        <v>168</v>
      </c>
    </row>
    <row r="1539" spans="9:22" x14ac:dyDescent="0.45">
      <c r="I1539" t="s">
        <v>192</v>
      </c>
      <c r="J1539" t="s">
        <v>387</v>
      </c>
      <c r="K1539">
        <v>0</v>
      </c>
      <c r="L1539" t="s">
        <v>168</v>
      </c>
      <c r="N1539" t="s">
        <v>216</v>
      </c>
      <c r="O1539" t="s">
        <v>387</v>
      </c>
      <c r="P1539">
        <v>2.293201543857686E-8</v>
      </c>
      <c r="Q1539" t="s">
        <v>168</v>
      </c>
      <c r="S1539" t="s">
        <v>235</v>
      </c>
      <c r="T1539" t="s">
        <v>387</v>
      </c>
      <c r="U1539">
        <v>5.8598929500226825E-7</v>
      </c>
      <c r="V1539" t="s">
        <v>168</v>
      </c>
    </row>
    <row r="1540" spans="9:22" x14ac:dyDescent="0.45">
      <c r="I1540" t="s">
        <v>192</v>
      </c>
      <c r="J1540" t="s">
        <v>388</v>
      </c>
      <c r="K1540">
        <v>0</v>
      </c>
      <c r="L1540" t="s">
        <v>168</v>
      </c>
      <c r="N1540" t="s">
        <v>216</v>
      </c>
      <c r="O1540" t="s">
        <v>388</v>
      </c>
      <c r="P1540">
        <v>7.0778282828528087E-8</v>
      </c>
      <c r="Q1540" t="s">
        <v>168</v>
      </c>
      <c r="S1540" t="s">
        <v>235</v>
      </c>
      <c r="T1540" t="s">
        <v>388</v>
      </c>
      <c r="U1540">
        <v>3.5858372237005612E-7</v>
      </c>
      <c r="V1540" t="s">
        <v>168</v>
      </c>
    </row>
    <row r="1541" spans="9:22" x14ac:dyDescent="0.45">
      <c r="I1541" t="s">
        <v>193</v>
      </c>
      <c r="J1541" t="s">
        <v>167</v>
      </c>
      <c r="K1541">
        <v>0</v>
      </c>
      <c r="L1541" t="s">
        <v>168</v>
      </c>
      <c r="N1541" t="s">
        <v>217</v>
      </c>
      <c r="O1541" t="s">
        <v>167</v>
      </c>
      <c r="P1541">
        <v>8.8077228208730568E-2</v>
      </c>
      <c r="Q1541" t="s">
        <v>168</v>
      </c>
      <c r="S1541" t="s">
        <v>236</v>
      </c>
      <c r="T1541" t="s">
        <v>167</v>
      </c>
      <c r="U1541">
        <v>8.0671827190574655E-2</v>
      </c>
      <c r="V1541" t="s">
        <v>168</v>
      </c>
    </row>
    <row r="1542" spans="9:22" x14ac:dyDescent="0.45">
      <c r="I1542" t="s">
        <v>193</v>
      </c>
      <c r="J1542" t="s">
        <v>169</v>
      </c>
      <c r="K1542">
        <v>1.805085266228891E-3</v>
      </c>
      <c r="L1542" t="s">
        <v>168</v>
      </c>
      <c r="N1542" t="s">
        <v>217</v>
      </c>
      <c r="O1542" t="s">
        <v>169</v>
      </c>
      <c r="P1542">
        <v>1.0015754444216547E-2</v>
      </c>
      <c r="Q1542" t="s">
        <v>168</v>
      </c>
      <c r="S1542" t="s">
        <v>236</v>
      </c>
      <c r="T1542" t="s">
        <v>169</v>
      </c>
      <c r="U1542">
        <v>1.0595838535307475E-2</v>
      </c>
      <c r="V1542" t="s">
        <v>168</v>
      </c>
    </row>
    <row r="1543" spans="9:22" x14ac:dyDescent="0.45">
      <c r="I1543" t="s">
        <v>193</v>
      </c>
      <c r="J1543" t="s">
        <v>170</v>
      </c>
      <c r="K1543">
        <v>7.9295747079209961E-3</v>
      </c>
      <c r="L1543" t="s">
        <v>168</v>
      </c>
      <c r="N1543" t="s">
        <v>217</v>
      </c>
      <c r="O1543" t="s">
        <v>170</v>
      </c>
      <c r="P1543">
        <v>9.4715498295999401E-3</v>
      </c>
      <c r="Q1543" t="s">
        <v>168</v>
      </c>
      <c r="S1543" t="s">
        <v>236</v>
      </c>
      <c r="T1543" t="s">
        <v>170</v>
      </c>
      <c r="U1543">
        <v>1.0680651980462832E-2</v>
      </c>
      <c r="V1543" t="s">
        <v>168</v>
      </c>
    </row>
    <row r="1544" spans="9:22" x14ac:dyDescent="0.45">
      <c r="I1544" t="s">
        <v>193</v>
      </c>
      <c r="J1544" t="s">
        <v>256</v>
      </c>
      <c r="K1544">
        <v>8.273243586676407E-2</v>
      </c>
      <c r="L1544" t="s">
        <v>168</v>
      </c>
      <c r="N1544" t="s">
        <v>217</v>
      </c>
      <c r="O1544" t="s">
        <v>256</v>
      </c>
      <c r="P1544">
        <v>7.515597782961321E-2</v>
      </c>
      <c r="Q1544" t="s">
        <v>168</v>
      </c>
      <c r="S1544" t="s">
        <v>236</v>
      </c>
      <c r="T1544" t="s">
        <v>256</v>
      </c>
      <c r="U1544">
        <v>6.5436225058654443E-2</v>
      </c>
      <c r="V1544" t="s">
        <v>168</v>
      </c>
    </row>
    <row r="1545" spans="9:22" x14ac:dyDescent="0.45">
      <c r="I1545" t="s">
        <v>193</v>
      </c>
      <c r="J1545" t="s">
        <v>257</v>
      </c>
      <c r="K1545">
        <v>1.0808046919430304E-2</v>
      </c>
      <c r="L1545" t="s">
        <v>168</v>
      </c>
      <c r="N1545" t="s">
        <v>217</v>
      </c>
      <c r="O1545" t="s">
        <v>257</v>
      </c>
      <c r="P1545">
        <v>1.291559284783666E-2</v>
      </c>
      <c r="Q1545" t="s">
        <v>168</v>
      </c>
      <c r="S1545" t="s">
        <v>236</v>
      </c>
      <c r="T1545" t="s">
        <v>257</v>
      </c>
      <c r="U1545">
        <v>1.1089232932642495E-2</v>
      </c>
      <c r="V1545" t="s">
        <v>168</v>
      </c>
    </row>
    <row r="1546" spans="9:22" x14ac:dyDescent="0.45">
      <c r="I1546" t="s">
        <v>193</v>
      </c>
      <c r="J1546" t="s">
        <v>258</v>
      </c>
      <c r="K1546">
        <v>7.0016407688193866E-3</v>
      </c>
      <c r="L1546" t="s">
        <v>168</v>
      </c>
      <c r="N1546" t="s">
        <v>217</v>
      </c>
      <c r="O1546" t="s">
        <v>258</v>
      </c>
      <c r="P1546">
        <v>8.4486441701584411E-2</v>
      </c>
      <c r="Q1546" t="s">
        <v>168</v>
      </c>
      <c r="S1546" t="s">
        <v>236</v>
      </c>
      <c r="T1546" t="s">
        <v>258</v>
      </c>
      <c r="U1546">
        <v>7.4110401825838612E-2</v>
      </c>
      <c r="V1546" t="s">
        <v>168</v>
      </c>
    </row>
    <row r="1547" spans="9:22" x14ac:dyDescent="0.45">
      <c r="I1547" t="s">
        <v>193</v>
      </c>
      <c r="J1547" t="s">
        <v>171</v>
      </c>
      <c r="K1547">
        <v>2.1537805073123011E-2</v>
      </c>
      <c r="L1547" t="s">
        <v>168</v>
      </c>
      <c r="N1547" t="s">
        <v>217</v>
      </c>
      <c r="O1547" t="s">
        <v>171</v>
      </c>
      <c r="P1547">
        <v>0.13109739080671237</v>
      </c>
      <c r="Q1547" t="s">
        <v>168</v>
      </c>
      <c r="S1547" t="s">
        <v>236</v>
      </c>
      <c r="T1547" t="s">
        <v>171</v>
      </c>
      <c r="U1547">
        <v>0.1409930128485091</v>
      </c>
      <c r="V1547" t="s">
        <v>168</v>
      </c>
    </row>
    <row r="1548" spans="9:22" x14ac:dyDescent="0.45">
      <c r="I1548" t="s">
        <v>193</v>
      </c>
      <c r="J1548" t="s">
        <v>172</v>
      </c>
      <c r="K1548">
        <v>2.5403617647843151E-2</v>
      </c>
      <c r="L1548" t="s">
        <v>168</v>
      </c>
      <c r="N1548" t="s">
        <v>217</v>
      </c>
      <c r="O1548" t="s">
        <v>172</v>
      </c>
      <c r="P1548">
        <v>1.531496929047611E-2</v>
      </c>
      <c r="Q1548" t="s">
        <v>168</v>
      </c>
      <c r="S1548" t="s">
        <v>236</v>
      </c>
      <c r="T1548" t="s">
        <v>172</v>
      </c>
      <c r="U1548">
        <v>1.6693984497692643E-2</v>
      </c>
      <c r="V1548" t="s">
        <v>168</v>
      </c>
    </row>
    <row r="1549" spans="9:22" x14ac:dyDescent="0.45">
      <c r="I1549" t="s">
        <v>193</v>
      </c>
      <c r="J1549" t="s">
        <v>173</v>
      </c>
      <c r="K1549">
        <v>3.3777461802282194E-2</v>
      </c>
      <c r="L1549" t="s">
        <v>168</v>
      </c>
      <c r="N1549" t="s">
        <v>217</v>
      </c>
      <c r="O1549" t="s">
        <v>173</v>
      </c>
      <c r="P1549">
        <v>1.5265120646769414E-2</v>
      </c>
      <c r="Q1549" t="s">
        <v>168</v>
      </c>
      <c r="S1549" t="s">
        <v>236</v>
      </c>
      <c r="T1549" t="s">
        <v>173</v>
      </c>
      <c r="U1549">
        <v>1.6355258182336522E-2</v>
      </c>
      <c r="V1549" t="s">
        <v>168</v>
      </c>
    </row>
    <row r="1550" spans="9:22" x14ac:dyDescent="0.45">
      <c r="I1550" t="s">
        <v>193</v>
      </c>
      <c r="J1550" t="s">
        <v>259</v>
      </c>
      <c r="K1550">
        <v>0.23509734261394877</v>
      </c>
      <c r="L1550" t="s">
        <v>168</v>
      </c>
      <c r="N1550" t="s">
        <v>217</v>
      </c>
      <c r="O1550" t="s">
        <v>259</v>
      </c>
      <c r="P1550">
        <v>0.10045340419899391</v>
      </c>
      <c r="Q1550" t="s">
        <v>168</v>
      </c>
      <c r="S1550" t="s">
        <v>236</v>
      </c>
      <c r="T1550" t="s">
        <v>259</v>
      </c>
      <c r="U1550">
        <v>9.4039913711765288E-2</v>
      </c>
      <c r="V1550" t="s">
        <v>168</v>
      </c>
    </row>
    <row r="1551" spans="9:22" x14ac:dyDescent="0.45">
      <c r="I1551" t="s">
        <v>193</v>
      </c>
      <c r="J1551" t="s">
        <v>260</v>
      </c>
      <c r="K1551">
        <v>3.1488706949286342E-2</v>
      </c>
      <c r="L1551" t="s">
        <v>168</v>
      </c>
      <c r="N1551" t="s">
        <v>217</v>
      </c>
      <c r="O1551" t="s">
        <v>260</v>
      </c>
      <c r="P1551">
        <v>1.8218078600501869E-2</v>
      </c>
      <c r="Q1551" t="s">
        <v>168</v>
      </c>
      <c r="S1551" t="s">
        <v>236</v>
      </c>
      <c r="T1551" t="s">
        <v>260</v>
      </c>
      <c r="U1551">
        <v>1.5495788425903536E-2</v>
      </c>
      <c r="V1551" t="s">
        <v>168</v>
      </c>
    </row>
    <row r="1552" spans="9:22" x14ac:dyDescent="0.45">
      <c r="I1552" t="s">
        <v>193</v>
      </c>
      <c r="J1552" t="s">
        <v>261</v>
      </c>
      <c r="K1552">
        <v>5.182325990652268E-2</v>
      </c>
      <c r="L1552" t="s">
        <v>168</v>
      </c>
      <c r="N1552" t="s">
        <v>217</v>
      </c>
      <c r="O1552" t="s">
        <v>261</v>
      </c>
      <c r="P1552">
        <v>0.12427854703152698</v>
      </c>
      <c r="Q1552" t="s">
        <v>168</v>
      </c>
      <c r="S1552" t="s">
        <v>236</v>
      </c>
      <c r="T1552" t="s">
        <v>261</v>
      </c>
      <c r="U1552">
        <v>0.11696907136670882</v>
      </c>
      <c r="V1552" t="s">
        <v>168</v>
      </c>
    </row>
    <row r="1553" spans="9:22" x14ac:dyDescent="0.45">
      <c r="I1553" t="s">
        <v>193</v>
      </c>
      <c r="J1553" t="s">
        <v>174</v>
      </c>
      <c r="K1553">
        <v>1.0201761500686987E-2</v>
      </c>
      <c r="L1553" t="s">
        <v>168</v>
      </c>
      <c r="N1553" t="s">
        <v>217</v>
      </c>
      <c r="O1553" t="s">
        <v>174</v>
      </c>
      <c r="P1553">
        <v>1.4959799794743513E-2</v>
      </c>
      <c r="Q1553" t="s">
        <v>168</v>
      </c>
      <c r="S1553" t="s">
        <v>236</v>
      </c>
      <c r="T1553" t="s">
        <v>174</v>
      </c>
      <c r="U1553">
        <v>9.9812507191138714E-3</v>
      </c>
      <c r="V1553" t="s">
        <v>168</v>
      </c>
    </row>
    <row r="1554" spans="9:22" x14ac:dyDescent="0.45">
      <c r="I1554" t="s">
        <v>193</v>
      </c>
      <c r="J1554" t="s">
        <v>175</v>
      </c>
      <c r="K1554">
        <v>9.6721748756309484E-3</v>
      </c>
      <c r="L1554" t="s">
        <v>168</v>
      </c>
      <c r="N1554" t="s">
        <v>217</v>
      </c>
      <c r="O1554" t="s">
        <v>175</v>
      </c>
      <c r="P1554">
        <v>1.2350016481936143E-3</v>
      </c>
      <c r="Q1554" t="s">
        <v>168</v>
      </c>
      <c r="S1554" t="s">
        <v>236</v>
      </c>
      <c r="T1554" t="s">
        <v>175</v>
      </c>
      <c r="U1554">
        <v>1.1520214295267922E-3</v>
      </c>
      <c r="V1554" t="s">
        <v>168</v>
      </c>
    </row>
    <row r="1555" spans="9:22" x14ac:dyDescent="0.45">
      <c r="I1555" t="s">
        <v>193</v>
      </c>
      <c r="J1555" t="s">
        <v>176</v>
      </c>
      <c r="K1555">
        <v>1.175603666128777E-2</v>
      </c>
      <c r="L1555" t="s">
        <v>168</v>
      </c>
      <c r="N1555" t="s">
        <v>217</v>
      </c>
      <c r="O1555" t="s">
        <v>176</v>
      </c>
      <c r="P1555">
        <v>8.6400905948101235E-4</v>
      </c>
      <c r="Q1555" t="s">
        <v>168</v>
      </c>
      <c r="S1555" t="s">
        <v>236</v>
      </c>
      <c r="T1555" t="s">
        <v>176</v>
      </c>
      <c r="U1555">
        <v>1.0487770702834738E-3</v>
      </c>
      <c r="V1555" t="s">
        <v>168</v>
      </c>
    </row>
    <row r="1556" spans="9:22" x14ac:dyDescent="0.45">
      <c r="I1556" t="s">
        <v>193</v>
      </c>
      <c r="J1556" t="s">
        <v>262</v>
      </c>
      <c r="K1556">
        <v>7.1502625406689765E-2</v>
      </c>
      <c r="L1556" t="s">
        <v>168</v>
      </c>
      <c r="N1556" t="s">
        <v>217</v>
      </c>
      <c r="O1556" t="s">
        <v>262</v>
      </c>
      <c r="P1556">
        <v>4.3410411959409435E-3</v>
      </c>
      <c r="Q1556" t="s">
        <v>168</v>
      </c>
      <c r="S1556" t="s">
        <v>236</v>
      </c>
      <c r="T1556" t="s">
        <v>262</v>
      </c>
      <c r="U1556">
        <v>6.0842905432467332E-3</v>
      </c>
      <c r="V1556" t="s">
        <v>168</v>
      </c>
    </row>
    <row r="1557" spans="9:22" x14ac:dyDescent="0.45">
      <c r="I1557" t="s">
        <v>193</v>
      </c>
      <c r="J1557" t="s">
        <v>263</v>
      </c>
      <c r="K1557">
        <v>9.3227502481263089E-3</v>
      </c>
      <c r="L1557" t="s">
        <v>168</v>
      </c>
      <c r="N1557" t="s">
        <v>217</v>
      </c>
      <c r="O1557" t="s">
        <v>263</v>
      </c>
      <c r="P1557">
        <v>1.0672690142648756E-3</v>
      </c>
      <c r="Q1557" t="s">
        <v>168</v>
      </c>
      <c r="S1557" t="s">
        <v>236</v>
      </c>
      <c r="T1557" t="s">
        <v>263</v>
      </c>
      <c r="U1557">
        <v>1.1703783940457224E-3</v>
      </c>
      <c r="V1557" t="s">
        <v>168</v>
      </c>
    </row>
    <row r="1558" spans="9:22" x14ac:dyDescent="0.45">
      <c r="I1558" t="s">
        <v>193</v>
      </c>
      <c r="J1558" t="s">
        <v>264</v>
      </c>
      <c r="K1558">
        <v>2.043117024592573E-2</v>
      </c>
      <c r="L1558" t="s">
        <v>168</v>
      </c>
      <c r="N1558" t="s">
        <v>217</v>
      </c>
      <c r="O1558" t="s">
        <v>264</v>
      </c>
      <c r="P1558">
        <v>8.7123663844711641E-3</v>
      </c>
      <c r="Q1558" t="s">
        <v>168</v>
      </c>
      <c r="S1558" t="s">
        <v>236</v>
      </c>
      <c r="T1558" t="s">
        <v>264</v>
      </c>
      <c r="U1558">
        <v>9.0151262931083918E-3</v>
      </c>
      <c r="V1558" t="s">
        <v>168</v>
      </c>
    </row>
    <row r="1559" spans="9:22" x14ac:dyDescent="0.45">
      <c r="I1559" t="s">
        <v>193</v>
      </c>
      <c r="J1559" t="s">
        <v>265</v>
      </c>
      <c r="K1559">
        <v>7.9990383083650678E-3</v>
      </c>
      <c r="L1559" t="s">
        <v>168</v>
      </c>
      <c r="N1559" t="s">
        <v>217</v>
      </c>
      <c r="O1559" t="s">
        <v>265</v>
      </c>
      <c r="P1559">
        <v>1.7446833264182674E-2</v>
      </c>
      <c r="Q1559" t="s">
        <v>168</v>
      </c>
      <c r="S1559" t="s">
        <v>236</v>
      </c>
      <c r="T1559" t="s">
        <v>265</v>
      </c>
      <c r="U1559">
        <v>1.3487981611901888E-2</v>
      </c>
      <c r="V1559" t="s">
        <v>168</v>
      </c>
    </row>
    <row r="1560" spans="9:22" x14ac:dyDescent="0.45">
      <c r="I1560" t="s">
        <v>193</v>
      </c>
      <c r="J1560" t="s">
        <v>266</v>
      </c>
      <c r="K1560">
        <v>8.1204900352932052E-3</v>
      </c>
      <c r="L1560" t="s">
        <v>168</v>
      </c>
      <c r="N1560" t="s">
        <v>217</v>
      </c>
      <c r="O1560" t="s">
        <v>266</v>
      </c>
      <c r="P1560">
        <v>1.4180476979344489E-3</v>
      </c>
      <c r="Q1560" t="s">
        <v>168</v>
      </c>
      <c r="S1560" t="s">
        <v>236</v>
      </c>
      <c r="T1560" t="s">
        <v>266</v>
      </c>
      <c r="U1560">
        <v>1.5018165125940137E-3</v>
      </c>
      <c r="V1560" t="s">
        <v>168</v>
      </c>
    </row>
    <row r="1561" spans="9:22" x14ac:dyDescent="0.45">
      <c r="I1561" t="s">
        <v>193</v>
      </c>
      <c r="J1561" t="s">
        <v>267</v>
      </c>
      <c r="K1561">
        <v>1.0073347862675415E-2</v>
      </c>
      <c r="L1561" t="s">
        <v>168</v>
      </c>
      <c r="N1561" t="s">
        <v>217</v>
      </c>
      <c r="O1561" t="s">
        <v>267</v>
      </c>
      <c r="P1561">
        <v>1.1187065102342966E-3</v>
      </c>
      <c r="Q1561" t="s">
        <v>168</v>
      </c>
      <c r="S1561" t="s">
        <v>236</v>
      </c>
      <c r="T1561" t="s">
        <v>267</v>
      </c>
      <c r="U1561">
        <v>1.4845508601519591E-3</v>
      </c>
      <c r="V1561" t="s">
        <v>168</v>
      </c>
    </row>
    <row r="1562" spans="9:22" x14ac:dyDescent="0.45">
      <c r="I1562" t="s">
        <v>193</v>
      </c>
      <c r="J1562" t="s">
        <v>268</v>
      </c>
      <c r="K1562">
        <v>6.8007539587065013E-2</v>
      </c>
      <c r="L1562" t="s">
        <v>168</v>
      </c>
      <c r="N1562" t="s">
        <v>217</v>
      </c>
      <c r="O1562" t="s">
        <v>268</v>
      </c>
      <c r="P1562">
        <v>5.7493340636287985E-3</v>
      </c>
      <c r="Q1562" t="s">
        <v>168</v>
      </c>
      <c r="S1562" t="s">
        <v>236</v>
      </c>
      <c r="T1562" t="s">
        <v>268</v>
      </c>
      <c r="U1562">
        <v>9.6258005019456885E-3</v>
      </c>
      <c r="V1562" t="s">
        <v>168</v>
      </c>
    </row>
    <row r="1563" spans="9:22" x14ac:dyDescent="0.45">
      <c r="I1563" t="s">
        <v>193</v>
      </c>
      <c r="J1563" t="s">
        <v>269</v>
      </c>
      <c r="K1563">
        <v>9.6433017749460882E-3</v>
      </c>
      <c r="L1563" t="s">
        <v>168</v>
      </c>
      <c r="N1563" t="s">
        <v>217</v>
      </c>
      <c r="O1563" t="s">
        <v>269</v>
      </c>
      <c r="P1563">
        <v>1.2952468641063003E-3</v>
      </c>
      <c r="Q1563" t="s">
        <v>168</v>
      </c>
      <c r="S1563" t="s">
        <v>236</v>
      </c>
      <c r="T1563" t="s">
        <v>269</v>
      </c>
      <c r="U1563">
        <v>1.9361043912830063E-3</v>
      </c>
      <c r="V1563" t="s">
        <v>168</v>
      </c>
    </row>
    <row r="1564" spans="9:22" x14ac:dyDescent="0.45">
      <c r="I1564" t="s">
        <v>193</v>
      </c>
      <c r="J1564" t="s">
        <v>270</v>
      </c>
      <c r="K1564">
        <v>1.9002394961759674E-2</v>
      </c>
      <c r="L1564" t="s">
        <v>168</v>
      </c>
      <c r="N1564" t="s">
        <v>217</v>
      </c>
      <c r="O1564" t="s">
        <v>270</v>
      </c>
      <c r="P1564">
        <v>1.1909922220507243E-2</v>
      </c>
      <c r="Q1564" t="s">
        <v>168</v>
      </c>
      <c r="S1564" t="s">
        <v>236</v>
      </c>
      <c r="T1564" t="s">
        <v>270</v>
      </c>
      <c r="U1564">
        <v>1.2856168121607241E-2</v>
      </c>
      <c r="V1564" t="s">
        <v>168</v>
      </c>
    </row>
    <row r="1565" spans="9:22" x14ac:dyDescent="0.45">
      <c r="I1565" t="s">
        <v>193</v>
      </c>
      <c r="J1565" t="s">
        <v>271</v>
      </c>
      <c r="K1565">
        <v>2.7260418300206705E-3</v>
      </c>
      <c r="L1565" t="s">
        <v>168</v>
      </c>
      <c r="N1565" t="s">
        <v>217</v>
      </c>
      <c r="O1565" t="s">
        <v>271</v>
      </c>
      <c r="P1565">
        <v>8.7851257443898809E-3</v>
      </c>
      <c r="Q1565" t="s">
        <v>168</v>
      </c>
      <c r="S1565" t="s">
        <v>236</v>
      </c>
      <c r="T1565" t="s">
        <v>271</v>
      </c>
      <c r="U1565">
        <v>1.368643288433698E-2</v>
      </c>
      <c r="V1565" t="s">
        <v>168</v>
      </c>
    </row>
    <row r="1566" spans="9:22" x14ac:dyDescent="0.45">
      <c r="I1566" t="s">
        <v>193</v>
      </c>
      <c r="J1566" t="s">
        <v>272</v>
      </c>
      <c r="K1566">
        <v>5.158127074761128E-3</v>
      </c>
      <c r="L1566" t="s">
        <v>168</v>
      </c>
      <c r="N1566" t="s">
        <v>217</v>
      </c>
      <c r="O1566" t="s">
        <v>272</v>
      </c>
      <c r="P1566">
        <v>1.3286556869078466E-3</v>
      </c>
      <c r="Q1566" t="s">
        <v>168</v>
      </c>
      <c r="S1566" t="s">
        <v>236</v>
      </c>
      <c r="T1566" t="s">
        <v>272</v>
      </c>
      <c r="U1566">
        <v>1.7725491518106641E-3</v>
      </c>
      <c r="V1566" t="s">
        <v>168</v>
      </c>
    </row>
    <row r="1567" spans="9:22" x14ac:dyDescent="0.45">
      <c r="I1567" t="s">
        <v>193</v>
      </c>
      <c r="J1567" t="s">
        <v>273</v>
      </c>
      <c r="K1567">
        <v>7.6500957678085442E-3</v>
      </c>
      <c r="L1567" t="s">
        <v>168</v>
      </c>
      <c r="N1567" t="s">
        <v>217</v>
      </c>
      <c r="O1567" t="s">
        <v>273</v>
      </c>
      <c r="P1567">
        <v>1.3919264328273906E-3</v>
      </c>
      <c r="Q1567" t="s">
        <v>168</v>
      </c>
      <c r="S1567" t="s">
        <v>236</v>
      </c>
      <c r="T1567" t="s">
        <v>273</v>
      </c>
      <c r="U1567">
        <v>1.771057483664254E-3</v>
      </c>
      <c r="V1567" t="s">
        <v>168</v>
      </c>
    </row>
    <row r="1568" spans="9:22" x14ac:dyDescent="0.45">
      <c r="I1568" t="s">
        <v>193</v>
      </c>
      <c r="J1568" t="s">
        <v>274</v>
      </c>
      <c r="K1568">
        <v>5.3682258015769174E-2</v>
      </c>
      <c r="L1568" t="s">
        <v>168</v>
      </c>
      <c r="N1568" t="s">
        <v>217</v>
      </c>
      <c r="O1568" t="s">
        <v>274</v>
      </c>
      <c r="P1568">
        <v>9.6264878765473915E-3</v>
      </c>
      <c r="Q1568" t="s">
        <v>168</v>
      </c>
      <c r="S1568" t="s">
        <v>236</v>
      </c>
      <c r="T1568" t="s">
        <v>274</v>
      </c>
      <c r="U1568">
        <v>9.3510150127815682E-3</v>
      </c>
      <c r="V1568" t="s">
        <v>168</v>
      </c>
    </row>
    <row r="1569" spans="9:22" x14ac:dyDescent="0.45">
      <c r="I1569" t="s">
        <v>193</v>
      </c>
      <c r="J1569" t="s">
        <v>275</v>
      </c>
      <c r="K1569">
        <v>7.4054202003990552E-3</v>
      </c>
      <c r="L1569" t="s">
        <v>168</v>
      </c>
      <c r="N1569" t="s">
        <v>217</v>
      </c>
      <c r="O1569" t="s">
        <v>275</v>
      </c>
      <c r="P1569">
        <v>1.9516883206912041E-3</v>
      </c>
      <c r="Q1569" t="s">
        <v>168</v>
      </c>
      <c r="S1569" t="s">
        <v>236</v>
      </c>
      <c r="T1569" t="s">
        <v>275</v>
      </c>
      <c r="U1569">
        <v>1.5286234756778537E-3</v>
      </c>
      <c r="V1569" t="s">
        <v>168</v>
      </c>
    </row>
    <row r="1570" spans="9:22" x14ac:dyDescent="0.45">
      <c r="I1570" t="s">
        <v>193</v>
      </c>
      <c r="J1570" t="s">
        <v>276</v>
      </c>
      <c r="K1570">
        <v>1.0140192521118717E-2</v>
      </c>
      <c r="L1570" t="s">
        <v>168</v>
      </c>
      <c r="N1570" t="s">
        <v>217</v>
      </c>
      <c r="O1570" t="s">
        <v>276</v>
      </c>
      <c r="P1570">
        <v>1.0572242174500434E-2</v>
      </c>
      <c r="Q1570" t="s">
        <v>168</v>
      </c>
      <c r="S1570" t="s">
        <v>236</v>
      </c>
      <c r="T1570" t="s">
        <v>276</v>
      </c>
      <c r="U1570">
        <v>1.3339259075522811E-2</v>
      </c>
      <c r="V1570" t="s">
        <v>168</v>
      </c>
    </row>
    <row r="1571" spans="9:22" x14ac:dyDescent="0.45">
      <c r="I1571" t="s">
        <v>193</v>
      </c>
      <c r="J1571" t="s">
        <v>341</v>
      </c>
      <c r="K1571">
        <v>0</v>
      </c>
      <c r="L1571" t="s">
        <v>168</v>
      </c>
      <c r="N1571" t="s">
        <v>217</v>
      </c>
      <c r="O1571" t="s">
        <v>341</v>
      </c>
      <c r="P1571">
        <v>2.2806420602214529E-6</v>
      </c>
      <c r="Q1571" t="s">
        <v>168</v>
      </c>
      <c r="S1571" t="s">
        <v>236</v>
      </c>
      <c r="T1571" t="s">
        <v>341</v>
      </c>
      <c r="U1571">
        <v>5.0881286507221777E-6</v>
      </c>
      <c r="V1571" t="s">
        <v>168</v>
      </c>
    </row>
    <row r="1572" spans="9:22" x14ac:dyDescent="0.45">
      <c r="I1572" t="s">
        <v>193</v>
      </c>
      <c r="J1572" t="s">
        <v>342</v>
      </c>
      <c r="K1572">
        <v>0</v>
      </c>
      <c r="L1572" t="s">
        <v>168</v>
      </c>
      <c r="N1572" t="s">
        <v>217</v>
      </c>
      <c r="O1572" t="s">
        <v>342</v>
      </c>
      <c r="P1572">
        <v>2.9111947375849025E-6</v>
      </c>
      <c r="Q1572" t="s">
        <v>168</v>
      </c>
      <c r="S1572" t="s">
        <v>236</v>
      </c>
      <c r="T1572" t="s">
        <v>342</v>
      </c>
      <c r="U1572">
        <v>7.1498656194006549E-6</v>
      </c>
      <c r="V1572" t="s">
        <v>168</v>
      </c>
    </row>
    <row r="1573" spans="9:22" x14ac:dyDescent="0.45">
      <c r="I1573" t="s">
        <v>193</v>
      </c>
      <c r="J1573" t="s">
        <v>343</v>
      </c>
      <c r="K1573">
        <v>0</v>
      </c>
      <c r="L1573" t="s">
        <v>168</v>
      </c>
      <c r="N1573" t="s">
        <v>217</v>
      </c>
      <c r="O1573" t="s">
        <v>343</v>
      </c>
      <c r="P1573">
        <v>4.6023404509170266E-6</v>
      </c>
      <c r="Q1573" t="s">
        <v>168</v>
      </c>
      <c r="S1573" t="s">
        <v>236</v>
      </c>
      <c r="T1573" t="s">
        <v>343</v>
      </c>
      <c r="U1573">
        <v>8.3349647011289307E-6</v>
      </c>
      <c r="V1573" t="s">
        <v>168</v>
      </c>
    </row>
    <row r="1574" spans="9:22" x14ac:dyDescent="0.45">
      <c r="I1574" t="s">
        <v>193</v>
      </c>
      <c r="J1574" t="s">
        <v>344</v>
      </c>
      <c r="K1574">
        <v>0</v>
      </c>
      <c r="L1574" t="s">
        <v>168</v>
      </c>
      <c r="N1574" t="s">
        <v>217</v>
      </c>
      <c r="O1574" t="s">
        <v>344</v>
      </c>
      <c r="P1574">
        <v>6.820981167584609E-6</v>
      </c>
      <c r="Q1574" t="s">
        <v>168</v>
      </c>
      <c r="S1574" t="s">
        <v>236</v>
      </c>
      <c r="T1574" t="s">
        <v>344</v>
      </c>
      <c r="U1574">
        <v>7.6998585848438213E-6</v>
      </c>
      <c r="V1574" t="s">
        <v>168</v>
      </c>
    </row>
    <row r="1575" spans="9:22" x14ac:dyDescent="0.45">
      <c r="I1575" t="s">
        <v>193</v>
      </c>
      <c r="J1575" t="s">
        <v>345</v>
      </c>
      <c r="K1575">
        <v>0</v>
      </c>
      <c r="L1575" t="s">
        <v>168</v>
      </c>
      <c r="N1575" t="s">
        <v>217</v>
      </c>
      <c r="O1575" t="s">
        <v>345</v>
      </c>
      <c r="P1575">
        <v>6.5873026485345175E-6</v>
      </c>
      <c r="Q1575" t="s">
        <v>168</v>
      </c>
      <c r="S1575" t="s">
        <v>236</v>
      </c>
      <c r="T1575" t="s">
        <v>345</v>
      </c>
      <c r="U1575">
        <v>7.5239029933282967E-6</v>
      </c>
      <c r="V1575" t="s">
        <v>168</v>
      </c>
    </row>
    <row r="1576" spans="9:22" x14ac:dyDescent="0.45">
      <c r="I1576" t="s">
        <v>193</v>
      </c>
      <c r="J1576" t="s">
        <v>346</v>
      </c>
      <c r="K1576">
        <v>0</v>
      </c>
      <c r="L1576" t="s">
        <v>168</v>
      </c>
      <c r="N1576" t="s">
        <v>217</v>
      </c>
      <c r="O1576" t="s">
        <v>346</v>
      </c>
      <c r="P1576">
        <v>4.9299988766962594E-6</v>
      </c>
      <c r="Q1576" t="s">
        <v>168</v>
      </c>
      <c r="S1576" t="s">
        <v>236</v>
      </c>
      <c r="T1576" t="s">
        <v>346</v>
      </c>
      <c r="U1576">
        <v>8.7986853938261544E-6</v>
      </c>
      <c r="V1576" t="s">
        <v>168</v>
      </c>
    </row>
    <row r="1577" spans="9:22" x14ac:dyDescent="0.45">
      <c r="I1577" t="s">
        <v>193</v>
      </c>
      <c r="J1577" t="s">
        <v>347</v>
      </c>
      <c r="K1577">
        <v>0</v>
      </c>
      <c r="L1577" t="s">
        <v>168</v>
      </c>
      <c r="N1577" t="s">
        <v>217</v>
      </c>
      <c r="O1577" t="s">
        <v>347</v>
      </c>
      <c r="P1577">
        <v>3.430396062860943E-6</v>
      </c>
      <c r="Q1577" t="s">
        <v>168</v>
      </c>
      <c r="S1577" t="s">
        <v>236</v>
      </c>
      <c r="T1577" t="s">
        <v>347</v>
      </c>
      <c r="U1577">
        <v>8.2796831729331026E-6</v>
      </c>
      <c r="V1577" t="s">
        <v>168</v>
      </c>
    </row>
    <row r="1578" spans="9:22" x14ac:dyDescent="0.45">
      <c r="I1578" t="s">
        <v>193</v>
      </c>
      <c r="J1578" t="s">
        <v>348</v>
      </c>
      <c r="K1578">
        <v>8.440608703627862E-5</v>
      </c>
      <c r="L1578" t="s">
        <v>168</v>
      </c>
      <c r="N1578" t="s">
        <v>217</v>
      </c>
      <c r="O1578" t="s">
        <v>348</v>
      </c>
      <c r="P1578">
        <v>3.3303206630593103E-6</v>
      </c>
      <c r="Q1578" t="s">
        <v>168</v>
      </c>
      <c r="S1578" t="s">
        <v>236</v>
      </c>
      <c r="T1578" t="s">
        <v>348</v>
      </c>
      <c r="U1578">
        <v>7.90800456621603E-6</v>
      </c>
      <c r="V1578" t="s">
        <v>168</v>
      </c>
    </row>
    <row r="1579" spans="9:22" x14ac:dyDescent="0.45">
      <c r="I1579" t="s">
        <v>193</v>
      </c>
      <c r="J1579" t="s">
        <v>349</v>
      </c>
      <c r="K1579">
        <v>1.5948343732756108E-4</v>
      </c>
      <c r="L1579" t="s">
        <v>168</v>
      </c>
      <c r="N1579" t="s">
        <v>217</v>
      </c>
      <c r="O1579" t="s">
        <v>349</v>
      </c>
      <c r="P1579">
        <v>2.92408410004256E-6</v>
      </c>
      <c r="Q1579" t="s">
        <v>168</v>
      </c>
      <c r="S1579" t="s">
        <v>236</v>
      </c>
      <c r="T1579" t="s">
        <v>349</v>
      </c>
      <c r="U1579">
        <v>9.9575241550711817E-6</v>
      </c>
      <c r="V1579" t="s">
        <v>168</v>
      </c>
    </row>
    <row r="1580" spans="9:22" x14ac:dyDescent="0.45">
      <c r="I1580" t="s">
        <v>193</v>
      </c>
      <c r="J1580" t="s">
        <v>350</v>
      </c>
      <c r="K1580">
        <v>2.3910920694537405E-4</v>
      </c>
      <c r="L1580" t="s">
        <v>168</v>
      </c>
      <c r="N1580" t="s">
        <v>217</v>
      </c>
      <c r="O1580" t="s">
        <v>350</v>
      </c>
      <c r="P1580">
        <v>3.1241303170777979E-6</v>
      </c>
      <c r="Q1580" t="s">
        <v>168</v>
      </c>
      <c r="S1580" t="s">
        <v>236</v>
      </c>
      <c r="T1580" t="s">
        <v>350</v>
      </c>
      <c r="U1580">
        <v>1.6812943066782602E-5</v>
      </c>
      <c r="V1580" t="s">
        <v>168</v>
      </c>
    </row>
    <row r="1581" spans="9:22" x14ac:dyDescent="0.45">
      <c r="I1581" t="s">
        <v>193</v>
      </c>
      <c r="J1581" t="s">
        <v>351</v>
      </c>
      <c r="K1581">
        <v>2.9454351400397223E-4</v>
      </c>
      <c r="L1581" t="s">
        <v>168</v>
      </c>
      <c r="N1581" t="s">
        <v>217</v>
      </c>
      <c r="O1581" t="s">
        <v>351</v>
      </c>
      <c r="P1581">
        <v>4.7283803603483188E-6</v>
      </c>
      <c r="Q1581" t="s">
        <v>168</v>
      </c>
      <c r="S1581" t="s">
        <v>236</v>
      </c>
      <c r="T1581" t="s">
        <v>351</v>
      </c>
      <c r="U1581">
        <v>2.2653462608966526E-5</v>
      </c>
      <c r="V1581" t="s">
        <v>168</v>
      </c>
    </row>
    <row r="1582" spans="9:22" x14ac:dyDescent="0.45">
      <c r="I1582" t="s">
        <v>193</v>
      </c>
      <c r="J1582" t="s">
        <v>352</v>
      </c>
      <c r="K1582">
        <v>3.0901840455576534E-4</v>
      </c>
      <c r="L1582" t="s">
        <v>168</v>
      </c>
      <c r="N1582" t="s">
        <v>217</v>
      </c>
      <c r="O1582" t="s">
        <v>352</v>
      </c>
      <c r="P1582">
        <v>6.6927856434040324E-6</v>
      </c>
      <c r="Q1582" t="s">
        <v>168</v>
      </c>
      <c r="S1582" t="s">
        <v>236</v>
      </c>
      <c r="T1582" t="s">
        <v>352</v>
      </c>
      <c r="U1582">
        <v>3.640093640349518E-5</v>
      </c>
      <c r="V1582" t="s">
        <v>168</v>
      </c>
    </row>
    <row r="1583" spans="9:22" x14ac:dyDescent="0.45">
      <c r="I1583" t="s">
        <v>193</v>
      </c>
      <c r="J1583" t="s">
        <v>353</v>
      </c>
      <c r="K1583">
        <v>2.6744844306485839E-4</v>
      </c>
      <c r="L1583" t="s">
        <v>168</v>
      </c>
      <c r="N1583" t="s">
        <v>217</v>
      </c>
      <c r="O1583" t="s">
        <v>353</v>
      </c>
      <c r="P1583">
        <v>1.1702028449786417E-5</v>
      </c>
      <c r="Q1583" t="s">
        <v>168</v>
      </c>
      <c r="S1583" t="s">
        <v>236</v>
      </c>
      <c r="T1583" t="s">
        <v>353</v>
      </c>
      <c r="U1583">
        <v>3.5587062222296085E-5</v>
      </c>
      <c r="V1583" t="s">
        <v>168</v>
      </c>
    </row>
    <row r="1584" spans="9:22" x14ac:dyDescent="0.45">
      <c r="I1584" t="s">
        <v>193</v>
      </c>
      <c r="J1584" t="s">
        <v>354</v>
      </c>
      <c r="K1584">
        <v>2.9272071206803426E-4</v>
      </c>
      <c r="L1584" t="s">
        <v>168</v>
      </c>
      <c r="N1584" t="s">
        <v>217</v>
      </c>
      <c r="O1584" t="s">
        <v>354</v>
      </c>
      <c r="P1584">
        <v>1.7654178718454241E-5</v>
      </c>
      <c r="Q1584" t="s">
        <v>168</v>
      </c>
      <c r="S1584" t="s">
        <v>236</v>
      </c>
      <c r="T1584" t="s">
        <v>354</v>
      </c>
      <c r="U1584">
        <v>2.8993551459915792E-5</v>
      </c>
      <c r="V1584" t="s">
        <v>168</v>
      </c>
    </row>
    <row r="1585" spans="9:22" x14ac:dyDescent="0.45">
      <c r="I1585" t="s">
        <v>193</v>
      </c>
      <c r="J1585" t="s">
        <v>355</v>
      </c>
      <c r="K1585">
        <v>3.0948379706228932E-4</v>
      </c>
      <c r="L1585" t="s">
        <v>168</v>
      </c>
      <c r="N1585" t="s">
        <v>217</v>
      </c>
      <c r="O1585" t="s">
        <v>355</v>
      </c>
      <c r="P1585">
        <v>2.7547569780304795E-5</v>
      </c>
      <c r="Q1585" t="s">
        <v>168</v>
      </c>
      <c r="S1585" t="s">
        <v>236</v>
      </c>
      <c r="T1585" t="s">
        <v>355</v>
      </c>
      <c r="U1585">
        <v>2.4136032341587386E-5</v>
      </c>
      <c r="V1585" t="s">
        <v>168</v>
      </c>
    </row>
    <row r="1586" spans="9:22" x14ac:dyDescent="0.45">
      <c r="I1586" t="s">
        <v>193</v>
      </c>
      <c r="J1586" t="s">
        <v>356</v>
      </c>
      <c r="K1586">
        <v>2.8334207275531329E-4</v>
      </c>
      <c r="L1586" t="s">
        <v>168</v>
      </c>
      <c r="N1586" t="s">
        <v>217</v>
      </c>
      <c r="O1586" t="s">
        <v>356</v>
      </c>
      <c r="P1586">
        <v>3.0842314135600711E-5</v>
      </c>
      <c r="Q1586" t="s">
        <v>168</v>
      </c>
      <c r="S1586" t="s">
        <v>236</v>
      </c>
      <c r="T1586" t="s">
        <v>356</v>
      </c>
      <c r="U1586">
        <v>2.1441175894306722E-5</v>
      </c>
      <c r="V1586" t="s">
        <v>168</v>
      </c>
    </row>
    <row r="1587" spans="9:22" x14ac:dyDescent="0.45">
      <c r="I1587" t="s">
        <v>193</v>
      </c>
      <c r="J1587" t="s">
        <v>357</v>
      </c>
      <c r="K1587">
        <v>2.9918414878217069E-4</v>
      </c>
      <c r="L1587" t="s">
        <v>168</v>
      </c>
      <c r="N1587" t="s">
        <v>217</v>
      </c>
      <c r="O1587" t="s">
        <v>357</v>
      </c>
      <c r="P1587">
        <v>2.5565983113264364E-5</v>
      </c>
      <c r="Q1587" t="s">
        <v>168</v>
      </c>
      <c r="S1587" t="s">
        <v>236</v>
      </c>
      <c r="T1587" t="s">
        <v>357</v>
      </c>
      <c r="U1587">
        <v>2.2587356574810168E-5</v>
      </c>
      <c r="V1587" t="s">
        <v>168</v>
      </c>
    </row>
    <row r="1588" spans="9:22" x14ac:dyDescent="0.45">
      <c r="I1588" t="s">
        <v>193</v>
      </c>
      <c r="J1588" t="s">
        <v>358</v>
      </c>
      <c r="K1588">
        <v>2.6584818093181972E-4</v>
      </c>
      <c r="L1588" t="s">
        <v>168</v>
      </c>
      <c r="N1588" t="s">
        <v>217</v>
      </c>
      <c r="O1588" t="s">
        <v>358</v>
      </c>
      <c r="P1588">
        <v>1.8229189184379142E-5</v>
      </c>
      <c r="Q1588" t="s">
        <v>168</v>
      </c>
      <c r="S1588" t="s">
        <v>236</v>
      </c>
      <c r="T1588" t="s">
        <v>358</v>
      </c>
      <c r="U1588">
        <v>2.5789792581540017E-5</v>
      </c>
      <c r="V1588" t="s">
        <v>168</v>
      </c>
    </row>
    <row r="1589" spans="9:22" x14ac:dyDescent="0.45">
      <c r="I1589" t="s">
        <v>193</v>
      </c>
      <c r="J1589" t="s">
        <v>359</v>
      </c>
      <c r="K1589">
        <v>1.4349827986180527E-4</v>
      </c>
      <c r="L1589" t="s">
        <v>168</v>
      </c>
      <c r="N1589" t="s">
        <v>217</v>
      </c>
      <c r="O1589" t="s">
        <v>359</v>
      </c>
      <c r="P1589">
        <v>1.4856480697388942E-5</v>
      </c>
      <c r="Q1589" t="s">
        <v>168</v>
      </c>
      <c r="S1589" t="s">
        <v>236</v>
      </c>
      <c r="T1589" t="s">
        <v>359</v>
      </c>
      <c r="U1589">
        <v>2.7913417424878709E-5</v>
      </c>
      <c r="V1589" t="s">
        <v>168</v>
      </c>
    </row>
    <row r="1590" spans="9:22" x14ac:dyDescent="0.45">
      <c r="I1590" t="s">
        <v>193</v>
      </c>
      <c r="J1590" t="s">
        <v>360</v>
      </c>
      <c r="K1590">
        <v>0</v>
      </c>
      <c r="L1590" t="s">
        <v>168</v>
      </c>
      <c r="N1590" t="s">
        <v>217</v>
      </c>
      <c r="O1590" t="s">
        <v>360</v>
      </c>
      <c r="P1590">
        <v>1.3852176109505287E-5</v>
      </c>
      <c r="Q1590" t="s">
        <v>168</v>
      </c>
      <c r="S1590" t="s">
        <v>236</v>
      </c>
      <c r="T1590" t="s">
        <v>360</v>
      </c>
      <c r="U1590">
        <v>3.1110067849676797E-5</v>
      </c>
      <c r="V1590" t="s">
        <v>168</v>
      </c>
    </row>
    <row r="1591" spans="9:22" x14ac:dyDescent="0.45">
      <c r="I1591" t="s">
        <v>193</v>
      </c>
      <c r="J1591" t="s">
        <v>361</v>
      </c>
      <c r="K1591">
        <v>0</v>
      </c>
      <c r="L1591" t="s">
        <v>168</v>
      </c>
      <c r="N1591" t="s">
        <v>217</v>
      </c>
      <c r="O1591" t="s">
        <v>361</v>
      </c>
      <c r="P1591">
        <v>1.4678498030972244E-5</v>
      </c>
      <c r="Q1591" t="s">
        <v>168</v>
      </c>
      <c r="S1591" t="s">
        <v>236</v>
      </c>
      <c r="T1591" t="s">
        <v>361</v>
      </c>
      <c r="U1591">
        <v>4.4276235988504238E-5</v>
      </c>
      <c r="V1591" t="s">
        <v>168</v>
      </c>
    </row>
    <row r="1592" spans="9:22" x14ac:dyDescent="0.45">
      <c r="I1592" t="s">
        <v>193</v>
      </c>
      <c r="J1592" t="s">
        <v>362</v>
      </c>
      <c r="K1592">
        <v>0</v>
      </c>
      <c r="L1592" t="s">
        <v>168</v>
      </c>
      <c r="N1592" t="s">
        <v>217</v>
      </c>
      <c r="O1592" t="s">
        <v>362</v>
      </c>
      <c r="P1592">
        <v>1.7916050000046874E-5</v>
      </c>
      <c r="Q1592" t="s">
        <v>168</v>
      </c>
      <c r="S1592" t="s">
        <v>236</v>
      </c>
      <c r="T1592" t="s">
        <v>362</v>
      </c>
      <c r="U1592">
        <v>6.2252700568230624E-5</v>
      </c>
      <c r="V1592" t="s">
        <v>168</v>
      </c>
    </row>
    <row r="1593" spans="9:22" x14ac:dyDescent="0.45">
      <c r="I1593" t="s">
        <v>193</v>
      </c>
      <c r="J1593" t="s">
        <v>363</v>
      </c>
      <c r="K1593">
        <v>0</v>
      </c>
      <c r="L1593" t="s">
        <v>168</v>
      </c>
      <c r="N1593" t="s">
        <v>217</v>
      </c>
      <c r="O1593" t="s">
        <v>363</v>
      </c>
      <c r="P1593">
        <v>2.0040417538334665E-5</v>
      </c>
      <c r="Q1593" t="s">
        <v>168</v>
      </c>
      <c r="S1593" t="s">
        <v>236</v>
      </c>
      <c r="T1593" t="s">
        <v>363</v>
      </c>
      <c r="U1593">
        <v>6.4278179024342155E-5</v>
      </c>
      <c r="V1593" t="s">
        <v>168</v>
      </c>
    </row>
    <row r="1594" spans="9:22" x14ac:dyDescent="0.45">
      <c r="I1594" t="s">
        <v>193</v>
      </c>
      <c r="J1594" t="s">
        <v>364</v>
      </c>
      <c r="K1594">
        <v>0</v>
      </c>
      <c r="L1594" t="s">
        <v>168</v>
      </c>
      <c r="N1594" t="s">
        <v>217</v>
      </c>
      <c r="O1594" t="s">
        <v>364</v>
      </c>
      <c r="P1594">
        <v>2.2922003811515084E-5</v>
      </c>
      <c r="Q1594" t="s">
        <v>168</v>
      </c>
      <c r="S1594" t="s">
        <v>236</v>
      </c>
      <c r="T1594" t="s">
        <v>364</v>
      </c>
      <c r="U1594">
        <v>4.4832439638304935E-5</v>
      </c>
      <c r="V1594" t="s">
        <v>168</v>
      </c>
    </row>
    <row r="1595" spans="9:22" x14ac:dyDescent="0.45">
      <c r="I1595" t="s">
        <v>193</v>
      </c>
      <c r="J1595" t="s">
        <v>277</v>
      </c>
      <c r="K1595">
        <v>3.4493519668107918E-4</v>
      </c>
      <c r="L1595" t="s">
        <v>168</v>
      </c>
      <c r="N1595" t="s">
        <v>217</v>
      </c>
      <c r="O1595" t="s">
        <v>277</v>
      </c>
      <c r="P1595">
        <v>4.4314729086737822E-2</v>
      </c>
      <c r="Q1595" t="s">
        <v>168</v>
      </c>
      <c r="S1595" t="s">
        <v>236</v>
      </c>
      <c r="T1595" t="s">
        <v>277</v>
      </c>
      <c r="U1595">
        <v>5.1320464741398938E-2</v>
      </c>
      <c r="V1595" t="s">
        <v>168</v>
      </c>
    </row>
    <row r="1596" spans="9:22" x14ac:dyDescent="0.45">
      <c r="I1596" t="s">
        <v>193</v>
      </c>
      <c r="J1596" t="s">
        <v>278</v>
      </c>
      <c r="K1596">
        <v>3.6524558039918911E-3</v>
      </c>
      <c r="L1596" t="s">
        <v>168</v>
      </c>
      <c r="N1596" t="s">
        <v>217</v>
      </c>
      <c r="O1596" t="s">
        <v>278</v>
      </c>
      <c r="P1596">
        <v>6.0039241397151439E-3</v>
      </c>
      <c r="Q1596" t="s">
        <v>168</v>
      </c>
      <c r="S1596" t="s">
        <v>236</v>
      </c>
      <c r="T1596" t="s">
        <v>278</v>
      </c>
      <c r="U1596">
        <v>6.0105791430359609E-3</v>
      </c>
      <c r="V1596" t="s">
        <v>168</v>
      </c>
    </row>
    <row r="1597" spans="9:22" x14ac:dyDescent="0.45">
      <c r="I1597" t="s">
        <v>193</v>
      </c>
      <c r="J1597" t="s">
        <v>279</v>
      </c>
      <c r="K1597">
        <v>8.0716733118326878E-3</v>
      </c>
      <c r="L1597" t="s">
        <v>168</v>
      </c>
      <c r="N1597" t="s">
        <v>217</v>
      </c>
      <c r="O1597" t="s">
        <v>279</v>
      </c>
      <c r="P1597">
        <v>6.1181515425017237E-3</v>
      </c>
      <c r="Q1597" t="s">
        <v>168</v>
      </c>
      <c r="S1597" t="s">
        <v>236</v>
      </c>
      <c r="T1597" t="s">
        <v>279</v>
      </c>
      <c r="U1597">
        <v>5.9801638553186572E-3</v>
      </c>
      <c r="V1597" t="s">
        <v>168</v>
      </c>
    </row>
    <row r="1598" spans="9:22" x14ac:dyDescent="0.45">
      <c r="I1598" t="s">
        <v>193</v>
      </c>
      <c r="J1598" t="s">
        <v>280</v>
      </c>
      <c r="K1598">
        <v>7.101010088877506E-2</v>
      </c>
      <c r="L1598" t="s">
        <v>168</v>
      </c>
      <c r="N1598" t="s">
        <v>217</v>
      </c>
      <c r="O1598" t="s">
        <v>280</v>
      </c>
      <c r="P1598">
        <v>4.2012695519487477E-2</v>
      </c>
      <c r="Q1598" t="s">
        <v>168</v>
      </c>
      <c r="S1598" t="s">
        <v>236</v>
      </c>
      <c r="T1598" t="s">
        <v>280</v>
      </c>
      <c r="U1598">
        <v>3.3778927838704807E-2</v>
      </c>
      <c r="V1598" t="s">
        <v>168</v>
      </c>
    </row>
    <row r="1599" spans="9:22" x14ac:dyDescent="0.45">
      <c r="I1599" t="s">
        <v>193</v>
      </c>
      <c r="J1599" t="s">
        <v>281</v>
      </c>
      <c r="K1599">
        <v>8.3632445437629918E-3</v>
      </c>
      <c r="L1599" t="s">
        <v>168</v>
      </c>
      <c r="N1599" t="s">
        <v>217</v>
      </c>
      <c r="O1599" t="s">
        <v>281</v>
      </c>
      <c r="P1599">
        <v>6.9268606662766128E-3</v>
      </c>
      <c r="Q1599" t="s">
        <v>168</v>
      </c>
      <c r="S1599" t="s">
        <v>236</v>
      </c>
      <c r="T1599" t="s">
        <v>281</v>
      </c>
      <c r="U1599">
        <v>5.4250005758144232E-3</v>
      </c>
      <c r="V1599" t="s">
        <v>168</v>
      </c>
    </row>
    <row r="1600" spans="9:22" x14ac:dyDescent="0.45">
      <c r="I1600" t="s">
        <v>193</v>
      </c>
      <c r="J1600" t="s">
        <v>282</v>
      </c>
      <c r="K1600">
        <v>4.3095546007391903E-3</v>
      </c>
      <c r="L1600" t="s">
        <v>168</v>
      </c>
      <c r="N1600" t="s">
        <v>217</v>
      </c>
      <c r="O1600" t="s">
        <v>282</v>
      </c>
      <c r="P1600">
        <v>4.3053812940570702E-2</v>
      </c>
      <c r="Q1600" t="s">
        <v>168</v>
      </c>
      <c r="S1600" t="s">
        <v>236</v>
      </c>
      <c r="T1600" t="s">
        <v>282</v>
      </c>
      <c r="U1600">
        <v>4.3921245487573618E-2</v>
      </c>
      <c r="V1600" t="s">
        <v>168</v>
      </c>
    </row>
    <row r="1601" spans="9:22" x14ac:dyDescent="0.45">
      <c r="I1601" t="s">
        <v>193</v>
      </c>
      <c r="J1601" t="s">
        <v>283</v>
      </c>
      <c r="K1601">
        <v>0</v>
      </c>
      <c r="L1601" t="s">
        <v>168</v>
      </c>
      <c r="N1601" t="s">
        <v>217</v>
      </c>
      <c r="O1601" t="s">
        <v>283</v>
      </c>
      <c r="P1601">
        <v>2.4304111416391799E-2</v>
      </c>
      <c r="Q1601" t="s">
        <v>168</v>
      </c>
      <c r="S1601" t="s">
        <v>236</v>
      </c>
      <c r="T1601" t="s">
        <v>283</v>
      </c>
      <c r="U1601">
        <v>2.7504840844440354E-2</v>
      </c>
      <c r="V1601" t="s">
        <v>168</v>
      </c>
    </row>
    <row r="1602" spans="9:22" x14ac:dyDescent="0.45">
      <c r="I1602" t="s">
        <v>193</v>
      </c>
      <c r="J1602" t="s">
        <v>284</v>
      </c>
      <c r="K1602">
        <v>0</v>
      </c>
      <c r="L1602" t="s">
        <v>168</v>
      </c>
      <c r="N1602" t="s">
        <v>217</v>
      </c>
      <c r="O1602" t="s">
        <v>284</v>
      </c>
      <c r="P1602">
        <v>2.8092422701913918E-3</v>
      </c>
      <c r="Q1602" t="s">
        <v>168</v>
      </c>
      <c r="S1602" t="s">
        <v>236</v>
      </c>
      <c r="T1602" t="s">
        <v>284</v>
      </c>
      <c r="U1602">
        <v>3.4678435577445189E-3</v>
      </c>
      <c r="V1602" t="s">
        <v>168</v>
      </c>
    </row>
    <row r="1603" spans="9:22" x14ac:dyDescent="0.45">
      <c r="I1603" t="s">
        <v>193</v>
      </c>
      <c r="J1603" t="s">
        <v>285</v>
      </c>
      <c r="K1603">
        <v>4.1204597471230144E-3</v>
      </c>
      <c r="L1603" t="s">
        <v>168</v>
      </c>
      <c r="N1603" t="s">
        <v>217</v>
      </c>
      <c r="O1603" t="s">
        <v>285</v>
      </c>
      <c r="P1603">
        <v>2.7820124675514424E-3</v>
      </c>
      <c r="Q1603" t="s">
        <v>168</v>
      </c>
      <c r="S1603" t="s">
        <v>236</v>
      </c>
      <c r="T1603" t="s">
        <v>285</v>
      </c>
      <c r="U1603">
        <v>3.5405796477755189E-3</v>
      </c>
      <c r="V1603" t="s">
        <v>168</v>
      </c>
    </row>
    <row r="1604" spans="9:22" x14ac:dyDescent="0.45">
      <c r="I1604" t="s">
        <v>193</v>
      </c>
      <c r="J1604" t="s">
        <v>286</v>
      </c>
      <c r="K1604">
        <v>3.8963308466540482E-2</v>
      </c>
      <c r="L1604" t="s">
        <v>168</v>
      </c>
      <c r="N1604" t="s">
        <v>217</v>
      </c>
      <c r="O1604" t="s">
        <v>286</v>
      </c>
      <c r="P1604">
        <v>1.4239032305074447E-2</v>
      </c>
      <c r="Q1604" t="s">
        <v>168</v>
      </c>
      <c r="S1604" t="s">
        <v>236</v>
      </c>
      <c r="T1604" t="s">
        <v>286</v>
      </c>
      <c r="U1604">
        <v>2.2526238298758324E-2</v>
      </c>
      <c r="V1604" t="s">
        <v>168</v>
      </c>
    </row>
    <row r="1605" spans="9:22" x14ac:dyDescent="0.45">
      <c r="I1605" t="s">
        <v>193</v>
      </c>
      <c r="J1605" t="s">
        <v>287</v>
      </c>
      <c r="K1605">
        <v>4.5619657135399384E-3</v>
      </c>
      <c r="L1605" t="s">
        <v>168</v>
      </c>
      <c r="N1605" t="s">
        <v>217</v>
      </c>
      <c r="O1605" t="s">
        <v>287</v>
      </c>
      <c r="P1605">
        <v>2.0396555998239401E-3</v>
      </c>
      <c r="Q1605" t="s">
        <v>168</v>
      </c>
      <c r="S1605" t="s">
        <v>236</v>
      </c>
      <c r="T1605" t="s">
        <v>287</v>
      </c>
      <c r="U1605">
        <v>3.809881590399319E-3</v>
      </c>
      <c r="V1605" t="s">
        <v>168</v>
      </c>
    </row>
    <row r="1606" spans="9:22" x14ac:dyDescent="0.45">
      <c r="I1606" t="s">
        <v>193</v>
      </c>
      <c r="J1606" t="s">
        <v>288</v>
      </c>
      <c r="K1606">
        <v>0</v>
      </c>
      <c r="L1606" t="s">
        <v>168</v>
      </c>
      <c r="N1606" t="s">
        <v>217</v>
      </c>
      <c r="O1606" t="s">
        <v>288</v>
      </c>
      <c r="P1606">
        <v>1.6188625722977863E-2</v>
      </c>
      <c r="Q1606" t="s">
        <v>168</v>
      </c>
      <c r="S1606" t="s">
        <v>236</v>
      </c>
      <c r="T1606" t="s">
        <v>288</v>
      </c>
      <c r="U1606">
        <v>2.7144325620453085E-2</v>
      </c>
      <c r="V1606" t="s">
        <v>168</v>
      </c>
    </row>
    <row r="1607" spans="9:22" x14ac:dyDescent="0.45">
      <c r="I1607" t="s">
        <v>193</v>
      </c>
      <c r="J1607" t="s">
        <v>365</v>
      </c>
      <c r="K1607">
        <v>0</v>
      </c>
      <c r="L1607" t="s">
        <v>168</v>
      </c>
      <c r="N1607" t="s">
        <v>217</v>
      </c>
      <c r="O1607" t="s">
        <v>365</v>
      </c>
      <c r="P1607">
        <v>2.4659402929711422E-5</v>
      </c>
      <c r="Q1607" t="s">
        <v>168</v>
      </c>
      <c r="S1607" t="s">
        <v>236</v>
      </c>
      <c r="T1607" t="s">
        <v>365</v>
      </c>
      <c r="U1607">
        <v>1.0224913512027832E-4</v>
      </c>
      <c r="V1607" t="s">
        <v>168</v>
      </c>
    </row>
    <row r="1608" spans="9:22" x14ac:dyDescent="0.45">
      <c r="I1608" t="s">
        <v>193</v>
      </c>
      <c r="J1608" t="s">
        <v>366</v>
      </c>
      <c r="K1608">
        <v>0</v>
      </c>
      <c r="L1608" t="s">
        <v>168</v>
      </c>
      <c r="N1608" t="s">
        <v>217</v>
      </c>
      <c r="O1608" t="s">
        <v>366</v>
      </c>
      <c r="P1608">
        <v>2.1682037732833961E-5</v>
      </c>
      <c r="Q1608" t="s">
        <v>168</v>
      </c>
      <c r="S1608" t="s">
        <v>236</v>
      </c>
      <c r="T1608" t="s">
        <v>366</v>
      </c>
      <c r="U1608">
        <v>1.1331701857288399E-4</v>
      </c>
      <c r="V1608" t="s">
        <v>168</v>
      </c>
    </row>
    <row r="1609" spans="9:22" x14ac:dyDescent="0.45">
      <c r="I1609" t="s">
        <v>193</v>
      </c>
      <c r="J1609" t="s">
        <v>367</v>
      </c>
      <c r="K1609">
        <v>0</v>
      </c>
      <c r="L1609" t="s">
        <v>168</v>
      </c>
      <c r="N1609" t="s">
        <v>217</v>
      </c>
      <c r="O1609" t="s">
        <v>367</v>
      </c>
      <c r="P1609">
        <v>2.016886033561899E-5</v>
      </c>
      <c r="Q1609" t="s">
        <v>168</v>
      </c>
      <c r="S1609" t="s">
        <v>236</v>
      </c>
      <c r="T1609" t="s">
        <v>367</v>
      </c>
      <c r="U1609">
        <v>1.1524521212241024E-4</v>
      </c>
      <c r="V1609" t="s">
        <v>168</v>
      </c>
    </row>
    <row r="1610" spans="9:22" x14ac:dyDescent="0.45">
      <c r="I1610" t="s">
        <v>193</v>
      </c>
      <c r="J1610" t="s">
        <v>368</v>
      </c>
      <c r="K1610">
        <v>0</v>
      </c>
      <c r="L1610" t="s">
        <v>168</v>
      </c>
      <c r="N1610" t="s">
        <v>217</v>
      </c>
      <c r="O1610" t="s">
        <v>368</v>
      </c>
      <c r="P1610">
        <v>1.8027142338990142E-5</v>
      </c>
      <c r="Q1610" t="s">
        <v>168</v>
      </c>
      <c r="S1610" t="s">
        <v>236</v>
      </c>
      <c r="T1610" t="s">
        <v>368</v>
      </c>
      <c r="U1610">
        <v>1.0907759211836531E-4</v>
      </c>
      <c r="V1610" t="s">
        <v>168</v>
      </c>
    </row>
    <row r="1611" spans="9:22" x14ac:dyDescent="0.45">
      <c r="I1611" t="s">
        <v>193</v>
      </c>
      <c r="J1611" t="s">
        <v>369</v>
      </c>
      <c r="K1611">
        <v>0</v>
      </c>
      <c r="L1611" t="s">
        <v>168</v>
      </c>
      <c r="N1611" t="s">
        <v>217</v>
      </c>
      <c r="O1611" t="s">
        <v>369</v>
      </c>
      <c r="P1611">
        <v>1.906495806234505E-5</v>
      </c>
      <c r="Q1611" t="s">
        <v>168</v>
      </c>
      <c r="S1611" t="s">
        <v>236</v>
      </c>
      <c r="T1611" t="s">
        <v>369</v>
      </c>
      <c r="U1611">
        <v>9.5782657132784886E-5</v>
      </c>
      <c r="V1611" t="s">
        <v>168</v>
      </c>
    </row>
    <row r="1612" spans="9:22" x14ac:dyDescent="0.45">
      <c r="I1612" t="s">
        <v>193</v>
      </c>
      <c r="J1612" t="s">
        <v>370</v>
      </c>
      <c r="K1612">
        <v>0</v>
      </c>
      <c r="L1612" t="s">
        <v>168</v>
      </c>
      <c r="N1612" t="s">
        <v>217</v>
      </c>
      <c r="O1612" t="s">
        <v>370</v>
      </c>
      <c r="P1612">
        <v>1.7972283216862235E-5</v>
      </c>
      <c r="Q1612" t="s">
        <v>168</v>
      </c>
      <c r="S1612" t="s">
        <v>236</v>
      </c>
      <c r="T1612" t="s">
        <v>370</v>
      </c>
      <c r="U1612">
        <v>8.4575785804499442E-5</v>
      </c>
      <c r="V1612" t="s">
        <v>168</v>
      </c>
    </row>
    <row r="1613" spans="9:22" x14ac:dyDescent="0.45">
      <c r="I1613" t="s">
        <v>193</v>
      </c>
      <c r="J1613" t="s">
        <v>371</v>
      </c>
      <c r="K1613">
        <v>0</v>
      </c>
      <c r="L1613" t="s">
        <v>168</v>
      </c>
      <c r="N1613" t="s">
        <v>217</v>
      </c>
      <c r="O1613" t="s">
        <v>371</v>
      </c>
      <c r="P1613">
        <v>1.9386529015616219E-5</v>
      </c>
      <c r="Q1613" t="s">
        <v>168</v>
      </c>
      <c r="S1613" t="s">
        <v>236</v>
      </c>
      <c r="T1613" t="s">
        <v>371</v>
      </c>
      <c r="U1613">
        <v>7.3404521763754154E-5</v>
      </c>
      <c r="V1613" t="s">
        <v>168</v>
      </c>
    </row>
    <row r="1614" spans="9:22" x14ac:dyDescent="0.45">
      <c r="I1614" t="s">
        <v>193</v>
      </c>
      <c r="J1614" t="s">
        <v>372</v>
      </c>
      <c r="K1614">
        <v>0</v>
      </c>
      <c r="L1614" t="s">
        <v>168</v>
      </c>
      <c r="N1614" t="s">
        <v>217</v>
      </c>
      <c r="O1614" t="s">
        <v>372</v>
      </c>
      <c r="P1614">
        <v>1.8598166010122177E-5</v>
      </c>
      <c r="Q1614" t="s">
        <v>168</v>
      </c>
      <c r="S1614" t="s">
        <v>236</v>
      </c>
      <c r="T1614" t="s">
        <v>372</v>
      </c>
      <c r="U1614">
        <v>6.8354053028144541E-5</v>
      </c>
      <c r="V1614" t="s">
        <v>168</v>
      </c>
    </row>
    <row r="1615" spans="9:22" x14ac:dyDescent="0.45">
      <c r="I1615" t="s">
        <v>193</v>
      </c>
      <c r="J1615" t="s">
        <v>373</v>
      </c>
      <c r="K1615">
        <v>0</v>
      </c>
      <c r="L1615" t="s">
        <v>168</v>
      </c>
      <c r="N1615" t="s">
        <v>217</v>
      </c>
      <c r="O1615" t="s">
        <v>373</v>
      </c>
      <c r="P1615">
        <v>1.6034654222763517E-5</v>
      </c>
      <c r="Q1615" t="s">
        <v>168</v>
      </c>
      <c r="S1615" t="s">
        <v>236</v>
      </c>
      <c r="T1615" t="s">
        <v>373</v>
      </c>
      <c r="U1615">
        <v>6.17163799667202E-5</v>
      </c>
      <c r="V1615" t="s">
        <v>168</v>
      </c>
    </row>
    <row r="1616" spans="9:22" x14ac:dyDescent="0.45">
      <c r="I1616" t="s">
        <v>193</v>
      </c>
      <c r="J1616" t="s">
        <v>374</v>
      </c>
      <c r="K1616">
        <v>1.5167258472672759E-4</v>
      </c>
      <c r="L1616" t="s">
        <v>168</v>
      </c>
      <c r="N1616" t="s">
        <v>217</v>
      </c>
      <c r="O1616" t="s">
        <v>374</v>
      </c>
      <c r="P1616">
        <v>1.3955906078271038E-5</v>
      </c>
      <c r="Q1616" t="s">
        <v>168</v>
      </c>
      <c r="S1616" t="s">
        <v>236</v>
      </c>
      <c r="T1616" t="s">
        <v>374</v>
      </c>
      <c r="U1616">
        <v>5.5505444015702242E-5</v>
      </c>
      <c r="V1616" t="s">
        <v>168</v>
      </c>
    </row>
    <row r="1617" spans="9:22" x14ac:dyDescent="0.45">
      <c r="I1617" t="s">
        <v>193</v>
      </c>
      <c r="J1617" t="s">
        <v>375</v>
      </c>
      <c r="K1617">
        <v>2.3159101828450446E-4</v>
      </c>
      <c r="L1617" t="s">
        <v>168</v>
      </c>
      <c r="N1617" t="s">
        <v>217</v>
      </c>
      <c r="O1617" t="s">
        <v>375</v>
      </c>
      <c r="P1617">
        <v>1.2640935757078957E-5</v>
      </c>
      <c r="Q1617" t="s">
        <v>168</v>
      </c>
      <c r="S1617" t="s">
        <v>236</v>
      </c>
      <c r="T1617" t="s">
        <v>375</v>
      </c>
      <c r="U1617">
        <v>4.8939063011475141E-5</v>
      </c>
      <c r="V1617" t="s">
        <v>168</v>
      </c>
    </row>
    <row r="1618" spans="9:22" x14ac:dyDescent="0.45">
      <c r="I1618" t="s">
        <v>193</v>
      </c>
      <c r="J1618" t="s">
        <v>376</v>
      </c>
      <c r="K1618">
        <v>2.678747879299764E-4</v>
      </c>
      <c r="L1618" t="s">
        <v>168</v>
      </c>
      <c r="N1618" t="s">
        <v>217</v>
      </c>
      <c r="O1618" t="s">
        <v>376</v>
      </c>
      <c r="P1618">
        <v>8.5916747691005544E-6</v>
      </c>
      <c r="Q1618" t="s">
        <v>168</v>
      </c>
      <c r="S1618" t="s">
        <v>236</v>
      </c>
      <c r="T1618" t="s">
        <v>376</v>
      </c>
      <c r="U1618">
        <v>2.9614410544116479E-5</v>
      </c>
      <c r="V1618" t="s">
        <v>168</v>
      </c>
    </row>
    <row r="1619" spans="9:22" x14ac:dyDescent="0.45">
      <c r="I1619" t="s">
        <v>193</v>
      </c>
      <c r="J1619" t="s">
        <v>377</v>
      </c>
      <c r="K1619">
        <v>2.4267659525049589E-4</v>
      </c>
      <c r="L1619" t="s">
        <v>168</v>
      </c>
      <c r="N1619" t="s">
        <v>217</v>
      </c>
      <c r="O1619" t="s">
        <v>377</v>
      </c>
      <c r="P1619">
        <v>1.0354777666657215E-5</v>
      </c>
      <c r="Q1619" t="s">
        <v>168</v>
      </c>
      <c r="S1619" t="s">
        <v>236</v>
      </c>
      <c r="T1619" t="s">
        <v>377</v>
      </c>
      <c r="U1619">
        <v>2.3875625457631827E-5</v>
      </c>
      <c r="V1619" t="s">
        <v>168</v>
      </c>
    </row>
    <row r="1620" spans="9:22" x14ac:dyDescent="0.45">
      <c r="I1620" t="s">
        <v>193</v>
      </c>
      <c r="J1620" t="s">
        <v>378</v>
      </c>
      <c r="K1620">
        <v>2.22538452350554E-4</v>
      </c>
      <c r="L1620" t="s">
        <v>168</v>
      </c>
      <c r="N1620" t="s">
        <v>217</v>
      </c>
      <c r="O1620" t="s">
        <v>378</v>
      </c>
      <c r="P1620">
        <v>8.7461270049387778E-6</v>
      </c>
      <c r="Q1620" t="s">
        <v>168</v>
      </c>
      <c r="S1620" t="s">
        <v>236</v>
      </c>
      <c r="T1620" t="s">
        <v>378</v>
      </c>
      <c r="U1620">
        <v>1.7017815196111237E-5</v>
      </c>
      <c r="V1620" t="s">
        <v>168</v>
      </c>
    </row>
    <row r="1621" spans="9:22" x14ac:dyDescent="0.45">
      <c r="I1621" t="s">
        <v>193</v>
      </c>
      <c r="J1621" t="s">
        <v>379</v>
      </c>
      <c r="K1621">
        <v>2.6875317008277246E-4</v>
      </c>
      <c r="L1621" t="s">
        <v>168</v>
      </c>
      <c r="N1621" t="s">
        <v>217</v>
      </c>
      <c r="O1621" t="s">
        <v>379</v>
      </c>
      <c r="P1621">
        <v>1.0477474541268309E-5</v>
      </c>
      <c r="Q1621" t="s">
        <v>168</v>
      </c>
      <c r="S1621" t="s">
        <v>236</v>
      </c>
      <c r="T1621" t="s">
        <v>379</v>
      </c>
      <c r="U1621">
        <v>1.1663702114824654E-5</v>
      </c>
      <c r="V1621" t="s">
        <v>168</v>
      </c>
    </row>
    <row r="1622" spans="9:22" x14ac:dyDescent="0.45">
      <c r="I1622" t="s">
        <v>193</v>
      </c>
      <c r="J1622" t="s">
        <v>380</v>
      </c>
      <c r="K1622">
        <v>2.345527216213875E-4</v>
      </c>
      <c r="L1622" t="s">
        <v>168</v>
      </c>
      <c r="N1622" t="s">
        <v>217</v>
      </c>
      <c r="O1622" t="s">
        <v>380</v>
      </c>
      <c r="P1622">
        <v>1.3161785847042543E-5</v>
      </c>
      <c r="Q1622" t="s">
        <v>168</v>
      </c>
      <c r="S1622" t="s">
        <v>236</v>
      </c>
      <c r="T1622" t="s">
        <v>380</v>
      </c>
      <c r="U1622">
        <v>7.0497427481350527E-6</v>
      </c>
      <c r="V1622" t="s">
        <v>168</v>
      </c>
    </row>
    <row r="1623" spans="9:22" x14ac:dyDescent="0.45">
      <c r="I1623" t="s">
        <v>193</v>
      </c>
      <c r="J1623" t="s">
        <v>381</v>
      </c>
      <c r="K1623">
        <v>1.3481171187351468E-4</v>
      </c>
      <c r="L1623" t="s">
        <v>168</v>
      </c>
      <c r="N1623" t="s">
        <v>217</v>
      </c>
      <c r="O1623" t="s">
        <v>381</v>
      </c>
      <c r="P1623">
        <v>1.7600285779331383E-5</v>
      </c>
      <c r="Q1623" t="s">
        <v>168</v>
      </c>
      <c r="S1623" t="s">
        <v>236</v>
      </c>
      <c r="T1623" t="s">
        <v>381</v>
      </c>
      <c r="U1623">
        <v>6.2964323530268555E-6</v>
      </c>
      <c r="V1623" t="s">
        <v>168</v>
      </c>
    </row>
    <row r="1624" spans="9:22" x14ac:dyDescent="0.45">
      <c r="I1624" t="s">
        <v>193</v>
      </c>
      <c r="J1624" t="s">
        <v>382</v>
      </c>
      <c r="K1624">
        <v>0</v>
      </c>
      <c r="L1624" t="s">
        <v>168</v>
      </c>
      <c r="N1624" t="s">
        <v>217</v>
      </c>
      <c r="O1624" t="s">
        <v>382</v>
      </c>
      <c r="P1624">
        <v>2.2088443836230808E-5</v>
      </c>
      <c r="Q1624" t="s">
        <v>168</v>
      </c>
      <c r="S1624" t="s">
        <v>236</v>
      </c>
      <c r="T1624" t="s">
        <v>382</v>
      </c>
      <c r="U1624">
        <v>7.1189873987782473E-6</v>
      </c>
      <c r="V1624" t="s">
        <v>168</v>
      </c>
    </row>
    <row r="1625" spans="9:22" x14ac:dyDescent="0.45">
      <c r="I1625" t="s">
        <v>193</v>
      </c>
      <c r="J1625" t="s">
        <v>383</v>
      </c>
      <c r="K1625">
        <v>0</v>
      </c>
      <c r="L1625" t="s">
        <v>168</v>
      </c>
      <c r="N1625" t="s">
        <v>217</v>
      </c>
      <c r="O1625" t="s">
        <v>383</v>
      </c>
      <c r="P1625">
        <v>2.2909643018783768E-5</v>
      </c>
      <c r="Q1625" t="s">
        <v>168</v>
      </c>
      <c r="S1625" t="s">
        <v>236</v>
      </c>
      <c r="T1625" t="s">
        <v>383</v>
      </c>
      <c r="U1625">
        <v>7.8119954491595901E-6</v>
      </c>
      <c r="V1625" t="s">
        <v>168</v>
      </c>
    </row>
    <row r="1626" spans="9:22" x14ac:dyDescent="0.45">
      <c r="I1626" t="s">
        <v>193</v>
      </c>
      <c r="J1626" t="s">
        <v>384</v>
      </c>
      <c r="K1626">
        <v>0</v>
      </c>
      <c r="L1626" t="s">
        <v>168</v>
      </c>
      <c r="N1626" t="s">
        <v>217</v>
      </c>
      <c r="O1626" t="s">
        <v>384</v>
      </c>
      <c r="P1626">
        <v>2.0455279865021579E-5</v>
      </c>
      <c r="Q1626" t="s">
        <v>168</v>
      </c>
      <c r="S1626" t="s">
        <v>236</v>
      </c>
      <c r="T1626" t="s">
        <v>384</v>
      </c>
      <c r="U1626">
        <v>8.1259577678611475E-6</v>
      </c>
      <c r="V1626" t="s">
        <v>168</v>
      </c>
    </row>
    <row r="1627" spans="9:22" x14ac:dyDescent="0.45">
      <c r="I1627" t="s">
        <v>193</v>
      </c>
      <c r="J1627" t="s">
        <v>385</v>
      </c>
      <c r="K1627">
        <v>0</v>
      </c>
      <c r="L1627" t="s">
        <v>168</v>
      </c>
      <c r="N1627" t="s">
        <v>217</v>
      </c>
      <c r="O1627" t="s">
        <v>385</v>
      </c>
      <c r="P1627">
        <v>1.8199586046082393E-5</v>
      </c>
      <c r="Q1627" t="s">
        <v>168</v>
      </c>
      <c r="S1627" t="s">
        <v>236</v>
      </c>
      <c r="T1627" t="s">
        <v>385</v>
      </c>
      <c r="U1627">
        <v>7.9230516449990736E-6</v>
      </c>
      <c r="V1627" t="s">
        <v>168</v>
      </c>
    </row>
    <row r="1628" spans="9:22" x14ac:dyDescent="0.45">
      <c r="I1628" t="s">
        <v>193</v>
      </c>
      <c r="J1628" t="s">
        <v>386</v>
      </c>
      <c r="K1628">
        <v>0</v>
      </c>
      <c r="L1628" t="s">
        <v>168</v>
      </c>
      <c r="N1628" t="s">
        <v>217</v>
      </c>
      <c r="O1628" t="s">
        <v>386</v>
      </c>
      <c r="P1628">
        <v>1.6918457829623069E-5</v>
      </c>
      <c r="Q1628" t="s">
        <v>168</v>
      </c>
      <c r="S1628" t="s">
        <v>236</v>
      </c>
      <c r="T1628" t="s">
        <v>386</v>
      </c>
      <c r="U1628">
        <v>5.9786677435268812E-6</v>
      </c>
      <c r="V1628" t="s">
        <v>168</v>
      </c>
    </row>
    <row r="1629" spans="9:22" x14ac:dyDescent="0.45">
      <c r="I1629" t="s">
        <v>193</v>
      </c>
      <c r="J1629" t="s">
        <v>387</v>
      </c>
      <c r="K1629">
        <v>0</v>
      </c>
      <c r="L1629" t="s">
        <v>168</v>
      </c>
      <c r="N1629" t="s">
        <v>217</v>
      </c>
      <c r="O1629" t="s">
        <v>387</v>
      </c>
      <c r="P1629">
        <v>1.5043731459106495E-5</v>
      </c>
      <c r="Q1629" t="s">
        <v>168</v>
      </c>
      <c r="S1629" t="s">
        <v>236</v>
      </c>
      <c r="T1629" t="s">
        <v>387</v>
      </c>
      <c r="U1629">
        <v>4.157745472802334E-6</v>
      </c>
      <c r="V1629" t="s">
        <v>168</v>
      </c>
    </row>
    <row r="1630" spans="9:22" x14ac:dyDescent="0.45">
      <c r="I1630" t="s">
        <v>193</v>
      </c>
      <c r="J1630" t="s">
        <v>388</v>
      </c>
      <c r="K1630">
        <v>0</v>
      </c>
      <c r="L1630" t="s">
        <v>168</v>
      </c>
      <c r="N1630" t="s">
        <v>217</v>
      </c>
      <c r="O1630" t="s">
        <v>388</v>
      </c>
      <c r="P1630">
        <v>8.4793425638760741E-6</v>
      </c>
      <c r="Q1630" t="s">
        <v>168</v>
      </c>
      <c r="S1630" t="s">
        <v>236</v>
      </c>
      <c r="T1630" t="s">
        <v>388</v>
      </c>
      <c r="U1630">
        <v>8.9174155411543793E-7</v>
      </c>
      <c r="V1630" t="s">
        <v>168</v>
      </c>
    </row>
    <row r="1631" spans="9:22" x14ac:dyDescent="0.45">
      <c r="I1631" t="s">
        <v>194</v>
      </c>
      <c r="J1631" t="s">
        <v>167</v>
      </c>
      <c r="K1631">
        <v>0</v>
      </c>
      <c r="L1631" t="s">
        <v>168</v>
      </c>
      <c r="N1631" t="s">
        <v>218</v>
      </c>
      <c r="O1631" t="s">
        <v>167</v>
      </c>
      <c r="P1631">
        <v>8.7818064750543351E-2</v>
      </c>
      <c r="Q1631" t="s">
        <v>168</v>
      </c>
      <c r="S1631" t="s">
        <v>237</v>
      </c>
      <c r="T1631" t="s">
        <v>167</v>
      </c>
      <c r="U1631">
        <v>7.6856701555165427E-2</v>
      </c>
      <c r="V1631" t="s">
        <v>168</v>
      </c>
    </row>
    <row r="1632" spans="9:22" x14ac:dyDescent="0.45">
      <c r="I1632" t="s">
        <v>194</v>
      </c>
      <c r="J1632" t="s">
        <v>169</v>
      </c>
      <c r="K1632">
        <v>2.7244222263183315E-3</v>
      </c>
      <c r="L1632" t="s">
        <v>168</v>
      </c>
      <c r="N1632" t="s">
        <v>218</v>
      </c>
      <c r="O1632" t="s">
        <v>169</v>
      </c>
      <c r="P1632">
        <v>1.008821074922232E-2</v>
      </c>
      <c r="Q1632" t="s">
        <v>168</v>
      </c>
      <c r="S1632" t="s">
        <v>237</v>
      </c>
      <c r="T1632" t="s">
        <v>169</v>
      </c>
      <c r="U1632">
        <v>1.0340630796562972E-2</v>
      </c>
      <c r="V1632" t="s">
        <v>168</v>
      </c>
    </row>
    <row r="1633" spans="9:22" x14ac:dyDescent="0.45">
      <c r="I1633" t="s">
        <v>194</v>
      </c>
      <c r="J1633" t="s">
        <v>170</v>
      </c>
      <c r="K1633">
        <v>7.5619800365149068E-3</v>
      </c>
      <c r="L1633" t="s">
        <v>168</v>
      </c>
      <c r="N1633" t="s">
        <v>218</v>
      </c>
      <c r="O1633" t="s">
        <v>170</v>
      </c>
      <c r="P1633">
        <v>9.7172367543308363E-3</v>
      </c>
      <c r="Q1633" t="s">
        <v>168</v>
      </c>
      <c r="S1633" t="s">
        <v>237</v>
      </c>
      <c r="T1633" t="s">
        <v>170</v>
      </c>
      <c r="U1633">
        <v>1.0535618175601388E-2</v>
      </c>
      <c r="V1633" t="s">
        <v>168</v>
      </c>
    </row>
    <row r="1634" spans="9:22" x14ac:dyDescent="0.45">
      <c r="I1634" t="s">
        <v>194</v>
      </c>
      <c r="J1634" t="s">
        <v>256</v>
      </c>
      <c r="K1634">
        <v>7.2800999503948971E-2</v>
      </c>
      <c r="L1634" t="s">
        <v>168</v>
      </c>
      <c r="N1634" t="s">
        <v>218</v>
      </c>
      <c r="O1634" t="s">
        <v>256</v>
      </c>
      <c r="P1634">
        <v>7.0403245315097715E-2</v>
      </c>
      <c r="Q1634" t="s">
        <v>168</v>
      </c>
      <c r="S1634" t="s">
        <v>237</v>
      </c>
      <c r="T1634" t="s">
        <v>256</v>
      </c>
      <c r="U1634">
        <v>6.6234738814923894E-2</v>
      </c>
      <c r="V1634" t="s">
        <v>168</v>
      </c>
    </row>
    <row r="1635" spans="9:22" x14ac:dyDescent="0.45">
      <c r="I1635" t="s">
        <v>194</v>
      </c>
      <c r="J1635" t="s">
        <v>257</v>
      </c>
      <c r="K1635">
        <v>9.2339397396325271E-3</v>
      </c>
      <c r="L1635" t="s">
        <v>168</v>
      </c>
      <c r="N1635" t="s">
        <v>218</v>
      </c>
      <c r="O1635" t="s">
        <v>257</v>
      </c>
      <c r="P1635">
        <v>1.2355061533010364E-2</v>
      </c>
      <c r="Q1635" t="s">
        <v>168</v>
      </c>
      <c r="S1635" t="s">
        <v>237</v>
      </c>
      <c r="T1635" t="s">
        <v>257</v>
      </c>
      <c r="U1635">
        <v>1.1215369831654E-2</v>
      </c>
      <c r="V1635" t="s">
        <v>168</v>
      </c>
    </row>
    <row r="1636" spans="9:22" x14ac:dyDescent="0.45">
      <c r="I1636" t="s">
        <v>194</v>
      </c>
      <c r="J1636" t="s">
        <v>258</v>
      </c>
      <c r="K1636">
        <v>6.5500509686643692E-3</v>
      </c>
      <c r="L1636" t="s">
        <v>168</v>
      </c>
      <c r="N1636" t="s">
        <v>218</v>
      </c>
      <c r="O1636" t="s">
        <v>258</v>
      </c>
      <c r="P1636">
        <v>8.292846630955629E-2</v>
      </c>
      <c r="Q1636" t="s">
        <v>168</v>
      </c>
      <c r="S1636" t="s">
        <v>237</v>
      </c>
      <c r="T1636" t="s">
        <v>258</v>
      </c>
      <c r="U1636">
        <v>7.2815201730143192E-2</v>
      </c>
      <c r="V1636" t="s">
        <v>168</v>
      </c>
    </row>
    <row r="1637" spans="9:22" x14ac:dyDescent="0.45">
      <c r="I1637" t="s">
        <v>194</v>
      </c>
      <c r="J1637" t="s">
        <v>171</v>
      </c>
      <c r="K1637">
        <v>2.4062726798672423E-2</v>
      </c>
      <c r="L1637" t="s">
        <v>168</v>
      </c>
      <c r="N1637" t="s">
        <v>218</v>
      </c>
      <c r="O1637" t="s">
        <v>171</v>
      </c>
      <c r="P1637">
        <v>0.15655377119370237</v>
      </c>
      <c r="Q1637" t="s">
        <v>168</v>
      </c>
      <c r="S1637" t="s">
        <v>237</v>
      </c>
      <c r="T1637" t="s">
        <v>171</v>
      </c>
      <c r="U1637">
        <v>0.13486228591862701</v>
      </c>
      <c r="V1637" t="s">
        <v>168</v>
      </c>
    </row>
    <row r="1638" spans="9:22" x14ac:dyDescent="0.45">
      <c r="I1638" t="s">
        <v>194</v>
      </c>
      <c r="J1638" t="s">
        <v>172</v>
      </c>
      <c r="K1638">
        <v>2.7053789162782619E-2</v>
      </c>
      <c r="L1638" t="s">
        <v>168</v>
      </c>
      <c r="N1638" t="s">
        <v>218</v>
      </c>
      <c r="O1638" t="s">
        <v>172</v>
      </c>
      <c r="P1638">
        <v>1.9532259928708197E-2</v>
      </c>
      <c r="Q1638" t="s">
        <v>168</v>
      </c>
      <c r="S1638" t="s">
        <v>237</v>
      </c>
      <c r="T1638" t="s">
        <v>172</v>
      </c>
      <c r="U1638">
        <v>1.6151783178052978E-2</v>
      </c>
      <c r="V1638" t="s">
        <v>168</v>
      </c>
    </row>
    <row r="1639" spans="9:22" x14ac:dyDescent="0.45">
      <c r="I1639" t="s">
        <v>194</v>
      </c>
      <c r="J1639" t="s">
        <v>173</v>
      </c>
      <c r="K1639">
        <v>3.5279954739832239E-2</v>
      </c>
      <c r="L1639" t="s">
        <v>168</v>
      </c>
      <c r="N1639" t="s">
        <v>218</v>
      </c>
      <c r="O1639" t="s">
        <v>173</v>
      </c>
      <c r="P1639">
        <v>1.9500097410400777E-2</v>
      </c>
      <c r="Q1639" t="s">
        <v>168</v>
      </c>
      <c r="S1639" t="s">
        <v>237</v>
      </c>
      <c r="T1639" t="s">
        <v>173</v>
      </c>
      <c r="U1639">
        <v>1.5995706995834722E-2</v>
      </c>
      <c r="V1639" t="s">
        <v>168</v>
      </c>
    </row>
    <row r="1640" spans="9:22" x14ac:dyDescent="0.45">
      <c r="I1640" t="s">
        <v>194</v>
      </c>
      <c r="J1640" t="s">
        <v>259</v>
      </c>
      <c r="K1640">
        <v>0.24168789247639935</v>
      </c>
      <c r="L1640" t="s">
        <v>168</v>
      </c>
      <c r="N1640" t="s">
        <v>218</v>
      </c>
      <c r="O1640" t="s">
        <v>259</v>
      </c>
      <c r="P1640">
        <v>0.1220511328915429</v>
      </c>
      <c r="Q1640" t="s">
        <v>168</v>
      </c>
      <c r="S1640" t="s">
        <v>237</v>
      </c>
      <c r="T1640" t="s">
        <v>259</v>
      </c>
      <c r="U1640">
        <v>0.10063754355842205</v>
      </c>
      <c r="V1640" t="s">
        <v>168</v>
      </c>
    </row>
    <row r="1641" spans="9:22" x14ac:dyDescent="0.45">
      <c r="I1641" t="s">
        <v>194</v>
      </c>
      <c r="J1641" t="s">
        <v>260</v>
      </c>
      <c r="K1641">
        <v>3.3041229561841634E-2</v>
      </c>
      <c r="L1641" t="s">
        <v>168</v>
      </c>
      <c r="N1641" t="s">
        <v>218</v>
      </c>
      <c r="O1641" t="s">
        <v>260</v>
      </c>
      <c r="P1641">
        <v>2.1081441729417831E-2</v>
      </c>
      <c r="Q1641" t="s">
        <v>168</v>
      </c>
      <c r="S1641" t="s">
        <v>237</v>
      </c>
      <c r="T1641" t="s">
        <v>260</v>
      </c>
      <c r="U1641">
        <v>1.769404791604557E-2</v>
      </c>
      <c r="V1641" t="s">
        <v>168</v>
      </c>
    </row>
    <row r="1642" spans="9:22" x14ac:dyDescent="0.45">
      <c r="I1642" t="s">
        <v>194</v>
      </c>
      <c r="J1642" t="s">
        <v>261</v>
      </c>
      <c r="K1642">
        <v>5.2432656581265183E-2</v>
      </c>
      <c r="L1642" t="s">
        <v>168</v>
      </c>
      <c r="N1642" t="s">
        <v>218</v>
      </c>
      <c r="O1642" t="s">
        <v>261</v>
      </c>
      <c r="P1642">
        <v>0.13990380105737452</v>
      </c>
      <c r="Q1642" t="s">
        <v>168</v>
      </c>
      <c r="S1642" t="s">
        <v>237</v>
      </c>
      <c r="T1642" t="s">
        <v>261</v>
      </c>
      <c r="U1642">
        <v>0.12122816346218566</v>
      </c>
      <c r="V1642" t="s">
        <v>168</v>
      </c>
    </row>
    <row r="1643" spans="9:22" x14ac:dyDescent="0.45">
      <c r="I1643" t="s">
        <v>194</v>
      </c>
      <c r="J1643" t="s">
        <v>174</v>
      </c>
      <c r="K1643">
        <v>9.951941130121645E-3</v>
      </c>
      <c r="L1643" t="s">
        <v>168</v>
      </c>
      <c r="N1643" t="s">
        <v>218</v>
      </c>
      <c r="O1643" t="s">
        <v>174</v>
      </c>
      <c r="P1643">
        <v>3.7423598301666592E-3</v>
      </c>
      <c r="Q1643" t="s">
        <v>168</v>
      </c>
      <c r="S1643" t="s">
        <v>237</v>
      </c>
      <c r="T1643" t="s">
        <v>174</v>
      </c>
      <c r="U1643">
        <v>1.0220669928827048E-2</v>
      </c>
      <c r="V1643" t="s">
        <v>168</v>
      </c>
    </row>
    <row r="1644" spans="9:22" x14ac:dyDescent="0.45">
      <c r="I1644" t="s">
        <v>194</v>
      </c>
      <c r="J1644" t="s">
        <v>175</v>
      </c>
      <c r="K1644">
        <v>8.7130738775948076E-3</v>
      </c>
      <c r="L1644" t="s">
        <v>168</v>
      </c>
      <c r="N1644" t="s">
        <v>218</v>
      </c>
      <c r="O1644" t="s">
        <v>175</v>
      </c>
      <c r="P1644">
        <v>2.9718712494805686E-4</v>
      </c>
      <c r="Q1644" t="s">
        <v>168</v>
      </c>
      <c r="S1644" t="s">
        <v>237</v>
      </c>
      <c r="T1644" t="s">
        <v>175</v>
      </c>
      <c r="U1644">
        <v>9.9596719924794816E-4</v>
      </c>
      <c r="V1644" t="s">
        <v>168</v>
      </c>
    </row>
    <row r="1645" spans="9:22" x14ac:dyDescent="0.45">
      <c r="I1645" t="s">
        <v>194</v>
      </c>
      <c r="J1645" t="s">
        <v>176</v>
      </c>
      <c r="K1645">
        <v>1.038631441793552E-2</v>
      </c>
      <c r="L1645" t="s">
        <v>168</v>
      </c>
      <c r="N1645" t="s">
        <v>218</v>
      </c>
      <c r="O1645" t="s">
        <v>176</v>
      </c>
      <c r="P1645">
        <v>3.2453878296012981E-4</v>
      </c>
      <c r="Q1645" t="s">
        <v>168</v>
      </c>
      <c r="S1645" t="s">
        <v>237</v>
      </c>
      <c r="T1645" t="s">
        <v>176</v>
      </c>
      <c r="U1645">
        <v>9.1129872814937288E-4</v>
      </c>
      <c r="V1645" t="s">
        <v>168</v>
      </c>
    </row>
    <row r="1646" spans="9:22" x14ac:dyDescent="0.45">
      <c r="I1646" t="s">
        <v>194</v>
      </c>
      <c r="J1646" t="s">
        <v>262</v>
      </c>
      <c r="K1646">
        <v>6.6482152983540502E-2</v>
      </c>
      <c r="L1646" t="s">
        <v>168</v>
      </c>
      <c r="N1646" t="s">
        <v>218</v>
      </c>
      <c r="O1646" t="s">
        <v>262</v>
      </c>
      <c r="P1646">
        <v>3.7918472961062225E-3</v>
      </c>
      <c r="Q1646" t="s">
        <v>168</v>
      </c>
      <c r="S1646" t="s">
        <v>237</v>
      </c>
      <c r="T1646" t="s">
        <v>262</v>
      </c>
      <c r="U1646">
        <v>7.7196969874724032E-3</v>
      </c>
      <c r="V1646" t="s">
        <v>168</v>
      </c>
    </row>
    <row r="1647" spans="9:22" x14ac:dyDescent="0.45">
      <c r="I1647" t="s">
        <v>194</v>
      </c>
      <c r="J1647" t="s">
        <v>263</v>
      </c>
      <c r="K1647">
        <v>9.2098886083893019E-3</v>
      </c>
      <c r="L1647" t="s">
        <v>168</v>
      </c>
      <c r="N1647" t="s">
        <v>218</v>
      </c>
      <c r="O1647" t="s">
        <v>263</v>
      </c>
      <c r="P1647">
        <v>9.7927737676916315E-4</v>
      </c>
      <c r="Q1647" t="s">
        <v>168</v>
      </c>
      <c r="S1647" t="s">
        <v>237</v>
      </c>
      <c r="T1647" t="s">
        <v>263</v>
      </c>
      <c r="U1647">
        <v>2.0493323314975677E-3</v>
      </c>
      <c r="V1647" t="s">
        <v>168</v>
      </c>
    </row>
    <row r="1648" spans="9:22" x14ac:dyDescent="0.45">
      <c r="I1648" t="s">
        <v>194</v>
      </c>
      <c r="J1648" t="s">
        <v>264</v>
      </c>
      <c r="K1648">
        <v>1.7516891898717992E-2</v>
      </c>
      <c r="L1648" t="s">
        <v>168</v>
      </c>
      <c r="N1648" t="s">
        <v>218</v>
      </c>
      <c r="O1648" t="s">
        <v>264</v>
      </c>
      <c r="P1648">
        <v>4.3742277885798313E-3</v>
      </c>
      <c r="Q1648" t="s">
        <v>168</v>
      </c>
      <c r="S1648" t="s">
        <v>237</v>
      </c>
      <c r="T1648" t="s">
        <v>264</v>
      </c>
      <c r="U1648">
        <v>1.3990360306458328E-2</v>
      </c>
      <c r="V1648" t="s">
        <v>168</v>
      </c>
    </row>
    <row r="1649" spans="9:22" x14ac:dyDescent="0.45">
      <c r="I1649" t="s">
        <v>194</v>
      </c>
      <c r="J1649" t="s">
        <v>265</v>
      </c>
      <c r="K1649">
        <v>7.9334846053819626E-3</v>
      </c>
      <c r="L1649" t="s">
        <v>168</v>
      </c>
      <c r="N1649" t="s">
        <v>218</v>
      </c>
      <c r="O1649" t="s">
        <v>265</v>
      </c>
      <c r="P1649">
        <v>4.9201453207294767E-3</v>
      </c>
      <c r="Q1649" t="s">
        <v>168</v>
      </c>
      <c r="S1649" t="s">
        <v>237</v>
      </c>
      <c r="T1649" t="s">
        <v>265</v>
      </c>
      <c r="U1649">
        <v>1.3192434040180298E-2</v>
      </c>
      <c r="V1649" t="s">
        <v>168</v>
      </c>
    </row>
    <row r="1650" spans="9:22" x14ac:dyDescent="0.45">
      <c r="I1650" t="s">
        <v>194</v>
      </c>
      <c r="J1650" t="s">
        <v>266</v>
      </c>
      <c r="K1650">
        <v>7.8961924800896015E-3</v>
      </c>
      <c r="L1650" t="s">
        <v>168</v>
      </c>
      <c r="N1650" t="s">
        <v>218</v>
      </c>
      <c r="O1650" t="s">
        <v>266</v>
      </c>
      <c r="P1650">
        <v>4.2087433930768374E-4</v>
      </c>
      <c r="Q1650" t="s">
        <v>168</v>
      </c>
      <c r="S1650" t="s">
        <v>237</v>
      </c>
      <c r="T1650" t="s">
        <v>266</v>
      </c>
      <c r="U1650">
        <v>1.297311298898651E-3</v>
      </c>
      <c r="V1650" t="s">
        <v>168</v>
      </c>
    </row>
    <row r="1651" spans="9:22" x14ac:dyDescent="0.45">
      <c r="I1651" t="s">
        <v>194</v>
      </c>
      <c r="J1651" t="s">
        <v>267</v>
      </c>
      <c r="K1651">
        <v>9.7446009415210009E-3</v>
      </c>
      <c r="L1651" t="s">
        <v>168</v>
      </c>
      <c r="N1651" t="s">
        <v>218</v>
      </c>
      <c r="O1651" t="s">
        <v>267</v>
      </c>
      <c r="P1651">
        <v>3.6618754259607779E-4</v>
      </c>
      <c r="Q1651" t="s">
        <v>168</v>
      </c>
      <c r="S1651" t="s">
        <v>237</v>
      </c>
      <c r="T1651" t="s">
        <v>267</v>
      </c>
      <c r="U1651">
        <v>1.2491816726944458E-3</v>
      </c>
      <c r="V1651" t="s">
        <v>168</v>
      </c>
    </row>
    <row r="1652" spans="9:22" x14ac:dyDescent="0.45">
      <c r="I1652" t="s">
        <v>194</v>
      </c>
      <c r="J1652" t="s">
        <v>268</v>
      </c>
      <c r="K1652">
        <v>6.3679454018249662E-2</v>
      </c>
      <c r="L1652" t="s">
        <v>168</v>
      </c>
      <c r="N1652" t="s">
        <v>218</v>
      </c>
      <c r="O1652" t="s">
        <v>268</v>
      </c>
      <c r="P1652">
        <v>3.4150620569201608E-3</v>
      </c>
      <c r="Q1652" t="s">
        <v>168</v>
      </c>
      <c r="S1652" t="s">
        <v>237</v>
      </c>
      <c r="T1652" t="s">
        <v>268</v>
      </c>
      <c r="U1652">
        <v>1.0356391254128837E-2</v>
      </c>
      <c r="V1652" t="s">
        <v>168</v>
      </c>
    </row>
    <row r="1653" spans="9:22" x14ac:dyDescent="0.45">
      <c r="I1653" t="s">
        <v>194</v>
      </c>
      <c r="J1653" t="s">
        <v>269</v>
      </c>
      <c r="K1653">
        <v>8.6317250895647808E-3</v>
      </c>
      <c r="L1653" t="s">
        <v>168</v>
      </c>
      <c r="N1653" t="s">
        <v>218</v>
      </c>
      <c r="O1653" t="s">
        <v>269</v>
      </c>
      <c r="P1653">
        <v>1.024850863752766E-3</v>
      </c>
      <c r="Q1653" t="s">
        <v>168</v>
      </c>
      <c r="S1653" t="s">
        <v>237</v>
      </c>
      <c r="T1653" t="s">
        <v>269</v>
      </c>
      <c r="U1653">
        <v>2.3763153317541892E-3</v>
      </c>
      <c r="V1653" t="s">
        <v>168</v>
      </c>
    </row>
    <row r="1654" spans="9:22" x14ac:dyDescent="0.45">
      <c r="I1654" t="s">
        <v>194</v>
      </c>
      <c r="J1654" t="s">
        <v>270</v>
      </c>
      <c r="K1654">
        <v>1.4928754341223892E-2</v>
      </c>
      <c r="L1654" t="s">
        <v>168</v>
      </c>
      <c r="N1654" t="s">
        <v>218</v>
      </c>
      <c r="O1654" t="s">
        <v>270</v>
      </c>
      <c r="P1654">
        <v>5.0516772508850073E-3</v>
      </c>
      <c r="Q1654" t="s">
        <v>168</v>
      </c>
      <c r="S1654" t="s">
        <v>237</v>
      </c>
      <c r="T1654" t="s">
        <v>270</v>
      </c>
      <c r="U1654">
        <v>1.4247202067098775E-2</v>
      </c>
      <c r="V1654" t="s">
        <v>168</v>
      </c>
    </row>
    <row r="1655" spans="9:22" x14ac:dyDescent="0.45">
      <c r="I1655" t="s">
        <v>194</v>
      </c>
      <c r="J1655" t="s">
        <v>271</v>
      </c>
      <c r="K1655">
        <v>3.7698798956941463E-3</v>
      </c>
      <c r="L1655" t="s">
        <v>168</v>
      </c>
      <c r="N1655" t="s">
        <v>218</v>
      </c>
      <c r="O1655" t="s">
        <v>271</v>
      </c>
      <c r="P1655">
        <v>1.1788959355807694E-2</v>
      </c>
      <c r="Q1655" t="s">
        <v>168</v>
      </c>
      <c r="S1655" t="s">
        <v>237</v>
      </c>
      <c r="T1655" t="s">
        <v>271</v>
      </c>
      <c r="U1655">
        <v>1.2435326478399039E-2</v>
      </c>
      <c r="V1655" t="s">
        <v>168</v>
      </c>
    </row>
    <row r="1656" spans="9:22" x14ac:dyDescent="0.45">
      <c r="I1656" t="s">
        <v>194</v>
      </c>
      <c r="J1656" t="s">
        <v>272</v>
      </c>
      <c r="K1656">
        <v>6.2918068303442192E-3</v>
      </c>
      <c r="L1656" t="s">
        <v>168</v>
      </c>
      <c r="N1656" t="s">
        <v>218</v>
      </c>
      <c r="O1656" t="s">
        <v>272</v>
      </c>
      <c r="P1656">
        <v>1.7769208064416166E-3</v>
      </c>
      <c r="Q1656" t="s">
        <v>168</v>
      </c>
      <c r="S1656" t="s">
        <v>237</v>
      </c>
      <c r="T1656" t="s">
        <v>272</v>
      </c>
      <c r="U1656">
        <v>1.6228925222550659E-3</v>
      </c>
      <c r="V1656" t="s">
        <v>168</v>
      </c>
    </row>
    <row r="1657" spans="9:22" x14ac:dyDescent="0.45">
      <c r="I1657" t="s">
        <v>194</v>
      </c>
      <c r="J1657" t="s">
        <v>273</v>
      </c>
      <c r="K1657">
        <v>8.3073416630731964E-3</v>
      </c>
      <c r="L1657" t="s">
        <v>168</v>
      </c>
      <c r="N1657" t="s">
        <v>218</v>
      </c>
      <c r="O1657" t="s">
        <v>273</v>
      </c>
      <c r="P1657">
        <v>1.9242992801680929E-3</v>
      </c>
      <c r="Q1657" t="s">
        <v>168</v>
      </c>
      <c r="S1657" t="s">
        <v>237</v>
      </c>
      <c r="T1657" t="s">
        <v>273</v>
      </c>
      <c r="U1657">
        <v>1.6607525932182234E-3</v>
      </c>
      <c r="V1657" t="s">
        <v>168</v>
      </c>
    </row>
    <row r="1658" spans="9:22" x14ac:dyDescent="0.45">
      <c r="I1658" t="s">
        <v>194</v>
      </c>
      <c r="J1658" t="s">
        <v>274</v>
      </c>
      <c r="K1658">
        <v>5.6107377995429121E-2</v>
      </c>
      <c r="L1658" t="s">
        <v>168</v>
      </c>
      <c r="N1658" t="s">
        <v>218</v>
      </c>
      <c r="O1658" t="s">
        <v>274</v>
      </c>
      <c r="P1658">
        <v>1.3748931010439218E-2</v>
      </c>
      <c r="Q1658" t="s">
        <v>168</v>
      </c>
      <c r="S1658" t="s">
        <v>237</v>
      </c>
      <c r="T1658" t="s">
        <v>274</v>
      </c>
      <c r="U1658">
        <v>1.0474070855929399E-2</v>
      </c>
      <c r="V1658" t="s">
        <v>168</v>
      </c>
    </row>
    <row r="1659" spans="9:22" x14ac:dyDescent="0.45">
      <c r="I1659" t="s">
        <v>194</v>
      </c>
      <c r="J1659" t="s">
        <v>275</v>
      </c>
      <c r="K1659">
        <v>7.7228692068307724E-3</v>
      </c>
      <c r="L1659" t="s">
        <v>168</v>
      </c>
      <c r="N1659" t="s">
        <v>218</v>
      </c>
      <c r="O1659" t="s">
        <v>275</v>
      </c>
      <c r="P1659">
        <v>2.7942355218126729E-3</v>
      </c>
      <c r="Q1659" t="s">
        <v>168</v>
      </c>
      <c r="S1659" t="s">
        <v>237</v>
      </c>
      <c r="T1659" t="s">
        <v>275</v>
      </c>
      <c r="U1659">
        <v>1.8082374540618067E-3</v>
      </c>
      <c r="V1659" t="s">
        <v>168</v>
      </c>
    </row>
    <row r="1660" spans="9:22" x14ac:dyDescent="0.45">
      <c r="I1660" t="s">
        <v>194</v>
      </c>
      <c r="J1660" t="s">
        <v>276</v>
      </c>
      <c r="K1660">
        <v>9.3018388419659915E-3</v>
      </c>
      <c r="L1660" t="s">
        <v>168</v>
      </c>
      <c r="N1660" t="s">
        <v>218</v>
      </c>
      <c r="O1660" t="s">
        <v>276</v>
      </c>
      <c r="P1660">
        <v>1.3554046623313885E-2</v>
      </c>
      <c r="Q1660" t="s">
        <v>168</v>
      </c>
      <c r="S1660" t="s">
        <v>237</v>
      </c>
      <c r="T1660" t="s">
        <v>276</v>
      </c>
      <c r="U1660">
        <v>1.2717322184066179E-2</v>
      </c>
      <c r="V1660" t="s">
        <v>168</v>
      </c>
    </row>
    <row r="1661" spans="9:22" x14ac:dyDescent="0.45">
      <c r="I1661" t="s">
        <v>194</v>
      </c>
      <c r="J1661" t="s">
        <v>341</v>
      </c>
      <c r="K1661">
        <v>0</v>
      </c>
      <c r="L1661" t="s">
        <v>168</v>
      </c>
      <c r="N1661" t="s">
        <v>218</v>
      </c>
      <c r="O1661" t="s">
        <v>341</v>
      </c>
      <c r="P1661">
        <v>2.3943533807958063E-6</v>
      </c>
      <c r="Q1661" t="s">
        <v>168</v>
      </c>
      <c r="S1661" t="s">
        <v>237</v>
      </c>
      <c r="T1661" t="s">
        <v>341</v>
      </c>
      <c r="U1661">
        <v>3.6904632752968884E-6</v>
      </c>
      <c r="V1661" t="s">
        <v>168</v>
      </c>
    </row>
    <row r="1662" spans="9:22" x14ac:dyDescent="0.45">
      <c r="I1662" t="s">
        <v>194</v>
      </c>
      <c r="J1662" t="s">
        <v>342</v>
      </c>
      <c r="K1662">
        <v>0</v>
      </c>
      <c r="L1662" t="s">
        <v>168</v>
      </c>
      <c r="N1662" t="s">
        <v>218</v>
      </c>
      <c r="O1662" t="s">
        <v>342</v>
      </c>
      <c r="P1662">
        <v>1.8993428601493808E-6</v>
      </c>
      <c r="Q1662" t="s">
        <v>168</v>
      </c>
      <c r="S1662" t="s">
        <v>237</v>
      </c>
      <c r="T1662" t="s">
        <v>342</v>
      </c>
      <c r="U1662">
        <v>4.0625506619320703E-6</v>
      </c>
      <c r="V1662" t="s">
        <v>168</v>
      </c>
    </row>
    <row r="1663" spans="9:22" x14ac:dyDescent="0.45">
      <c r="I1663" t="s">
        <v>194</v>
      </c>
      <c r="J1663" t="s">
        <v>343</v>
      </c>
      <c r="K1663">
        <v>0</v>
      </c>
      <c r="L1663" t="s">
        <v>168</v>
      </c>
      <c r="N1663" t="s">
        <v>218</v>
      </c>
      <c r="O1663" t="s">
        <v>343</v>
      </c>
      <c r="P1663">
        <v>2.0683178045002373E-6</v>
      </c>
      <c r="Q1663" t="s">
        <v>168</v>
      </c>
      <c r="S1663" t="s">
        <v>237</v>
      </c>
      <c r="T1663" t="s">
        <v>343</v>
      </c>
      <c r="U1663">
        <v>4.1763810357643213E-6</v>
      </c>
      <c r="V1663" t="s">
        <v>168</v>
      </c>
    </row>
    <row r="1664" spans="9:22" x14ac:dyDescent="0.45">
      <c r="I1664" t="s">
        <v>194</v>
      </c>
      <c r="J1664" t="s">
        <v>344</v>
      </c>
      <c r="K1664">
        <v>0</v>
      </c>
      <c r="L1664" t="s">
        <v>168</v>
      </c>
      <c r="N1664" t="s">
        <v>218</v>
      </c>
      <c r="O1664" t="s">
        <v>344</v>
      </c>
      <c r="P1664">
        <v>2.1360763934373168E-6</v>
      </c>
      <c r="Q1664" t="s">
        <v>168</v>
      </c>
      <c r="S1664" t="s">
        <v>237</v>
      </c>
      <c r="T1664" t="s">
        <v>344</v>
      </c>
      <c r="U1664">
        <v>3.9671671653674684E-6</v>
      </c>
      <c r="V1664" t="s">
        <v>168</v>
      </c>
    </row>
    <row r="1665" spans="9:22" x14ac:dyDescent="0.45">
      <c r="I1665" t="s">
        <v>194</v>
      </c>
      <c r="J1665" t="s">
        <v>345</v>
      </c>
      <c r="K1665">
        <v>0</v>
      </c>
      <c r="L1665" t="s">
        <v>168</v>
      </c>
      <c r="N1665" t="s">
        <v>218</v>
      </c>
      <c r="O1665" t="s">
        <v>345</v>
      </c>
      <c r="P1665">
        <v>1.6764503861301479E-6</v>
      </c>
      <c r="Q1665" t="s">
        <v>168</v>
      </c>
      <c r="S1665" t="s">
        <v>237</v>
      </c>
      <c r="T1665" t="s">
        <v>345</v>
      </c>
      <c r="U1665">
        <v>4.3216863647202132E-6</v>
      </c>
      <c r="V1665" t="s">
        <v>168</v>
      </c>
    </row>
    <row r="1666" spans="9:22" x14ac:dyDescent="0.45">
      <c r="I1666" t="s">
        <v>194</v>
      </c>
      <c r="J1666" t="s">
        <v>346</v>
      </c>
      <c r="K1666">
        <v>0</v>
      </c>
      <c r="L1666" t="s">
        <v>168</v>
      </c>
      <c r="N1666" t="s">
        <v>218</v>
      </c>
      <c r="O1666" t="s">
        <v>346</v>
      </c>
      <c r="P1666">
        <v>1.3828104688709224E-6</v>
      </c>
      <c r="Q1666" t="s">
        <v>168</v>
      </c>
      <c r="S1666" t="s">
        <v>237</v>
      </c>
      <c r="T1666" t="s">
        <v>346</v>
      </c>
      <c r="U1666">
        <v>5.3896455958571486E-6</v>
      </c>
      <c r="V1666" t="s">
        <v>168</v>
      </c>
    </row>
    <row r="1667" spans="9:22" x14ac:dyDescent="0.45">
      <c r="I1667" t="s">
        <v>194</v>
      </c>
      <c r="J1667" t="s">
        <v>347</v>
      </c>
      <c r="K1667">
        <v>0</v>
      </c>
      <c r="L1667" t="s">
        <v>168</v>
      </c>
      <c r="N1667" t="s">
        <v>218</v>
      </c>
      <c r="O1667" t="s">
        <v>347</v>
      </c>
      <c r="P1667">
        <v>7.6012855633673834E-7</v>
      </c>
      <c r="Q1667" t="s">
        <v>168</v>
      </c>
      <c r="S1667" t="s">
        <v>237</v>
      </c>
      <c r="T1667" t="s">
        <v>347</v>
      </c>
      <c r="U1667">
        <v>9.2680456250068057E-6</v>
      </c>
      <c r="V1667" t="s">
        <v>168</v>
      </c>
    </row>
    <row r="1668" spans="9:22" x14ac:dyDescent="0.45">
      <c r="I1668" t="s">
        <v>194</v>
      </c>
      <c r="J1668" t="s">
        <v>348</v>
      </c>
      <c r="K1668">
        <v>1.2054579515913123E-4</v>
      </c>
      <c r="L1668" t="s">
        <v>168</v>
      </c>
      <c r="N1668" t="s">
        <v>218</v>
      </c>
      <c r="O1668" t="s">
        <v>348</v>
      </c>
      <c r="P1668">
        <v>2.8021609159618426E-7</v>
      </c>
      <c r="Q1668" t="s">
        <v>168</v>
      </c>
      <c r="S1668" t="s">
        <v>237</v>
      </c>
      <c r="T1668" t="s">
        <v>348</v>
      </c>
      <c r="U1668">
        <v>1.2364643889011651E-5</v>
      </c>
      <c r="V1668" t="s">
        <v>168</v>
      </c>
    </row>
    <row r="1669" spans="9:22" x14ac:dyDescent="0.45">
      <c r="I1669" t="s">
        <v>194</v>
      </c>
      <c r="J1669" t="s">
        <v>349</v>
      </c>
      <c r="K1669">
        <v>2.3434902399802659E-4</v>
      </c>
      <c r="L1669" t="s">
        <v>168</v>
      </c>
      <c r="N1669" t="s">
        <v>218</v>
      </c>
      <c r="O1669" t="s">
        <v>349</v>
      </c>
      <c r="P1669">
        <v>2.02060026421244E-7</v>
      </c>
      <c r="Q1669" t="s">
        <v>168</v>
      </c>
      <c r="S1669" t="s">
        <v>237</v>
      </c>
      <c r="T1669" t="s">
        <v>349</v>
      </c>
      <c r="U1669">
        <v>1.6945604160745512E-5</v>
      </c>
      <c r="V1669" t="s">
        <v>168</v>
      </c>
    </row>
    <row r="1670" spans="9:22" x14ac:dyDescent="0.45">
      <c r="I1670" t="s">
        <v>194</v>
      </c>
      <c r="J1670" t="s">
        <v>350</v>
      </c>
      <c r="K1670">
        <v>3.2160535804557396E-4</v>
      </c>
      <c r="L1670" t="s">
        <v>168</v>
      </c>
      <c r="N1670" t="s">
        <v>218</v>
      </c>
      <c r="O1670" t="s">
        <v>350</v>
      </c>
      <c r="P1670">
        <v>1.0805237084666202E-8</v>
      </c>
      <c r="Q1670" t="s">
        <v>168</v>
      </c>
      <c r="S1670" t="s">
        <v>237</v>
      </c>
      <c r="T1670" t="s">
        <v>350</v>
      </c>
      <c r="U1670">
        <v>2.3866073030233253E-5</v>
      </c>
      <c r="V1670" t="s">
        <v>168</v>
      </c>
    </row>
    <row r="1671" spans="9:22" x14ac:dyDescent="0.45">
      <c r="I1671" t="s">
        <v>194</v>
      </c>
      <c r="J1671" t="s">
        <v>351</v>
      </c>
      <c r="K1671">
        <v>3.7311860684050561E-4</v>
      </c>
      <c r="L1671" t="s">
        <v>168</v>
      </c>
      <c r="N1671" t="s">
        <v>218</v>
      </c>
      <c r="O1671" t="s">
        <v>351</v>
      </c>
      <c r="P1671">
        <v>2.7696185007972203E-8</v>
      </c>
      <c r="Q1671" t="s">
        <v>168</v>
      </c>
      <c r="S1671" t="s">
        <v>237</v>
      </c>
      <c r="T1671" t="s">
        <v>351</v>
      </c>
      <c r="U1671">
        <v>3.4641671934994166E-5</v>
      </c>
      <c r="V1671" t="s">
        <v>168</v>
      </c>
    </row>
    <row r="1672" spans="9:22" x14ac:dyDescent="0.45">
      <c r="I1672" t="s">
        <v>194</v>
      </c>
      <c r="J1672" t="s">
        <v>352</v>
      </c>
      <c r="K1672">
        <v>3.7217555835138887E-4</v>
      </c>
      <c r="L1672" t="s">
        <v>168</v>
      </c>
      <c r="N1672" t="s">
        <v>218</v>
      </c>
      <c r="O1672" t="s">
        <v>352</v>
      </c>
      <c r="P1672">
        <v>1.0900810137866183E-7</v>
      </c>
      <c r="Q1672" t="s">
        <v>168</v>
      </c>
      <c r="S1672" t="s">
        <v>237</v>
      </c>
      <c r="T1672" t="s">
        <v>352</v>
      </c>
      <c r="U1672">
        <v>5.3848221032119037E-5</v>
      </c>
      <c r="V1672" t="s">
        <v>168</v>
      </c>
    </row>
    <row r="1673" spans="9:22" x14ac:dyDescent="0.45">
      <c r="I1673" t="s">
        <v>194</v>
      </c>
      <c r="J1673" t="s">
        <v>353</v>
      </c>
      <c r="K1673">
        <v>3.4522279703269577E-4</v>
      </c>
      <c r="L1673" t="s">
        <v>168</v>
      </c>
      <c r="N1673" t="s">
        <v>218</v>
      </c>
      <c r="O1673" t="s">
        <v>353</v>
      </c>
      <c r="P1673">
        <v>3.7900144179619036E-7</v>
      </c>
      <c r="Q1673" t="s">
        <v>168</v>
      </c>
      <c r="S1673" t="s">
        <v>237</v>
      </c>
      <c r="T1673" t="s">
        <v>353</v>
      </c>
      <c r="U1673">
        <v>6.3730906389274889E-5</v>
      </c>
      <c r="V1673" t="s">
        <v>168</v>
      </c>
    </row>
    <row r="1674" spans="9:22" x14ac:dyDescent="0.45">
      <c r="I1674" t="s">
        <v>194</v>
      </c>
      <c r="J1674" t="s">
        <v>354</v>
      </c>
      <c r="K1674">
        <v>3.534209918968231E-4</v>
      </c>
      <c r="L1674" t="s">
        <v>168</v>
      </c>
      <c r="N1674" t="s">
        <v>218</v>
      </c>
      <c r="O1674" t="s">
        <v>354</v>
      </c>
      <c r="P1674">
        <v>4.5106669084239041E-6</v>
      </c>
      <c r="Q1674" t="s">
        <v>168</v>
      </c>
      <c r="S1674" t="s">
        <v>237</v>
      </c>
      <c r="T1674" t="s">
        <v>354</v>
      </c>
      <c r="U1674">
        <v>6.338697015451867E-5</v>
      </c>
      <c r="V1674" t="s">
        <v>168</v>
      </c>
    </row>
    <row r="1675" spans="9:22" x14ac:dyDescent="0.45">
      <c r="I1675" t="s">
        <v>194</v>
      </c>
      <c r="J1675" t="s">
        <v>355</v>
      </c>
      <c r="K1675">
        <v>3.7519125788724078E-4</v>
      </c>
      <c r="L1675" t="s">
        <v>168</v>
      </c>
      <c r="N1675" t="s">
        <v>218</v>
      </c>
      <c r="O1675" t="s">
        <v>355</v>
      </c>
      <c r="P1675">
        <v>5.1149328270551542E-6</v>
      </c>
      <c r="Q1675" t="s">
        <v>168</v>
      </c>
      <c r="S1675" t="s">
        <v>237</v>
      </c>
      <c r="T1675" t="s">
        <v>355</v>
      </c>
      <c r="U1675">
        <v>6.3318841823696207E-5</v>
      </c>
      <c r="V1675" t="s">
        <v>168</v>
      </c>
    </row>
    <row r="1676" spans="9:22" x14ac:dyDescent="0.45">
      <c r="I1676" t="s">
        <v>194</v>
      </c>
      <c r="J1676" t="s">
        <v>356</v>
      </c>
      <c r="K1676">
        <v>3.6793818466592892E-4</v>
      </c>
      <c r="L1676" t="s">
        <v>168</v>
      </c>
      <c r="N1676" t="s">
        <v>218</v>
      </c>
      <c r="O1676" t="s">
        <v>356</v>
      </c>
      <c r="P1676">
        <v>6.2229267284150696E-6</v>
      </c>
      <c r="Q1676" t="s">
        <v>168</v>
      </c>
      <c r="S1676" t="s">
        <v>237</v>
      </c>
      <c r="T1676" t="s">
        <v>356</v>
      </c>
      <c r="U1676">
        <v>5.9852651131315839E-5</v>
      </c>
      <c r="V1676" t="s">
        <v>168</v>
      </c>
    </row>
    <row r="1677" spans="9:22" x14ac:dyDescent="0.45">
      <c r="I1677" t="s">
        <v>194</v>
      </c>
      <c r="J1677" t="s">
        <v>357</v>
      </c>
      <c r="K1677">
        <v>3.3035958309871749E-4</v>
      </c>
      <c r="L1677" t="s">
        <v>168</v>
      </c>
      <c r="N1677" t="s">
        <v>218</v>
      </c>
      <c r="O1677" t="s">
        <v>357</v>
      </c>
      <c r="P1677">
        <v>7.9433083026208765E-6</v>
      </c>
      <c r="Q1677" t="s">
        <v>168</v>
      </c>
      <c r="S1677" t="s">
        <v>237</v>
      </c>
      <c r="T1677" t="s">
        <v>357</v>
      </c>
      <c r="U1677">
        <v>5.7418848620195923E-5</v>
      </c>
      <c r="V1677" t="s">
        <v>168</v>
      </c>
    </row>
    <row r="1678" spans="9:22" x14ac:dyDescent="0.45">
      <c r="I1678" t="s">
        <v>194</v>
      </c>
      <c r="J1678" t="s">
        <v>358</v>
      </c>
      <c r="K1678">
        <v>2.5311154401428065E-4</v>
      </c>
      <c r="L1678" t="s">
        <v>168</v>
      </c>
      <c r="N1678" t="s">
        <v>218</v>
      </c>
      <c r="O1678" t="s">
        <v>358</v>
      </c>
      <c r="P1678">
        <v>8.3821498999332326E-6</v>
      </c>
      <c r="Q1678" t="s">
        <v>168</v>
      </c>
      <c r="S1678" t="s">
        <v>237</v>
      </c>
      <c r="T1678" t="s">
        <v>358</v>
      </c>
      <c r="U1678">
        <v>5.8162813890983122E-5</v>
      </c>
      <c r="V1678" t="s">
        <v>168</v>
      </c>
    </row>
    <row r="1679" spans="9:22" x14ac:dyDescent="0.45">
      <c r="I1679" t="s">
        <v>194</v>
      </c>
      <c r="J1679" t="s">
        <v>359</v>
      </c>
      <c r="K1679">
        <v>1.3779009909322182E-4</v>
      </c>
      <c r="L1679" t="s">
        <v>168</v>
      </c>
      <c r="N1679" t="s">
        <v>218</v>
      </c>
      <c r="O1679" t="s">
        <v>359</v>
      </c>
      <c r="P1679">
        <v>8.7896020878842424E-6</v>
      </c>
      <c r="Q1679" t="s">
        <v>168</v>
      </c>
      <c r="S1679" t="s">
        <v>237</v>
      </c>
      <c r="T1679" t="s">
        <v>359</v>
      </c>
      <c r="U1679">
        <v>6.2411186090488135E-5</v>
      </c>
      <c r="V1679" t="s">
        <v>168</v>
      </c>
    </row>
    <row r="1680" spans="9:22" x14ac:dyDescent="0.45">
      <c r="I1680" t="s">
        <v>194</v>
      </c>
      <c r="J1680" t="s">
        <v>360</v>
      </c>
      <c r="K1680">
        <v>0</v>
      </c>
      <c r="L1680" t="s">
        <v>168</v>
      </c>
      <c r="N1680" t="s">
        <v>218</v>
      </c>
      <c r="O1680" t="s">
        <v>360</v>
      </c>
      <c r="P1680">
        <v>1.0000531382199978E-5</v>
      </c>
      <c r="Q1680" t="s">
        <v>168</v>
      </c>
      <c r="S1680" t="s">
        <v>237</v>
      </c>
      <c r="T1680" t="s">
        <v>360</v>
      </c>
      <c r="U1680">
        <v>6.8264596976128208E-5</v>
      </c>
      <c r="V1680" t="s">
        <v>168</v>
      </c>
    </row>
    <row r="1681" spans="9:22" x14ac:dyDescent="0.45">
      <c r="I1681" t="s">
        <v>194</v>
      </c>
      <c r="J1681" t="s">
        <v>361</v>
      </c>
      <c r="K1681">
        <v>0</v>
      </c>
      <c r="L1681" t="s">
        <v>168</v>
      </c>
      <c r="N1681" t="s">
        <v>218</v>
      </c>
      <c r="O1681" t="s">
        <v>361</v>
      </c>
      <c r="P1681">
        <v>1.0913239976305973E-5</v>
      </c>
      <c r="Q1681" t="s">
        <v>168</v>
      </c>
      <c r="S1681" t="s">
        <v>237</v>
      </c>
      <c r="T1681" t="s">
        <v>361</v>
      </c>
      <c r="U1681">
        <v>7.7019660130025569E-5</v>
      </c>
      <c r="V1681" t="s">
        <v>168</v>
      </c>
    </row>
    <row r="1682" spans="9:22" x14ac:dyDescent="0.45">
      <c r="I1682" t="s">
        <v>194</v>
      </c>
      <c r="J1682" t="s">
        <v>362</v>
      </c>
      <c r="K1682">
        <v>0</v>
      </c>
      <c r="L1682" t="s">
        <v>168</v>
      </c>
      <c r="N1682" t="s">
        <v>218</v>
      </c>
      <c r="O1682" t="s">
        <v>362</v>
      </c>
      <c r="P1682">
        <v>1.1404824245343939E-5</v>
      </c>
      <c r="Q1682" t="s">
        <v>168</v>
      </c>
      <c r="S1682" t="s">
        <v>237</v>
      </c>
      <c r="T1682" t="s">
        <v>362</v>
      </c>
      <c r="U1682">
        <v>9.3507891301708394E-5</v>
      </c>
      <c r="V1682" t="s">
        <v>168</v>
      </c>
    </row>
    <row r="1683" spans="9:22" x14ac:dyDescent="0.45">
      <c r="I1683" t="s">
        <v>194</v>
      </c>
      <c r="J1683" t="s">
        <v>363</v>
      </c>
      <c r="K1683">
        <v>0</v>
      </c>
      <c r="L1683" t="s">
        <v>168</v>
      </c>
      <c r="N1683" t="s">
        <v>218</v>
      </c>
      <c r="O1683" t="s">
        <v>363</v>
      </c>
      <c r="P1683">
        <v>1.2357212421766096E-5</v>
      </c>
      <c r="Q1683" t="s">
        <v>168</v>
      </c>
      <c r="S1683" t="s">
        <v>237</v>
      </c>
      <c r="T1683" t="s">
        <v>363</v>
      </c>
      <c r="U1683">
        <v>1.1159150509926678E-4</v>
      </c>
      <c r="V1683" t="s">
        <v>168</v>
      </c>
    </row>
    <row r="1684" spans="9:22" x14ac:dyDescent="0.45">
      <c r="I1684" t="s">
        <v>194</v>
      </c>
      <c r="J1684" t="s">
        <v>364</v>
      </c>
      <c r="K1684">
        <v>0</v>
      </c>
      <c r="L1684" t="s">
        <v>168</v>
      </c>
      <c r="N1684" t="s">
        <v>218</v>
      </c>
      <c r="O1684" t="s">
        <v>364</v>
      </c>
      <c r="P1684">
        <v>1.2268762152973247E-5</v>
      </c>
      <c r="Q1684" t="s">
        <v>168</v>
      </c>
      <c r="S1684" t="s">
        <v>237</v>
      </c>
      <c r="T1684" t="s">
        <v>364</v>
      </c>
      <c r="U1684">
        <v>1.138922606691665E-4</v>
      </c>
      <c r="V1684" t="s">
        <v>168</v>
      </c>
    </row>
    <row r="1685" spans="9:22" x14ac:dyDescent="0.45">
      <c r="I1685" t="s">
        <v>194</v>
      </c>
      <c r="J1685" t="s">
        <v>277</v>
      </c>
      <c r="K1685">
        <v>1.5419092504545195E-3</v>
      </c>
      <c r="L1685" t="s">
        <v>168</v>
      </c>
      <c r="N1685" t="s">
        <v>218</v>
      </c>
      <c r="O1685" t="s">
        <v>277</v>
      </c>
      <c r="P1685">
        <v>3.9712764445634666E-2</v>
      </c>
      <c r="Q1685" t="s">
        <v>168</v>
      </c>
      <c r="S1685" t="s">
        <v>237</v>
      </c>
      <c r="T1685" t="s">
        <v>277</v>
      </c>
      <c r="U1685">
        <v>5.1570260476846326E-2</v>
      </c>
      <c r="V1685" t="s">
        <v>168</v>
      </c>
    </row>
    <row r="1686" spans="9:22" x14ac:dyDescent="0.45">
      <c r="I1686" t="s">
        <v>194</v>
      </c>
      <c r="J1686" t="s">
        <v>278</v>
      </c>
      <c r="K1686">
        <v>6.2662251273018117E-3</v>
      </c>
      <c r="L1686" t="s">
        <v>168</v>
      </c>
      <c r="N1686" t="s">
        <v>218</v>
      </c>
      <c r="O1686" t="s">
        <v>278</v>
      </c>
      <c r="P1686">
        <v>5.3431296408092835E-3</v>
      </c>
      <c r="Q1686" t="s">
        <v>168</v>
      </c>
      <c r="S1686" t="s">
        <v>237</v>
      </c>
      <c r="T1686" t="s">
        <v>278</v>
      </c>
      <c r="U1686">
        <v>6.1475082788282932E-3</v>
      </c>
      <c r="V1686" t="s">
        <v>168</v>
      </c>
    </row>
    <row r="1687" spans="9:22" x14ac:dyDescent="0.45">
      <c r="I1687" t="s">
        <v>194</v>
      </c>
      <c r="J1687" t="s">
        <v>279</v>
      </c>
      <c r="K1687">
        <v>1.0361754966817379E-2</v>
      </c>
      <c r="L1687" t="s">
        <v>168</v>
      </c>
      <c r="N1687" t="s">
        <v>218</v>
      </c>
      <c r="O1687" t="s">
        <v>279</v>
      </c>
      <c r="P1687">
        <v>5.4342692071687668E-3</v>
      </c>
      <c r="Q1687" t="s">
        <v>168</v>
      </c>
      <c r="S1687" t="s">
        <v>237</v>
      </c>
      <c r="T1687" t="s">
        <v>279</v>
      </c>
      <c r="U1687">
        <v>6.2429950850443989E-3</v>
      </c>
      <c r="V1687" t="s">
        <v>168</v>
      </c>
    </row>
    <row r="1688" spans="9:22" x14ac:dyDescent="0.45">
      <c r="I1688" t="s">
        <v>194</v>
      </c>
      <c r="J1688" t="s">
        <v>280</v>
      </c>
      <c r="K1688">
        <v>7.9947019785869503E-2</v>
      </c>
      <c r="L1688" t="s">
        <v>168</v>
      </c>
      <c r="N1688" t="s">
        <v>218</v>
      </c>
      <c r="O1688" t="s">
        <v>280</v>
      </c>
      <c r="P1688">
        <v>3.5377730607314445E-2</v>
      </c>
      <c r="Q1688" t="s">
        <v>168</v>
      </c>
      <c r="S1688" t="s">
        <v>237</v>
      </c>
      <c r="T1688" t="s">
        <v>280</v>
      </c>
      <c r="U1688">
        <v>3.6187646140089305E-2</v>
      </c>
      <c r="V1688" t="s">
        <v>168</v>
      </c>
    </row>
    <row r="1689" spans="9:22" x14ac:dyDescent="0.45">
      <c r="I1689" t="s">
        <v>194</v>
      </c>
      <c r="J1689" t="s">
        <v>281</v>
      </c>
      <c r="K1689">
        <v>9.381162471809883E-3</v>
      </c>
      <c r="L1689" t="s">
        <v>168</v>
      </c>
      <c r="N1689" t="s">
        <v>218</v>
      </c>
      <c r="O1689" t="s">
        <v>281</v>
      </c>
      <c r="P1689">
        <v>5.8145676719347436E-3</v>
      </c>
      <c r="Q1689" t="s">
        <v>168</v>
      </c>
      <c r="S1689" t="s">
        <v>237</v>
      </c>
      <c r="T1689" t="s">
        <v>281</v>
      </c>
      <c r="U1689">
        <v>5.9172941860306831E-3</v>
      </c>
      <c r="V1689" t="s">
        <v>168</v>
      </c>
    </row>
    <row r="1690" spans="9:22" x14ac:dyDescent="0.45">
      <c r="I1690" t="s">
        <v>194</v>
      </c>
      <c r="J1690" t="s">
        <v>282</v>
      </c>
      <c r="K1690">
        <v>5.0378294288890004E-3</v>
      </c>
      <c r="L1690" t="s">
        <v>168</v>
      </c>
      <c r="N1690" t="s">
        <v>218</v>
      </c>
      <c r="O1690" t="s">
        <v>282</v>
      </c>
      <c r="P1690">
        <v>3.7054291172940082E-2</v>
      </c>
      <c r="Q1690" t="s">
        <v>168</v>
      </c>
      <c r="S1690" t="s">
        <v>237</v>
      </c>
      <c r="T1690" t="s">
        <v>282</v>
      </c>
      <c r="U1690">
        <v>4.3926045406680207E-2</v>
      </c>
      <c r="V1690" t="s">
        <v>168</v>
      </c>
    </row>
    <row r="1691" spans="9:22" x14ac:dyDescent="0.45">
      <c r="I1691" t="s">
        <v>194</v>
      </c>
      <c r="J1691" t="s">
        <v>283</v>
      </c>
      <c r="K1691">
        <v>0</v>
      </c>
      <c r="L1691" t="s">
        <v>168</v>
      </c>
      <c r="N1691" t="s">
        <v>218</v>
      </c>
      <c r="O1691" t="s">
        <v>283</v>
      </c>
      <c r="P1691">
        <v>1.6276434324892727E-2</v>
      </c>
      <c r="Q1691" t="s">
        <v>168</v>
      </c>
      <c r="S1691" t="s">
        <v>237</v>
      </c>
      <c r="T1691" t="s">
        <v>283</v>
      </c>
      <c r="U1691">
        <v>2.3532141810411637E-2</v>
      </c>
      <c r="V1691" t="s">
        <v>168</v>
      </c>
    </row>
    <row r="1692" spans="9:22" x14ac:dyDescent="0.45">
      <c r="I1692" t="s">
        <v>194</v>
      </c>
      <c r="J1692" t="s">
        <v>284</v>
      </c>
      <c r="K1692">
        <v>7.3900513861220596E-4</v>
      </c>
      <c r="L1692" t="s">
        <v>168</v>
      </c>
      <c r="N1692" t="s">
        <v>218</v>
      </c>
      <c r="O1692" t="s">
        <v>284</v>
      </c>
      <c r="P1692">
        <v>1.6623515747842554E-3</v>
      </c>
      <c r="Q1692" t="s">
        <v>168</v>
      </c>
      <c r="S1692" t="s">
        <v>237</v>
      </c>
      <c r="T1692" t="s">
        <v>284</v>
      </c>
      <c r="U1692">
        <v>2.7014355473677564E-3</v>
      </c>
      <c r="V1692" t="s">
        <v>168</v>
      </c>
    </row>
    <row r="1693" spans="9:22" x14ac:dyDescent="0.45">
      <c r="I1693" t="s">
        <v>194</v>
      </c>
      <c r="J1693" t="s">
        <v>285</v>
      </c>
      <c r="K1693">
        <v>3.5776193207664089E-3</v>
      </c>
      <c r="L1693" t="s">
        <v>168</v>
      </c>
      <c r="N1693" t="s">
        <v>218</v>
      </c>
      <c r="O1693" t="s">
        <v>285</v>
      </c>
      <c r="P1693">
        <v>1.7368000438828133E-3</v>
      </c>
      <c r="Q1693" t="s">
        <v>168</v>
      </c>
      <c r="S1693" t="s">
        <v>237</v>
      </c>
      <c r="T1693" t="s">
        <v>285</v>
      </c>
      <c r="U1693">
        <v>2.7239649163674604E-3</v>
      </c>
      <c r="V1693" t="s">
        <v>168</v>
      </c>
    </row>
    <row r="1694" spans="9:22" x14ac:dyDescent="0.45">
      <c r="I1694" t="s">
        <v>194</v>
      </c>
      <c r="J1694" t="s">
        <v>286</v>
      </c>
      <c r="K1694">
        <v>3.4942592137859094E-2</v>
      </c>
      <c r="L1694" t="s">
        <v>168</v>
      </c>
      <c r="N1694" t="s">
        <v>218</v>
      </c>
      <c r="O1694" t="s">
        <v>286</v>
      </c>
      <c r="P1694">
        <v>1.0742590496225236E-2</v>
      </c>
      <c r="Q1694" t="s">
        <v>168</v>
      </c>
      <c r="S1694" t="s">
        <v>237</v>
      </c>
      <c r="T1694" t="s">
        <v>286</v>
      </c>
      <c r="U1694">
        <v>1.7887415346213482E-2</v>
      </c>
      <c r="V1694" t="s">
        <v>168</v>
      </c>
    </row>
    <row r="1695" spans="9:22" x14ac:dyDescent="0.45">
      <c r="I1695" t="s">
        <v>194</v>
      </c>
      <c r="J1695" t="s">
        <v>287</v>
      </c>
      <c r="K1695">
        <v>3.9451535646115154E-3</v>
      </c>
      <c r="L1695" t="s">
        <v>168</v>
      </c>
      <c r="N1695" t="s">
        <v>218</v>
      </c>
      <c r="O1695" t="s">
        <v>287</v>
      </c>
      <c r="P1695">
        <v>1.7452979934112142E-3</v>
      </c>
      <c r="Q1695" t="s">
        <v>168</v>
      </c>
      <c r="S1695" t="s">
        <v>237</v>
      </c>
      <c r="T1695" t="s">
        <v>287</v>
      </c>
      <c r="U1695">
        <v>3.3236899063513728E-3</v>
      </c>
      <c r="V1695" t="s">
        <v>168</v>
      </c>
    </row>
    <row r="1696" spans="9:22" x14ac:dyDescent="0.45">
      <c r="I1696" t="s">
        <v>194</v>
      </c>
      <c r="J1696" t="s">
        <v>288</v>
      </c>
      <c r="K1696">
        <v>1.6851746853239743E-5</v>
      </c>
      <c r="L1696" t="s">
        <v>168</v>
      </c>
      <c r="N1696" t="s">
        <v>218</v>
      </c>
      <c r="O1696" t="s">
        <v>288</v>
      </c>
      <c r="P1696">
        <v>1.2503266681691935E-2</v>
      </c>
      <c r="Q1696" t="s">
        <v>168</v>
      </c>
      <c r="S1696" t="s">
        <v>237</v>
      </c>
      <c r="T1696" t="s">
        <v>288</v>
      </c>
      <c r="U1696">
        <v>2.3788681839979627E-2</v>
      </c>
      <c r="V1696" t="s">
        <v>168</v>
      </c>
    </row>
    <row r="1697" spans="9:22" x14ac:dyDescent="0.45">
      <c r="I1697" t="s">
        <v>194</v>
      </c>
      <c r="J1697" t="s">
        <v>365</v>
      </c>
      <c r="K1697">
        <v>0</v>
      </c>
      <c r="L1697" t="s">
        <v>168</v>
      </c>
      <c r="N1697" t="s">
        <v>218</v>
      </c>
      <c r="O1697" t="s">
        <v>365</v>
      </c>
      <c r="P1697">
        <v>3.2265944134544244E-5</v>
      </c>
      <c r="Q1697" t="s">
        <v>168</v>
      </c>
      <c r="S1697" t="s">
        <v>237</v>
      </c>
      <c r="T1697" t="s">
        <v>365</v>
      </c>
      <c r="U1697">
        <v>6.0395418579135945E-5</v>
      </c>
      <c r="V1697" t="s">
        <v>168</v>
      </c>
    </row>
    <row r="1698" spans="9:22" x14ac:dyDescent="0.45">
      <c r="I1698" t="s">
        <v>194</v>
      </c>
      <c r="J1698" t="s">
        <v>366</v>
      </c>
      <c r="K1698">
        <v>0</v>
      </c>
      <c r="L1698" t="s">
        <v>168</v>
      </c>
      <c r="N1698" t="s">
        <v>218</v>
      </c>
      <c r="O1698" t="s">
        <v>366</v>
      </c>
      <c r="P1698">
        <v>2.2713881324135508E-5</v>
      </c>
      <c r="Q1698" t="s">
        <v>168</v>
      </c>
      <c r="S1698" t="s">
        <v>237</v>
      </c>
      <c r="T1698" t="s">
        <v>366</v>
      </c>
      <c r="U1698">
        <v>7.3526670194472076E-5</v>
      </c>
      <c r="V1698" t="s">
        <v>168</v>
      </c>
    </row>
    <row r="1699" spans="9:22" x14ac:dyDescent="0.45">
      <c r="I1699" t="s">
        <v>194</v>
      </c>
      <c r="J1699" t="s">
        <v>367</v>
      </c>
      <c r="K1699">
        <v>0</v>
      </c>
      <c r="L1699" t="s">
        <v>168</v>
      </c>
      <c r="N1699" t="s">
        <v>218</v>
      </c>
      <c r="O1699" t="s">
        <v>367</v>
      </c>
      <c r="P1699">
        <v>1.7343387698114714E-5</v>
      </c>
      <c r="Q1699" t="s">
        <v>168</v>
      </c>
      <c r="S1699" t="s">
        <v>237</v>
      </c>
      <c r="T1699" t="s">
        <v>367</v>
      </c>
      <c r="U1699">
        <v>8.2416427526970049E-5</v>
      </c>
      <c r="V1699" t="s">
        <v>168</v>
      </c>
    </row>
    <row r="1700" spans="9:22" x14ac:dyDescent="0.45">
      <c r="I1700" t="s">
        <v>194</v>
      </c>
      <c r="J1700" t="s">
        <v>368</v>
      </c>
      <c r="K1700">
        <v>0</v>
      </c>
      <c r="L1700" t="s">
        <v>168</v>
      </c>
      <c r="N1700" t="s">
        <v>218</v>
      </c>
      <c r="O1700" t="s">
        <v>368</v>
      </c>
      <c r="P1700">
        <v>1.182612448246599E-5</v>
      </c>
      <c r="Q1700" t="s">
        <v>168</v>
      </c>
      <c r="S1700" t="s">
        <v>237</v>
      </c>
      <c r="T1700" t="s">
        <v>368</v>
      </c>
      <c r="U1700">
        <v>8.746896880636564E-5</v>
      </c>
      <c r="V1700" t="s">
        <v>168</v>
      </c>
    </row>
    <row r="1701" spans="9:22" x14ac:dyDescent="0.45">
      <c r="I1701" t="s">
        <v>194</v>
      </c>
      <c r="J1701" t="s">
        <v>369</v>
      </c>
      <c r="K1701">
        <v>0</v>
      </c>
      <c r="L1701" t="s">
        <v>168</v>
      </c>
      <c r="N1701" t="s">
        <v>218</v>
      </c>
      <c r="O1701" t="s">
        <v>369</v>
      </c>
      <c r="P1701">
        <v>8.6991968614269902E-6</v>
      </c>
      <c r="Q1701" t="s">
        <v>168</v>
      </c>
      <c r="S1701" t="s">
        <v>237</v>
      </c>
      <c r="T1701" t="s">
        <v>369</v>
      </c>
      <c r="U1701">
        <v>9.0035239665842579E-5</v>
      </c>
      <c r="V1701" t="s">
        <v>168</v>
      </c>
    </row>
    <row r="1702" spans="9:22" x14ac:dyDescent="0.45">
      <c r="I1702" t="s">
        <v>194</v>
      </c>
      <c r="J1702" t="s">
        <v>370</v>
      </c>
      <c r="K1702">
        <v>0</v>
      </c>
      <c r="L1702" t="s">
        <v>168</v>
      </c>
      <c r="N1702" t="s">
        <v>218</v>
      </c>
      <c r="O1702" t="s">
        <v>370</v>
      </c>
      <c r="P1702">
        <v>6.6798216340653913E-6</v>
      </c>
      <c r="Q1702" t="s">
        <v>168</v>
      </c>
      <c r="S1702" t="s">
        <v>237</v>
      </c>
      <c r="T1702" t="s">
        <v>370</v>
      </c>
      <c r="U1702">
        <v>9.6000313444669595E-5</v>
      </c>
      <c r="V1702" t="s">
        <v>168</v>
      </c>
    </row>
    <row r="1703" spans="9:22" x14ac:dyDescent="0.45">
      <c r="I1703" t="s">
        <v>194</v>
      </c>
      <c r="J1703" t="s">
        <v>371</v>
      </c>
      <c r="K1703">
        <v>0</v>
      </c>
      <c r="L1703" t="s">
        <v>168</v>
      </c>
      <c r="N1703" t="s">
        <v>218</v>
      </c>
      <c r="O1703" t="s">
        <v>371</v>
      </c>
      <c r="P1703">
        <v>5.6259183896789989E-6</v>
      </c>
      <c r="Q1703" t="s">
        <v>168</v>
      </c>
      <c r="S1703" t="s">
        <v>237</v>
      </c>
      <c r="T1703" t="s">
        <v>371</v>
      </c>
      <c r="U1703">
        <v>9.9485566346579755E-5</v>
      </c>
      <c r="V1703" t="s">
        <v>168</v>
      </c>
    </row>
    <row r="1704" spans="9:22" x14ac:dyDescent="0.45">
      <c r="I1704" t="s">
        <v>194</v>
      </c>
      <c r="J1704" t="s">
        <v>372</v>
      </c>
      <c r="K1704">
        <v>0</v>
      </c>
      <c r="L1704" t="s">
        <v>168</v>
      </c>
      <c r="N1704" t="s">
        <v>218</v>
      </c>
      <c r="O1704" t="s">
        <v>372</v>
      </c>
      <c r="P1704">
        <v>4.0732581930817165E-6</v>
      </c>
      <c r="Q1704" t="s">
        <v>168</v>
      </c>
      <c r="S1704" t="s">
        <v>237</v>
      </c>
      <c r="T1704" t="s">
        <v>372</v>
      </c>
      <c r="U1704">
        <v>9.7704633274296715E-5</v>
      </c>
      <c r="V1704" t="s">
        <v>168</v>
      </c>
    </row>
    <row r="1705" spans="9:22" x14ac:dyDescent="0.45">
      <c r="I1705" t="s">
        <v>194</v>
      </c>
      <c r="J1705" t="s">
        <v>373</v>
      </c>
      <c r="K1705">
        <v>6.5531238938722018E-5</v>
      </c>
      <c r="L1705" t="s">
        <v>168</v>
      </c>
      <c r="N1705" t="s">
        <v>218</v>
      </c>
      <c r="O1705" t="s">
        <v>373</v>
      </c>
      <c r="P1705">
        <v>2.7345884453053316E-6</v>
      </c>
      <c r="Q1705" t="s">
        <v>168</v>
      </c>
      <c r="S1705" t="s">
        <v>237</v>
      </c>
      <c r="T1705" t="s">
        <v>373</v>
      </c>
      <c r="U1705">
        <v>9.0854721229811504E-5</v>
      </c>
      <c r="V1705" t="s">
        <v>168</v>
      </c>
    </row>
    <row r="1706" spans="9:22" x14ac:dyDescent="0.45">
      <c r="I1706" t="s">
        <v>194</v>
      </c>
      <c r="J1706" t="s">
        <v>374</v>
      </c>
      <c r="K1706">
        <v>1.5544607589709609E-4</v>
      </c>
      <c r="L1706" t="s">
        <v>168</v>
      </c>
      <c r="N1706" t="s">
        <v>218</v>
      </c>
      <c r="O1706" t="s">
        <v>374</v>
      </c>
      <c r="P1706">
        <v>2.2773824479650699E-6</v>
      </c>
      <c r="Q1706" t="s">
        <v>168</v>
      </c>
      <c r="S1706" t="s">
        <v>237</v>
      </c>
      <c r="T1706" t="s">
        <v>374</v>
      </c>
      <c r="U1706">
        <v>8.3655306347505521E-5</v>
      </c>
      <c r="V1706" t="s">
        <v>168</v>
      </c>
    </row>
    <row r="1707" spans="9:22" x14ac:dyDescent="0.45">
      <c r="I1707" t="s">
        <v>194</v>
      </c>
      <c r="J1707" t="s">
        <v>375</v>
      </c>
      <c r="K1707">
        <v>2.2004276018937601E-4</v>
      </c>
      <c r="L1707" t="s">
        <v>168</v>
      </c>
      <c r="N1707" t="s">
        <v>218</v>
      </c>
      <c r="O1707" t="s">
        <v>375</v>
      </c>
      <c r="P1707">
        <v>5.9930321100298794E-7</v>
      </c>
      <c r="Q1707" t="s">
        <v>168</v>
      </c>
      <c r="S1707" t="s">
        <v>237</v>
      </c>
      <c r="T1707" t="s">
        <v>375</v>
      </c>
      <c r="U1707">
        <v>7.5671895953688249E-5</v>
      </c>
      <c r="V1707" t="s">
        <v>168</v>
      </c>
    </row>
    <row r="1708" spans="9:22" x14ac:dyDescent="0.45">
      <c r="I1708" t="s">
        <v>194</v>
      </c>
      <c r="J1708" t="s">
        <v>376</v>
      </c>
      <c r="K1708">
        <v>2.420196740956649E-4</v>
      </c>
      <c r="L1708" t="s">
        <v>168</v>
      </c>
      <c r="N1708" t="s">
        <v>218</v>
      </c>
      <c r="O1708" t="s">
        <v>376</v>
      </c>
      <c r="P1708">
        <v>8.8725652652794612E-7</v>
      </c>
      <c r="Q1708" t="s">
        <v>168</v>
      </c>
      <c r="S1708" t="s">
        <v>237</v>
      </c>
      <c r="T1708" t="s">
        <v>376</v>
      </c>
      <c r="U1708">
        <v>3.7303789400813453E-5</v>
      </c>
      <c r="V1708" t="s">
        <v>168</v>
      </c>
    </row>
    <row r="1709" spans="9:22" x14ac:dyDescent="0.45">
      <c r="I1709" t="s">
        <v>194</v>
      </c>
      <c r="J1709" t="s">
        <v>377</v>
      </c>
      <c r="K1709">
        <v>2.097270422945842E-4</v>
      </c>
      <c r="L1709" t="s">
        <v>168</v>
      </c>
      <c r="N1709" t="s">
        <v>218</v>
      </c>
      <c r="O1709" t="s">
        <v>377</v>
      </c>
      <c r="P1709">
        <v>3.1191553408068644E-6</v>
      </c>
      <c r="Q1709" t="s">
        <v>168</v>
      </c>
      <c r="S1709" t="s">
        <v>237</v>
      </c>
      <c r="T1709" t="s">
        <v>377</v>
      </c>
      <c r="U1709">
        <v>3.3199138860056807E-5</v>
      </c>
      <c r="V1709" t="s">
        <v>168</v>
      </c>
    </row>
    <row r="1710" spans="9:22" x14ac:dyDescent="0.45">
      <c r="I1710" t="s">
        <v>194</v>
      </c>
      <c r="J1710" t="s">
        <v>378</v>
      </c>
      <c r="K1710">
        <v>2.1744219042835899E-4</v>
      </c>
      <c r="L1710" t="s">
        <v>168</v>
      </c>
      <c r="N1710" t="s">
        <v>218</v>
      </c>
      <c r="O1710" t="s">
        <v>378</v>
      </c>
      <c r="P1710">
        <v>5.1908559941538051E-6</v>
      </c>
      <c r="Q1710" t="s">
        <v>168</v>
      </c>
      <c r="S1710" t="s">
        <v>237</v>
      </c>
      <c r="T1710" t="s">
        <v>378</v>
      </c>
      <c r="U1710">
        <v>2.3958791195506409E-5</v>
      </c>
      <c r="V1710" t="s">
        <v>168</v>
      </c>
    </row>
    <row r="1711" spans="9:22" x14ac:dyDescent="0.45">
      <c r="I1711" t="s">
        <v>194</v>
      </c>
      <c r="J1711" t="s">
        <v>379</v>
      </c>
      <c r="K1711">
        <v>2.3888008807028836E-4</v>
      </c>
      <c r="L1711" t="s">
        <v>168</v>
      </c>
      <c r="N1711" t="s">
        <v>218</v>
      </c>
      <c r="O1711" t="s">
        <v>379</v>
      </c>
      <c r="P1711">
        <v>9.5457505763942172E-6</v>
      </c>
      <c r="Q1711" t="s">
        <v>168</v>
      </c>
      <c r="S1711" t="s">
        <v>237</v>
      </c>
      <c r="T1711" t="s">
        <v>379</v>
      </c>
      <c r="U1711">
        <v>1.7092627294011506E-5</v>
      </c>
      <c r="V1711" t="s">
        <v>168</v>
      </c>
    </row>
    <row r="1712" spans="9:22" x14ac:dyDescent="0.45">
      <c r="I1712" t="s">
        <v>194</v>
      </c>
      <c r="J1712" t="s">
        <v>380</v>
      </c>
      <c r="K1712">
        <v>1.901455252271125E-4</v>
      </c>
      <c r="L1712" t="s">
        <v>168</v>
      </c>
      <c r="N1712" t="s">
        <v>218</v>
      </c>
      <c r="O1712" t="s">
        <v>380</v>
      </c>
      <c r="P1712">
        <v>1.4096548525334368E-5</v>
      </c>
      <c r="Q1712" t="s">
        <v>168</v>
      </c>
      <c r="S1712" t="s">
        <v>237</v>
      </c>
      <c r="T1712" t="s">
        <v>380</v>
      </c>
      <c r="U1712">
        <v>1.1145817068468052E-5</v>
      </c>
      <c r="V1712" t="s">
        <v>168</v>
      </c>
    </row>
    <row r="1713" spans="9:22" x14ac:dyDescent="0.45">
      <c r="I1713" t="s">
        <v>194</v>
      </c>
      <c r="J1713" t="s">
        <v>381</v>
      </c>
      <c r="K1713">
        <v>1.1358304338856698E-4</v>
      </c>
      <c r="L1713" t="s">
        <v>168</v>
      </c>
      <c r="N1713" t="s">
        <v>218</v>
      </c>
      <c r="O1713" t="s">
        <v>381</v>
      </c>
      <c r="P1713">
        <v>1.393507655000999E-5</v>
      </c>
      <c r="Q1713" t="s">
        <v>168</v>
      </c>
      <c r="S1713" t="s">
        <v>237</v>
      </c>
      <c r="T1713" t="s">
        <v>381</v>
      </c>
      <c r="U1713">
        <v>7.6793555727933809E-6</v>
      </c>
      <c r="V1713" t="s">
        <v>168</v>
      </c>
    </row>
    <row r="1714" spans="9:22" x14ac:dyDescent="0.45">
      <c r="I1714" t="s">
        <v>194</v>
      </c>
      <c r="J1714" t="s">
        <v>382</v>
      </c>
      <c r="K1714">
        <v>0</v>
      </c>
      <c r="L1714" t="s">
        <v>168</v>
      </c>
      <c r="N1714" t="s">
        <v>218</v>
      </c>
      <c r="O1714" t="s">
        <v>382</v>
      </c>
      <c r="P1714">
        <v>1.3556006934273968E-5</v>
      </c>
      <c r="Q1714" t="s">
        <v>168</v>
      </c>
      <c r="S1714" t="s">
        <v>237</v>
      </c>
      <c r="T1714" t="s">
        <v>382</v>
      </c>
      <c r="U1714">
        <v>4.7377115577486177E-6</v>
      </c>
      <c r="V1714" t="s">
        <v>168</v>
      </c>
    </row>
    <row r="1715" spans="9:22" x14ac:dyDescent="0.45">
      <c r="I1715" t="s">
        <v>194</v>
      </c>
      <c r="J1715" t="s">
        <v>383</v>
      </c>
      <c r="K1715">
        <v>0</v>
      </c>
      <c r="L1715" t="s">
        <v>168</v>
      </c>
      <c r="N1715" t="s">
        <v>218</v>
      </c>
      <c r="O1715" t="s">
        <v>383</v>
      </c>
      <c r="P1715">
        <v>1.3653810310310119E-5</v>
      </c>
      <c r="Q1715" t="s">
        <v>168</v>
      </c>
      <c r="S1715" t="s">
        <v>237</v>
      </c>
      <c r="T1715" t="s">
        <v>383</v>
      </c>
      <c r="U1715">
        <v>3.7331212757453755E-6</v>
      </c>
      <c r="V1715" t="s">
        <v>168</v>
      </c>
    </row>
    <row r="1716" spans="9:22" x14ac:dyDescent="0.45">
      <c r="I1716" t="s">
        <v>194</v>
      </c>
      <c r="J1716" t="s">
        <v>384</v>
      </c>
      <c r="K1716">
        <v>0</v>
      </c>
      <c r="L1716" t="s">
        <v>168</v>
      </c>
      <c r="N1716" t="s">
        <v>218</v>
      </c>
      <c r="O1716" t="s">
        <v>384</v>
      </c>
      <c r="P1716">
        <v>1.4254725437254578E-5</v>
      </c>
      <c r="Q1716" t="s">
        <v>168</v>
      </c>
      <c r="S1716" t="s">
        <v>237</v>
      </c>
      <c r="T1716" t="s">
        <v>384</v>
      </c>
      <c r="U1716">
        <v>4.2549957544822925E-6</v>
      </c>
      <c r="V1716" t="s">
        <v>168</v>
      </c>
    </row>
    <row r="1717" spans="9:22" x14ac:dyDescent="0.45">
      <c r="I1717" t="s">
        <v>194</v>
      </c>
      <c r="J1717" t="s">
        <v>385</v>
      </c>
      <c r="K1717">
        <v>0</v>
      </c>
      <c r="L1717" t="s">
        <v>168</v>
      </c>
      <c r="N1717" t="s">
        <v>218</v>
      </c>
      <c r="O1717" t="s">
        <v>385</v>
      </c>
      <c r="P1717">
        <v>1.3414989811396426E-5</v>
      </c>
      <c r="Q1717" t="s">
        <v>168</v>
      </c>
      <c r="S1717" t="s">
        <v>237</v>
      </c>
      <c r="T1717" t="s">
        <v>385</v>
      </c>
      <c r="U1717">
        <v>4.4232171512648735E-6</v>
      </c>
      <c r="V1717" t="s">
        <v>168</v>
      </c>
    </row>
    <row r="1718" spans="9:22" x14ac:dyDescent="0.45">
      <c r="I1718" t="s">
        <v>194</v>
      </c>
      <c r="J1718" t="s">
        <v>386</v>
      </c>
      <c r="K1718">
        <v>0</v>
      </c>
      <c r="L1718" t="s">
        <v>168</v>
      </c>
      <c r="N1718" t="s">
        <v>218</v>
      </c>
      <c r="O1718" t="s">
        <v>386</v>
      </c>
      <c r="P1718">
        <v>1.4632355861813868E-5</v>
      </c>
      <c r="Q1718" t="s">
        <v>168</v>
      </c>
      <c r="S1718" t="s">
        <v>237</v>
      </c>
      <c r="T1718" t="s">
        <v>386</v>
      </c>
      <c r="U1718">
        <v>3.0281708806353568E-6</v>
      </c>
      <c r="V1718" t="s">
        <v>168</v>
      </c>
    </row>
    <row r="1719" spans="9:22" x14ac:dyDescent="0.45">
      <c r="I1719" t="s">
        <v>194</v>
      </c>
      <c r="J1719" t="s">
        <v>387</v>
      </c>
      <c r="K1719">
        <v>0</v>
      </c>
      <c r="L1719" t="s">
        <v>168</v>
      </c>
      <c r="N1719" t="s">
        <v>218</v>
      </c>
      <c r="O1719" t="s">
        <v>387</v>
      </c>
      <c r="P1719">
        <v>1.5410536312183293E-5</v>
      </c>
      <c r="Q1719" t="s">
        <v>168</v>
      </c>
      <c r="S1719" t="s">
        <v>237</v>
      </c>
      <c r="T1719" t="s">
        <v>387</v>
      </c>
      <c r="U1719">
        <v>1.482050170722041E-6</v>
      </c>
      <c r="V1719" t="s">
        <v>168</v>
      </c>
    </row>
    <row r="1720" spans="9:22" x14ac:dyDescent="0.45">
      <c r="I1720" t="s">
        <v>194</v>
      </c>
      <c r="J1720" t="s">
        <v>388</v>
      </c>
      <c r="K1720">
        <v>0</v>
      </c>
      <c r="L1720" t="s">
        <v>168</v>
      </c>
      <c r="N1720" t="s">
        <v>218</v>
      </c>
      <c r="O1720" t="s">
        <v>388</v>
      </c>
      <c r="P1720">
        <v>1.0318045831904481E-5</v>
      </c>
      <c r="Q1720" t="s">
        <v>168</v>
      </c>
      <c r="S1720" t="s">
        <v>237</v>
      </c>
      <c r="T1720" t="s">
        <v>388</v>
      </c>
      <c r="U1720">
        <v>1.1658636371968656E-8</v>
      </c>
      <c r="V1720" t="s">
        <v>168</v>
      </c>
    </row>
    <row r="1721" spans="9:22" x14ac:dyDescent="0.45">
      <c r="I1721" t="s">
        <v>195</v>
      </c>
      <c r="J1721" t="s">
        <v>167</v>
      </c>
      <c r="K1721">
        <v>0</v>
      </c>
      <c r="L1721" t="s">
        <v>168</v>
      </c>
    </row>
    <row r="1722" spans="9:22" x14ac:dyDescent="0.45">
      <c r="I1722" t="s">
        <v>195</v>
      </c>
      <c r="J1722" t="s">
        <v>169</v>
      </c>
      <c r="K1722">
        <v>2.384529635708529E-3</v>
      </c>
      <c r="L1722" t="s">
        <v>168</v>
      </c>
    </row>
    <row r="1723" spans="9:22" x14ac:dyDescent="0.45">
      <c r="I1723" t="s">
        <v>195</v>
      </c>
      <c r="J1723" t="s">
        <v>170</v>
      </c>
      <c r="K1723">
        <v>8.1085415611167003E-3</v>
      </c>
      <c r="L1723" t="s">
        <v>168</v>
      </c>
    </row>
    <row r="1724" spans="9:22" x14ac:dyDescent="0.45">
      <c r="I1724" t="s">
        <v>195</v>
      </c>
      <c r="J1724" t="s">
        <v>256</v>
      </c>
      <c r="K1724">
        <v>7.6531289890520673E-2</v>
      </c>
      <c r="L1724" t="s">
        <v>168</v>
      </c>
    </row>
    <row r="1725" spans="9:22" x14ac:dyDescent="0.45">
      <c r="I1725" t="s">
        <v>195</v>
      </c>
      <c r="J1725" t="s">
        <v>257</v>
      </c>
      <c r="K1725">
        <v>1.1032348691216836E-2</v>
      </c>
      <c r="L1725" t="s">
        <v>168</v>
      </c>
    </row>
    <row r="1726" spans="9:22" x14ac:dyDescent="0.45">
      <c r="I1726" t="s">
        <v>195</v>
      </c>
      <c r="J1726" t="s">
        <v>258</v>
      </c>
      <c r="K1726">
        <v>9.0936964511271826E-3</v>
      </c>
      <c r="L1726" t="s">
        <v>168</v>
      </c>
    </row>
    <row r="1727" spans="9:22" x14ac:dyDescent="0.45">
      <c r="I1727" t="s">
        <v>195</v>
      </c>
      <c r="J1727" t="s">
        <v>171</v>
      </c>
      <c r="K1727">
        <v>2.052448483940994E-2</v>
      </c>
      <c r="L1727" t="s">
        <v>168</v>
      </c>
    </row>
    <row r="1728" spans="9:22" x14ac:dyDescent="0.45">
      <c r="I1728" t="s">
        <v>195</v>
      </c>
      <c r="J1728" t="s">
        <v>172</v>
      </c>
      <c r="K1728">
        <v>2.5208719196035762E-2</v>
      </c>
      <c r="L1728" t="s">
        <v>168</v>
      </c>
    </row>
    <row r="1729" spans="9:12" x14ac:dyDescent="0.45">
      <c r="I1729" t="s">
        <v>195</v>
      </c>
      <c r="J1729" t="s">
        <v>173</v>
      </c>
      <c r="K1729">
        <v>3.2728677896984235E-2</v>
      </c>
      <c r="L1729" t="s">
        <v>168</v>
      </c>
    </row>
    <row r="1730" spans="9:12" x14ac:dyDescent="0.45">
      <c r="I1730" t="s">
        <v>195</v>
      </c>
      <c r="J1730" t="s">
        <v>259</v>
      </c>
      <c r="K1730">
        <v>0.23242378483852683</v>
      </c>
      <c r="L1730" t="s">
        <v>168</v>
      </c>
    </row>
    <row r="1731" spans="9:12" x14ac:dyDescent="0.45">
      <c r="I1731" t="s">
        <v>195</v>
      </c>
      <c r="J1731" t="s">
        <v>260</v>
      </c>
      <c r="K1731">
        <v>3.3438679553451971E-2</v>
      </c>
      <c r="L1731" t="s">
        <v>168</v>
      </c>
    </row>
    <row r="1732" spans="9:12" x14ac:dyDescent="0.45">
      <c r="I1732" t="s">
        <v>195</v>
      </c>
      <c r="J1732" t="s">
        <v>261</v>
      </c>
      <c r="K1732">
        <v>5.9073941763643209E-2</v>
      </c>
      <c r="L1732" t="s">
        <v>168</v>
      </c>
    </row>
    <row r="1733" spans="9:12" x14ac:dyDescent="0.45">
      <c r="I1733" t="s">
        <v>195</v>
      </c>
      <c r="J1733" t="s">
        <v>174</v>
      </c>
      <c r="K1733">
        <v>8.774070894430731E-3</v>
      </c>
      <c r="L1733" t="s">
        <v>168</v>
      </c>
    </row>
    <row r="1734" spans="9:12" x14ac:dyDescent="0.45">
      <c r="I1734" t="s">
        <v>195</v>
      </c>
      <c r="J1734" t="s">
        <v>175</v>
      </c>
      <c r="K1734">
        <v>8.5225388924623415E-3</v>
      </c>
      <c r="L1734" t="s">
        <v>168</v>
      </c>
    </row>
    <row r="1735" spans="9:12" x14ac:dyDescent="0.45">
      <c r="I1735" t="s">
        <v>195</v>
      </c>
      <c r="J1735" t="s">
        <v>176</v>
      </c>
      <c r="K1735">
        <v>1.0236732798538999E-2</v>
      </c>
      <c r="L1735" t="s">
        <v>168</v>
      </c>
    </row>
    <row r="1736" spans="9:12" x14ac:dyDescent="0.45">
      <c r="I1736" t="s">
        <v>195</v>
      </c>
      <c r="J1736" t="s">
        <v>262</v>
      </c>
      <c r="K1736">
        <v>6.7656397767392171E-2</v>
      </c>
      <c r="L1736" t="s">
        <v>168</v>
      </c>
    </row>
    <row r="1737" spans="9:12" x14ac:dyDescent="0.45">
      <c r="I1737" t="s">
        <v>195</v>
      </c>
      <c r="J1737" t="s">
        <v>263</v>
      </c>
      <c r="K1737">
        <v>9.196536796608562E-3</v>
      </c>
      <c r="L1737" t="s">
        <v>168</v>
      </c>
    </row>
    <row r="1738" spans="9:12" x14ac:dyDescent="0.45">
      <c r="I1738" t="s">
        <v>195</v>
      </c>
      <c r="J1738" t="s">
        <v>264</v>
      </c>
      <c r="K1738">
        <v>1.9614184824137036E-2</v>
      </c>
      <c r="L1738" t="s">
        <v>168</v>
      </c>
    </row>
    <row r="1739" spans="9:12" x14ac:dyDescent="0.45">
      <c r="I1739" t="s">
        <v>195</v>
      </c>
      <c r="J1739" t="s">
        <v>265</v>
      </c>
      <c r="K1739">
        <v>6.759214301756235E-3</v>
      </c>
      <c r="L1739" t="s">
        <v>168</v>
      </c>
    </row>
    <row r="1740" spans="9:12" x14ac:dyDescent="0.45">
      <c r="I1740" t="s">
        <v>195</v>
      </c>
      <c r="J1740" t="s">
        <v>266</v>
      </c>
      <c r="K1740">
        <v>8.0309261546466625E-3</v>
      </c>
      <c r="L1740" t="s">
        <v>168</v>
      </c>
    </row>
    <row r="1741" spans="9:12" x14ac:dyDescent="0.45">
      <c r="I1741" t="s">
        <v>195</v>
      </c>
      <c r="J1741" t="s">
        <v>267</v>
      </c>
      <c r="K1741">
        <v>9.710159857957772E-3</v>
      </c>
      <c r="L1741" t="s">
        <v>168</v>
      </c>
    </row>
    <row r="1742" spans="9:12" x14ac:dyDescent="0.45">
      <c r="I1742" t="s">
        <v>195</v>
      </c>
      <c r="J1742" t="s">
        <v>268</v>
      </c>
      <c r="K1742">
        <v>6.4946467545331163E-2</v>
      </c>
      <c r="L1742" t="s">
        <v>168</v>
      </c>
    </row>
    <row r="1743" spans="9:12" x14ac:dyDescent="0.45">
      <c r="I1743" t="s">
        <v>195</v>
      </c>
      <c r="J1743" t="s">
        <v>269</v>
      </c>
      <c r="K1743">
        <v>9.6872334592086815E-3</v>
      </c>
      <c r="L1743" t="s">
        <v>168</v>
      </c>
    </row>
    <row r="1744" spans="9:12" x14ac:dyDescent="0.45">
      <c r="I1744" t="s">
        <v>195</v>
      </c>
      <c r="J1744" t="s">
        <v>270</v>
      </c>
      <c r="K1744">
        <v>1.8212873824434241E-2</v>
      </c>
      <c r="L1744" t="s">
        <v>168</v>
      </c>
    </row>
    <row r="1745" spans="9:12" x14ac:dyDescent="0.45">
      <c r="I1745" t="s">
        <v>195</v>
      </c>
      <c r="J1745" t="s">
        <v>271</v>
      </c>
      <c r="K1745">
        <v>3.1678469792646561E-3</v>
      </c>
      <c r="L1745" t="s">
        <v>168</v>
      </c>
    </row>
    <row r="1746" spans="9:12" x14ac:dyDescent="0.45">
      <c r="I1746" t="s">
        <v>195</v>
      </c>
      <c r="J1746" t="s">
        <v>272</v>
      </c>
      <c r="K1746">
        <v>5.9276467525713689E-3</v>
      </c>
      <c r="L1746" t="s">
        <v>168</v>
      </c>
    </row>
    <row r="1747" spans="9:12" x14ac:dyDescent="0.45">
      <c r="I1747" t="s">
        <v>195</v>
      </c>
      <c r="J1747" t="s">
        <v>273</v>
      </c>
      <c r="K1747">
        <v>7.9694506902464272E-3</v>
      </c>
      <c r="L1747" t="s">
        <v>168</v>
      </c>
    </row>
    <row r="1748" spans="9:12" x14ac:dyDescent="0.45">
      <c r="I1748" t="s">
        <v>195</v>
      </c>
      <c r="J1748" t="s">
        <v>274</v>
      </c>
      <c r="K1748">
        <v>5.3698928040491159E-2</v>
      </c>
      <c r="L1748" t="s">
        <v>168</v>
      </c>
    </row>
    <row r="1749" spans="9:12" x14ac:dyDescent="0.45">
      <c r="I1749" t="s">
        <v>195</v>
      </c>
      <c r="J1749" t="s">
        <v>275</v>
      </c>
      <c r="K1749">
        <v>7.8847573897842128E-3</v>
      </c>
      <c r="L1749" t="s">
        <v>168</v>
      </c>
    </row>
    <row r="1750" spans="9:12" x14ac:dyDescent="0.45">
      <c r="I1750" t="s">
        <v>195</v>
      </c>
      <c r="J1750" t="s">
        <v>276</v>
      </c>
      <c r="K1750">
        <v>1.0672548777071857E-2</v>
      </c>
      <c r="L1750" t="s">
        <v>168</v>
      </c>
    </row>
    <row r="1751" spans="9:12" x14ac:dyDescent="0.45">
      <c r="I1751" t="s">
        <v>195</v>
      </c>
      <c r="J1751" t="s">
        <v>341</v>
      </c>
      <c r="K1751">
        <v>0</v>
      </c>
      <c r="L1751" t="s">
        <v>168</v>
      </c>
    </row>
    <row r="1752" spans="9:12" x14ac:dyDescent="0.45">
      <c r="I1752" t="s">
        <v>195</v>
      </c>
      <c r="J1752" t="s">
        <v>342</v>
      </c>
      <c r="K1752">
        <v>0</v>
      </c>
      <c r="L1752" t="s">
        <v>168</v>
      </c>
    </row>
    <row r="1753" spans="9:12" x14ac:dyDescent="0.45">
      <c r="I1753" t="s">
        <v>195</v>
      </c>
      <c r="J1753" t="s">
        <v>343</v>
      </c>
      <c r="K1753">
        <v>0</v>
      </c>
      <c r="L1753" t="s">
        <v>168</v>
      </c>
    </row>
    <row r="1754" spans="9:12" x14ac:dyDescent="0.45">
      <c r="I1754" t="s">
        <v>195</v>
      </c>
      <c r="J1754" t="s">
        <v>344</v>
      </c>
      <c r="K1754">
        <v>0</v>
      </c>
      <c r="L1754" t="s">
        <v>168</v>
      </c>
    </row>
    <row r="1755" spans="9:12" x14ac:dyDescent="0.45">
      <c r="I1755" t="s">
        <v>195</v>
      </c>
      <c r="J1755" t="s">
        <v>345</v>
      </c>
      <c r="K1755">
        <v>0</v>
      </c>
      <c r="L1755" t="s">
        <v>168</v>
      </c>
    </row>
    <row r="1756" spans="9:12" x14ac:dyDescent="0.45">
      <c r="I1756" t="s">
        <v>195</v>
      </c>
      <c r="J1756" t="s">
        <v>346</v>
      </c>
      <c r="K1756">
        <v>0</v>
      </c>
      <c r="L1756" t="s">
        <v>168</v>
      </c>
    </row>
    <row r="1757" spans="9:12" x14ac:dyDescent="0.45">
      <c r="I1757" t="s">
        <v>195</v>
      </c>
      <c r="J1757" t="s">
        <v>347</v>
      </c>
      <c r="K1757">
        <v>0</v>
      </c>
      <c r="L1757" t="s">
        <v>168</v>
      </c>
    </row>
    <row r="1758" spans="9:12" x14ac:dyDescent="0.45">
      <c r="I1758" t="s">
        <v>195</v>
      </c>
      <c r="J1758" t="s">
        <v>348</v>
      </c>
      <c r="K1758">
        <v>1.0739360058252465E-4</v>
      </c>
      <c r="L1758" t="s">
        <v>168</v>
      </c>
    </row>
    <row r="1759" spans="9:12" x14ac:dyDescent="0.45">
      <c r="I1759" t="s">
        <v>195</v>
      </c>
      <c r="J1759" t="s">
        <v>349</v>
      </c>
      <c r="K1759">
        <v>2.0794759901412614E-4</v>
      </c>
      <c r="L1759" t="s">
        <v>168</v>
      </c>
    </row>
    <row r="1760" spans="9:12" x14ac:dyDescent="0.45">
      <c r="I1760" t="s">
        <v>195</v>
      </c>
      <c r="J1760" t="s">
        <v>350</v>
      </c>
      <c r="K1760">
        <v>2.6369928331400116E-4</v>
      </c>
      <c r="L1760" t="s">
        <v>168</v>
      </c>
    </row>
    <row r="1761" spans="9:12" x14ac:dyDescent="0.45">
      <c r="I1761" t="s">
        <v>195</v>
      </c>
      <c r="J1761" t="s">
        <v>351</v>
      </c>
      <c r="K1761">
        <v>3.2339004224853915E-4</v>
      </c>
      <c r="L1761" t="s">
        <v>168</v>
      </c>
    </row>
    <row r="1762" spans="9:12" x14ac:dyDescent="0.45">
      <c r="I1762" t="s">
        <v>195</v>
      </c>
      <c r="J1762" t="s">
        <v>352</v>
      </c>
      <c r="K1762">
        <v>3.2659755501889264E-4</v>
      </c>
      <c r="L1762" t="s">
        <v>168</v>
      </c>
    </row>
    <row r="1763" spans="9:12" x14ac:dyDescent="0.45">
      <c r="I1763" t="s">
        <v>195</v>
      </c>
      <c r="J1763" t="s">
        <v>353</v>
      </c>
      <c r="K1763">
        <v>3.2271103717592829E-4</v>
      </c>
      <c r="L1763" t="s">
        <v>168</v>
      </c>
    </row>
    <row r="1764" spans="9:12" x14ac:dyDescent="0.45">
      <c r="I1764" t="s">
        <v>195</v>
      </c>
      <c r="J1764" t="s">
        <v>354</v>
      </c>
      <c r="K1764">
        <v>3.2081931340938538E-4</v>
      </c>
      <c r="L1764" t="s">
        <v>168</v>
      </c>
    </row>
    <row r="1765" spans="9:12" x14ac:dyDescent="0.45">
      <c r="I1765" t="s">
        <v>195</v>
      </c>
      <c r="J1765" t="s">
        <v>355</v>
      </c>
      <c r="K1765">
        <v>3.4935397035806094E-4</v>
      </c>
      <c r="L1765" t="s">
        <v>168</v>
      </c>
    </row>
    <row r="1766" spans="9:12" x14ac:dyDescent="0.45">
      <c r="I1766" t="s">
        <v>195</v>
      </c>
      <c r="J1766" t="s">
        <v>356</v>
      </c>
      <c r="K1766">
        <v>3.3170890434016141E-4</v>
      </c>
      <c r="L1766" t="s">
        <v>168</v>
      </c>
    </row>
    <row r="1767" spans="9:12" x14ac:dyDescent="0.45">
      <c r="I1767" t="s">
        <v>195</v>
      </c>
      <c r="J1767" t="s">
        <v>357</v>
      </c>
      <c r="K1767">
        <v>3.0218667142848315E-4</v>
      </c>
      <c r="L1767" t="s">
        <v>168</v>
      </c>
    </row>
    <row r="1768" spans="9:12" x14ac:dyDescent="0.45">
      <c r="I1768" t="s">
        <v>195</v>
      </c>
      <c r="J1768" t="s">
        <v>358</v>
      </c>
      <c r="K1768">
        <v>2.4569308212602571E-4</v>
      </c>
      <c r="L1768" t="s">
        <v>168</v>
      </c>
    </row>
    <row r="1769" spans="9:12" x14ac:dyDescent="0.45">
      <c r="I1769" t="s">
        <v>195</v>
      </c>
      <c r="J1769" t="s">
        <v>359</v>
      </c>
      <c r="K1769">
        <v>1.4343318120551714E-4</v>
      </c>
      <c r="L1769" t="s">
        <v>168</v>
      </c>
    </row>
    <row r="1770" spans="9:12" x14ac:dyDescent="0.45">
      <c r="I1770" t="s">
        <v>195</v>
      </c>
      <c r="J1770" t="s">
        <v>360</v>
      </c>
      <c r="K1770">
        <v>0</v>
      </c>
      <c r="L1770" t="s">
        <v>168</v>
      </c>
    </row>
    <row r="1771" spans="9:12" x14ac:dyDescent="0.45">
      <c r="I1771" t="s">
        <v>195</v>
      </c>
      <c r="J1771" t="s">
        <v>361</v>
      </c>
      <c r="K1771">
        <v>0</v>
      </c>
      <c r="L1771" t="s">
        <v>168</v>
      </c>
    </row>
    <row r="1772" spans="9:12" x14ac:dyDescent="0.45">
      <c r="I1772" t="s">
        <v>195</v>
      </c>
      <c r="J1772" t="s">
        <v>362</v>
      </c>
      <c r="K1772">
        <v>0</v>
      </c>
      <c r="L1772" t="s">
        <v>168</v>
      </c>
    </row>
    <row r="1773" spans="9:12" x14ac:dyDescent="0.45">
      <c r="I1773" t="s">
        <v>195</v>
      </c>
      <c r="J1773" t="s">
        <v>363</v>
      </c>
      <c r="K1773">
        <v>0</v>
      </c>
      <c r="L1773" t="s">
        <v>168</v>
      </c>
    </row>
    <row r="1774" spans="9:12" x14ac:dyDescent="0.45">
      <c r="I1774" t="s">
        <v>195</v>
      </c>
      <c r="J1774" t="s">
        <v>364</v>
      </c>
      <c r="K1774">
        <v>0</v>
      </c>
      <c r="L1774" t="s">
        <v>168</v>
      </c>
    </row>
    <row r="1775" spans="9:12" x14ac:dyDescent="0.45">
      <c r="I1775" t="s">
        <v>195</v>
      </c>
      <c r="J1775" t="s">
        <v>277</v>
      </c>
      <c r="K1775">
        <v>7.2145769263844042E-4</v>
      </c>
      <c r="L1775" t="s">
        <v>168</v>
      </c>
    </row>
    <row r="1776" spans="9:12" x14ac:dyDescent="0.45">
      <c r="I1776" t="s">
        <v>195</v>
      </c>
      <c r="J1776" t="s">
        <v>278</v>
      </c>
      <c r="K1776">
        <v>5.6653080132432285E-3</v>
      </c>
      <c r="L1776" t="s">
        <v>168</v>
      </c>
    </row>
    <row r="1777" spans="9:12" x14ac:dyDescent="0.45">
      <c r="I1777" t="s">
        <v>195</v>
      </c>
      <c r="J1777" t="s">
        <v>279</v>
      </c>
      <c r="K1777">
        <v>9.9555266685323537E-3</v>
      </c>
      <c r="L1777" t="s">
        <v>168</v>
      </c>
    </row>
    <row r="1778" spans="9:12" x14ac:dyDescent="0.45">
      <c r="I1778" t="s">
        <v>195</v>
      </c>
      <c r="J1778" t="s">
        <v>280</v>
      </c>
      <c r="K1778">
        <v>7.8500016482388413E-2</v>
      </c>
      <c r="L1778" t="s">
        <v>168</v>
      </c>
    </row>
    <row r="1779" spans="9:12" x14ac:dyDescent="0.45">
      <c r="I1779" t="s">
        <v>195</v>
      </c>
      <c r="J1779" t="s">
        <v>281</v>
      </c>
      <c r="K1779">
        <v>1.0203067520810433E-2</v>
      </c>
      <c r="L1779" t="s">
        <v>168</v>
      </c>
    </row>
    <row r="1780" spans="9:12" x14ac:dyDescent="0.45">
      <c r="I1780" t="s">
        <v>195</v>
      </c>
      <c r="J1780" t="s">
        <v>282</v>
      </c>
      <c r="K1780">
        <v>6.7582895450978651E-3</v>
      </c>
      <c r="L1780" t="s">
        <v>168</v>
      </c>
    </row>
    <row r="1781" spans="9:12" x14ac:dyDescent="0.45">
      <c r="I1781" t="s">
        <v>195</v>
      </c>
      <c r="J1781" t="s">
        <v>283</v>
      </c>
      <c r="K1781">
        <v>0</v>
      </c>
      <c r="L1781" t="s">
        <v>168</v>
      </c>
    </row>
    <row r="1782" spans="9:12" x14ac:dyDescent="0.45">
      <c r="I1782" t="s">
        <v>195</v>
      </c>
      <c r="J1782" t="s">
        <v>284</v>
      </c>
      <c r="K1782">
        <v>1.3265959444817674E-5</v>
      </c>
      <c r="L1782" t="s">
        <v>168</v>
      </c>
    </row>
    <row r="1783" spans="9:12" x14ac:dyDescent="0.45">
      <c r="I1783" t="s">
        <v>195</v>
      </c>
      <c r="J1783" t="s">
        <v>285</v>
      </c>
      <c r="K1783">
        <v>3.181637021403126E-3</v>
      </c>
      <c r="L1783" t="s">
        <v>168</v>
      </c>
    </row>
    <row r="1784" spans="9:12" x14ac:dyDescent="0.45">
      <c r="I1784" t="s">
        <v>195</v>
      </c>
      <c r="J1784" t="s">
        <v>286</v>
      </c>
      <c r="K1784">
        <v>3.4058452199273601E-2</v>
      </c>
      <c r="L1784" t="s">
        <v>168</v>
      </c>
    </row>
    <row r="1785" spans="9:12" x14ac:dyDescent="0.45">
      <c r="I1785" t="s">
        <v>195</v>
      </c>
      <c r="J1785" t="s">
        <v>287</v>
      </c>
      <c r="K1785">
        <v>4.1712973460595985E-3</v>
      </c>
      <c r="L1785" t="s">
        <v>168</v>
      </c>
    </row>
    <row r="1786" spans="9:12" x14ac:dyDescent="0.45">
      <c r="I1786" t="s">
        <v>195</v>
      </c>
      <c r="J1786" t="s">
        <v>288</v>
      </c>
      <c r="K1786">
        <v>1.0380221148429598E-3</v>
      </c>
      <c r="L1786" t="s">
        <v>168</v>
      </c>
    </row>
    <row r="1787" spans="9:12" x14ac:dyDescent="0.45">
      <c r="I1787" t="s">
        <v>195</v>
      </c>
      <c r="J1787" t="s">
        <v>365</v>
      </c>
      <c r="K1787">
        <v>0</v>
      </c>
      <c r="L1787" t="s">
        <v>168</v>
      </c>
    </row>
    <row r="1788" spans="9:12" x14ac:dyDescent="0.45">
      <c r="I1788" t="s">
        <v>195</v>
      </c>
      <c r="J1788" t="s">
        <v>366</v>
      </c>
      <c r="K1788">
        <v>0</v>
      </c>
      <c r="L1788" t="s">
        <v>168</v>
      </c>
    </row>
    <row r="1789" spans="9:12" x14ac:dyDescent="0.45">
      <c r="I1789" t="s">
        <v>195</v>
      </c>
      <c r="J1789" t="s">
        <v>367</v>
      </c>
      <c r="K1789">
        <v>0</v>
      </c>
      <c r="L1789" t="s">
        <v>168</v>
      </c>
    </row>
    <row r="1790" spans="9:12" x14ac:dyDescent="0.45">
      <c r="I1790" t="s">
        <v>195</v>
      </c>
      <c r="J1790" t="s">
        <v>368</v>
      </c>
      <c r="K1790">
        <v>0</v>
      </c>
      <c r="L1790" t="s">
        <v>168</v>
      </c>
    </row>
    <row r="1791" spans="9:12" x14ac:dyDescent="0.45">
      <c r="I1791" t="s">
        <v>195</v>
      </c>
      <c r="J1791" t="s">
        <v>369</v>
      </c>
      <c r="K1791">
        <v>0</v>
      </c>
      <c r="L1791" t="s">
        <v>168</v>
      </c>
    </row>
    <row r="1792" spans="9:12" x14ac:dyDescent="0.45">
      <c r="I1792" t="s">
        <v>195</v>
      </c>
      <c r="J1792" t="s">
        <v>370</v>
      </c>
      <c r="K1792">
        <v>0</v>
      </c>
      <c r="L1792" t="s">
        <v>168</v>
      </c>
    </row>
    <row r="1793" spans="9:12" x14ac:dyDescent="0.45">
      <c r="I1793" t="s">
        <v>195</v>
      </c>
      <c r="J1793" t="s">
        <v>371</v>
      </c>
      <c r="K1793">
        <v>0</v>
      </c>
      <c r="L1793" t="s">
        <v>168</v>
      </c>
    </row>
    <row r="1794" spans="9:12" x14ac:dyDescent="0.45">
      <c r="I1794" t="s">
        <v>195</v>
      </c>
      <c r="J1794" t="s">
        <v>372</v>
      </c>
      <c r="K1794">
        <v>0</v>
      </c>
      <c r="L1794" t="s">
        <v>168</v>
      </c>
    </row>
    <row r="1795" spans="9:12" x14ac:dyDescent="0.45">
      <c r="I1795" t="s">
        <v>195</v>
      </c>
      <c r="J1795" t="s">
        <v>373</v>
      </c>
      <c r="K1795">
        <v>0</v>
      </c>
      <c r="L1795" t="s">
        <v>168</v>
      </c>
    </row>
    <row r="1796" spans="9:12" x14ac:dyDescent="0.45">
      <c r="I1796" t="s">
        <v>195</v>
      </c>
      <c r="J1796" t="s">
        <v>374</v>
      </c>
      <c r="K1796">
        <v>1.074585968910498E-4</v>
      </c>
      <c r="L1796" t="s">
        <v>168</v>
      </c>
    </row>
    <row r="1797" spans="9:12" x14ac:dyDescent="0.45">
      <c r="I1797" t="s">
        <v>195</v>
      </c>
      <c r="J1797" t="s">
        <v>375</v>
      </c>
      <c r="K1797">
        <v>1.9089086739075824E-4</v>
      </c>
      <c r="L1797" t="s">
        <v>168</v>
      </c>
    </row>
    <row r="1798" spans="9:12" x14ac:dyDescent="0.45">
      <c r="I1798" t="s">
        <v>195</v>
      </c>
      <c r="J1798" t="s">
        <v>376</v>
      </c>
      <c r="K1798">
        <v>1.9712495114324421E-4</v>
      </c>
      <c r="L1798" t="s">
        <v>168</v>
      </c>
    </row>
    <row r="1799" spans="9:12" x14ac:dyDescent="0.45">
      <c r="I1799" t="s">
        <v>195</v>
      </c>
      <c r="J1799" t="s">
        <v>377</v>
      </c>
      <c r="K1799">
        <v>1.9201871784309539E-4</v>
      </c>
      <c r="L1799" t="s">
        <v>168</v>
      </c>
    </row>
    <row r="1800" spans="9:12" x14ac:dyDescent="0.45">
      <c r="I1800" t="s">
        <v>195</v>
      </c>
      <c r="J1800" t="s">
        <v>378</v>
      </c>
      <c r="K1800">
        <v>1.6123776606151945E-4</v>
      </c>
      <c r="L1800" t="s">
        <v>168</v>
      </c>
    </row>
    <row r="1801" spans="9:12" x14ac:dyDescent="0.45">
      <c r="I1801" t="s">
        <v>195</v>
      </c>
      <c r="J1801" t="s">
        <v>379</v>
      </c>
      <c r="K1801">
        <v>1.7522537061011401E-4</v>
      </c>
      <c r="L1801" t="s">
        <v>168</v>
      </c>
    </row>
    <row r="1802" spans="9:12" x14ac:dyDescent="0.45">
      <c r="I1802" t="s">
        <v>195</v>
      </c>
      <c r="J1802" t="s">
        <v>380</v>
      </c>
      <c r="K1802">
        <v>1.4763356078788882E-4</v>
      </c>
      <c r="L1802" t="s">
        <v>168</v>
      </c>
    </row>
    <row r="1803" spans="9:12" x14ac:dyDescent="0.45">
      <c r="I1803" t="s">
        <v>195</v>
      </c>
      <c r="J1803" t="s">
        <v>381</v>
      </c>
      <c r="K1803">
        <v>8.7495104611016303E-5</v>
      </c>
      <c r="L1803" t="s">
        <v>168</v>
      </c>
    </row>
    <row r="1804" spans="9:12" x14ac:dyDescent="0.45">
      <c r="I1804" t="s">
        <v>195</v>
      </c>
      <c r="J1804" t="s">
        <v>382</v>
      </c>
      <c r="K1804">
        <v>1.2430196625450972E-5</v>
      </c>
      <c r="L1804" t="s">
        <v>168</v>
      </c>
    </row>
    <row r="1805" spans="9:12" x14ac:dyDescent="0.45">
      <c r="I1805" t="s">
        <v>195</v>
      </c>
      <c r="J1805" t="s">
        <v>383</v>
      </c>
      <c r="K1805">
        <v>0</v>
      </c>
      <c r="L1805" t="s">
        <v>168</v>
      </c>
    </row>
    <row r="1806" spans="9:12" x14ac:dyDescent="0.45">
      <c r="I1806" t="s">
        <v>195</v>
      </c>
      <c r="J1806" t="s">
        <v>384</v>
      </c>
      <c r="K1806">
        <v>0</v>
      </c>
      <c r="L1806" t="s">
        <v>168</v>
      </c>
    </row>
    <row r="1807" spans="9:12" x14ac:dyDescent="0.45">
      <c r="I1807" t="s">
        <v>195</v>
      </c>
      <c r="J1807" t="s">
        <v>385</v>
      </c>
      <c r="K1807">
        <v>0</v>
      </c>
      <c r="L1807" t="s">
        <v>168</v>
      </c>
    </row>
    <row r="1808" spans="9:12" x14ac:dyDescent="0.45">
      <c r="I1808" t="s">
        <v>195</v>
      </c>
      <c r="J1808" t="s">
        <v>386</v>
      </c>
      <c r="K1808">
        <v>0</v>
      </c>
      <c r="L1808" t="s">
        <v>168</v>
      </c>
    </row>
    <row r="1809" spans="9:12" x14ac:dyDescent="0.45">
      <c r="I1809" t="s">
        <v>195</v>
      </c>
      <c r="J1809" t="s">
        <v>387</v>
      </c>
      <c r="K1809">
        <v>0</v>
      </c>
      <c r="L1809" t="s">
        <v>168</v>
      </c>
    </row>
    <row r="1810" spans="9:12" x14ac:dyDescent="0.45">
      <c r="I1810" t="s">
        <v>195</v>
      </c>
      <c r="J1810" t="s">
        <v>388</v>
      </c>
      <c r="K1810">
        <v>0</v>
      </c>
      <c r="L1810" t="s">
        <v>168</v>
      </c>
    </row>
    <row r="1811" spans="9:12" x14ac:dyDescent="0.45">
      <c r="I1811" t="s">
        <v>196</v>
      </c>
      <c r="J1811" t="s">
        <v>167</v>
      </c>
      <c r="K1811">
        <v>0</v>
      </c>
      <c r="L1811" t="s">
        <v>168</v>
      </c>
    </row>
    <row r="1812" spans="9:12" x14ac:dyDescent="0.45">
      <c r="I1812" t="s">
        <v>196</v>
      </c>
      <c r="J1812" t="s">
        <v>169</v>
      </c>
      <c r="K1812">
        <v>2.6776926449829062E-3</v>
      </c>
      <c r="L1812" t="s">
        <v>168</v>
      </c>
    </row>
    <row r="1813" spans="9:12" x14ac:dyDescent="0.45">
      <c r="I1813" t="s">
        <v>196</v>
      </c>
      <c r="J1813" t="s">
        <v>170</v>
      </c>
      <c r="K1813">
        <v>8.1266408306655165E-3</v>
      </c>
      <c r="L1813" t="s">
        <v>168</v>
      </c>
    </row>
    <row r="1814" spans="9:12" x14ac:dyDescent="0.45">
      <c r="I1814" t="s">
        <v>196</v>
      </c>
      <c r="J1814" t="s">
        <v>256</v>
      </c>
      <c r="K1814">
        <v>7.7561326965084498E-2</v>
      </c>
      <c r="L1814" t="s">
        <v>168</v>
      </c>
    </row>
    <row r="1815" spans="9:12" x14ac:dyDescent="0.45">
      <c r="I1815" t="s">
        <v>196</v>
      </c>
      <c r="J1815" t="s">
        <v>257</v>
      </c>
      <c r="K1815">
        <v>1.0447652456929976E-2</v>
      </c>
      <c r="L1815" t="s">
        <v>168</v>
      </c>
    </row>
    <row r="1816" spans="9:12" x14ac:dyDescent="0.45">
      <c r="I1816" t="s">
        <v>196</v>
      </c>
      <c r="J1816" t="s">
        <v>258</v>
      </c>
      <c r="K1816">
        <v>8.1441187275914043E-3</v>
      </c>
      <c r="L1816" t="s">
        <v>168</v>
      </c>
    </row>
    <row r="1817" spans="9:12" x14ac:dyDescent="0.45">
      <c r="I1817" t="s">
        <v>196</v>
      </c>
      <c r="J1817" t="s">
        <v>171</v>
      </c>
      <c r="K1817">
        <v>2.1675885039369784E-2</v>
      </c>
      <c r="L1817" t="s">
        <v>168</v>
      </c>
    </row>
    <row r="1818" spans="9:12" x14ac:dyDescent="0.45">
      <c r="I1818" t="s">
        <v>196</v>
      </c>
      <c r="J1818" t="s">
        <v>172</v>
      </c>
      <c r="K1818">
        <v>2.5799606193885476E-2</v>
      </c>
      <c r="L1818" t="s">
        <v>168</v>
      </c>
    </row>
    <row r="1819" spans="9:12" x14ac:dyDescent="0.45">
      <c r="I1819" t="s">
        <v>196</v>
      </c>
      <c r="J1819" t="s">
        <v>173</v>
      </c>
      <c r="K1819">
        <v>3.358430801835758E-2</v>
      </c>
      <c r="L1819" t="s">
        <v>168</v>
      </c>
    </row>
    <row r="1820" spans="9:12" x14ac:dyDescent="0.45">
      <c r="I1820" t="s">
        <v>196</v>
      </c>
      <c r="J1820" t="s">
        <v>259</v>
      </c>
      <c r="K1820">
        <v>0.23764186685965052</v>
      </c>
      <c r="L1820" t="s">
        <v>168</v>
      </c>
    </row>
    <row r="1821" spans="9:12" x14ac:dyDescent="0.45">
      <c r="I1821" t="s">
        <v>196</v>
      </c>
      <c r="J1821" t="s">
        <v>260</v>
      </c>
      <c r="K1821">
        <v>3.2816452306396057E-2</v>
      </c>
      <c r="L1821" t="s">
        <v>168</v>
      </c>
    </row>
    <row r="1822" spans="9:12" x14ac:dyDescent="0.45">
      <c r="I1822" t="s">
        <v>196</v>
      </c>
      <c r="J1822" t="s">
        <v>261</v>
      </c>
      <c r="K1822">
        <v>5.42233595210765E-2</v>
      </c>
      <c r="L1822" t="s">
        <v>168</v>
      </c>
    </row>
    <row r="1823" spans="9:12" x14ac:dyDescent="0.45">
      <c r="I1823" t="s">
        <v>196</v>
      </c>
      <c r="J1823" t="s">
        <v>174</v>
      </c>
      <c r="K1823">
        <v>9.1793465776912574E-3</v>
      </c>
      <c r="L1823" t="s">
        <v>168</v>
      </c>
    </row>
    <row r="1824" spans="9:12" x14ac:dyDescent="0.45">
      <c r="I1824" t="s">
        <v>196</v>
      </c>
      <c r="J1824" t="s">
        <v>175</v>
      </c>
      <c r="K1824">
        <v>8.5867714782298012E-3</v>
      </c>
      <c r="L1824" t="s">
        <v>168</v>
      </c>
    </row>
    <row r="1825" spans="9:12" x14ac:dyDescent="0.45">
      <c r="I1825" t="s">
        <v>196</v>
      </c>
      <c r="J1825" t="s">
        <v>176</v>
      </c>
      <c r="K1825">
        <v>1.0349050121922948E-2</v>
      </c>
      <c r="L1825" t="s">
        <v>168</v>
      </c>
    </row>
    <row r="1826" spans="9:12" x14ac:dyDescent="0.45">
      <c r="I1826" t="s">
        <v>196</v>
      </c>
      <c r="J1826" t="s">
        <v>262</v>
      </c>
      <c r="K1826">
        <v>6.7134735431431281E-2</v>
      </c>
      <c r="L1826" t="s">
        <v>168</v>
      </c>
    </row>
    <row r="1827" spans="9:12" x14ac:dyDescent="0.45">
      <c r="I1827" t="s">
        <v>196</v>
      </c>
      <c r="J1827" t="s">
        <v>263</v>
      </c>
      <c r="K1827">
        <v>9.0745894759844091E-3</v>
      </c>
      <c r="L1827" t="s">
        <v>168</v>
      </c>
    </row>
    <row r="1828" spans="9:12" x14ac:dyDescent="0.45">
      <c r="I1828" t="s">
        <v>196</v>
      </c>
      <c r="J1828" t="s">
        <v>264</v>
      </c>
      <c r="K1828">
        <v>1.7666410685657649E-2</v>
      </c>
      <c r="L1828" t="s">
        <v>168</v>
      </c>
    </row>
    <row r="1829" spans="9:12" x14ac:dyDescent="0.45">
      <c r="I1829" t="s">
        <v>196</v>
      </c>
      <c r="J1829" t="s">
        <v>265</v>
      </c>
      <c r="K1829">
        <v>7.2762588684793196E-3</v>
      </c>
      <c r="L1829" t="s">
        <v>168</v>
      </c>
    </row>
    <row r="1830" spans="9:12" x14ac:dyDescent="0.45">
      <c r="I1830" t="s">
        <v>196</v>
      </c>
      <c r="J1830" t="s">
        <v>266</v>
      </c>
      <c r="K1830">
        <v>7.9430791143795289E-3</v>
      </c>
      <c r="L1830" t="s">
        <v>168</v>
      </c>
    </row>
    <row r="1831" spans="9:12" x14ac:dyDescent="0.45">
      <c r="I1831" t="s">
        <v>196</v>
      </c>
      <c r="J1831" t="s">
        <v>267</v>
      </c>
      <c r="K1831">
        <v>9.7842093903994093E-3</v>
      </c>
      <c r="L1831" t="s">
        <v>168</v>
      </c>
    </row>
    <row r="1832" spans="9:12" x14ac:dyDescent="0.45">
      <c r="I1832" t="s">
        <v>196</v>
      </c>
      <c r="J1832" t="s">
        <v>268</v>
      </c>
      <c r="K1832">
        <v>6.3964257768459654E-2</v>
      </c>
      <c r="L1832" t="s">
        <v>168</v>
      </c>
    </row>
    <row r="1833" spans="9:12" x14ac:dyDescent="0.45">
      <c r="I1833" t="s">
        <v>196</v>
      </c>
      <c r="J1833" t="s">
        <v>269</v>
      </c>
      <c r="K1833">
        <v>8.7997150894623989E-3</v>
      </c>
      <c r="L1833" t="s">
        <v>168</v>
      </c>
    </row>
    <row r="1834" spans="9:12" x14ac:dyDescent="0.45">
      <c r="I1834" t="s">
        <v>196</v>
      </c>
      <c r="J1834" t="s">
        <v>270</v>
      </c>
      <c r="K1834">
        <v>1.537986368219257E-2</v>
      </c>
      <c r="L1834" t="s">
        <v>168</v>
      </c>
    </row>
    <row r="1835" spans="9:12" x14ac:dyDescent="0.45">
      <c r="I1835" t="s">
        <v>196</v>
      </c>
      <c r="J1835" t="s">
        <v>271</v>
      </c>
      <c r="K1835">
        <v>3.2973161104026569E-3</v>
      </c>
      <c r="L1835" t="s">
        <v>168</v>
      </c>
    </row>
    <row r="1836" spans="9:12" x14ac:dyDescent="0.45">
      <c r="I1836" t="s">
        <v>196</v>
      </c>
      <c r="J1836" t="s">
        <v>272</v>
      </c>
      <c r="K1836">
        <v>5.8608089693268084E-3</v>
      </c>
      <c r="L1836" t="s">
        <v>168</v>
      </c>
    </row>
    <row r="1837" spans="9:12" x14ac:dyDescent="0.45">
      <c r="I1837" t="s">
        <v>196</v>
      </c>
      <c r="J1837" t="s">
        <v>273</v>
      </c>
      <c r="K1837">
        <v>7.9459378730481634E-3</v>
      </c>
      <c r="L1837" t="s">
        <v>168</v>
      </c>
    </row>
    <row r="1838" spans="9:12" x14ac:dyDescent="0.45">
      <c r="I1838" t="s">
        <v>196</v>
      </c>
      <c r="J1838" t="s">
        <v>274</v>
      </c>
      <c r="K1838">
        <v>5.435624732121893E-2</v>
      </c>
      <c r="L1838" t="s">
        <v>168</v>
      </c>
    </row>
    <row r="1839" spans="9:12" x14ac:dyDescent="0.45">
      <c r="I1839" t="s">
        <v>196</v>
      </c>
      <c r="J1839" t="s">
        <v>275</v>
      </c>
      <c r="K1839">
        <v>7.4585797387510203E-3</v>
      </c>
      <c r="L1839" t="s">
        <v>168</v>
      </c>
    </row>
    <row r="1840" spans="9:12" x14ac:dyDescent="0.45">
      <c r="I1840" t="s">
        <v>196</v>
      </c>
      <c r="J1840" t="s">
        <v>276</v>
      </c>
      <c r="K1840">
        <v>9.1963807473370712E-3</v>
      </c>
      <c r="L1840" t="s">
        <v>168</v>
      </c>
    </row>
    <row r="1841" spans="9:12" x14ac:dyDescent="0.45">
      <c r="I1841" t="s">
        <v>196</v>
      </c>
      <c r="J1841" t="s">
        <v>341</v>
      </c>
      <c r="K1841">
        <v>0</v>
      </c>
      <c r="L1841" t="s">
        <v>168</v>
      </c>
    </row>
    <row r="1842" spans="9:12" x14ac:dyDescent="0.45">
      <c r="I1842" t="s">
        <v>196</v>
      </c>
      <c r="J1842" t="s">
        <v>342</v>
      </c>
      <c r="K1842">
        <v>0</v>
      </c>
      <c r="L1842" t="s">
        <v>168</v>
      </c>
    </row>
    <row r="1843" spans="9:12" x14ac:dyDescent="0.45">
      <c r="I1843" t="s">
        <v>196</v>
      </c>
      <c r="J1843" t="s">
        <v>343</v>
      </c>
      <c r="K1843">
        <v>0</v>
      </c>
      <c r="L1843" t="s">
        <v>168</v>
      </c>
    </row>
    <row r="1844" spans="9:12" x14ac:dyDescent="0.45">
      <c r="I1844" t="s">
        <v>196</v>
      </c>
      <c r="J1844" t="s">
        <v>344</v>
      </c>
      <c r="K1844">
        <v>0</v>
      </c>
      <c r="L1844" t="s">
        <v>168</v>
      </c>
    </row>
    <row r="1845" spans="9:12" x14ac:dyDescent="0.45">
      <c r="I1845" t="s">
        <v>196</v>
      </c>
      <c r="J1845" t="s">
        <v>345</v>
      </c>
      <c r="K1845">
        <v>0</v>
      </c>
      <c r="L1845" t="s">
        <v>168</v>
      </c>
    </row>
    <row r="1846" spans="9:12" x14ac:dyDescent="0.45">
      <c r="I1846" t="s">
        <v>196</v>
      </c>
      <c r="J1846" t="s">
        <v>346</v>
      </c>
      <c r="K1846">
        <v>0</v>
      </c>
      <c r="L1846" t="s">
        <v>168</v>
      </c>
    </row>
    <row r="1847" spans="9:12" x14ac:dyDescent="0.45">
      <c r="I1847" t="s">
        <v>196</v>
      </c>
      <c r="J1847" t="s">
        <v>347</v>
      </c>
      <c r="K1847">
        <v>0</v>
      </c>
      <c r="L1847" t="s">
        <v>168</v>
      </c>
    </row>
    <row r="1848" spans="9:12" x14ac:dyDescent="0.45">
      <c r="I1848" t="s">
        <v>196</v>
      </c>
      <c r="J1848" t="s">
        <v>348</v>
      </c>
      <c r="K1848">
        <v>1.0977731152253997E-4</v>
      </c>
      <c r="L1848" t="s">
        <v>168</v>
      </c>
    </row>
    <row r="1849" spans="9:12" x14ac:dyDescent="0.45">
      <c r="I1849" t="s">
        <v>196</v>
      </c>
      <c r="J1849" t="s">
        <v>349</v>
      </c>
      <c r="K1849">
        <v>1.8495659945806368E-4</v>
      </c>
      <c r="L1849" t="s">
        <v>168</v>
      </c>
    </row>
    <row r="1850" spans="9:12" x14ac:dyDescent="0.45">
      <c r="I1850" t="s">
        <v>196</v>
      </c>
      <c r="J1850" t="s">
        <v>350</v>
      </c>
      <c r="K1850">
        <v>2.7104649082942598E-4</v>
      </c>
      <c r="L1850" t="s">
        <v>168</v>
      </c>
    </row>
    <row r="1851" spans="9:12" x14ac:dyDescent="0.45">
      <c r="I1851" t="s">
        <v>196</v>
      </c>
      <c r="J1851" t="s">
        <v>351</v>
      </c>
      <c r="K1851">
        <v>3.3449124966455636E-4</v>
      </c>
      <c r="L1851" t="s">
        <v>168</v>
      </c>
    </row>
    <row r="1852" spans="9:12" x14ac:dyDescent="0.45">
      <c r="I1852" t="s">
        <v>196</v>
      </c>
      <c r="J1852" t="s">
        <v>352</v>
      </c>
      <c r="K1852">
        <v>3.4931856835025428E-4</v>
      </c>
      <c r="L1852" t="s">
        <v>168</v>
      </c>
    </row>
    <row r="1853" spans="9:12" x14ac:dyDescent="0.45">
      <c r="I1853" t="s">
        <v>196</v>
      </c>
      <c r="J1853" t="s">
        <v>353</v>
      </c>
      <c r="K1853">
        <v>3.3423375913095669E-4</v>
      </c>
      <c r="L1853" t="s">
        <v>168</v>
      </c>
    </row>
    <row r="1854" spans="9:12" x14ac:dyDescent="0.45">
      <c r="I1854" t="s">
        <v>196</v>
      </c>
      <c r="J1854" t="s">
        <v>354</v>
      </c>
      <c r="K1854">
        <v>3.3662540150122404E-4</v>
      </c>
      <c r="L1854" t="s">
        <v>168</v>
      </c>
    </row>
    <row r="1855" spans="9:12" x14ac:dyDescent="0.45">
      <c r="I1855" t="s">
        <v>196</v>
      </c>
      <c r="J1855" t="s">
        <v>355</v>
      </c>
      <c r="K1855">
        <v>3.6347701817589814E-4</v>
      </c>
      <c r="L1855" t="s">
        <v>168</v>
      </c>
    </row>
    <row r="1856" spans="9:12" x14ac:dyDescent="0.45">
      <c r="I1856" t="s">
        <v>196</v>
      </c>
      <c r="J1856" t="s">
        <v>356</v>
      </c>
      <c r="K1856">
        <v>3.4771014431021557E-4</v>
      </c>
      <c r="L1856" t="s">
        <v>168</v>
      </c>
    </row>
    <row r="1857" spans="9:12" x14ac:dyDescent="0.45">
      <c r="I1857" t="s">
        <v>196</v>
      </c>
      <c r="J1857" t="s">
        <v>357</v>
      </c>
      <c r="K1857">
        <v>3.0839312590156572E-4</v>
      </c>
      <c r="L1857" t="s">
        <v>168</v>
      </c>
    </row>
    <row r="1858" spans="9:12" x14ac:dyDescent="0.45">
      <c r="I1858" t="s">
        <v>196</v>
      </c>
      <c r="J1858" t="s">
        <v>358</v>
      </c>
      <c r="K1858">
        <v>2.4658227623650737E-4</v>
      </c>
      <c r="L1858" t="s">
        <v>168</v>
      </c>
    </row>
    <row r="1859" spans="9:12" x14ac:dyDescent="0.45">
      <c r="I1859" t="s">
        <v>196</v>
      </c>
      <c r="J1859" t="s">
        <v>359</v>
      </c>
      <c r="K1859">
        <v>1.3990478846207273E-4</v>
      </c>
      <c r="L1859" t="s">
        <v>168</v>
      </c>
    </row>
    <row r="1860" spans="9:12" x14ac:dyDescent="0.45">
      <c r="I1860" t="s">
        <v>196</v>
      </c>
      <c r="J1860" t="s">
        <v>360</v>
      </c>
      <c r="K1860">
        <v>0</v>
      </c>
      <c r="L1860" t="s">
        <v>168</v>
      </c>
    </row>
    <row r="1861" spans="9:12" x14ac:dyDescent="0.45">
      <c r="I1861" t="s">
        <v>196</v>
      </c>
      <c r="J1861" t="s">
        <v>361</v>
      </c>
      <c r="K1861">
        <v>0</v>
      </c>
      <c r="L1861" t="s">
        <v>168</v>
      </c>
    </row>
    <row r="1862" spans="9:12" x14ac:dyDescent="0.45">
      <c r="I1862" t="s">
        <v>196</v>
      </c>
      <c r="J1862" t="s">
        <v>362</v>
      </c>
      <c r="K1862">
        <v>0</v>
      </c>
      <c r="L1862" t="s">
        <v>168</v>
      </c>
    </row>
    <row r="1863" spans="9:12" x14ac:dyDescent="0.45">
      <c r="I1863" t="s">
        <v>196</v>
      </c>
      <c r="J1863" t="s">
        <v>363</v>
      </c>
      <c r="K1863">
        <v>0</v>
      </c>
      <c r="L1863" t="s">
        <v>168</v>
      </c>
    </row>
    <row r="1864" spans="9:12" x14ac:dyDescent="0.45">
      <c r="I1864" t="s">
        <v>196</v>
      </c>
      <c r="J1864" t="s">
        <v>364</v>
      </c>
      <c r="K1864">
        <v>0</v>
      </c>
      <c r="L1864" t="s">
        <v>168</v>
      </c>
    </row>
    <row r="1865" spans="9:12" x14ac:dyDescent="0.45">
      <c r="I1865" t="s">
        <v>196</v>
      </c>
      <c r="J1865" t="s">
        <v>277</v>
      </c>
      <c r="K1865">
        <v>1.2177301089273751E-3</v>
      </c>
      <c r="L1865" t="s">
        <v>168</v>
      </c>
    </row>
    <row r="1866" spans="9:12" x14ac:dyDescent="0.45">
      <c r="I1866" t="s">
        <v>196</v>
      </c>
      <c r="J1866" t="s">
        <v>278</v>
      </c>
      <c r="K1866">
        <v>6.3077738253714067E-3</v>
      </c>
      <c r="L1866" t="s">
        <v>168</v>
      </c>
    </row>
    <row r="1867" spans="9:12" x14ac:dyDescent="0.45">
      <c r="I1867" t="s">
        <v>196</v>
      </c>
      <c r="J1867" t="s">
        <v>279</v>
      </c>
      <c r="K1867">
        <v>1.040484487697952E-2</v>
      </c>
      <c r="L1867" t="s">
        <v>168</v>
      </c>
    </row>
    <row r="1868" spans="9:12" x14ac:dyDescent="0.45">
      <c r="I1868" t="s">
        <v>196</v>
      </c>
      <c r="J1868" t="s">
        <v>280</v>
      </c>
      <c r="K1868">
        <v>8.0581354919832093E-2</v>
      </c>
      <c r="L1868" t="s">
        <v>168</v>
      </c>
    </row>
    <row r="1869" spans="9:12" x14ac:dyDescent="0.45">
      <c r="I1869" t="s">
        <v>196</v>
      </c>
      <c r="J1869" t="s">
        <v>281</v>
      </c>
      <c r="K1869">
        <v>9.9551610383091689E-3</v>
      </c>
      <c r="L1869" t="s">
        <v>168</v>
      </c>
    </row>
    <row r="1870" spans="9:12" x14ac:dyDescent="0.45">
      <c r="I1870" t="s">
        <v>196</v>
      </c>
      <c r="J1870" t="s">
        <v>282</v>
      </c>
      <c r="K1870">
        <v>5.8686974375826029E-3</v>
      </c>
      <c r="L1870" t="s">
        <v>168</v>
      </c>
    </row>
    <row r="1871" spans="9:12" x14ac:dyDescent="0.45">
      <c r="I1871" t="s">
        <v>196</v>
      </c>
      <c r="J1871" t="s">
        <v>283</v>
      </c>
      <c r="K1871">
        <v>0</v>
      </c>
      <c r="L1871" t="s">
        <v>168</v>
      </c>
    </row>
    <row r="1872" spans="9:12" x14ac:dyDescent="0.45">
      <c r="I1872" t="s">
        <v>196</v>
      </c>
      <c r="J1872" t="s">
        <v>284</v>
      </c>
      <c r="K1872">
        <v>6.0801898169563948E-4</v>
      </c>
      <c r="L1872" t="s">
        <v>168</v>
      </c>
    </row>
    <row r="1873" spans="9:12" x14ac:dyDescent="0.45">
      <c r="I1873" t="s">
        <v>196</v>
      </c>
      <c r="J1873" t="s">
        <v>285</v>
      </c>
      <c r="K1873">
        <v>3.7378034428417516E-3</v>
      </c>
      <c r="L1873" t="s">
        <v>168</v>
      </c>
    </row>
    <row r="1874" spans="9:12" x14ac:dyDescent="0.45">
      <c r="I1874" t="s">
        <v>196</v>
      </c>
      <c r="J1874" t="s">
        <v>286</v>
      </c>
      <c r="K1874">
        <v>3.597343559069402E-2</v>
      </c>
      <c r="L1874" t="s">
        <v>168</v>
      </c>
    </row>
    <row r="1875" spans="9:12" x14ac:dyDescent="0.45">
      <c r="I1875" t="s">
        <v>196</v>
      </c>
      <c r="J1875" t="s">
        <v>287</v>
      </c>
      <c r="K1875">
        <v>4.210660590764425E-3</v>
      </c>
      <c r="L1875" t="s">
        <v>168</v>
      </c>
    </row>
    <row r="1876" spans="9:12" x14ac:dyDescent="0.45">
      <c r="I1876" t="s">
        <v>196</v>
      </c>
      <c r="J1876" t="s">
        <v>288</v>
      </c>
      <c r="K1876">
        <v>4.6621283772971164E-4</v>
      </c>
      <c r="L1876" t="s">
        <v>168</v>
      </c>
    </row>
    <row r="1877" spans="9:12" x14ac:dyDescent="0.45">
      <c r="I1877" t="s">
        <v>196</v>
      </c>
      <c r="J1877" t="s">
        <v>365</v>
      </c>
      <c r="K1877">
        <v>0</v>
      </c>
      <c r="L1877" t="s">
        <v>168</v>
      </c>
    </row>
    <row r="1878" spans="9:12" x14ac:dyDescent="0.45">
      <c r="I1878" t="s">
        <v>196</v>
      </c>
      <c r="J1878" t="s">
        <v>366</v>
      </c>
      <c r="K1878">
        <v>0</v>
      </c>
      <c r="L1878" t="s">
        <v>168</v>
      </c>
    </row>
    <row r="1879" spans="9:12" x14ac:dyDescent="0.45">
      <c r="I1879" t="s">
        <v>196</v>
      </c>
      <c r="J1879" t="s">
        <v>367</v>
      </c>
      <c r="K1879">
        <v>0</v>
      </c>
      <c r="L1879" t="s">
        <v>168</v>
      </c>
    </row>
    <row r="1880" spans="9:12" x14ac:dyDescent="0.45">
      <c r="I1880" t="s">
        <v>196</v>
      </c>
      <c r="J1880" t="s">
        <v>368</v>
      </c>
      <c r="K1880">
        <v>0</v>
      </c>
      <c r="L1880" t="s">
        <v>168</v>
      </c>
    </row>
    <row r="1881" spans="9:12" x14ac:dyDescent="0.45">
      <c r="I1881" t="s">
        <v>196</v>
      </c>
      <c r="J1881" t="s">
        <v>369</v>
      </c>
      <c r="K1881">
        <v>0</v>
      </c>
      <c r="L1881" t="s">
        <v>168</v>
      </c>
    </row>
    <row r="1882" spans="9:12" x14ac:dyDescent="0.45">
      <c r="I1882" t="s">
        <v>196</v>
      </c>
      <c r="J1882" t="s">
        <v>370</v>
      </c>
      <c r="K1882">
        <v>0</v>
      </c>
      <c r="L1882" t="s">
        <v>168</v>
      </c>
    </row>
    <row r="1883" spans="9:12" x14ac:dyDescent="0.45">
      <c r="I1883" t="s">
        <v>196</v>
      </c>
      <c r="J1883" t="s">
        <v>371</v>
      </c>
      <c r="K1883">
        <v>0</v>
      </c>
      <c r="L1883" t="s">
        <v>168</v>
      </c>
    </row>
    <row r="1884" spans="9:12" x14ac:dyDescent="0.45">
      <c r="I1884" t="s">
        <v>196</v>
      </c>
      <c r="J1884" t="s">
        <v>372</v>
      </c>
      <c r="K1884">
        <v>0</v>
      </c>
      <c r="L1884" t="s">
        <v>168</v>
      </c>
    </row>
    <row r="1885" spans="9:12" x14ac:dyDescent="0.45">
      <c r="I1885" t="s">
        <v>196</v>
      </c>
      <c r="J1885" t="s">
        <v>373</v>
      </c>
      <c r="K1885">
        <v>1.7368524973251899E-5</v>
      </c>
      <c r="L1885" t="s">
        <v>168</v>
      </c>
    </row>
    <row r="1886" spans="9:12" x14ac:dyDescent="0.45">
      <c r="I1886" t="s">
        <v>196</v>
      </c>
      <c r="J1886" t="s">
        <v>374</v>
      </c>
      <c r="K1886">
        <v>1.1784770442956649E-4</v>
      </c>
      <c r="L1886" t="s">
        <v>168</v>
      </c>
    </row>
    <row r="1887" spans="9:12" x14ac:dyDescent="0.45">
      <c r="I1887" t="s">
        <v>196</v>
      </c>
      <c r="J1887" t="s">
        <v>375</v>
      </c>
      <c r="K1887">
        <v>2.0460972855357315E-4</v>
      </c>
      <c r="L1887" t="s">
        <v>168</v>
      </c>
    </row>
    <row r="1888" spans="9:12" x14ac:dyDescent="0.45">
      <c r="I1888" t="s">
        <v>196</v>
      </c>
      <c r="J1888" t="s">
        <v>376</v>
      </c>
      <c r="K1888">
        <v>2.0823482753229888E-4</v>
      </c>
      <c r="L1888" t="s">
        <v>168</v>
      </c>
    </row>
    <row r="1889" spans="9:12" x14ac:dyDescent="0.45">
      <c r="I1889" t="s">
        <v>196</v>
      </c>
      <c r="J1889" t="s">
        <v>377</v>
      </c>
      <c r="K1889">
        <v>1.868874381736979E-4</v>
      </c>
      <c r="L1889" t="s">
        <v>168</v>
      </c>
    </row>
    <row r="1890" spans="9:12" x14ac:dyDescent="0.45">
      <c r="I1890" t="s">
        <v>196</v>
      </c>
      <c r="J1890" t="s">
        <v>378</v>
      </c>
      <c r="K1890">
        <v>1.7447173691298673E-4</v>
      </c>
      <c r="L1890" t="s">
        <v>168</v>
      </c>
    </row>
    <row r="1891" spans="9:12" x14ac:dyDescent="0.45">
      <c r="I1891" t="s">
        <v>196</v>
      </c>
      <c r="J1891" t="s">
        <v>379</v>
      </c>
      <c r="K1891">
        <v>1.9262812433962573E-4</v>
      </c>
      <c r="L1891" t="s">
        <v>168</v>
      </c>
    </row>
    <row r="1892" spans="9:12" x14ac:dyDescent="0.45">
      <c r="I1892" t="s">
        <v>196</v>
      </c>
      <c r="J1892" t="s">
        <v>380</v>
      </c>
      <c r="K1892">
        <v>1.7329869436043482E-4</v>
      </c>
      <c r="L1892" t="s">
        <v>168</v>
      </c>
    </row>
    <row r="1893" spans="9:12" x14ac:dyDescent="0.45">
      <c r="I1893" t="s">
        <v>196</v>
      </c>
      <c r="J1893" t="s">
        <v>381</v>
      </c>
      <c r="K1893">
        <v>1.1081222351173728E-4</v>
      </c>
      <c r="L1893" t="s">
        <v>168</v>
      </c>
    </row>
    <row r="1894" spans="9:12" x14ac:dyDescent="0.45">
      <c r="I1894" t="s">
        <v>196</v>
      </c>
      <c r="J1894" t="s">
        <v>382</v>
      </c>
      <c r="K1894">
        <v>3.1626045784140918E-6</v>
      </c>
      <c r="L1894" t="s">
        <v>168</v>
      </c>
    </row>
    <row r="1895" spans="9:12" x14ac:dyDescent="0.45">
      <c r="I1895" t="s">
        <v>196</v>
      </c>
      <c r="J1895" t="s">
        <v>383</v>
      </c>
      <c r="K1895">
        <v>0</v>
      </c>
      <c r="L1895" t="s">
        <v>168</v>
      </c>
    </row>
    <row r="1896" spans="9:12" x14ac:dyDescent="0.45">
      <c r="I1896" t="s">
        <v>196</v>
      </c>
      <c r="J1896" t="s">
        <v>384</v>
      </c>
      <c r="K1896">
        <v>0</v>
      </c>
      <c r="L1896" t="s">
        <v>168</v>
      </c>
    </row>
    <row r="1897" spans="9:12" x14ac:dyDescent="0.45">
      <c r="I1897" t="s">
        <v>196</v>
      </c>
      <c r="J1897" t="s">
        <v>385</v>
      </c>
      <c r="K1897">
        <v>0</v>
      </c>
      <c r="L1897" t="s">
        <v>168</v>
      </c>
    </row>
    <row r="1898" spans="9:12" x14ac:dyDescent="0.45">
      <c r="I1898" t="s">
        <v>196</v>
      </c>
      <c r="J1898" t="s">
        <v>386</v>
      </c>
      <c r="K1898">
        <v>0</v>
      </c>
      <c r="L1898" t="s">
        <v>168</v>
      </c>
    </row>
    <row r="1899" spans="9:12" x14ac:dyDescent="0.45">
      <c r="I1899" t="s">
        <v>196</v>
      </c>
      <c r="J1899" t="s">
        <v>387</v>
      </c>
      <c r="K1899">
        <v>0</v>
      </c>
      <c r="L1899" t="s">
        <v>168</v>
      </c>
    </row>
    <row r="1900" spans="9:12" x14ac:dyDescent="0.45">
      <c r="I1900" t="s">
        <v>196</v>
      </c>
      <c r="J1900" t="s">
        <v>388</v>
      </c>
      <c r="K1900">
        <v>0</v>
      </c>
      <c r="L1900" t="s">
        <v>168</v>
      </c>
    </row>
    <row r="1901" spans="9:12" x14ac:dyDescent="0.45">
      <c r="I1901" t="s">
        <v>197</v>
      </c>
      <c r="J1901" t="s">
        <v>167</v>
      </c>
      <c r="K1901">
        <v>0</v>
      </c>
      <c r="L1901" t="s">
        <v>168</v>
      </c>
    </row>
    <row r="1902" spans="9:12" x14ac:dyDescent="0.45">
      <c r="I1902" t="s">
        <v>197</v>
      </c>
      <c r="J1902" t="s">
        <v>169</v>
      </c>
      <c r="K1902">
        <v>1.9171321207941993E-3</v>
      </c>
      <c r="L1902" t="s">
        <v>168</v>
      </c>
    </row>
    <row r="1903" spans="9:12" x14ac:dyDescent="0.45">
      <c r="I1903" t="s">
        <v>197</v>
      </c>
      <c r="J1903" t="s">
        <v>170</v>
      </c>
      <c r="K1903">
        <v>6.5024289771834134E-3</v>
      </c>
      <c r="L1903" t="s">
        <v>168</v>
      </c>
    </row>
    <row r="1904" spans="9:12" x14ac:dyDescent="0.45">
      <c r="I1904" t="s">
        <v>197</v>
      </c>
      <c r="J1904" t="s">
        <v>256</v>
      </c>
      <c r="K1904">
        <v>6.8861328774678571E-2</v>
      </c>
      <c r="L1904" t="s">
        <v>168</v>
      </c>
    </row>
    <row r="1905" spans="9:12" x14ac:dyDescent="0.45">
      <c r="I1905" t="s">
        <v>197</v>
      </c>
      <c r="J1905" t="s">
        <v>257</v>
      </c>
      <c r="K1905">
        <v>9.6408208063393126E-3</v>
      </c>
      <c r="L1905" t="s">
        <v>168</v>
      </c>
    </row>
    <row r="1906" spans="9:12" x14ac:dyDescent="0.45">
      <c r="I1906" t="s">
        <v>197</v>
      </c>
      <c r="J1906" t="s">
        <v>258</v>
      </c>
      <c r="K1906">
        <v>7.280278471221013E-3</v>
      </c>
      <c r="L1906" t="s">
        <v>168</v>
      </c>
    </row>
    <row r="1907" spans="9:12" x14ac:dyDescent="0.45">
      <c r="I1907" t="s">
        <v>197</v>
      </c>
      <c r="J1907" t="s">
        <v>171</v>
      </c>
      <c r="K1907">
        <v>2.1638473208376495E-2</v>
      </c>
      <c r="L1907" t="s">
        <v>168</v>
      </c>
    </row>
    <row r="1908" spans="9:12" x14ac:dyDescent="0.45">
      <c r="I1908" t="s">
        <v>197</v>
      </c>
      <c r="J1908" t="s">
        <v>172</v>
      </c>
      <c r="K1908">
        <v>2.4993834229360596E-2</v>
      </c>
      <c r="L1908" t="s">
        <v>168</v>
      </c>
    </row>
    <row r="1909" spans="9:12" x14ac:dyDescent="0.45">
      <c r="I1909" t="s">
        <v>197</v>
      </c>
      <c r="J1909" t="s">
        <v>173</v>
      </c>
      <c r="K1909">
        <v>3.2433869470714249E-2</v>
      </c>
      <c r="L1909" t="s">
        <v>168</v>
      </c>
    </row>
    <row r="1910" spans="9:12" x14ac:dyDescent="0.45">
      <c r="I1910" t="s">
        <v>197</v>
      </c>
      <c r="J1910" t="s">
        <v>259</v>
      </c>
      <c r="K1910">
        <v>0.23862513758044462</v>
      </c>
      <c r="L1910" t="s">
        <v>168</v>
      </c>
    </row>
    <row r="1911" spans="9:12" x14ac:dyDescent="0.45">
      <c r="I1911" t="s">
        <v>197</v>
      </c>
      <c r="J1911" t="s">
        <v>260</v>
      </c>
      <c r="K1911">
        <v>3.3982883299019551E-2</v>
      </c>
      <c r="L1911" t="s">
        <v>168</v>
      </c>
    </row>
    <row r="1912" spans="9:12" x14ac:dyDescent="0.45">
      <c r="I1912" t="s">
        <v>197</v>
      </c>
      <c r="J1912" t="s">
        <v>261</v>
      </c>
      <c r="K1912">
        <v>5.8756047278047278E-2</v>
      </c>
      <c r="L1912" t="s">
        <v>168</v>
      </c>
    </row>
    <row r="1913" spans="9:12" x14ac:dyDescent="0.45">
      <c r="I1913" t="s">
        <v>197</v>
      </c>
      <c r="J1913" t="s">
        <v>174</v>
      </c>
      <c r="K1913">
        <v>9.5117975571419253E-3</v>
      </c>
      <c r="L1913" t="s">
        <v>168</v>
      </c>
    </row>
    <row r="1914" spans="9:12" x14ac:dyDescent="0.45">
      <c r="I1914" t="s">
        <v>197</v>
      </c>
      <c r="J1914" t="s">
        <v>175</v>
      </c>
      <c r="K1914">
        <v>8.9368608383006212E-3</v>
      </c>
      <c r="L1914" t="s">
        <v>168</v>
      </c>
    </row>
    <row r="1915" spans="9:12" x14ac:dyDescent="0.45">
      <c r="I1915" t="s">
        <v>197</v>
      </c>
      <c r="J1915" t="s">
        <v>176</v>
      </c>
      <c r="K1915">
        <v>1.0685028952724029E-2</v>
      </c>
      <c r="L1915" t="s">
        <v>168</v>
      </c>
    </row>
    <row r="1916" spans="9:12" x14ac:dyDescent="0.45">
      <c r="I1916" t="s">
        <v>197</v>
      </c>
      <c r="J1916" t="s">
        <v>262</v>
      </c>
      <c r="K1916">
        <v>7.2702312370253985E-2</v>
      </c>
      <c r="L1916" t="s">
        <v>168</v>
      </c>
    </row>
    <row r="1917" spans="9:12" x14ac:dyDescent="0.45">
      <c r="I1917" t="s">
        <v>197</v>
      </c>
      <c r="J1917" t="s">
        <v>263</v>
      </c>
      <c r="K1917">
        <v>1.1038609273806533E-2</v>
      </c>
      <c r="L1917" t="s">
        <v>168</v>
      </c>
    </row>
    <row r="1918" spans="9:12" x14ac:dyDescent="0.45">
      <c r="I1918" t="s">
        <v>197</v>
      </c>
      <c r="J1918" t="s">
        <v>264</v>
      </c>
      <c r="K1918">
        <v>2.3290474223792487E-2</v>
      </c>
      <c r="L1918" t="s">
        <v>168</v>
      </c>
    </row>
    <row r="1919" spans="9:12" x14ac:dyDescent="0.45">
      <c r="I1919" t="s">
        <v>197</v>
      </c>
      <c r="J1919" t="s">
        <v>265</v>
      </c>
      <c r="K1919">
        <v>7.4307943272386061E-3</v>
      </c>
      <c r="L1919" t="s">
        <v>168</v>
      </c>
    </row>
    <row r="1920" spans="9:12" x14ac:dyDescent="0.45">
      <c r="I1920" t="s">
        <v>197</v>
      </c>
      <c r="J1920" t="s">
        <v>266</v>
      </c>
      <c r="K1920">
        <v>8.2150939507975706E-3</v>
      </c>
      <c r="L1920" t="s">
        <v>168</v>
      </c>
    </row>
    <row r="1921" spans="9:12" x14ac:dyDescent="0.45">
      <c r="I1921" t="s">
        <v>197</v>
      </c>
      <c r="J1921" t="s">
        <v>267</v>
      </c>
      <c r="K1921">
        <v>9.9440618735695038E-3</v>
      </c>
      <c r="L1921" t="s">
        <v>168</v>
      </c>
    </row>
    <row r="1922" spans="9:12" x14ac:dyDescent="0.45">
      <c r="I1922" t="s">
        <v>197</v>
      </c>
      <c r="J1922" t="s">
        <v>268</v>
      </c>
      <c r="K1922">
        <v>6.8992204120674902E-2</v>
      </c>
      <c r="L1922" t="s">
        <v>168</v>
      </c>
    </row>
    <row r="1923" spans="9:12" x14ac:dyDescent="0.45">
      <c r="I1923" t="s">
        <v>197</v>
      </c>
      <c r="J1923" t="s">
        <v>269</v>
      </c>
      <c r="K1923">
        <v>1.0931657494399069E-2</v>
      </c>
      <c r="L1923" t="s">
        <v>168</v>
      </c>
    </row>
    <row r="1924" spans="9:12" x14ac:dyDescent="0.45">
      <c r="I1924" t="s">
        <v>197</v>
      </c>
      <c r="J1924" t="s">
        <v>270</v>
      </c>
      <c r="K1924">
        <v>2.0610360378452659E-2</v>
      </c>
      <c r="L1924" t="s">
        <v>168</v>
      </c>
    </row>
    <row r="1925" spans="9:12" x14ac:dyDescent="0.45">
      <c r="I1925" t="s">
        <v>197</v>
      </c>
      <c r="J1925" t="s">
        <v>271</v>
      </c>
      <c r="K1925">
        <v>3.2975994625378488E-3</v>
      </c>
      <c r="L1925" t="s">
        <v>168</v>
      </c>
    </row>
    <row r="1926" spans="9:12" x14ac:dyDescent="0.45">
      <c r="I1926" t="s">
        <v>197</v>
      </c>
      <c r="J1926" t="s">
        <v>272</v>
      </c>
      <c r="K1926">
        <v>5.7760810464764379E-3</v>
      </c>
      <c r="L1926" t="s">
        <v>168</v>
      </c>
    </row>
    <row r="1927" spans="9:12" x14ac:dyDescent="0.45">
      <c r="I1927" t="s">
        <v>197</v>
      </c>
      <c r="J1927" t="s">
        <v>273</v>
      </c>
      <c r="K1927">
        <v>7.9730712753835319E-3</v>
      </c>
      <c r="L1927" t="s">
        <v>168</v>
      </c>
    </row>
    <row r="1928" spans="9:12" x14ac:dyDescent="0.45">
      <c r="I1928" t="s">
        <v>197</v>
      </c>
      <c r="J1928" t="s">
        <v>274</v>
      </c>
      <c r="K1928">
        <v>5.5292025152052046E-2</v>
      </c>
      <c r="L1928" t="s">
        <v>168</v>
      </c>
    </row>
    <row r="1929" spans="9:12" x14ac:dyDescent="0.45">
      <c r="I1929" t="s">
        <v>197</v>
      </c>
      <c r="J1929" t="s">
        <v>275</v>
      </c>
      <c r="K1929">
        <v>7.8807475746800887E-3</v>
      </c>
      <c r="L1929" t="s">
        <v>168</v>
      </c>
    </row>
    <row r="1930" spans="9:12" x14ac:dyDescent="0.45">
      <c r="I1930" t="s">
        <v>197</v>
      </c>
      <c r="J1930" t="s">
        <v>276</v>
      </c>
      <c r="K1930">
        <v>1.059535036012341E-2</v>
      </c>
      <c r="L1930" t="s">
        <v>168</v>
      </c>
    </row>
    <row r="1931" spans="9:12" x14ac:dyDescent="0.45">
      <c r="I1931" t="s">
        <v>197</v>
      </c>
      <c r="J1931" t="s">
        <v>341</v>
      </c>
      <c r="K1931">
        <v>0</v>
      </c>
      <c r="L1931" t="s">
        <v>168</v>
      </c>
    </row>
    <row r="1932" spans="9:12" x14ac:dyDescent="0.45">
      <c r="I1932" t="s">
        <v>197</v>
      </c>
      <c r="J1932" t="s">
        <v>342</v>
      </c>
      <c r="K1932">
        <v>0</v>
      </c>
      <c r="L1932" t="s">
        <v>168</v>
      </c>
    </row>
    <row r="1933" spans="9:12" x14ac:dyDescent="0.45">
      <c r="I1933" t="s">
        <v>197</v>
      </c>
      <c r="J1933" t="s">
        <v>343</v>
      </c>
      <c r="K1933">
        <v>0</v>
      </c>
      <c r="L1933" t="s">
        <v>168</v>
      </c>
    </row>
    <row r="1934" spans="9:12" x14ac:dyDescent="0.45">
      <c r="I1934" t="s">
        <v>197</v>
      </c>
      <c r="J1934" t="s">
        <v>344</v>
      </c>
      <c r="K1934">
        <v>0</v>
      </c>
      <c r="L1934" t="s">
        <v>168</v>
      </c>
    </row>
    <row r="1935" spans="9:12" x14ac:dyDescent="0.45">
      <c r="I1935" t="s">
        <v>197</v>
      </c>
      <c r="J1935" t="s">
        <v>345</v>
      </c>
      <c r="K1935">
        <v>0</v>
      </c>
      <c r="L1935" t="s">
        <v>168</v>
      </c>
    </row>
    <row r="1936" spans="9:12" x14ac:dyDescent="0.45">
      <c r="I1936" t="s">
        <v>197</v>
      </c>
      <c r="J1936" t="s">
        <v>346</v>
      </c>
      <c r="K1936">
        <v>0</v>
      </c>
      <c r="L1936" t="s">
        <v>168</v>
      </c>
    </row>
    <row r="1937" spans="9:12" x14ac:dyDescent="0.45">
      <c r="I1937" t="s">
        <v>197</v>
      </c>
      <c r="J1937" t="s">
        <v>347</v>
      </c>
      <c r="K1937">
        <v>0</v>
      </c>
      <c r="L1937" t="s">
        <v>168</v>
      </c>
    </row>
    <row r="1938" spans="9:12" x14ac:dyDescent="0.45">
      <c r="I1938" t="s">
        <v>197</v>
      </c>
      <c r="J1938" t="s">
        <v>348</v>
      </c>
      <c r="K1938">
        <v>1.1910450740301522E-4</v>
      </c>
      <c r="L1938" t="s">
        <v>168</v>
      </c>
    </row>
    <row r="1939" spans="9:12" x14ac:dyDescent="0.45">
      <c r="I1939" t="s">
        <v>197</v>
      </c>
      <c r="J1939" t="s">
        <v>349</v>
      </c>
      <c r="K1939">
        <v>2.2749916855655113E-4</v>
      </c>
      <c r="L1939" t="s">
        <v>168</v>
      </c>
    </row>
    <row r="1940" spans="9:12" x14ac:dyDescent="0.45">
      <c r="I1940" t="s">
        <v>197</v>
      </c>
      <c r="J1940" t="s">
        <v>350</v>
      </c>
      <c r="K1940">
        <v>3.2349492483932997E-4</v>
      </c>
      <c r="L1940" t="s">
        <v>168</v>
      </c>
    </row>
    <row r="1941" spans="9:12" x14ac:dyDescent="0.45">
      <c r="I1941" t="s">
        <v>197</v>
      </c>
      <c r="J1941" t="s">
        <v>351</v>
      </c>
      <c r="K1941">
        <v>3.7960585815207342E-4</v>
      </c>
      <c r="L1941" t="s">
        <v>168</v>
      </c>
    </row>
    <row r="1942" spans="9:12" x14ac:dyDescent="0.45">
      <c r="I1942" t="s">
        <v>197</v>
      </c>
      <c r="J1942" t="s">
        <v>352</v>
      </c>
      <c r="K1942">
        <v>3.8154534451740208E-4</v>
      </c>
      <c r="L1942" t="s">
        <v>168</v>
      </c>
    </row>
    <row r="1943" spans="9:12" x14ac:dyDescent="0.45">
      <c r="I1943" t="s">
        <v>197</v>
      </c>
      <c r="J1943" t="s">
        <v>353</v>
      </c>
      <c r="K1943">
        <v>3.5467017120094667E-4</v>
      </c>
      <c r="L1943" t="s">
        <v>168</v>
      </c>
    </row>
    <row r="1944" spans="9:12" x14ac:dyDescent="0.45">
      <c r="I1944" t="s">
        <v>197</v>
      </c>
      <c r="J1944" t="s">
        <v>354</v>
      </c>
      <c r="K1944">
        <v>3.4474658085000123E-4</v>
      </c>
      <c r="L1944" t="s">
        <v>168</v>
      </c>
    </row>
    <row r="1945" spans="9:12" x14ac:dyDescent="0.45">
      <c r="I1945" t="s">
        <v>197</v>
      </c>
      <c r="J1945" t="s">
        <v>355</v>
      </c>
      <c r="K1945">
        <v>3.7554040807954775E-4</v>
      </c>
      <c r="L1945" t="s">
        <v>168</v>
      </c>
    </row>
    <row r="1946" spans="9:12" x14ac:dyDescent="0.45">
      <c r="I1946" t="s">
        <v>197</v>
      </c>
      <c r="J1946" t="s">
        <v>356</v>
      </c>
      <c r="K1946">
        <v>3.6951237136239001E-4</v>
      </c>
      <c r="L1946" t="s">
        <v>168</v>
      </c>
    </row>
    <row r="1947" spans="9:12" x14ac:dyDescent="0.45">
      <c r="I1947" t="s">
        <v>197</v>
      </c>
      <c r="J1947" t="s">
        <v>357</v>
      </c>
      <c r="K1947">
        <v>3.4398350400132013E-4</v>
      </c>
      <c r="L1947" t="s">
        <v>168</v>
      </c>
    </row>
    <row r="1948" spans="9:12" x14ac:dyDescent="0.45">
      <c r="I1948" t="s">
        <v>197</v>
      </c>
      <c r="J1948" t="s">
        <v>358</v>
      </c>
      <c r="K1948">
        <v>2.6400337613286098E-4</v>
      </c>
      <c r="L1948" t="s">
        <v>168</v>
      </c>
    </row>
    <row r="1949" spans="9:12" x14ac:dyDescent="0.45">
      <c r="I1949" t="s">
        <v>197</v>
      </c>
      <c r="J1949" t="s">
        <v>359</v>
      </c>
      <c r="K1949">
        <v>1.5884927834539607E-4</v>
      </c>
      <c r="L1949" t="s">
        <v>168</v>
      </c>
    </row>
    <row r="1950" spans="9:12" x14ac:dyDescent="0.45">
      <c r="I1950" t="s">
        <v>197</v>
      </c>
      <c r="J1950" t="s">
        <v>360</v>
      </c>
      <c r="K1950">
        <v>0</v>
      </c>
      <c r="L1950" t="s">
        <v>168</v>
      </c>
    </row>
    <row r="1951" spans="9:12" x14ac:dyDescent="0.45">
      <c r="I1951" t="s">
        <v>197</v>
      </c>
      <c r="J1951" t="s">
        <v>361</v>
      </c>
      <c r="K1951">
        <v>0</v>
      </c>
      <c r="L1951" t="s">
        <v>168</v>
      </c>
    </row>
    <row r="1952" spans="9:12" x14ac:dyDescent="0.45">
      <c r="I1952" t="s">
        <v>197</v>
      </c>
      <c r="J1952" t="s">
        <v>362</v>
      </c>
      <c r="K1952">
        <v>0</v>
      </c>
      <c r="L1952" t="s">
        <v>168</v>
      </c>
    </row>
    <row r="1953" spans="9:12" x14ac:dyDescent="0.45">
      <c r="I1953" t="s">
        <v>197</v>
      </c>
      <c r="J1953" t="s">
        <v>363</v>
      </c>
      <c r="K1953">
        <v>0</v>
      </c>
      <c r="L1953" t="s">
        <v>168</v>
      </c>
    </row>
    <row r="1954" spans="9:12" x14ac:dyDescent="0.45">
      <c r="I1954" t="s">
        <v>197</v>
      </c>
      <c r="J1954" t="s">
        <v>364</v>
      </c>
      <c r="K1954">
        <v>0</v>
      </c>
      <c r="L1954" t="s">
        <v>168</v>
      </c>
    </row>
    <row r="1955" spans="9:12" x14ac:dyDescent="0.45">
      <c r="I1955" t="s">
        <v>197</v>
      </c>
      <c r="J1955" t="s">
        <v>277</v>
      </c>
      <c r="K1955">
        <v>3.3046745766245002E-4</v>
      </c>
      <c r="L1955" t="s">
        <v>168</v>
      </c>
    </row>
    <row r="1956" spans="9:12" x14ac:dyDescent="0.45">
      <c r="I1956" t="s">
        <v>197</v>
      </c>
      <c r="J1956" t="s">
        <v>278</v>
      </c>
      <c r="K1956">
        <v>3.9701101331099725E-3</v>
      </c>
      <c r="L1956" t="s">
        <v>168</v>
      </c>
    </row>
    <row r="1957" spans="9:12" x14ac:dyDescent="0.45">
      <c r="I1957" t="s">
        <v>197</v>
      </c>
      <c r="J1957" t="s">
        <v>279</v>
      </c>
      <c r="K1957">
        <v>7.9924265206941861E-3</v>
      </c>
      <c r="L1957" t="s">
        <v>168</v>
      </c>
    </row>
    <row r="1958" spans="9:12" x14ac:dyDescent="0.45">
      <c r="I1958" t="s">
        <v>197</v>
      </c>
      <c r="J1958" t="s">
        <v>280</v>
      </c>
      <c r="K1958">
        <v>6.9335193959880581E-2</v>
      </c>
      <c r="L1958" t="s">
        <v>168</v>
      </c>
    </row>
    <row r="1959" spans="9:12" x14ac:dyDescent="0.45">
      <c r="I1959" t="s">
        <v>197</v>
      </c>
      <c r="J1959" t="s">
        <v>281</v>
      </c>
      <c r="K1959">
        <v>8.6643278877686445E-3</v>
      </c>
      <c r="L1959" t="s">
        <v>168</v>
      </c>
    </row>
    <row r="1960" spans="9:12" x14ac:dyDescent="0.45">
      <c r="I1960" t="s">
        <v>197</v>
      </c>
      <c r="J1960" t="s">
        <v>282</v>
      </c>
      <c r="K1960">
        <v>4.8971438788952973E-3</v>
      </c>
      <c r="L1960" t="s">
        <v>168</v>
      </c>
    </row>
    <row r="1961" spans="9:12" x14ac:dyDescent="0.45">
      <c r="I1961" t="s">
        <v>197</v>
      </c>
      <c r="J1961" t="s">
        <v>283</v>
      </c>
      <c r="K1961">
        <v>0</v>
      </c>
      <c r="L1961" t="s">
        <v>168</v>
      </c>
    </row>
    <row r="1962" spans="9:12" x14ac:dyDescent="0.45">
      <c r="I1962" t="s">
        <v>197</v>
      </c>
      <c r="J1962" t="s">
        <v>284</v>
      </c>
      <c r="K1962">
        <v>0</v>
      </c>
      <c r="L1962" t="s">
        <v>168</v>
      </c>
    </row>
    <row r="1963" spans="9:12" x14ac:dyDescent="0.45">
      <c r="I1963" t="s">
        <v>197</v>
      </c>
      <c r="J1963" t="s">
        <v>285</v>
      </c>
      <c r="K1963">
        <v>3.1158830987524666E-3</v>
      </c>
      <c r="L1963" t="s">
        <v>168</v>
      </c>
    </row>
    <row r="1964" spans="9:12" x14ac:dyDescent="0.45">
      <c r="I1964" t="s">
        <v>197</v>
      </c>
      <c r="J1964" t="s">
        <v>286</v>
      </c>
      <c r="K1964">
        <v>3.4386624491812075E-2</v>
      </c>
      <c r="L1964" t="s">
        <v>168</v>
      </c>
    </row>
    <row r="1965" spans="9:12" x14ac:dyDescent="0.45">
      <c r="I1965" t="s">
        <v>197</v>
      </c>
      <c r="J1965" t="s">
        <v>287</v>
      </c>
      <c r="K1965">
        <v>4.4595685530614149E-3</v>
      </c>
      <c r="L1965" t="s">
        <v>168</v>
      </c>
    </row>
    <row r="1966" spans="9:12" x14ac:dyDescent="0.45">
      <c r="I1966" t="s">
        <v>197</v>
      </c>
      <c r="J1966" t="s">
        <v>288</v>
      </c>
      <c r="K1966">
        <v>3.3877959355165534E-5</v>
      </c>
      <c r="L1966" t="s">
        <v>168</v>
      </c>
    </row>
    <row r="1967" spans="9:12" x14ac:dyDescent="0.45">
      <c r="I1967" t="s">
        <v>197</v>
      </c>
      <c r="J1967" t="s">
        <v>365</v>
      </c>
      <c r="K1967">
        <v>0</v>
      </c>
      <c r="L1967" t="s">
        <v>168</v>
      </c>
    </row>
    <row r="1968" spans="9:12" x14ac:dyDescent="0.45">
      <c r="I1968" t="s">
        <v>197</v>
      </c>
      <c r="J1968" t="s">
        <v>366</v>
      </c>
      <c r="K1968">
        <v>0</v>
      </c>
      <c r="L1968" t="s">
        <v>168</v>
      </c>
    </row>
    <row r="1969" spans="9:12" x14ac:dyDescent="0.45">
      <c r="I1969" t="s">
        <v>197</v>
      </c>
      <c r="J1969" t="s">
        <v>367</v>
      </c>
      <c r="K1969">
        <v>0</v>
      </c>
      <c r="L1969" t="s">
        <v>168</v>
      </c>
    </row>
    <row r="1970" spans="9:12" x14ac:dyDescent="0.45">
      <c r="I1970" t="s">
        <v>197</v>
      </c>
      <c r="J1970" t="s">
        <v>368</v>
      </c>
      <c r="K1970">
        <v>0</v>
      </c>
      <c r="L1970" t="s">
        <v>168</v>
      </c>
    </row>
    <row r="1971" spans="9:12" x14ac:dyDescent="0.45">
      <c r="I1971" t="s">
        <v>197</v>
      </c>
      <c r="J1971" t="s">
        <v>369</v>
      </c>
      <c r="K1971">
        <v>0</v>
      </c>
      <c r="L1971" t="s">
        <v>168</v>
      </c>
    </row>
    <row r="1972" spans="9:12" x14ac:dyDescent="0.45">
      <c r="I1972" t="s">
        <v>197</v>
      </c>
      <c r="J1972" t="s">
        <v>370</v>
      </c>
      <c r="K1972">
        <v>0</v>
      </c>
      <c r="L1972" t="s">
        <v>168</v>
      </c>
    </row>
    <row r="1973" spans="9:12" x14ac:dyDescent="0.45">
      <c r="I1973" t="s">
        <v>197</v>
      </c>
      <c r="J1973" t="s">
        <v>371</v>
      </c>
      <c r="K1973">
        <v>0</v>
      </c>
      <c r="L1973" t="s">
        <v>168</v>
      </c>
    </row>
    <row r="1974" spans="9:12" x14ac:dyDescent="0.45">
      <c r="I1974" t="s">
        <v>197</v>
      </c>
      <c r="J1974" t="s">
        <v>372</v>
      </c>
      <c r="K1974">
        <v>0</v>
      </c>
      <c r="L1974" t="s">
        <v>168</v>
      </c>
    </row>
    <row r="1975" spans="9:12" x14ac:dyDescent="0.45">
      <c r="I1975" t="s">
        <v>197</v>
      </c>
      <c r="J1975" t="s">
        <v>373</v>
      </c>
      <c r="K1975">
        <v>0</v>
      </c>
      <c r="L1975" t="s">
        <v>168</v>
      </c>
    </row>
    <row r="1976" spans="9:12" x14ac:dyDescent="0.45">
      <c r="I1976" t="s">
        <v>197</v>
      </c>
      <c r="J1976" t="s">
        <v>374</v>
      </c>
      <c r="K1976">
        <v>3.2803816258772038E-5</v>
      </c>
      <c r="L1976" t="s">
        <v>168</v>
      </c>
    </row>
    <row r="1977" spans="9:12" x14ac:dyDescent="0.45">
      <c r="I1977" t="s">
        <v>197</v>
      </c>
      <c r="J1977" t="s">
        <v>375</v>
      </c>
      <c r="K1977">
        <v>1.1305695054139808E-4</v>
      </c>
      <c r="L1977" t="s">
        <v>168</v>
      </c>
    </row>
    <row r="1978" spans="9:12" x14ac:dyDescent="0.45">
      <c r="I1978" t="s">
        <v>197</v>
      </c>
      <c r="J1978" t="s">
        <v>376</v>
      </c>
      <c r="K1978">
        <v>1.9049451995736434E-4</v>
      </c>
      <c r="L1978" t="s">
        <v>168</v>
      </c>
    </row>
    <row r="1979" spans="9:12" x14ac:dyDescent="0.45">
      <c r="I1979" t="s">
        <v>197</v>
      </c>
      <c r="J1979" t="s">
        <v>377</v>
      </c>
      <c r="K1979">
        <v>2.1006182584537231E-4</v>
      </c>
      <c r="L1979" t="s">
        <v>168</v>
      </c>
    </row>
    <row r="1980" spans="9:12" x14ac:dyDescent="0.45">
      <c r="I1980" t="s">
        <v>197</v>
      </c>
      <c r="J1980" t="s">
        <v>378</v>
      </c>
      <c r="K1980">
        <v>2.1279615631795485E-4</v>
      </c>
      <c r="L1980" t="s">
        <v>168</v>
      </c>
    </row>
    <row r="1981" spans="9:12" x14ac:dyDescent="0.45">
      <c r="I1981" t="s">
        <v>197</v>
      </c>
      <c r="J1981" t="s">
        <v>379</v>
      </c>
      <c r="K1981">
        <v>2.6998587195733862E-4</v>
      </c>
      <c r="L1981" t="s">
        <v>168</v>
      </c>
    </row>
    <row r="1982" spans="9:12" x14ac:dyDescent="0.45">
      <c r="I1982" t="s">
        <v>197</v>
      </c>
      <c r="J1982" t="s">
        <v>380</v>
      </c>
      <c r="K1982">
        <v>2.4509694389858385E-4</v>
      </c>
      <c r="L1982" t="s">
        <v>168</v>
      </c>
    </row>
    <row r="1983" spans="9:12" x14ac:dyDescent="0.45">
      <c r="I1983" t="s">
        <v>197</v>
      </c>
      <c r="J1983" t="s">
        <v>381</v>
      </c>
      <c r="K1983">
        <v>1.6116003220468663E-4</v>
      </c>
      <c r="L1983" t="s">
        <v>168</v>
      </c>
    </row>
    <row r="1984" spans="9:12" x14ac:dyDescent="0.45">
      <c r="I1984" t="s">
        <v>197</v>
      </c>
      <c r="J1984" t="s">
        <v>382</v>
      </c>
      <c r="K1984">
        <v>0</v>
      </c>
      <c r="L1984" t="s">
        <v>168</v>
      </c>
    </row>
    <row r="1985" spans="9:12" x14ac:dyDescent="0.45">
      <c r="I1985" t="s">
        <v>197</v>
      </c>
      <c r="J1985" t="s">
        <v>383</v>
      </c>
      <c r="K1985">
        <v>0</v>
      </c>
      <c r="L1985" t="s">
        <v>168</v>
      </c>
    </row>
    <row r="1986" spans="9:12" x14ac:dyDescent="0.45">
      <c r="I1986" t="s">
        <v>197</v>
      </c>
      <c r="J1986" t="s">
        <v>384</v>
      </c>
      <c r="K1986">
        <v>0</v>
      </c>
      <c r="L1986" t="s">
        <v>168</v>
      </c>
    </row>
    <row r="1987" spans="9:12" x14ac:dyDescent="0.45">
      <c r="I1987" t="s">
        <v>197</v>
      </c>
      <c r="J1987" t="s">
        <v>385</v>
      </c>
      <c r="K1987">
        <v>0</v>
      </c>
      <c r="L1987" t="s">
        <v>168</v>
      </c>
    </row>
    <row r="1988" spans="9:12" x14ac:dyDescent="0.45">
      <c r="I1988" t="s">
        <v>197</v>
      </c>
      <c r="J1988" t="s">
        <v>386</v>
      </c>
      <c r="K1988">
        <v>0</v>
      </c>
      <c r="L1988" t="s">
        <v>168</v>
      </c>
    </row>
    <row r="1989" spans="9:12" x14ac:dyDescent="0.45">
      <c r="I1989" t="s">
        <v>197</v>
      </c>
      <c r="J1989" t="s">
        <v>387</v>
      </c>
      <c r="K1989">
        <v>0</v>
      </c>
      <c r="L1989" t="s">
        <v>168</v>
      </c>
    </row>
    <row r="1990" spans="9:12" x14ac:dyDescent="0.45">
      <c r="I1990" t="s">
        <v>197</v>
      </c>
      <c r="J1990" t="s">
        <v>388</v>
      </c>
      <c r="K1990">
        <v>0</v>
      </c>
      <c r="L1990" t="s">
        <v>168</v>
      </c>
    </row>
    <row r="1991" spans="9:12" x14ac:dyDescent="0.45">
      <c r="I1991" t="s">
        <v>198</v>
      </c>
      <c r="J1991" t="s">
        <v>167</v>
      </c>
      <c r="K1991">
        <v>0</v>
      </c>
      <c r="L1991" t="s">
        <v>168</v>
      </c>
    </row>
    <row r="1992" spans="9:12" x14ac:dyDescent="0.45">
      <c r="I1992" t="s">
        <v>198</v>
      </c>
      <c r="J1992" t="s">
        <v>169</v>
      </c>
      <c r="K1992">
        <v>1.8669475501079341E-3</v>
      </c>
      <c r="L1992" t="s">
        <v>168</v>
      </c>
    </row>
    <row r="1993" spans="9:12" x14ac:dyDescent="0.45">
      <c r="I1993" t="s">
        <v>198</v>
      </c>
      <c r="J1993" t="s">
        <v>170</v>
      </c>
      <c r="K1993">
        <v>6.4628847731814879E-3</v>
      </c>
      <c r="L1993" t="s">
        <v>168</v>
      </c>
    </row>
    <row r="1994" spans="9:12" x14ac:dyDescent="0.45">
      <c r="I1994" t="s">
        <v>198</v>
      </c>
      <c r="J1994" t="s">
        <v>256</v>
      </c>
      <c r="K1994">
        <v>6.8605487884398103E-2</v>
      </c>
      <c r="L1994" t="s">
        <v>168</v>
      </c>
    </row>
    <row r="1995" spans="9:12" x14ac:dyDescent="0.45">
      <c r="I1995" t="s">
        <v>198</v>
      </c>
      <c r="J1995" t="s">
        <v>257</v>
      </c>
      <c r="K1995">
        <v>8.8548312921452738E-3</v>
      </c>
      <c r="L1995" t="s">
        <v>168</v>
      </c>
    </row>
    <row r="1996" spans="9:12" x14ac:dyDescent="0.45">
      <c r="I1996" t="s">
        <v>198</v>
      </c>
      <c r="J1996" t="s">
        <v>258</v>
      </c>
      <c r="K1996">
        <v>6.4787750971199484E-3</v>
      </c>
      <c r="L1996" t="s">
        <v>168</v>
      </c>
    </row>
    <row r="1997" spans="9:12" x14ac:dyDescent="0.45">
      <c r="I1997" t="s">
        <v>198</v>
      </c>
      <c r="J1997" t="s">
        <v>171</v>
      </c>
      <c r="K1997">
        <v>2.2862629905929393E-2</v>
      </c>
      <c r="L1997" t="s">
        <v>168</v>
      </c>
    </row>
    <row r="1998" spans="9:12" x14ac:dyDescent="0.45">
      <c r="I1998" t="s">
        <v>198</v>
      </c>
      <c r="J1998" t="s">
        <v>172</v>
      </c>
      <c r="K1998">
        <v>2.6382600151651385E-2</v>
      </c>
      <c r="L1998" t="s">
        <v>168</v>
      </c>
    </row>
    <row r="1999" spans="9:12" x14ac:dyDescent="0.45">
      <c r="I1999" t="s">
        <v>198</v>
      </c>
      <c r="J1999" t="s">
        <v>173</v>
      </c>
      <c r="K1999">
        <v>3.4184901857562337E-2</v>
      </c>
      <c r="L1999" t="s">
        <v>168</v>
      </c>
    </row>
    <row r="2000" spans="9:12" x14ac:dyDescent="0.45">
      <c r="I2000" t="s">
        <v>198</v>
      </c>
      <c r="J2000" t="s">
        <v>259</v>
      </c>
      <c r="K2000">
        <v>0.23760735304329883</v>
      </c>
      <c r="L2000" t="s">
        <v>168</v>
      </c>
    </row>
    <row r="2001" spans="9:12" x14ac:dyDescent="0.45">
      <c r="I2001" t="s">
        <v>198</v>
      </c>
      <c r="J2001" t="s">
        <v>260</v>
      </c>
      <c r="K2001">
        <v>3.2417406760484005E-2</v>
      </c>
      <c r="L2001" t="s">
        <v>168</v>
      </c>
    </row>
    <row r="2002" spans="9:12" x14ac:dyDescent="0.45">
      <c r="I2002" t="s">
        <v>198</v>
      </c>
      <c r="J2002" t="s">
        <v>261</v>
      </c>
      <c r="K2002">
        <v>5.4848037735750685E-2</v>
      </c>
      <c r="L2002" t="s">
        <v>168</v>
      </c>
    </row>
    <row r="2003" spans="9:12" x14ac:dyDescent="0.45">
      <c r="I2003" t="s">
        <v>198</v>
      </c>
      <c r="J2003" t="s">
        <v>174</v>
      </c>
      <c r="K2003">
        <v>9.6851721992583639E-3</v>
      </c>
      <c r="L2003" t="s">
        <v>168</v>
      </c>
    </row>
    <row r="2004" spans="9:12" x14ac:dyDescent="0.45">
      <c r="I2004" t="s">
        <v>198</v>
      </c>
      <c r="J2004" t="s">
        <v>175</v>
      </c>
      <c r="K2004">
        <v>9.0248037806045633E-3</v>
      </c>
      <c r="L2004" t="s">
        <v>168</v>
      </c>
    </row>
    <row r="2005" spans="9:12" x14ac:dyDescent="0.45">
      <c r="I2005" t="s">
        <v>198</v>
      </c>
      <c r="J2005" t="s">
        <v>176</v>
      </c>
      <c r="K2005">
        <v>1.0700923592829632E-2</v>
      </c>
      <c r="L2005" t="s">
        <v>168</v>
      </c>
    </row>
    <row r="2006" spans="9:12" x14ac:dyDescent="0.45">
      <c r="I2006" t="s">
        <v>198</v>
      </c>
      <c r="J2006" t="s">
        <v>262</v>
      </c>
      <c r="K2006">
        <v>7.1036342737182248E-2</v>
      </c>
      <c r="L2006" t="s">
        <v>168</v>
      </c>
    </row>
    <row r="2007" spans="9:12" x14ac:dyDescent="0.45">
      <c r="I2007" t="s">
        <v>198</v>
      </c>
      <c r="J2007" t="s">
        <v>263</v>
      </c>
      <c r="K2007">
        <v>1.0459708950805183E-2</v>
      </c>
      <c r="L2007" t="s">
        <v>168</v>
      </c>
    </row>
    <row r="2008" spans="9:12" x14ac:dyDescent="0.45">
      <c r="I2008" t="s">
        <v>198</v>
      </c>
      <c r="J2008" t="s">
        <v>264</v>
      </c>
      <c r="K2008">
        <v>2.1990496322582969E-2</v>
      </c>
      <c r="L2008" t="s">
        <v>168</v>
      </c>
    </row>
    <row r="2009" spans="9:12" x14ac:dyDescent="0.45">
      <c r="I2009" t="s">
        <v>198</v>
      </c>
      <c r="J2009" t="s">
        <v>265</v>
      </c>
      <c r="K2009">
        <v>7.7450619598391493E-3</v>
      </c>
      <c r="L2009" t="s">
        <v>168</v>
      </c>
    </row>
    <row r="2010" spans="9:12" x14ac:dyDescent="0.45">
      <c r="I2010" t="s">
        <v>198</v>
      </c>
      <c r="J2010" t="s">
        <v>266</v>
      </c>
      <c r="K2010">
        <v>8.7034767167327044E-3</v>
      </c>
      <c r="L2010" t="s">
        <v>168</v>
      </c>
    </row>
    <row r="2011" spans="9:12" x14ac:dyDescent="0.45">
      <c r="I2011" t="s">
        <v>198</v>
      </c>
      <c r="J2011" t="s">
        <v>267</v>
      </c>
      <c r="K2011">
        <v>1.0349778218066812E-2</v>
      </c>
      <c r="L2011" t="s">
        <v>168</v>
      </c>
    </row>
    <row r="2012" spans="9:12" x14ac:dyDescent="0.45">
      <c r="I2012" t="s">
        <v>198</v>
      </c>
      <c r="J2012" t="s">
        <v>268</v>
      </c>
      <c r="K2012">
        <v>6.7301202930065779E-2</v>
      </c>
      <c r="L2012" t="s">
        <v>168</v>
      </c>
    </row>
    <row r="2013" spans="9:12" x14ac:dyDescent="0.45">
      <c r="I2013" t="s">
        <v>198</v>
      </c>
      <c r="J2013" t="s">
        <v>269</v>
      </c>
      <c r="K2013">
        <v>9.9576917915564795E-3</v>
      </c>
      <c r="L2013" t="s">
        <v>168</v>
      </c>
    </row>
    <row r="2014" spans="9:12" x14ac:dyDescent="0.45">
      <c r="I2014" t="s">
        <v>198</v>
      </c>
      <c r="J2014" t="s">
        <v>270</v>
      </c>
      <c r="K2014">
        <v>1.8255394658560836E-2</v>
      </c>
      <c r="L2014" t="s">
        <v>168</v>
      </c>
    </row>
    <row r="2015" spans="9:12" x14ac:dyDescent="0.45">
      <c r="I2015" t="s">
        <v>198</v>
      </c>
      <c r="J2015" t="s">
        <v>271</v>
      </c>
      <c r="K2015">
        <v>3.6191700767479462E-3</v>
      </c>
      <c r="L2015" t="s">
        <v>168</v>
      </c>
    </row>
    <row r="2016" spans="9:12" x14ac:dyDescent="0.45">
      <c r="I2016" t="s">
        <v>198</v>
      </c>
      <c r="J2016" t="s">
        <v>272</v>
      </c>
      <c r="K2016">
        <v>6.4330262956689109E-3</v>
      </c>
      <c r="L2016" t="s">
        <v>168</v>
      </c>
    </row>
    <row r="2017" spans="9:12" x14ac:dyDescent="0.45">
      <c r="I2017" t="s">
        <v>198</v>
      </c>
      <c r="J2017" t="s">
        <v>273</v>
      </c>
      <c r="K2017">
        <v>8.468745289927887E-3</v>
      </c>
      <c r="L2017" t="s">
        <v>168</v>
      </c>
    </row>
    <row r="2018" spans="9:12" x14ac:dyDescent="0.45">
      <c r="I2018" t="s">
        <v>198</v>
      </c>
      <c r="J2018" t="s">
        <v>274</v>
      </c>
      <c r="K2018">
        <v>5.5929678989237348E-2</v>
      </c>
      <c r="L2018" t="s">
        <v>168</v>
      </c>
    </row>
    <row r="2019" spans="9:12" x14ac:dyDescent="0.45">
      <c r="I2019" t="s">
        <v>198</v>
      </c>
      <c r="J2019" t="s">
        <v>275</v>
      </c>
      <c r="K2019">
        <v>7.8756656314439254E-3</v>
      </c>
      <c r="L2019" t="s">
        <v>168</v>
      </c>
    </row>
    <row r="2020" spans="9:12" x14ac:dyDescent="0.45">
      <c r="I2020" t="s">
        <v>198</v>
      </c>
      <c r="J2020" t="s">
        <v>276</v>
      </c>
      <c r="K2020">
        <v>1.0286051377587896E-2</v>
      </c>
      <c r="L2020" t="s">
        <v>168</v>
      </c>
    </row>
    <row r="2021" spans="9:12" x14ac:dyDescent="0.45">
      <c r="I2021" t="s">
        <v>198</v>
      </c>
      <c r="J2021" t="s">
        <v>341</v>
      </c>
      <c r="K2021">
        <v>0</v>
      </c>
      <c r="L2021" t="s">
        <v>168</v>
      </c>
    </row>
    <row r="2022" spans="9:12" x14ac:dyDescent="0.45">
      <c r="I2022" t="s">
        <v>198</v>
      </c>
      <c r="J2022" t="s">
        <v>342</v>
      </c>
      <c r="K2022">
        <v>0</v>
      </c>
      <c r="L2022" t="s">
        <v>168</v>
      </c>
    </row>
    <row r="2023" spans="9:12" x14ac:dyDescent="0.45">
      <c r="I2023" t="s">
        <v>198</v>
      </c>
      <c r="J2023" t="s">
        <v>343</v>
      </c>
      <c r="K2023">
        <v>0</v>
      </c>
      <c r="L2023" t="s">
        <v>168</v>
      </c>
    </row>
    <row r="2024" spans="9:12" x14ac:dyDescent="0.45">
      <c r="I2024" t="s">
        <v>198</v>
      </c>
      <c r="J2024" t="s">
        <v>344</v>
      </c>
      <c r="K2024">
        <v>0</v>
      </c>
      <c r="L2024" t="s">
        <v>168</v>
      </c>
    </row>
    <row r="2025" spans="9:12" x14ac:dyDescent="0.45">
      <c r="I2025" t="s">
        <v>198</v>
      </c>
      <c r="J2025" t="s">
        <v>345</v>
      </c>
      <c r="K2025">
        <v>0</v>
      </c>
      <c r="L2025" t="s">
        <v>168</v>
      </c>
    </row>
    <row r="2026" spans="9:12" x14ac:dyDescent="0.45">
      <c r="I2026" t="s">
        <v>198</v>
      </c>
      <c r="J2026" t="s">
        <v>346</v>
      </c>
      <c r="K2026">
        <v>0</v>
      </c>
      <c r="L2026" t="s">
        <v>168</v>
      </c>
    </row>
    <row r="2027" spans="9:12" x14ac:dyDescent="0.45">
      <c r="I2027" t="s">
        <v>198</v>
      </c>
      <c r="J2027" t="s">
        <v>347</v>
      </c>
      <c r="K2027">
        <v>0</v>
      </c>
      <c r="L2027" t="s">
        <v>168</v>
      </c>
    </row>
    <row r="2028" spans="9:12" x14ac:dyDescent="0.45">
      <c r="I2028" t="s">
        <v>198</v>
      </c>
      <c r="J2028" t="s">
        <v>348</v>
      </c>
      <c r="K2028">
        <v>1.615203645578879E-4</v>
      </c>
      <c r="L2028" t="s">
        <v>168</v>
      </c>
    </row>
    <row r="2029" spans="9:12" x14ac:dyDescent="0.45">
      <c r="I2029" t="s">
        <v>198</v>
      </c>
      <c r="J2029" t="s">
        <v>349</v>
      </c>
      <c r="K2029">
        <v>2.869893651260536E-4</v>
      </c>
      <c r="L2029" t="s">
        <v>168</v>
      </c>
    </row>
    <row r="2030" spans="9:12" x14ac:dyDescent="0.45">
      <c r="I2030" t="s">
        <v>198</v>
      </c>
      <c r="J2030" t="s">
        <v>350</v>
      </c>
      <c r="K2030">
        <v>3.5879200563903023E-4</v>
      </c>
      <c r="L2030" t="s">
        <v>168</v>
      </c>
    </row>
    <row r="2031" spans="9:12" x14ac:dyDescent="0.45">
      <c r="I2031" t="s">
        <v>198</v>
      </c>
      <c r="J2031" t="s">
        <v>351</v>
      </c>
      <c r="K2031">
        <v>3.8886958401078355E-4</v>
      </c>
      <c r="L2031" t="s">
        <v>168</v>
      </c>
    </row>
    <row r="2032" spans="9:12" x14ac:dyDescent="0.45">
      <c r="I2032" t="s">
        <v>198</v>
      </c>
      <c r="J2032" t="s">
        <v>352</v>
      </c>
      <c r="K2032">
        <v>3.8625798182273649E-4</v>
      </c>
      <c r="L2032" t="s">
        <v>168</v>
      </c>
    </row>
    <row r="2033" spans="9:12" x14ac:dyDescent="0.45">
      <c r="I2033" t="s">
        <v>198</v>
      </c>
      <c r="J2033" t="s">
        <v>353</v>
      </c>
      <c r="K2033">
        <v>3.5615927736205307E-4</v>
      </c>
      <c r="L2033" t="s">
        <v>168</v>
      </c>
    </row>
    <row r="2034" spans="9:12" x14ac:dyDescent="0.45">
      <c r="I2034" t="s">
        <v>198</v>
      </c>
      <c r="J2034" t="s">
        <v>354</v>
      </c>
      <c r="K2034">
        <v>3.5527233051387312E-4</v>
      </c>
      <c r="L2034" t="s">
        <v>168</v>
      </c>
    </row>
    <row r="2035" spans="9:12" x14ac:dyDescent="0.45">
      <c r="I2035" t="s">
        <v>198</v>
      </c>
      <c r="J2035" t="s">
        <v>355</v>
      </c>
      <c r="K2035">
        <v>3.8144171966309176E-4</v>
      </c>
      <c r="L2035" t="s">
        <v>168</v>
      </c>
    </row>
    <row r="2036" spans="9:12" x14ac:dyDescent="0.45">
      <c r="I2036" t="s">
        <v>198</v>
      </c>
      <c r="J2036" t="s">
        <v>356</v>
      </c>
      <c r="K2036">
        <v>3.783043575783294E-4</v>
      </c>
      <c r="L2036" t="s">
        <v>168</v>
      </c>
    </row>
    <row r="2037" spans="9:12" x14ac:dyDescent="0.45">
      <c r="I2037" t="s">
        <v>198</v>
      </c>
      <c r="J2037" t="s">
        <v>357</v>
      </c>
      <c r="K2037">
        <v>3.4227477791946755E-4</v>
      </c>
      <c r="L2037" t="s">
        <v>168</v>
      </c>
    </row>
    <row r="2038" spans="9:12" x14ac:dyDescent="0.45">
      <c r="I2038" t="s">
        <v>198</v>
      </c>
      <c r="J2038" t="s">
        <v>358</v>
      </c>
      <c r="K2038">
        <v>2.6477934418335774E-4</v>
      </c>
      <c r="L2038" t="s">
        <v>168</v>
      </c>
    </row>
    <row r="2039" spans="9:12" x14ac:dyDescent="0.45">
      <c r="I2039" t="s">
        <v>198</v>
      </c>
      <c r="J2039" t="s">
        <v>359</v>
      </c>
      <c r="K2039">
        <v>1.4508393438292651E-4</v>
      </c>
      <c r="L2039" t="s">
        <v>168</v>
      </c>
    </row>
    <row r="2040" spans="9:12" x14ac:dyDescent="0.45">
      <c r="I2040" t="s">
        <v>198</v>
      </c>
      <c r="J2040" t="s">
        <v>360</v>
      </c>
      <c r="K2040">
        <v>0</v>
      </c>
      <c r="L2040" t="s">
        <v>168</v>
      </c>
    </row>
    <row r="2041" spans="9:12" x14ac:dyDescent="0.45">
      <c r="I2041" t="s">
        <v>198</v>
      </c>
      <c r="J2041" t="s">
        <v>361</v>
      </c>
      <c r="K2041">
        <v>0</v>
      </c>
      <c r="L2041" t="s">
        <v>168</v>
      </c>
    </row>
    <row r="2042" spans="9:12" x14ac:dyDescent="0.45">
      <c r="I2042" t="s">
        <v>198</v>
      </c>
      <c r="J2042" t="s">
        <v>362</v>
      </c>
      <c r="K2042">
        <v>0</v>
      </c>
      <c r="L2042" t="s">
        <v>168</v>
      </c>
    </row>
    <row r="2043" spans="9:12" x14ac:dyDescent="0.45">
      <c r="I2043" t="s">
        <v>198</v>
      </c>
      <c r="J2043" t="s">
        <v>363</v>
      </c>
      <c r="K2043">
        <v>0</v>
      </c>
      <c r="L2043" t="s">
        <v>168</v>
      </c>
    </row>
    <row r="2044" spans="9:12" x14ac:dyDescent="0.45">
      <c r="I2044" t="s">
        <v>198</v>
      </c>
      <c r="J2044" t="s">
        <v>364</v>
      </c>
      <c r="K2044">
        <v>0</v>
      </c>
      <c r="L2044" t="s">
        <v>168</v>
      </c>
    </row>
    <row r="2045" spans="9:12" x14ac:dyDescent="0.45">
      <c r="I2045" t="s">
        <v>198</v>
      </c>
      <c r="J2045" t="s">
        <v>277</v>
      </c>
      <c r="K2045">
        <v>6.5896420035503329E-4</v>
      </c>
      <c r="L2045" t="s">
        <v>168</v>
      </c>
    </row>
    <row r="2046" spans="9:12" x14ac:dyDescent="0.45">
      <c r="I2046" t="s">
        <v>198</v>
      </c>
      <c r="J2046" t="s">
        <v>278</v>
      </c>
      <c r="K2046">
        <v>5.186188740477808E-3</v>
      </c>
      <c r="L2046" t="s">
        <v>168</v>
      </c>
    </row>
    <row r="2047" spans="9:12" x14ac:dyDescent="0.45">
      <c r="I2047" t="s">
        <v>198</v>
      </c>
      <c r="J2047" t="s">
        <v>279</v>
      </c>
      <c r="K2047">
        <v>9.1139953016293983E-3</v>
      </c>
      <c r="L2047" t="s">
        <v>168</v>
      </c>
    </row>
    <row r="2048" spans="9:12" x14ac:dyDescent="0.45">
      <c r="I2048" t="s">
        <v>198</v>
      </c>
      <c r="J2048" t="s">
        <v>280</v>
      </c>
      <c r="K2048">
        <v>7.4903225472108634E-2</v>
      </c>
      <c r="L2048" t="s">
        <v>168</v>
      </c>
    </row>
    <row r="2049" spans="9:12" x14ac:dyDescent="0.45">
      <c r="I2049" t="s">
        <v>198</v>
      </c>
      <c r="J2049" t="s">
        <v>281</v>
      </c>
      <c r="K2049">
        <v>9.0530629480755596E-3</v>
      </c>
      <c r="L2049" t="s">
        <v>168</v>
      </c>
    </row>
    <row r="2050" spans="9:12" x14ac:dyDescent="0.45">
      <c r="I2050" t="s">
        <v>198</v>
      </c>
      <c r="J2050" t="s">
        <v>282</v>
      </c>
      <c r="K2050">
        <v>5.2535811445880501E-3</v>
      </c>
      <c r="L2050" t="s">
        <v>168</v>
      </c>
    </row>
    <row r="2051" spans="9:12" x14ac:dyDescent="0.45">
      <c r="I2051" t="s">
        <v>198</v>
      </c>
      <c r="J2051" t="s">
        <v>283</v>
      </c>
      <c r="K2051">
        <v>0</v>
      </c>
      <c r="L2051" t="s">
        <v>168</v>
      </c>
    </row>
    <row r="2052" spans="9:12" x14ac:dyDescent="0.45">
      <c r="I2052" t="s">
        <v>198</v>
      </c>
      <c r="J2052" t="s">
        <v>284</v>
      </c>
      <c r="K2052">
        <v>7.2926214923768813E-6</v>
      </c>
      <c r="L2052" t="s">
        <v>168</v>
      </c>
    </row>
    <row r="2053" spans="9:12" x14ac:dyDescent="0.45">
      <c r="I2053" t="s">
        <v>198</v>
      </c>
      <c r="J2053" t="s">
        <v>285</v>
      </c>
      <c r="K2053">
        <v>3.2953885185536642E-3</v>
      </c>
      <c r="L2053" t="s">
        <v>168</v>
      </c>
    </row>
    <row r="2054" spans="9:12" x14ac:dyDescent="0.45">
      <c r="I2054" t="s">
        <v>198</v>
      </c>
      <c r="J2054" t="s">
        <v>286</v>
      </c>
      <c r="K2054">
        <v>3.4755675076249694E-2</v>
      </c>
      <c r="L2054" t="s">
        <v>168</v>
      </c>
    </row>
    <row r="2055" spans="9:12" x14ac:dyDescent="0.45">
      <c r="I2055" t="s">
        <v>198</v>
      </c>
      <c r="J2055" t="s">
        <v>287</v>
      </c>
      <c r="K2055">
        <v>4.0468620828605223E-3</v>
      </c>
      <c r="L2055" t="s">
        <v>168</v>
      </c>
    </row>
    <row r="2056" spans="9:12" x14ac:dyDescent="0.45">
      <c r="I2056" t="s">
        <v>198</v>
      </c>
      <c r="J2056" t="s">
        <v>288</v>
      </c>
      <c r="K2056">
        <v>1.6709764856667851E-5</v>
      </c>
      <c r="L2056" t="s">
        <v>168</v>
      </c>
    </row>
    <row r="2057" spans="9:12" x14ac:dyDescent="0.45">
      <c r="I2057" t="s">
        <v>198</v>
      </c>
      <c r="J2057" t="s">
        <v>365</v>
      </c>
      <c r="K2057">
        <v>0</v>
      </c>
      <c r="L2057" t="s">
        <v>168</v>
      </c>
    </row>
    <row r="2058" spans="9:12" x14ac:dyDescent="0.45">
      <c r="I2058" t="s">
        <v>198</v>
      </c>
      <c r="J2058" t="s">
        <v>366</v>
      </c>
      <c r="K2058">
        <v>0</v>
      </c>
      <c r="L2058" t="s">
        <v>168</v>
      </c>
    </row>
    <row r="2059" spans="9:12" x14ac:dyDescent="0.45">
      <c r="I2059" t="s">
        <v>198</v>
      </c>
      <c r="J2059" t="s">
        <v>367</v>
      </c>
      <c r="K2059">
        <v>0</v>
      </c>
      <c r="L2059" t="s">
        <v>168</v>
      </c>
    </row>
    <row r="2060" spans="9:12" x14ac:dyDescent="0.45">
      <c r="I2060" t="s">
        <v>198</v>
      </c>
      <c r="J2060" t="s">
        <v>368</v>
      </c>
      <c r="K2060">
        <v>0</v>
      </c>
      <c r="L2060" t="s">
        <v>168</v>
      </c>
    </row>
    <row r="2061" spans="9:12" x14ac:dyDescent="0.45">
      <c r="I2061" t="s">
        <v>198</v>
      </c>
      <c r="J2061" t="s">
        <v>369</v>
      </c>
      <c r="K2061">
        <v>0</v>
      </c>
      <c r="L2061" t="s">
        <v>168</v>
      </c>
    </row>
    <row r="2062" spans="9:12" x14ac:dyDescent="0.45">
      <c r="I2062" t="s">
        <v>198</v>
      </c>
      <c r="J2062" t="s">
        <v>370</v>
      </c>
      <c r="K2062">
        <v>0</v>
      </c>
      <c r="L2062" t="s">
        <v>168</v>
      </c>
    </row>
    <row r="2063" spans="9:12" x14ac:dyDescent="0.45">
      <c r="I2063" t="s">
        <v>198</v>
      </c>
      <c r="J2063" t="s">
        <v>371</v>
      </c>
      <c r="K2063">
        <v>0</v>
      </c>
      <c r="L2063" t="s">
        <v>168</v>
      </c>
    </row>
    <row r="2064" spans="9:12" x14ac:dyDescent="0.45">
      <c r="I2064" t="s">
        <v>198</v>
      </c>
      <c r="J2064" t="s">
        <v>372</v>
      </c>
      <c r="K2064">
        <v>0</v>
      </c>
      <c r="L2064" t="s">
        <v>168</v>
      </c>
    </row>
    <row r="2065" spans="9:12" x14ac:dyDescent="0.45">
      <c r="I2065" t="s">
        <v>198</v>
      </c>
      <c r="J2065" t="s">
        <v>373</v>
      </c>
      <c r="K2065">
        <v>0</v>
      </c>
      <c r="L2065" t="s">
        <v>168</v>
      </c>
    </row>
    <row r="2066" spans="9:12" x14ac:dyDescent="0.45">
      <c r="I2066" t="s">
        <v>198</v>
      </c>
      <c r="J2066" t="s">
        <v>374</v>
      </c>
      <c r="K2066">
        <v>9.3647625850020063E-5</v>
      </c>
      <c r="L2066" t="s">
        <v>168</v>
      </c>
    </row>
    <row r="2067" spans="9:12" x14ac:dyDescent="0.45">
      <c r="I2067" t="s">
        <v>198</v>
      </c>
      <c r="J2067" t="s">
        <v>375</v>
      </c>
      <c r="K2067">
        <v>1.3686846375234849E-4</v>
      </c>
      <c r="L2067" t="s">
        <v>168</v>
      </c>
    </row>
    <row r="2068" spans="9:12" x14ac:dyDescent="0.45">
      <c r="I2068" t="s">
        <v>198</v>
      </c>
      <c r="J2068" t="s">
        <v>376</v>
      </c>
      <c r="K2068">
        <v>2.0153659778883904E-4</v>
      </c>
      <c r="L2068" t="s">
        <v>168</v>
      </c>
    </row>
    <row r="2069" spans="9:12" x14ac:dyDescent="0.45">
      <c r="I2069" t="s">
        <v>198</v>
      </c>
      <c r="J2069" t="s">
        <v>377</v>
      </c>
      <c r="K2069">
        <v>2.0567425492073411E-4</v>
      </c>
      <c r="L2069" t="s">
        <v>168</v>
      </c>
    </row>
    <row r="2070" spans="9:12" x14ac:dyDescent="0.45">
      <c r="I2070" t="s">
        <v>198</v>
      </c>
      <c r="J2070" t="s">
        <v>378</v>
      </c>
      <c r="K2070">
        <v>2.1552671187880738E-4</v>
      </c>
      <c r="L2070" t="s">
        <v>168</v>
      </c>
    </row>
    <row r="2071" spans="9:12" x14ac:dyDescent="0.45">
      <c r="I2071" t="s">
        <v>198</v>
      </c>
      <c r="J2071" t="s">
        <v>379</v>
      </c>
      <c r="K2071">
        <v>2.6420030265223945E-4</v>
      </c>
      <c r="L2071" t="s">
        <v>168</v>
      </c>
    </row>
    <row r="2072" spans="9:12" x14ac:dyDescent="0.45">
      <c r="I2072" t="s">
        <v>198</v>
      </c>
      <c r="J2072" t="s">
        <v>380</v>
      </c>
      <c r="K2072">
        <v>2.2886034000767772E-4</v>
      </c>
      <c r="L2072" t="s">
        <v>168</v>
      </c>
    </row>
    <row r="2073" spans="9:12" x14ac:dyDescent="0.45">
      <c r="I2073" t="s">
        <v>198</v>
      </c>
      <c r="J2073" t="s">
        <v>381</v>
      </c>
      <c r="K2073">
        <v>1.6274721881315667E-4</v>
      </c>
      <c r="L2073" t="s">
        <v>168</v>
      </c>
    </row>
    <row r="2074" spans="9:12" x14ac:dyDescent="0.45">
      <c r="I2074" t="s">
        <v>198</v>
      </c>
      <c r="J2074" t="s">
        <v>382</v>
      </c>
      <c r="K2074">
        <v>0</v>
      </c>
      <c r="L2074" t="s">
        <v>168</v>
      </c>
    </row>
    <row r="2075" spans="9:12" x14ac:dyDescent="0.45">
      <c r="I2075" t="s">
        <v>198</v>
      </c>
      <c r="J2075" t="s">
        <v>383</v>
      </c>
      <c r="K2075">
        <v>0</v>
      </c>
      <c r="L2075" t="s">
        <v>168</v>
      </c>
    </row>
    <row r="2076" spans="9:12" x14ac:dyDescent="0.45">
      <c r="I2076" t="s">
        <v>198</v>
      </c>
      <c r="J2076" t="s">
        <v>384</v>
      </c>
      <c r="K2076">
        <v>0</v>
      </c>
      <c r="L2076" t="s">
        <v>168</v>
      </c>
    </row>
    <row r="2077" spans="9:12" x14ac:dyDescent="0.45">
      <c r="I2077" t="s">
        <v>198</v>
      </c>
      <c r="J2077" t="s">
        <v>385</v>
      </c>
      <c r="K2077">
        <v>0</v>
      </c>
      <c r="L2077" t="s">
        <v>168</v>
      </c>
    </row>
    <row r="2078" spans="9:12" x14ac:dyDescent="0.45">
      <c r="I2078" t="s">
        <v>198</v>
      </c>
      <c r="J2078" t="s">
        <v>386</v>
      </c>
      <c r="K2078">
        <v>0</v>
      </c>
      <c r="L2078" t="s">
        <v>168</v>
      </c>
    </row>
    <row r="2079" spans="9:12" x14ac:dyDescent="0.45">
      <c r="I2079" t="s">
        <v>198</v>
      </c>
      <c r="J2079" t="s">
        <v>387</v>
      </c>
      <c r="K2079">
        <v>0</v>
      </c>
      <c r="L2079" t="s">
        <v>168</v>
      </c>
    </row>
    <row r="2080" spans="9:12" x14ac:dyDescent="0.45">
      <c r="I2080" t="s">
        <v>198</v>
      </c>
      <c r="J2080" t="s">
        <v>388</v>
      </c>
      <c r="K2080">
        <v>0</v>
      </c>
      <c r="L2080" t="s">
        <v>168</v>
      </c>
    </row>
    <row r="2081" spans="9:12" x14ac:dyDescent="0.45">
      <c r="I2081" t="s">
        <v>199</v>
      </c>
      <c r="J2081" t="s">
        <v>167</v>
      </c>
      <c r="K2081">
        <v>0</v>
      </c>
      <c r="L2081" t="s">
        <v>168</v>
      </c>
    </row>
    <row r="2082" spans="9:12" x14ac:dyDescent="0.45">
      <c r="I2082" t="s">
        <v>199</v>
      </c>
      <c r="J2082" t="s">
        <v>169</v>
      </c>
      <c r="K2082">
        <v>1.6845455725303445E-3</v>
      </c>
      <c r="L2082" t="s">
        <v>168</v>
      </c>
    </row>
    <row r="2083" spans="9:12" x14ac:dyDescent="0.45">
      <c r="I2083" t="s">
        <v>199</v>
      </c>
      <c r="J2083" t="s">
        <v>170</v>
      </c>
      <c r="K2083">
        <v>6.3428015896796414E-3</v>
      </c>
      <c r="L2083" t="s">
        <v>168</v>
      </c>
    </row>
    <row r="2084" spans="9:12" x14ac:dyDescent="0.45">
      <c r="I2084" t="s">
        <v>199</v>
      </c>
      <c r="J2084" t="s">
        <v>256</v>
      </c>
      <c r="K2084">
        <v>7.0666458665714318E-2</v>
      </c>
      <c r="L2084" t="s">
        <v>168</v>
      </c>
    </row>
    <row r="2085" spans="9:12" x14ac:dyDescent="0.45">
      <c r="I2085" t="s">
        <v>199</v>
      </c>
      <c r="J2085" t="s">
        <v>257</v>
      </c>
      <c r="K2085">
        <v>9.8515857923318767E-3</v>
      </c>
      <c r="L2085" t="s">
        <v>168</v>
      </c>
    </row>
    <row r="2086" spans="9:12" x14ac:dyDescent="0.45">
      <c r="I2086" t="s">
        <v>199</v>
      </c>
      <c r="J2086" t="s">
        <v>258</v>
      </c>
      <c r="K2086">
        <v>7.8970423998455941E-3</v>
      </c>
      <c r="L2086" t="s">
        <v>168</v>
      </c>
    </row>
    <row r="2087" spans="9:12" x14ac:dyDescent="0.45">
      <c r="I2087" t="s">
        <v>199</v>
      </c>
      <c r="J2087" t="s">
        <v>171</v>
      </c>
      <c r="K2087">
        <v>2.101149959043172E-2</v>
      </c>
      <c r="L2087" t="s">
        <v>168</v>
      </c>
    </row>
    <row r="2088" spans="9:12" x14ac:dyDescent="0.45">
      <c r="I2088" t="s">
        <v>199</v>
      </c>
      <c r="J2088" t="s">
        <v>172</v>
      </c>
      <c r="K2088">
        <v>2.4535580270600276E-2</v>
      </c>
      <c r="L2088" t="s">
        <v>168</v>
      </c>
    </row>
    <row r="2089" spans="9:12" x14ac:dyDescent="0.45">
      <c r="I2089" t="s">
        <v>199</v>
      </c>
      <c r="J2089" t="s">
        <v>173</v>
      </c>
      <c r="K2089">
        <v>3.2752959784212062E-2</v>
      </c>
      <c r="L2089" t="s">
        <v>168</v>
      </c>
    </row>
    <row r="2090" spans="9:12" x14ac:dyDescent="0.45">
      <c r="I2090" t="s">
        <v>199</v>
      </c>
      <c r="J2090" t="s">
        <v>259</v>
      </c>
      <c r="K2090">
        <v>0.23580497460105571</v>
      </c>
      <c r="L2090" t="s">
        <v>168</v>
      </c>
    </row>
    <row r="2091" spans="9:12" x14ac:dyDescent="0.45">
      <c r="I2091" t="s">
        <v>199</v>
      </c>
      <c r="J2091" t="s">
        <v>260</v>
      </c>
      <c r="K2091">
        <v>3.2848125729240542E-2</v>
      </c>
      <c r="L2091" t="s">
        <v>168</v>
      </c>
    </row>
    <row r="2092" spans="9:12" x14ac:dyDescent="0.45">
      <c r="I2092" t="s">
        <v>199</v>
      </c>
      <c r="J2092" t="s">
        <v>261</v>
      </c>
      <c r="K2092">
        <v>5.888220292763259E-2</v>
      </c>
      <c r="L2092" t="s">
        <v>168</v>
      </c>
    </row>
    <row r="2093" spans="9:12" x14ac:dyDescent="0.45">
      <c r="I2093" t="s">
        <v>199</v>
      </c>
      <c r="J2093" t="s">
        <v>174</v>
      </c>
      <c r="K2093">
        <v>9.6876895691527434E-3</v>
      </c>
      <c r="L2093" t="s">
        <v>168</v>
      </c>
    </row>
    <row r="2094" spans="9:12" x14ac:dyDescent="0.45">
      <c r="I2094" t="s">
        <v>199</v>
      </c>
      <c r="J2094" t="s">
        <v>175</v>
      </c>
      <c r="K2094">
        <v>9.198943264085449E-3</v>
      </c>
      <c r="L2094" t="s">
        <v>168</v>
      </c>
    </row>
    <row r="2095" spans="9:12" x14ac:dyDescent="0.45">
      <c r="I2095" t="s">
        <v>199</v>
      </c>
      <c r="J2095" t="s">
        <v>176</v>
      </c>
      <c r="K2095">
        <v>1.1103328965813283E-2</v>
      </c>
      <c r="L2095" t="s">
        <v>168</v>
      </c>
    </row>
    <row r="2096" spans="9:12" x14ac:dyDescent="0.45">
      <c r="I2096" t="s">
        <v>199</v>
      </c>
      <c r="J2096" t="s">
        <v>262</v>
      </c>
      <c r="K2096">
        <v>7.3138402293353472E-2</v>
      </c>
      <c r="L2096" t="s">
        <v>168</v>
      </c>
    </row>
    <row r="2097" spans="9:12" x14ac:dyDescent="0.45">
      <c r="I2097" t="s">
        <v>199</v>
      </c>
      <c r="J2097" t="s">
        <v>263</v>
      </c>
      <c r="K2097">
        <v>1.0201649801000157E-2</v>
      </c>
      <c r="L2097" t="s">
        <v>168</v>
      </c>
    </row>
    <row r="2098" spans="9:12" x14ac:dyDescent="0.45">
      <c r="I2098" t="s">
        <v>199</v>
      </c>
      <c r="J2098" t="s">
        <v>264</v>
      </c>
      <c r="K2098">
        <v>2.1810706249272189E-2</v>
      </c>
      <c r="L2098" t="s">
        <v>168</v>
      </c>
    </row>
    <row r="2099" spans="9:12" x14ac:dyDescent="0.45">
      <c r="I2099" t="s">
        <v>199</v>
      </c>
      <c r="J2099" t="s">
        <v>265</v>
      </c>
      <c r="K2099">
        <v>7.6100906169890284E-3</v>
      </c>
      <c r="L2099" t="s">
        <v>168</v>
      </c>
    </row>
    <row r="2100" spans="9:12" x14ac:dyDescent="0.45">
      <c r="I2100" t="s">
        <v>199</v>
      </c>
      <c r="J2100" t="s">
        <v>266</v>
      </c>
      <c r="K2100">
        <v>8.8376690285655434E-3</v>
      </c>
      <c r="L2100" t="s">
        <v>168</v>
      </c>
    </row>
    <row r="2101" spans="9:12" x14ac:dyDescent="0.45">
      <c r="I2101" t="s">
        <v>199</v>
      </c>
      <c r="J2101" t="s">
        <v>267</v>
      </c>
      <c r="K2101">
        <v>1.0628349565311815E-2</v>
      </c>
      <c r="L2101" t="s">
        <v>168</v>
      </c>
    </row>
    <row r="2102" spans="9:12" x14ac:dyDescent="0.45">
      <c r="I2102" t="s">
        <v>199</v>
      </c>
      <c r="J2102" t="s">
        <v>268</v>
      </c>
      <c r="K2102">
        <v>7.0349738379408375E-2</v>
      </c>
      <c r="L2102" t="s">
        <v>168</v>
      </c>
    </row>
    <row r="2103" spans="9:12" x14ac:dyDescent="0.45">
      <c r="I2103" t="s">
        <v>199</v>
      </c>
      <c r="J2103" t="s">
        <v>269</v>
      </c>
      <c r="K2103">
        <v>1.0674921156864603E-2</v>
      </c>
      <c r="L2103" t="s">
        <v>168</v>
      </c>
    </row>
    <row r="2104" spans="9:12" x14ac:dyDescent="0.45">
      <c r="I2104" t="s">
        <v>199</v>
      </c>
      <c r="J2104" t="s">
        <v>270</v>
      </c>
      <c r="K2104">
        <v>2.0185460921915439E-2</v>
      </c>
      <c r="L2104" t="s">
        <v>168</v>
      </c>
    </row>
    <row r="2105" spans="9:12" x14ac:dyDescent="0.45">
      <c r="I2105" t="s">
        <v>199</v>
      </c>
      <c r="J2105" t="s">
        <v>271</v>
      </c>
      <c r="K2105">
        <v>3.2757097804403824E-3</v>
      </c>
      <c r="L2105" t="s">
        <v>168</v>
      </c>
    </row>
    <row r="2106" spans="9:12" x14ac:dyDescent="0.45">
      <c r="I2106" t="s">
        <v>199</v>
      </c>
      <c r="J2106" t="s">
        <v>272</v>
      </c>
      <c r="K2106">
        <v>5.6845526278778927E-3</v>
      </c>
      <c r="L2106" t="s">
        <v>168</v>
      </c>
    </row>
    <row r="2107" spans="9:12" x14ac:dyDescent="0.45">
      <c r="I2107" t="s">
        <v>199</v>
      </c>
      <c r="J2107" t="s">
        <v>273</v>
      </c>
      <c r="K2107">
        <v>8.0343767619156237E-3</v>
      </c>
      <c r="L2107" t="s">
        <v>168</v>
      </c>
    </row>
    <row r="2108" spans="9:12" x14ac:dyDescent="0.45">
      <c r="I2108" t="s">
        <v>199</v>
      </c>
      <c r="J2108" t="s">
        <v>274</v>
      </c>
      <c r="K2108">
        <v>5.5328875817034752E-2</v>
      </c>
      <c r="L2108" t="s">
        <v>168</v>
      </c>
    </row>
    <row r="2109" spans="9:12" x14ac:dyDescent="0.45">
      <c r="I2109" t="s">
        <v>199</v>
      </c>
      <c r="J2109" t="s">
        <v>275</v>
      </c>
      <c r="K2109">
        <v>7.8903446957435518E-3</v>
      </c>
      <c r="L2109" t="s">
        <v>168</v>
      </c>
    </row>
    <row r="2110" spans="9:12" x14ac:dyDescent="0.45">
      <c r="I2110" t="s">
        <v>199</v>
      </c>
      <c r="J2110" t="s">
        <v>276</v>
      </c>
      <c r="K2110">
        <v>1.07402277162587E-2</v>
      </c>
      <c r="L2110" t="s">
        <v>168</v>
      </c>
    </row>
    <row r="2111" spans="9:12" x14ac:dyDescent="0.45">
      <c r="I2111" t="s">
        <v>199</v>
      </c>
      <c r="J2111" t="s">
        <v>341</v>
      </c>
      <c r="K2111">
        <v>0</v>
      </c>
      <c r="L2111" t="s">
        <v>168</v>
      </c>
    </row>
    <row r="2112" spans="9:12" x14ac:dyDescent="0.45">
      <c r="I2112" t="s">
        <v>199</v>
      </c>
      <c r="J2112" t="s">
        <v>342</v>
      </c>
      <c r="K2112">
        <v>0</v>
      </c>
      <c r="L2112" t="s">
        <v>168</v>
      </c>
    </row>
    <row r="2113" spans="9:12" x14ac:dyDescent="0.45">
      <c r="I2113" t="s">
        <v>199</v>
      </c>
      <c r="J2113" t="s">
        <v>343</v>
      </c>
      <c r="K2113">
        <v>0</v>
      </c>
      <c r="L2113" t="s">
        <v>168</v>
      </c>
    </row>
    <row r="2114" spans="9:12" x14ac:dyDescent="0.45">
      <c r="I2114" t="s">
        <v>199</v>
      </c>
      <c r="J2114" t="s">
        <v>344</v>
      </c>
      <c r="K2114">
        <v>0</v>
      </c>
      <c r="L2114" t="s">
        <v>168</v>
      </c>
    </row>
    <row r="2115" spans="9:12" x14ac:dyDescent="0.45">
      <c r="I2115" t="s">
        <v>199</v>
      </c>
      <c r="J2115" t="s">
        <v>345</v>
      </c>
      <c r="K2115">
        <v>0</v>
      </c>
      <c r="L2115" t="s">
        <v>168</v>
      </c>
    </row>
    <row r="2116" spans="9:12" x14ac:dyDescent="0.45">
      <c r="I2116" t="s">
        <v>199</v>
      </c>
      <c r="J2116" t="s">
        <v>346</v>
      </c>
      <c r="K2116">
        <v>0</v>
      </c>
      <c r="L2116" t="s">
        <v>168</v>
      </c>
    </row>
    <row r="2117" spans="9:12" x14ac:dyDescent="0.45">
      <c r="I2117" t="s">
        <v>199</v>
      </c>
      <c r="J2117" t="s">
        <v>347</v>
      </c>
      <c r="K2117">
        <v>0</v>
      </c>
      <c r="L2117" t="s">
        <v>168</v>
      </c>
    </row>
    <row r="2118" spans="9:12" x14ac:dyDescent="0.45">
      <c r="I2118" t="s">
        <v>199</v>
      </c>
      <c r="J2118" t="s">
        <v>348</v>
      </c>
      <c r="K2118">
        <v>1.4326732857943784E-4</v>
      </c>
      <c r="L2118" t="s">
        <v>168</v>
      </c>
    </row>
    <row r="2119" spans="9:12" x14ac:dyDescent="0.45">
      <c r="I2119" t="s">
        <v>199</v>
      </c>
      <c r="J2119" t="s">
        <v>349</v>
      </c>
      <c r="K2119">
        <v>2.5561948162155254E-4</v>
      </c>
      <c r="L2119" t="s">
        <v>168</v>
      </c>
    </row>
    <row r="2120" spans="9:12" x14ac:dyDescent="0.45">
      <c r="I2120" t="s">
        <v>199</v>
      </c>
      <c r="J2120" t="s">
        <v>350</v>
      </c>
      <c r="K2120">
        <v>3.2328940140181401E-4</v>
      </c>
      <c r="L2120" t="s">
        <v>168</v>
      </c>
    </row>
    <row r="2121" spans="9:12" x14ac:dyDescent="0.45">
      <c r="I2121" t="s">
        <v>199</v>
      </c>
      <c r="J2121" t="s">
        <v>351</v>
      </c>
      <c r="K2121">
        <v>3.5191531793533827E-4</v>
      </c>
      <c r="L2121" t="s">
        <v>168</v>
      </c>
    </row>
    <row r="2122" spans="9:12" x14ac:dyDescent="0.45">
      <c r="I2122" t="s">
        <v>199</v>
      </c>
      <c r="J2122" t="s">
        <v>352</v>
      </c>
      <c r="K2122">
        <v>3.8401896480930197E-4</v>
      </c>
      <c r="L2122" t="s">
        <v>168</v>
      </c>
    </row>
    <row r="2123" spans="9:12" x14ac:dyDescent="0.45">
      <c r="I2123" t="s">
        <v>199</v>
      </c>
      <c r="J2123" t="s">
        <v>353</v>
      </c>
      <c r="K2123">
        <v>3.5941941815939929E-4</v>
      </c>
      <c r="L2123" t="s">
        <v>168</v>
      </c>
    </row>
    <row r="2124" spans="9:12" x14ac:dyDescent="0.45">
      <c r="I2124" t="s">
        <v>199</v>
      </c>
      <c r="J2124" t="s">
        <v>354</v>
      </c>
      <c r="K2124">
        <v>3.5841471020224233E-4</v>
      </c>
      <c r="L2124" t="s">
        <v>168</v>
      </c>
    </row>
    <row r="2125" spans="9:12" x14ac:dyDescent="0.45">
      <c r="I2125" t="s">
        <v>199</v>
      </c>
      <c r="J2125" t="s">
        <v>355</v>
      </c>
      <c r="K2125">
        <v>3.9529422111152354E-4</v>
      </c>
      <c r="L2125" t="s">
        <v>168</v>
      </c>
    </row>
    <row r="2126" spans="9:12" x14ac:dyDescent="0.45">
      <c r="I2126" t="s">
        <v>199</v>
      </c>
      <c r="J2126" t="s">
        <v>356</v>
      </c>
      <c r="K2126">
        <v>3.9107528069447884E-4</v>
      </c>
      <c r="L2126" t="s">
        <v>168</v>
      </c>
    </row>
    <row r="2127" spans="9:12" x14ac:dyDescent="0.45">
      <c r="I2127" t="s">
        <v>199</v>
      </c>
      <c r="J2127" t="s">
        <v>357</v>
      </c>
      <c r="K2127">
        <v>3.5556922149799868E-4</v>
      </c>
      <c r="L2127" t="s">
        <v>168</v>
      </c>
    </row>
    <row r="2128" spans="9:12" x14ac:dyDescent="0.45">
      <c r="I2128" t="s">
        <v>199</v>
      </c>
      <c r="J2128" t="s">
        <v>358</v>
      </c>
      <c r="K2128">
        <v>2.842057856213354E-4</v>
      </c>
      <c r="L2128" t="s">
        <v>168</v>
      </c>
    </row>
    <row r="2129" spans="9:12" x14ac:dyDescent="0.45">
      <c r="I2129" t="s">
        <v>199</v>
      </c>
      <c r="J2129" t="s">
        <v>359</v>
      </c>
      <c r="K2129">
        <v>1.5759046275683422E-4</v>
      </c>
      <c r="L2129" t="s">
        <v>168</v>
      </c>
    </row>
    <row r="2130" spans="9:12" x14ac:dyDescent="0.45">
      <c r="I2130" t="s">
        <v>199</v>
      </c>
      <c r="J2130" t="s">
        <v>360</v>
      </c>
      <c r="K2130">
        <v>0</v>
      </c>
      <c r="L2130" t="s">
        <v>168</v>
      </c>
    </row>
    <row r="2131" spans="9:12" x14ac:dyDescent="0.45">
      <c r="I2131" t="s">
        <v>199</v>
      </c>
      <c r="J2131" t="s">
        <v>361</v>
      </c>
      <c r="K2131">
        <v>0</v>
      </c>
      <c r="L2131" t="s">
        <v>168</v>
      </c>
    </row>
    <row r="2132" spans="9:12" x14ac:dyDescent="0.45">
      <c r="I2132" t="s">
        <v>199</v>
      </c>
      <c r="J2132" t="s">
        <v>362</v>
      </c>
      <c r="K2132">
        <v>0</v>
      </c>
      <c r="L2132" t="s">
        <v>168</v>
      </c>
    </row>
    <row r="2133" spans="9:12" x14ac:dyDescent="0.45">
      <c r="I2133" t="s">
        <v>199</v>
      </c>
      <c r="J2133" t="s">
        <v>363</v>
      </c>
      <c r="K2133">
        <v>0</v>
      </c>
      <c r="L2133" t="s">
        <v>168</v>
      </c>
    </row>
    <row r="2134" spans="9:12" x14ac:dyDescent="0.45">
      <c r="I2134" t="s">
        <v>199</v>
      </c>
      <c r="J2134" t="s">
        <v>364</v>
      </c>
      <c r="K2134">
        <v>0</v>
      </c>
      <c r="L2134" t="s">
        <v>168</v>
      </c>
    </row>
    <row r="2135" spans="9:12" x14ac:dyDescent="0.45">
      <c r="I2135" t="s">
        <v>199</v>
      </c>
      <c r="J2135" t="s">
        <v>277</v>
      </c>
      <c r="K2135">
        <v>3.8914199346699104E-4</v>
      </c>
      <c r="L2135" t="s">
        <v>168</v>
      </c>
    </row>
    <row r="2136" spans="9:12" x14ac:dyDescent="0.45">
      <c r="I2136" t="s">
        <v>199</v>
      </c>
      <c r="J2136" t="s">
        <v>278</v>
      </c>
      <c r="K2136">
        <v>3.4471863979597408E-3</v>
      </c>
      <c r="L2136" t="s">
        <v>168</v>
      </c>
    </row>
    <row r="2137" spans="9:12" x14ac:dyDescent="0.45">
      <c r="I2137" t="s">
        <v>199</v>
      </c>
      <c r="J2137" t="s">
        <v>279</v>
      </c>
      <c r="K2137">
        <v>7.1793326262432023E-3</v>
      </c>
      <c r="L2137" t="s">
        <v>168</v>
      </c>
    </row>
    <row r="2138" spans="9:12" x14ac:dyDescent="0.45">
      <c r="I2138" t="s">
        <v>199</v>
      </c>
      <c r="J2138" t="s">
        <v>280</v>
      </c>
      <c r="K2138">
        <v>7.1709320949948946E-2</v>
      </c>
      <c r="L2138" t="s">
        <v>168</v>
      </c>
    </row>
    <row r="2139" spans="9:12" x14ac:dyDescent="0.45">
      <c r="I2139" t="s">
        <v>199</v>
      </c>
      <c r="J2139" t="s">
        <v>281</v>
      </c>
      <c r="K2139">
        <v>9.1457430134113133E-3</v>
      </c>
      <c r="L2139" t="s">
        <v>168</v>
      </c>
    </row>
    <row r="2140" spans="9:12" x14ac:dyDescent="0.45">
      <c r="I2140" t="s">
        <v>199</v>
      </c>
      <c r="J2140" t="s">
        <v>282</v>
      </c>
      <c r="K2140">
        <v>5.5968008298686849E-3</v>
      </c>
      <c r="L2140" t="s">
        <v>168</v>
      </c>
    </row>
    <row r="2141" spans="9:12" x14ac:dyDescent="0.45">
      <c r="I2141" t="s">
        <v>199</v>
      </c>
      <c r="J2141" t="s">
        <v>283</v>
      </c>
      <c r="K2141">
        <v>0</v>
      </c>
      <c r="L2141" t="s">
        <v>168</v>
      </c>
    </row>
    <row r="2142" spans="9:12" x14ac:dyDescent="0.45">
      <c r="I2142" t="s">
        <v>199</v>
      </c>
      <c r="J2142" t="s">
        <v>284</v>
      </c>
      <c r="K2142">
        <v>0</v>
      </c>
      <c r="L2142" t="s">
        <v>168</v>
      </c>
    </row>
    <row r="2143" spans="9:12" x14ac:dyDescent="0.45">
      <c r="I2143" t="s">
        <v>199</v>
      </c>
      <c r="J2143" t="s">
        <v>285</v>
      </c>
      <c r="K2143">
        <v>2.7114228297845195E-3</v>
      </c>
      <c r="L2143" t="s">
        <v>168</v>
      </c>
    </row>
    <row r="2144" spans="9:12" x14ac:dyDescent="0.45">
      <c r="I2144" t="s">
        <v>199</v>
      </c>
      <c r="J2144" t="s">
        <v>286</v>
      </c>
      <c r="K2144">
        <v>3.3708860567249276E-2</v>
      </c>
      <c r="L2144" t="s">
        <v>168</v>
      </c>
    </row>
    <row r="2145" spans="9:12" x14ac:dyDescent="0.45">
      <c r="I2145" t="s">
        <v>199</v>
      </c>
      <c r="J2145" t="s">
        <v>287</v>
      </c>
      <c r="K2145">
        <v>4.2454831800720011E-3</v>
      </c>
      <c r="L2145" t="s">
        <v>168</v>
      </c>
    </row>
    <row r="2146" spans="9:12" x14ac:dyDescent="0.45">
      <c r="I2146" t="s">
        <v>199</v>
      </c>
      <c r="J2146" t="s">
        <v>288</v>
      </c>
      <c r="K2146">
        <v>2.892313698541906E-4</v>
      </c>
      <c r="L2146" t="s">
        <v>168</v>
      </c>
    </row>
    <row r="2147" spans="9:12" x14ac:dyDescent="0.45">
      <c r="I2147" t="s">
        <v>199</v>
      </c>
      <c r="J2147" t="s">
        <v>365</v>
      </c>
      <c r="K2147">
        <v>0</v>
      </c>
      <c r="L2147" t="s">
        <v>168</v>
      </c>
    </row>
    <row r="2148" spans="9:12" x14ac:dyDescent="0.45">
      <c r="I2148" t="s">
        <v>199</v>
      </c>
      <c r="J2148" t="s">
        <v>366</v>
      </c>
      <c r="K2148">
        <v>0</v>
      </c>
      <c r="L2148" t="s">
        <v>168</v>
      </c>
    </row>
    <row r="2149" spans="9:12" x14ac:dyDescent="0.45">
      <c r="I2149" t="s">
        <v>199</v>
      </c>
      <c r="J2149" t="s">
        <v>367</v>
      </c>
      <c r="K2149">
        <v>0</v>
      </c>
      <c r="L2149" t="s">
        <v>168</v>
      </c>
    </row>
    <row r="2150" spans="9:12" x14ac:dyDescent="0.45">
      <c r="I2150" t="s">
        <v>199</v>
      </c>
      <c r="J2150" t="s">
        <v>368</v>
      </c>
      <c r="K2150">
        <v>0</v>
      </c>
      <c r="L2150" t="s">
        <v>168</v>
      </c>
    </row>
    <row r="2151" spans="9:12" x14ac:dyDescent="0.45">
      <c r="I2151" t="s">
        <v>199</v>
      </c>
      <c r="J2151" t="s">
        <v>369</v>
      </c>
      <c r="K2151">
        <v>0</v>
      </c>
      <c r="L2151" t="s">
        <v>168</v>
      </c>
    </row>
    <row r="2152" spans="9:12" x14ac:dyDescent="0.45">
      <c r="I2152" t="s">
        <v>199</v>
      </c>
      <c r="J2152" t="s">
        <v>370</v>
      </c>
      <c r="K2152">
        <v>0</v>
      </c>
      <c r="L2152" t="s">
        <v>168</v>
      </c>
    </row>
    <row r="2153" spans="9:12" x14ac:dyDescent="0.45">
      <c r="I2153" t="s">
        <v>199</v>
      </c>
      <c r="J2153" t="s">
        <v>371</v>
      </c>
      <c r="K2153">
        <v>0</v>
      </c>
      <c r="L2153" t="s">
        <v>168</v>
      </c>
    </row>
    <row r="2154" spans="9:12" x14ac:dyDescent="0.45">
      <c r="I2154" t="s">
        <v>199</v>
      </c>
      <c r="J2154" t="s">
        <v>372</v>
      </c>
      <c r="K2154">
        <v>0</v>
      </c>
      <c r="L2154" t="s">
        <v>168</v>
      </c>
    </row>
    <row r="2155" spans="9:12" x14ac:dyDescent="0.45">
      <c r="I2155" t="s">
        <v>199</v>
      </c>
      <c r="J2155" t="s">
        <v>373</v>
      </c>
      <c r="K2155">
        <v>0</v>
      </c>
      <c r="L2155" t="s">
        <v>168</v>
      </c>
    </row>
    <row r="2156" spans="9:12" x14ac:dyDescent="0.45">
      <c r="I2156" t="s">
        <v>199</v>
      </c>
      <c r="J2156" t="s">
        <v>374</v>
      </c>
      <c r="K2156">
        <v>3.1703617687933393E-5</v>
      </c>
      <c r="L2156" t="s">
        <v>168</v>
      </c>
    </row>
    <row r="2157" spans="9:12" x14ac:dyDescent="0.45">
      <c r="I2157" t="s">
        <v>199</v>
      </c>
      <c r="J2157" t="s">
        <v>375</v>
      </c>
      <c r="K2157">
        <v>8.9091711439152657E-5</v>
      </c>
      <c r="L2157" t="s">
        <v>168</v>
      </c>
    </row>
    <row r="2158" spans="9:12" x14ac:dyDescent="0.45">
      <c r="I2158" t="s">
        <v>199</v>
      </c>
      <c r="J2158" t="s">
        <v>376</v>
      </c>
      <c r="K2158">
        <v>1.4245471334680462E-4</v>
      </c>
      <c r="L2158" t="s">
        <v>168</v>
      </c>
    </row>
    <row r="2159" spans="9:12" x14ac:dyDescent="0.45">
      <c r="I2159" t="s">
        <v>199</v>
      </c>
      <c r="J2159" t="s">
        <v>377</v>
      </c>
      <c r="K2159">
        <v>1.8277915916947244E-4</v>
      </c>
      <c r="L2159" t="s">
        <v>168</v>
      </c>
    </row>
    <row r="2160" spans="9:12" x14ac:dyDescent="0.45">
      <c r="I2160" t="s">
        <v>199</v>
      </c>
      <c r="J2160" t="s">
        <v>378</v>
      </c>
      <c r="K2160">
        <v>1.6975951520828203E-4</v>
      </c>
      <c r="L2160" t="s">
        <v>168</v>
      </c>
    </row>
    <row r="2161" spans="9:12" x14ac:dyDescent="0.45">
      <c r="I2161" t="s">
        <v>199</v>
      </c>
      <c r="J2161" t="s">
        <v>379</v>
      </c>
      <c r="K2161">
        <v>2.1479945147590189E-4</v>
      </c>
      <c r="L2161" t="s">
        <v>168</v>
      </c>
    </row>
    <row r="2162" spans="9:12" x14ac:dyDescent="0.45">
      <c r="I2162" t="s">
        <v>199</v>
      </c>
      <c r="J2162" t="s">
        <v>380</v>
      </c>
      <c r="K2162">
        <v>1.9263049419747797E-4</v>
      </c>
      <c r="L2162" t="s">
        <v>168</v>
      </c>
    </row>
    <row r="2163" spans="9:12" x14ac:dyDescent="0.45">
      <c r="I2163" t="s">
        <v>199</v>
      </c>
      <c r="J2163" t="s">
        <v>381</v>
      </c>
      <c r="K2163">
        <v>1.3576385094594818E-4</v>
      </c>
      <c r="L2163" t="s">
        <v>168</v>
      </c>
    </row>
    <row r="2164" spans="9:12" x14ac:dyDescent="0.45">
      <c r="I2164" t="s">
        <v>199</v>
      </c>
      <c r="J2164" t="s">
        <v>382</v>
      </c>
      <c r="K2164">
        <v>0</v>
      </c>
      <c r="L2164" t="s">
        <v>168</v>
      </c>
    </row>
    <row r="2165" spans="9:12" x14ac:dyDescent="0.45">
      <c r="I2165" t="s">
        <v>199</v>
      </c>
      <c r="J2165" t="s">
        <v>383</v>
      </c>
      <c r="K2165">
        <v>0</v>
      </c>
      <c r="L2165" t="s">
        <v>168</v>
      </c>
    </row>
    <row r="2166" spans="9:12" x14ac:dyDescent="0.45">
      <c r="I2166" t="s">
        <v>199</v>
      </c>
      <c r="J2166" t="s">
        <v>384</v>
      </c>
      <c r="K2166">
        <v>0</v>
      </c>
      <c r="L2166" t="s">
        <v>168</v>
      </c>
    </row>
    <row r="2167" spans="9:12" x14ac:dyDescent="0.45">
      <c r="I2167" t="s">
        <v>199</v>
      </c>
      <c r="J2167" t="s">
        <v>385</v>
      </c>
      <c r="K2167">
        <v>0</v>
      </c>
      <c r="L2167" t="s">
        <v>168</v>
      </c>
    </row>
    <row r="2168" spans="9:12" x14ac:dyDescent="0.45">
      <c r="I2168" t="s">
        <v>199</v>
      </c>
      <c r="J2168" t="s">
        <v>386</v>
      </c>
      <c r="K2168">
        <v>0</v>
      </c>
      <c r="L2168" t="s">
        <v>168</v>
      </c>
    </row>
    <row r="2169" spans="9:12" x14ac:dyDescent="0.45">
      <c r="I2169" t="s">
        <v>199</v>
      </c>
      <c r="J2169" t="s">
        <v>387</v>
      </c>
      <c r="K2169">
        <v>0</v>
      </c>
      <c r="L2169" t="s">
        <v>168</v>
      </c>
    </row>
    <row r="2170" spans="9:12" x14ac:dyDescent="0.45">
      <c r="I2170" t="s">
        <v>199</v>
      </c>
      <c r="J2170" t="s">
        <v>388</v>
      </c>
      <c r="K2170">
        <v>0</v>
      </c>
      <c r="L2170" t="s">
        <v>168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14E06-7186-44B0-B874-C409BC400865}">
  <dimension ref="A9:AN39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45">
      <c r="A10" t="s">
        <v>106</v>
      </c>
      <c r="C10" t="s">
        <v>152</v>
      </c>
      <c r="D10" t="s">
        <v>153</v>
      </c>
      <c r="E10" t="s">
        <v>154</v>
      </c>
      <c r="F10" t="s">
        <v>155</v>
      </c>
      <c r="G10" t="s">
        <v>156</v>
      </c>
      <c r="I10" t="s">
        <v>13</v>
      </c>
      <c r="J10" t="s">
        <v>121</v>
      </c>
      <c r="K10" t="s">
        <v>165</v>
      </c>
      <c r="L10" t="s">
        <v>30</v>
      </c>
      <c r="N10" t="s">
        <v>13</v>
      </c>
      <c r="O10" t="s">
        <v>121</v>
      </c>
      <c r="P10" t="s">
        <v>165</v>
      </c>
      <c r="Q10" t="s">
        <v>30</v>
      </c>
      <c r="S10" t="s">
        <v>13</v>
      </c>
      <c r="T10" t="s">
        <v>121</v>
      </c>
      <c r="U10" t="s">
        <v>165</v>
      </c>
      <c r="V10" t="s">
        <v>30</v>
      </c>
      <c r="X10" t="s">
        <v>238</v>
      </c>
      <c r="Y10" t="s">
        <v>165</v>
      </c>
      <c r="Z10" t="s">
        <v>121</v>
      </c>
      <c r="AA10" t="s">
        <v>13</v>
      </c>
      <c r="AC10" t="s">
        <v>13</v>
      </c>
      <c r="AD10" t="s">
        <v>121</v>
      </c>
      <c r="AE10" t="s">
        <v>165</v>
      </c>
      <c r="AG10" t="s">
        <v>13</v>
      </c>
      <c r="AH10" t="s">
        <v>121</v>
      </c>
      <c r="AI10" t="s">
        <v>244</v>
      </c>
      <c r="AK10" t="s">
        <v>47</v>
      </c>
      <c r="AL10" t="s">
        <v>121</v>
      </c>
      <c r="AM10" t="s">
        <v>245</v>
      </c>
      <c r="AN10" t="s">
        <v>246</v>
      </c>
    </row>
    <row r="11" spans="1:40" x14ac:dyDescent="0.45">
      <c r="A11" t="str">
        <f>IFERROR(IF(Veda!D5=A10,"ok","x"),"")</f>
        <v>ok</v>
      </c>
      <c r="C11" t="s">
        <v>391</v>
      </c>
      <c r="D11" t="s">
        <v>158</v>
      </c>
      <c r="E11" t="s">
        <v>392</v>
      </c>
      <c r="F11" t="s">
        <v>391</v>
      </c>
      <c r="G11" t="s">
        <v>158</v>
      </c>
      <c r="I11" t="s">
        <v>166</v>
      </c>
      <c r="J11" t="s">
        <v>393</v>
      </c>
      <c r="K11">
        <v>1.0000000000000004</v>
      </c>
      <c r="L11" t="s">
        <v>168</v>
      </c>
      <c r="N11" t="s">
        <v>200</v>
      </c>
      <c r="O11" t="s">
        <v>393</v>
      </c>
      <c r="P11">
        <v>0.999999999999998</v>
      </c>
      <c r="Q11" t="s">
        <v>168</v>
      </c>
      <c r="S11" t="s">
        <v>219</v>
      </c>
      <c r="T11" t="s">
        <v>393</v>
      </c>
      <c r="U11">
        <v>1.0000000000000007</v>
      </c>
      <c r="V11" t="s">
        <v>168</v>
      </c>
      <c r="X11">
        <v>1</v>
      </c>
      <c r="Y11">
        <v>1.0000000000000002</v>
      </c>
      <c r="Z11" t="s">
        <v>393</v>
      </c>
      <c r="AA11" t="s">
        <v>25</v>
      </c>
      <c r="AC11" t="s">
        <v>22</v>
      </c>
      <c r="AD11" t="s">
        <v>393</v>
      </c>
      <c r="AE11">
        <v>1</v>
      </c>
      <c r="AG11" t="s">
        <v>96</v>
      </c>
      <c r="AH11" t="s">
        <v>393</v>
      </c>
      <c r="AI11">
        <v>0.29960038929139898</v>
      </c>
      <c r="AK11">
        <v>2020</v>
      </c>
      <c r="AL11" t="s">
        <v>391</v>
      </c>
      <c r="AM11">
        <v>0.26517207047611197</v>
      </c>
      <c r="AN11" t="s">
        <v>247</v>
      </c>
    </row>
    <row r="12" spans="1:40" x14ac:dyDescent="0.45">
      <c r="I12" t="s">
        <v>177</v>
      </c>
      <c r="J12" t="s">
        <v>393</v>
      </c>
      <c r="K12">
        <v>0.99999999999999722</v>
      </c>
      <c r="L12" t="s">
        <v>168</v>
      </c>
      <c r="N12" t="s">
        <v>201</v>
      </c>
      <c r="O12" t="s">
        <v>393</v>
      </c>
      <c r="P12">
        <v>0.99999999999999978</v>
      </c>
      <c r="Q12" t="s">
        <v>168</v>
      </c>
      <c r="S12" t="s">
        <v>220</v>
      </c>
      <c r="T12" t="s">
        <v>393</v>
      </c>
      <c r="U12">
        <v>0.99999999999999967</v>
      </c>
      <c r="V12" t="s">
        <v>168</v>
      </c>
      <c r="AC12" t="s">
        <v>19</v>
      </c>
      <c r="AD12" t="s">
        <v>393</v>
      </c>
      <c r="AE12">
        <v>1</v>
      </c>
      <c r="AK12">
        <v>2021</v>
      </c>
      <c r="AL12" t="s">
        <v>391</v>
      </c>
      <c r="AM12">
        <v>0.24868903323440197</v>
      </c>
      <c r="AN12" t="s">
        <v>247</v>
      </c>
    </row>
    <row r="13" spans="1:40" x14ac:dyDescent="0.45">
      <c r="I13" t="s">
        <v>178</v>
      </c>
      <c r="J13" t="s">
        <v>393</v>
      </c>
      <c r="K13">
        <v>1.0000000000000038</v>
      </c>
      <c r="L13" t="s">
        <v>168</v>
      </c>
      <c r="N13" t="s">
        <v>202</v>
      </c>
      <c r="O13" t="s">
        <v>393</v>
      </c>
      <c r="P13">
        <v>0.999999999999997</v>
      </c>
      <c r="Q13" t="s">
        <v>168</v>
      </c>
      <c r="S13" t="s">
        <v>221</v>
      </c>
      <c r="T13" t="s">
        <v>393</v>
      </c>
      <c r="U13">
        <v>1.0000000000000067</v>
      </c>
      <c r="V13" t="s">
        <v>168</v>
      </c>
      <c r="AK13">
        <v>2022</v>
      </c>
      <c r="AL13" t="s">
        <v>391</v>
      </c>
      <c r="AM13">
        <v>0.15871711334515723</v>
      </c>
      <c r="AN13" t="s">
        <v>247</v>
      </c>
    </row>
    <row r="14" spans="1:40" x14ac:dyDescent="0.45">
      <c r="I14" t="s">
        <v>179</v>
      </c>
      <c r="J14" t="s">
        <v>393</v>
      </c>
      <c r="K14">
        <v>0.99999999999999956</v>
      </c>
      <c r="L14" t="s">
        <v>168</v>
      </c>
      <c r="N14" t="s">
        <v>203</v>
      </c>
      <c r="O14" t="s">
        <v>393</v>
      </c>
      <c r="P14">
        <v>0.99999999999999711</v>
      </c>
      <c r="Q14" t="s">
        <v>168</v>
      </c>
      <c r="S14" t="s">
        <v>222</v>
      </c>
      <c r="T14" t="s">
        <v>393</v>
      </c>
      <c r="U14">
        <v>1</v>
      </c>
      <c r="V14" t="s">
        <v>168</v>
      </c>
      <c r="AK14">
        <v>2025</v>
      </c>
      <c r="AL14" t="s">
        <v>391</v>
      </c>
      <c r="AM14">
        <v>0.26771666666666666</v>
      </c>
      <c r="AN14" t="s">
        <v>247</v>
      </c>
    </row>
    <row r="15" spans="1:40" x14ac:dyDescent="0.45">
      <c r="I15" t="s">
        <v>180</v>
      </c>
      <c r="J15" t="s">
        <v>393</v>
      </c>
      <c r="K15">
        <v>1</v>
      </c>
      <c r="L15" t="s">
        <v>168</v>
      </c>
      <c r="N15" t="s">
        <v>204</v>
      </c>
      <c r="O15" t="s">
        <v>393</v>
      </c>
      <c r="P15">
        <v>1</v>
      </c>
      <c r="Q15" t="s">
        <v>168</v>
      </c>
      <c r="S15" t="s">
        <v>223</v>
      </c>
      <c r="T15" t="s">
        <v>393</v>
      </c>
      <c r="U15">
        <v>1.000000000000004</v>
      </c>
      <c r="V15" t="s">
        <v>168</v>
      </c>
      <c r="AK15">
        <v>2026</v>
      </c>
      <c r="AL15" t="s">
        <v>391</v>
      </c>
      <c r="AM15">
        <v>0.199875</v>
      </c>
      <c r="AN15" t="s">
        <v>247</v>
      </c>
    </row>
    <row r="16" spans="1:40" x14ac:dyDescent="0.45">
      <c r="I16" t="s">
        <v>181</v>
      </c>
      <c r="J16" t="s">
        <v>393</v>
      </c>
      <c r="K16">
        <v>1.0000000000000029</v>
      </c>
      <c r="L16" t="s">
        <v>168</v>
      </c>
      <c r="N16" t="s">
        <v>205</v>
      </c>
      <c r="O16" t="s">
        <v>393</v>
      </c>
      <c r="P16">
        <v>0.99999999999999911</v>
      </c>
      <c r="Q16" t="s">
        <v>168</v>
      </c>
      <c r="S16" t="s">
        <v>224</v>
      </c>
      <c r="T16" t="s">
        <v>393</v>
      </c>
      <c r="U16">
        <v>0.99999999999999989</v>
      </c>
      <c r="V16" t="s">
        <v>168</v>
      </c>
      <c r="AK16">
        <v>2027</v>
      </c>
      <c r="AL16" t="s">
        <v>391</v>
      </c>
      <c r="AM16">
        <v>0.20223333333333335</v>
      </c>
      <c r="AN16" t="s">
        <v>247</v>
      </c>
    </row>
    <row r="17" spans="9:40" x14ac:dyDescent="0.45">
      <c r="I17" t="s">
        <v>182</v>
      </c>
      <c r="J17" t="s">
        <v>393</v>
      </c>
      <c r="K17">
        <v>1.0000000000000022</v>
      </c>
      <c r="L17" t="s">
        <v>168</v>
      </c>
      <c r="N17" t="s">
        <v>206</v>
      </c>
      <c r="O17" t="s">
        <v>393</v>
      </c>
      <c r="P17">
        <v>0.99999999999999778</v>
      </c>
      <c r="Q17" t="s">
        <v>168</v>
      </c>
      <c r="S17" t="s">
        <v>225</v>
      </c>
      <c r="T17" t="s">
        <v>393</v>
      </c>
      <c r="U17">
        <v>1.0000000000000013</v>
      </c>
      <c r="V17" t="s">
        <v>168</v>
      </c>
      <c r="AK17">
        <v>2028</v>
      </c>
      <c r="AL17" t="s">
        <v>391</v>
      </c>
      <c r="AM17">
        <v>0.236175</v>
      </c>
      <c r="AN17" t="s">
        <v>247</v>
      </c>
    </row>
    <row r="18" spans="9:40" x14ac:dyDescent="0.45">
      <c r="I18" t="s">
        <v>183</v>
      </c>
      <c r="J18" t="s">
        <v>393</v>
      </c>
      <c r="K18">
        <v>1.0000000000000009</v>
      </c>
      <c r="L18" t="s">
        <v>168</v>
      </c>
      <c r="N18" t="s">
        <v>207</v>
      </c>
      <c r="O18" t="s">
        <v>393</v>
      </c>
      <c r="P18">
        <v>1.0000000000000004</v>
      </c>
      <c r="Q18" t="s">
        <v>168</v>
      </c>
      <c r="S18" t="s">
        <v>226</v>
      </c>
      <c r="T18" t="s">
        <v>393</v>
      </c>
      <c r="U18">
        <v>1.000000000000002</v>
      </c>
      <c r="V18" t="s">
        <v>168</v>
      </c>
      <c r="AK18">
        <v>2029</v>
      </c>
      <c r="AL18" t="s">
        <v>391</v>
      </c>
      <c r="AM18">
        <v>0.22822500000000004</v>
      </c>
      <c r="AN18" t="s">
        <v>247</v>
      </c>
    </row>
    <row r="19" spans="9:40" x14ac:dyDescent="0.45">
      <c r="I19" t="s">
        <v>184</v>
      </c>
      <c r="J19" t="s">
        <v>393</v>
      </c>
      <c r="K19">
        <v>1.0000000000000029</v>
      </c>
      <c r="L19" t="s">
        <v>168</v>
      </c>
      <c r="N19" t="s">
        <v>208</v>
      </c>
      <c r="O19" t="s">
        <v>393</v>
      </c>
      <c r="P19">
        <v>0.99999999999999645</v>
      </c>
      <c r="Q19" t="s">
        <v>168</v>
      </c>
      <c r="S19" t="s">
        <v>227</v>
      </c>
      <c r="T19" t="s">
        <v>393</v>
      </c>
      <c r="U19">
        <v>0.99999999999999756</v>
      </c>
      <c r="V19" t="s">
        <v>168</v>
      </c>
      <c r="AK19">
        <v>2030</v>
      </c>
      <c r="AL19" t="s">
        <v>391</v>
      </c>
      <c r="AM19">
        <v>0.23554166666666668</v>
      </c>
      <c r="AN19" t="s">
        <v>247</v>
      </c>
    </row>
    <row r="20" spans="9:40" x14ac:dyDescent="0.45">
      <c r="I20" t="s">
        <v>185</v>
      </c>
      <c r="J20" t="s">
        <v>393</v>
      </c>
      <c r="K20">
        <v>0.99999999999999878</v>
      </c>
      <c r="L20" t="s">
        <v>168</v>
      </c>
      <c r="N20" t="s">
        <v>209</v>
      </c>
      <c r="O20" t="s">
        <v>393</v>
      </c>
      <c r="P20">
        <v>0.999999999999998</v>
      </c>
      <c r="Q20" t="s">
        <v>168</v>
      </c>
      <c r="S20" t="s">
        <v>228</v>
      </c>
      <c r="T20" t="s">
        <v>393</v>
      </c>
      <c r="U20">
        <v>0.99999999999999967</v>
      </c>
      <c r="V20" t="s">
        <v>168</v>
      </c>
      <c r="AK20">
        <v>2031</v>
      </c>
      <c r="AL20" t="s">
        <v>391</v>
      </c>
      <c r="AM20">
        <v>0.23179999999999998</v>
      </c>
      <c r="AN20" t="s">
        <v>247</v>
      </c>
    </row>
    <row r="21" spans="9:40" x14ac:dyDescent="0.45">
      <c r="I21" t="s">
        <v>186</v>
      </c>
      <c r="J21" t="s">
        <v>393</v>
      </c>
      <c r="K21">
        <v>1.0000000000000016</v>
      </c>
      <c r="L21" t="s">
        <v>168</v>
      </c>
      <c r="N21" t="s">
        <v>210</v>
      </c>
      <c r="O21" t="s">
        <v>393</v>
      </c>
      <c r="P21">
        <v>1.0000000000000018</v>
      </c>
      <c r="Q21" t="s">
        <v>168</v>
      </c>
      <c r="S21" t="s">
        <v>229</v>
      </c>
      <c r="T21" t="s">
        <v>393</v>
      </c>
      <c r="U21">
        <v>1.0000000000000022</v>
      </c>
      <c r="V21" t="s">
        <v>168</v>
      </c>
      <c r="AK21">
        <v>2032</v>
      </c>
      <c r="AL21" t="s">
        <v>391</v>
      </c>
      <c r="AM21">
        <v>0.23264166666666666</v>
      </c>
      <c r="AN21" t="s">
        <v>247</v>
      </c>
    </row>
    <row r="22" spans="9:40" x14ac:dyDescent="0.45">
      <c r="I22" t="s">
        <v>187</v>
      </c>
      <c r="J22" t="s">
        <v>393</v>
      </c>
      <c r="K22">
        <v>1.0000000000000002</v>
      </c>
      <c r="L22" t="s">
        <v>168</v>
      </c>
      <c r="N22" t="s">
        <v>211</v>
      </c>
      <c r="O22" t="s">
        <v>393</v>
      </c>
      <c r="P22">
        <v>1.0000000000000004</v>
      </c>
      <c r="Q22" t="s">
        <v>168</v>
      </c>
      <c r="S22" t="s">
        <v>230</v>
      </c>
      <c r="T22" t="s">
        <v>393</v>
      </c>
      <c r="U22">
        <v>1.0000000000000033</v>
      </c>
      <c r="V22" t="s">
        <v>168</v>
      </c>
      <c r="AK22">
        <v>2033</v>
      </c>
      <c r="AL22" t="s">
        <v>391</v>
      </c>
      <c r="AM22">
        <v>0.22911666666666666</v>
      </c>
      <c r="AN22" t="s">
        <v>247</v>
      </c>
    </row>
    <row r="23" spans="9:40" x14ac:dyDescent="0.45">
      <c r="I23" t="s">
        <v>188</v>
      </c>
      <c r="J23" t="s">
        <v>393</v>
      </c>
      <c r="K23">
        <v>0.99999999999999867</v>
      </c>
      <c r="L23" t="s">
        <v>168</v>
      </c>
      <c r="N23" t="s">
        <v>212</v>
      </c>
      <c r="O23" t="s">
        <v>393</v>
      </c>
      <c r="P23">
        <v>0.99999999999999423</v>
      </c>
      <c r="Q23" t="s">
        <v>168</v>
      </c>
      <c r="S23" t="s">
        <v>231</v>
      </c>
      <c r="T23" t="s">
        <v>393</v>
      </c>
      <c r="U23">
        <v>0.99999999999999867</v>
      </c>
      <c r="V23" t="s">
        <v>168</v>
      </c>
      <c r="AK23">
        <v>2034</v>
      </c>
      <c r="AL23" t="s">
        <v>391</v>
      </c>
      <c r="AM23">
        <v>0.23709999999999998</v>
      </c>
      <c r="AN23" t="s">
        <v>247</v>
      </c>
    </row>
    <row r="24" spans="9:40" x14ac:dyDescent="0.45">
      <c r="I24" t="s">
        <v>189</v>
      </c>
      <c r="J24" t="s">
        <v>393</v>
      </c>
      <c r="K24">
        <v>1.0000000000000004</v>
      </c>
      <c r="L24" t="s">
        <v>168</v>
      </c>
      <c r="N24" t="s">
        <v>213</v>
      </c>
      <c r="O24" t="s">
        <v>393</v>
      </c>
      <c r="P24">
        <v>0.99999999999999323</v>
      </c>
      <c r="Q24" t="s">
        <v>168</v>
      </c>
      <c r="S24" t="s">
        <v>232</v>
      </c>
      <c r="T24" t="s">
        <v>393</v>
      </c>
      <c r="U24">
        <v>0.99999999999999634</v>
      </c>
      <c r="V24" t="s">
        <v>168</v>
      </c>
      <c r="AK24">
        <v>2035</v>
      </c>
      <c r="AL24" t="s">
        <v>391</v>
      </c>
      <c r="AM24">
        <v>0.23117500000000002</v>
      </c>
      <c r="AN24" t="s">
        <v>247</v>
      </c>
    </row>
    <row r="25" spans="9:40" x14ac:dyDescent="0.45">
      <c r="I25" t="s">
        <v>190</v>
      </c>
      <c r="J25" t="s">
        <v>393</v>
      </c>
      <c r="K25">
        <v>0.99999999999999878</v>
      </c>
      <c r="L25" t="s">
        <v>168</v>
      </c>
      <c r="N25" t="s">
        <v>214</v>
      </c>
      <c r="O25" t="s">
        <v>393</v>
      </c>
      <c r="P25">
        <v>1.0000000000000044</v>
      </c>
      <c r="Q25" t="s">
        <v>168</v>
      </c>
      <c r="S25" t="s">
        <v>233</v>
      </c>
      <c r="T25" t="s">
        <v>393</v>
      </c>
      <c r="U25">
        <v>1.0000000000000011</v>
      </c>
      <c r="V25" t="s">
        <v>168</v>
      </c>
      <c r="AK25">
        <v>2036</v>
      </c>
      <c r="AL25" t="s">
        <v>391</v>
      </c>
      <c r="AM25">
        <v>0.22721666666666665</v>
      </c>
      <c r="AN25" t="s">
        <v>247</v>
      </c>
    </row>
    <row r="26" spans="9:40" x14ac:dyDescent="0.45">
      <c r="I26" t="s">
        <v>191</v>
      </c>
      <c r="J26" t="s">
        <v>393</v>
      </c>
      <c r="K26">
        <v>1.0000000000000027</v>
      </c>
      <c r="L26" t="s">
        <v>168</v>
      </c>
      <c r="N26" t="s">
        <v>215</v>
      </c>
      <c r="O26" t="s">
        <v>393</v>
      </c>
      <c r="P26">
        <v>1.0000000000000022</v>
      </c>
      <c r="Q26" t="s">
        <v>168</v>
      </c>
      <c r="S26" t="s">
        <v>234</v>
      </c>
      <c r="T26" t="s">
        <v>393</v>
      </c>
      <c r="U26">
        <v>1.0000000000000062</v>
      </c>
      <c r="V26" t="s">
        <v>168</v>
      </c>
      <c r="AK26">
        <v>2037</v>
      </c>
      <c r="AL26" t="s">
        <v>391</v>
      </c>
      <c r="AM26">
        <v>0.23520833333333335</v>
      </c>
      <c r="AN26" t="s">
        <v>247</v>
      </c>
    </row>
    <row r="27" spans="9:40" x14ac:dyDescent="0.45">
      <c r="I27" t="s">
        <v>192</v>
      </c>
      <c r="J27" t="s">
        <v>393</v>
      </c>
      <c r="K27">
        <v>0.99999999999999878</v>
      </c>
      <c r="L27" t="s">
        <v>168</v>
      </c>
      <c r="N27" t="s">
        <v>216</v>
      </c>
      <c r="O27" t="s">
        <v>393</v>
      </c>
      <c r="P27">
        <v>0.999999999999997</v>
      </c>
      <c r="Q27" t="s">
        <v>168</v>
      </c>
      <c r="S27" t="s">
        <v>235</v>
      </c>
      <c r="T27" t="s">
        <v>393</v>
      </c>
      <c r="U27">
        <v>1.0000000000000007</v>
      </c>
      <c r="V27" t="s">
        <v>168</v>
      </c>
      <c r="AK27">
        <v>2038</v>
      </c>
      <c r="AL27" t="s">
        <v>391</v>
      </c>
      <c r="AM27">
        <v>0.23154999999999995</v>
      </c>
      <c r="AN27" t="s">
        <v>247</v>
      </c>
    </row>
    <row r="28" spans="9:40" x14ac:dyDescent="0.45">
      <c r="I28" t="s">
        <v>193</v>
      </c>
      <c r="J28" t="s">
        <v>393</v>
      </c>
      <c r="K28">
        <v>1.0000000000000007</v>
      </c>
      <c r="L28" t="s">
        <v>168</v>
      </c>
      <c r="N28" t="s">
        <v>217</v>
      </c>
      <c r="O28" t="s">
        <v>393</v>
      </c>
      <c r="P28">
        <v>1.0000000000000004</v>
      </c>
      <c r="Q28" t="s">
        <v>168</v>
      </c>
      <c r="S28" t="s">
        <v>236</v>
      </c>
      <c r="T28" t="s">
        <v>393</v>
      </c>
      <c r="U28">
        <v>1.000000000000004</v>
      </c>
      <c r="V28" t="s">
        <v>168</v>
      </c>
      <c r="AK28">
        <v>2039</v>
      </c>
      <c r="AL28" t="s">
        <v>391</v>
      </c>
      <c r="AM28">
        <v>0.22626666666666664</v>
      </c>
      <c r="AN28" t="s">
        <v>247</v>
      </c>
    </row>
    <row r="29" spans="9:40" x14ac:dyDescent="0.45">
      <c r="I29" t="s">
        <v>194</v>
      </c>
      <c r="J29" t="s">
        <v>393</v>
      </c>
      <c r="K29">
        <v>0.99999999999999856</v>
      </c>
      <c r="L29" t="s">
        <v>168</v>
      </c>
      <c r="N29" t="s">
        <v>218</v>
      </c>
      <c r="O29" t="s">
        <v>393</v>
      </c>
      <c r="P29">
        <v>1.0000000000000027</v>
      </c>
      <c r="Q29" t="s">
        <v>168</v>
      </c>
      <c r="S29" t="s">
        <v>237</v>
      </c>
      <c r="T29" t="s">
        <v>393</v>
      </c>
      <c r="U29">
        <v>1.0000000000000027</v>
      </c>
      <c r="V29" t="s">
        <v>168</v>
      </c>
      <c r="AK29">
        <v>2040</v>
      </c>
      <c r="AL29" t="s">
        <v>391</v>
      </c>
      <c r="AM29">
        <v>0.22933333333333331</v>
      </c>
      <c r="AN29" t="s">
        <v>247</v>
      </c>
    </row>
    <row r="30" spans="9:40" x14ac:dyDescent="0.45">
      <c r="I30" t="s">
        <v>195</v>
      </c>
      <c r="J30" t="s">
        <v>393</v>
      </c>
      <c r="K30">
        <v>0.99999999999999678</v>
      </c>
      <c r="L30" t="s">
        <v>168</v>
      </c>
      <c r="AK30">
        <v>2041</v>
      </c>
      <c r="AL30" t="s">
        <v>391</v>
      </c>
      <c r="AM30">
        <v>0.22550833333333331</v>
      </c>
      <c r="AN30" t="s">
        <v>247</v>
      </c>
    </row>
    <row r="31" spans="9:40" x14ac:dyDescent="0.45">
      <c r="I31" t="s">
        <v>196</v>
      </c>
      <c r="J31" t="s">
        <v>393</v>
      </c>
      <c r="K31">
        <v>1.0000000000000018</v>
      </c>
      <c r="L31" t="s">
        <v>168</v>
      </c>
      <c r="AK31">
        <v>2042</v>
      </c>
      <c r="AL31" t="s">
        <v>391</v>
      </c>
      <c r="AM31">
        <v>0.23632500000000004</v>
      </c>
      <c r="AN31" t="s">
        <v>247</v>
      </c>
    </row>
    <row r="32" spans="9:40" x14ac:dyDescent="0.45">
      <c r="I32" t="s">
        <v>197</v>
      </c>
      <c r="J32" t="s">
        <v>393</v>
      </c>
      <c r="K32">
        <v>0.99999999999999911</v>
      </c>
      <c r="L32" t="s">
        <v>168</v>
      </c>
      <c r="AK32">
        <v>2043</v>
      </c>
      <c r="AL32" t="s">
        <v>391</v>
      </c>
      <c r="AM32">
        <v>0.22925000000000004</v>
      </c>
      <c r="AN32" t="s">
        <v>247</v>
      </c>
    </row>
    <row r="33" spans="9:40" x14ac:dyDescent="0.45">
      <c r="I33" t="s">
        <v>198</v>
      </c>
      <c r="J33" t="s">
        <v>393</v>
      </c>
      <c r="K33">
        <v>0.99999999999999878</v>
      </c>
      <c r="L33" t="s">
        <v>168</v>
      </c>
      <c r="AK33">
        <v>2044</v>
      </c>
      <c r="AL33" t="s">
        <v>391</v>
      </c>
      <c r="AM33">
        <v>0.23614999999999997</v>
      </c>
      <c r="AN33" t="s">
        <v>247</v>
      </c>
    </row>
    <row r="34" spans="9:40" x14ac:dyDescent="0.45">
      <c r="I34" t="s">
        <v>199</v>
      </c>
      <c r="J34" t="s">
        <v>393</v>
      </c>
      <c r="K34">
        <v>0.99999999999999878</v>
      </c>
      <c r="L34" t="s">
        <v>168</v>
      </c>
      <c r="AK34">
        <v>2045</v>
      </c>
      <c r="AL34" t="s">
        <v>391</v>
      </c>
      <c r="AM34">
        <v>0.23394166666666669</v>
      </c>
      <c r="AN34" t="s">
        <v>247</v>
      </c>
    </row>
    <row r="35" spans="9:40" x14ac:dyDescent="0.45">
      <c r="AK35">
        <v>2046</v>
      </c>
      <c r="AL35" t="s">
        <v>391</v>
      </c>
      <c r="AM35">
        <v>0.22216666666666671</v>
      </c>
      <c r="AN35" t="s">
        <v>247</v>
      </c>
    </row>
    <row r="36" spans="9:40" x14ac:dyDescent="0.45">
      <c r="AK36">
        <v>2047</v>
      </c>
      <c r="AL36" t="s">
        <v>391</v>
      </c>
      <c r="AM36">
        <v>0.2347083333333333</v>
      </c>
      <c r="AN36" t="s">
        <v>247</v>
      </c>
    </row>
    <row r="37" spans="9:40" x14ac:dyDescent="0.45">
      <c r="AK37">
        <v>2048</v>
      </c>
      <c r="AL37" t="s">
        <v>391</v>
      </c>
      <c r="AM37">
        <v>0.22973333333333337</v>
      </c>
      <c r="AN37" t="s">
        <v>247</v>
      </c>
    </row>
    <row r="38" spans="9:40" x14ac:dyDescent="0.45">
      <c r="AK38">
        <v>2049</v>
      </c>
      <c r="AL38" t="s">
        <v>391</v>
      </c>
      <c r="AM38">
        <v>0.23582499999999998</v>
      </c>
      <c r="AN38" t="s">
        <v>247</v>
      </c>
    </row>
    <row r="39" spans="9:40" x14ac:dyDescent="0.45">
      <c r="AK39">
        <v>2050</v>
      </c>
      <c r="AL39" t="s">
        <v>391</v>
      </c>
      <c r="AM39">
        <v>0.22639999999999996</v>
      </c>
      <c r="AN39" t="s">
        <v>247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C8005-954E-4B9D-BE54-83FDDB36F735}">
  <dimension ref="A9:AN298"/>
  <sheetViews>
    <sheetView tabSelected="1"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131</v>
      </c>
      <c r="C10" t="s">
        <v>152</v>
      </c>
      <c r="D10" t="s">
        <v>153</v>
      </c>
      <c r="E10" t="s">
        <v>154</v>
      </c>
      <c r="F10" t="s">
        <v>155</v>
      </c>
      <c r="G10" t="s">
        <v>156</v>
      </c>
      <c r="I10" t="s">
        <v>13</v>
      </c>
      <c r="J10" t="s">
        <v>121</v>
      </c>
      <c r="K10" t="s">
        <v>165</v>
      </c>
      <c r="L10" t="s">
        <v>30</v>
      </c>
      <c r="N10" t="s">
        <v>13</v>
      </c>
      <c r="O10" t="s">
        <v>121</v>
      </c>
      <c r="P10" t="s">
        <v>165</v>
      </c>
      <c r="Q10" t="s">
        <v>30</v>
      </c>
      <c r="S10" t="s">
        <v>13</v>
      </c>
      <c r="T10" t="s">
        <v>121</v>
      </c>
      <c r="U10" t="s">
        <v>165</v>
      </c>
      <c r="V10" t="s">
        <v>30</v>
      </c>
      <c r="X10" t="s">
        <v>238</v>
      </c>
      <c r="Y10" t="s">
        <v>165</v>
      </c>
      <c r="Z10" t="s">
        <v>121</v>
      </c>
      <c r="AA10" t="s">
        <v>13</v>
      </c>
      <c r="AC10" t="s">
        <v>13</v>
      </c>
      <c r="AD10" t="s">
        <v>121</v>
      </c>
      <c r="AE10" t="s">
        <v>165</v>
      </c>
      <c r="AG10" t="s">
        <v>13</v>
      </c>
      <c r="AH10" t="s">
        <v>121</v>
      </c>
      <c r="AI10" t="s">
        <v>244</v>
      </c>
      <c r="AK10" t="s">
        <v>47</v>
      </c>
      <c r="AL10" t="s">
        <v>121</v>
      </c>
      <c r="AM10" t="s">
        <v>245</v>
      </c>
      <c r="AN10" t="s">
        <v>246</v>
      </c>
    </row>
    <row r="11" spans="1:40" x14ac:dyDescent="0.45">
      <c r="A11" t="str">
        <f>IFERROR(IF(Veda!D5=A10,"ok","x"),"")</f>
        <v>x</v>
      </c>
      <c r="C11" t="s">
        <v>394</v>
      </c>
      <c r="D11" t="s">
        <v>158</v>
      </c>
      <c r="E11" t="s">
        <v>240</v>
      </c>
      <c r="F11" t="s">
        <v>395</v>
      </c>
      <c r="G11" t="s">
        <v>158</v>
      </c>
      <c r="I11" t="s">
        <v>166</v>
      </c>
      <c r="J11" t="s">
        <v>400</v>
      </c>
      <c r="K11">
        <v>0.18030244890058381</v>
      </c>
      <c r="L11" t="s">
        <v>168</v>
      </c>
      <c r="N11" t="s">
        <v>200</v>
      </c>
      <c r="O11" t="s">
        <v>400</v>
      </c>
      <c r="P11">
        <v>0.12679564460401607</v>
      </c>
      <c r="Q11" t="s">
        <v>168</v>
      </c>
      <c r="S11" t="s">
        <v>219</v>
      </c>
      <c r="T11" t="s">
        <v>400</v>
      </c>
      <c r="U11">
        <v>0.10377296270056627</v>
      </c>
      <c r="V11" t="s">
        <v>168</v>
      </c>
      <c r="X11">
        <v>0.11426940639269406</v>
      </c>
      <c r="Y11">
        <v>0.16087081189037786</v>
      </c>
      <c r="Z11" t="s">
        <v>400</v>
      </c>
      <c r="AA11" t="s">
        <v>25</v>
      </c>
      <c r="AC11" t="s">
        <v>22</v>
      </c>
      <c r="AD11" t="s">
        <v>400</v>
      </c>
      <c r="AE11">
        <v>0.11819115625337555</v>
      </c>
      <c r="AG11" t="s">
        <v>96</v>
      </c>
      <c r="AH11" t="s">
        <v>400</v>
      </c>
      <c r="AI11">
        <v>0.18444393583567309</v>
      </c>
      <c r="AK11">
        <v>2020</v>
      </c>
      <c r="AL11" t="s">
        <v>394</v>
      </c>
      <c r="AM11">
        <v>0.25956192751891671</v>
      </c>
      <c r="AN11" t="s">
        <v>247</v>
      </c>
    </row>
    <row r="12" spans="1:40" x14ac:dyDescent="0.45">
      <c r="C12" t="s">
        <v>396</v>
      </c>
      <c r="E12" t="s">
        <v>242</v>
      </c>
      <c r="G12" t="s">
        <v>158</v>
      </c>
      <c r="I12" t="s">
        <v>166</v>
      </c>
      <c r="J12" t="s">
        <v>401</v>
      </c>
      <c r="K12">
        <v>0</v>
      </c>
      <c r="L12" t="s">
        <v>168</v>
      </c>
      <c r="N12" t="s">
        <v>200</v>
      </c>
      <c r="O12" t="s">
        <v>401</v>
      </c>
      <c r="P12">
        <v>0.15478134194884366</v>
      </c>
      <c r="Q12" t="s">
        <v>168</v>
      </c>
      <c r="S12" t="s">
        <v>219</v>
      </c>
      <c r="T12" t="s">
        <v>401</v>
      </c>
      <c r="U12">
        <v>0.11413670043658376</v>
      </c>
      <c r="V12" t="s">
        <v>168</v>
      </c>
      <c r="X12">
        <v>0.11426940639269406</v>
      </c>
      <c r="Y12">
        <v>5.2547713165767528E-2</v>
      </c>
      <c r="Z12" t="s">
        <v>401</v>
      </c>
      <c r="AA12" t="s">
        <v>25</v>
      </c>
      <c r="AC12" t="s">
        <v>22</v>
      </c>
      <c r="AD12" t="s">
        <v>401</v>
      </c>
      <c r="AE12">
        <v>9.764364422569162E-2</v>
      </c>
      <c r="AG12" t="s">
        <v>96</v>
      </c>
      <c r="AH12" t="s">
        <v>401</v>
      </c>
      <c r="AI12">
        <v>0.33632064062675737</v>
      </c>
      <c r="AK12">
        <v>2020</v>
      </c>
      <c r="AL12" t="s">
        <v>396</v>
      </c>
      <c r="AM12">
        <v>0.26168857029072085</v>
      </c>
      <c r="AN12" t="s">
        <v>247</v>
      </c>
    </row>
    <row r="13" spans="1:40" x14ac:dyDescent="0.45">
      <c r="C13" t="s">
        <v>397</v>
      </c>
      <c r="E13" t="s">
        <v>398</v>
      </c>
      <c r="G13" t="s">
        <v>158</v>
      </c>
      <c r="I13" t="s">
        <v>166</v>
      </c>
      <c r="J13" t="s">
        <v>402</v>
      </c>
      <c r="K13">
        <v>6.899666662235137E-3</v>
      </c>
      <c r="L13" t="s">
        <v>168</v>
      </c>
      <c r="N13" t="s">
        <v>200</v>
      </c>
      <c r="O13" t="s">
        <v>402</v>
      </c>
      <c r="P13">
        <v>2.4231785901520923E-2</v>
      </c>
      <c r="Q13" t="s">
        <v>168</v>
      </c>
      <c r="S13" t="s">
        <v>219</v>
      </c>
      <c r="T13" t="s">
        <v>402</v>
      </c>
      <c r="U13">
        <v>2.3585988793125193E-2</v>
      </c>
      <c r="V13" t="s">
        <v>168</v>
      </c>
      <c r="X13">
        <v>2.0776255707762557E-2</v>
      </c>
      <c r="Y13">
        <v>3.5896543437005365E-2</v>
      </c>
      <c r="Z13" t="s">
        <v>402</v>
      </c>
      <c r="AA13" t="s">
        <v>25</v>
      </c>
      <c r="AC13" t="s">
        <v>22</v>
      </c>
      <c r="AD13" t="s">
        <v>402</v>
      </c>
      <c r="AE13">
        <v>2.2218061012861254E-2</v>
      </c>
      <c r="AG13" t="s">
        <v>96</v>
      </c>
      <c r="AH13" t="s">
        <v>402</v>
      </c>
      <c r="AI13">
        <v>0.16828062521923326</v>
      </c>
      <c r="AK13">
        <v>2020</v>
      </c>
      <c r="AL13" t="s">
        <v>397</v>
      </c>
      <c r="AM13">
        <v>0.32595778574273199</v>
      </c>
      <c r="AN13" t="s">
        <v>247</v>
      </c>
    </row>
    <row r="14" spans="1:40" x14ac:dyDescent="0.45">
      <c r="C14" t="s">
        <v>399</v>
      </c>
      <c r="I14" t="s">
        <v>166</v>
      </c>
      <c r="J14" t="s">
        <v>403</v>
      </c>
      <c r="K14">
        <v>0.26911982160636416</v>
      </c>
      <c r="L14" t="s">
        <v>168</v>
      </c>
      <c r="N14" t="s">
        <v>200</v>
      </c>
      <c r="O14" t="s">
        <v>403</v>
      </c>
      <c r="P14">
        <v>0.11443031506546844</v>
      </c>
      <c r="Q14" t="s">
        <v>168</v>
      </c>
      <c r="S14" t="s">
        <v>219</v>
      </c>
      <c r="T14" t="s">
        <v>403</v>
      </c>
      <c r="U14">
        <v>0.11892081879238772</v>
      </c>
      <c r="V14" t="s">
        <v>168</v>
      </c>
      <c r="X14">
        <v>0.11552511415525114</v>
      </c>
      <c r="Y14">
        <v>0.16263862301005233</v>
      </c>
      <c r="Z14" t="s">
        <v>403</v>
      </c>
      <c r="AA14" t="s">
        <v>25</v>
      </c>
      <c r="AC14" t="s">
        <v>22</v>
      </c>
      <c r="AD14" t="s">
        <v>403</v>
      </c>
      <c r="AE14">
        <v>0.12251447003662695</v>
      </c>
      <c r="AG14" t="s">
        <v>96</v>
      </c>
      <c r="AH14" t="s">
        <v>403</v>
      </c>
      <c r="AI14">
        <v>0.19174320375688136</v>
      </c>
      <c r="AK14">
        <v>2020</v>
      </c>
      <c r="AL14" t="s">
        <v>399</v>
      </c>
      <c r="AM14">
        <v>0.2134799983520784</v>
      </c>
      <c r="AN14" t="s">
        <v>247</v>
      </c>
    </row>
    <row r="15" spans="1:40" x14ac:dyDescent="0.45">
      <c r="I15" t="s">
        <v>166</v>
      </c>
      <c r="J15" t="s">
        <v>404</v>
      </c>
      <c r="K15">
        <v>2.8457955124799291E-3</v>
      </c>
      <c r="L15" t="s">
        <v>168</v>
      </c>
      <c r="N15" t="s">
        <v>200</v>
      </c>
      <c r="O15" t="s">
        <v>404</v>
      </c>
      <c r="P15">
        <v>0.13857091466167004</v>
      </c>
      <c r="Q15" t="s">
        <v>168</v>
      </c>
      <c r="S15" t="s">
        <v>219</v>
      </c>
      <c r="T15" t="s">
        <v>404</v>
      </c>
      <c r="U15">
        <v>0.14523463513515086</v>
      </c>
      <c r="V15" t="s">
        <v>168</v>
      </c>
      <c r="X15">
        <v>0.11552511415525114</v>
      </c>
      <c r="Y15">
        <v>5.3125160563193538E-2</v>
      </c>
      <c r="Z15" t="s">
        <v>404</v>
      </c>
      <c r="AA15" t="s">
        <v>25</v>
      </c>
      <c r="AC15" t="s">
        <v>22</v>
      </c>
      <c r="AD15" t="s">
        <v>404</v>
      </c>
      <c r="AE15">
        <v>9.9430561690573876E-2</v>
      </c>
      <c r="AG15" t="s">
        <v>96</v>
      </c>
      <c r="AH15" t="s">
        <v>404</v>
      </c>
      <c r="AI15">
        <v>0.37712195612715815</v>
      </c>
      <c r="AK15">
        <v>2021</v>
      </c>
      <c r="AL15" t="s">
        <v>394</v>
      </c>
      <c r="AM15">
        <v>0.19475710383086345</v>
      </c>
      <c r="AN15" t="s">
        <v>247</v>
      </c>
    </row>
    <row r="16" spans="1:40" x14ac:dyDescent="0.45">
      <c r="I16" t="s">
        <v>166</v>
      </c>
      <c r="J16" t="s">
        <v>405</v>
      </c>
      <c r="K16">
        <v>2.4278533768006209E-2</v>
      </c>
      <c r="L16" t="s">
        <v>168</v>
      </c>
      <c r="N16" t="s">
        <v>200</v>
      </c>
      <c r="O16" t="s">
        <v>405</v>
      </c>
      <c r="P16">
        <v>2.1750952246668884E-2</v>
      </c>
      <c r="Q16" t="s">
        <v>168</v>
      </c>
      <c r="S16" t="s">
        <v>219</v>
      </c>
      <c r="T16" t="s">
        <v>405</v>
      </c>
      <c r="U16">
        <v>2.9127079410696151E-2</v>
      </c>
      <c r="V16" t="s">
        <v>168</v>
      </c>
      <c r="X16">
        <v>2.1004566210045664E-2</v>
      </c>
      <c r="Y16">
        <v>3.6291010947302131E-2</v>
      </c>
      <c r="Z16" t="s">
        <v>405</v>
      </c>
      <c r="AA16" t="s">
        <v>25</v>
      </c>
      <c r="AC16" t="s">
        <v>22</v>
      </c>
      <c r="AD16" t="s">
        <v>405</v>
      </c>
      <c r="AE16">
        <v>2.2965271391870858E-2</v>
      </c>
      <c r="AG16" t="s">
        <v>96</v>
      </c>
      <c r="AH16" t="s">
        <v>405</v>
      </c>
      <c r="AI16">
        <v>0.1680616153557668</v>
      </c>
      <c r="AK16">
        <v>2021</v>
      </c>
      <c r="AL16" t="s">
        <v>396</v>
      </c>
      <c r="AM16">
        <v>0.23614596572529031</v>
      </c>
      <c r="AN16" t="s">
        <v>247</v>
      </c>
    </row>
    <row r="17" spans="9:40" x14ac:dyDescent="0.45">
      <c r="I17" t="s">
        <v>166</v>
      </c>
      <c r="J17" t="s">
        <v>406</v>
      </c>
      <c r="K17">
        <v>0.29992853670961939</v>
      </c>
      <c r="L17" t="s">
        <v>168</v>
      </c>
      <c r="N17" t="s">
        <v>200</v>
      </c>
      <c r="O17" t="s">
        <v>406</v>
      </c>
      <c r="P17">
        <v>5.9076456259950234E-2</v>
      </c>
      <c r="Q17" t="s">
        <v>168</v>
      </c>
      <c r="S17" t="s">
        <v>219</v>
      </c>
      <c r="T17" t="s">
        <v>406</v>
      </c>
      <c r="U17">
        <v>7.4956088637450055E-2</v>
      </c>
      <c r="V17" t="s">
        <v>168</v>
      </c>
      <c r="X17">
        <v>0.11552511415525114</v>
      </c>
      <c r="Y17">
        <v>0.16263862301005233</v>
      </c>
      <c r="Z17" t="s">
        <v>406</v>
      </c>
      <c r="AA17" t="s">
        <v>25</v>
      </c>
      <c r="AC17" t="s">
        <v>22</v>
      </c>
      <c r="AD17" t="s">
        <v>406</v>
      </c>
      <c r="AE17">
        <v>0.12264326156561349</v>
      </c>
      <c r="AG17" t="s">
        <v>96</v>
      </c>
      <c r="AH17" t="s">
        <v>406</v>
      </c>
      <c r="AI17">
        <v>0.14769495408386679</v>
      </c>
      <c r="AK17">
        <v>2021</v>
      </c>
      <c r="AL17" t="s">
        <v>397</v>
      </c>
      <c r="AM17">
        <v>0.33718464910692791</v>
      </c>
      <c r="AN17" t="s">
        <v>247</v>
      </c>
    </row>
    <row r="18" spans="9:40" x14ac:dyDescent="0.45">
      <c r="I18" t="s">
        <v>166</v>
      </c>
      <c r="J18" t="s">
        <v>407</v>
      </c>
      <c r="K18">
        <v>1.0251001267775077E-2</v>
      </c>
      <c r="L18" t="s">
        <v>168</v>
      </c>
      <c r="N18" t="s">
        <v>200</v>
      </c>
      <c r="O18" t="s">
        <v>407</v>
      </c>
      <c r="P18">
        <v>7.8285858701281602E-2</v>
      </c>
      <c r="Q18" t="s">
        <v>168</v>
      </c>
      <c r="S18" t="s">
        <v>219</v>
      </c>
      <c r="T18" t="s">
        <v>407</v>
      </c>
      <c r="U18">
        <v>8.9547619482852378E-2</v>
      </c>
      <c r="V18" t="s">
        <v>168</v>
      </c>
      <c r="X18">
        <v>0.11552511415525114</v>
      </c>
      <c r="Y18">
        <v>5.3125160563193538E-2</v>
      </c>
      <c r="Z18" t="s">
        <v>407</v>
      </c>
      <c r="AA18" t="s">
        <v>25</v>
      </c>
      <c r="AC18" t="s">
        <v>22</v>
      </c>
      <c r="AD18" t="s">
        <v>407</v>
      </c>
      <c r="AE18">
        <v>0.10045386194730507</v>
      </c>
      <c r="AG18" t="s">
        <v>96</v>
      </c>
      <c r="AH18" t="s">
        <v>407</v>
      </c>
      <c r="AI18">
        <v>0.31451538907064003</v>
      </c>
      <c r="AK18">
        <v>2021</v>
      </c>
      <c r="AL18" t="s">
        <v>399</v>
      </c>
      <c r="AM18">
        <v>0.2266684142745263</v>
      </c>
      <c r="AN18" t="s">
        <v>247</v>
      </c>
    </row>
    <row r="19" spans="9:40" x14ac:dyDescent="0.45">
      <c r="I19" t="s">
        <v>166</v>
      </c>
      <c r="J19" t="s">
        <v>408</v>
      </c>
      <c r="K19">
        <v>3.1451806046485321E-2</v>
      </c>
      <c r="L19" t="s">
        <v>168</v>
      </c>
      <c r="N19" t="s">
        <v>200</v>
      </c>
      <c r="O19" t="s">
        <v>408</v>
      </c>
      <c r="P19">
        <v>8.5903250051629128E-3</v>
      </c>
      <c r="Q19" t="s">
        <v>168</v>
      </c>
      <c r="S19" t="s">
        <v>219</v>
      </c>
      <c r="T19" t="s">
        <v>408</v>
      </c>
      <c r="U19">
        <v>1.8615680030583399E-2</v>
      </c>
      <c r="V19" t="s">
        <v>168</v>
      </c>
      <c r="X19">
        <v>2.1004566210045664E-2</v>
      </c>
      <c r="Y19">
        <v>3.6291010947302131E-2</v>
      </c>
      <c r="Z19" t="s">
        <v>408</v>
      </c>
      <c r="AA19" t="s">
        <v>25</v>
      </c>
      <c r="AC19" t="s">
        <v>22</v>
      </c>
      <c r="AD19" t="s">
        <v>408</v>
      </c>
      <c r="AE19">
        <v>2.2611873364752143E-2</v>
      </c>
      <c r="AG19" t="s">
        <v>96</v>
      </c>
      <c r="AH19" t="s">
        <v>408</v>
      </c>
      <c r="AI19">
        <v>0.1070148299237299</v>
      </c>
      <c r="AK19">
        <v>2022</v>
      </c>
      <c r="AL19" t="s">
        <v>394</v>
      </c>
      <c r="AM19">
        <v>0.13758795688826528</v>
      </c>
      <c r="AN19" t="s">
        <v>247</v>
      </c>
    </row>
    <row r="20" spans="9:40" x14ac:dyDescent="0.45">
      <c r="I20" t="s">
        <v>166</v>
      </c>
      <c r="J20" t="s">
        <v>409</v>
      </c>
      <c r="K20">
        <v>0.17207619233408997</v>
      </c>
      <c r="L20" t="s">
        <v>168</v>
      </c>
      <c r="N20" t="s">
        <v>200</v>
      </c>
      <c r="O20" t="s">
        <v>409</v>
      </c>
      <c r="P20">
        <v>0.11593882206091109</v>
      </c>
      <c r="Q20" t="s">
        <v>168</v>
      </c>
      <c r="S20" t="s">
        <v>219</v>
      </c>
      <c r="T20" t="s">
        <v>409</v>
      </c>
      <c r="U20">
        <v>0.12871656095401485</v>
      </c>
      <c r="V20" t="s">
        <v>168</v>
      </c>
      <c r="X20">
        <v>0.11301369863013698</v>
      </c>
      <c r="Y20">
        <v>0.15910300077070333</v>
      </c>
      <c r="Z20" t="s">
        <v>409</v>
      </c>
      <c r="AA20" t="s">
        <v>25</v>
      </c>
      <c r="AC20" t="s">
        <v>22</v>
      </c>
      <c r="AD20" t="s">
        <v>409</v>
      </c>
      <c r="AE20">
        <v>0.13762287724714475</v>
      </c>
      <c r="AG20" t="s">
        <v>96</v>
      </c>
      <c r="AH20" t="s">
        <v>409</v>
      </c>
      <c r="AI20">
        <v>0.10814855721490635</v>
      </c>
      <c r="AK20">
        <v>2022</v>
      </c>
      <c r="AL20" t="s">
        <v>396</v>
      </c>
      <c r="AM20">
        <v>0.14520894119755798</v>
      </c>
      <c r="AN20" t="s">
        <v>247</v>
      </c>
    </row>
    <row r="21" spans="9:40" x14ac:dyDescent="0.45">
      <c r="I21" t="s">
        <v>166</v>
      </c>
      <c r="J21" t="s">
        <v>410</v>
      </c>
      <c r="K21">
        <v>0</v>
      </c>
      <c r="L21" t="s">
        <v>168</v>
      </c>
      <c r="N21" t="s">
        <v>200</v>
      </c>
      <c r="O21" t="s">
        <v>410</v>
      </c>
      <c r="P21">
        <v>0.1360794441701238</v>
      </c>
      <c r="Q21" t="s">
        <v>168</v>
      </c>
      <c r="S21" t="s">
        <v>219</v>
      </c>
      <c r="T21" t="s">
        <v>410</v>
      </c>
      <c r="U21">
        <v>0.12941953381337595</v>
      </c>
      <c r="V21" t="s">
        <v>168</v>
      </c>
      <c r="X21">
        <v>0.11301369863013698</v>
      </c>
      <c r="Y21">
        <v>5.197026576834151E-2</v>
      </c>
      <c r="Z21" t="s">
        <v>410</v>
      </c>
      <c r="AA21" t="s">
        <v>25</v>
      </c>
      <c r="AC21" t="s">
        <v>22</v>
      </c>
      <c r="AD21" t="s">
        <v>410</v>
      </c>
      <c r="AE21">
        <v>0.10709107236508457</v>
      </c>
      <c r="AG21" t="s">
        <v>96</v>
      </c>
      <c r="AH21" t="s">
        <v>410</v>
      </c>
      <c r="AI21">
        <v>0.30643668094329723</v>
      </c>
      <c r="AK21">
        <v>2022</v>
      </c>
      <c r="AL21" t="s">
        <v>397</v>
      </c>
      <c r="AM21">
        <v>0.2086540300333051</v>
      </c>
      <c r="AN21" t="s">
        <v>247</v>
      </c>
    </row>
    <row r="22" spans="9:40" x14ac:dyDescent="0.45">
      <c r="I22" t="s">
        <v>166</v>
      </c>
      <c r="J22" t="s">
        <v>411</v>
      </c>
      <c r="K22">
        <v>2.8461971923613616E-3</v>
      </c>
      <c r="L22" t="s">
        <v>168</v>
      </c>
      <c r="N22" t="s">
        <v>200</v>
      </c>
      <c r="O22" t="s">
        <v>411</v>
      </c>
      <c r="P22">
        <v>2.1468139374380368E-2</v>
      </c>
      <c r="Q22" t="s">
        <v>168</v>
      </c>
      <c r="S22" t="s">
        <v>219</v>
      </c>
      <c r="T22" t="s">
        <v>411</v>
      </c>
      <c r="U22">
        <v>2.3966331813214187E-2</v>
      </c>
      <c r="V22" t="s">
        <v>168</v>
      </c>
      <c r="X22">
        <v>2.0547945205479451E-2</v>
      </c>
      <c r="Y22">
        <v>3.5502075926708607E-2</v>
      </c>
      <c r="Z22" t="s">
        <v>411</v>
      </c>
      <c r="AA22" t="s">
        <v>25</v>
      </c>
      <c r="AC22" t="s">
        <v>22</v>
      </c>
      <c r="AD22" t="s">
        <v>411</v>
      </c>
      <c r="AE22">
        <v>2.6613888899099897E-2</v>
      </c>
      <c r="AG22" t="s">
        <v>96</v>
      </c>
      <c r="AH22" t="s">
        <v>411</v>
      </c>
      <c r="AI22">
        <v>5.2768244206291559E-2</v>
      </c>
      <c r="AK22">
        <v>2022</v>
      </c>
      <c r="AL22" t="s">
        <v>399</v>
      </c>
      <c r="AM22">
        <v>0.14341752526150053</v>
      </c>
      <c r="AN22" t="s">
        <v>247</v>
      </c>
    </row>
    <row r="23" spans="9:40" x14ac:dyDescent="0.45">
      <c r="I23" t="s">
        <v>177</v>
      </c>
      <c r="J23" t="s">
        <v>400</v>
      </c>
      <c r="K23">
        <v>0.17644920749643755</v>
      </c>
      <c r="L23" t="s">
        <v>168</v>
      </c>
      <c r="N23" t="s">
        <v>201</v>
      </c>
      <c r="O23" t="s">
        <v>400</v>
      </c>
      <c r="P23">
        <v>0.13056666014806387</v>
      </c>
      <c r="Q23" t="s">
        <v>168</v>
      </c>
      <c r="S23" t="s">
        <v>220</v>
      </c>
      <c r="T23" t="s">
        <v>400</v>
      </c>
      <c r="U23">
        <v>0.12249313578911611</v>
      </c>
      <c r="V23" t="s">
        <v>168</v>
      </c>
      <c r="AC23" t="s">
        <v>19</v>
      </c>
      <c r="AD23" t="s">
        <v>400</v>
      </c>
      <c r="AE23">
        <v>0.11495523261944324</v>
      </c>
      <c r="AK23">
        <v>2025</v>
      </c>
      <c r="AL23" t="s">
        <v>394</v>
      </c>
      <c r="AM23">
        <v>0.2397</v>
      </c>
      <c r="AN23" t="s">
        <v>247</v>
      </c>
    </row>
    <row r="24" spans="9:40" x14ac:dyDescent="0.45">
      <c r="I24" t="s">
        <v>177</v>
      </c>
      <c r="J24" t="s">
        <v>401</v>
      </c>
      <c r="K24">
        <v>0</v>
      </c>
      <c r="L24" t="s">
        <v>168</v>
      </c>
      <c r="N24" t="s">
        <v>201</v>
      </c>
      <c r="O24" t="s">
        <v>401</v>
      </c>
      <c r="P24">
        <v>0.13653238540169152</v>
      </c>
      <c r="Q24" t="s">
        <v>168</v>
      </c>
      <c r="S24" t="s">
        <v>220</v>
      </c>
      <c r="T24" t="s">
        <v>401</v>
      </c>
      <c r="U24">
        <v>0.13243094329614849</v>
      </c>
      <c r="V24" t="s">
        <v>168</v>
      </c>
      <c r="AC24" t="s">
        <v>19</v>
      </c>
      <c r="AD24" t="s">
        <v>401</v>
      </c>
      <c r="AE24">
        <v>0.11331233725982839</v>
      </c>
      <c r="AK24">
        <v>2025</v>
      </c>
      <c r="AL24" t="s">
        <v>396</v>
      </c>
      <c r="AM24">
        <v>0.2588333333333333</v>
      </c>
      <c r="AN24" t="s">
        <v>247</v>
      </c>
    </row>
    <row r="25" spans="9:40" x14ac:dyDescent="0.45">
      <c r="I25" t="s">
        <v>177</v>
      </c>
      <c r="J25" t="s">
        <v>402</v>
      </c>
      <c r="K25">
        <v>7.827357553146088E-3</v>
      </c>
      <c r="L25" t="s">
        <v>168</v>
      </c>
      <c r="N25" t="s">
        <v>201</v>
      </c>
      <c r="O25" t="s">
        <v>402</v>
      </c>
      <c r="P25">
        <v>2.602999496019328E-2</v>
      </c>
      <c r="Q25" t="s">
        <v>168</v>
      </c>
      <c r="S25" t="s">
        <v>220</v>
      </c>
      <c r="T25" t="s">
        <v>402</v>
      </c>
      <c r="U25">
        <v>2.2169951647495981E-2</v>
      </c>
      <c r="V25" t="s">
        <v>168</v>
      </c>
      <c r="AC25" t="s">
        <v>19</v>
      </c>
      <c r="AD25" t="s">
        <v>402</v>
      </c>
      <c r="AE25">
        <v>2.0959220056360785E-2</v>
      </c>
      <c r="AK25">
        <v>2025</v>
      </c>
      <c r="AL25" t="s">
        <v>397</v>
      </c>
      <c r="AM25">
        <v>0.36296666666666666</v>
      </c>
      <c r="AN25" t="s">
        <v>247</v>
      </c>
    </row>
    <row r="26" spans="9:40" x14ac:dyDescent="0.45">
      <c r="I26" t="s">
        <v>177</v>
      </c>
      <c r="J26" t="s">
        <v>403</v>
      </c>
      <c r="K26">
        <v>0.24748958942427146</v>
      </c>
      <c r="L26" t="s">
        <v>168</v>
      </c>
      <c r="N26" t="s">
        <v>201</v>
      </c>
      <c r="O26" t="s">
        <v>403</v>
      </c>
      <c r="P26">
        <v>0.14748702830544547</v>
      </c>
      <c r="Q26" t="s">
        <v>168</v>
      </c>
      <c r="S26" t="s">
        <v>220</v>
      </c>
      <c r="T26" t="s">
        <v>403</v>
      </c>
      <c r="U26">
        <v>0.12215896981750889</v>
      </c>
      <c r="V26" t="s">
        <v>168</v>
      </c>
      <c r="AC26" t="s">
        <v>19</v>
      </c>
      <c r="AD26" t="s">
        <v>403</v>
      </c>
      <c r="AE26">
        <v>0.11632010738895902</v>
      </c>
      <c r="AK26">
        <v>2025</v>
      </c>
      <c r="AL26" t="s">
        <v>399</v>
      </c>
      <c r="AM26">
        <v>0.20936666666666667</v>
      </c>
      <c r="AN26" t="s">
        <v>247</v>
      </c>
    </row>
    <row r="27" spans="9:40" x14ac:dyDescent="0.45">
      <c r="I27" t="s">
        <v>177</v>
      </c>
      <c r="J27" t="s">
        <v>404</v>
      </c>
      <c r="K27">
        <v>3.279955176275353E-3</v>
      </c>
      <c r="L27" t="s">
        <v>168</v>
      </c>
      <c r="N27" t="s">
        <v>201</v>
      </c>
      <c r="O27" t="s">
        <v>404</v>
      </c>
      <c r="P27">
        <v>0.13119302078591979</v>
      </c>
      <c r="Q27" t="s">
        <v>168</v>
      </c>
      <c r="S27" t="s">
        <v>220</v>
      </c>
      <c r="T27" t="s">
        <v>404</v>
      </c>
      <c r="U27">
        <v>0.14109521424487528</v>
      </c>
      <c r="V27" t="s">
        <v>168</v>
      </c>
      <c r="AC27" t="s">
        <v>19</v>
      </c>
      <c r="AD27" t="s">
        <v>404</v>
      </c>
      <c r="AE27">
        <v>0.11447441211196349</v>
      </c>
      <c r="AK27">
        <v>2026</v>
      </c>
      <c r="AL27" t="s">
        <v>394</v>
      </c>
      <c r="AM27">
        <v>0.18663333333333335</v>
      </c>
      <c r="AN27" t="s">
        <v>247</v>
      </c>
    </row>
    <row r="28" spans="9:40" x14ac:dyDescent="0.45">
      <c r="I28" t="s">
        <v>177</v>
      </c>
      <c r="J28" t="s">
        <v>405</v>
      </c>
      <c r="K28">
        <v>2.2511453047495952E-2</v>
      </c>
      <c r="L28" t="s">
        <v>168</v>
      </c>
      <c r="N28" t="s">
        <v>201</v>
      </c>
      <c r="O28" t="s">
        <v>405</v>
      </c>
      <c r="P28">
        <v>2.7025300507589046E-2</v>
      </c>
      <c r="Q28" t="s">
        <v>168</v>
      </c>
      <c r="S28" t="s">
        <v>220</v>
      </c>
      <c r="T28" t="s">
        <v>405</v>
      </c>
      <c r="U28">
        <v>2.5371983694879946E-2</v>
      </c>
      <c r="V28" t="s">
        <v>168</v>
      </c>
      <c r="AC28" t="s">
        <v>19</v>
      </c>
      <c r="AD28" t="s">
        <v>405</v>
      </c>
      <c r="AE28">
        <v>2.1204273083676676E-2</v>
      </c>
      <c r="AK28">
        <v>2026</v>
      </c>
      <c r="AL28" t="s">
        <v>396</v>
      </c>
      <c r="AM28">
        <v>0.19436666666666666</v>
      </c>
      <c r="AN28" t="s">
        <v>247</v>
      </c>
    </row>
    <row r="29" spans="9:40" x14ac:dyDescent="0.45">
      <c r="I29" t="s">
        <v>177</v>
      </c>
      <c r="J29" t="s">
        <v>406</v>
      </c>
      <c r="K29">
        <v>0.33880134884834273</v>
      </c>
      <c r="L29" t="s">
        <v>168</v>
      </c>
      <c r="N29" t="s">
        <v>201</v>
      </c>
      <c r="O29" t="s">
        <v>406</v>
      </c>
      <c r="P29">
        <v>4.965791734764767E-2</v>
      </c>
      <c r="Q29" t="s">
        <v>168</v>
      </c>
      <c r="S29" t="s">
        <v>220</v>
      </c>
      <c r="T29" t="s">
        <v>406</v>
      </c>
      <c r="U29">
        <v>6.1624041852605033E-2</v>
      </c>
      <c r="V29" t="s">
        <v>168</v>
      </c>
      <c r="AC29" t="s">
        <v>19</v>
      </c>
      <c r="AD29" t="s">
        <v>406</v>
      </c>
      <c r="AE29">
        <v>0.11630400514669803</v>
      </c>
      <c r="AK29">
        <v>2026</v>
      </c>
      <c r="AL29" t="s">
        <v>397</v>
      </c>
      <c r="AM29">
        <v>0.27333333333333337</v>
      </c>
      <c r="AN29" t="s">
        <v>247</v>
      </c>
    </row>
    <row r="30" spans="9:40" x14ac:dyDescent="0.45">
      <c r="I30" t="s">
        <v>177</v>
      </c>
      <c r="J30" t="s">
        <v>407</v>
      </c>
      <c r="K30">
        <v>1.2058375099891543E-2</v>
      </c>
      <c r="L30" t="s">
        <v>168</v>
      </c>
      <c r="N30" t="s">
        <v>201</v>
      </c>
      <c r="O30" t="s">
        <v>407</v>
      </c>
      <c r="P30">
        <v>5.5346436430336016E-2</v>
      </c>
      <c r="Q30" t="s">
        <v>168</v>
      </c>
      <c r="S30" t="s">
        <v>220</v>
      </c>
      <c r="T30" t="s">
        <v>407</v>
      </c>
      <c r="U30">
        <v>7.7130666748338642E-2</v>
      </c>
      <c r="V30" t="s">
        <v>168</v>
      </c>
      <c r="AC30" t="s">
        <v>19</v>
      </c>
      <c r="AD30" t="s">
        <v>407</v>
      </c>
      <c r="AE30">
        <v>0.11452983114371207</v>
      </c>
      <c r="AK30">
        <v>2026</v>
      </c>
      <c r="AL30" t="s">
        <v>399</v>
      </c>
      <c r="AM30">
        <v>0.14516666666666667</v>
      </c>
      <c r="AN30" t="s">
        <v>247</v>
      </c>
    </row>
    <row r="31" spans="9:40" x14ac:dyDescent="0.45">
      <c r="I31" t="s">
        <v>177</v>
      </c>
      <c r="J31" t="s">
        <v>408</v>
      </c>
      <c r="K31">
        <v>3.5985686491694063E-2</v>
      </c>
      <c r="L31" t="s">
        <v>168</v>
      </c>
      <c r="N31" t="s">
        <v>201</v>
      </c>
      <c r="O31" t="s">
        <v>408</v>
      </c>
      <c r="P31">
        <v>1.3630798221471573E-2</v>
      </c>
      <c r="Q31" t="s">
        <v>168</v>
      </c>
      <c r="S31" t="s">
        <v>220</v>
      </c>
      <c r="T31" t="s">
        <v>408</v>
      </c>
      <c r="U31">
        <v>1.3776265251552971E-2</v>
      </c>
      <c r="V31" t="s">
        <v>168</v>
      </c>
      <c r="AC31" t="s">
        <v>19</v>
      </c>
      <c r="AD31" t="s">
        <v>408</v>
      </c>
      <c r="AE31">
        <v>2.1171216837340218E-2</v>
      </c>
      <c r="AK31">
        <v>2027</v>
      </c>
      <c r="AL31" t="s">
        <v>394</v>
      </c>
      <c r="AM31">
        <v>0.18623333333333333</v>
      </c>
      <c r="AN31" t="s">
        <v>247</v>
      </c>
    </row>
    <row r="32" spans="9:40" x14ac:dyDescent="0.45">
      <c r="I32" t="s">
        <v>177</v>
      </c>
      <c r="J32" t="s">
        <v>409</v>
      </c>
      <c r="K32">
        <v>0.15303433929252713</v>
      </c>
      <c r="L32" t="s">
        <v>168</v>
      </c>
      <c r="N32" t="s">
        <v>201</v>
      </c>
      <c r="O32" t="s">
        <v>409</v>
      </c>
      <c r="P32">
        <v>0.12875232664863784</v>
      </c>
      <c r="Q32" t="s">
        <v>168</v>
      </c>
      <c r="S32" t="s">
        <v>220</v>
      </c>
      <c r="T32" t="s">
        <v>409</v>
      </c>
      <c r="U32">
        <v>0.1257884580383242</v>
      </c>
      <c r="V32" t="s">
        <v>168</v>
      </c>
      <c r="AC32" t="s">
        <v>19</v>
      </c>
      <c r="AD32" t="s">
        <v>409</v>
      </c>
      <c r="AE32">
        <v>0.11416318349107028</v>
      </c>
      <c r="AK32">
        <v>2027</v>
      </c>
      <c r="AL32" t="s">
        <v>396</v>
      </c>
      <c r="AM32">
        <v>0.1996</v>
      </c>
      <c r="AN32" t="s">
        <v>247</v>
      </c>
    </row>
    <row r="33" spans="9:40" x14ac:dyDescent="0.45">
      <c r="I33" t="s">
        <v>177</v>
      </c>
      <c r="J33" t="s">
        <v>410</v>
      </c>
      <c r="K33">
        <v>0</v>
      </c>
      <c r="L33" t="s">
        <v>168</v>
      </c>
      <c r="N33" t="s">
        <v>201</v>
      </c>
      <c r="O33" t="s">
        <v>410</v>
      </c>
      <c r="P33">
        <v>0.12984191592957986</v>
      </c>
      <c r="Q33" t="s">
        <v>168</v>
      </c>
      <c r="S33" t="s">
        <v>220</v>
      </c>
      <c r="T33" t="s">
        <v>410</v>
      </c>
      <c r="U33">
        <v>0.13267519274694647</v>
      </c>
      <c r="V33" t="s">
        <v>168</v>
      </c>
      <c r="AC33" t="s">
        <v>19</v>
      </c>
      <c r="AD33" t="s">
        <v>410</v>
      </c>
      <c r="AE33">
        <v>0.11172198474672497</v>
      </c>
      <c r="AK33">
        <v>2027</v>
      </c>
      <c r="AL33" t="s">
        <v>397</v>
      </c>
      <c r="AM33">
        <v>0.26099999999999995</v>
      </c>
      <c r="AN33" t="s">
        <v>247</v>
      </c>
    </row>
    <row r="34" spans="9:40" x14ac:dyDescent="0.45">
      <c r="I34" t="s">
        <v>177</v>
      </c>
      <c r="J34" t="s">
        <v>411</v>
      </c>
      <c r="K34">
        <v>2.562687569915401E-3</v>
      </c>
      <c r="L34" t="s">
        <v>168</v>
      </c>
      <c r="N34" t="s">
        <v>201</v>
      </c>
      <c r="O34" t="s">
        <v>411</v>
      </c>
      <c r="P34">
        <v>2.3936215313423822E-2</v>
      </c>
      <c r="Q34" t="s">
        <v>168</v>
      </c>
      <c r="S34" t="s">
        <v>220</v>
      </c>
      <c r="T34" t="s">
        <v>411</v>
      </c>
      <c r="U34">
        <v>2.3285176872207613E-2</v>
      </c>
      <c r="V34" t="s">
        <v>168</v>
      </c>
      <c r="AC34" t="s">
        <v>19</v>
      </c>
      <c r="AD34" t="s">
        <v>411</v>
      </c>
      <c r="AE34">
        <v>2.0884196114222889E-2</v>
      </c>
      <c r="AK34">
        <v>2027</v>
      </c>
      <c r="AL34" t="s">
        <v>399</v>
      </c>
      <c r="AM34">
        <v>0.16209999999999999</v>
      </c>
      <c r="AN34" t="s">
        <v>247</v>
      </c>
    </row>
    <row r="35" spans="9:40" x14ac:dyDescent="0.45">
      <c r="I35" t="s">
        <v>178</v>
      </c>
      <c r="J35" t="s">
        <v>400</v>
      </c>
      <c r="K35">
        <v>0.19459495617702249</v>
      </c>
      <c r="L35" t="s">
        <v>168</v>
      </c>
      <c r="N35" t="s">
        <v>202</v>
      </c>
      <c r="O35" t="s">
        <v>400</v>
      </c>
      <c r="P35">
        <v>0.12711657336911472</v>
      </c>
      <c r="Q35" t="s">
        <v>168</v>
      </c>
      <c r="S35" t="s">
        <v>221</v>
      </c>
      <c r="T35" t="s">
        <v>400</v>
      </c>
      <c r="U35">
        <v>9.8176680006863998E-2</v>
      </c>
      <c r="V35" t="s">
        <v>168</v>
      </c>
      <c r="AK35">
        <v>2028</v>
      </c>
      <c r="AL35" t="s">
        <v>394</v>
      </c>
      <c r="AM35">
        <v>0.21579999999999999</v>
      </c>
      <c r="AN35" t="s">
        <v>247</v>
      </c>
    </row>
    <row r="36" spans="9:40" x14ac:dyDescent="0.45">
      <c r="I36" t="s">
        <v>178</v>
      </c>
      <c r="J36" t="s">
        <v>401</v>
      </c>
      <c r="K36">
        <v>0</v>
      </c>
      <c r="L36" t="s">
        <v>168</v>
      </c>
      <c r="N36" t="s">
        <v>202</v>
      </c>
      <c r="O36" t="s">
        <v>401</v>
      </c>
      <c r="P36">
        <v>0.12522575979531264</v>
      </c>
      <c r="Q36" t="s">
        <v>168</v>
      </c>
      <c r="S36" t="s">
        <v>221</v>
      </c>
      <c r="T36" t="s">
        <v>401</v>
      </c>
      <c r="U36">
        <v>0.10789251960963051</v>
      </c>
      <c r="V36" t="s">
        <v>168</v>
      </c>
      <c r="AK36">
        <v>2028</v>
      </c>
      <c r="AL36" t="s">
        <v>396</v>
      </c>
      <c r="AM36">
        <v>0.23303333333333334</v>
      </c>
      <c r="AN36" t="s">
        <v>247</v>
      </c>
    </row>
    <row r="37" spans="9:40" x14ac:dyDescent="0.45">
      <c r="I37" t="s">
        <v>178</v>
      </c>
      <c r="J37" t="s">
        <v>402</v>
      </c>
      <c r="K37">
        <v>8.0081154751807035E-3</v>
      </c>
      <c r="L37" t="s">
        <v>168</v>
      </c>
      <c r="N37" t="s">
        <v>202</v>
      </c>
      <c r="O37" t="s">
        <v>402</v>
      </c>
      <c r="P37">
        <v>2.5521826937079464E-2</v>
      </c>
      <c r="Q37" t="s">
        <v>168</v>
      </c>
      <c r="S37" t="s">
        <v>221</v>
      </c>
      <c r="T37" t="s">
        <v>402</v>
      </c>
      <c r="U37">
        <v>2.0657634674127581E-2</v>
      </c>
      <c r="V37" t="s">
        <v>168</v>
      </c>
      <c r="AK37">
        <v>2028</v>
      </c>
      <c r="AL37" t="s">
        <v>397</v>
      </c>
      <c r="AM37">
        <v>0.32106666666666667</v>
      </c>
      <c r="AN37" t="s">
        <v>247</v>
      </c>
    </row>
    <row r="38" spans="9:40" x14ac:dyDescent="0.45">
      <c r="I38" t="s">
        <v>178</v>
      </c>
      <c r="J38" t="s">
        <v>403</v>
      </c>
      <c r="K38">
        <v>0.25562007391699693</v>
      </c>
      <c r="L38" t="s">
        <v>168</v>
      </c>
      <c r="N38" t="s">
        <v>202</v>
      </c>
      <c r="O38" t="s">
        <v>403</v>
      </c>
      <c r="P38">
        <v>0.14743920602788835</v>
      </c>
      <c r="Q38" t="s">
        <v>168</v>
      </c>
      <c r="S38" t="s">
        <v>221</v>
      </c>
      <c r="T38" t="s">
        <v>403</v>
      </c>
      <c r="U38">
        <v>0.120458239394928</v>
      </c>
      <c r="V38" t="s">
        <v>168</v>
      </c>
      <c r="AK38">
        <v>2028</v>
      </c>
      <c r="AL38" t="s">
        <v>399</v>
      </c>
      <c r="AM38">
        <v>0.17479999999999998</v>
      </c>
      <c r="AN38" t="s">
        <v>247</v>
      </c>
    </row>
    <row r="39" spans="9:40" x14ac:dyDescent="0.45">
      <c r="I39" t="s">
        <v>178</v>
      </c>
      <c r="J39" t="s">
        <v>404</v>
      </c>
      <c r="K39">
        <v>3.5611384157117169E-3</v>
      </c>
      <c r="L39" t="s">
        <v>168</v>
      </c>
      <c r="N39" t="s">
        <v>202</v>
      </c>
      <c r="O39" t="s">
        <v>404</v>
      </c>
      <c r="P39">
        <v>0.12435863315167088</v>
      </c>
      <c r="Q39" t="s">
        <v>168</v>
      </c>
      <c r="S39" t="s">
        <v>221</v>
      </c>
      <c r="T39" t="s">
        <v>404</v>
      </c>
      <c r="U39">
        <v>0.15047783823838956</v>
      </c>
      <c r="V39" t="s">
        <v>168</v>
      </c>
      <c r="AK39">
        <v>2029</v>
      </c>
      <c r="AL39" t="s">
        <v>394</v>
      </c>
      <c r="AM39">
        <v>0.19823333333333334</v>
      </c>
      <c r="AN39" t="s">
        <v>247</v>
      </c>
    </row>
    <row r="40" spans="9:40" x14ac:dyDescent="0.45">
      <c r="I40" t="s">
        <v>178</v>
      </c>
      <c r="J40" t="s">
        <v>405</v>
      </c>
      <c r="K40">
        <v>2.4247303594511674E-2</v>
      </c>
      <c r="L40" t="s">
        <v>168</v>
      </c>
      <c r="N40" t="s">
        <v>202</v>
      </c>
      <c r="O40" t="s">
        <v>405</v>
      </c>
      <c r="P40">
        <v>2.8464220348391741E-2</v>
      </c>
      <c r="Q40" t="s">
        <v>168</v>
      </c>
      <c r="S40" t="s">
        <v>221</v>
      </c>
      <c r="T40" t="s">
        <v>405</v>
      </c>
      <c r="U40">
        <v>2.5514230103279197E-2</v>
      </c>
      <c r="V40" t="s">
        <v>168</v>
      </c>
      <c r="AK40">
        <v>2029</v>
      </c>
      <c r="AL40" t="s">
        <v>396</v>
      </c>
      <c r="AM40">
        <v>0.2213333333333333</v>
      </c>
      <c r="AN40" t="s">
        <v>247</v>
      </c>
    </row>
    <row r="41" spans="9:40" x14ac:dyDescent="0.45">
      <c r="I41" t="s">
        <v>178</v>
      </c>
      <c r="J41" t="s">
        <v>406</v>
      </c>
      <c r="K41">
        <v>0.30581155265700521</v>
      </c>
      <c r="L41" t="s">
        <v>168</v>
      </c>
      <c r="N41" t="s">
        <v>202</v>
      </c>
      <c r="O41" t="s">
        <v>406</v>
      </c>
      <c r="P41">
        <v>4.8227032806178155E-2</v>
      </c>
      <c r="Q41" t="s">
        <v>168</v>
      </c>
      <c r="S41" t="s">
        <v>221</v>
      </c>
      <c r="T41" t="s">
        <v>406</v>
      </c>
      <c r="U41">
        <v>8.402163182622617E-2</v>
      </c>
      <c r="V41" t="s">
        <v>168</v>
      </c>
      <c r="AK41">
        <v>2029</v>
      </c>
      <c r="AL41" t="s">
        <v>397</v>
      </c>
      <c r="AM41">
        <v>0.311</v>
      </c>
      <c r="AN41" t="s">
        <v>247</v>
      </c>
    </row>
    <row r="42" spans="9:40" x14ac:dyDescent="0.45">
      <c r="I42" t="s">
        <v>178</v>
      </c>
      <c r="J42" t="s">
        <v>407</v>
      </c>
      <c r="K42">
        <v>1.0722873491446901E-2</v>
      </c>
      <c r="L42" t="s">
        <v>168</v>
      </c>
      <c r="N42" t="s">
        <v>202</v>
      </c>
      <c r="O42" t="s">
        <v>407</v>
      </c>
      <c r="P42">
        <v>4.9717943815655703E-2</v>
      </c>
      <c r="Q42" t="s">
        <v>168</v>
      </c>
      <c r="S42" t="s">
        <v>221</v>
      </c>
      <c r="T42" t="s">
        <v>407</v>
      </c>
      <c r="U42">
        <v>0.10152805935195404</v>
      </c>
      <c r="V42" t="s">
        <v>168</v>
      </c>
      <c r="AK42">
        <v>2029</v>
      </c>
      <c r="AL42" t="s">
        <v>399</v>
      </c>
      <c r="AM42">
        <v>0.18233333333333332</v>
      </c>
      <c r="AN42" t="s">
        <v>247</v>
      </c>
    </row>
    <row r="43" spans="9:40" x14ac:dyDescent="0.45">
      <c r="I43" t="s">
        <v>178</v>
      </c>
      <c r="J43" t="s">
        <v>408</v>
      </c>
      <c r="K43">
        <v>3.2464939983957782E-2</v>
      </c>
      <c r="L43" t="s">
        <v>168</v>
      </c>
      <c r="N43" t="s">
        <v>202</v>
      </c>
      <c r="O43" t="s">
        <v>408</v>
      </c>
      <c r="P43">
        <v>1.3749011502971713E-2</v>
      </c>
      <c r="Q43" t="s">
        <v>168</v>
      </c>
      <c r="S43" t="s">
        <v>221</v>
      </c>
      <c r="T43" t="s">
        <v>408</v>
      </c>
      <c r="U43">
        <v>1.9410366408402088E-2</v>
      </c>
      <c r="V43" t="s">
        <v>168</v>
      </c>
      <c r="AK43">
        <v>2030</v>
      </c>
      <c r="AL43" t="s">
        <v>394</v>
      </c>
      <c r="AM43">
        <v>0.22030000000000002</v>
      </c>
      <c r="AN43" t="s">
        <v>247</v>
      </c>
    </row>
    <row r="44" spans="9:40" x14ac:dyDescent="0.45">
      <c r="I44" t="s">
        <v>178</v>
      </c>
      <c r="J44" t="s">
        <v>409</v>
      </c>
      <c r="K44">
        <v>0.16186826622294023</v>
      </c>
      <c r="L44" t="s">
        <v>168</v>
      </c>
      <c r="N44" t="s">
        <v>202</v>
      </c>
      <c r="O44" t="s">
        <v>409</v>
      </c>
      <c r="P44">
        <v>0.14258757098213748</v>
      </c>
      <c r="Q44" t="s">
        <v>168</v>
      </c>
      <c r="S44" t="s">
        <v>221</v>
      </c>
      <c r="T44" t="s">
        <v>409</v>
      </c>
      <c r="U44">
        <v>0.11931999515982915</v>
      </c>
      <c r="V44" t="s">
        <v>168</v>
      </c>
      <c r="AK44">
        <v>2030</v>
      </c>
      <c r="AL44" t="s">
        <v>396</v>
      </c>
      <c r="AM44">
        <v>0.23766666666666669</v>
      </c>
      <c r="AN44" t="s">
        <v>247</v>
      </c>
    </row>
    <row r="45" spans="9:40" x14ac:dyDescent="0.45">
      <c r="I45" t="s">
        <v>178</v>
      </c>
      <c r="J45" t="s">
        <v>410</v>
      </c>
      <c r="K45">
        <v>0</v>
      </c>
      <c r="L45" t="s">
        <v>168</v>
      </c>
      <c r="N45" t="s">
        <v>202</v>
      </c>
      <c r="O45" t="s">
        <v>410</v>
      </c>
      <c r="P45">
        <v>0.14235972041252545</v>
      </c>
      <c r="Q45" t="s">
        <v>168</v>
      </c>
      <c r="S45" t="s">
        <v>221</v>
      </c>
      <c r="T45" t="s">
        <v>410</v>
      </c>
      <c r="U45">
        <v>0.12974735088427772</v>
      </c>
      <c r="V45" t="s">
        <v>168</v>
      </c>
      <c r="AK45">
        <v>2030</v>
      </c>
      <c r="AL45" t="s">
        <v>397</v>
      </c>
      <c r="AM45">
        <v>0.30509999999999998</v>
      </c>
      <c r="AN45" t="s">
        <v>247</v>
      </c>
    </row>
    <row r="46" spans="9:40" x14ac:dyDescent="0.45">
      <c r="I46" t="s">
        <v>178</v>
      </c>
      <c r="J46" t="s">
        <v>411</v>
      </c>
      <c r="K46">
        <v>3.1007800652300579E-3</v>
      </c>
      <c r="L46" t="s">
        <v>168</v>
      </c>
      <c r="N46" t="s">
        <v>202</v>
      </c>
      <c r="O46" t="s">
        <v>411</v>
      </c>
      <c r="P46">
        <v>2.5232500851070729E-2</v>
      </c>
      <c r="Q46" t="s">
        <v>168</v>
      </c>
      <c r="S46" t="s">
        <v>221</v>
      </c>
      <c r="T46" t="s">
        <v>411</v>
      </c>
      <c r="U46">
        <v>2.2795454342098571E-2</v>
      </c>
      <c r="V46" t="s">
        <v>168</v>
      </c>
      <c r="AK46">
        <v>2030</v>
      </c>
      <c r="AL46" t="s">
        <v>399</v>
      </c>
      <c r="AM46">
        <v>0.17910000000000001</v>
      </c>
      <c r="AN46" t="s">
        <v>247</v>
      </c>
    </row>
    <row r="47" spans="9:40" x14ac:dyDescent="0.45">
      <c r="I47" t="s">
        <v>179</v>
      </c>
      <c r="J47" t="s">
        <v>400</v>
      </c>
      <c r="K47">
        <v>0.17671857587606279</v>
      </c>
      <c r="L47" t="s">
        <v>168</v>
      </c>
      <c r="N47" t="s">
        <v>203</v>
      </c>
      <c r="O47" t="s">
        <v>400</v>
      </c>
      <c r="P47">
        <v>0.13889209889004328</v>
      </c>
      <c r="Q47" t="s">
        <v>168</v>
      </c>
      <c r="S47" t="s">
        <v>222</v>
      </c>
      <c r="T47" t="s">
        <v>400</v>
      </c>
      <c r="U47">
        <v>8.9793813042268286E-2</v>
      </c>
      <c r="V47" t="s">
        <v>168</v>
      </c>
      <c r="AK47">
        <v>2031</v>
      </c>
      <c r="AL47" t="s">
        <v>394</v>
      </c>
      <c r="AM47">
        <v>0.20273333333333335</v>
      </c>
      <c r="AN47" t="s">
        <v>247</v>
      </c>
    </row>
    <row r="48" spans="9:40" x14ac:dyDescent="0.45">
      <c r="I48" t="s">
        <v>179</v>
      </c>
      <c r="J48" t="s">
        <v>401</v>
      </c>
      <c r="K48">
        <v>0</v>
      </c>
      <c r="L48" t="s">
        <v>168</v>
      </c>
      <c r="N48" t="s">
        <v>203</v>
      </c>
      <c r="O48" t="s">
        <v>401</v>
      </c>
      <c r="P48">
        <v>0.14187085756184334</v>
      </c>
      <c r="Q48" t="s">
        <v>168</v>
      </c>
      <c r="S48" t="s">
        <v>222</v>
      </c>
      <c r="T48" t="s">
        <v>401</v>
      </c>
      <c r="U48">
        <v>9.304882151518129E-2</v>
      </c>
      <c r="V48" t="s">
        <v>168</v>
      </c>
      <c r="AK48">
        <v>2031</v>
      </c>
      <c r="AL48" t="s">
        <v>396</v>
      </c>
      <c r="AM48">
        <v>0.2167</v>
      </c>
      <c r="AN48" t="s">
        <v>247</v>
      </c>
    </row>
    <row r="49" spans="9:40" x14ac:dyDescent="0.45">
      <c r="I49" t="s">
        <v>179</v>
      </c>
      <c r="J49" t="s">
        <v>402</v>
      </c>
      <c r="K49">
        <v>7.9017219997273465E-3</v>
      </c>
      <c r="L49" t="s">
        <v>168</v>
      </c>
      <c r="N49" t="s">
        <v>203</v>
      </c>
      <c r="O49" t="s">
        <v>402</v>
      </c>
      <c r="P49">
        <v>2.6142548642177889E-2</v>
      </c>
      <c r="Q49" t="s">
        <v>168</v>
      </c>
      <c r="S49" t="s">
        <v>222</v>
      </c>
      <c r="T49" t="s">
        <v>402</v>
      </c>
      <c r="U49">
        <v>1.7183508503271543E-2</v>
      </c>
      <c r="V49" t="s">
        <v>168</v>
      </c>
      <c r="AK49">
        <v>2031</v>
      </c>
      <c r="AL49" t="s">
        <v>397</v>
      </c>
      <c r="AM49">
        <v>0.31953333333333334</v>
      </c>
      <c r="AN49" t="s">
        <v>247</v>
      </c>
    </row>
    <row r="50" spans="9:40" x14ac:dyDescent="0.45">
      <c r="I50" t="s">
        <v>179</v>
      </c>
      <c r="J50" t="s">
        <v>403</v>
      </c>
      <c r="K50">
        <v>0.25392253228684852</v>
      </c>
      <c r="L50" t="s">
        <v>168</v>
      </c>
      <c r="N50" t="s">
        <v>203</v>
      </c>
      <c r="O50" t="s">
        <v>403</v>
      </c>
      <c r="P50">
        <v>0.13764603553961613</v>
      </c>
      <c r="Q50" t="s">
        <v>168</v>
      </c>
      <c r="S50" t="s">
        <v>222</v>
      </c>
      <c r="T50" t="s">
        <v>403</v>
      </c>
      <c r="U50">
        <v>0.13424437191025365</v>
      </c>
      <c r="V50" t="s">
        <v>168</v>
      </c>
      <c r="AK50">
        <v>2031</v>
      </c>
      <c r="AL50" t="s">
        <v>399</v>
      </c>
      <c r="AM50">
        <v>0.18823333333333334</v>
      </c>
      <c r="AN50" t="s">
        <v>247</v>
      </c>
    </row>
    <row r="51" spans="9:40" x14ac:dyDescent="0.45">
      <c r="I51" t="s">
        <v>179</v>
      </c>
      <c r="J51" t="s">
        <v>404</v>
      </c>
      <c r="K51">
        <v>3.4634092392453017E-3</v>
      </c>
      <c r="L51" t="s">
        <v>168</v>
      </c>
      <c r="N51" t="s">
        <v>203</v>
      </c>
      <c r="O51" t="s">
        <v>404</v>
      </c>
      <c r="P51">
        <v>0.12485691447094706</v>
      </c>
      <c r="Q51" t="s">
        <v>168</v>
      </c>
      <c r="S51" t="s">
        <v>222</v>
      </c>
      <c r="T51" t="s">
        <v>404</v>
      </c>
      <c r="U51">
        <v>0.14352923730362449</v>
      </c>
      <c r="V51" t="s">
        <v>168</v>
      </c>
      <c r="AK51">
        <v>2032</v>
      </c>
      <c r="AL51" t="s">
        <v>394</v>
      </c>
      <c r="AM51">
        <v>0.21560000000000001</v>
      </c>
      <c r="AN51" t="s">
        <v>247</v>
      </c>
    </row>
    <row r="52" spans="9:40" x14ac:dyDescent="0.45">
      <c r="I52" t="s">
        <v>179</v>
      </c>
      <c r="J52" t="s">
        <v>405</v>
      </c>
      <c r="K52">
        <v>2.4432003295148136E-2</v>
      </c>
      <c r="L52" t="s">
        <v>168</v>
      </c>
      <c r="N52" t="s">
        <v>203</v>
      </c>
      <c r="O52" t="s">
        <v>405</v>
      </c>
      <c r="P52">
        <v>2.4668845393099832E-2</v>
      </c>
      <c r="Q52" t="s">
        <v>168</v>
      </c>
      <c r="S52" t="s">
        <v>222</v>
      </c>
      <c r="T52" t="s">
        <v>405</v>
      </c>
      <c r="U52">
        <v>2.6378796453725702E-2</v>
      </c>
      <c r="V52" t="s">
        <v>168</v>
      </c>
      <c r="AK52">
        <v>2032</v>
      </c>
      <c r="AL52" t="s">
        <v>396</v>
      </c>
      <c r="AM52">
        <v>0.22623333333333337</v>
      </c>
      <c r="AN52" t="s">
        <v>247</v>
      </c>
    </row>
    <row r="53" spans="9:40" x14ac:dyDescent="0.45">
      <c r="I53" t="s">
        <v>179</v>
      </c>
      <c r="J53" t="s">
        <v>406</v>
      </c>
      <c r="K53">
        <v>0.30902781498525345</v>
      </c>
      <c r="L53" t="s">
        <v>168</v>
      </c>
      <c r="N53" t="s">
        <v>203</v>
      </c>
      <c r="O53" t="s">
        <v>406</v>
      </c>
      <c r="P53">
        <v>4.7078369182401075E-2</v>
      </c>
      <c r="Q53" t="s">
        <v>168</v>
      </c>
      <c r="S53" t="s">
        <v>222</v>
      </c>
      <c r="T53" t="s">
        <v>406</v>
      </c>
      <c r="U53">
        <v>6.993247965270559E-2</v>
      </c>
      <c r="V53" t="s">
        <v>168</v>
      </c>
      <c r="AK53">
        <v>2032</v>
      </c>
      <c r="AL53" t="s">
        <v>397</v>
      </c>
      <c r="AM53">
        <v>0.3039</v>
      </c>
      <c r="AN53" t="s">
        <v>247</v>
      </c>
    </row>
    <row r="54" spans="9:40" x14ac:dyDescent="0.45">
      <c r="I54" t="s">
        <v>179</v>
      </c>
      <c r="J54" t="s">
        <v>407</v>
      </c>
      <c r="K54">
        <v>1.1122227493745664E-2</v>
      </c>
      <c r="L54" t="s">
        <v>168</v>
      </c>
      <c r="N54" t="s">
        <v>203</v>
      </c>
      <c r="O54" t="s">
        <v>407</v>
      </c>
      <c r="P54">
        <v>3.6420126140006538E-2</v>
      </c>
      <c r="Q54" t="s">
        <v>168</v>
      </c>
      <c r="S54" t="s">
        <v>222</v>
      </c>
      <c r="T54" t="s">
        <v>407</v>
      </c>
      <c r="U54">
        <v>8.3226092965558288E-2</v>
      </c>
      <c r="V54" t="s">
        <v>168</v>
      </c>
      <c r="AK54">
        <v>2032</v>
      </c>
      <c r="AL54" t="s">
        <v>399</v>
      </c>
      <c r="AM54">
        <v>0.18483333333333332</v>
      </c>
      <c r="AN54" t="s">
        <v>247</v>
      </c>
    </row>
    <row r="55" spans="9:40" x14ac:dyDescent="0.45">
      <c r="I55" t="s">
        <v>179</v>
      </c>
      <c r="J55" t="s">
        <v>408</v>
      </c>
      <c r="K55">
        <v>3.323549399704176E-2</v>
      </c>
      <c r="L55" t="s">
        <v>168</v>
      </c>
      <c r="N55" t="s">
        <v>203</v>
      </c>
      <c r="O55" t="s">
        <v>408</v>
      </c>
      <c r="P55">
        <v>5.1221410779996434E-3</v>
      </c>
      <c r="Q55" t="s">
        <v>168</v>
      </c>
      <c r="S55" t="s">
        <v>222</v>
      </c>
      <c r="T55" t="s">
        <v>408</v>
      </c>
      <c r="U55">
        <v>1.0419268194928387E-2</v>
      </c>
      <c r="V55" t="s">
        <v>168</v>
      </c>
      <c r="AK55">
        <v>2033</v>
      </c>
      <c r="AL55" t="s">
        <v>394</v>
      </c>
      <c r="AM55">
        <v>0.20766666666666667</v>
      </c>
      <c r="AN55" t="s">
        <v>247</v>
      </c>
    </row>
    <row r="56" spans="9:40" x14ac:dyDescent="0.45">
      <c r="I56" t="s">
        <v>179</v>
      </c>
      <c r="J56" t="s">
        <v>409</v>
      </c>
      <c r="K56">
        <v>0.17692881430891313</v>
      </c>
      <c r="L56" t="s">
        <v>168</v>
      </c>
      <c r="N56" t="s">
        <v>203</v>
      </c>
      <c r="O56" t="s">
        <v>409</v>
      </c>
      <c r="P56">
        <v>0.14157440172914973</v>
      </c>
      <c r="Q56" t="s">
        <v>168</v>
      </c>
      <c r="S56" t="s">
        <v>222</v>
      </c>
      <c r="T56" t="s">
        <v>409</v>
      </c>
      <c r="U56">
        <v>0.15071463236712776</v>
      </c>
      <c r="V56" t="s">
        <v>168</v>
      </c>
      <c r="AK56">
        <v>2033</v>
      </c>
      <c r="AL56" t="s">
        <v>396</v>
      </c>
      <c r="AM56">
        <v>0.22276666666666667</v>
      </c>
      <c r="AN56" t="s">
        <v>247</v>
      </c>
    </row>
    <row r="57" spans="9:40" x14ac:dyDescent="0.45">
      <c r="I57" t="s">
        <v>179</v>
      </c>
      <c r="J57" t="s">
        <v>410</v>
      </c>
      <c r="K57">
        <v>0</v>
      </c>
      <c r="L57" t="s">
        <v>168</v>
      </c>
      <c r="N57" t="s">
        <v>203</v>
      </c>
      <c r="O57" t="s">
        <v>410</v>
      </c>
      <c r="P57">
        <v>0.14841428380562191</v>
      </c>
      <c r="Q57" t="s">
        <v>168</v>
      </c>
      <c r="S57" t="s">
        <v>222</v>
      </c>
      <c r="T57" t="s">
        <v>410</v>
      </c>
      <c r="U57">
        <v>0.15192555695543783</v>
      </c>
      <c r="V57" t="s">
        <v>168</v>
      </c>
      <c r="AK57">
        <v>2033</v>
      </c>
      <c r="AL57" t="s">
        <v>397</v>
      </c>
      <c r="AM57">
        <v>0.29526666666666662</v>
      </c>
      <c r="AN57" t="s">
        <v>247</v>
      </c>
    </row>
    <row r="58" spans="9:40" x14ac:dyDescent="0.45">
      <c r="I58" t="s">
        <v>179</v>
      </c>
      <c r="J58" t="s">
        <v>411</v>
      </c>
      <c r="K58">
        <v>3.2474065180134264E-3</v>
      </c>
      <c r="L58" t="s">
        <v>168</v>
      </c>
      <c r="N58" t="s">
        <v>203</v>
      </c>
      <c r="O58" t="s">
        <v>411</v>
      </c>
      <c r="P58">
        <v>2.7313377567090659E-2</v>
      </c>
      <c r="Q58" t="s">
        <v>168</v>
      </c>
      <c r="S58" t="s">
        <v>222</v>
      </c>
      <c r="T58" t="s">
        <v>411</v>
      </c>
      <c r="U58">
        <v>2.9603421135917244E-2</v>
      </c>
      <c r="V58" t="s">
        <v>168</v>
      </c>
      <c r="AK58">
        <v>2033</v>
      </c>
      <c r="AL58" t="s">
        <v>399</v>
      </c>
      <c r="AM58">
        <v>0.19076666666666667</v>
      </c>
      <c r="AN58" t="s">
        <v>247</v>
      </c>
    </row>
    <row r="59" spans="9:40" x14ac:dyDescent="0.45">
      <c r="I59" t="s">
        <v>180</v>
      </c>
      <c r="J59" t="s">
        <v>400</v>
      </c>
      <c r="K59">
        <v>0.18971189612386211</v>
      </c>
      <c r="L59" t="s">
        <v>168</v>
      </c>
      <c r="N59" t="s">
        <v>204</v>
      </c>
      <c r="O59" t="s">
        <v>400</v>
      </c>
      <c r="P59">
        <v>0.14527024553039236</v>
      </c>
      <c r="Q59" t="s">
        <v>168</v>
      </c>
      <c r="S59" t="s">
        <v>223</v>
      </c>
      <c r="T59" t="s">
        <v>400</v>
      </c>
      <c r="U59">
        <v>9.1371564229255145E-2</v>
      </c>
      <c r="V59" t="s">
        <v>168</v>
      </c>
      <c r="AK59">
        <v>2034</v>
      </c>
      <c r="AL59" t="s">
        <v>394</v>
      </c>
      <c r="AM59">
        <v>0.21490000000000001</v>
      </c>
      <c r="AN59" t="s">
        <v>247</v>
      </c>
    </row>
    <row r="60" spans="9:40" x14ac:dyDescent="0.45">
      <c r="I60" t="s">
        <v>180</v>
      </c>
      <c r="J60" t="s">
        <v>401</v>
      </c>
      <c r="K60">
        <v>0</v>
      </c>
      <c r="L60" t="s">
        <v>168</v>
      </c>
      <c r="N60" t="s">
        <v>204</v>
      </c>
      <c r="O60" t="s">
        <v>401</v>
      </c>
      <c r="P60">
        <v>0.1511823653640699</v>
      </c>
      <c r="Q60" t="s">
        <v>168</v>
      </c>
      <c r="S60" t="s">
        <v>223</v>
      </c>
      <c r="T60" t="s">
        <v>401</v>
      </c>
      <c r="U60">
        <v>0.10138911564481028</v>
      </c>
      <c r="V60" t="s">
        <v>168</v>
      </c>
      <c r="AK60">
        <v>2034</v>
      </c>
      <c r="AL60" t="s">
        <v>396</v>
      </c>
      <c r="AM60">
        <v>0.2261</v>
      </c>
      <c r="AN60" t="s">
        <v>247</v>
      </c>
    </row>
    <row r="61" spans="9:40" x14ac:dyDescent="0.45">
      <c r="I61" t="s">
        <v>180</v>
      </c>
      <c r="J61" t="s">
        <v>402</v>
      </c>
      <c r="K61">
        <v>5.6349734917946577E-3</v>
      </c>
      <c r="L61" t="s">
        <v>168</v>
      </c>
      <c r="N61" t="s">
        <v>204</v>
      </c>
      <c r="O61" t="s">
        <v>402</v>
      </c>
      <c r="P61">
        <v>2.8236807991897508E-2</v>
      </c>
      <c r="Q61" t="s">
        <v>168</v>
      </c>
      <c r="S61" t="s">
        <v>223</v>
      </c>
      <c r="T61" t="s">
        <v>402</v>
      </c>
      <c r="U61">
        <v>1.83696203888217E-2</v>
      </c>
      <c r="V61" t="s">
        <v>168</v>
      </c>
      <c r="AK61">
        <v>2034</v>
      </c>
      <c r="AL61" t="s">
        <v>397</v>
      </c>
      <c r="AM61">
        <v>0.32619999999999999</v>
      </c>
      <c r="AN61" t="s">
        <v>247</v>
      </c>
    </row>
    <row r="62" spans="9:40" x14ac:dyDescent="0.45">
      <c r="I62" t="s">
        <v>180</v>
      </c>
      <c r="J62" t="s">
        <v>403</v>
      </c>
      <c r="K62">
        <v>0.27917997287836227</v>
      </c>
      <c r="L62" t="s">
        <v>168</v>
      </c>
      <c r="N62" t="s">
        <v>204</v>
      </c>
      <c r="O62" t="s">
        <v>403</v>
      </c>
      <c r="P62">
        <v>0.15833333506962358</v>
      </c>
      <c r="Q62" t="s">
        <v>168</v>
      </c>
      <c r="S62" t="s">
        <v>223</v>
      </c>
      <c r="T62" t="s">
        <v>403</v>
      </c>
      <c r="U62">
        <v>0.12524118048336277</v>
      </c>
      <c r="V62" t="s">
        <v>168</v>
      </c>
      <c r="AK62">
        <v>2034</v>
      </c>
      <c r="AL62" t="s">
        <v>399</v>
      </c>
      <c r="AM62">
        <v>0.1812</v>
      </c>
      <c r="AN62" t="s">
        <v>247</v>
      </c>
    </row>
    <row r="63" spans="9:40" x14ac:dyDescent="0.45">
      <c r="I63" t="s">
        <v>180</v>
      </c>
      <c r="J63" t="s">
        <v>404</v>
      </c>
      <c r="K63">
        <v>2.7403213354616927E-3</v>
      </c>
      <c r="L63" t="s">
        <v>168</v>
      </c>
      <c r="N63" t="s">
        <v>204</v>
      </c>
      <c r="O63" t="s">
        <v>404</v>
      </c>
      <c r="P63">
        <v>0.13594183590213099</v>
      </c>
      <c r="Q63" t="s">
        <v>168</v>
      </c>
      <c r="S63" t="s">
        <v>223</v>
      </c>
      <c r="T63" t="s">
        <v>404</v>
      </c>
      <c r="U63">
        <v>0.14540719986864872</v>
      </c>
      <c r="V63" t="s">
        <v>168</v>
      </c>
      <c r="AK63">
        <v>2035</v>
      </c>
      <c r="AL63" t="s">
        <v>394</v>
      </c>
      <c r="AM63">
        <v>0.20979999999999999</v>
      </c>
      <c r="AN63" t="s">
        <v>247</v>
      </c>
    </row>
    <row r="64" spans="9:40" x14ac:dyDescent="0.45">
      <c r="I64" t="s">
        <v>180</v>
      </c>
      <c r="J64" t="s">
        <v>405</v>
      </c>
      <c r="K64">
        <v>2.0072526434213603E-2</v>
      </c>
      <c r="L64" t="s">
        <v>168</v>
      </c>
      <c r="N64" t="s">
        <v>204</v>
      </c>
      <c r="O64" t="s">
        <v>405</v>
      </c>
      <c r="P64">
        <v>2.4620450092869194E-2</v>
      </c>
      <c r="Q64" t="s">
        <v>168</v>
      </c>
      <c r="S64" t="s">
        <v>223</v>
      </c>
      <c r="T64" t="s">
        <v>405</v>
      </c>
      <c r="U64">
        <v>2.5049546926477734E-2</v>
      </c>
      <c r="V64" t="s">
        <v>168</v>
      </c>
      <c r="AK64">
        <v>2035</v>
      </c>
      <c r="AL64" t="s">
        <v>396</v>
      </c>
      <c r="AM64">
        <v>0.21226666666666669</v>
      </c>
      <c r="AN64" t="s">
        <v>247</v>
      </c>
    </row>
    <row r="65" spans="9:40" x14ac:dyDescent="0.45">
      <c r="I65" t="s">
        <v>180</v>
      </c>
      <c r="J65" t="s">
        <v>406</v>
      </c>
      <c r="K65">
        <v>0.2956298617722613</v>
      </c>
      <c r="L65" t="s">
        <v>168</v>
      </c>
      <c r="N65" t="s">
        <v>204</v>
      </c>
      <c r="O65" t="s">
        <v>406</v>
      </c>
      <c r="P65">
        <v>4.2851484504464077E-2</v>
      </c>
      <c r="Q65" t="s">
        <v>168</v>
      </c>
      <c r="S65" t="s">
        <v>223</v>
      </c>
      <c r="T65" t="s">
        <v>406</v>
      </c>
      <c r="U65">
        <v>8.273490052694206E-2</v>
      </c>
      <c r="V65" t="s">
        <v>168</v>
      </c>
      <c r="AK65">
        <v>2035</v>
      </c>
      <c r="AL65" t="s">
        <v>397</v>
      </c>
      <c r="AM65">
        <v>0.31743333333333335</v>
      </c>
      <c r="AN65" t="s">
        <v>247</v>
      </c>
    </row>
    <row r="66" spans="9:40" x14ac:dyDescent="0.45">
      <c r="I66" t="s">
        <v>180</v>
      </c>
      <c r="J66" t="s">
        <v>407</v>
      </c>
      <c r="K66">
        <v>1.0016333788463522E-2</v>
      </c>
      <c r="L66" t="s">
        <v>168</v>
      </c>
      <c r="N66" t="s">
        <v>204</v>
      </c>
      <c r="O66" t="s">
        <v>407</v>
      </c>
      <c r="P66">
        <v>3.6916542282360347E-2</v>
      </c>
      <c r="Q66" t="s">
        <v>168</v>
      </c>
      <c r="S66" t="s">
        <v>223</v>
      </c>
      <c r="T66" t="s">
        <v>407</v>
      </c>
      <c r="U66">
        <v>9.2183094165493848E-2</v>
      </c>
      <c r="V66" t="s">
        <v>168</v>
      </c>
      <c r="AK66">
        <v>2035</v>
      </c>
      <c r="AL66" t="s">
        <v>399</v>
      </c>
      <c r="AM66">
        <v>0.18520000000000003</v>
      </c>
      <c r="AN66" t="s">
        <v>247</v>
      </c>
    </row>
    <row r="67" spans="9:40" x14ac:dyDescent="0.45">
      <c r="I67" t="s">
        <v>180</v>
      </c>
      <c r="J67" t="s">
        <v>408</v>
      </c>
      <c r="K67">
        <v>2.6826797637608323E-2</v>
      </c>
      <c r="L67" t="s">
        <v>168</v>
      </c>
      <c r="N67" t="s">
        <v>204</v>
      </c>
      <c r="O67" t="s">
        <v>408</v>
      </c>
      <c r="P67">
        <v>9.8072760082053567E-3</v>
      </c>
      <c r="Q67" t="s">
        <v>168</v>
      </c>
      <c r="S67" t="s">
        <v>223</v>
      </c>
      <c r="T67" t="s">
        <v>408</v>
      </c>
      <c r="U67">
        <v>1.4995473539040759E-2</v>
      </c>
      <c r="V67" t="s">
        <v>168</v>
      </c>
      <c r="AK67">
        <v>2036</v>
      </c>
      <c r="AL67" t="s">
        <v>394</v>
      </c>
      <c r="AM67">
        <v>0.19973333333333332</v>
      </c>
      <c r="AN67" t="s">
        <v>247</v>
      </c>
    </row>
    <row r="68" spans="9:40" x14ac:dyDescent="0.45">
      <c r="I68" t="s">
        <v>180</v>
      </c>
      <c r="J68" t="s">
        <v>409</v>
      </c>
      <c r="K68">
        <v>0.16825970353361175</v>
      </c>
      <c r="L68" t="s">
        <v>168</v>
      </c>
      <c r="N68" t="s">
        <v>204</v>
      </c>
      <c r="O68" t="s">
        <v>409</v>
      </c>
      <c r="P68">
        <v>0.12405636934317413</v>
      </c>
      <c r="Q68" t="s">
        <v>168</v>
      </c>
      <c r="S68" t="s">
        <v>223</v>
      </c>
      <c r="T68" t="s">
        <v>409</v>
      </c>
      <c r="U68">
        <v>0.13379447889215254</v>
      </c>
      <c r="V68" t="s">
        <v>168</v>
      </c>
      <c r="AK68">
        <v>2036</v>
      </c>
      <c r="AL68" t="s">
        <v>396</v>
      </c>
      <c r="AM68">
        <v>0.21996666666666664</v>
      </c>
      <c r="AN68" t="s">
        <v>247</v>
      </c>
    </row>
    <row r="69" spans="9:40" x14ac:dyDescent="0.45">
      <c r="I69" t="s">
        <v>180</v>
      </c>
      <c r="J69" t="s">
        <v>410</v>
      </c>
      <c r="K69">
        <v>0</v>
      </c>
      <c r="L69" t="s">
        <v>168</v>
      </c>
      <c r="N69" t="s">
        <v>204</v>
      </c>
      <c r="O69" t="s">
        <v>410</v>
      </c>
      <c r="P69">
        <v>0.12238903305836064</v>
      </c>
      <c r="Q69" t="s">
        <v>168</v>
      </c>
      <c r="S69" t="s">
        <v>223</v>
      </c>
      <c r="T69" t="s">
        <v>410</v>
      </c>
      <c r="U69">
        <v>0.14336963908168388</v>
      </c>
      <c r="V69" t="s">
        <v>168</v>
      </c>
      <c r="AK69">
        <v>2036</v>
      </c>
      <c r="AL69" t="s">
        <v>397</v>
      </c>
      <c r="AM69">
        <v>0.30590000000000001</v>
      </c>
      <c r="AN69" t="s">
        <v>247</v>
      </c>
    </row>
    <row r="70" spans="9:40" x14ac:dyDescent="0.45">
      <c r="I70" t="s">
        <v>180</v>
      </c>
      <c r="J70" t="s">
        <v>411</v>
      </c>
      <c r="K70">
        <v>1.9276130043607369E-3</v>
      </c>
      <c r="L70" t="s">
        <v>168</v>
      </c>
      <c r="N70" t="s">
        <v>204</v>
      </c>
      <c r="O70" t="s">
        <v>411</v>
      </c>
      <c r="P70">
        <v>2.0394254852452019E-2</v>
      </c>
      <c r="Q70" t="s">
        <v>168</v>
      </c>
      <c r="S70" t="s">
        <v>223</v>
      </c>
      <c r="T70" t="s">
        <v>411</v>
      </c>
      <c r="U70">
        <v>2.6094186253314628E-2</v>
      </c>
      <c r="V70" t="s">
        <v>168</v>
      </c>
      <c r="AK70">
        <v>2036</v>
      </c>
      <c r="AL70" t="s">
        <v>399</v>
      </c>
      <c r="AM70">
        <v>0.18326666666666666</v>
      </c>
      <c r="AN70" t="s">
        <v>247</v>
      </c>
    </row>
    <row r="71" spans="9:40" x14ac:dyDescent="0.45">
      <c r="I71" t="s">
        <v>181</v>
      </c>
      <c r="J71" t="s">
        <v>400</v>
      </c>
      <c r="K71">
        <v>0.18686815943331808</v>
      </c>
      <c r="L71" t="s">
        <v>168</v>
      </c>
      <c r="N71" t="s">
        <v>205</v>
      </c>
      <c r="O71" t="s">
        <v>400</v>
      </c>
      <c r="P71">
        <v>0.15317616366529344</v>
      </c>
      <c r="Q71" t="s">
        <v>168</v>
      </c>
      <c r="S71" t="s">
        <v>224</v>
      </c>
      <c r="T71" t="s">
        <v>400</v>
      </c>
      <c r="U71">
        <v>0.1201473609812827</v>
      </c>
      <c r="V71" t="s">
        <v>168</v>
      </c>
      <c r="AK71">
        <v>2037</v>
      </c>
      <c r="AL71" t="s">
        <v>394</v>
      </c>
      <c r="AM71">
        <v>0.21493333333333334</v>
      </c>
      <c r="AN71" t="s">
        <v>247</v>
      </c>
    </row>
    <row r="72" spans="9:40" x14ac:dyDescent="0.45">
      <c r="I72" t="s">
        <v>181</v>
      </c>
      <c r="J72" t="s">
        <v>401</v>
      </c>
      <c r="K72">
        <v>0</v>
      </c>
      <c r="L72" t="s">
        <v>168</v>
      </c>
      <c r="N72" t="s">
        <v>205</v>
      </c>
      <c r="O72" t="s">
        <v>401</v>
      </c>
      <c r="P72">
        <v>0.14141797372232387</v>
      </c>
      <c r="Q72" t="s">
        <v>168</v>
      </c>
      <c r="S72" t="s">
        <v>224</v>
      </c>
      <c r="T72" t="s">
        <v>401</v>
      </c>
      <c r="U72">
        <v>0.11863526671642451</v>
      </c>
      <c r="V72" t="s">
        <v>168</v>
      </c>
      <c r="AK72">
        <v>2037</v>
      </c>
      <c r="AL72" t="s">
        <v>396</v>
      </c>
      <c r="AM72">
        <v>0.24016666666666667</v>
      </c>
      <c r="AN72" t="s">
        <v>247</v>
      </c>
    </row>
    <row r="73" spans="9:40" x14ac:dyDescent="0.45">
      <c r="I73" t="s">
        <v>181</v>
      </c>
      <c r="J73" t="s">
        <v>402</v>
      </c>
      <c r="K73">
        <v>5.5846060597347924E-3</v>
      </c>
      <c r="L73" t="s">
        <v>168</v>
      </c>
      <c r="N73" t="s">
        <v>205</v>
      </c>
      <c r="O73" t="s">
        <v>402</v>
      </c>
      <c r="P73">
        <v>2.9023005536516096E-2</v>
      </c>
      <c r="Q73" t="s">
        <v>168</v>
      </c>
      <c r="S73" t="s">
        <v>224</v>
      </c>
      <c r="T73" t="s">
        <v>402</v>
      </c>
      <c r="U73">
        <v>2.0978249773479809E-2</v>
      </c>
      <c r="V73" t="s">
        <v>168</v>
      </c>
      <c r="AK73">
        <v>2037</v>
      </c>
      <c r="AL73" t="s">
        <v>397</v>
      </c>
      <c r="AM73">
        <v>0.30233333333333334</v>
      </c>
      <c r="AN73" t="s">
        <v>247</v>
      </c>
    </row>
    <row r="74" spans="9:40" x14ac:dyDescent="0.45">
      <c r="I74" t="s">
        <v>181</v>
      </c>
      <c r="J74" t="s">
        <v>403</v>
      </c>
      <c r="K74">
        <v>0.25879822403571273</v>
      </c>
      <c r="L74" t="s">
        <v>168</v>
      </c>
      <c r="N74" t="s">
        <v>205</v>
      </c>
      <c r="O74" t="s">
        <v>403</v>
      </c>
      <c r="P74">
        <v>0.15938552813094073</v>
      </c>
      <c r="Q74" t="s">
        <v>168</v>
      </c>
      <c r="S74" t="s">
        <v>224</v>
      </c>
      <c r="T74" t="s">
        <v>403</v>
      </c>
      <c r="U74">
        <v>0.15923272233583802</v>
      </c>
      <c r="V74" t="s">
        <v>168</v>
      </c>
      <c r="AK74">
        <v>2037</v>
      </c>
      <c r="AL74" t="s">
        <v>399</v>
      </c>
      <c r="AM74">
        <v>0.18339999999999998</v>
      </c>
      <c r="AN74" t="s">
        <v>247</v>
      </c>
    </row>
    <row r="75" spans="9:40" x14ac:dyDescent="0.45">
      <c r="I75" t="s">
        <v>181</v>
      </c>
      <c r="J75" t="s">
        <v>404</v>
      </c>
      <c r="K75">
        <v>3.2300659970525879E-3</v>
      </c>
      <c r="L75" t="s">
        <v>168</v>
      </c>
      <c r="N75" t="s">
        <v>205</v>
      </c>
      <c r="O75" t="s">
        <v>404</v>
      </c>
      <c r="P75">
        <v>0.10911564147457202</v>
      </c>
      <c r="Q75" t="s">
        <v>168</v>
      </c>
      <c r="S75" t="s">
        <v>224</v>
      </c>
      <c r="T75" t="s">
        <v>404</v>
      </c>
      <c r="U75">
        <v>0.15425331465819936</v>
      </c>
      <c r="V75" t="s">
        <v>168</v>
      </c>
      <c r="AK75">
        <v>2038</v>
      </c>
      <c r="AL75" t="s">
        <v>394</v>
      </c>
      <c r="AM75">
        <v>0.20746666666666669</v>
      </c>
      <c r="AN75" t="s">
        <v>247</v>
      </c>
    </row>
    <row r="76" spans="9:40" x14ac:dyDescent="0.45">
      <c r="I76" t="s">
        <v>181</v>
      </c>
      <c r="J76" t="s">
        <v>405</v>
      </c>
      <c r="K76">
        <v>1.8032557531977314E-2</v>
      </c>
      <c r="L76" t="s">
        <v>168</v>
      </c>
      <c r="N76" t="s">
        <v>205</v>
      </c>
      <c r="O76" t="s">
        <v>405</v>
      </c>
      <c r="P76">
        <v>2.8061436929399126E-2</v>
      </c>
      <c r="Q76" t="s">
        <v>168</v>
      </c>
      <c r="S76" t="s">
        <v>224</v>
      </c>
      <c r="T76" t="s">
        <v>405</v>
      </c>
      <c r="U76">
        <v>3.0302473895418156E-2</v>
      </c>
      <c r="V76" t="s">
        <v>168</v>
      </c>
      <c r="AK76">
        <v>2038</v>
      </c>
      <c r="AL76" t="s">
        <v>396</v>
      </c>
      <c r="AM76">
        <v>0.23093333333333332</v>
      </c>
      <c r="AN76" t="s">
        <v>247</v>
      </c>
    </row>
    <row r="77" spans="9:40" x14ac:dyDescent="0.45">
      <c r="I77" t="s">
        <v>181</v>
      </c>
      <c r="J77" t="s">
        <v>406</v>
      </c>
      <c r="K77">
        <v>0.31676074192292181</v>
      </c>
      <c r="L77" t="s">
        <v>168</v>
      </c>
      <c r="N77" t="s">
        <v>205</v>
      </c>
      <c r="O77" t="s">
        <v>406</v>
      </c>
      <c r="P77">
        <v>5.6262555369782828E-2</v>
      </c>
      <c r="Q77" t="s">
        <v>168</v>
      </c>
      <c r="S77" t="s">
        <v>224</v>
      </c>
      <c r="T77" t="s">
        <v>406</v>
      </c>
      <c r="U77">
        <v>4.8484458273117599E-2</v>
      </c>
      <c r="V77" t="s">
        <v>168</v>
      </c>
      <c r="AK77">
        <v>2038</v>
      </c>
      <c r="AL77" t="s">
        <v>397</v>
      </c>
      <c r="AM77">
        <v>0.30306666666666665</v>
      </c>
      <c r="AN77" t="s">
        <v>247</v>
      </c>
    </row>
    <row r="78" spans="9:40" x14ac:dyDescent="0.45">
      <c r="I78" t="s">
        <v>181</v>
      </c>
      <c r="J78" t="s">
        <v>407</v>
      </c>
      <c r="K78">
        <v>1.1672146747138498E-2</v>
      </c>
      <c r="L78" t="s">
        <v>168</v>
      </c>
      <c r="N78" t="s">
        <v>205</v>
      </c>
      <c r="O78" t="s">
        <v>407</v>
      </c>
      <c r="P78">
        <v>4.7289957274799267E-2</v>
      </c>
      <c r="Q78" t="s">
        <v>168</v>
      </c>
      <c r="S78" t="s">
        <v>224</v>
      </c>
      <c r="T78" t="s">
        <v>407</v>
      </c>
      <c r="U78">
        <v>4.129379892464264E-2</v>
      </c>
      <c r="V78" t="s">
        <v>168</v>
      </c>
      <c r="AK78">
        <v>2038</v>
      </c>
      <c r="AL78" t="s">
        <v>399</v>
      </c>
      <c r="AM78">
        <v>0.18473333333333333</v>
      </c>
      <c r="AN78" t="s">
        <v>247</v>
      </c>
    </row>
    <row r="79" spans="9:40" x14ac:dyDescent="0.45">
      <c r="I79" t="s">
        <v>181</v>
      </c>
      <c r="J79" t="s">
        <v>408</v>
      </c>
      <c r="K79">
        <v>2.851949587801815E-2</v>
      </c>
      <c r="L79" t="s">
        <v>168</v>
      </c>
      <c r="N79" t="s">
        <v>205</v>
      </c>
      <c r="O79" t="s">
        <v>408</v>
      </c>
      <c r="P79">
        <v>1.4726363330270118E-2</v>
      </c>
      <c r="Q79" t="s">
        <v>168</v>
      </c>
      <c r="S79" t="s">
        <v>224</v>
      </c>
      <c r="T79" t="s">
        <v>408</v>
      </c>
      <c r="U79">
        <v>1.0081962669025743E-2</v>
      </c>
      <c r="V79" t="s">
        <v>168</v>
      </c>
      <c r="AK79">
        <v>2039</v>
      </c>
      <c r="AL79" t="s">
        <v>394</v>
      </c>
      <c r="AM79">
        <v>0.20520000000000002</v>
      </c>
      <c r="AN79" t="s">
        <v>247</v>
      </c>
    </row>
    <row r="80" spans="9:40" x14ac:dyDescent="0.45">
      <c r="I80" t="s">
        <v>181</v>
      </c>
      <c r="J80" t="s">
        <v>409</v>
      </c>
      <c r="K80">
        <v>0.16864938885304817</v>
      </c>
      <c r="L80" t="s">
        <v>168</v>
      </c>
      <c r="N80" t="s">
        <v>205</v>
      </c>
      <c r="O80" t="s">
        <v>409</v>
      </c>
      <c r="P80">
        <v>0.12217024238290233</v>
      </c>
      <c r="Q80" t="s">
        <v>168</v>
      </c>
      <c r="S80" t="s">
        <v>224</v>
      </c>
      <c r="T80" t="s">
        <v>409</v>
      </c>
      <c r="U80">
        <v>0.13826154481915237</v>
      </c>
      <c r="V80" t="s">
        <v>168</v>
      </c>
      <c r="AK80">
        <v>2039</v>
      </c>
      <c r="AL80" t="s">
        <v>396</v>
      </c>
      <c r="AM80">
        <v>0.21623333333333336</v>
      </c>
      <c r="AN80" t="s">
        <v>247</v>
      </c>
    </row>
    <row r="81" spans="9:40" x14ac:dyDescent="0.45">
      <c r="I81" t="s">
        <v>181</v>
      </c>
      <c r="J81" t="s">
        <v>410</v>
      </c>
      <c r="K81">
        <v>0</v>
      </c>
      <c r="L81" t="s">
        <v>168</v>
      </c>
      <c r="N81" t="s">
        <v>205</v>
      </c>
      <c r="O81" t="s">
        <v>410</v>
      </c>
      <c r="P81">
        <v>0.12040891725786922</v>
      </c>
      <c r="Q81" t="s">
        <v>168</v>
      </c>
      <c r="S81" t="s">
        <v>224</v>
      </c>
      <c r="T81" t="s">
        <v>410</v>
      </c>
      <c r="U81">
        <v>0.13252109541139501</v>
      </c>
      <c r="V81" t="s">
        <v>168</v>
      </c>
      <c r="AK81">
        <v>2039</v>
      </c>
      <c r="AL81" t="s">
        <v>397</v>
      </c>
      <c r="AM81">
        <v>0.30213333333333336</v>
      </c>
      <c r="AN81" t="s">
        <v>247</v>
      </c>
    </row>
    <row r="82" spans="9:40" x14ac:dyDescent="0.45">
      <c r="I82" t="s">
        <v>181</v>
      </c>
      <c r="J82" t="s">
        <v>411</v>
      </c>
      <c r="K82">
        <v>1.884613541080854E-3</v>
      </c>
      <c r="L82" t="s">
        <v>168</v>
      </c>
      <c r="N82" t="s">
        <v>205</v>
      </c>
      <c r="O82" t="s">
        <v>411</v>
      </c>
      <c r="P82">
        <v>1.8962214925330095E-2</v>
      </c>
      <c r="Q82" t="s">
        <v>168</v>
      </c>
      <c r="S82" t="s">
        <v>224</v>
      </c>
      <c r="T82" t="s">
        <v>411</v>
      </c>
      <c r="U82">
        <v>2.5807751542024051E-2</v>
      </c>
      <c r="V82" t="s">
        <v>168</v>
      </c>
      <c r="AK82">
        <v>2039</v>
      </c>
      <c r="AL82" t="s">
        <v>399</v>
      </c>
      <c r="AM82">
        <v>0.18149999999999999</v>
      </c>
      <c r="AN82" t="s">
        <v>247</v>
      </c>
    </row>
    <row r="83" spans="9:40" x14ac:dyDescent="0.45">
      <c r="I83" t="s">
        <v>182</v>
      </c>
      <c r="J83" t="s">
        <v>400</v>
      </c>
      <c r="K83">
        <v>0.18172750445107461</v>
      </c>
      <c r="L83" t="s">
        <v>168</v>
      </c>
      <c r="N83" t="s">
        <v>206</v>
      </c>
      <c r="O83" t="s">
        <v>400</v>
      </c>
      <c r="P83">
        <v>0.1419483993261087</v>
      </c>
      <c r="Q83" t="s">
        <v>168</v>
      </c>
      <c r="S83" t="s">
        <v>225</v>
      </c>
      <c r="T83" t="s">
        <v>400</v>
      </c>
      <c r="U83">
        <v>0.12535963461322511</v>
      </c>
      <c r="V83" t="s">
        <v>168</v>
      </c>
      <c r="AK83">
        <v>2040</v>
      </c>
      <c r="AL83" t="s">
        <v>394</v>
      </c>
      <c r="AM83">
        <v>0.21253333333333332</v>
      </c>
      <c r="AN83" t="s">
        <v>247</v>
      </c>
    </row>
    <row r="84" spans="9:40" x14ac:dyDescent="0.45">
      <c r="I84" t="s">
        <v>182</v>
      </c>
      <c r="J84" t="s">
        <v>401</v>
      </c>
      <c r="K84">
        <v>0</v>
      </c>
      <c r="L84" t="s">
        <v>168</v>
      </c>
      <c r="N84" t="s">
        <v>206</v>
      </c>
      <c r="O84" t="s">
        <v>401</v>
      </c>
      <c r="P84">
        <v>0.1174822284849687</v>
      </c>
      <c r="Q84" t="s">
        <v>168</v>
      </c>
      <c r="S84" t="s">
        <v>225</v>
      </c>
      <c r="T84" t="s">
        <v>401</v>
      </c>
      <c r="U84">
        <v>0.1270469655242181</v>
      </c>
      <c r="V84" t="s">
        <v>168</v>
      </c>
      <c r="AK84">
        <v>2040</v>
      </c>
      <c r="AL84" t="s">
        <v>396</v>
      </c>
      <c r="AM84">
        <v>0.22776666666666667</v>
      </c>
      <c r="AN84" t="s">
        <v>247</v>
      </c>
    </row>
    <row r="85" spans="9:40" x14ac:dyDescent="0.45">
      <c r="I85" t="s">
        <v>182</v>
      </c>
      <c r="J85" t="s">
        <v>402</v>
      </c>
      <c r="K85">
        <v>6.1993287222899107E-3</v>
      </c>
      <c r="L85" t="s">
        <v>168</v>
      </c>
      <c r="N85" t="s">
        <v>206</v>
      </c>
      <c r="O85" t="s">
        <v>402</v>
      </c>
      <c r="P85">
        <v>2.8825839909546718E-2</v>
      </c>
      <c r="Q85" t="s">
        <v>168</v>
      </c>
      <c r="S85" t="s">
        <v>225</v>
      </c>
      <c r="T85" t="s">
        <v>402</v>
      </c>
      <c r="U85">
        <v>2.3961951056395942E-2</v>
      </c>
      <c r="V85" t="s">
        <v>168</v>
      </c>
      <c r="AK85">
        <v>2040</v>
      </c>
      <c r="AL85" t="s">
        <v>397</v>
      </c>
      <c r="AM85">
        <v>0.30069999999999997</v>
      </c>
      <c r="AN85" t="s">
        <v>247</v>
      </c>
    </row>
    <row r="86" spans="9:40" x14ac:dyDescent="0.45">
      <c r="I86" t="s">
        <v>182</v>
      </c>
      <c r="J86" t="s">
        <v>403</v>
      </c>
      <c r="K86">
        <v>0.24887425669020188</v>
      </c>
      <c r="L86" t="s">
        <v>168</v>
      </c>
      <c r="N86" t="s">
        <v>206</v>
      </c>
      <c r="O86" t="s">
        <v>403</v>
      </c>
      <c r="P86">
        <v>0.16196028898034667</v>
      </c>
      <c r="Q86" t="s">
        <v>168</v>
      </c>
      <c r="S86" t="s">
        <v>225</v>
      </c>
      <c r="T86" t="s">
        <v>403</v>
      </c>
      <c r="U86">
        <v>0.14745472227690576</v>
      </c>
      <c r="V86" t="s">
        <v>168</v>
      </c>
      <c r="AK86">
        <v>2040</v>
      </c>
      <c r="AL86" t="s">
        <v>399</v>
      </c>
      <c r="AM86">
        <v>0.17633333333333334</v>
      </c>
      <c r="AN86" t="s">
        <v>247</v>
      </c>
    </row>
    <row r="87" spans="9:40" x14ac:dyDescent="0.45">
      <c r="I87" t="s">
        <v>182</v>
      </c>
      <c r="J87" t="s">
        <v>404</v>
      </c>
      <c r="K87">
        <v>3.2937057873938511E-3</v>
      </c>
      <c r="L87" t="s">
        <v>168</v>
      </c>
      <c r="N87" t="s">
        <v>206</v>
      </c>
      <c r="O87" t="s">
        <v>404</v>
      </c>
      <c r="P87">
        <v>0.10864484471828195</v>
      </c>
      <c r="Q87" t="s">
        <v>168</v>
      </c>
      <c r="S87" t="s">
        <v>225</v>
      </c>
      <c r="T87" t="s">
        <v>404</v>
      </c>
      <c r="U87">
        <v>0.15318502282827465</v>
      </c>
      <c r="V87" t="s">
        <v>168</v>
      </c>
      <c r="AK87">
        <v>2041</v>
      </c>
      <c r="AL87" t="s">
        <v>394</v>
      </c>
      <c r="AM87">
        <v>0.2039</v>
      </c>
      <c r="AN87" t="s">
        <v>247</v>
      </c>
    </row>
    <row r="88" spans="9:40" x14ac:dyDescent="0.45">
      <c r="I88" t="s">
        <v>182</v>
      </c>
      <c r="J88" t="s">
        <v>405</v>
      </c>
      <c r="K88">
        <v>1.9593469614529967E-2</v>
      </c>
      <c r="L88" t="s">
        <v>168</v>
      </c>
      <c r="N88" t="s">
        <v>206</v>
      </c>
      <c r="O88" t="s">
        <v>405</v>
      </c>
      <c r="P88">
        <v>2.7334025446244789E-2</v>
      </c>
      <c r="Q88" t="s">
        <v>168</v>
      </c>
      <c r="S88" t="s">
        <v>225</v>
      </c>
      <c r="T88" t="s">
        <v>405</v>
      </c>
      <c r="U88">
        <v>2.9049710653147518E-2</v>
      </c>
      <c r="V88" t="s">
        <v>168</v>
      </c>
      <c r="AK88">
        <v>2041</v>
      </c>
      <c r="AL88" t="s">
        <v>396</v>
      </c>
      <c r="AM88">
        <v>0.22096666666666667</v>
      </c>
      <c r="AN88" t="s">
        <v>247</v>
      </c>
    </row>
    <row r="89" spans="9:40" x14ac:dyDescent="0.45">
      <c r="I89" t="s">
        <v>182</v>
      </c>
      <c r="J89" t="s">
        <v>406</v>
      </c>
      <c r="K89">
        <v>0.34741509556818817</v>
      </c>
      <c r="L89" t="s">
        <v>168</v>
      </c>
      <c r="N89" t="s">
        <v>206</v>
      </c>
      <c r="O89" t="s">
        <v>406</v>
      </c>
      <c r="P89">
        <v>5.2255794876999349E-2</v>
      </c>
      <c r="Q89" t="s">
        <v>168</v>
      </c>
      <c r="S89" t="s">
        <v>225</v>
      </c>
      <c r="T89" t="s">
        <v>406</v>
      </c>
      <c r="U89">
        <v>4.5803279318070357E-2</v>
      </c>
      <c r="V89" t="s">
        <v>168</v>
      </c>
      <c r="AK89">
        <v>2041</v>
      </c>
      <c r="AL89" t="s">
        <v>397</v>
      </c>
      <c r="AM89">
        <v>0.29353333333333337</v>
      </c>
      <c r="AN89" t="s">
        <v>247</v>
      </c>
    </row>
    <row r="90" spans="9:40" x14ac:dyDescent="0.45">
      <c r="I90" t="s">
        <v>182</v>
      </c>
      <c r="J90" t="s">
        <v>407</v>
      </c>
      <c r="K90">
        <v>1.2382139380387855E-2</v>
      </c>
      <c r="L90" t="s">
        <v>168</v>
      </c>
      <c r="N90" t="s">
        <v>206</v>
      </c>
      <c r="O90" t="s">
        <v>407</v>
      </c>
      <c r="P90">
        <v>4.0450008718176035E-2</v>
      </c>
      <c r="Q90" t="s">
        <v>168</v>
      </c>
      <c r="S90" t="s">
        <v>225</v>
      </c>
      <c r="T90" t="s">
        <v>407</v>
      </c>
      <c r="U90">
        <v>5.6628416191982299E-2</v>
      </c>
      <c r="V90" t="s">
        <v>168</v>
      </c>
      <c r="AK90">
        <v>2041</v>
      </c>
      <c r="AL90" t="s">
        <v>399</v>
      </c>
      <c r="AM90">
        <v>0.18363333333333334</v>
      </c>
      <c r="AN90" t="s">
        <v>247</v>
      </c>
    </row>
    <row r="91" spans="9:40" x14ac:dyDescent="0.45">
      <c r="I91" t="s">
        <v>182</v>
      </c>
      <c r="J91" t="s">
        <v>408</v>
      </c>
      <c r="K91">
        <v>3.4104171704599472E-2</v>
      </c>
      <c r="L91" t="s">
        <v>168</v>
      </c>
      <c r="N91" t="s">
        <v>206</v>
      </c>
      <c r="O91" t="s">
        <v>408</v>
      </c>
      <c r="P91">
        <v>1.2168812605643871E-2</v>
      </c>
      <c r="Q91" t="s">
        <v>168</v>
      </c>
      <c r="S91" t="s">
        <v>225</v>
      </c>
      <c r="T91" t="s">
        <v>408</v>
      </c>
      <c r="U91">
        <v>9.8724576960324741E-3</v>
      </c>
      <c r="V91" t="s">
        <v>168</v>
      </c>
      <c r="AK91">
        <v>2042</v>
      </c>
      <c r="AL91" t="s">
        <v>394</v>
      </c>
      <c r="AM91">
        <v>0.20793333333333333</v>
      </c>
      <c r="AN91" t="s">
        <v>247</v>
      </c>
    </row>
    <row r="92" spans="9:40" x14ac:dyDescent="0.45">
      <c r="I92" t="s">
        <v>182</v>
      </c>
      <c r="J92" t="s">
        <v>409</v>
      </c>
      <c r="K92">
        <v>0.1445197441960468</v>
      </c>
      <c r="L92" t="s">
        <v>168</v>
      </c>
      <c r="N92" t="s">
        <v>206</v>
      </c>
      <c r="O92" t="s">
        <v>409</v>
      </c>
      <c r="P92">
        <v>0.14922431666845562</v>
      </c>
      <c r="Q92" t="s">
        <v>168</v>
      </c>
      <c r="S92" t="s">
        <v>225</v>
      </c>
      <c r="T92" t="s">
        <v>409</v>
      </c>
      <c r="U92">
        <v>0.12713292647406849</v>
      </c>
      <c r="V92" t="s">
        <v>168</v>
      </c>
      <c r="AK92">
        <v>2042</v>
      </c>
      <c r="AL92" t="s">
        <v>396</v>
      </c>
      <c r="AM92">
        <v>0.23263333333333333</v>
      </c>
      <c r="AN92" t="s">
        <v>247</v>
      </c>
    </row>
    <row r="93" spans="9:40" x14ac:dyDescent="0.45">
      <c r="I93" t="s">
        <v>182</v>
      </c>
      <c r="J93" t="s">
        <v>410</v>
      </c>
      <c r="K93">
        <v>0</v>
      </c>
      <c r="L93" t="s">
        <v>168</v>
      </c>
      <c r="N93" t="s">
        <v>206</v>
      </c>
      <c r="O93" t="s">
        <v>410</v>
      </c>
      <c r="P93">
        <v>0.13430932109946042</v>
      </c>
      <c r="Q93" t="s">
        <v>168</v>
      </c>
      <c r="S93" t="s">
        <v>225</v>
      </c>
      <c r="T93" t="s">
        <v>410</v>
      </c>
      <c r="U93">
        <v>0.13144274717860016</v>
      </c>
      <c r="V93" t="s">
        <v>168</v>
      </c>
      <c r="AK93">
        <v>2042</v>
      </c>
      <c r="AL93" t="s">
        <v>397</v>
      </c>
      <c r="AM93">
        <v>0.32769999999999994</v>
      </c>
      <c r="AN93" t="s">
        <v>247</v>
      </c>
    </row>
    <row r="94" spans="9:40" x14ac:dyDescent="0.45">
      <c r="I94" t="s">
        <v>182</v>
      </c>
      <c r="J94" t="s">
        <v>411</v>
      </c>
      <c r="K94">
        <v>1.8905838852896781E-3</v>
      </c>
      <c r="L94" t="s">
        <v>168</v>
      </c>
      <c r="N94" t="s">
        <v>206</v>
      </c>
      <c r="O94" t="s">
        <v>411</v>
      </c>
      <c r="P94">
        <v>2.5396119165764904E-2</v>
      </c>
      <c r="Q94" t="s">
        <v>168</v>
      </c>
      <c r="S94" t="s">
        <v>225</v>
      </c>
      <c r="T94" t="s">
        <v>411</v>
      </c>
      <c r="U94">
        <v>2.306216618908042E-2</v>
      </c>
      <c r="V94" t="s">
        <v>168</v>
      </c>
      <c r="AK94">
        <v>2042</v>
      </c>
      <c r="AL94" t="s">
        <v>399</v>
      </c>
      <c r="AM94">
        <v>0.17703333333333335</v>
      </c>
      <c r="AN94" t="s">
        <v>247</v>
      </c>
    </row>
    <row r="95" spans="9:40" x14ac:dyDescent="0.45">
      <c r="I95" t="s">
        <v>183</v>
      </c>
      <c r="J95" t="s">
        <v>400</v>
      </c>
      <c r="K95">
        <v>0.19227457209189136</v>
      </c>
      <c r="L95" t="s">
        <v>168</v>
      </c>
      <c r="N95" t="s">
        <v>207</v>
      </c>
      <c r="O95" t="s">
        <v>400</v>
      </c>
      <c r="P95">
        <v>0.10256723033046147</v>
      </c>
      <c r="Q95" t="s">
        <v>168</v>
      </c>
      <c r="S95" t="s">
        <v>226</v>
      </c>
      <c r="T95" t="s">
        <v>400</v>
      </c>
      <c r="U95">
        <v>0.11953770804997355</v>
      </c>
      <c r="V95" t="s">
        <v>168</v>
      </c>
      <c r="AK95">
        <v>2043</v>
      </c>
      <c r="AL95" t="s">
        <v>394</v>
      </c>
      <c r="AM95">
        <v>0.20673333333333332</v>
      </c>
      <c r="AN95" t="s">
        <v>247</v>
      </c>
    </row>
    <row r="96" spans="9:40" x14ac:dyDescent="0.45">
      <c r="I96" t="s">
        <v>183</v>
      </c>
      <c r="J96" t="s">
        <v>401</v>
      </c>
      <c r="K96">
        <v>0</v>
      </c>
      <c r="L96" t="s">
        <v>168</v>
      </c>
      <c r="N96" t="s">
        <v>207</v>
      </c>
      <c r="O96" t="s">
        <v>401</v>
      </c>
      <c r="P96">
        <v>9.7598332638898375E-2</v>
      </c>
      <c r="Q96" t="s">
        <v>168</v>
      </c>
      <c r="S96" t="s">
        <v>226</v>
      </c>
      <c r="T96" t="s">
        <v>401</v>
      </c>
      <c r="U96">
        <v>0.12593992124372921</v>
      </c>
      <c r="V96" t="s">
        <v>168</v>
      </c>
      <c r="AK96">
        <v>2043</v>
      </c>
      <c r="AL96" t="s">
        <v>396</v>
      </c>
      <c r="AM96">
        <v>0.22589999999999999</v>
      </c>
      <c r="AN96" t="s">
        <v>247</v>
      </c>
    </row>
    <row r="97" spans="9:40" x14ac:dyDescent="0.45">
      <c r="I97" t="s">
        <v>183</v>
      </c>
      <c r="J97" t="s">
        <v>402</v>
      </c>
      <c r="K97">
        <v>6.3068403131019595E-3</v>
      </c>
      <c r="L97" t="s">
        <v>168</v>
      </c>
      <c r="N97" t="s">
        <v>207</v>
      </c>
      <c r="O97" t="s">
        <v>402</v>
      </c>
      <c r="P97">
        <v>2.139804177527577E-2</v>
      </c>
      <c r="Q97" t="s">
        <v>168</v>
      </c>
      <c r="S97" t="s">
        <v>226</v>
      </c>
      <c r="T97" t="s">
        <v>402</v>
      </c>
      <c r="U97">
        <v>2.3332690751967759E-2</v>
      </c>
      <c r="V97" t="s">
        <v>168</v>
      </c>
      <c r="AK97">
        <v>2043</v>
      </c>
      <c r="AL97" t="s">
        <v>397</v>
      </c>
      <c r="AM97">
        <v>0.30316666666666664</v>
      </c>
      <c r="AN97" t="s">
        <v>247</v>
      </c>
    </row>
    <row r="98" spans="9:40" x14ac:dyDescent="0.45">
      <c r="I98" t="s">
        <v>183</v>
      </c>
      <c r="J98" t="s">
        <v>403</v>
      </c>
      <c r="K98">
        <v>0.26104438751057302</v>
      </c>
      <c r="L98" t="s">
        <v>168</v>
      </c>
      <c r="N98" t="s">
        <v>207</v>
      </c>
      <c r="O98" t="s">
        <v>403</v>
      </c>
      <c r="P98">
        <v>0.1381219552323055</v>
      </c>
      <c r="Q98" t="s">
        <v>168</v>
      </c>
      <c r="S98" t="s">
        <v>226</v>
      </c>
      <c r="T98" t="s">
        <v>403</v>
      </c>
      <c r="U98">
        <v>0.15608595826033636</v>
      </c>
      <c r="V98" t="s">
        <v>168</v>
      </c>
      <c r="AK98">
        <v>2043</v>
      </c>
      <c r="AL98" t="s">
        <v>399</v>
      </c>
      <c r="AM98">
        <v>0.1812</v>
      </c>
      <c r="AN98" t="s">
        <v>247</v>
      </c>
    </row>
    <row r="99" spans="9:40" x14ac:dyDescent="0.45">
      <c r="I99" t="s">
        <v>183</v>
      </c>
      <c r="J99" t="s">
        <v>404</v>
      </c>
      <c r="K99">
        <v>2.7166646444448531E-3</v>
      </c>
      <c r="L99" t="s">
        <v>168</v>
      </c>
      <c r="N99" t="s">
        <v>207</v>
      </c>
      <c r="O99" t="s">
        <v>404</v>
      </c>
      <c r="P99">
        <v>0.12349356666091582</v>
      </c>
      <c r="Q99" t="s">
        <v>168</v>
      </c>
      <c r="S99" t="s">
        <v>226</v>
      </c>
      <c r="T99" t="s">
        <v>404</v>
      </c>
      <c r="U99">
        <v>0.15329212030709508</v>
      </c>
      <c r="V99" t="s">
        <v>168</v>
      </c>
      <c r="AK99">
        <v>2044</v>
      </c>
      <c r="AL99" t="s">
        <v>394</v>
      </c>
      <c r="AM99">
        <v>0.21386666666666665</v>
      </c>
      <c r="AN99" t="s">
        <v>247</v>
      </c>
    </row>
    <row r="100" spans="9:40" x14ac:dyDescent="0.45">
      <c r="I100" t="s">
        <v>183</v>
      </c>
      <c r="J100" t="s">
        <v>405</v>
      </c>
      <c r="K100">
        <v>2.2343564568333408E-2</v>
      </c>
      <c r="L100" t="s">
        <v>168</v>
      </c>
      <c r="N100" t="s">
        <v>207</v>
      </c>
      <c r="O100" t="s">
        <v>405</v>
      </c>
      <c r="P100">
        <v>3.0635903220240106E-2</v>
      </c>
      <c r="Q100" t="s">
        <v>168</v>
      </c>
      <c r="S100" t="s">
        <v>226</v>
      </c>
      <c r="T100" t="s">
        <v>405</v>
      </c>
      <c r="U100">
        <v>3.0681710942904034E-2</v>
      </c>
      <c r="V100" t="s">
        <v>168</v>
      </c>
      <c r="AK100">
        <v>2044</v>
      </c>
      <c r="AL100" t="s">
        <v>396</v>
      </c>
      <c r="AM100">
        <v>0.22770000000000001</v>
      </c>
      <c r="AN100" t="s">
        <v>247</v>
      </c>
    </row>
    <row r="101" spans="9:40" x14ac:dyDescent="0.45">
      <c r="I101" t="s">
        <v>183</v>
      </c>
      <c r="J101" t="s">
        <v>406</v>
      </c>
      <c r="K101">
        <v>0.32097135792536408</v>
      </c>
      <c r="L101" t="s">
        <v>168</v>
      </c>
      <c r="N101" t="s">
        <v>207</v>
      </c>
      <c r="O101" t="s">
        <v>406</v>
      </c>
      <c r="P101">
        <v>7.5826807347844485E-2</v>
      </c>
      <c r="Q101" t="s">
        <v>168</v>
      </c>
      <c r="S101" t="s">
        <v>226</v>
      </c>
      <c r="T101" t="s">
        <v>406</v>
      </c>
      <c r="U101">
        <v>4.0237448256541665E-2</v>
      </c>
      <c r="V101" t="s">
        <v>168</v>
      </c>
      <c r="AK101">
        <v>2044</v>
      </c>
      <c r="AL101" t="s">
        <v>397</v>
      </c>
      <c r="AM101">
        <v>0.31549999999999995</v>
      </c>
      <c r="AN101" t="s">
        <v>247</v>
      </c>
    </row>
    <row r="102" spans="9:40" x14ac:dyDescent="0.45">
      <c r="I102" t="s">
        <v>183</v>
      </c>
      <c r="J102" t="s">
        <v>407</v>
      </c>
      <c r="K102">
        <v>1.0046592863154119E-2</v>
      </c>
      <c r="L102" t="s">
        <v>168</v>
      </c>
      <c r="N102" t="s">
        <v>207</v>
      </c>
      <c r="O102" t="s">
        <v>407</v>
      </c>
      <c r="P102">
        <v>8.0463004985795936E-2</v>
      </c>
      <c r="Q102" t="s">
        <v>168</v>
      </c>
      <c r="S102" t="s">
        <v>226</v>
      </c>
      <c r="T102" t="s">
        <v>407</v>
      </c>
      <c r="U102">
        <v>5.1049874742507363E-2</v>
      </c>
      <c r="V102" t="s">
        <v>168</v>
      </c>
      <c r="AK102">
        <v>2044</v>
      </c>
      <c r="AL102" t="s">
        <v>399</v>
      </c>
      <c r="AM102">
        <v>0.18753333333333333</v>
      </c>
      <c r="AN102" t="s">
        <v>247</v>
      </c>
    </row>
    <row r="103" spans="9:40" x14ac:dyDescent="0.45">
      <c r="I103" t="s">
        <v>183</v>
      </c>
      <c r="J103" t="s">
        <v>408</v>
      </c>
      <c r="K103">
        <v>3.3671987621726455E-2</v>
      </c>
      <c r="L103" t="s">
        <v>168</v>
      </c>
      <c r="N103" t="s">
        <v>207</v>
      </c>
      <c r="O103" t="s">
        <v>408</v>
      </c>
      <c r="P103">
        <v>1.3345766968756528E-2</v>
      </c>
      <c r="Q103" t="s">
        <v>168</v>
      </c>
      <c r="S103" t="s">
        <v>226</v>
      </c>
      <c r="T103" t="s">
        <v>408</v>
      </c>
      <c r="U103">
        <v>1.1771737868744582E-2</v>
      </c>
      <c r="V103" t="s">
        <v>168</v>
      </c>
      <c r="AK103">
        <v>2045</v>
      </c>
      <c r="AL103" t="s">
        <v>394</v>
      </c>
      <c r="AM103">
        <v>0.2059</v>
      </c>
      <c r="AN103" t="s">
        <v>247</v>
      </c>
    </row>
    <row r="104" spans="9:40" x14ac:dyDescent="0.45">
      <c r="I104" t="s">
        <v>183</v>
      </c>
      <c r="J104" t="s">
        <v>409</v>
      </c>
      <c r="K104">
        <v>0.14814347993363577</v>
      </c>
      <c r="L104" t="s">
        <v>168</v>
      </c>
      <c r="N104" t="s">
        <v>207</v>
      </c>
      <c r="O104" t="s">
        <v>409</v>
      </c>
      <c r="P104">
        <v>0.14865951523621934</v>
      </c>
      <c r="Q104" t="s">
        <v>168</v>
      </c>
      <c r="S104" t="s">
        <v>226</v>
      </c>
      <c r="T104" t="s">
        <v>409</v>
      </c>
      <c r="U104">
        <v>0.12850262998356826</v>
      </c>
      <c r="V104" t="s">
        <v>168</v>
      </c>
      <c r="AK104">
        <v>2045</v>
      </c>
      <c r="AL104" t="s">
        <v>396</v>
      </c>
      <c r="AM104">
        <v>0.23340000000000002</v>
      </c>
      <c r="AN104" t="s">
        <v>247</v>
      </c>
    </row>
    <row r="105" spans="9:40" x14ac:dyDescent="0.45">
      <c r="I105" t="s">
        <v>183</v>
      </c>
      <c r="J105" t="s">
        <v>410</v>
      </c>
      <c r="K105">
        <v>0</v>
      </c>
      <c r="L105" t="s">
        <v>168</v>
      </c>
      <c r="N105" t="s">
        <v>207</v>
      </c>
      <c r="O105" t="s">
        <v>410</v>
      </c>
      <c r="P105">
        <v>0.14093317277055176</v>
      </c>
      <c r="Q105" t="s">
        <v>168</v>
      </c>
      <c r="S105" t="s">
        <v>226</v>
      </c>
      <c r="T105" t="s">
        <v>410</v>
      </c>
      <c r="U105">
        <v>0.13505484465499135</v>
      </c>
      <c r="V105" t="s">
        <v>168</v>
      </c>
      <c r="AK105">
        <v>2045</v>
      </c>
      <c r="AL105" t="s">
        <v>397</v>
      </c>
      <c r="AM105">
        <v>0.31616666666666665</v>
      </c>
      <c r="AN105" t="s">
        <v>247</v>
      </c>
    </row>
    <row r="106" spans="9:40" x14ac:dyDescent="0.45">
      <c r="I106" t="s">
        <v>183</v>
      </c>
      <c r="J106" t="s">
        <v>411</v>
      </c>
      <c r="K106">
        <v>2.4805525277758339E-3</v>
      </c>
      <c r="L106" t="s">
        <v>168</v>
      </c>
      <c r="N106" t="s">
        <v>207</v>
      </c>
      <c r="O106" t="s">
        <v>411</v>
      </c>
      <c r="P106">
        <v>2.6956702832735286E-2</v>
      </c>
      <c r="Q106" t="s">
        <v>168</v>
      </c>
      <c r="S106" t="s">
        <v>226</v>
      </c>
      <c r="T106" t="s">
        <v>411</v>
      </c>
      <c r="U106">
        <v>2.451335493764269E-2</v>
      </c>
      <c r="V106" t="s">
        <v>168</v>
      </c>
      <c r="AK106">
        <v>2045</v>
      </c>
      <c r="AL106" t="s">
        <v>399</v>
      </c>
      <c r="AM106">
        <v>0.18029999999999999</v>
      </c>
      <c r="AN106" t="s">
        <v>247</v>
      </c>
    </row>
    <row r="107" spans="9:40" x14ac:dyDescent="0.45">
      <c r="I107" t="s">
        <v>184</v>
      </c>
      <c r="J107" t="s">
        <v>400</v>
      </c>
      <c r="K107">
        <v>0.18578062692988223</v>
      </c>
      <c r="L107" t="s">
        <v>168</v>
      </c>
      <c r="N107" t="s">
        <v>208</v>
      </c>
      <c r="O107" t="s">
        <v>400</v>
      </c>
      <c r="P107">
        <v>0.12139471091502035</v>
      </c>
      <c r="Q107" t="s">
        <v>168</v>
      </c>
      <c r="S107" t="s">
        <v>227</v>
      </c>
      <c r="T107" t="s">
        <v>400</v>
      </c>
      <c r="U107">
        <v>0.12983409859486983</v>
      </c>
      <c r="V107" t="s">
        <v>168</v>
      </c>
      <c r="AK107">
        <v>2046</v>
      </c>
      <c r="AL107" t="s">
        <v>394</v>
      </c>
      <c r="AM107">
        <v>0.19999999999999998</v>
      </c>
      <c r="AN107" t="s">
        <v>247</v>
      </c>
    </row>
    <row r="108" spans="9:40" x14ac:dyDescent="0.45">
      <c r="I108" t="s">
        <v>184</v>
      </c>
      <c r="J108" t="s">
        <v>401</v>
      </c>
      <c r="K108">
        <v>0</v>
      </c>
      <c r="L108" t="s">
        <v>168</v>
      </c>
      <c r="N108" t="s">
        <v>208</v>
      </c>
      <c r="O108" t="s">
        <v>401</v>
      </c>
      <c r="P108">
        <v>0.13660646848930857</v>
      </c>
      <c r="Q108" t="s">
        <v>168</v>
      </c>
      <c r="S108" t="s">
        <v>227</v>
      </c>
      <c r="T108" t="s">
        <v>401</v>
      </c>
      <c r="U108">
        <v>0.13370043360817438</v>
      </c>
      <c r="V108" t="s">
        <v>168</v>
      </c>
      <c r="AK108">
        <v>2046</v>
      </c>
      <c r="AL108" t="s">
        <v>396</v>
      </c>
      <c r="AM108">
        <v>0.22303333333333333</v>
      </c>
      <c r="AN108" t="s">
        <v>247</v>
      </c>
    </row>
    <row r="109" spans="9:40" x14ac:dyDescent="0.45">
      <c r="I109" t="s">
        <v>184</v>
      </c>
      <c r="J109" t="s">
        <v>402</v>
      </c>
      <c r="K109">
        <v>6.1195355644251851E-3</v>
      </c>
      <c r="L109" t="s">
        <v>168</v>
      </c>
      <c r="N109" t="s">
        <v>208</v>
      </c>
      <c r="O109" t="s">
        <v>402</v>
      </c>
      <c r="P109">
        <v>2.4443063002567145E-2</v>
      </c>
      <c r="Q109" t="s">
        <v>168</v>
      </c>
      <c r="S109" t="s">
        <v>227</v>
      </c>
      <c r="T109" t="s">
        <v>402</v>
      </c>
      <c r="U109">
        <v>2.5763564867417328E-2</v>
      </c>
      <c r="V109" t="s">
        <v>168</v>
      </c>
      <c r="AK109">
        <v>2046</v>
      </c>
      <c r="AL109" t="s">
        <v>397</v>
      </c>
      <c r="AM109">
        <v>0.28106666666666663</v>
      </c>
      <c r="AN109" t="s">
        <v>247</v>
      </c>
    </row>
    <row r="110" spans="9:40" x14ac:dyDescent="0.45">
      <c r="I110" t="s">
        <v>184</v>
      </c>
      <c r="J110" t="s">
        <v>403</v>
      </c>
      <c r="K110">
        <v>0.25168674068216457</v>
      </c>
      <c r="L110" t="s">
        <v>168</v>
      </c>
      <c r="N110" t="s">
        <v>208</v>
      </c>
      <c r="O110" t="s">
        <v>403</v>
      </c>
      <c r="P110">
        <v>0.13229635448439309</v>
      </c>
      <c r="Q110" t="s">
        <v>168</v>
      </c>
      <c r="S110" t="s">
        <v>227</v>
      </c>
      <c r="T110" t="s">
        <v>403</v>
      </c>
      <c r="U110">
        <v>0.15063663770069569</v>
      </c>
      <c r="V110" t="s">
        <v>168</v>
      </c>
      <c r="AK110">
        <v>2046</v>
      </c>
      <c r="AL110" t="s">
        <v>399</v>
      </c>
      <c r="AM110">
        <v>0.18456666666666666</v>
      </c>
      <c r="AN110" t="s">
        <v>247</v>
      </c>
    </row>
    <row r="111" spans="9:40" x14ac:dyDescent="0.45">
      <c r="I111" t="s">
        <v>184</v>
      </c>
      <c r="J111" t="s">
        <v>404</v>
      </c>
      <c r="K111">
        <v>2.7124311920498734E-3</v>
      </c>
      <c r="L111" t="s">
        <v>168</v>
      </c>
      <c r="N111" t="s">
        <v>208</v>
      </c>
      <c r="O111" t="s">
        <v>404</v>
      </c>
      <c r="P111">
        <v>0.15455928172642552</v>
      </c>
      <c r="Q111" t="s">
        <v>168</v>
      </c>
      <c r="S111" t="s">
        <v>227</v>
      </c>
      <c r="T111" t="s">
        <v>404</v>
      </c>
      <c r="U111">
        <v>0.13806121977614003</v>
      </c>
      <c r="V111" t="s">
        <v>168</v>
      </c>
      <c r="AK111">
        <v>2047</v>
      </c>
      <c r="AL111" t="s">
        <v>394</v>
      </c>
      <c r="AM111">
        <v>0.21663333333333334</v>
      </c>
      <c r="AN111" t="s">
        <v>247</v>
      </c>
    </row>
    <row r="112" spans="9:40" x14ac:dyDescent="0.45">
      <c r="I112" t="s">
        <v>184</v>
      </c>
      <c r="J112" t="s">
        <v>405</v>
      </c>
      <c r="K112">
        <v>2.1388067301258574E-2</v>
      </c>
      <c r="L112" t="s">
        <v>168</v>
      </c>
      <c r="N112" t="s">
        <v>208</v>
      </c>
      <c r="O112" t="s">
        <v>405</v>
      </c>
      <c r="P112">
        <v>2.8708594990636216E-2</v>
      </c>
      <c r="Q112" t="s">
        <v>168</v>
      </c>
      <c r="S112" t="s">
        <v>227</v>
      </c>
      <c r="T112" t="s">
        <v>405</v>
      </c>
      <c r="U112">
        <v>2.8443444619708873E-2</v>
      </c>
      <c r="V112" t="s">
        <v>168</v>
      </c>
      <c r="AK112">
        <v>2047</v>
      </c>
      <c r="AL112" t="s">
        <v>396</v>
      </c>
      <c r="AM112">
        <v>0.22326666666666664</v>
      </c>
      <c r="AN112" t="s">
        <v>247</v>
      </c>
    </row>
    <row r="113" spans="9:40" x14ac:dyDescent="0.45">
      <c r="I113" t="s">
        <v>184</v>
      </c>
      <c r="J113" t="s">
        <v>406</v>
      </c>
      <c r="K113">
        <v>0.34034067839626075</v>
      </c>
      <c r="L113" t="s">
        <v>168</v>
      </c>
      <c r="N113" t="s">
        <v>208</v>
      </c>
      <c r="O113" t="s">
        <v>406</v>
      </c>
      <c r="P113">
        <v>5.3346286082520553E-2</v>
      </c>
      <c r="Q113" t="s">
        <v>168</v>
      </c>
      <c r="S113" t="s">
        <v>227</v>
      </c>
      <c r="T113" t="s">
        <v>406</v>
      </c>
      <c r="U113">
        <v>4.3745721150196419E-2</v>
      </c>
      <c r="V113" t="s">
        <v>168</v>
      </c>
      <c r="AK113">
        <v>2047</v>
      </c>
      <c r="AL113" t="s">
        <v>397</v>
      </c>
      <c r="AM113">
        <v>0.31559999999999999</v>
      </c>
      <c r="AN113" t="s">
        <v>247</v>
      </c>
    </row>
    <row r="114" spans="9:40" x14ac:dyDescent="0.45">
      <c r="I114" t="s">
        <v>184</v>
      </c>
      <c r="J114" t="s">
        <v>407</v>
      </c>
      <c r="K114">
        <v>1.1069188602801119E-2</v>
      </c>
      <c r="L114" t="s">
        <v>168</v>
      </c>
      <c r="N114" t="s">
        <v>208</v>
      </c>
      <c r="O114" t="s">
        <v>407</v>
      </c>
      <c r="P114">
        <v>6.8795011357832087E-2</v>
      </c>
      <c r="Q114" t="s">
        <v>168</v>
      </c>
      <c r="S114" t="s">
        <v>227</v>
      </c>
      <c r="T114" t="s">
        <v>407</v>
      </c>
      <c r="U114">
        <v>5.2711681537934721E-2</v>
      </c>
      <c r="V114" t="s">
        <v>168</v>
      </c>
      <c r="AK114">
        <v>2047</v>
      </c>
      <c r="AL114" t="s">
        <v>399</v>
      </c>
      <c r="AM114">
        <v>0.18333333333333335</v>
      </c>
      <c r="AN114" t="s">
        <v>247</v>
      </c>
    </row>
    <row r="115" spans="9:40" x14ac:dyDescent="0.45">
      <c r="I115" t="s">
        <v>184</v>
      </c>
      <c r="J115" t="s">
        <v>408</v>
      </c>
      <c r="K115">
        <v>3.421449434503486E-2</v>
      </c>
      <c r="L115" t="s">
        <v>168</v>
      </c>
      <c r="N115" t="s">
        <v>208</v>
      </c>
      <c r="O115" t="s">
        <v>408</v>
      </c>
      <c r="P115">
        <v>9.4108042393744058E-3</v>
      </c>
      <c r="Q115" t="s">
        <v>168</v>
      </c>
      <c r="S115" t="s">
        <v>227</v>
      </c>
      <c r="T115" t="s">
        <v>408</v>
      </c>
      <c r="U115">
        <v>1.2297667108324731E-2</v>
      </c>
      <c r="V115" t="s">
        <v>168</v>
      </c>
      <c r="AK115">
        <v>2048</v>
      </c>
      <c r="AL115" t="s">
        <v>394</v>
      </c>
      <c r="AM115">
        <v>0.20303333333333332</v>
      </c>
      <c r="AN115" t="s">
        <v>247</v>
      </c>
    </row>
    <row r="116" spans="9:40" x14ac:dyDescent="0.45">
      <c r="I116" t="s">
        <v>184</v>
      </c>
      <c r="J116" t="s">
        <v>409</v>
      </c>
      <c r="K116">
        <v>0.14465961529061999</v>
      </c>
      <c r="L116" t="s">
        <v>168</v>
      </c>
      <c r="N116" t="s">
        <v>208</v>
      </c>
      <c r="O116" t="s">
        <v>409</v>
      </c>
      <c r="P116">
        <v>0.1246212924442604</v>
      </c>
      <c r="Q116" t="s">
        <v>168</v>
      </c>
      <c r="S116" t="s">
        <v>227</v>
      </c>
      <c r="T116" t="s">
        <v>409</v>
      </c>
      <c r="U116">
        <v>0.12721326127239177</v>
      </c>
      <c r="V116" t="s">
        <v>168</v>
      </c>
      <c r="AK116">
        <v>2048</v>
      </c>
      <c r="AL116" t="s">
        <v>396</v>
      </c>
      <c r="AM116">
        <v>0.21740000000000001</v>
      </c>
      <c r="AN116" t="s">
        <v>247</v>
      </c>
    </row>
    <row r="117" spans="9:40" x14ac:dyDescent="0.45">
      <c r="I117" t="s">
        <v>184</v>
      </c>
      <c r="J117" t="s">
        <v>410</v>
      </c>
      <c r="K117">
        <v>0</v>
      </c>
      <c r="L117" t="s">
        <v>168</v>
      </c>
      <c r="N117" t="s">
        <v>208</v>
      </c>
      <c r="O117" t="s">
        <v>410</v>
      </c>
      <c r="P117">
        <v>0.12493155788998775</v>
      </c>
      <c r="Q117" t="s">
        <v>168</v>
      </c>
      <c r="S117" t="s">
        <v>227</v>
      </c>
      <c r="T117" t="s">
        <v>410</v>
      </c>
      <c r="U117">
        <v>0.1334947412076713</v>
      </c>
      <c r="V117" t="s">
        <v>168</v>
      </c>
      <c r="AK117">
        <v>2048</v>
      </c>
      <c r="AL117" t="s">
        <v>397</v>
      </c>
      <c r="AM117">
        <v>0.30860000000000004</v>
      </c>
      <c r="AN117" t="s">
        <v>247</v>
      </c>
    </row>
    <row r="118" spans="9:40" x14ac:dyDescent="0.45">
      <c r="I118" t="s">
        <v>184</v>
      </c>
      <c r="J118" t="s">
        <v>411</v>
      </c>
      <c r="K118">
        <v>2.0286216955057684E-3</v>
      </c>
      <c r="L118" t="s">
        <v>168</v>
      </c>
      <c r="N118" t="s">
        <v>208</v>
      </c>
      <c r="O118" t="s">
        <v>411</v>
      </c>
      <c r="P118">
        <v>2.0886574377670341E-2</v>
      </c>
      <c r="Q118" t="s">
        <v>168</v>
      </c>
      <c r="S118" t="s">
        <v>227</v>
      </c>
      <c r="T118" t="s">
        <v>411</v>
      </c>
      <c r="U118">
        <v>2.4097528556472497E-2</v>
      </c>
      <c r="V118" t="s">
        <v>168</v>
      </c>
      <c r="AK118">
        <v>2048</v>
      </c>
      <c r="AL118" t="s">
        <v>399</v>
      </c>
      <c r="AM118">
        <v>0.18989999999999999</v>
      </c>
      <c r="AN118" t="s">
        <v>247</v>
      </c>
    </row>
    <row r="119" spans="9:40" x14ac:dyDescent="0.45">
      <c r="I119" t="s">
        <v>185</v>
      </c>
      <c r="J119" t="s">
        <v>400</v>
      </c>
      <c r="K119">
        <v>0.20364195384971687</v>
      </c>
      <c r="L119" t="s">
        <v>168</v>
      </c>
      <c r="N119" t="s">
        <v>209</v>
      </c>
      <c r="O119" t="s">
        <v>400</v>
      </c>
      <c r="P119">
        <v>9.9826156380003861E-2</v>
      </c>
      <c r="Q119" t="s">
        <v>168</v>
      </c>
      <c r="S119" t="s">
        <v>228</v>
      </c>
      <c r="T119" t="s">
        <v>400</v>
      </c>
      <c r="U119">
        <v>0.13919447226097234</v>
      </c>
      <c r="V119" t="s">
        <v>168</v>
      </c>
      <c r="AK119">
        <v>2049</v>
      </c>
      <c r="AL119" t="s">
        <v>394</v>
      </c>
      <c r="AM119">
        <v>0.2271</v>
      </c>
      <c r="AN119" t="s">
        <v>247</v>
      </c>
    </row>
    <row r="120" spans="9:40" x14ac:dyDescent="0.45">
      <c r="I120" t="s">
        <v>185</v>
      </c>
      <c r="J120" t="s">
        <v>401</v>
      </c>
      <c r="K120">
        <v>0</v>
      </c>
      <c r="L120" t="s">
        <v>168</v>
      </c>
      <c r="N120" t="s">
        <v>209</v>
      </c>
      <c r="O120" t="s">
        <v>401</v>
      </c>
      <c r="P120">
        <v>0.10015068786689396</v>
      </c>
      <c r="Q120" t="s">
        <v>168</v>
      </c>
      <c r="S120" t="s">
        <v>228</v>
      </c>
      <c r="T120" t="s">
        <v>401</v>
      </c>
      <c r="U120">
        <v>0.15356081540838387</v>
      </c>
      <c r="V120" t="s">
        <v>168</v>
      </c>
      <c r="AK120">
        <v>2049</v>
      </c>
      <c r="AL120" t="s">
        <v>396</v>
      </c>
      <c r="AM120">
        <v>0.2266</v>
      </c>
      <c r="AN120" t="s">
        <v>247</v>
      </c>
    </row>
    <row r="121" spans="9:40" x14ac:dyDescent="0.45">
      <c r="I121" t="s">
        <v>185</v>
      </c>
      <c r="J121" t="s">
        <v>402</v>
      </c>
      <c r="K121">
        <v>7.0774470529880234E-3</v>
      </c>
      <c r="L121" t="s">
        <v>168</v>
      </c>
      <c r="N121" t="s">
        <v>209</v>
      </c>
      <c r="O121" t="s">
        <v>402</v>
      </c>
      <c r="P121">
        <v>2.2224732387500983E-2</v>
      </c>
      <c r="Q121" t="s">
        <v>168</v>
      </c>
      <c r="S121" t="s">
        <v>228</v>
      </c>
      <c r="T121" t="s">
        <v>402</v>
      </c>
      <c r="U121">
        <v>2.8681370305750565E-2</v>
      </c>
      <c r="V121" t="s">
        <v>168</v>
      </c>
      <c r="AK121">
        <v>2049</v>
      </c>
      <c r="AL121" t="s">
        <v>397</v>
      </c>
      <c r="AM121">
        <v>0.30459999999999998</v>
      </c>
      <c r="AN121" t="s">
        <v>247</v>
      </c>
    </row>
    <row r="122" spans="9:40" x14ac:dyDescent="0.45">
      <c r="I122" t="s">
        <v>185</v>
      </c>
      <c r="J122" t="s">
        <v>403</v>
      </c>
      <c r="K122">
        <v>0.25652906227923122</v>
      </c>
      <c r="L122" t="s">
        <v>168</v>
      </c>
      <c r="N122" t="s">
        <v>209</v>
      </c>
      <c r="O122" t="s">
        <v>403</v>
      </c>
      <c r="P122">
        <v>0.13116032464227531</v>
      </c>
      <c r="Q122" t="s">
        <v>168</v>
      </c>
      <c r="S122" t="s">
        <v>228</v>
      </c>
      <c r="T122" t="s">
        <v>403</v>
      </c>
      <c r="U122">
        <v>0.15944965989197096</v>
      </c>
      <c r="V122" t="s">
        <v>168</v>
      </c>
      <c r="AK122">
        <v>2049</v>
      </c>
      <c r="AL122" t="s">
        <v>399</v>
      </c>
      <c r="AM122">
        <v>0.18500000000000003</v>
      </c>
      <c r="AN122" t="s">
        <v>247</v>
      </c>
    </row>
    <row r="123" spans="9:40" x14ac:dyDescent="0.45">
      <c r="I123" t="s">
        <v>185</v>
      </c>
      <c r="J123" t="s">
        <v>404</v>
      </c>
      <c r="K123">
        <v>1.9653678702994844E-3</v>
      </c>
      <c r="L123" t="s">
        <v>168</v>
      </c>
      <c r="N123" t="s">
        <v>209</v>
      </c>
      <c r="O123" t="s">
        <v>404</v>
      </c>
      <c r="P123">
        <v>0.13291578676483201</v>
      </c>
      <c r="Q123" t="s">
        <v>168</v>
      </c>
      <c r="S123" t="s">
        <v>228</v>
      </c>
      <c r="T123" t="s">
        <v>404</v>
      </c>
      <c r="U123">
        <v>0.15542921296096837</v>
      </c>
      <c r="V123" t="s">
        <v>168</v>
      </c>
      <c r="AK123">
        <v>2050</v>
      </c>
      <c r="AL123" t="s">
        <v>394</v>
      </c>
      <c r="AM123">
        <v>0.20783333333333331</v>
      </c>
      <c r="AN123" t="s">
        <v>247</v>
      </c>
    </row>
    <row r="124" spans="9:40" x14ac:dyDescent="0.45">
      <c r="I124" t="s">
        <v>185</v>
      </c>
      <c r="J124" t="s">
        <v>405</v>
      </c>
      <c r="K124">
        <v>2.3390671859836124E-2</v>
      </c>
      <c r="L124" t="s">
        <v>168</v>
      </c>
      <c r="N124" t="s">
        <v>209</v>
      </c>
      <c r="O124" t="s">
        <v>405</v>
      </c>
      <c r="P124">
        <v>2.9682894340285218E-2</v>
      </c>
      <c r="Q124" t="s">
        <v>168</v>
      </c>
      <c r="S124" t="s">
        <v>228</v>
      </c>
      <c r="T124" t="s">
        <v>405</v>
      </c>
      <c r="U124">
        <v>2.9445372767241598E-2</v>
      </c>
      <c r="V124" t="s">
        <v>168</v>
      </c>
      <c r="AK124">
        <v>2050</v>
      </c>
      <c r="AL124" t="s">
        <v>396</v>
      </c>
      <c r="AM124">
        <v>0.22013333333333338</v>
      </c>
      <c r="AN124" t="s">
        <v>247</v>
      </c>
    </row>
    <row r="125" spans="9:40" x14ac:dyDescent="0.45">
      <c r="I125" t="s">
        <v>185</v>
      </c>
      <c r="J125" t="s">
        <v>406</v>
      </c>
      <c r="K125">
        <v>0.31005345046252974</v>
      </c>
      <c r="L125" t="s">
        <v>168</v>
      </c>
      <c r="N125" t="s">
        <v>209</v>
      </c>
      <c r="O125" t="s">
        <v>406</v>
      </c>
      <c r="P125">
        <v>8.6635280653550806E-2</v>
      </c>
      <c r="Q125" t="s">
        <v>168</v>
      </c>
      <c r="S125" t="s">
        <v>228</v>
      </c>
      <c r="T125" t="s">
        <v>406</v>
      </c>
      <c r="U125">
        <v>3.9799451995350676E-2</v>
      </c>
      <c r="V125" t="s">
        <v>168</v>
      </c>
      <c r="AK125">
        <v>2050</v>
      </c>
      <c r="AL125" t="s">
        <v>397</v>
      </c>
      <c r="AM125">
        <v>0.30036666666666667</v>
      </c>
      <c r="AN125" t="s">
        <v>247</v>
      </c>
    </row>
    <row r="126" spans="9:40" x14ac:dyDescent="0.45">
      <c r="I126" t="s">
        <v>185</v>
      </c>
      <c r="J126" t="s">
        <v>407</v>
      </c>
      <c r="K126">
        <v>8.6124126085267965E-3</v>
      </c>
      <c r="L126" t="s">
        <v>168</v>
      </c>
      <c r="N126" t="s">
        <v>209</v>
      </c>
      <c r="O126" t="s">
        <v>407</v>
      </c>
      <c r="P126">
        <v>7.7887247598211001E-2</v>
      </c>
      <c r="Q126" t="s">
        <v>168</v>
      </c>
      <c r="S126" t="s">
        <v>228</v>
      </c>
      <c r="T126" t="s">
        <v>407</v>
      </c>
      <c r="U126">
        <v>4.5658927273794121E-2</v>
      </c>
      <c r="V126" t="s">
        <v>168</v>
      </c>
      <c r="AK126">
        <v>2050</v>
      </c>
      <c r="AL126" t="s">
        <v>399</v>
      </c>
      <c r="AM126">
        <v>0.17726666666666668</v>
      </c>
      <c r="AN126" t="s">
        <v>247</v>
      </c>
    </row>
    <row r="127" spans="9:40" x14ac:dyDescent="0.45">
      <c r="I127" t="s">
        <v>185</v>
      </c>
      <c r="J127" t="s">
        <v>408</v>
      </c>
      <c r="K127">
        <v>3.4092706990031606E-2</v>
      </c>
      <c r="L127" t="s">
        <v>168</v>
      </c>
      <c r="N127" t="s">
        <v>209</v>
      </c>
      <c r="O127" t="s">
        <v>408</v>
      </c>
      <c r="P127">
        <v>1.5645306821656813E-2</v>
      </c>
      <c r="Q127" t="s">
        <v>168</v>
      </c>
      <c r="S127" t="s">
        <v>228</v>
      </c>
      <c r="T127" t="s">
        <v>408</v>
      </c>
      <c r="U127">
        <v>9.7099315028396638E-3</v>
      </c>
      <c r="V127" t="s">
        <v>168</v>
      </c>
    </row>
    <row r="128" spans="9:40" x14ac:dyDescent="0.45">
      <c r="I128" t="s">
        <v>185</v>
      </c>
      <c r="J128" t="s">
        <v>409</v>
      </c>
      <c r="K128">
        <v>0.15183799229440378</v>
      </c>
      <c r="L128" t="s">
        <v>168</v>
      </c>
      <c r="N128" t="s">
        <v>209</v>
      </c>
      <c r="O128" t="s">
        <v>409</v>
      </c>
      <c r="P128">
        <v>0.1407642694341707</v>
      </c>
      <c r="Q128" t="s">
        <v>168</v>
      </c>
      <c r="S128" t="s">
        <v>228</v>
      </c>
      <c r="T128" t="s">
        <v>409</v>
      </c>
      <c r="U128">
        <v>0.10892461267062899</v>
      </c>
      <c r="V128" t="s">
        <v>168</v>
      </c>
    </row>
    <row r="129" spans="9:22" x14ac:dyDescent="0.45">
      <c r="I129" t="s">
        <v>185</v>
      </c>
      <c r="J129" t="s">
        <v>410</v>
      </c>
      <c r="K129">
        <v>0</v>
      </c>
      <c r="L129" t="s">
        <v>168</v>
      </c>
      <c r="N129" t="s">
        <v>209</v>
      </c>
      <c r="O129" t="s">
        <v>410</v>
      </c>
      <c r="P129">
        <v>0.13775186208125614</v>
      </c>
      <c r="Q129" t="s">
        <v>168</v>
      </c>
      <c r="S129" t="s">
        <v>228</v>
      </c>
      <c r="T129" t="s">
        <v>410</v>
      </c>
      <c r="U129">
        <v>0.10986994497576981</v>
      </c>
      <c r="V129" t="s">
        <v>168</v>
      </c>
    </row>
    <row r="130" spans="9:22" x14ac:dyDescent="0.45">
      <c r="I130" t="s">
        <v>185</v>
      </c>
      <c r="J130" t="s">
        <v>411</v>
      </c>
      <c r="K130">
        <v>2.7989347324351354E-3</v>
      </c>
      <c r="L130" t="s">
        <v>168</v>
      </c>
      <c r="N130" t="s">
        <v>209</v>
      </c>
      <c r="O130" t="s">
        <v>411</v>
      </c>
      <c r="P130">
        <v>2.5355451029361216E-2</v>
      </c>
      <c r="Q130" t="s">
        <v>168</v>
      </c>
      <c r="S130" t="s">
        <v>228</v>
      </c>
      <c r="T130" t="s">
        <v>411</v>
      </c>
      <c r="U130">
        <v>2.0276227986328707E-2</v>
      </c>
      <c r="V130" t="s">
        <v>168</v>
      </c>
    </row>
    <row r="131" spans="9:22" x14ac:dyDescent="0.45">
      <c r="I131" t="s">
        <v>186</v>
      </c>
      <c r="J131" t="s">
        <v>400</v>
      </c>
      <c r="K131">
        <v>0.20715823870500366</v>
      </c>
      <c r="L131" t="s">
        <v>168</v>
      </c>
      <c r="N131" t="s">
        <v>210</v>
      </c>
      <c r="O131" t="s">
        <v>400</v>
      </c>
      <c r="P131">
        <v>9.4356134930241656E-2</v>
      </c>
      <c r="Q131" t="s">
        <v>168</v>
      </c>
      <c r="S131" t="s">
        <v>229</v>
      </c>
      <c r="T131" t="s">
        <v>400</v>
      </c>
      <c r="U131">
        <v>0.14446642888242353</v>
      </c>
      <c r="V131" t="s">
        <v>168</v>
      </c>
    </row>
    <row r="132" spans="9:22" x14ac:dyDescent="0.45">
      <c r="I132" t="s">
        <v>186</v>
      </c>
      <c r="J132" t="s">
        <v>401</v>
      </c>
      <c r="K132">
        <v>0</v>
      </c>
      <c r="L132" t="s">
        <v>168</v>
      </c>
      <c r="N132" t="s">
        <v>210</v>
      </c>
      <c r="O132" t="s">
        <v>401</v>
      </c>
      <c r="P132">
        <v>9.7641818686695053E-2</v>
      </c>
      <c r="Q132" t="s">
        <v>168</v>
      </c>
      <c r="S132" t="s">
        <v>229</v>
      </c>
      <c r="T132" t="s">
        <v>401</v>
      </c>
      <c r="U132">
        <v>0.14933611112545728</v>
      </c>
      <c r="V132" t="s">
        <v>168</v>
      </c>
    </row>
    <row r="133" spans="9:22" x14ac:dyDescent="0.45">
      <c r="I133" t="s">
        <v>186</v>
      </c>
      <c r="J133" t="s">
        <v>402</v>
      </c>
      <c r="K133">
        <v>6.7368983371903033E-3</v>
      </c>
      <c r="L133" t="s">
        <v>168</v>
      </c>
      <c r="N133" t="s">
        <v>210</v>
      </c>
      <c r="O133" t="s">
        <v>402</v>
      </c>
      <c r="P133">
        <v>1.913581201470483E-2</v>
      </c>
      <c r="Q133" t="s">
        <v>168</v>
      </c>
      <c r="S133" t="s">
        <v>229</v>
      </c>
      <c r="T133" t="s">
        <v>402</v>
      </c>
      <c r="U133">
        <v>2.8745662642712586E-2</v>
      </c>
      <c r="V133" t="s">
        <v>168</v>
      </c>
    </row>
    <row r="134" spans="9:22" x14ac:dyDescent="0.45">
      <c r="I134" t="s">
        <v>186</v>
      </c>
      <c r="J134" t="s">
        <v>403</v>
      </c>
      <c r="K134">
        <v>0.26463768488701772</v>
      </c>
      <c r="L134" t="s">
        <v>168</v>
      </c>
      <c r="N134" t="s">
        <v>210</v>
      </c>
      <c r="O134" t="s">
        <v>403</v>
      </c>
      <c r="P134">
        <v>0.13433589938931373</v>
      </c>
      <c r="Q134" t="s">
        <v>168</v>
      </c>
      <c r="S134" t="s">
        <v>229</v>
      </c>
      <c r="T134" t="s">
        <v>403</v>
      </c>
      <c r="U134">
        <v>0.14166419583896364</v>
      </c>
      <c r="V134" t="s">
        <v>168</v>
      </c>
    </row>
    <row r="135" spans="9:22" x14ac:dyDescent="0.45">
      <c r="I135" t="s">
        <v>186</v>
      </c>
      <c r="J135" t="s">
        <v>404</v>
      </c>
      <c r="K135">
        <v>1.7371789839420613E-3</v>
      </c>
      <c r="L135" t="s">
        <v>168</v>
      </c>
      <c r="N135" t="s">
        <v>210</v>
      </c>
      <c r="O135" t="s">
        <v>404</v>
      </c>
      <c r="P135">
        <v>0.1424455676814616</v>
      </c>
      <c r="Q135" t="s">
        <v>168</v>
      </c>
      <c r="S135" t="s">
        <v>229</v>
      </c>
      <c r="T135" t="s">
        <v>404</v>
      </c>
      <c r="U135">
        <v>0.13708199946298227</v>
      </c>
      <c r="V135" t="s">
        <v>168</v>
      </c>
    </row>
    <row r="136" spans="9:22" x14ac:dyDescent="0.45">
      <c r="I136" t="s">
        <v>186</v>
      </c>
      <c r="J136" t="s">
        <v>405</v>
      </c>
      <c r="K136">
        <v>2.3949953017894918E-2</v>
      </c>
      <c r="L136" t="s">
        <v>168</v>
      </c>
      <c r="N136" t="s">
        <v>210</v>
      </c>
      <c r="O136" t="s">
        <v>405</v>
      </c>
      <c r="P136">
        <v>2.7096411621679396E-2</v>
      </c>
      <c r="Q136" t="s">
        <v>168</v>
      </c>
      <c r="S136" t="s">
        <v>229</v>
      </c>
      <c r="T136" t="s">
        <v>405</v>
      </c>
      <c r="U136">
        <v>2.6133110858742079E-2</v>
      </c>
      <c r="V136" t="s">
        <v>168</v>
      </c>
    </row>
    <row r="137" spans="9:22" x14ac:dyDescent="0.45">
      <c r="I137" t="s">
        <v>186</v>
      </c>
      <c r="J137" t="s">
        <v>406</v>
      </c>
      <c r="K137">
        <v>0.30125775822506917</v>
      </c>
      <c r="L137" t="s">
        <v>168</v>
      </c>
      <c r="N137" t="s">
        <v>210</v>
      </c>
      <c r="O137" t="s">
        <v>406</v>
      </c>
      <c r="P137">
        <v>8.7569630071446941E-2</v>
      </c>
      <c r="Q137" t="s">
        <v>168</v>
      </c>
      <c r="S137" t="s">
        <v>229</v>
      </c>
      <c r="T137" t="s">
        <v>406</v>
      </c>
      <c r="U137">
        <v>4.5048814323294939E-2</v>
      </c>
      <c r="V137" t="s">
        <v>168</v>
      </c>
    </row>
    <row r="138" spans="9:22" x14ac:dyDescent="0.45">
      <c r="I138" t="s">
        <v>186</v>
      </c>
      <c r="J138" t="s">
        <v>407</v>
      </c>
      <c r="K138">
        <v>7.4859843374625043E-3</v>
      </c>
      <c r="L138" t="s">
        <v>168</v>
      </c>
      <c r="N138" t="s">
        <v>210</v>
      </c>
      <c r="O138" t="s">
        <v>407</v>
      </c>
      <c r="P138">
        <v>9.1524764859927929E-2</v>
      </c>
      <c r="Q138" t="s">
        <v>168</v>
      </c>
      <c r="S138" t="s">
        <v>229</v>
      </c>
      <c r="T138" t="s">
        <v>407</v>
      </c>
      <c r="U138">
        <v>4.1891722641135914E-2</v>
      </c>
      <c r="V138" t="s">
        <v>168</v>
      </c>
    </row>
    <row r="139" spans="9:22" x14ac:dyDescent="0.45">
      <c r="I139" t="s">
        <v>186</v>
      </c>
      <c r="J139" t="s">
        <v>408</v>
      </c>
      <c r="K139">
        <v>3.29337659633505E-2</v>
      </c>
      <c r="L139" t="s">
        <v>168</v>
      </c>
      <c r="N139" t="s">
        <v>210</v>
      </c>
      <c r="O139" t="s">
        <v>408</v>
      </c>
      <c r="P139">
        <v>1.572579632541635E-2</v>
      </c>
      <c r="Q139" t="s">
        <v>168</v>
      </c>
      <c r="S139" t="s">
        <v>229</v>
      </c>
      <c r="T139" t="s">
        <v>408</v>
      </c>
      <c r="U139">
        <v>6.2603089887568976E-3</v>
      </c>
      <c r="V139" t="s">
        <v>168</v>
      </c>
    </row>
    <row r="140" spans="9:22" x14ac:dyDescent="0.45">
      <c r="I140" t="s">
        <v>186</v>
      </c>
      <c r="J140" t="s">
        <v>409</v>
      </c>
      <c r="K140">
        <v>0.15107268377030078</v>
      </c>
      <c r="L140" t="s">
        <v>168</v>
      </c>
      <c r="N140" t="s">
        <v>210</v>
      </c>
      <c r="O140" t="s">
        <v>409</v>
      </c>
      <c r="P140">
        <v>0.12874447677342829</v>
      </c>
      <c r="Q140" t="s">
        <v>168</v>
      </c>
      <c r="S140" t="s">
        <v>229</v>
      </c>
      <c r="T140" t="s">
        <v>409</v>
      </c>
      <c r="U140">
        <v>0.12844712418123092</v>
      </c>
      <c r="V140" t="s">
        <v>168</v>
      </c>
    </row>
    <row r="141" spans="9:22" x14ac:dyDescent="0.45">
      <c r="I141" t="s">
        <v>186</v>
      </c>
      <c r="J141" t="s">
        <v>410</v>
      </c>
      <c r="K141">
        <v>0</v>
      </c>
      <c r="L141" t="s">
        <v>168</v>
      </c>
      <c r="N141" t="s">
        <v>210</v>
      </c>
      <c r="O141" t="s">
        <v>410</v>
      </c>
      <c r="P141">
        <v>0.13678737686765371</v>
      </c>
      <c r="Q141" t="s">
        <v>168</v>
      </c>
      <c r="S141" t="s">
        <v>229</v>
      </c>
      <c r="T141" t="s">
        <v>410</v>
      </c>
      <c r="U141">
        <v>0.12718925862178815</v>
      </c>
      <c r="V141" t="s">
        <v>168</v>
      </c>
    </row>
    <row r="142" spans="9:22" x14ac:dyDescent="0.45">
      <c r="I142" t="s">
        <v>186</v>
      </c>
      <c r="J142" t="s">
        <v>411</v>
      </c>
      <c r="K142">
        <v>3.0298537727698636E-3</v>
      </c>
      <c r="L142" t="s">
        <v>168</v>
      </c>
      <c r="N142" t="s">
        <v>210</v>
      </c>
      <c r="O142" t="s">
        <v>411</v>
      </c>
      <c r="P142">
        <v>2.4636310778032165E-2</v>
      </c>
      <c r="Q142" t="s">
        <v>168</v>
      </c>
      <c r="S142" t="s">
        <v>229</v>
      </c>
      <c r="T142" t="s">
        <v>411</v>
      </c>
      <c r="U142">
        <v>2.3735262432513962E-2</v>
      </c>
      <c r="V142" t="s">
        <v>168</v>
      </c>
    </row>
    <row r="143" spans="9:22" x14ac:dyDescent="0.45">
      <c r="I143" t="s">
        <v>187</v>
      </c>
      <c r="J143" t="s">
        <v>400</v>
      </c>
      <c r="K143">
        <v>0.18937405449137631</v>
      </c>
      <c r="L143" t="s">
        <v>168</v>
      </c>
      <c r="N143" t="s">
        <v>211</v>
      </c>
      <c r="O143" t="s">
        <v>400</v>
      </c>
      <c r="P143">
        <v>0.10980177928647243</v>
      </c>
      <c r="Q143" t="s">
        <v>168</v>
      </c>
      <c r="S143" t="s">
        <v>230</v>
      </c>
      <c r="T143" t="s">
        <v>400</v>
      </c>
      <c r="U143">
        <v>0.10087213975977466</v>
      </c>
      <c r="V143" t="s">
        <v>168</v>
      </c>
    </row>
    <row r="144" spans="9:22" x14ac:dyDescent="0.45">
      <c r="I144" t="s">
        <v>187</v>
      </c>
      <c r="J144" t="s">
        <v>401</v>
      </c>
      <c r="K144">
        <v>3.0364368532960506E-5</v>
      </c>
      <c r="L144" t="s">
        <v>168</v>
      </c>
      <c r="N144" t="s">
        <v>211</v>
      </c>
      <c r="O144" t="s">
        <v>401</v>
      </c>
      <c r="P144">
        <v>9.3622335501121062E-2</v>
      </c>
      <c r="Q144" t="s">
        <v>168</v>
      </c>
      <c r="S144" t="s">
        <v>230</v>
      </c>
      <c r="T144" t="s">
        <v>401</v>
      </c>
      <c r="U144">
        <v>0.10710749079798032</v>
      </c>
      <c r="V144" t="s">
        <v>168</v>
      </c>
    </row>
    <row r="145" spans="9:22" x14ac:dyDescent="0.45">
      <c r="I145" t="s">
        <v>187</v>
      </c>
      <c r="J145" t="s">
        <v>402</v>
      </c>
      <c r="K145">
        <v>1.6452549078384164E-2</v>
      </c>
      <c r="L145" t="s">
        <v>168</v>
      </c>
      <c r="N145" t="s">
        <v>211</v>
      </c>
      <c r="O145" t="s">
        <v>402</v>
      </c>
      <c r="P145">
        <v>2.1417652349263336E-2</v>
      </c>
      <c r="Q145" t="s">
        <v>168</v>
      </c>
      <c r="S145" t="s">
        <v>230</v>
      </c>
      <c r="T145" t="s">
        <v>402</v>
      </c>
      <c r="U145">
        <v>1.9557193116129065E-2</v>
      </c>
      <c r="V145" t="s">
        <v>168</v>
      </c>
    </row>
    <row r="146" spans="9:22" x14ac:dyDescent="0.45">
      <c r="I146" t="s">
        <v>187</v>
      </c>
      <c r="J146" t="s">
        <v>403</v>
      </c>
      <c r="K146">
        <v>0.25583776866131575</v>
      </c>
      <c r="L146" t="s">
        <v>168</v>
      </c>
      <c r="N146" t="s">
        <v>211</v>
      </c>
      <c r="O146" t="s">
        <v>403</v>
      </c>
      <c r="P146">
        <v>0.19638390193100125</v>
      </c>
      <c r="Q146" t="s">
        <v>168</v>
      </c>
      <c r="S146" t="s">
        <v>230</v>
      </c>
      <c r="T146" t="s">
        <v>403</v>
      </c>
      <c r="U146">
        <v>0.17732734007435547</v>
      </c>
      <c r="V146" t="s">
        <v>168</v>
      </c>
    </row>
    <row r="147" spans="9:22" x14ac:dyDescent="0.45">
      <c r="I147" t="s">
        <v>187</v>
      </c>
      <c r="J147" t="s">
        <v>404</v>
      </c>
      <c r="K147">
        <v>4.5025677671178274E-3</v>
      </c>
      <c r="L147" t="s">
        <v>168</v>
      </c>
      <c r="N147" t="s">
        <v>211</v>
      </c>
      <c r="O147" t="s">
        <v>404</v>
      </c>
      <c r="P147">
        <v>0.12779540632692113</v>
      </c>
      <c r="Q147" t="s">
        <v>168</v>
      </c>
      <c r="S147" t="s">
        <v>230</v>
      </c>
      <c r="T147" t="s">
        <v>404</v>
      </c>
      <c r="U147">
        <v>0.18694008807264403</v>
      </c>
      <c r="V147" t="s">
        <v>168</v>
      </c>
    </row>
    <row r="148" spans="9:22" x14ac:dyDescent="0.45">
      <c r="I148" t="s">
        <v>187</v>
      </c>
      <c r="J148" t="s">
        <v>405</v>
      </c>
      <c r="K148">
        <v>3.672722627399827E-2</v>
      </c>
      <c r="L148" t="s">
        <v>168</v>
      </c>
      <c r="N148" t="s">
        <v>211</v>
      </c>
      <c r="O148" t="s">
        <v>405</v>
      </c>
      <c r="P148">
        <v>3.520371712131002E-2</v>
      </c>
      <c r="Q148" t="s">
        <v>168</v>
      </c>
      <c r="S148" t="s">
        <v>230</v>
      </c>
      <c r="T148" t="s">
        <v>405</v>
      </c>
      <c r="U148">
        <v>3.5707301589037829E-2</v>
      </c>
      <c r="V148" t="s">
        <v>168</v>
      </c>
    </row>
    <row r="149" spans="9:22" x14ac:dyDescent="0.45">
      <c r="I149" t="s">
        <v>187</v>
      </c>
      <c r="J149" t="s">
        <v>406</v>
      </c>
      <c r="K149">
        <v>0.28612178581579095</v>
      </c>
      <c r="L149" t="s">
        <v>168</v>
      </c>
      <c r="N149" t="s">
        <v>211</v>
      </c>
      <c r="O149" t="s">
        <v>406</v>
      </c>
      <c r="P149">
        <v>6.3027530502553067E-2</v>
      </c>
      <c r="Q149" t="s">
        <v>168</v>
      </c>
      <c r="S149" t="s">
        <v>230</v>
      </c>
      <c r="T149" t="s">
        <v>406</v>
      </c>
      <c r="U149">
        <v>3.3346794553955755E-2</v>
      </c>
      <c r="V149" t="s">
        <v>168</v>
      </c>
    </row>
    <row r="150" spans="9:22" x14ac:dyDescent="0.45">
      <c r="I150" t="s">
        <v>187</v>
      </c>
      <c r="J150" t="s">
        <v>407</v>
      </c>
      <c r="K150">
        <v>1.0120096714860572E-2</v>
      </c>
      <c r="L150" t="s">
        <v>168</v>
      </c>
      <c r="N150" t="s">
        <v>211</v>
      </c>
      <c r="O150" t="s">
        <v>407</v>
      </c>
      <c r="P150">
        <v>4.0898314612464647E-2</v>
      </c>
      <c r="Q150" t="s">
        <v>168</v>
      </c>
      <c r="S150" t="s">
        <v>230</v>
      </c>
      <c r="T150" t="s">
        <v>407</v>
      </c>
      <c r="U150">
        <v>3.9139345448267721E-2</v>
      </c>
      <c r="V150" t="s">
        <v>168</v>
      </c>
    </row>
    <row r="151" spans="9:22" x14ac:dyDescent="0.45">
      <c r="I151" t="s">
        <v>187</v>
      </c>
      <c r="J151" t="s">
        <v>408</v>
      </c>
      <c r="K151">
        <v>4.2923383132860336E-2</v>
      </c>
      <c r="L151" t="s">
        <v>168</v>
      </c>
      <c r="N151" t="s">
        <v>211</v>
      </c>
      <c r="O151" t="s">
        <v>408</v>
      </c>
      <c r="P151">
        <v>1.3847082474025373E-2</v>
      </c>
      <c r="Q151" t="s">
        <v>168</v>
      </c>
      <c r="S151" t="s">
        <v>230</v>
      </c>
      <c r="T151" t="s">
        <v>408</v>
      </c>
      <c r="U151">
        <v>1.1177898922573018E-2</v>
      </c>
      <c r="V151" t="s">
        <v>168</v>
      </c>
    </row>
    <row r="152" spans="9:22" x14ac:dyDescent="0.45">
      <c r="I152" t="s">
        <v>187</v>
      </c>
      <c r="J152" t="s">
        <v>409</v>
      </c>
      <c r="K152">
        <v>0.14626213577697636</v>
      </c>
      <c r="L152" t="s">
        <v>168</v>
      </c>
      <c r="N152" t="s">
        <v>211</v>
      </c>
      <c r="O152" t="s">
        <v>409</v>
      </c>
      <c r="P152">
        <v>0.14392509777727125</v>
      </c>
      <c r="Q152" t="s">
        <v>168</v>
      </c>
      <c r="S152" t="s">
        <v>230</v>
      </c>
      <c r="T152" t="s">
        <v>409</v>
      </c>
      <c r="U152">
        <v>0.13290662779692883</v>
      </c>
      <c r="V152" t="s">
        <v>168</v>
      </c>
    </row>
    <row r="153" spans="9:22" x14ac:dyDescent="0.45">
      <c r="I153" t="s">
        <v>187</v>
      </c>
      <c r="J153" t="s">
        <v>410</v>
      </c>
      <c r="K153">
        <v>0</v>
      </c>
      <c r="L153" t="s">
        <v>168</v>
      </c>
      <c r="N153" t="s">
        <v>211</v>
      </c>
      <c r="O153" t="s">
        <v>410</v>
      </c>
      <c r="P153">
        <v>0.12766014353290273</v>
      </c>
      <c r="Q153" t="s">
        <v>168</v>
      </c>
      <c r="S153" t="s">
        <v>230</v>
      </c>
      <c r="T153" t="s">
        <v>410</v>
      </c>
      <c r="U153">
        <v>0.13081675422506572</v>
      </c>
      <c r="V153" t="s">
        <v>168</v>
      </c>
    </row>
    <row r="154" spans="9:22" x14ac:dyDescent="0.45">
      <c r="I154" t="s">
        <v>187</v>
      </c>
      <c r="J154" t="s">
        <v>411</v>
      </c>
      <c r="K154">
        <v>1.1648067918786619E-2</v>
      </c>
      <c r="L154" t="s">
        <v>168</v>
      </c>
      <c r="N154" t="s">
        <v>211</v>
      </c>
      <c r="O154" t="s">
        <v>411</v>
      </c>
      <c r="P154">
        <v>2.6417038584694137E-2</v>
      </c>
      <c r="Q154" t="s">
        <v>168</v>
      </c>
      <c r="S154" t="s">
        <v>230</v>
      </c>
      <c r="T154" t="s">
        <v>411</v>
      </c>
      <c r="U154">
        <v>2.5101025643290982E-2</v>
      </c>
      <c r="V154" t="s">
        <v>168</v>
      </c>
    </row>
    <row r="155" spans="9:22" x14ac:dyDescent="0.45">
      <c r="I155" t="s">
        <v>188</v>
      </c>
      <c r="J155" t="s">
        <v>400</v>
      </c>
      <c r="K155">
        <v>0.19265135134795563</v>
      </c>
      <c r="L155" t="s">
        <v>168</v>
      </c>
      <c r="N155" t="s">
        <v>212</v>
      </c>
      <c r="O155" t="s">
        <v>400</v>
      </c>
      <c r="P155">
        <v>8.1223231955020486E-2</v>
      </c>
      <c r="Q155" t="s">
        <v>168</v>
      </c>
      <c r="S155" t="s">
        <v>231</v>
      </c>
      <c r="T155" t="s">
        <v>400</v>
      </c>
      <c r="U155">
        <v>8.9487150459148554E-2</v>
      </c>
      <c r="V155" t="s">
        <v>168</v>
      </c>
    </row>
    <row r="156" spans="9:22" x14ac:dyDescent="0.45">
      <c r="I156" t="s">
        <v>188</v>
      </c>
      <c r="J156" t="s">
        <v>401</v>
      </c>
      <c r="K156">
        <v>0</v>
      </c>
      <c r="L156" t="s">
        <v>168</v>
      </c>
      <c r="N156" t="s">
        <v>212</v>
      </c>
      <c r="O156" t="s">
        <v>401</v>
      </c>
      <c r="P156">
        <v>8.6093088076959354E-2</v>
      </c>
      <c r="Q156" t="s">
        <v>168</v>
      </c>
      <c r="S156" t="s">
        <v>231</v>
      </c>
      <c r="T156" t="s">
        <v>401</v>
      </c>
      <c r="U156">
        <v>8.4205835632329709E-2</v>
      </c>
      <c r="V156" t="s">
        <v>168</v>
      </c>
    </row>
    <row r="157" spans="9:22" x14ac:dyDescent="0.45">
      <c r="I157" t="s">
        <v>188</v>
      </c>
      <c r="J157" t="s">
        <v>402</v>
      </c>
      <c r="K157">
        <v>1.4650696990740378E-2</v>
      </c>
      <c r="L157" t="s">
        <v>168</v>
      </c>
      <c r="N157" t="s">
        <v>212</v>
      </c>
      <c r="O157" t="s">
        <v>402</v>
      </c>
      <c r="P157">
        <v>1.49389676137139E-2</v>
      </c>
      <c r="Q157" t="s">
        <v>168</v>
      </c>
      <c r="S157" t="s">
        <v>231</v>
      </c>
      <c r="T157" t="s">
        <v>402</v>
      </c>
      <c r="U157">
        <v>1.7041216709262196E-2</v>
      </c>
      <c r="V157" t="s">
        <v>168</v>
      </c>
    </row>
    <row r="158" spans="9:22" x14ac:dyDescent="0.45">
      <c r="I158" t="s">
        <v>188</v>
      </c>
      <c r="J158" t="s">
        <v>403</v>
      </c>
      <c r="K158">
        <v>0.25854194626882443</v>
      </c>
      <c r="L158" t="s">
        <v>168</v>
      </c>
      <c r="N158" t="s">
        <v>212</v>
      </c>
      <c r="O158" t="s">
        <v>403</v>
      </c>
      <c r="P158">
        <v>0.19260845603602417</v>
      </c>
      <c r="Q158" t="s">
        <v>168</v>
      </c>
      <c r="S158" t="s">
        <v>231</v>
      </c>
      <c r="T158" t="s">
        <v>403</v>
      </c>
      <c r="U158">
        <v>0.18507655761898653</v>
      </c>
      <c r="V158" t="s">
        <v>168</v>
      </c>
    </row>
    <row r="159" spans="9:22" x14ac:dyDescent="0.45">
      <c r="I159" t="s">
        <v>188</v>
      </c>
      <c r="J159" t="s">
        <v>404</v>
      </c>
      <c r="K159">
        <v>3.2917569661362329E-3</v>
      </c>
      <c r="L159" t="s">
        <v>168</v>
      </c>
      <c r="N159" t="s">
        <v>212</v>
      </c>
      <c r="O159" t="s">
        <v>404</v>
      </c>
      <c r="P159">
        <v>0.18126456976572794</v>
      </c>
      <c r="Q159" t="s">
        <v>168</v>
      </c>
      <c r="S159" t="s">
        <v>231</v>
      </c>
      <c r="T159" t="s">
        <v>404</v>
      </c>
      <c r="U159">
        <v>0.20328240157655464</v>
      </c>
      <c r="V159" t="s">
        <v>168</v>
      </c>
    </row>
    <row r="160" spans="9:22" x14ac:dyDescent="0.45">
      <c r="I160" t="s">
        <v>188</v>
      </c>
      <c r="J160" t="s">
        <v>405</v>
      </c>
      <c r="K160">
        <v>3.4381350424059542E-2</v>
      </c>
      <c r="L160" t="s">
        <v>168</v>
      </c>
      <c r="N160" t="s">
        <v>212</v>
      </c>
      <c r="O160" t="s">
        <v>405</v>
      </c>
      <c r="P160">
        <v>3.6169856301569513E-2</v>
      </c>
      <c r="Q160" t="s">
        <v>168</v>
      </c>
      <c r="S160" t="s">
        <v>231</v>
      </c>
      <c r="T160" t="s">
        <v>405</v>
      </c>
      <c r="U160">
        <v>3.6322007594546644E-2</v>
      </c>
      <c r="V160" t="s">
        <v>168</v>
      </c>
    </row>
    <row r="161" spans="9:22" x14ac:dyDescent="0.45">
      <c r="I161" t="s">
        <v>188</v>
      </c>
      <c r="J161" t="s">
        <v>406</v>
      </c>
      <c r="K161">
        <v>0.28540113554940022</v>
      </c>
      <c r="L161" t="s">
        <v>168</v>
      </c>
      <c r="N161" t="s">
        <v>212</v>
      </c>
      <c r="O161" t="s">
        <v>406</v>
      </c>
      <c r="P161">
        <v>4.2635232493411404E-2</v>
      </c>
      <c r="Q161" t="s">
        <v>168</v>
      </c>
      <c r="S161" t="s">
        <v>231</v>
      </c>
      <c r="T161" t="s">
        <v>406</v>
      </c>
      <c r="U161">
        <v>2.8646019057683044E-2</v>
      </c>
      <c r="V161" t="s">
        <v>168</v>
      </c>
    </row>
    <row r="162" spans="9:22" x14ac:dyDescent="0.45">
      <c r="I162" t="s">
        <v>188</v>
      </c>
      <c r="J162" t="s">
        <v>407</v>
      </c>
      <c r="K162">
        <v>8.7620490748935229E-3</v>
      </c>
      <c r="L162" t="s">
        <v>168</v>
      </c>
      <c r="N162" t="s">
        <v>212</v>
      </c>
      <c r="O162" t="s">
        <v>407</v>
      </c>
      <c r="P162">
        <v>2.3091484122258338E-2</v>
      </c>
      <c r="Q162" t="s">
        <v>168</v>
      </c>
      <c r="S162" t="s">
        <v>231</v>
      </c>
      <c r="T162" t="s">
        <v>407</v>
      </c>
      <c r="U162">
        <v>3.1209786365053033E-2</v>
      </c>
      <c r="V162" t="s">
        <v>168</v>
      </c>
    </row>
    <row r="163" spans="9:22" x14ac:dyDescent="0.45">
      <c r="I163" t="s">
        <v>188</v>
      </c>
      <c r="J163" t="s">
        <v>408</v>
      </c>
      <c r="K163">
        <v>3.9469189325810901E-2</v>
      </c>
      <c r="L163" t="s">
        <v>168</v>
      </c>
      <c r="N163" t="s">
        <v>212</v>
      </c>
      <c r="O163" t="s">
        <v>408</v>
      </c>
      <c r="P163">
        <v>1.3316778984520878E-2</v>
      </c>
      <c r="Q163" t="s">
        <v>168</v>
      </c>
      <c r="S163" t="s">
        <v>231</v>
      </c>
      <c r="T163" t="s">
        <v>408</v>
      </c>
      <c r="U163">
        <v>9.2916999685274532E-3</v>
      </c>
      <c r="V163" t="s">
        <v>168</v>
      </c>
    </row>
    <row r="164" spans="9:22" x14ac:dyDescent="0.45">
      <c r="I164" t="s">
        <v>188</v>
      </c>
      <c r="J164" t="s">
        <v>409</v>
      </c>
      <c r="K164">
        <v>0.15242099062094541</v>
      </c>
      <c r="L164" t="s">
        <v>168</v>
      </c>
      <c r="N164" t="s">
        <v>212</v>
      </c>
      <c r="O164" t="s">
        <v>409</v>
      </c>
      <c r="P164">
        <v>0.15475775263342337</v>
      </c>
      <c r="Q164" t="s">
        <v>168</v>
      </c>
      <c r="S164" t="s">
        <v>231</v>
      </c>
      <c r="T164" t="s">
        <v>409</v>
      </c>
      <c r="U164">
        <v>0.14096951982651107</v>
      </c>
      <c r="V164" t="s">
        <v>168</v>
      </c>
    </row>
    <row r="165" spans="9:22" x14ac:dyDescent="0.45">
      <c r="I165" t="s">
        <v>188</v>
      </c>
      <c r="J165" t="s">
        <v>410</v>
      </c>
      <c r="K165">
        <v>0</v>
      </c>
      <c r="L165" t="s">
        <v>168</v>
      </c>
      <c r="N165" t="s">
        <v>212</v>
      </c>
      <c r="O165" t="s">
        <v>410</v>
      </c>
      <c r="P165">
        <v>0.14467038275906619</v>
      </c>
      <c r="Q165" t="s">
        <v>168</v>
      </c>
      <c r="S165" t="s">
        <v>231</v>
      </c>
      <c r="T165" t="s">
        <v>410</v>
      </c>
      <c r="U165">
        <v>0.14620271636898574</v>
      </c>
      <c r="V165" t="s">
        <v>168</v>
      </c>
    </row>
    <row r="166" spans="9:22" x14ac:dyDescent="0.45">
      <c r="I166" t="s">
        <v>188</v>
      </c>
      <c r="J166" t="s">
        <v>411</v>
      </c>
      <c r="K166">
        <v>1.042953343123239E-2</v>
      </c>
      <c r="L166" t="s">
        <v>168</v>
      </c>
      <c r="N166" t="s">
        <v>212</v>
      </c>
      <c r="O166" t="s">
        <v>411</v>
      </c>
      <c r="P166">
        <v>2.9230199258298731E-2</v>
      </c>
      <c r="Q166" t="s">
        <v>168</v>
      </c>
      <c r="S166" t="s">
        <v>231</v>
      </c>
      <c r="T166" t="s">
        <v>411</v>
      </c>
      <c r="U166">
        <v>2.8265088822410016E-2</v>
      </c>
      <c r="V166" t="s">
        <v>168</v>
      </c>
    </row>
    <row r="167" spans="9:22" x14ac:dyDescent="0.45">
      <c r="I167" t="s">
        <v>189</v>
      </c>
      <c r="J167" t="s">
        <v>400</v>
      </c>
      <c r="K167">
        <v>0.19303447798453632</v>
      </c>
      <c r="L167" t="s">
        <v>168</v>
      </c>
      <c r="N167" t="s">
        <v>213</v>
      </c>
      <c r="O167" t="s">
        <v>400</v>
      </c>
      <c r="P167">
        <v>0.10197749028390272</v>
      </c>
      <c r="Q167" t="s">
        <v>168</v>
      </c>
      <c r="S167" t="s">
        <v>232</v>
      </c>
      <c r="T167" t="s">
        <v>400</v>
      </c>
      <c r="U167">
        <v>9.6081875334626282E-2</v>
      </c>
      <c r="V167" t="s">
        <v>168</v>
      </c>
    </row>
    <row r="168" spans="9:22" x14ac:dyDescent="0.45">
      <c r="I168" t="s">
        <v>189</v>
      </c>
      <c r="J168" t="s">
        <v>401</v>
      </c>
      <c r="K168">
        <v>0</v>
      </c>
      <c r="L168" t="s">
        <v>168</v>
      </c>
      <c r="N168" t="s">
        <v>213</v>
      </c>
      <c r="O168" t="s">
        <v>401</v>
      </c>
      <c r="P168">
        <v>0.10855751254227179</v>
      </c>
      <c r="Q168" t="s">
        <v>168</v>
      </c>
      <c r="S168" t="s">
        <v>232</v>
      </c>
      <c r="T168" t="s">
        <v>401</v>
      </c>
      <c r="U168">
        <v>9.0848739100244699E-2</v>
      </c>
      <c r="V168" t="s">
        <v>168</v>
      </c>
    </row>
    <row r="169" spans="9:22" x14ac:dyDescent="0.45">
      <c r="I169" t="s">
        <v>189</v>
      </c>
      <c r="J169" t="s">
        <v>402</v>
      </c>
      <c r="K169">
        <v>1.2610287948492579E-2</v>
      </c>
      <c r="L169" t="s">
        <v>168</v>
      </c>
      <c r="N169" t="s">
        <v>213</v>
      </c>
      <c r="O169" t="s">
        <v>402</v>
      </c>
      <c r="P169">
        <v>2.19369911713704E-2</v>
      </c>
      <c r="Q169" t="s">
        <v>168</v>
      </c>
      <c r="S169" t="s">
        <v>232</v>
      </c>
      <c r="T169" t="s">
        <v>402</v>
      </c>
      <c r="U169">
        <v>1.7486438829289921E-2</v>
      </c>
      <c r="V169" t="s">
        <v>168</v>
      </c>
    </row>
    <row r="170" spans="9:22" x14ac:dyDescent="0.45">
      <c r="I170" t="s">
        <v>189</v>
      </c>
      <c r="J170" t="s">
        <v>403</v>
      </c>
      <c r="K170">
        <v>0.26291339460987367</v>
      </c>
      <c r="L170" t="s">
        <v>168</v>
      </c>
      <c r="N170" t="s">
        <v>213</v>
      </c>
      <c r="O170" t="s">
        <v>403</v>
      </c>
      <c r="P170">
        <v>0.18158705164570879</v>
      </c>
      <c r="Q170" t="s">
        <v>168</v>
      </c>
      <c r="S170" t="s">
        <v>232</v>
      </c>
      <c r="T170" t="s">
        <v>403</v>
      </c>
      <c r="U170">
        <v>0.17049965770479489</v>
      </c>
      <c r="V170" t="s">
        <v>168</v>
      </c>
    </row>
    <row r="171" spans="9:22" x14ac:dyDescent="0.45">
      <c r="I171" t="s">
        <v>189</v>
      </c>
      <c r="J171" t="s">
        <v>404</v>
      </c>
      <c r="K171">
        <v>2.7134491078739543E-3</v>
      </c>
      <c r="L171" t="s">
        <v>168</v>
      </c>
      <c r="N171" t="s">
        <v>213</v>
      </c>
      <c r="O171" t="s">
        <v>404</v>
      </c>
      <c r="P171">
        <v>0.17538156034752742</v>
      </c>
      <c r="Q171" t="s">
        <v>168</v>
      </c>
      <c r="S171" t="s">
        <v>232</v>
      </c>
      <c r="T171" t="s">
        <v>404</v>
      </c>
      <c r="U171">
        <v>0.17996087958431364</v>
      </c>
      <c r="V171" t="s">
        <v>168</v>
      </c>
    </row>
    <row r="172" spans="9:22" x14ac:dyDescent="0.45">
      <c r="I172" t="s">
        <v>189</v>
      </c>
      <c r="J172" t="s">
        <v>405</v>
      </c>
      <c r="K172">
        <v>3.2027750729463532E-2</v>
      </c>
      <c r="L172" t="s">
        <v>168</v>
      </c>
      <c r="N172" t="s">
        <v>213</v>
      </c>
      <c r="O172" t="s">
        <v>405</v>
      </c>
      <c r="P172">
        <v>3.6984369039928397E-2</v>
      </c>
      <c r="Q172" t="s">
        <v>168</v>
      </c>
      <c r="S172" t="s">
        <v>232</v>
      </c>
      <c r="T172" t="s">
        <v>405</v>
      </c>
      <c r="U172">
        <v>3.4062971509662726E-2</v>
      </c>
      <c r="V172" t="s">
        <v>168</v>
      </c>
    </row>
    <row r="173" spans="9:22" x14ac:dyDescent="0.45">
      <c r="I173" t="s">
        <v>189</v>
      </c>
      <c r="J173" t="s">
        <v>406</v>
      </c>
      <c r="K173">
        <v>0.2928843059341687</v>
      </c>
      <c r="L173" t="s">
        <v>168</v>
      </c>
      <c r="N173" t="s">
        <v>213</v>
      </c>
      <c r="O173" t="s">
        <v>406</v>
      </c>
      <c r="P173">
        <v>4.2127683603802098E-2</v>
      </c>
      <c r="Q173" t="s">
        <v>168</v>
      </c>
      <c r="S173" t="s">
        <v>232</v>
      </c>
      <c r="T173" t="s">
        <v>406</v>
      </c>
      <c r="U173">
        <v>4.151231255269907E-2</v>
      </c>
      <c r="V173" t="s">
        <v>168</v>
      </c>
    </row>
    <row r="174" spans="9:22" x14ac:dyDescent="0.45">
      <c r="I174" t="s">
        <v>189</v>
      </c>
      <c r="J174" t="s">
        <v>407</v>
      </c>
      <c r="K174">
        <v>8.0120983414230362E-3</v>
      </c>
      <c r="L174" t="s">
        <v>168</v>
      </c>
      <c r="N174" t="s">
        <v>213</v>
      </c>
      <c r="O174" t="s">
        <v>407</v>
      </c>
      <c r="P174">
        <v>3.7947708868114834E-2</v>
      </c>
      <c r="Q174" t="s">
        <v>168</v>
      </c>
      <c r="S174" t="s">
        <v>232</v>
      </c>
      <c r="T174" t="s">
        <v>407</v>
      </c>
      <c r="U174">
        <v>3.5697185857089572E-2</v>
      </c>
      <c r="V174" t="s">
        <v>168</v>
      </c>
    </row>
    <row r="175" spans="9:22" x14ac:dyDescent="0.45">
      <c r="I175" t="s">
        <v>189</v>
      </c>
      <c r="J175" t="s">
        <v>408</v>
      </c>
      <c r="K175">
        <v>3.866896665550304E-2</v>
      </c>
      <c r="L175" t="s">
        <v>168</v>
      </c>
      <c r="N175" t="s">
        <v>213</v>
      </c>
      <c r="O175" t="s">
        <v>408</v>
      </c>
      <c r="P175">
        <v>1.6215032783653837E-2</v>
      </c>
      <c r="Q175" t="s">
        <v>168</v>
      </c>
      <c r="S175" t="s">
        <v>232</v>
      </c>
      <c r="T175" t="s">
        <v>408</v>
      </c>
      <c r="U175">
        <v>9.4871895228206393E-3</v>
      </c>
      <c r="V175" t="s">
        <v>168</v>
      </c>
    </row>
    <row r="176" spans="9:22" x14ac:dyDescent="0.45">
      <c r="I176" t="s">
        <v>189</v>
      </c>
      <c r="J176" t="s">
        <v>409</v>
      </c>
      <c r="K176">
        <v>0.14980599311433787</v>
      </c>
      <c r="L176" t="s">
        <v>168</v>
      </c>
      <c r="N176" t="s">
        <v>213</v>
      </c>
      <c r="O176" t="s">
        <v>409</v>
      </c>
      <c r="P176">
        <v>0.12633449238665873</v>
      </c>
      <c r="Q176" t="s">
        <v>168</v>
      </c>
      <c r="S176" t="s">
        <v>232</v>
      </c>
      <c r="T176" t="s">
        <v>409</v>
      </c>
      <c r="U176">
        <v>0.15508449093644697</v>
      </c>
      <c r="V176" t="s">
        <v>168</v>
      </c>
    </row>
    <row r="177" spans="9:22" x14ac:dyDescent="0.45">
      <c r="I177" t="s">
        <v>189</v>
      </c>
      <c r="J177" t="s">
        <v>410</v>
      </c>
      <c r="K177">
        <v>0</v>
      </c>
      <c r="L177" t="s">
        <v>168</v>
      </c>
      <c r="N177" t="s">
        <v>213</v>
      </c>
      <c r="O177" t="s">
        <v>410</v>
      </c>
      <c r="P177">
        <v>0.12501836798731358</v>
      </c>
      <c r="Q177" t="s">
        <v>168</v>
      </c>
      <c r="S177" t="s">
        <v>232</v>
      </c>
      <c r="T177" t="s">
        <v>410</v>
      </c>
      <c r="U177">
        <v>0.1415592114772134</v>
      </c>
      <c r="V177" t="s">
        <v>168</v>
      </c>
    </row>
    <row r="178" spans="9:22" x14ac:dyDescent="0.45">
      <c r="I178" t="s">
        <v>189</v>
      </c>
      <c r="J178" t="s">
        <v>411</v>
      </c>
      <c r="K178">
        <v>7.3292755743277109E-3</v>
      </c>
      <c r="L178" t="s">
        <v>168</v>
      </c>
      <c r="N178" t="s">
        <v>213</v>
      </c>
      <c r="O178" t="s">
        <v>411</v>
      </c>
      <c r="P178">
        <v>2.5931739339740693E-2</v>
      </c>
      <c r="Q178" t="s">
        <v>168</v>
      </c>
      <c r="S178" t="s">
        <v>232</v>
      </c>
      <c r="T178" t="s">
        <v>411</v>
      </c>
      <c r="U178">
        <v>2.7719047590794514E-2</v>
      </c>
      <c r="V178" t="s">
        <v>168</v>
      </c>
    </row>
    <row r="179" spans="9:22" x14ac:dyDescent="0.45">
      <c r="I179" t="s">
        <v>190</v>
      </c>
      <c r="J179" t="s">
        <v>400</v>
      </c>
      <c r="K179">
        <v>0.19119334464921539</v>
      </c>
      <c r="L179" t="s">
        <v>168</v>
      </c>
      <c r="N179" t="s">
        <v>214</v>
      </c>
      <c r="O179" t="s">
        <v>400</v>
      </c>
      <c r="P179">
        <v>0.11532571620615925</v>
      </c>
      <c r="Q179" t="s">
        <v>168</v>
      </c>
      <c r="S179" t="s">
        <v>233</v>
      </c>
      <c r="T179" t="s">
        <v>400</v>
      </c>
      <c r="U179">
        <v>0.1005171870867589</v>
      </c>
      <c r="V179" t="s">
        <v>168</v>
      </c>
    </row>
    <row r="180" spans="9:22" x14ac:dyDescent="0.45">
      <c r="I180" t="s">
        <v>190</v>
      </c>
      <c r="J180" t="s">
        <v>401</v>
      </c>
      <c r="K180">
        <v>0</v>
      </c>
      <c r="L180" t="s">
        <v>168</v>
      </c>
      <c r="N180" t="s">
        <v>214</v>
      </c>
      <c r="O180" t="s">
        <v>401</v>
      </c>
      <c r="P180">
        <v>0.10883035771757255</v>
      </c>
      <c r="Q180" t="s">
        <v>168</v>
      </c>
      <c r="S180" t="s">
        <v>233</v>
      </c>
      <c r="T180" t="s">
        <v>401</v>
      </c>
      <c r="U180">
        <v>0.10966459297920809</v>
      </c>
      <c r="V180" t="s">
        <v>168</v>
      </c>
    </row>
    <row r="181" spans="9:22" x14ac:dyDescent="0.45">
      <c r="I181" t="s">
        <v>190</v>
      </c>
      <c r="J181" t="s">
        <v>402</v>
      </c>
      <c r="K181">
        <v>1.194286740052933E-2</v>
      </c>
      <c r="L181" t="s">
        <v>168</v>
      </c>
      <c r="N181" t="s">
        <v>214</v>
      </c>
      <c r="O181" t="s">
        <v>402</v>
      </c>
      <c r="P181">
        <v>2.1022467274422675E-2</v>
      </c>
      <c r="Q181" t="s">
        <v>168</v>
      </c>
      <c r="S181" t="s">
        <v>233</v>
      </c>
      <c r="T181" t="s">
        <v>402</v>
      </c>
      <c r="U181">
        <v>1.9156670772344377E-2</v>
      </c>
      <c r="V181" t="s">
        <v>168</v>
      </c>
    </row>
    <row r="182" spans="9:22" x14ac:dyDescent="0.45">
      <c r="I182" t="s">
        <v>190</v>
      </c>
      <c r="J182" t="s">
        <v>403</v>
      </c>
      <c r="K182">
        <v>0.2653988857470318</v>
      </c>
      <c r="L182" t="s">
        <v>168</v>
      </c>
      <c r="N182" t="s">
        <v>214</v>
      </c>
      <c r="O182" t="s">
        <v>403</v>
      </c>
      <c r="P182">
        <v>0.158386565582814</v>
      </c>
      <c r="Q182" t="s">
        <v>168</v>
      </c>
      <c r="S182" t="s">
        <v>233</v>
      </c>
      <c r="T182" t="s">
        <v>403</v>
      </c>
      <c r="U182">
        <v>0.14693799677707825</v>
      </c>
      <c r="V182" t="s">
        <v>168</v>
      </c>
    </row>
    <row r="183" spans="9:22" x14ac:dyDescent="0.45">
      <c r="I183" t="s">
        <v>190</v>
      </c>
      <c r="J183" t="s">
        <v>404</v>
      </c>
      <c r="K183">
        <v>2.4753796764280739E-3</v>
      </c>
      <c r="L183" t="s">
        <v>168</v>
      </c>
      <c r="N183" t="s">
        <v>214</v>
      </c>
      <c r="O183" t="s">
        <v>404</v>
      </c>
      <c r="P183">
        <v>0.14440475258533628</v>
      </c>
      <c r="Q183" t="s">
        <v>168</v>
      </c>
      <c r="S183" t="s">
        <v>233</v>
      </c>
      <c r="T183" t="s">
        <v>404</v>
      </c>
      <c r="U183">
        <v>0.16123084750012934</v>
      </c>
      <c r="V183" t="s">
        <v>168</v>
      </c>
    </row>
    <row r="184" spans="9:22" x14ac:dyDescent="0.45">
      <c r="I184" t="s">
        <v>190</v>
      </c>
      <c r="J184" t="s">
        <v>405</v>
      </c>
      <c r="K184">
        <v>3.0872197868284844E-2</v>
      </c>
      <c r="L184" t="s">
        <v>168</v>
      </c>
      <c r="N184" t="s">
        <v>214</v>
      </c>
      <c r="O184" t="s">
        <v>405</v>
      </c>
      <c r="P184">
        <v>2.9650961108457736E-2</v>
      </c>
      <c r="Q184" t="s">
        <v>168</v>
      </c>
      <c r="S184" t="s">
        <v>233</v>
      </c>
      <c r="T184" t="s">
        <v>405</v>
      </c>
      <c r="U184">
        <v>2.8876983252846256E-2</v>
      </c>
      <c r="V184" t="s">
        <v>168</v>
      </c>
    </row>
    <row r="185" spans="9:22" x14ac:dyDescent="0.45">
      <c r="I185" t="s">
        <v>190</v>
      </c>
      <c r="J185" t="s">
        <v>406</v>
      </c>
      <c r="K185">
        <v>0.29941255724970395</v>
      </c>
      <c r="L185" t="s">
        <v>168</v>
      </c>
      <c r="N185" t="s">
        <v>214</v>
      </c>
      <c r="O185" t="s">
        <v>406</v>
      </c>
      <c r="P185">
        <v>6.2108833367325152E-2</v>
      </c>
      <c r="Q185" t="s">
        <v>168</v>
      </c>
      <c r="S185" t="s">
        <v>233</v>
      </c>
      <c r="T185" t="s">
        <v>406</v>
      </c>
      <c r="U185">
        <v>5.6313823773394889E-2</v>
      </c>
      <c r="V185" t="s">
        <v>168</v>
      </c>
    </row>
    <row r="186" spans="9:22" x14ac:dyDescent="0.45">
      <c r="I186" t="s">
        <v>190</v>
      </c>
      <c r="J186" t="s">
        <v>407</v>
      </c>
      <c r="K186">
        <v>8.8813633420221205E-3</v>
      </c>
      <c r="L186" t="s">
        <v>168</v>
      </c>
      <c r="N186" t="s">
        <v>214</v>
      </c>
      <c r="O186" t="s">
        <v>407</v>
      </c>
      <c r="P186">
        <v>5.2183826942709288E-2</v>
      </c>
      <c r="Q186" t="s">
        <v>168</v>
      </c>
      <c r="S186" t="s">
        <v>233</v>
      </c>
      <c r="T186" t="s">
        <v>407</v>
      </c>
      <c r="U186">
        <v>6.2092696433603482E-2</v>
      </c>
      <c r="V186" t="s">
        <v>168</v>
      </c>
    </row>
    <row r="187" spans="9:22" x14ac:dyDescent="0.45">
      <c r="I187" t="s">
        <v>190</v>
      </c>
      <c r="J187" t="s">
        <v>408</v>
      </c>
      <c r="K187">
        <v>3.9022703742547252E-2</v>
      </c>
      <c r="L187" t="s">
        <v>168</v>
      </c>
      <c r="N187" t="s">
        <v>214</v>
      </c>
      <c r="O187" t="s">
        <v>408</v>
      </c>
      <c r="P187">
        <v>1.331047236557348E-2</v>
      </c>
      <c r="Q187" t="s">
        <v>168</v>
      </c>
      <c r="S187" t="s">
        <v>233</v>
      </c>
      <c r="T187" t="s">
        <v>408</v>
      </c>
      <c r="U187">
        <v>1.2649400411988148E-2</v>
      </c>
      <c r="V187" t="s">
        <v>168</v>
      </c>
    </row>
    <row r="188" spans="9:22" x14ac:dyDescent="0.45">
      <c r="I188" t="s">
        <v>190</v>
      </c>
      <c r="J188" t="s">
        <v>409</v>
      </c>
      <c r="K188">
        <v>0.14624226804429794</v>
      </c>
      <c r="L188" t="s">
        <v>168</v>
      </c>
      <c r="N188" t="s">
        <v>214</v>
      </c>
      <c r="O188" t="s">
        <v>409</v>
      </c>
      <c r="P188">
        <v>0.13759742614415132</v>
      </c>
      <c r="Q188" t="s">
        <v>168</v>
      </c>
      <c r="S188" t="s">
        <v>233</v>
      </c>
      <c r="T188" t="s">
        <v>409</v>
      </c>
      <c r="U188">
        <v>0.14178085918611244</v>
      </c>
      <c r="V188" t="s">
        <v>168</v>
      </c>
    </row>
    <row r="189" spans="9:22" x14ac:dyDescent="0.45">
      <c r="I189" t="s">
        <v>190</v>
      </c>
      <c r="J189" t="s">
        <v>410</v>
      </c>
      <c r="K189">
        <v>0</v>
      </c>
      <c r="L189" t="s">
        <v>168</v>
      </c>
      <c r="N189" t="s">
        <v>214</v>
      </c>
      <c r="O189" t="s">
        <v>410</v>
      </c>
      <c r="P189">
        <v>0.13290654056846063</v>
      </c>
      <c r="Q189" t="s">
        <v>168</v>
      </c>
      <c r="S189" t="s">
        <v>233</v>
      </c>
      <c r="T189" t="s">
        <v>410</v>
      </c>
      <c r="U189">
        <v>0.13613469540133633</v>
      </c>
      <c r="V189" t="s">
        <v>168</v>
      </c>
    </row>
    <row r="190" spans="9:22" x14ac:dyDescent="0.45">
      <c r="I190" t="s">
        <v>190</v>
      </c>
      <c r="J190" t="s">
        <v>411</v>
      </c>
      <c r="K190">
        <v>4.55843227993804E-3</v>
      </c>
      <c r="L190" t="s">
        <v>168</v>
      </c>
      <c r="N190" t="s">
        <v>214</v>
      </c>
      <c r="O190" t="s">
        <v>411</v>
      </c>
      <c r="P190">
        <v>2.4272080137022152E-2</v>
      </c>
      <c r="Q190" t="s">
        <v>168</v>
      </c>
      <c r="S190" t="s">
        <v>233</v>
      </c>
      <c r="T190" t="s">
        <v>411</v>
      </c>
      <c r="U190">
        <v>2.4644246425200644E-2</v>
      </c>
      <c r="V190" t="s">
        <v>168</v>
      </c>
    </row>
    <row r="191" spans="9:22" x14ac:dyDescent="0.45">
      <c r="I191" t="s">
        <v>191</v>
      </c>
      <c r="J191" t="s">
        <v>400</v>
      </c>
      <c r="K191">
        <v>0.19306643583849459</v>
      </c>
      <c r="L191" t="s">
        <v>168</v>
      </c>
      <c r="N191" t="s">
        <v>215</v>
      </c>
      <c r="O191" t="s">
        <v>400</v>
      </c>
      <c r="P191">
        <v>9.4495355316138063E-2</v>
      </c>
      <c r="Q191" t="s">
        <v>168</v>
      </c>
      <c r="S191" t="s">
        <v>234</v>
      </c>
      <c r="T191" t="s">
        <v>400</v>
      </c>
      <c r="U191">
        <v>9.6709618576525436E-2</v>
      </c>
      <c r="V191" t="s">
        <v>168</v>
      </c>
    </row>
    <row r="192" spans="9:22" x14ac:dyDescent="0.45">
      <c r="I192" t="s">
        <v>191</v>
      </c>
      <c r="J192" t="s">
        <v>401</v>
      </c>
      <c r="K192">
        <v>0</v>
      </c>
      <c r="L192" t="s">
        <v>168</v>
      </c>
      <c r="N192" t="s">
        <v>215</v>
      </c>
      <c r="O192" t="s">
        <v>401</v>
      </c>
      <c r="P192">
        <v>8.9962832026285536E-2</v>
      </c>
      <c r="Q192" t="s">
        <v>168</v>
      </c>
      <c r="S192" t="s">
        <v>234</v>
      </c>
      <c r="T192" t="s">
        <v>401</v>
      </c>
      <c r="U192">
        <v>0.10131933930690679</v>
      </c>
      <c r="V192" t="s">
        <v>168</v>
      </c>
    </row>
    <row r="193" spans="9:22" x14ac:dyDescent="0.45">
      <c r="I193" t="s">
        <v>191</v>
      </c>
      <c r="J193" t="s">
        <v>402</v>
      </c>
      <c r="K193">
        <v>1.3794240311546633E-2</v>
      </c>
      <c r="L193" t="s">
        <v>168</v>
      </c>
      <c r="N193" t="s">
        <v>215</v>
      </c>
      <c r="O193" t="s">
        <v>402</v>
      </c>
      <c r="P193">
        <v>1.7781275707387124E-2</v>
      </c>
      <c r="Q193" t="s">
        <v>168</v>
      </c>
      <c r="S193" t="s">
        <v>234</v>
      </c>
      <c r="T193" t="s">
        <v>402</v>
      </c>
      <c r="U193">
        <v>1.886305256551267E-2</v>
      </c>
      <c r="V193" t="s">
        <v>168</v>
      </c>
    </row>
    <row r="194" spans="9:22" x14ac:dyDescent="0.45">
      <c r="I194" t="s">
        <v>191</v>
      </c>
      <c r="J194" t="s">
        <v>403</v>
      </c>
      <c r="K194">
        <v>0.26545782511555976</v>
      </c>
      <c r="L194" t="s">
        <v>168</v>
      </c>
      <c r="N194" t="s">
        <v>215</v>
      </c>
      <c r="O194" t="s">
        <v>403</v>
      </c>
      <c r="P194">
        <v>0.15674962298352624</v>
      </c>
      <c r="Q194" t="s">
        <v>168</v>
      </c>
      <c r="S194" t="s">
        <v>234</v>
      </c>
      <c r="T194" t="s">
        <v>403</v>
      </c>
      <c r="U194">
        <v>0.14416953784661343</v>
      </c>
      <c r="V194" t="s">
        <v>168</v>
      </c>
    </row>
    <row r="195" spans="9:22" x14ac:dyDescent="0.45">
      <c r="I195" t="s">
        <v>191</v>
      </c>
      <c r="J195" t="s">
        <v>404</v>
      </c>
      <c r="K195">
        <v>3.163656205848285E-3</v>
      </c>
      <c r="L195" t="s">
        <v>168</v>
      </c>
      <c r="N195" t="s">
        <v>215</v>
      </c>
      <c r="O195" t="s">
        <v>404</v>
      </c>
      <c r="P195">
        <v>0.15140263645775953</v>
      </c>
      <c r="Q195" t="s">
        <v>168</v>
      </c>
      <c r="S195" t="s">
        <v>234</v>
      </c>
      <c r="T195" t="s">
        <v>404</v>
      </c>
      <c r="U195">
        <v>0.13813118772402588</v>
      </c>
      <c r="V195" t="s">
        <v>168</v>
      </c>
    </row>
    <row r="196" spans="9:22" x14ac:dyDescent="0.45">
      <c r="I196" t="s">
        <v>191</v>
      </c>
      <c r="J196" t="s">
        <v>405</v>
      </c>
      <c r="K196">
        <v>3.201404198056413E-2</v>
      </c>
      <c r="L196" t="s">
        <v>168</v>
      </c>
      <c r="N196" t="s">
        <v>215</v>
      </c>
      <c r="O196" t="s">
        <v>405</v>
      </c>
      <c r="P196">
        <v>3.0121635012456426E-2</v>
      </c>
      <c r="Q196" t="s">
        <v>168</v>
      </c>
      <c r="S196" t="s">
        <v>234</v>
      </c>
      <c r="T196" t="s">
        <v>405</v>
      </c>
      <c r="U196">
        <v>2.7588332696135587E-2</v>
      </c>
      <c r="V196" t="s">
        <v>168</v>
      </c>
    </row>
    <row r="197" spans="9:22" x14ac:dyDescent="0.45">
      <c r="I197" t="s">
        <v>191</v>
      </c>
      <c r="J197" t="s">
        <v>406</v>
      </c>
      <c r="K197">
        <v>0.30119119933897459</v>
      </c>
      <c r="L197" t="s">
        <v>168</v>
      </c>
      <c r="N197" t="s">
        <v>215</v>
      </c>
      <c r="O197" t="s">
        <v>406</v>
      </c>
      <c r="P197">
        <v>6.3670382796937347E-2</v>
      </c>
      <c r="Q197" t="s">
        <v>168</v>
      </c>
      <c r="S197" t="s">
        <v>234</v>
      </c>
      <c r="T197" t="s">
        <v>406</v>
      </c>
      <c r="U197">
        <v>7.2360139081644931E-2</v>
      </c>
      <c r="V197" t="s">
        <v>168</v>
      </c>
    </row>
    <row r="198" spans="9:22" x14ac:dyDescent="0.45">
      <c r="I198" t="s">
        <v>191</v>
      </c>
      <c r="J198" t="s">
        <v>407</v>
      </c>
      <c r="K198">
        <v>8.474538073720804E-3</v>
      </c>
      <c r="L198" t="s">
        <v>168</v>
      </c>
      <c r="N198" t="s">
        <v>215</v>
      </c>
      <c r="O198" t="s">
        <v>407</v>
      </c>
      <c r="P198">
        <v>6.2331607899122107E-2</v>
      </c>
      <c r="Q198" t="s">
        <v>168</v>
      </c>
      <c r="S198" t="s">
        <v>234</v>
      </c>
      <c r="T198" t="s">
        <v>407</v>
      </c>
      <c r="U198">
        <v>7.0346640772009569E-2</v>
      </c>
      <c r="V198" t="s">
        <v>168</v>
      </c>
    </row>
    <row r="199" spans="9:22" x14ac:dyDescent="0.45">
      <c r="I199" t="s">
        <v>191</v>
      </c>
      <c r="J199" t="s">
        <v>408</v>
      </c>
      <c r="K199">
        <v>3.7475027033640362E-2</v>
      </c>
      <c r="L199" t="s">
        <v>168</v>
      </c>
      <c r="N199" t="s">
        <v>215</v>
      </c>
      <c r="O199" t="s">
        <v>408</v>
      </c>
      <c r="P199">
        <v>1.6290720780405284E-2</v>
      </c>
      <c r="Q199" t="s">
        <v>168</v>
      </c>
      <c r="S199" t="s">
        <v>234</v>
      </c>
      <c r="T199" t="s">
        <v>408</v>
      </c>
      <c r="U199">
        <v>1.6344486271196317E-2</v>
      </c>
      <c r="V199" t="s">
        <v>168</v>
      </c>
    </row>
    <row r="200" spans="9:22" x14ac:dyDescent="0.45">
      <c r="I200" t="s">
        <v>191</v>
      </c>
      <c r="J200" t="s">
        <v>409</v>
      </c>
      <c r="K200">
        <v>0.13995246576480774</v>
      </c>
      <c r="L200" t="s">
        <v>168</v>
      </c>
      <c r="N200" t="s">
        <v>215</v>
      </c>
      <c r="O200" t="s">
        <v>409</v>
      </c>
      <c r="P200">
        <v>0.14876483687925274</v>
      </c>
      <c r="Q200" t="s">
        <v>168</v>
      </c>
      <c r="S200" t="s">
        <v>234</v>
      </c>
      <c r="T200" t="s">
        <v>409</v>
      </c>
      <c r="U200">
        <v>0.14365889878599913</v>
      </c>
      <c r="V200" t="s">
        <v>168</v>
      </c>
    </row>
    <row r="201" spans="9:22" x14ac:dyDescent="0.45">
      <c r="I201" t="s">
        <v>191</v>
      </c>
      <c r="J201" t="s">
        <v>410</v>
      </c>
      <c r="K201">
        <v>0</v>
      </c>
      <c r="L201" t="s">
        <v>168</v>
      </c>
      <c r="N201" t="s">
        <v>215</v>
      </c>
      <c r="O201" t="s">
        <v>410</v>
      </c>
      <c r="P201">
        <v>0.14002657572860347</v>
      </c>
      <c r="Q201" t="s">
        <v>168</v>
      </c>
      <c r="S201" t="s">
        <v>234</v>
      </c>
      <c r="T201" t="s">
        <v>410</v>
      </c>
      <c r="U201">
        <v>0.14491594923177747</v>
      </c>
      <c r="V201" t="s">
        <v>168</v>
      </c>
    </row>
    <row r="202" spans="9:22" x14ac:dyDescent="0.45">
      <c r="I202" t="s">
        <v>191</v>
      </c>
      <c r="J202" t="s">
        <v>411</v>
      </c>
      <c r="K202">
        <v>5.4105703368457544E-3</v>
      </c>
      <c r="L202" t="s">
        <v>168</v>
      </c>
      <c r="N202" t="s">
        <v>215</v>
      </c>
      <c r="O202" t="s">
        <v>411</v>
      </c>
      <c r="P202">
        <v>2.8402518412128354E-2</v>
      </c>
      <c r="Q202" t="s">
        <v>168</v>
      </c>
      <c r="S202" t="s">
        <v>234</v>
      </c>
      <c r="T202" t="s">
        <v>411</v>
      </c>
      <c r="U202">
        <v>2.5592817141658938E-2</v>
      </c>
      <c r="V202" t="s">
        <v>168</v>
      </c>
    </row>
    <row r="203" spans="9:22" x14ac:dyDescent="0.45">
      <c r="I203" t="s">
        <v>192</v>
      </c>
      <c r="J203" t="s">
        <v>400</v>
      </c>
      <c r="K203">
        <v>0.16446750547334862</v>
      </c>
      <c r="L203" t="s">
        <v>168</v>
      </c>
      <c r="N203" t="s">
        <v>216</v>
      </c>
      <c r="O203" t="s">
        <v>400</v>
      </c>
      <c r="P203">
        <v>9.6982918271173071E-2</v>
      </c>
      <c r="Q203" t="s">
        <v>168</v>
      </c>
      <c r="S203" t="s">
        <v>235</v>
      </c>
      <c r="T203" t="s">
        <v>400</v>
      </c>
      <c r="U203">
        <v>8.3744074053931028E-2</v>
      </c>
      <c r="V203" t="s">
        <v>168</v>
      </c>
    </row>
    <row r="204" spans="9:22" x14ac:dyDescent="0.45">
      <c r="I204" t="s">
        <v>192</v>
      </c>
      <c r="J204" t="s">
        <v>401</v>
      </c>
      <c r="K204">
        <v>3.010381487530787E-4</v>
      </c>
      <c r="L204" t="s">
        <v>168</v>
      </c>
      <c r="N204" t="s">
        <v>216</v>
      </c>
      <c r="O204" t="s">
        <v>401</v>
      </c>
      <c r="P204">
        <v>7.3403382294052091E-2</v>
      </c>
      <c r="Q204" t="s">
        <v>168</v>
      </c>
      <c r="S204" t="s">
        <v>235</v>
      </c>
      <c r="T204" t="s">
        <v>401</v>
      </c>
      <c r="U204">
        <v>7.8084931730892482E-2</v>
      </c>
      <c r="V204" t="s">
        <v>168</v>
      </c>
    </row>
    <row r="205" spans="9:22" x14ac:dyDescent="0.45">
      <c r="I205" t="s">
        <v>192</v>
      </c>
      <c r="J205" t="s">
        <v>402</v>
      </c>
      <c r="K205">
        <v>1.3216468834235707E-2</v>
      </c>
      <c r="L205" t="s">
        <v>168</v>
      </c>
      <c r="N205" t="s">
        <v>216</v>
      </c>
      <c r="O205" t="s">
        <v>402</v>
      </c>
      <c r="P205">
        <v>1.6881657725794651E-2</v>
      </c>
      <c r="Q205" t="s">
        <v>168</v>
      </c>
      <c r="S205" t="s">
        <v>235</v>
      </c>
      <c r="T205" t="s">
        <v>402</v>
      </c>
      <c r="U205">
        <v>1.6773270723178531E-2</v>
      </c>
      <c r="V205" t="s">
        <v>168</v>
      </c>
    </row>
    <row r="206" spans="9:22" x14ac:dyDescent="0.45">
      <c r="I206" t="s">
        <v>192</v>
      </c>
      <c r="J206" t="s">
        <v>403</v>
      </c>
      <c r="K206">
        <v>0.24565695511500599</v>
      </c>
      <c r="L206" t="s">
        <v>168</v>
      </c>
      <c r="N206" t="s">
        <v>216</v>
      </c>
      <c r="O206" t="s">
        <v>403</v>
      </c>
      <c r="P206">
        <v>0.18823048052889876</v>
      </c>
      <c r="Q206" t="s">
        <v>168</v>
      </c>
      <c r="S206" t="s">
        <v>235</v>
      </c>
      <c r="T206" t="s">
        <v>403</v>
      </c>
      <c r="U206">
        <v>0.17359484372945144</v>
      </c>
      <c r="V206" t="s">
        <v>168</v>
      </c>
    </row>
    <row r="207" spans="9:22" x14ac:dyDescent="0.45">
      <c r="I207" t="s">
        <v>192</v>
      </c>
      <c r="J207" t="s">
        <v>404</v>
      </c>
      <c r="K207">
        <v>4.6802766733519772E-3</v>
      </c>
      <c r="L207" t="s">
        <v>168</v>
      </c>
      <c r="N207" t="s">
        <v>216</v>
      </c>
      <c r="O207" t="s">
        <v>404</v>
      </c>
      <c r="P207">
        <v>0.17203896106535574</v>
      </c>
      <c r="Q207" t="s">
        <v>168</v>
      </c>
      <c r="S207" t="s">
        <v>235</v>
      </c>
      <c r="T207" t="s">
        <v>404</v>
      </c>
      <c r="U207">
        <v>0.16017954104333226</v>
      </c>
      <c r="V207" t="s">
        <v>168</v>
      </c>
    </row>
    <row r="208" spans="9:22" x14ac:dyDescent="0.45">
      <c r="I208" t="s">
        <v>192</v>
      </c>
      <c r="J208" t="s">
        <v>405</v>
      </c>
      <c r="K208">
        <v>2.9811603662617796E-2</v>
      </c>
      <c r="L208" t="s">
        <v>168</v>
      </c>
      <c r="N208" t="s">
        <v>216</v>
      </c>
      <c r="O208" t="s">
        <v>405</v>
      </c>
      <c r="P208">
        <v>3.743493619377572E-2</v>
      </c>
      <c r="Q208" t="s">
        <v>168</v>
      </c>
      <c r="S208" t="s">
        <v>235</v>
      </c>
      <c r="T208" t="s">
        <v>405</v>
      </c>
      <c r="U208">
        <v>3.3923040977651614E-2</v>
      </c>
      <c r="V208" t="s">
        <v>168</v>
      </c>
    </row>
    <row r="209" spans="9:22" x14ac:dyDescent="0.45">
      <c r="I209" t="s">
        <v>192</v>
      </c>
      <c r="J209" t="s">
        <v>406</v>
      </c>
      <c r="K209">
        <v>0.33943763643128622</v>
      </c>
      <c r="L209" t="s">
        <v>168</v>
      </c>
      <c r="N209" t="s">
        <v>216</v>
      </c>
      <c r="O209" t="s">
        <v>406</v>
      </c>
      <c r="P209">
        <v>4.2622294061311954E-2</v>
      </c>
      <c r="Q209" t="s">
        <v>168</v>
      </c>
      <c r="S209" t="s">
        <v>235</v>
      </c>
      <c r="T209" t="s">
        <v>406</v>
      </c>
      <c r="U209">
        <v>4.8020908712580329E-2</v>
      </c>
      <c r="V209" t="s">
        <v>168</v>
      </c>
    </row>
    <row r="210" spans="9:22" x14ac:dyDescent="0.45">
      <c r="I210" t="s">
        <v>192</v>
      </c>
      <c r="J210" t="s">
        <v>407</v>
      </c>
      <c r="K210">
        <v>1.6593943708379074E-2</v>
      </c>
      <c r="L210" t="s">
        <v>168</v>
      </c>
      <c r="N210" t="s">
        <v>216</v>
      </c>
      <c r="O210" t="s">
        <v>407</v>
      </c>
      <c r="P210">
        <v>2.9093812983714759E-2</v>
      </c>
      <c r="Q210" t="s">
        <v>168</v>
      </c>
      <c r="S210" t="s">
        <v>235</v>
      </c>
      <c r="T210" t="s">
        <v>407</v>
      </c>
      <c r="U210">
        <v>5.1398544479092693E-2</v>
      </c>
      <c r="V210" t="s">
        <v>168</v>
      </c>
    </row>
    <row r="211" spans="9:22" x14ac:dyDescent="0.45">
      <c r="I211" t="s">
        <v>192</v>
      </c>
      <c r="J211" t="s">
        <v>408</v>
      </c>
      <c r="K211">
        <v>4.4338962164857547E-2</v>
      </c>
      <c r="L211" t="s">
        <v>168</v>
      </c>
      <c r="N211" t="s">
        <v>216</v>
      </c>
      <c r="O211" t="s">
        <v>408</v>
      </c>
      <c r="P211">
        <v>1.0552151315214496E-2</v>
      </c>
      <c r="Q211" t="s">
        <v>168</v>
      </c>
      <c r="S211" t="s">
        <v>235</v>
      </c>
      <c r="T211" t="s">
        <v>408</v>
      </c>
      <c r="U211">
        <v>1.253442716409236E-2</v>
      </c>
      <c r="V211" t="s">
        <v>168</v>
      </c>
    </row>
    <row r="212" spans="9:22" x14ac:dyDescent="0.45">
      <c r="I212" t="s">
        <v>192</v>
      </c>
      <c r="J212" t="s">
        <v>409</v>
      </c>
      <c r="K212">
        <v>0.13599486650677117</v>
      </c>
      <c r="L212" t="s">
        <v>168</v>
      </c>
      <c r="N212" t="s">
        <v>216</v>
      </c>
      <c r="O212" t="s">
        <v>409</v>
      </c>
      <c r="P212">
        <v>0.15981125165622539</v>
      </c>
      <c r="Q212" t="s">
        <v>168</v>
      </c>
      <c r="S212" t="s">
        <v>235</v>
      </c>
      <c r="T212" t="s">
        <v>409</v>
      </c>
      <c r="U212">
        <v>0.15357372472995665</v>
      </c>
      <c r="V212" t="s">
        <v>168</v>
      </c>
    </row>
    <row r="213" spans="9:22" x14ac:dyDescent="0.45">
      <c r="I213" t="s">
        <v>192</v>
      </c>
      <c r="J213" t="s">
        <v>410</v>
      </c>
      <c r="K213">
        <v>0</v>
      </c>
      <c r="L213" t="s">
        <v>168</v>
      </c>
      <c r="N213" t="s">
        <v>216</v>
      </c>
      <c r="O213" t="s">
        <v>410</v>
      </c>
      <c r="P213">
        <v>0.14351472691818354</v>
      </c>
      <c r="Q213" t="s">
        <v>168</v>
      </c>
      <c r="S213" t="s">
        <v>235</v>
      </c>
      <c r="T213" t="s">
        <v>410</v>
      </c>
      <c r="U213">
        <v>0.15717887783121073</v>
      </c>
      <c r="V213" t="s">
        <v>168</v>
      </c>
    </row>
    <row r="214" spans="9:22" x14ac:dyDescent="0.45">
      <c r="I214" t="s">
        <v>192</v>
      </c>
      <c r="J214" t="s">
        <v>411</v>
      </c>
      <c r="K214">
        <v>5.5007432813915791E-3</v>
      </c>
      <c r="L214" t="s">
        <v>168</v>
      </c>
      <c r="N214" t="s">
        <v>216</v>
      </c>
      <c r="O214" t="s">
        <v>411</v>
      </c>
      <c r="P214">
        <v>2.9433426986296807E-2</v>
      </c>
      <c r="Q214" t="s">
        <v>168</v>
      </c>
      <c r="S214" t="s">
        <v>235</v>
      </c>
      <c r="T214" t="s">
        <v>411</v>
      </c>
      <c r="U214">
        <v>3.0993814824630508E-2</v>
      </c>
      <c r="V214" t="s">
        <v>168</v>
      </c>
    </row>
    <row r="215" spans="9:22" x14ac:dyDescent="0.45">
      <c r="I215" t="s">
        <v>193</v>
      </c>
      <c r="J215" t="s">
        <v>400</v>
      </c>
      <c r="K215">
        <v>0.1706030924574039</v>
      </c>
      <c r="L215" t="s">
        <v>168</v>
      </c>
      <c r="N215" t="s">
        <v>217</v>
      </c>
      <c r="O215" t="s">
        <v>400</v>
      </c>
      <c r="P215">
        <v>8.9961732261020264E-2</v>
      </c>
      <c r="Q215" t="s">
        <v>168</v>
      </c>
      <c r="S215" t="s">
        <v>236</v>
      </c>
      <c r="T215" t="s">
        <v>400</v>
      </c>
      <c r="U215">
        <v>8.176119634105819E-2</v>
      </c>
      <c r="V215" t="s">
        <v>168</v>
      </c>
    </row>
    <row r="216" spans="9:22" x14ac:dyDescent="0.45">
      <c r="I216" t="s">
        <v>193</v>
      </c>
      <c r="J216" t="s">
        <v>401</v>
      </c>
      <c r="K216">
        <v>6.0576316319225772E-4</v>
      </c>
      <c r="L216" t="s">
        <v>168</v>
      </c>
      <c r="N216" t="s">
        <v>217</v>
      </c>
      <c r="O216" t="s">
        <v>401</v>
      </c>
      <c r="P216">
        <v>7.5599752558285188E-2</v>
      </c>
      <c r="Q216" t="s">
        <v>168</v>
      </c>
      <c r="S216" t="s">
        <v>236</v>
      </c>
      <c r="T216" t="s">
        <v>401</v>
      </c>
      <c r="U216">
        <v>9.1771840956998182E-2</v>
      </c>
      <c r="V216" t="s">
        <v>168</v>
      </c>
    </row>
    <row r="217" spans="9:22" x14ac:dyDescent="0.45">
      <c r="I217" t="s">
        <v>193</v>
      </c>
      <c r="J217" t="s">
        <v>402</v>
      </c>
      <c r="K217">
        <v>1.4253330419459273E-2</v>
      </c>
      <c r="L217" t="s">
        <v>168</v>
      </c>
      <c r="N217" t="s">
        <v>217</v>
      </c>
      <c r="O217" t="s">
        <v>402</v>
      </c>
      <c r="P217">
        <v>1.6812984758506067E-2</v>
      </c>
      <c r="Q217" t="s">
        <v>168</v>
      </c>
      <c r="S217" t="s">
        <v>236</v>
      </c>
      <c r="T217" t="s">
        <v>402</v>
      </c>
      <c r="U217">
        <v>1.4932087399069269E-2</v>
      </c>
      <c r="V217" t="s">
        <v>168</v>
      </c>
    </row>
    <row r="218" spans="9:22" x14ac:dyDescent="0.45">
      <c r="I218" t="s">
        <v>193</v>
      </c>
      <c r="J218" t="s">
        <v>403</v>
      </c>
      <c r="K218">
        <v>0.24074523832679751</v>
      </c>
      <c r="L218" t="s">
        <v>168</v>
      </c>
      <c r="N218" t="s">
        <v>217</v>
      </c>
      <c r="O218" t="s">
        <v>403</v>
      </c>
      <c r="P218">
        <v>0.15517774670735768</v>
      </c>
      <c r="Q218" t="s">
        <v>168</v>
      </c>
      <c r="S218" t="s">
        <v>236</v>
      </c>
      <c r="T218" t="s">
        <v>403</v>
      </c>
      <c r="U218">
        <v>0.14324403067275859</v>
      </c>
      <c r="V218" t="s">
        <v>168</v>
      </c>
    </row>
    <row r="219" spans="9:22" x14ac:dyDescent="0.45">
      <c r="I219" t="s">
        <v>193</v>
      </c>
      <c r="J219" t="s">
        <v>404</v>
      </c>
      <c r="K219">
        <v>4.7400286331754481E-3</v>
      </c>
      <c r="L219" t="s">
        <v>168</v>
      </c>
      <c r="N219" t="s">
        <v>217</v>
      </c>
      <c r="O219" t="s">
        <v>404</v>
      </c>
      <c r="P219">
        <v>0.15357311774236304</v>
      </c>
      <c r="Q219" t="s">
        <v>168</v>
      </c>
      <c r="S219" t="s">
        <v>236</v>
      </c>
      <c r="T219" t="s">
        <v>404</v>
      </c>
      <c r="U219">
        <v>0.15204652367824406</v>
      </c>
      <c r="V219" t="s">
        <v>168</v>
      </c>
    </row>
    <row r="220" spans="9:22" x14ac:dyDescent="0.45">
      <c r="I220" t="s">
        <v>193</v>
      </c>
      <c r="J220" t="s">
        <v>405</v>
      </c>
      <c r="K220">
        <v>2.9094206335995788E-2</v>
      </c>
      <c r="L220" t="s">
        <v>168</v>
      </c>
      <c r="N220" t="s">
        <v>217</v>
      </c>
      <c r="O220" t="s">
        <v>405</v>
      </c>
      <c r="P220">
        <v>3.0824877993573797E-2</v>
      </c>
      <c r="Q220" t="s">
        <v>168</v>
      </c>
      <c r="S220" t="s">
        <v>236</v>
      </c>
      <c r="T220" t="s">
        <v>405</v>
      </c>
      <c r="U220">
        <v>2.5813696349864173E-2</v>
      </c>
      <c r="V220" t="s">
        <v>168</v>
      </c>
    </row>
    <row r="221" spans="9:22" x14ac:dyDescent="0.45">
      <c r="I221" t="s">
        <v>193</v>
      </c>
      <c r="J221" t="s">
        <v>406</v>
      </c>
      <c r="K221">
        <v>0.32272156770324234</v>
      </c>
      <c r="L221" t="s">
        <v>168</v>
      </c>
      <c r="N221" t="s">
        <v>217</v>
      </c>
      <c r="O221" t="s">
        <v>406</v>
      </c>
      <c r="P221">
        <v>5.0423725420577624E-2</v>
      </c>
      <c r="Q221" t="s">
        <v>168</v>
      </c>
      <c r="S221" t="s">
        <v>236</v>
      </c>
      <c r="T221" t="s">
        <v>406</v>
      </c>
      <c r="U221">
        <v>6.370306080577455E-2</v>
      </c>
      <c r="V221" t="s">
        <v>168</v>
      </c>
    </row>
    <row r="222" spans="9:22" x14ac:dyDescent="0.45">
      <c r="I222" t="s">
        <v>193</v>
      </c>
      <c r="J222" t="s">
        <v>407</v>
      </c>
      <c r="K222">
        <v>1.5519614368849386E-2</v>
      </c>
      <c r="L222" t="s">
        <v>168</v>
      </c>
      <c r="N222" t="s">
        <v>217</v>
      </c>
      <c r="O222" t="s">
        <v>407</v>
      </c>
      <c r="P222">
        <v>7.4320839448967058E-2</v>
      </c>
      <c r="Q222" t="s">
        <v>168</v>
      </c>
      <c r="S222" t="s">
        <v>236</v>
      </c>
      <c r="T222" t="s">
        <v>407</v>
      </c>
      <c r="U222">
        <v>7.190817856945983E-2</v>
      </c>
      <c r="V222" t="s">
        <v>168</v>
      </c>
    </row>
    <row r="223" spans="9:22" x14ac:dyDescent="0.45">
      <c r="I223" t="s">
        <v>193</v>
      </c>
      <c r="J223" t="s">
        <v>408</v>
      </c>
      <c r="K223">
        <v>4.2040170093397639E-2</v>
      </c>
      <c r="L223" t="s">
        <v>168</v>
      </c>
      <c r="N223" t="s">
        <v>217</v>
      </c>
      <c r="O223" t="s">
        <v>408</v>
      </c>
      <c r="P223">
        <v>1.0424780979830369E-2</v>
      </c>
      <c r="Q223" t="s">
        <v>168</v>
      </c>
      <c r="S223" t="s">
        <v>236</v>
      </c>
      <c r="T223" t="s">
        <v>408</v>
      </c>
      <c r="U223">
        <v>1.3175805405623492E-2</v>
      </c>
      <c r="V223" t="s">
        <v>168</v>
      </c>
    </row>
    <row r="224" spans="9:22" x14ac:dyDescent="0.45">
      <c r="I224" t="s">
        <v>193</v>
      </c>
      <c r="J224" t="s">
        <v>409</v>
      </c>
      <c r="K224">
        <v>0.15267534772966762</v>
      </c>
      <c r="L224" t="s">
        <v>168</v>
      </c>
      <c r="N224" t="s">
        <v>217</v>
      </c>
      <c r="O224" t="s">
        <v>409</v>
      </c>
      <c r="P224">
        <v>0.15666173823560581</v>
      </c>
      <c r="Q224" t="s">
        <v>168</v>
      </c>
      <c r="S224" t="s">
        <v>236</v>
      </c>
      <c r="T224" t="s">
        <v>409</v>
      </c>
      <c r="U224">
        <v>0.15922326996690847</v>
      </c>
      <c r="V224" t="s">
        <v>168</v>
      </c>
    </row>
    <row r="225" spans="9:22" x14ac:dyDescent="0.45">
      <c r="I225" t="s">
        <v>193</v>
      </c>
      <c r="J225" t="s">
        <v>410</v>
      </c>
      <c r="K225">
        <v>0</v>
      </c>
      <c r="L225" t="s">
        <v>168</v>
      </c>
      <c r="N225" t="s">
        <v>217</v>
      </c>
      <c r="O225" t="s">
        <v>410</v>
      </c>
      <c r="P225">
        <v>0.1560746363825373</v>
      </c>
      <c r="Q225" t="s">
        <v>168</v>
      </c>
      <c r="S225" t="s">
        <v>236</v>
      </c>
      <c r="T225" t="s">
        <v>410</v>
      </c>
      <c r="U225">
        <v>0.15276913266897432</v>
      </c>
      <c r="V225" t="s">
        <v>168</v>
      </c>
    </row>
    <row r="226" spans="9:22" x14ac:dyDescent="0.45">
      <c r="I226" t="s">
        <v>193</v>
      </c>
      <c r="J226" t="s">
        <v>411</v>
      </c>
      <c r="K226">
        <v>7.0016407688193866E-3</v>
      </c>
      <c r="L226" t="s">
        <v>168</v>
      </c>
      <c r="N226" t="s">
        <v>217</v>
      </c>
      <c r="O226" t="s">
        <v>411</v>
      </c>
      <c r="P226">
        <v>3.0144067511376382E-2</v>
      </c>
      <c r="Q226" t="s">
        <v>168</v>
      </c>
      <c r="S226" t="s">
        <v>236</v>
      </c>
      <c r="T226" t="s">
        <v>411</v>
      </c>
      <c r="U226">
        <v>2.9651177185270949E-2</v>
      </c>
      <c r="V226" t="s">
        <v>168</v>
      </c>
    </row>
    <row r="227" spans="9:22" x14ac:dyDescent="0.45">
      <c r="I227" t="s">
        <v>194</v>
      </c>
      <c r="J227" t="s">
        <v>400</v>
      </c>
      <c r="K227">
        <v>0.19289127435060058</v>
      </c>
      <c r="L227" t="s">
        <v>168</v>
      </c>
      <c r="N227" t="s">
        <v>218</v>
      </c>
      <c r="O227" t="s">
        <v>400</v>
      </c>
      <c r="P227">
        <v>8.6054249587030396E-2</v>
      </c>
      <c r="Q227" t="s">
        <v>168</v>
      </c>
      <c r="S227" t="s">
        <v>237</v>
      </c>
      <c r="T227" t="s">
        <v>400</v>
      </c>
      <c r="U227">
        <v>8.6226286240200692E-2</v>
      </c>
      <c r="V227" t="s">
        <v>168</v>
      </c>
    </row>
    <row r="228" spans="9:22" x14ac:dyDescent="0.45">
      <c r="I228" t="s">
        <v>194</v>
      </c>
      <c r="J228" t="s">
        <v>401</v>
      </c>
      <c r="K228">
        <v>6.0976063367927898E-6</v>
      </c>
      <c r="L228" t="s">
        <v>168</v>
      </c>
      <c r="N228" t="s">
        <v>218</v>
      </c>
      <c r="O228" t="s">
        <v>401</v>
      </c>
      <c r="P228">
        <v>7.2228033721671164E-2</v>
      </c>
      <c r="Q228" t="s">
        <v>168</v>
      </c>
      <c r="S228" t="s">
        <v>237</v>
      </c>
      <c r="T228" t="s">
        <v>401</v>
      </c>
      <c r="U228">
        <v>8.9669252116020892E-2</v>
      </c>
      <c r="V228" t="s">
        <v>168</v>
      </c>
    </row>
    <row r="229" spans="9:22" x14ac:dyDescent="0.45">
      <c r="I229" t="s">
        <v>194</v>
      </c>
      <c r="J229" t="s">
        <v>402</v>
      </c>
      <c r="K229">
        <v>1.47244723076257E-2</v>
      </c>
      <c r="L229" t="s">
        <v>168</v>
      </c>
      <c r="N229" t="s">
        <v>218</v>
      </c>
      <c r="O229" t="s">
        <v>402</v>
      </c>
      <c r="P229">
        <v>1.6153096458950029E-2</v>
      </c>
      <c r="Q229" t="s">
        <v>168</v>
      </c>
      <c r="S229" t="s">
        <v>237</v>
      </c>
      <c r="T229" t="s">
        <v>402</v>
      </c>
      <c r="U229">
        <v>1.5883913591275164E-2</v>
      </c>
      <c r="V229" t="s">
        <v>168</v>
      </c>
    </row>
    <row r="230" spans="9:22" x14ac:dyDescent="0.45">
      <c r="I230" t="s">
        <v>194</v>
      </c>
      <c r="J230" t="s">
        <v>403</v>
      </c>
      <c r="K230">
        <v>0.26189971236390197</v>
      </c>
      <c r="L230" t="s">
        <v>168</v>
      </c>
      <c r="N230" t="s">
        <v>218</v>
      </c>
      <c r="O230" t="s">
        <v>403</v>
      </c>
      <c r="P230">
        <v>0.1954209910645168</v>
      </c>
      <c r="Q230" t="s">
        <v>168</v>
      </c>
      <c r="S230" t="s">
        <v>237</v>
      </c>
      <c r="T230" t="s">
        <v>403</v>
      </c>
      <c r="U230">
        <v>0.14640422828201646</v>
      </c>
      <c r="V230" t="s">
        <v>168</v>
      </c>
    </row>
    <row r="231" spans="9:22" x14ac:dyDescent="0.45">
      <c r="I231" t="s">
        <v>194</v>
      </c>
      <c r="J231" t="s">
        <v>404</v>
      </c>
      <c r="K231">
        <v>4.1532929690058246E-3</v>
      </c>
      <c r="L231" t="s">
        <v>168</v>
      </c>
      <c r="N231" t="s">
        <v>218</v>
      </c>
      <c r="O231" t="s">
        <v>404</v>
      </c>
      <c r="P231">
        <v>0.19052602258020684</v>
      </c>
      <c r="Q231" t="s">
        <v>168</v>
      </c>
      <c r="S231" t="s">
        <v>237</v>
      </c>
      <c r="T231" t="s">
        <v>404</v>
      </c>
      <c r="U231">
        <v>0.15000406504379543</v>
      </c>
      <c r="V231" t="s">
        <v>168</v>
      </c>
    </row>
    <row r="232" spans="9:22" x14ac:dyDescent="0.45">
      <c r="I232" t="s">
        <v>194</v>
      </c>
      <c r="J232" t="s">
        <v>405</v>
      </c>
      <c r="K232">
        <v>3.2249550770953025E-2</v>
      </c>
      <c r="L232" t="s">
        <v>168</v>
      </c>
      <c r="N232" t="s">
        <v>218</v>
      </c>
      <c r="O232" t="s">
        <v>405</v>
      </c>
      <c r="P232">
        <v>3.4698083795444472E-2</v>
      </c>
      <c r="Q232" t="s">
        <v>168</v>
      </c>
      <c r="S232" t="s">
        <v>237</v>
      </c>
      <c r="T232" t="s">
        <v>405</v>
      </c>
      <c r="U232">
        <v>2.6822457771292729E-2</v>
      </c>
      <c r="V232" t="s">
        <v>168</v>
      </c>
    </row>
    <row r="233" spans="9:22" x14ac:dyDescent="0.45">
      <c r="I233" t="s">
        <v>194</v>
      </c>
      <c r="J233" t="s">
        <v>406</v>
      </c>
      <c r="K233">
        <v>0.3018547085280151</v>
      </c>
      <c r="L233" t="s">
        <v>168</v>
      </c>
      <c r="N233" t="s">
        <v>218</v>
      </c>
      <c r="O233" t="s">
        <v>406</v>
      </c>
      <c r="P233">
        <v>3.827273277091011E-2</v>
      </c>
      <c r="Q233" t="s">
        <v>168</v>
      </c>
      <c r="S233" t="s">
        <v>237</v>
      </c>
      <c r="T233" t="s">
        <v>406</v>
      </c>
      <c r="U233">
        <v>6.894932913897503E-2</v>
      </c>
      <c r="V233" t="s">
        <v>168</v>
      </c>
    </row>
    <row r="234" spans="9:22" x14ac:dyDescent="0.45">
      <c r="I234" t="s">
        <v>194</v>
      </c>
      <c r="J234" t="s">
        <v>407</v>
      </c>
      <c r="K234">
        <v>9.8097585607738076E-3</v>
      </c>
      <c r="L234" t="s">
        <v>168</v>
      </c>
      <c r="N234" t="s">
        <v>218</v>
      </c>
      <c r="O234" t="s">
        <v>407</v>
      </c>
      <c r="P234">
        <v>3.8605370491636717E-2</v>
      </c>
      <c r="Q234" t="s">
        <v>168</v>
      </c>
      <c r="S234" t="s">
        <v>237</v>
      </c>
      <c r="T234" t="s">
        <v>407</v>
      </c>
      <c r="U234">
        <v>7.5223719683161147E-2</v>
      </c>
      <c r="V234" t="s">
        <v>168</v>
      </c>
    </row>
    <row r="235" spans="9:22" x14ac:dyDescent="0.45">
      <c r="I235" t="s">
        <v>194</v>
      </c>
      <c r="J235" t="s">
        <v>408</v>
      </c>
      <c r="K235">
        <v>3.8665700520474411E-2</v>
      </c>
      <c r="L235" t="s">
        <v>168</v>
      </c>
      <c r="N235" t="s">
        <v>218</v>
      </c>
      <c r="O235" t="s">
        <v>408</v>
      </c>
      <c r="P235">
        <v>9.8075390821528857E-3</v>
      </c>
      <c r="Q235" t="s">
        <v>168</v>
      </c>
      <c r="S235" t="s">
        <v>237</v>
      </c>
      <c r="T235" t="s">
        <v>408</v>
      </c>
      <c r="U235">
        <v>1.7771892256335055E-2</v>
      </c>
      <c r="V235" t="s">
        <v>168</v>
      </c>
    </row>
    <row r="236" spans="9:22" x14ac:dyDescent="0.45">
      <c r="I236" t="s">
        <v>194</v>
      </c>
      <c r="J236" t="s">
        <v>409</v>
      </c>
      <c r="K236">
        <v>0.13717852930679372</v>
      </c>
      <c r="L236" t="s">
        <v>168</v>
      </c>
      <c r="N236" t="s">
        <v>218</v>
      </c>
      <c r="O236" t="s">
        <v>409</v>
      </c>
      <c r="P236">
        <v>0.14345364905599317</v>
      </c>
      <c r="Q236" t="s">
        <v>168</v>
      </c>
      <c r="S236" t="s">
        <v>237</v>
      </c>
      <c r="T236" t="s">
        <v>409</v>
      </c>
      <c r="U236">
        <v>0.15120902321944524</v>
      </c>
      <c r="V236" t="s">
        <v>168</v>
      </c>
    </row>
    <row r="237" spans="9:22" x14ac:dyDescent="0.45">
      <c r="I237" t="s">
        <v>194</v>
      </c>
      <c r="J237" t="s">
        <v>410</v>
      </c>
      <c r="K237">
        <v>0</v>
      </c>
      <c r="L237" t="s">
        <v>168</v>
      </c>
      <c r="N237" t="s">
        <v>218</v>
      </c>
      <c r="O237" t="s">
        <v>410</v>
      </c>
      <c r="P237">
        <v>0.14664336705975167</v>
      </c>
      <c r="Q237" t="s">
        <v>168</v>
      </c>
      <c r="S237" t="s">
        <v>237</v>
      </c>
      <c r="T237" t="s">
        <v>410</v>
      </c>
      <c r="U237">
        <v>0.14289240596967326</v>
      </c>
      <c r="V237" t="s">
        <v>168</v>
      </c>
    </row>
    <row r="238" spans="9:22" x14ac:dyDescent="0.45">
      <c r="I238" t="s">
        <v>194</v>
      </c>
      <c r="J238" t="s">
        <v>411</v>
      </c>
      <c r="K238">
        <v>6.566902715517609E-3</v>
      </c>
      <c r="L238" t="s">
        <v>168</v>
      </c>
      <c r="N238" t="s">
        <v>218</v>
      </c>
      <c r="O238" t="s">
        <v>411</v>
      </c>
      <c r="P238">
        <v>2.8136864331738381E-2</v>
      </c>
      <c r="Q238" t="s">
        <v>168</v>
      </c>
      <c r="S238" t="s">
        <v>237</v>
      </c>
      <c r="T238" t="s">
        <v>411</v>
      </c>
      <c r="U238">
        <v>2.8943426687811677E-2</v>
      </c>
      <c r="V238" t="s">
        <v>168</v>
      </c>
    </row>
    <row r="239" spans="9:22" x14ac:dyDescent="0.45">
      <c r="I239" t="s">
        <v>195</v>
      </c>
      <c r="J239" t="s">
        <v>400</v>
      </c>
      <c r="K239">
        <v>0.18654981420686079</v>
      </c>
      <c r="L239" t="s">
        <v>168</v>
      </c>
    </row>
    <row r="240" spans="9:22" x14ac:dyDescent="0.45">
      <c r="I240" t="s">
        <v>195</v>
      </c>
      <c r="J240" t="s">
        <v>401</v>
      </c>
      <c r="K240">
        <v>4.6453071303094993E-4</v>
      </c>
      <c r="L240" t="s">
        <v>168</v>
      </c>
    </row>
    <row r="241" spans="9:12" x14ac:dyDescent="0.45">
      <c r="I241" t="s">
        <v>195</v>
      </c>
      <c r="J241" t="s">
        <v>402</v>
      </c>
      <c r="K241">
        <v>1.7355433872470315E-2</v>
      </c>
      <c r="L241" t="s">
        <v>168</v>
      </c>
    </row>
    <row r="242" spans="9:12" x14ac:dyDescent="0.45">
      <c r="I242" t="s">
        <v>195</v>
      </c>
      <c r="J242" t="s">
        <v>403</v>
      </c>
      <c r="K242">
        <v>0.24377556620344024</v>
      </c>
      <c r="L242" t="s">
        <v>168</v>
      </c>
    </row>
    <row r="243" spans="9:12" x14ac:dyDescent="0.45">
      <c r="I243" t="s">
        <v>195</v>
      </c>
      <c r="J243" t="s">
        <v>404</v>
      </c>
      <c r="K243">
        <v>5.7199768779249878E-3</v>
      </c>
      <c r="L243" t="s">
        <v>168</v>
      </c>
    </row>
    <row r="244" spans="9:12" x14ac:dyDescent="0.45">
      <c r="I244" t="s">
        <v>195</v>
      </c>
      <c r="J244" t="s">
        <v>405</v>
      </c>
      <c r="K244">
        <v>3.3984139604446351E-2</v>
      </c>
      <c r="L244" t="s">
        <v>168</v>
      </c>
    </row>
    <row r="245" spans="9:12" x14ac:dyDescent="0.45">
      <c r="I245" t="s">
        <v>195</v>
      </c>
      <c r="J245" t="s">
        <v>406</v>
      </c>
      <c r="K245">
        <v>0.30406905858930178</v>
      </c>
      <c r="L245" t="s">
        <v>168</v>
      </c>
    </row>
    <row r="246" spans="9:12" x14ac:dyDescent="0.45">
      <c r="I246" t="s">
        <v>195</v>
      </c>
      <c r="J246" t="s">
        <v>407</v>
      </c>
      <c r="K246">
        <v>1.4049287111119224E-2</v>
      </c>
      <c r="L246" t="s">
        <v>168</v>
      </c>
    </row>
    <row r="247" spans="9:12" x14ac:dyDescent="0.45">
      <c r="I247" t="s">
        <v>195</v>
      </c>
      <c r="J247" t="s">
        <v>408</v>
      </c>
      <c r="K247">
        <v>4.3147596818723925E-2</v>
      </c>
      <c r="L247" t="s">
        <v>168</v>
      </c>
    </row>
    <row r="248" spans="9:12" x14ac:dyDescent="0.45">
      <c r="I248" t="s">
        <v>195</v>
      </c>
      <c r="J248" t="s">
        <v>409</v>
      </c>
      <c r="K248">
        <v>0.14074044724008258</v>
      </c>
      <c r="L248" t="s">
        <v>168</v>
      </c>
    </row>
    <row r="249" spans="9:12" x14ac:dyDescent="0.45">
      <c r="I249" t="s">
        <v>195</v>
      </c>
      <c r="J249" t="s">
        <v>410</v>
      </c>
      <c r="K249">
        <v>0</v>
      </c>
      <c r="L249" t="s">
        <v>168</v>
      </c>
    </row>
    <row r="250" spans="9:12" x14ac:dyDescent="0.45">
      <c r="I250" t="s">
        <v>195</v>
      </c>
      <c r="J250" t="s">
        <v>411</v>
      </c>
      <c r="K250">
        <v>1.0144148762595593E-2</v>
      </c>
      <c r="L250" t="s">
        <v>168</v>
      </c>
    </row>
    <row r="251" spans="9:12" x14ac:dyDescent="0.45">
      <c r="I251" t="s">
        <v>196</v>
      </c>
      <c r="J251" t="s">
        <v>400</v>
      </c>
      <c r="K251">
        <v>0.19032578445101184</v>
      </c>
      <c r="L251" t="s">
        <v>168</v>
      </c>
    </row>
    <row r="252" spans="9:12" x14ac:dyDescent="0.45">
      <c r="I252" t="s">
        <v>196</v>
      </c>
      <c r="J252" t="s">
        <v>401</v>
      </c>
      <c r="K252">
        <v>6.1739575394274734E-5</v>
      </c>
      <c r="L252" t="s">
        <v>168</v>
      </c>
    </row>
    <row r="253" spans="9:12" x14ac:dyDescent="0.45">
      <c r="I253" t="s">
        <v>196</v>
      </c>
      <c r="J253" t="s">
        <v>402</v>
      </c>
      <c r="K253">
        <v>1.538982567422398E-2</v>
      </c>
      <c r="L253" t="s">
        <v>168</v>
      </c>
    </row>
    <row r="254" spans="9:12" x14ac:dyDescent="0.45">
      <c r="I254" t="s">
        <v>196</v>
      </c>
      <c r="J254" t="s">
        <v>403</v>
      </c>
      <c r="K254">
        <v>0.25094453699509345</v>
      </c>
      <c r="L254" t="s">
        <v>168</v>
      </c>
    </row>
    <row r="255" spans="9:12" x14ac:dyDescent="0.45">
      <c r="I255" t="s">
        <v>196</v>
      </c>
      <c r="J255" t="s">
        <v>404</v>
      </c>
      <c r="K255">
        <v>4.5595465710010132E-3</v>
      </c>
      <c r="L255" t="s">
        <v>168</v>
      </c>
    </row>
    <row r="256" spans="9:12" x14ac:dyDescent="0.45">
      <c r="I256" t="s">
        <v>196</v>
      </c>
      <c r="J256" t="s">
        <v>405</v>
      </c>
      <c r="K256">
        <v>3.2183848489497985E-2</v>
      </c>
      <c r="L256" t="s">
        <v>168</v>
      </c>
    </row>
    <row r="257" spans="9:12" x14ac:dyDescent="0.45">
      <c r="I257" t="s">
        <v>196</v>
      </c>
      <c r="J257" t="s">
        <v>406</v>
      </c>
      <c r="K257">
        <v>0.30266559473900595</v>
      </c>
      <c r="L257" t="s">
        <v>168</v>
      </c>
    </row>
    <row r="258" spans="9:12" x14ac:dyDescent="0.45">
      <c r="I258" t="s">
        <v>196</v>
      </c>
      <c r="J258" t="s">
        <v>407</v>
      </c>
      <c r="K258">
        <v>1.0818027951490105E-2</v>
      </c>
      <c r="L258" t="s">
        <v>168</v>
      </c>
    </row>
    <row r="259" spans="9:12" x14ac:dyDescent="0.45">
      <c r="I259" t="s">
        <v>196</v>
      </c>
      <c r="J259" t="s">
        <v>408</v>
      </c>
      <c r="K259">
        <v>3.970821087693762E-2</v>
      </c>
      <c r="L259" t="s">
        <v>168</v>
      </c>
    </row>
    <row r="260" spans="9:12" x14ac:dyDescent="0.45">
      <c r="I260" t="s">
        <v>196</v>
      </c>
      <c r="J260" t="s">
        <v>409</v>
      </c>
      <c r="K260">
        <v>0.14472939050644593</v>
      </c>
      <c r="L260" t="s">
        <v>168</v>
      </c>
    </row>
    <row r="261" spans="9:12" x14ac:dyDescent="0.45">
      <c r="I261" t="s">
        <v>196</v>
      </c>
      <c r="J261" t="s">
        <v>410</v>
      </c>
      <c r="K261">
        <v>0</v>
      </c>
      <c r="L261" t="s">
        <v>168</v>
      </c>
    </row>
    <row r="262" spans="9:12" x14ac:dyDescent="0.45">
      <c r="I262" t="s">
        <v>196</v>
      </c>
      <c r="J262" t="s">
        <v>411</v>
      </c>
      <c r="K262">
        <v>8.6134941698995295E-3</v>
      </c>
      <c r="L262" t="s">
        <v>168</v>
      </c>
    </row>
    <row r="263" spans="9:12" x14ac:dyDescent="0.45">
      <c r="I263" t="s">
        <v>197</v>
      </c>
      <c r="J263" t="s">
        <v>400</v>
      </c>
      <c r="K263">
        <v>0.17373175330920837</v>
      </c>
      <c r="L263" t="s">
        <v>168</v>
      </c>
    </row>
    <row r="264" spans="9:12" x14ac:dyDescent="0.45">
      <c r="I264" t="s">
        <v>197</v>
      </c>
      <c r="J264" t="s">
        <v>401</v>
      </c>
      <c r="K264">
        <v>5.8027138668197815E-4</v>
      </c>
      <c r="L264" t="s">
        <v>168</v>
      </c>
    </row>
    <row r="265" spans="9:12" x14ac:dyDescent="0.45">
      <c r="I265" t="s">
        <v>197</v>
      </c>
      <c r="J265" t="s">
        <v>402</v>
      </c>
      <c r="K265">
        <v>1.5335075506814986E-2</v>
      </c>
      <c r="L265" t="s">
        <v>168</v>
      </c>
    </row>
    <row r="266" spans="9:12" x14ac:dyDescent="0.45">
      <c r="I266" t="s">
        <v>197</v>
      </c>
      <c r="J266" t="s">
        <v>403</v>
      </c>
      <c r="K266">
        <v>0.24303559562652541</v>
      </c>
      <c r="L266" t="s">
        <v>168</v>
      </c>
    </row>
    <row r="267" spans="9:12" x14ac:dyDescent="0.45">
      <c r="I267" t="s">
        <v>197</v>
      </c>
      <c r="J267" t="s">
        <v>404</v>
      </c>
      <c r="K267">
        <v>5.9561318261120372E-3</v>
      </c>
      <c r="L267" t="s">
        <v>168</v>
      </c>
    </row>
    <row r="268" spans="9:12" x14ac:dyDescent="0.45">
      <c r="I268" t="s">
        <v>197</v>
      </c>
      <c r="J268" t="s">
        <v>405</v>
      </c>
      <c r="K268">
        <v>3.2454361733186173E-2</v>
      </c>
      <c r="L268" t="s">
        <v>168</v>
      </c>
    </row>
    <row r="269" spans="9:12" x14ac:dyDescent="0.45">
      <c r="I269" t="s">
        <v>197</v>
      </c>
      <c r="J269" t="s">
        <v>406</v>
      </c>
      <c r="K269">
        <v>0.32702702292029684</v>
      </c>
      <c r="L269" t="s">
        <v>168</v>
      </c>
    </row>
    <row r="270" spans="9:12" x14ac:dyDescent="0.45">
      <c r="I270" t="s">
        <v>197</v>
      </c>
      <c r="J270" t="s">
        <v>407</v>
      </c>
      <c r="K270">
        <v>1.5961383308455954E-2</v>
      </c>
      <c r="L270" t="s">
        <v>168</v>
      </c>
    </row>
    <row r="271" spans="9:12" x14ac:dyDescent="0.45">
      <c r="I271" t="s">
        <v>197</v>
      </c>
      <c r="J271" t="s">
        <v>408</v>
      </c>
      <c r="K271">
        <v>4.8285005012538261E-2</v>
      </c>
      <c r="L271" t="s">
        <v>168</v>
      </c>
    </row>
    <row r="272" spans="9:12" x14ac:dyDescent="0.45">
      <c r="I272" t="s">
        <v>197</v>
      </c>
      <c r="J272" t="s">
        <v>409</v>
      </c>
      <c r="K272">
        <v>0.13031924293960293</v>
      </c>
      <c r="L272" t="s">
        <v>168</v>
      </c>
    </row>
    <row r="273" spans="9:12" x14ac:dyDescent="0.45">
      <c r="I273" t="s">
        <v>197</v>
      </c>
      <c r="J273" t="s">
        <v>410</v>
      </c>
      <c r="K273">
        <v>0</v>
      </c>
      <c r="L273" t="s">
        <v>168</v>
      </c>
    </row>
    <row r="274" spans="9:12" x14ac:dyDescent="0.45">
      <c r="I274" t="s">
        <v>197</v>
      </c>
      <c r="J274" t="s">
        <v>411</v>
      </c>
      <c r="K274">
        <v>7.3141564305761785E-3</v>
      </c>
      <c r="L274" t="s">
        <v>168</v>
      </c>
    </row>
    <row r="275" spans="9:12" x14ac:dyDescent="0.45">
      <c r="I275" t="s">
        <v>198</v>
      </c>
      <c r="J275" t="s">
        <v>400</v>
      </c>
      <c r="K275">
        <v>0.18463760470986576</v>
      </c>
      <c r="L275" t="s">
        <v>168</v>
      </c>
    </row>
    <row r="276" spans="9:12" x14ac:dyDescent="0.45">
      <c r="I276" t="s">
        <v>198</v>
      </c>
      <c r="J276" t="s">
        <v>401</v>
      </c>
      <c r="K276">
        <v>2.5350956414119959E-4</v>
      </c>
      <c r="L276" t="s">
        <v>168</v>
      </c>
    </row>
    <row r="277" spans="9:12" x14ac:dyDescent="0.45">
      <c r="I277" t="s">
        <v>198</v>
      </c>
      <c r="J277" t="s">
        <v>402</v>
      </c>
      <c r="K277">
        <v>1.5695986236601029E-2</v>
      </c>
      <c r="L277" t="s">
        <v>168</v>
      </c>
    </row>
    <row r="278" spans="9:12" x14ac:dyDescent="0.45">
      <c r="I278" t="s">
        <v>198</v>
      </c>
      <c r="J278" t="s">
        <v>403</v>
      </c>
      <c r="K278">
        <v>0.24976478348863684</v>
      </c>
      <c r="L278" t="s">
        <v>168</v>
      </c>
    </row>
    <row r="279" spans="9:12" x14ac:dyDescent="0.45">
      <c r="I279" t="s">
        <v>198</v>
      </c>
      <c r="J279" t="s">
        <v>404</v>
      </c>
      <c r="K279">
        <v>5.0496227866211859E-3</v>
      </c>
      <c r="L279" t="s">
        <v>168</v>
      </c>
    </row>
    <row r="280" spans="9:12" x14ac:dyDescent="0.45">
      <c r="I280" t="s">
        <v>198</v>
      </c>
      <c r="J280" t="s">
        <v>405</v>
      </c>
      <c r="K280">
        <v>3.1351713824979179E-2</v>
      </c>
      <c r="L280" t="s">
        <v>168</v>
      </c>
    </row>
    <row r="281" spans="9:12" x14ac:dyDescent="0.45">
      <c r="I281" t="s">
        <v>198</v>
      </c>
      <c r="J281" t="s">
        <v>406</v>
      </c>
      <c r="K281">
        <v>0.31865427110722999</v>
      </c>
      <c r="L281" t="s">
        <v>168</v>
      </c>
    </row>
    <row r="282" spans="9:12" x14ac:dyDescent="0.45">
      <c r="I282" t="s">
        <v>198</v>
      </c>
      <c r="J282" t="s">
        <v>407</v>
      </c>
      <c r="K282">
        <v>1.4218543152904321E-2</v>
      </c>
      <c r="L282" t="s">
        <v>168</v>
      </c>
    </row>
    <row r="283" spans="9:12" x14ac:dyDescent="0.45">
      <c r="I283" t="s">
        <v>198</v>
      </c>
      <c r="J283" t="s">
        <v>408</v>
      </c>
      <c r="K283">
        <v>4.4474048952389808E-2</v>
      </c>
      <c r="L283" t="s">
        <v>168</v>
      </c>
    </row>
    <row r="284" spans="9:12" x14ac:dyDescent="0.45">
      <c r="I284" t="s">
        <v>198</v>
      </c>
      <c r="J284" t="s">
        <v>409</v>
      </c>
      <c r="K284">
        <v>0.12940443131465287</v>
      </c>
      <c r="L284" t="s">
        <v>168</v>
      </c>
    </row>
    <row r="285" spans="9:12" x14ac:dyDescent="0.45">
      <c r="I285" t="s">
        <v>198</v>
      </c>
      <c r="J285" t="s">
        <v>410</v>
      </c>
      <c r="K285">
        <v>0</v>
      </c>
      <c r="L285" t="s">
        <v>168</v>
      </c>
    </row>
    <row r="286" spans="9:12" x14ac:dyDescent="0.45">
      <c r="I286" t="s">
        <v>198</v>
      </c>
      <c r="J286" t="s">
        <v>411</v>
      </c>
      <c r="K286">
        <v>6.4954848619766161E-3</v>
      </c>
      <c r="L286" t="s">
        <v>168</v>
      </c>
    </row>
    <row r="287" spans="9:12" x14ac:dyDescent="0.45">
      <c r="I287" t="s">
        <v>199</v>
      </c>
      <c r="J287" t="s">
        <v>400</v>
      </c>
      <c r="K287">
        <v>0.17540246801005549</v>
      </c>
      <c r="L287" t="s">
        <v>168</v>
      </c>
    </row>
    <row r="288" spans="9:12" x14ac:dyDescent="0.45">
      <c r="I288" t="s">
        <v>199</v>
      </c>
      <c r="J288" t="s">
        <v>401</v>
      </c>
      <c r="K288">
        <v>6.558725268341766E-4</v>
      </c>
      <c r="L288" t="s">
        <v>168</v>
      </c>
    </row>
    <row r="289" spans="9:12" x14ac:dyDescent="0.45">
      <c r="I289" t="s">
        <v>199</v>
      </c>
      <c r="J289" t="s">
        <v>402</v>
      </c>
      <c r="K289">
        <v>1.6122952267671378E-2</v>
      </c>
      <c r="L289" t="s">
        <v>168</v>
      </c>
    </row>
    <row r="290" spans="9:12" x14ac:dyDescent="0.45">
      <c r="I290" t="s">
        <v>199</v>
      </c>
      <c r="J290" t="s">
        <v>403</v>
      </c>
      <c r="K290">
        <v>0.23993798986975123</v>
      </c>
      <c r="L290" t="s">
        <v>168</v>
      </c>
    </row>
    <row r="291" spans="9:12" x14ac:dyDescent="0.45">
      <c r="I291" t="s">
        <v>199</v>
      </c>
      <c r="J291" t="s">
        <v>404</v>
      </c>
      <c r="K291">
        <v>6.1790632618135425E-3</v>
      </c>
      <c r="L291" t="s">
        <v>168</v>
      </c>
    </row>
    <row r="292" spans="9:12" x14ac:dyDescent="0.45">
      <c r="I292" t="s">
        <v>199</v>
      </c>
      <c r="J292" t="s">
        <v>405</v>
      </c>
      <c r="K292">
        <v>3.3129334963457227E-2</v>
      </c>
      <c r="L292" t="s">
        <v>168</v>
      </c>
    </row>
    <row r="293" spans="9:12" x14ac:dyDescent="0.45">
      <c r="I293" t="s">
        <v>199</v>
      </c>
      <c r="J293" t="s">
        <v>406</v>
      </c>
      <c r="K293">
        <v>0.32844593274633355</v>
      </c>
      <c r="L293" t="s">
        <v>168</v>
      </c>
    </row>
    <row r="294" spans="9:12" x14ac:dyDescent="0.45">
      <c r="I294" t="s">
        <v>199</v>
      </c>
      <c r="J294" t="s">
        <v>407</v>
      </c>
      <c r="K294">
        <v>1.5812318275017473E-2</v>
      </c>
      <c r="L294" t="s">
        <v>168</v>
      </c>
    </row>
    <row r="295" spans="9:12" x14ac:dyDescent="0.45">
      <c r="I295" t="s">
        <v>199</v>
      </c>
      <c r="J295" t="s">
        <v>408</v>
      </c>
      <c r="K295">
        <v>4.5757653598531976E-2</v>
      </c>
      <c r="L295" t="s">
        <v>168</v>
      </c>
    </row>
    <row r="296" spans="9:12" x14ac:dyDescent="0.45">
      <c r="I296" t="s">
        <v>199</v>
      </c>
      <c r="J296" t="s">
        <v>409</v>
      </c>
      <c r="K296">
        <v>0.13037014071083297</v>
      </c>
      <c r="L296" t="s">
        <v>168</v>
      </c>
    </row>
    <row r="297" spans="9:12" x14ac:dyDescent="0.45">
      <c r="I297" t="s">
        <v>199</v>
      </c>
      <c r="J297" t="s">
        <v>410</v>
      </c>
      <c r="K297">
        <v>0</v>
      </c>
      <c r="L297" t="s">
        <v>168</v>
      </c>
    </row>
    <row r="298" spans="9:12" x14ac:dyDescent="0.45">
      <c r="I298" t="s">
        <v>199</v>
      </c>
      <c r="J298" t="s">
        <v>411</v>
      </c>
      <c r="K298">
        <v>8.1862737696997839E-3</v>
      </c>
      <c r="L298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Veda</vt:lpstr>
      <vt:lpstr>fuel_prices</vt:lpstr>
      <vt:lpstr>iea_data</vt:lpstr>
      <vt:lpstr>ar6_r10</vt:lpstr>
      <vt:lpstr>ev_charging_uc</vt:lpstr>
      <vt:lpstr>ts_012</vt:lpstr>
      <vt:lpstr>ts_048</vt:lpstr>
      <vt:lpstr>s1v1_d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2025-12-08T07:03:03Z</dcterms:modified>
</cp:coreProperties>
</file>