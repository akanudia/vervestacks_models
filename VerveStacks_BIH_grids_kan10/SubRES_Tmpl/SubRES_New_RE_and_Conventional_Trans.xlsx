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IH_grids_kan10\SubRES_Tmpl\"/>
    </mc:Choice>
  </mc:AlternateContent>
  <xr:revisionPtr revIDLastSave="0" documentId="8_{4265B1C5-E4C3-47B0-98E2-9646409BA61A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24" i="4"/>
</calcChain>
</file>

<file path=xl/sharedStrings.xml><?xml version="1.0" encoding="utf-8"?>
<sst xmlns="http://schemas.openxmlformats.org/spreadsheetml/2006/main" count="311" uniqueCount="106">
  <si>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</si>
  <si>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</si>
  <si>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</si>
  <si>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</si>
  <si>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</si>
  <si>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</si>
  <si>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</si>
  <si>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</si>
  <si>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</si>
  <si>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</si>
  <si>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</si>
  <si>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</si>
  <si>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</si>
  <si>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</si>
  <si>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</si>
  <si>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</si>
  <si>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</si>
  <si>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</si>
  <si>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</si>
  <si>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</si>
  <si>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</si>
  <si>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</si>
  <si>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</si>
  <si>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</si>
  <si>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</si>
  <si>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</si>
  <si>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</si>
  <si>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</si>
  <si>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</si>
  <si>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</si>
  <si>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</si>
  <si>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</si>
  <si>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region</t>
  </si>
  <si>
    <t>Hydropower - large-scale unit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</si>
  <si>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</si>
  <si>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</si>
  <si>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</si>
  <si>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</si>
  <si>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</si>
  <si>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</si>
  <si>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</si>
  <si>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</si>
  <si>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</si>
  <si>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</si>
  <si>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</si>
  <si>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</si>
  <si>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</si>
  <si>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</si>
  <si>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</si>
  <si>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</si>
  <si>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</si>
  <si>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</si>
  <si>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</si>
  <si>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</si>
  <si>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</si>
  <si>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</si>
  <si>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</si>
  <si>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</si>
  <si>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</si>
  <si>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</si>
  <si>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</si>
  <si>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</si>
  <si>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</si>
  <si>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</si>
  <si>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</si>
  <si>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</si>
  <si>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</si>
  <si>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</si>
  <si>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</si>
  <si>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</si>
  <si>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</si>
  <si>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</si>
  <si>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</si>
  <si>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pset_pn</t>
  </si>
  <si>
    <t>-*cofiring*</t>
  </si>
  <si>
    <t>-EFF</t>
  </si>
  <si>
    <t>en_biomass_cofiring*,en_geothermal*</t>
  </si>
  <si>
    <t>ELE,CHP,HPL</t>
  </si>
  <si>
    <t>BIH</t>
  </si>
  <si>
    <t>Sarajevo_BIH</t>
  </si>
  <si>
    <t>at grid node - Sarajevo_BIH</t>
  </si>
  <si>
    <t>en_gas_ccgt,en_gas_turbine,en_chp_gas_cc_ext,en_gas_ccs,en_coal_subcritical,en_coal_supercritical,en_coal_ultrasupercritical,en_coal_igcc,en_nuclear,en_nuclear_smr,en_biomass,en_chp_biomass_chips_ext,en_hop_gas_boiler,en_hop_biomass_chips,en_hop_electric_boiler,en_hp_air_10mw,en_chp_gas_cc_ext_ccs</t>
  </si>
  <si>
    <t>Bijeljina_BIH</t>
  </si>
  <si>
    <t>at grid node - Bijeljina_BIH</t>
  </si>
  <si>
    <t>Trebinje_BIH</t>
  </si>
  <si>
    <t>at grid node - Trebinje_BIH</t>
  </si>
  <si>
    <t>Prijedor_BIH</t>
  </si>
  <si>
    <t>at grid node - Prijedor_BIH</t>
  </si>
  <si>
    <t>Tuzla_BIH</t>
  </si>
  <si>
    <t>at grid node - Tuzla_BIH</t>
  </si>
  <si>
    <t>EN_STG8hbNREL,EN_STG4hbNREL</t>
  </si>
  <si>
    <t>Travnik_BIH</t>
  </si>
  <si>
    <t>at grid node - Travnik_BIH</t>
  </si>
  <si>
    <t>Mostar_BIH</t>
  </si>
  <si>
    <t>at grid node - Mostar_BIH</t>
  </si>
  <si>
    <t>SirokiBrijeg_BIH</t>
  </si>
  <si>
    <t>at grid node - SirokiBrijeg_BIH</t>
  </si>
  <si>
    <t>Bratunac_BIH</t>
  </si>
  <si>
    <t>at grid node - Bratunac_BIH</t>
  </si>
  <si>
    <t>e_demand,ev_battery,H2prd_Elc_PEM,H2prd_Elc_ALK</t>
  </si>
  <si>
    <t>Doboj_BIH</t>
  </si>
  <si>
    <t>at grid node - Doboj_BIH</t>
  </si>
  <si>
    <t>Orasje_BIH</t>
  </si>
  <si>
    <t>at grid node - Orasje_BIH</t>
  </si>
  <si>
    <t>h_demand</t>
  </si>
  <si>
    <t>en_hop_gas_boiler,en_hop_biomass_chips,en_hop_electric_boiler,en_hp_air_10mw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</si>
</sst>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Y21"/>
  <sheetViews>
    <sheetView workbookViewId="0">
      <selection activeCell="B10" sqref="B10"/>
    </sheetView>
  </sheetViews>
  <sheetFormatPr defaultRowHeight="14.25" x14ac:dyDescent="0.45"/>
  <sheetData>
    <row r="3" spans="2:25" x14ac:dyDescent="0.45">
      <c r="B3" t="s">
        <v>43</v>
      </c>
    </row>
    <row r="4" spans="2:25" x14ac:dyDescent="0.45">
      <c r="B4" t="s">
        <v>21</v>
      </c>
      <c r="C4" t="s">
        <v>45</v>
      </c>
    </row>
    <row r="5" spans="2:25" x14ac:dyDescent="0.45">
      <c r="B5" t="s">
        <v>44</v>
      </c>
      <c r="C5">
        <v>1</v>
      </c>
    </row>
    <row r="9" spans="2:25" x14ac:dyDescent="0.45">
      <c r="B9" t="s">
        <v>70</v>
      </c>
      <c r="G9" t="s">
        <v>70</v>
      </c>
      <c r="L9" t="s">
        <v>70</v>
      </c>
      <c r="Q9" t="s">
        <v>70</v>
      </c>
      <c r="V9" t="s">
        <v>70</v>
      </c>
    </row>
    <row r="10" spans="2:25" x14ac:dyDescent="0.45">
      <c r="B10" t="s">
        <v>32</v>
      </c>
      <c r="C10" t="s">
        <v>71</v>
      </c>
      <c r="D10" t="s">
        <v>72</v>
      </c>
      <c r="E10" t="s">
        <v>21</v>
      </c>
      <c r="G10" t="s">
        <v>32</v>
      </c>
      <c r="H10" t="s">
        <v>71</v>
      </c>
      <c r="I10" t="s">
        <v>72</v>
      </c>
      <c r="J10" t="s">
        <v>21</v>
      </c>
      <c r="L10" t="s">
        <v>32</v>
      </c>
      <c r="M10" t="s">
        <v>71</v>
      </c>
      <c r="N10" t="s">
        <v>72</v>
      </c>
      <c r="O10" t="s">
        <v>21</v>
      </c>
      <c r="Q10" t="s">
        <v>32</v>
      </c>
      <c r="R10" t="s">
        <v>71</v>
      </c>
      <c r="S10" t="s">
        <v>72</v>
      </c>
      <c r="T10" t="s">
        <v>21</v>
      </c>
      <c r="V10" t="s">
        <v>32</v>
      </c>
      <c r="W10" t="s">
        <v>71</v>
      </c>
      <c r="X10" t="s">
        <v>72</v>
      </c>
      <c r="Y10" t="s">
        <v>21</v>
      </c>
    </row>
    <row r="11" spans="2:25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79</v>
      </c>
      <c r="I11" t="s">
        <v>80</v>
      </c>
      <c r="J11" t="s">
        <v>90</v>
      </c>
      <c r="L11" t="s">
        <v>78</v>
      </c>
      <c r="M11" t="s">
        <v>86</v>
      </c>
      <c r="N11" t="s">
        <v>87</v>
      </c>
      <c r="O11" t="s">
        <v>99</v>
      </c>
      <c r="Q11" t="s">
        <v>78</v>
      </c>
      <c r="R11" t="s">
        <v>79</v>
      </c>
      <c r="S11" t="s">
        <v>80</v>
      </c>
      <c r="T11" t="s">
        <v>104</v>
      </c>
      <c r="V11" t="s">
        <v>78</v>
      </c>
      <c r="W11" t="s">
        <v>79</v>
      </c>
      <c r="X11" t="s">
        <v>80</v>
      </c>
      <c r="Y11" t="s">
        <v>105</v>
      </c>
    </row>
    <row r="12" spans="2:25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82</v>
      </c>
      <c r="I12" t="s">
        <v>83</v>
      </c>
      <c r="J12" t="s">
        <v>90</v>
      </c>
      <c r="L12" t="s">
        <v>78</v>
      </c>
      <c r="M12" t="s">
        <v>100</v>
      </c>
      <c r="N12" t="s">
        <v>101</v>
      </c>
      <c r="O12" t="s">
        <v>99</v>
      </c>
      <c r="Q12" t="s">
        <v>78</v>
      </c>
      <c r="R12" t="s">
        <v>88</v>
      </c>
      <c r="S12" t="s">
        <v>89</v>
      </c>
      <c r="T12" t="s">
        <v>104</v>
      </c>
      <c r="V12" t="s">
        <v>78</v>
      </c>
      <c r="W12" t="s">
        <v>88</v>
      </c>
      <c r="X12" t="s">
        <v>89</v>
      </c>
      <c r="Y12" t="s">
        <v>105</v>
      </c>
    </row>
    <row r="13" spans="2:25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84</v>
      </c>
      <c r="I13" t="s">
        <v>85</v>
      </c>
      <c r="J13" t="s">
        <v>90</v>
      </c>
      <c r="L13" t="s">
        <v>78</v>
      </c>
      <c r="M13" t="s">
        <v>95</v>
      </c>
      <c r="N13" t="s">
        <v>96</v>
      </c>
      <c r="O13" t="s">
        <v>99</v>
      </c>
    </row>
    <row r="14" spans="2:25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91</v>
      </c>
      <c r="I14" t="s">
        <v>92</v>
      </c>
      <c r="J14" t="s">
        <v>90</v>
      </c>
      <c r="L14" t="s">
        <v>78</v>
      </c>
      <c r="M14" t="s">
        <v>102</v>
      </c>
      <c r="N14" t="s">
        <v>103</v>
      </c>
      <c r="O14" t="s">
        <v>99</v>
      </c>
    </row>
    <row r="15" spans="2:25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86</v>
      </c>
      <c r="I15" t="s">
        <v>87</v>
      </c>
      <c r="J15" t="s">
        <v>90</v>
      </c>
      <c r="L15" t="s">
        <v>78</v>
      </c>
      <c r="M15" t="s">
        <v>91</v>
      </c>
      <c r="N15" t="s">
        <v>92</v>
      </c>
      <c r="O15" t="s">
        <v>99</v>
      </c>
    </row>
    <row r="16" spans="2:25" x14ac:dyDescent="0.45">
      <c r="G16" t="s">
        <v>78</v>
      </c>
      <c r="H16" t="s">
        <v>88</v>
      </c>
      <c r="I16" t="s">
        <v>89</v>
      </c>
      <c r="J16" t="s">
        <v>90</v>
      </c>
      <c r="L16" t="s">
        <v>78</v>
      </c>
      <c r="M16" t="s">
        <v>79</v>
      </c>
      <c r="N16" t="s">
        <v>80</v>
      </c>
      <c r="O16" t="s">
        <v>99</v>
      </c>
    </row>
    <row r="17" spans="7:15" x14ac:dyDescent="0.45">
      <c r="G17" t="s">
        <v>78</v>
      </c>
      <c r="H17" t="s">
        <v>93</v>
      </c>
      <c r="I17" t="s">
        <v>94</v>
      </c>
      <c r="J17" t="s">
        <v>90</v>
      </c>
      <c r="L17" t="s">
        <v>78</v>
      </c>
      <c r="M17" t="s">
        <v>93</v>
      </c>
      <c r="N17" t="s">
        <v>94</v>
      </c>
      <c r="O17" t="s">
        <v>99</v>
      </c>
    </row>
    <row r="18" spans="7:15" x14ac:dyDescent="0.45">
      <c r="G18" t="s">
        <v>78</v>
      </c>
      <c r="H18" t="s">
        <v>95</v>
      </c>
      <c r="I18" t="s">
        <v>96</v>
      </c>
      <c r="J18" t="s">
        <v>90</v>
      </c>
      <c r="L18" t="s">
        <v>78</v>
      </c>
      <c r="M18" t="s">
        <v>97</v>
      </c>
      <c r="N18" t="s">
        <v>98</v>
      </c>
      <c r="O18" t="s">
        <v>99</v>
      </c>
    </row>
    <row r="19" spans="7:15" x14ac:dyDescent="0.45">
      <c r="G19" t="s">
        <v>78</v>
      </c>
      <c r="H19" t="s">
        <v>97</v>
      </c>
      <c r="I19" t="s">
        <v>98</v>
      </c>
      <c r="J19" t="s">
        <v>90</v>
      </c>
      <c r="L19" t="s">
        <v>78</v>
      </c>
      <c r="M19" t="s">
        <v>88</v>
      </c>
      <c r="N19" t="s">
        <v>89</v>
      </c>
      <c r="O19" t="s">
        <v>99</v>
      </c>
    </row>
    <row r="20" spans="7:15" x14ac:dyDescent="0.45">
      <c r="L20" t="s">
        <v>78</v>
      </c>
      <c r="M20" t="s">
        <v>82</v>
      </c>
      <c r="N20" t="s">
        <v>83</v>
      </c>
      <c r="O20" t="s">
        <v>99</v>
      </c>
    </row>
    <row r="21" spans="7:15" x14ac:dyDescent="0.45">
      <c r="L21" t="s">
        <v>78</v>
      </c>
      <c r="M21" t="s">
        <v>84</v>
      </c>
      <c r="N21" t="s">
        <v>85</v>
      </c>
      <c r="O2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"/>
  <sheetViews>
    <sheetView workbookViewId="0">
      <selection sqref="A1:O13"/>
    </sheetView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workbookViewId="0">
      <selection activeCell="C30" sqref="C30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42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42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42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42</v>
      </c>
      <c r="G10">
        <v>20</v>
      </c>
      <c r="P10" t="s">
        <v>37</v>
      </c>
    </row>
    <row r="11" spans="3:24" x14ac:dyDescent="0.45">
      <c r="D11" t="s">
        <v>6</v>
      </c>
      <c r="E11" t="s">
        <v>47</v>
      </c>
      <c r="G11" s="1">
        <v>8.76</v>
      </c>
      <c r="P11" t="s">
        <v>25</v>
      </c>
      <c r="Q11">
        <v>2023</v>
      </c>
      <c r="R11">
        <v>2030</v>
      </c>
      <c r="S11">
        <v>2050</v>
      </c>
      <c r="T11" t="s">
        <v>21</v>
      </c>
    </row>
    <row r="12" spans="3:24" x14ac:dyDescent="0.45">
      <c r="P12" s="2" t="s">
        <v>27</v>
      </c>
      <c r="Q12" s="2">
        <v>2494</v>
      </c>
      <c r="R12" s="2">
        <v>2494</v>
      </c>
      <c r="S12" s="2">
        <v>2494</v>
      </c>
      <c r="T12" t="s">
        <v>19</v>
      </c>
    </row>
    <row r="13" spans="3:24" x14ac:dyDescent="0.45">
      <c r="C13" t="s">
        <v>4</v>
      </c>
      <c r="P13" s="2" t="s">
        <v>30</v>
      </c>
      <c r="Q13" s="2">
        <v>61</v>
      </c>
      <c r="R13" s="2">
        <v>61</v>
      </c>
      <c r="S13" s="2">
        <v>61</v>
      </c>
      <c r="T13" t="s">
        <v>19</v>
      </c>
      <c r="W13" t="s">
        <v>33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31</v>
      </c>
      <c r="Q14" s="2">
        <v>4</v>
      </c>
      <c r="R14" s="2">
        <v>4</v>
      </c>
      <c r="S14" s="2">
        <v>4</v>
      </c>
      <c r="T14" t="s">
        <v>19</v>
      </c>
      <c r="W14" t="s">
        <v>34</v>
      </c>
      <c r="X14" t="s">
        <v>42</v>
      </c>
    </row>
    <row r="15" spans="3:24" x14ac:dyDescent="0.45">
      <c r="C15" t="s">
        <v>11</v>
      </c>
      <c r="D15" t="s">
        <v>12</v>
      </c>
      <c r="E15" t="s">
        <v>39</v>
      </c>
      <c r="F15">
        <v>0</v>
      </c>
      <c r="G15">
        <v>3</v>
      </c>
      <c r="P15" s="2" t="s">
        <v>27</v>
      </c>
      <c r="Q15" s="2">
        <v>715</v>
      </c>
      <c r="R15" s="2">
        <v>566</v>
      </c>
      <c r="S15" s="2">
        <v>367</v>
      </c>
      <c r="T15" t="s">
        <v>42</v>
      </c>
      <c r="W15" t="s">
        <v>35</v>
      </c>
      <c r="X15" t="s">
        <v>40</v>
      </c>
    </row>
    <row r="16" spans="3:24" x14ac:dyDescent="0.45">
      <c r="D16" t="s">
        <v>6</v>
      </c>
      <c r="E16" t="s">
        <v>39</v>
      </c>
      <c r="G16" s="1">
        <v>8.76</v>
      </c>
      <c r="P16" s="2" t="s">
        <v>30</v>
      </c>
      <c r="Q16" s="2">
        <v>11</v>
      </c>
      <c r="R16" s="2">
        <v>10</v>
      </c>
      <c r="S16" s="2">
        <v>9</v>
      </c>
      <c r="T16" t="s">
        <v>42</v>
      </c>
      <c r="W16" t="s">
        <v>36</v>
      </c>
      <c r="X16" t="s">
        <v>41</v>
      </c>
    </row>
    <row r="17" spans="3:24" x14ac:dyDescent="0.45">
      <c r="D17" t="s">
        <v>13</v>
      </c>
      <c r="E17" t="s">
        <v>40</v>
      </c>
      <c r="G17">
        <v>4</v>
      </c>
      <c r="P17" s="2" t="s">
        <v>31</v>
      </c>
      <c r="Q17" s="2">
        <v>1.5</v>
      </c>
      <c r="R17" s="2">
        <v>1.5</v>
      </c>
      <c r="S17" s="2">
        <v>1.5</v>
      </c>
      <c r="T17" t="s">
        <v>42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13</v>
      </c>
      <c r="E18" t="s">
        <v>41</v>
      </c>
      <c r="G18">
        <v>2</v>
      </c>
      <c r="P18" s="2" t="s">
        <v>27</v>
      </c>
      <c r="Q18" s="2">
        <v>3256</v>
      </c>
      <c r="R18" s="2">
        <v>2660</v>
      </c>
      <c r="S18" s="2">
        <v>1863</v>
      </c>
      <c r="T18" t="s">
        <v>40</v>
      </c>
      <c r="W18" t="str">
        <f t="shared" ref="W18" si="1">W14</f>
        <v>Solar photovoltaics - Large scale unit</v>
      </c>
      <c r="X18" t="str">
        <f t="shared" si="0"/>
        <v>E[_]SPV*</v>
      </c>
    </row>
    <row r="19" spans="3:24" x14ac:dyDescent="0.45">
      <c r="D19" t="s">
        <v>7</v>
      </c>
      <c r="E19" t="s">
        <v>39</v>
      </c>
      <c r="G19">
        <v>30</v>
      </c>
      <c r="P19" s="2" t="s">
        <v>30</v>
      </c>
      <c r="Q19" s="2">
        <v>66</v>
      </c>
      <c r="R19" s="2">
        <v>56</v>
      </c>
      <c r="S19" s="2">
        <v>42</v>
      </c>
      <c r="T19" t="s">
        <v>40</v>
      </c>
      <c r="W19" t="str">
        <f t="shared" ref="W19" si="2">W15</f>
        <v>Wind offshore</v>
      </c>
      <c r="X19" t="str">
        <f t="shared" si="0"/>
        <v>E[_]WOF*</v>
      </c>
    </row>
    <row r="20" spans="3:24" x14ac:dyDescent="0.45">
      <c r="D20" t="s">
        <v>8</v>
      </c>
      <c r="E20" t="s">
        <v>39</v>
      </c>
      <c r="G20">
        <v>1</v>
      </c>
      <c r="P20" s="2" t="s">
        <v>31</v>
      </c>
      <c r="Q20" s="2">
        <v>3</v>
      </c>
      <c r="R20" s="2">
        <v>3</v>
      </c>
      <c r="S20" s="2">
        <v>3</v>
      </c>
      <c r="T20" t="s">
        <v>40</v>
      </c>
      <c r="W20" t="str">
        <f t="shared" ref="W20" si="3">W16</f>
        <v>Wind onshore</v>
      </c>
      <c r="X20" t="str">
        <f t="shared" si="0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27</v>
      </c>
      <c r="Q21" s="2">
        <v>1524</v>
      </c>
      <c r="R21" s="2">
        <v>1483</v>
      </c>
      <c r="S21" s="2">
        <v>1421</v>
      </c>
      <c r="T21" t="s">
        <v>41</v>
      </c>
      <c r="W21" t="str">
        <f t="shared" ref="W21" si="4">W17</f>
        <v>Hydropower - large-scale unit</v>
      </c>
      <c r="X21" t="str">
        <f t="shared" si="0"/>
        <v>EN[_]Hydro*</v>
      </c>
    </row>
    <row r="22" spans="3:24" x14ac:dyDescent="0.45">
      <c r="D22" t="s">
        <v>10</v>
      </c>
      <c r="E22" t="s">
        <v>39</v>
      </c>
      <c r="G22">
        <v>20</v>
      </c>
      <c r="P22" s="2" t="s">
        <v>30</v>
      </c>
      <c r="Q22" s="2">
        <v>38</v>
      </c>
      <c r="R22" s="2">
        <v>38</v>
      </c>
      <c r="S22" s="2">
        <v>36</v>
      </c>
      <c r="T22" t="s">
        <v>41</v>
      </c>
      <c r="W22" t="str">
        <f t="shared" ref="W22" si="5">W18</f>
        <v>Solar photovoltaics - Large scale unit</v>
      </c>
      <c r="X22" t="str">
        <f t="shared" si="0"/>
        <v>E[_]SPV*</v>
      </c>
    </row>
    <row r="23" spans="3:24" x14ac:dyDescent="0.45">
      <c r="P23" s="2" t="s">
        <v>31</v>
      </c>
      <c r="Q23" s="2">
        <v>1.5</v>
      </c>
      <c r="R23" s="2">
        <v>1.5</v>
      </c>
      <c r="S23" s="2">
        <v>1.5</v>
      </c>
      <c r="T23" t="s">
        <v>41</v>
      </c>
      <c r="W23" t="str">
        <f t="shared" ref="W23" si="6">W19</f>
        <v>Wind offshore</v>
      </c>
      <c r="X23" t="str">
        <f t="shared" si="0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ref="T18:T24" si="7">T20</f>
        <v>E[_]WOF*</v>
      </c>
      <c r="W24" t="str">
        <f t="shared" ref="W24" si="8">W20</f>
        <v>Wind onshore</v>
      </c>
      <c r="X24" t="str">
        <f t="shared" si="0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51</v>
      </c>
    </row>
    <row r="29" spans="3:24" x14ac:dyDescent="0.45">
      <c r="C29" t="s">
        <v>77</v>
      </c>
      <c r="D29" t="s">
        <v>6</v>
      </c>
      <c r="G29" s="1">
        <v>8.76</v>
      </c>
    </row>
    <row r="30" spans="3:24" x14ac:dyDescent="0.45">
      <c r="C30" t="s">
        <v>38</v>
      </c>
      <c r="D30" t="s">
        <v>8</v>
      </c>
      <c r="G30" s="1">
        <v>1</v>
      </c>
      <c r="H30" s="3" t="s">
        <v>75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38</v>
      </c>
      <c r="D36" t="s">
        <v>69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46</v>
      </c>
      <c r="E41" t="s">
        <v>24</v>
      </c>
    </row>
    <row r="42" spans="3:7" x14ac:dyDescent="0.45">
      <c r="C42" t="s">
        <v>15</v>
      </c>
      <c r="D42" t="s">
        <v>59</v>
      </c>
      <c r="E42" t="s">
        <v>24</v>
      </c>
    </row>
    <row r="43" spans="3:7" x14ac:dyDescent="0.45">
      <c r="C43" t="s">
        <v>42</v>
      </c>
      <c r="D43" t="s">
        <v>48</v>
      </c>
      <c r="E43" t="s">
        <v>24</v>
      </c>
    </row>
    <row r="44" spans="3:7" x14ac:dyDescent="0.45">
      <c r="C44" t="s">
        <v>40</v>
      </c>
      <c r="D44" t="s">
        <v>57</v>
      </c>
      <c r="E44" t="s">
        <v>24</v>
      </c>
    </row>
    <row r="45" spans="3:7" x14ac:dyDescent="0.45">
      <c r="C45" t="s">
        <v>41</v>
      </c>
      <c r="D45" t="s">
        <v>58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51</v>
      </c>
      <c r="F49" t="s">
        <v>73</v>
      </c>
      <c r="G49" t="s">
        <v>50</v>
      </c>
    </row>
    <row r="50" spans="3:13" x14ac:dyDescent="0.45">
      <c r="C50" t="s">
        <v>49</v>
      </c>
      <c r="D50">
        <v>2025</v>
      </c>
      <c r="E50" s="3" t="s">
        <v>52</v>
      </c>
      <c r="F50" s="3" t="s">
        <v>74</v>
      </c>
      <c r="G50" t="s">
        <v>53</v>
      </c>
    </row>
    <row r="51" spans="3:13" x14ac:dyDescent="0.45">
      <c r="C51" t="s">
        <v>54</v>
      </c>
      <c r="D51">
        <v>40</v>
      </c>
      <c r="E51" s="3" t="s">
        <v>55</v>
      </c>
      <c r="G51" t="s">
        <v>56</v>
      </c>
    </row>
    <row r="52" spans="3:13" x14ac:dyDescent="0.45">
      <c r="C52" t="s">
        <v>49</v>
      </c>
      <c r="D52">
        <v>2100</v>
      </c>
      <c r="F52" t="s">
        <v>76</v>
      </c>
    </row>
    <row r="55" spans="3:13" x14ac:dyDescent="0.45">
      <c r="C55" t="s">
        <v>37</v>
      </c>
    </row>
    <row r="56" spans="3:13" x14ac:dyDescent="0.45">
      <c r="C56" t="s">
        <v>25</v>
      </c>
      <c r="D56" t="s">
        <v>60</v>
      </c>
      <c r="E56" t="s">
        <v>50</v>
      </c>
      <c r="F56" t="s">
        <v>21</v>
      </c>
      <c r="G56" t="s">
        <v>51</v>
      </c>
      <c r="H56">
        <v>0</v>
      </c>
      <c r="I56">
        <v>2022</v>
      </c>
      <c r="J56">
        <v>2030</v>
      </c>
      <c r="K56" t="s">
        <v>61</v>
      </c>
      <c r="L56" t="s">
        <v>62</v>
      </c>
      <c r="M56" t="s">
        <v>22</v>
      </c>
    </row>
    <row r="57" spans="3:13" x14ac:dyDescent="0.45">
      <c r="C57" t="s">
        <v>63</v>
      </c>
      <c r="E57" t="s">
        <v>64</v>
      </c>
      <c r="F57" t="s">
        <v>67</v>
      </c>
      <c r="I57">
        <v>0.95</v>
      </c>
      <c r="L57" t="s">
        <v>65</v>
      </c>
      <c r="M57" t="s">
        <v>66</v>
      </c>
    </row>
    <row r="58" spans="3:13" x14ac:dyDescent="0.45">
      <c r="C58" t="s">
        <v>63</v>
      </c>
      <c r="E58" t="s">
        <v>68</v>
      </c>
      <c r="F58" t="s">
        <v>67</v>
      </c>
      <c r="I58">
        <v>0.85</v>
      </c>
      <c r="L58" t="s">
        <v>65</v>
      </c>
      <c r="M58" t="s">
        <v>66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2026-08-27T07:50:26Z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