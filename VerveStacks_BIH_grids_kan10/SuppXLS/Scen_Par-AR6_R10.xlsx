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IH_grids_kan10\SuppXLS\"/>
    </mc:Choice>
  </mc:AlternateContent>
  <xr:revisionPtr revIDLastSave="0" documentId="13_ncr:1_{5BA25B25-1F15-4BC7-B4D7-2B755DBA863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S24" i="1"/>
  <c r="S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<sst xmlns="http://schemas.openxmlformats.org/spreadsheetml/2006/main" count="1700" uniqueCount="108">
  <si>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</si>
  <si>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</si>
  <si>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</si>
  <si>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</si>
  <si>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</si>
  <si>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</si>
  <si>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</si>
  <si>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</si>
  <si>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</si>
  <si>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</si>
  <si>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</si>
  <si>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</si>
  <si>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</si>
  <si>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</si>
  <si>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</si>
  <si>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</si>
  <si>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</si>
  <si>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</si>
  <si>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</si>
  <si>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</si>
  <si>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</si>
  <si>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</si>
  <si>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</si>
  <si>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</si>
  <si>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</si>
  <si>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</si>
  <si>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</si>
  <si>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</si>
  <si>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</si>
  <si>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</si>
  <si>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</si>
  <si>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</si>
  <si>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</si>
  <si>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</si>
  <si>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</si>
  <si>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</si>
  <si>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</si>
  <si>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</si>
  <si>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</si>
  <si>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</si>
  <si>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</si>
  <si>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</si>
  <si>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</si>
  <si>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</si>
  <si>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</si>
  <si>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</si>
  <si>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</si>
  <si>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</si>
  <si>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</si>
  <si>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</si>
  <si>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</si>
  <si>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</si>
  <si>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</si>
  <si>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</si>
  <si>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</si>
  <si>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</si>
  <si>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</si>
  <si>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</si>
  <si>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</si>
  <si>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</si>
  <si>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</si>
  <si>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</si>
  <si>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</si>
  <si>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</si>
  <si>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</si>
  <si>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</si>
  <si>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</si>
  <si>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</si>
  <si>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</si>
  <si>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</si>
  <si>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</si>
  <si>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</si>
  <si>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</si>
  <si>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</si>
  <si>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</si>
  <si>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</si>
  <si>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</si>
  <si>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</si>
  <si>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</si>
  <si>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</si>
  <si>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</si>
  <si>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</si>
  <si>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</si>
  <si>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</si>
  <si>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</si>
  <si>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</si>
  <si>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</si>
  <si>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</si>
  <si>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</si>
  <si>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</si>
  <si>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</si>
  <si>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</si>
  <si>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</si>
  <si>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</si>
  <si>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</si>
  <si>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</si>
  <si>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</si>
  <si>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</si>
  <si>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</si>
  <si>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</si>
  <si>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</si>
  <si>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</si>
  <si>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</si>
  <si>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</si>
  <si>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BIH</t>
  </si>
  <si>
    <t>~tfm_ins-ts: region=BIH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</si>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</sst>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13.32</c:v>
                </c:pt>
                <c:pt idx="1">
                  <c:v>13.986000000000001</c:v>
                </c:pt>
                <c:pt idx="2">
                  <c:v>15.584399999999999</c:v>
                </c:pt>
                <c:pt idx="3">
                  <c:v>17.1828</c:v>
                </c:pt>
                <c:pt idx="4">
                  <c:v>18.914400000000001</c:v>
                </c:pt>
                <c:pt idx="5">
                  <c:v>21.178800000000003</c:v>
                </c:pt>
                <c:pt idx="6">
                  <c:v>23.043600000000001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104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13.32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0.01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1.44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13.32</v>
      </c>
      <c r="P15" s="8">
        <f t="shared" ref="P15:U15" si="0">$N$11*E15</f>
        <v>13.986000000000001</v>
      </c>
      <c r="Q15" s="8">
        <f t="shared" si="0"/>
        <v>15.584399999999999</v>
      </c>
      <c r="R15" s="8">
        <f t="shared" si="0"/>
        <v>17.1828</v>
      </c>
      <c r="S15" s="8">
        <f t="shared" si="0"/>
        <v>18.914400000000001</v>
      </c>
      <c r="T15" s="8">
        <f t="shared" si="0"/>
        <v>21.178800000000003</v>
      </c>
      <c r="U15" s="8">
        <f t="shared" si="0"/>
        <v>23.043600000000001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region=BIH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4.9283999999999999</v>
      </c>
      <c r="P20" s="6">
        <f t="shared" si="2"/>
        <v>4.8951000000000002</v>
      </c>
      <c r="Q20" s="6">
        <f t="shared" si="2"/>
        <v>5.2986959999999996</v>
      </c>
      <c r="R20" s="6">
        <f t="shared" si="2"/>
        <v>5.6703240000000008</v>
      </c>
      <c r="S20" s="6">
        <f t="shared" si="2"/>
        <v>5.6743199999999998</v>
      </c>
      <c r="T20" s="6">
        <f t="shared" si="2"/>
        <v>6.1418520000000001</v>
      </c>
      <c r="U20" s="6">
        <f t="shared" si="2"/>
        <v>6.9130799999999999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7.8587999999999996</v>
      </c>
      <c r="P21" s="6">
        <f t="shared" si="2"/>
        <v>8.2517399999999999</v>
      </c>
      <c r="Q21" s="6">
        <f t="shared" si="2"/>
        <v>9.1947959999999984</v>
      </c>
      <c r="R21" s="6">
        <f t="shared" si="2"/>
        <v>9.9660239999999991</v>
      </c>
      <c r="S21" s="6">
        <f t="shared" si="2"/>
        <v>10.970352</v>
      </c>
      <c r="T21" s="6">
        <f t="shared" si="2"/>
        <v>11.860128000000003</v>
      </c>
      <c r="U21" s="6">
        <f t="shared" si="2"/>
        <v>12.443544000000001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0.39960000000000001</v>
      </c>
      <c r="P22" s="6">
        <f t="shared" ref="P22:U22" si="3">O22</f>
        <v>0.39960000000000001</v>
      </c>
      <c r="Q22" s="6">
        <f t="shared" si="3"/>
        <v>0.39960000000000001</v>
      </c>
      <c r="R22" s="6">
        <f t="shared" si="3"/>
        <v>0.39960000000000001</v>
      </c>
      <c r="S22" s="6">
        <f t="shared" si="3"/>
        <v>0.39960000000000001</v>
      </c>
      <c r="T22" s="6">
        <f t="shared" si="3"/>
        <v>0.39960000000000001</v>
      </c>
      <c r="U22" s="6">
        <f t="shared" si="3"/>
        <v>0.39960000000000001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0.13320000000000221</v>
      </c>
      <c r="P23" s="6">
        <f t="shared" si="4"/>
        <v>0.43956000000000017</v>
      </c>
      <c r="Q23" s="6">
        <f t="shared" si="4"/>
        <v>0.69130800000000114</v>
      </c>
      <c r="R23" s="6">
        <f t="shared" si="4"/>
        <v>1.1468519999999991</v>
      </c>
      <c r="S23" s="6">
        <f t="shared" si="4"/>
        <v>1.8701280000000011</v>
      </c>
      <c r="T23" s="6">
        <f t="shared" si="4"/>
        <v>2.7772199999999998</v>
      </c>
      <c r="U23" s="6">
        <f t="shared" si="4"/>
        <v>3.2873760000000019</v>
      </c>
      <c r="V23" t="s">
        <v>16</v>
      </c>
    </row>
    <row r="24" spans="2:24" x14ac:dyDescent="0.45">
      <c r="N24" s="18" t="s">
        <v>102</v>
      </c>
      <c r="O24" s="19">
        <f>N12</f>
        <v>0.01</v>
      </c>
      <c r="P24" s="20">
        <f>$N$12*E16</f>
        <v>9.7999999999999997E-3</v>
      </c>
      <c r="Q24" s="20">
        <f>$N$12*F16</f>
        <v>9.5999999999999992E-3</v>
      </c>
      <c r="R24" s="20">
        <f t="shared" ref="R24:U24" si="5">$N$12*G16</f>
        <v>9.1999999999999998E-3</v>
      </c>
      <c r="S24" s="20">
        <f t="shared" si="5"/>
        <v>8.3999999999999995E-3</v>
      </c>
      <c r="T24" s="20">
        <f t="shared" si="5"/>
        <v>8.3000000000000001E-3</v>
      </c>
      <c r="U24" s="20">
        <f t="shared" si="5"/>
        <v>8.0000000000000002E-3</v>
      </c>
      <c r="V24" s="18" t="s">
        <v>16</v>
      </c>
    </row>
    <row r="25" spans="2:24" x14ac:dyDescent="0.45">
      <c r="N25" s="18" t="s">
        <v>103</v>
      </c>
      <c r="O25" s="19">
        <f>N13</f>
        <v>1.44</v>
      </c>
      <c r="P25" s="20">
        <f>$N$13*E16</f>
        <v>1.4112</v>
      </c>
      <c r="Q25" s="20">
        <f t="shared" ref="Q25:U25" si="6">$N$13*F16</f>
        <v>1.3823999999999999</v>
      </c>
      <c r="R25" s="20">
        <f t="shared" si="6"/>
        <v>1.3248</v>
      </c>
      <c r="S25" s="20">
        <f t="shared" si="6"/>
        <v>1.2096</v>
      </c>
      <c r="T25" s="20">
        <f t="shared" si="6"/>
        <v>1.1951999999999998</v>
      </c>
      <c r="U25" s="20">
        <f t="shared" si="6"/>
        <v>1.1519999999999999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region=BIH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3.83</v>
      </c>
      <c r="N30" t="s">
        <v>30</v>
      </c>
      <c r="O30" s="3">
        <f>L30</f>
        <v>3.83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-6.86</v>
      </c>
      <c r="N31" t="s">
        <v>33</v>
      </c>
      <c r="O31" s="3">
        <f>-1*L31</f>
        <v>6.86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region=BIH;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 t="e">
        <f t="shared" ref="D47:J50" si="9">AVERAGE($M47:$N47)*D39</f>
        <v>#N/A</v>
      </c>
      <c r="E47" t="e">
        <f t="shared" si="9"/>
        <v>#N/A</v>
      </c>
      <c r="F47" t="e">
        <f t="shared" si="9"/>
        <v>#N/A</v>
      </c>
      <c r="G47" t="e">
        <f t="shared" si="9"/>
        <v>#N/A</v>
      </c>
      <c r="H47" t="e">
        <f t="shared" si="9"/>
        <v>#N/A</v>
      </c>
      <c r="I47" t="e">
        <f t="shared" si="9"/>
        <v>#N/A</v>
      </c>
      <c r="J47" t="e">
        <f t="shared" si="9"/>
        <v>#N/A</v>
      </c>
      <c r="M47" t="e">
        <f>HLOOKUP($B47&amp;"_"&amp;M$46,fuel_prices!$B$10:$I$100,MATCH($A$1,fuel_prices!$A$10:$A$100,0),FALSE)</f>
        <v>#N/A</v>
      </c>
      <c r="N47" t="e">
        <f>HLOOKUP($B47&amp;"_"&amp;N$46,fuel_prices!$B$10:$I$100,MATCH($A$1,fuel_prices!$A$10:$A$100,0),FALSE)</f>
        <v>#N/A</v>
      </c>
    </row>
    <row r="48" spans="2:14" x14ac:dyDescent="0.45">
      <c r="B48" t="s">
        <v>77</v>
      </c>
      <c r="C48" t="str">
        <f t="shared" ref="C48:C50" si="10">B48</f>
        <v>Coal</v>
      </c>
      <c r="D48" t="e">
        <f t="shared" si="9"/>
        <v>#N/A</v>
      </c>
      <c r="E48" t="e">
        <f t="shared" si="9"/>
        <v>#N/A</v>
      </c>
      <c r="F48" t="e">
        <f t="shared" si="9"/>
        <v>#N/A</v>
      </c>
      <c r="G48" t="e">
        <f t="shared" si="9"/>
        <v>#N/A</v>
      </c>
      <c r="H48" t="e">
        <f t="shared" si="9"/>
        <v>#N/A</v>
      </c>
      <c r="I48" t="e">
        <f t="shared" si="9"/>
        <v>#N/A</v>
      </c>
      <c r="J48" t="e">
        <f t="shared" si="9"/>
        <v>#N/A</v>
      </c>
      <c r="M48" t="e">
        <f>HLOOKUP($B48&amp;"_"&amp;M$46,fuel_prices!$B$10:$I$100,MATCH($A$1,fuel_prices!$A$10:$A$100,0),FALSE)</f>
        <v>#N/A</v>
      </c>
      <c r="N48" t="e">
        <f>HLOOKUP($B48&amp;"_"&amp;N$46,fuel_prices!$B$10:$I$100,MATCH($A$1,fuel_prices!$A$10:$A$100,0),FALSE)</f>
        <v>#N/A</v>
      </c>
    </row>
    <row r="49" spans="1:14" x14ac:dyDescent="0.45">
      <c r="B49" t="s">
        <v>78</v>
      </c>
      <c r="C49" t="str">
        <f t="shared" si="10"/>
        <v>Oil</v>
      </c>
      <c r="D49" t="e">
        <f t="shared" si="9"/>
        <v>#N/A</v>
      </c>
      <c r="E49" t="e">
        <f t="shared" si="9"/>
        <v>#N/A</v>
      </c>
      <c r="F49" t="e">
        <f t="shared" si="9"/>
        <v>#N/A</v>
      </c>
      <c r="G49" t="e">
        <f t="shared" si="9"/>
        <v>#N/A</v>
      </c>
      <c r="H49" t="e">
        <f t="shared" si="9"/>
        <v>#N/A</v>
      </c>
      <c r="I49" t="e">
        <f t="shared" si="9"/>
        <v>#N/A</v>
      </c>
      <c r="J49" t="e">
        <f t="shared" si="9"/>
        <v>#N/A</v>
      </c>
      <c r="M49" t="e">
        <f>HLOOKUP($B49&amp;"_"&amp;M$46,fuel_prices!$B$10:$I$100,MATCH($A$1,fuel_prices!$A$10:$A$100,0),FALSE)</f>
        <v>#N/A</v>
      </c>
      <c r="N49" t="e">
        <f>HLOOKUP($B49&amp;"_"&amp;N$46,fuel_prices!$B$10:$I$100,MATCH($A$1,fuel_prices!$A$10:$A$100,0),FALSE)</f>
        <v>#N/A</v>
      </c>
    </row>
    <row r="50" spans="1:14" x14ac:dyDescent="0.45">
      <c r="B50" t="s">
        <v>79</v>
      </c>
      <c r="C50" t="str">
        <f t="shared" si="10"/>
        <v>Bioenergy</v>
      </c>
      <c r="D50" t="e">
        <f t="shared" si="9"/>
        <v>#N/A</v>
      </c>
      <c r="J50" t="e">
        <f>VLOOKUP($C$15,$AF$9:$AH$16,3,FALSE)*D50</f>
        <v>#N/A</v>
      </c>
      <c r="M50" t="e">
        <f>HLOOKUP($B50&amp;"_"&amp;M$46,fuel_prices!$B$10:$I$100,MATCH($A$1,fuel_prices!$A$10:$A$100,0),FALSE)</f>
        <v>#N/A</v>
      </c>
      <c r="N50" t="e">
        <f>HLOOKUP($B50&amp;"_"&amp;N$46,fuel_prices!$B$10:$I$100,MATCH($A$1,fuel_prices!$A$10:$A$100,0),FALSE)</f>
        <v>#N/A</v>
      </c>
    </row>
    <row r="54" spans="1:14" x14ac:dyDescent="0.45">
      <c r="A54" t="s">
        <v>105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106</v>
      </c>
      <c r="C56">
        <v>2.5</v>
      </c>
      <c r="D56">
        <v>3.04</v>
      </c>
      <c r="E56">
        <v>3.6840000000000002</v>
      </c>
      <c r="F56" t="s">
        <v>107</v>
      </c>
    </row>
    <row r="57" spans="1:14" x14ac:dyDescent="0.45">
      <c r="A57" t="s">
        <v>30</v>
      </c>
      <c r="B57" t="s">
        <v>106</v>
      </c>
      <c r="C57">
        <v>0</v>
      </c>
      <c r="D57">
        <v>0</v>
      </c>
      <c r="E57">
        <v>0</v>
      </c>
      <c r="F57" t="s">
        <v>107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104</v>
      </c>
      <c r="B11">
        <v>2000</v>
      </c>
      <c r="C11">
        <v>4.7</v>
      </c>
      <c r="D11">
        <v>4.66</v>
      </c>
      <c r="E11">
        <v>0</v>
      </c>
      <c r="F11">
        <v>0</v>
      </c>
      <c r="G11">
        <v>1.5</v>
      </c>
      <c r="H11">
        <v>-2.57</v>
      </c>
      <c r="I11">
        <v>10.43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104</v>
      </c>
      <c r="B12">
        <v>2001</v>
      </c>
      <c r="C12">
        <v>4.78</v>
      </c>
      <c r="D12">
        <v>4.75</v>
      </c>
      <c r="E12">
        <v>0</v>
      </c>
      <c r="F12">
        <v>0</v>
      </c>
      <c r="G12">
        <v>1.26</v>
      </c>
      <c r="H12">
        <v>-2.35</v>
      </c>
      <c r="I12">
        <v>10.64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104</v>
      </c>
      <c r="B13">
        <v>2002</v>
      </c>
      <c r="C13">
        <v>4.9400000000000004</v>
      </c>
      <c r="D13">
        <v>4.82</v>
      </c>
      <c r="E13">
        <v>0</v>
      </c>
      <c r="F13">
        <v>0</v>
      </c>
      <c r="G13">
        <v>1.02</v>
      </c>
      <c r="H13">
        <v>-2.13</v>
      </c>
      <c r="I13">
        <v>10.79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104</v>
      </c>
      <c r="B14">
        <v>2003</v>
      </c>
      <c r="C14">
        <v>5.38</v>
      </c>
      <c r="D14">
        <v>4.97</v>
      </c>
      <c r="E14">
        <v>0</v>
      </c>
      <c r="F14">
        <v>0</v>
      </c>
      <c r="G14">
        <v>2.08</v>
      </c>
      <c r="H14">
        <v>-3.01</v>
      </c>
      <c r="I14">
        <v>11.27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104</v>
      </c>
      <c r="B15">
        <v>2004</v>
      </c>
      <c r="C15">
        <v>5.8</v>
      </c>
      <c r="D15">
        <v>5.01</v>
      </c>
      <c r="E15">
        <v>0</v>
      </c>
      <c r="F15">
        <v>0</v>
      </c>
      <c r="G15">
        <v>1.65</v>
      </c>
      <c r="H15">
        <v>-3.6</v>
      </c>
      <c r="I15">
        <v>12.73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104</v>
      </c>
      <c r="B16">
        <v>2005</v>
      </c>
      <c r="C16">
        <v>6.03</v>
      </c>
      <c r="D16">
        <v>5.32</v>
      </c>
      <c r="E16">
        <v>0</v>
      </c>
      <c r="F16">
        <v>0</v>
      </c>
      <c r="G16">
        <v>2.25</v>
      </c>
      <c r="H16">
        <v>-3.63</v>
      </c>
      <c r="I16">
        <v>12.6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104</v>
      </c>
      <c r="B17">
        <v>2006</v>
      </c>
      <c r="C17">
        <v>6.12</v>
      </c>
      <c r="D17">
        <v>5.36</v>
      </c>
      <c r="E17">
        <v>0</v>
      </c>
      <c r="F17">
        <v>0</v>
      </c>
      <c r="G17">
        <v>3.01</v>
      </c>
      <c r="H17">
        <v>-5.12</v>
      </c>
      <c r="I17">
        <v>13.31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104</v>
      </c>
      <c r="B18">
        <v>2007</v>
      </c>
      <c r="C18">
        <v>5.95</v>
      </c>
      <c r="D18">
        <v>5.35</v>
      </c>
      <c r="E18">
        <v>0</v>
      </c>
      <c r="F18">
        <v>0</v>
      </c>
      <c r="G18">
        <v>3.74</v>
      </c>
      <c r="H18">
        <v>-4.34</v>
      </c>
      <c r="I18">
        <v>11.78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104</v>
      </c>
      <c r="B19">
        <v>2008</v>
      </c>
      <c r="C19">
        <v>7.06</v>
      </c>
      <c r="D19">
        <v>4.3899999999999997</v>
      </c>
      <c r="E19">
        <v>0.09</v>
      </c>
      <c r="F19">
        <v>0</v>
      </c>
      <c r="G19">
        <v>3.41</v>
      </c>
      <c r="H19">
        <v>-5.0599999999999996</v>
      </c>
      <c r="I19">
        <v>14.82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104</v>
      </c>
      <c r="B20">
        <v>2009</v>
      </c>
      <c r="C20">
        <v>6.31</v>
      </c>
      <c r="D20">
        <v>4.6100000000000003</v>
      </c>
      <c r="E20">
        <v>0.1</v>
      </c>
      <c r="F20">
        <v>0</v>
      </c>
      <c r="G20">
        <v>2.89</v>
      </c>
      <c r="H20">
        <v>-5.88</v>
      </c>
      <c r="I20">
        <v>15.67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104</v>
      </c>
      <c r="B21">
        <v>2010</v>
      </c>
      <c r="C21">
        <v>6.72</v>
      </c>
      <c r="D21">
        <v>4.63</v>
      </c>
      <c r="E21">
        <v>0.14000000000000001</v>
      </c>
      <c r="F21">
        <v>0</v>
      </c>
      <c r="G21">
        <v>3.08</v>
      </c>
      <c r="H21">
        <v>-6.9</v>
      </c>
      <c r="I21">
        <v>17.12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104</v>
      </c>
      <c r="B22">
        <v>2011</v>
      </c>
      <c r="C22">
        <v>7.19</v>
      </c>
      <c r="D22">
        <v>4.6399999999999997</v>
      </c>
      <c r="E22">
        <v>0.14000000000000001</v>
      </c>
      <c r="F22">
        <v>0</v>
      </c>
      <c r="G22">
        <v>4.17</v>
      </c>
      <c r="H22">
        <v>-5.66</v>
      </c>
      <c r="I22">
        <v>15.28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104</v>
      </c>
      <c r="B23">
        <v>2012</v>
      </c>
      <c r="C23">
        <v>7.29</v>
      </c>
      <c r="D23">
        <v>4.6900000000000004</v>
      </c>
      <c r="E23">
        <v>0.11</v>
      </c>
      <c r="F23">
        <v>0</v>
      </c>
      <c r="G23">
        <v>4.4800000000000004</v>
      </c>
      <c r="H23">
        <v>-4.53</v>
      </c>
      <c r="I23">
        <v>14.08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104</v>
      </c>
      <c r="B24">
        <v>2013</v>
      </c>
      <c r="C24">
        <v>6.94</v>
      </c>
      <c r="D24">
        <v>4.67</v>
      </c>
      <c r="E24">
        <v>0.08</v>
      </c>
      <c r="F24">
        <v>0</v>
      </c>
      <c r="G24">
        <v>3.17</v>
      </c>
      <c r="H24">
        <v>-6.86</v>
      </c>
      <c r="I24">
        <v>17.45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104</v>
      </c>
      <c r="B25">
        <v>2014</v>
      </c>
      <c r="C25">
        <v>6.62</v>
      </c>
      <c r="D25">
        <v>6.6</v>
      </c>
      <c r="E25">
        <v>0.08</v>
      </c>
      <c r="F25">
        <v>0</v>
      </c>
      <c r="G25">
        <v>3.16</v>
      </c>
      <c r="H25">
        <v>-6</v>
      </c>
      <c r="I25">
        <v>16.16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104</v>
      </c>
      <c r="B26">
        <v>2015</v>
      </c>
      <c r="C26">
        <v>6.79</v>
      </c>
      <c r="D26">
        <v>6.59</v>
      </c>
      <c r="E26">
        <v>0.09</v>
      </c>
      <c r="F26">
        <v>0</v>
      </c>
      <c r="G26">
        <v>3.87</v>
      </c>
      <c r="H26">
        <v>-6.01</v>
      </c>
      <c r="I26">
        <v>15.63</v>
      </c>
      <c r="J26">
        <v>0.44</v>
      </c>
      <c r="K26">
        <v>1.4530000000000001</v>
      </c>
      <c r="L26">
        <v>6.0000000000000001E-3</v>
      </c>
      <c r="M26">
        <v>1.4470000000000001</v>
      </c>
    </row>
    <row r="27" spans="1:13" x14ac:dyDescent="0.45">
      <c r="A27" t="s">
        <v>104</v>
      </c>
      <c r="B27">
        <v>2016</v>
      </c>
      <c r="C27">
        <v>6.97</v>
      </c>
      <c r="D27">
        <v>6.94</v>
      </c>
      <c r="E27">
        <v>7.0000000000000007E-2</v>
      </c>
      <c r="F27">
        <v>0</v>
      </c>
      <c r="G27">
        <v>3.08</v>
      </c>
      <c r="H27">
        <v>-6.84</v>
      </c>
      <c r="I27">
        <v>17.77</v>
      </c>
      <c r="J27">
        <v>0.42299999999999999</v>
      </c>
      <c r="K27">
        <v>1.4670000000000001</v>
      </c>
      <c r="L27">
        <v>6.0000000000000001E-3</v>
      </c>
      <c r="M27">
        <v>1.4610000000000001</v>
      </c>
    </row>
    <row r="28" spans="1:13" x14ac:dyDescent="0.45">
      <c r="A28" t="s">
        <v>104</v>
      </c>
      <c r="B28">
        <v>2017</v>
      </c>
      <c r="C28">
        <v>7.23</v>
      </c>
      <c r="D28">
        <v>6.98</v>
      </c>
      <c r="E28">
        <v>0.08</v>
      </c>
      <c r="F28">
        <v>0</v>
      </c>
      <c r="G28">
        <v>3.35</v>
      </c>
      <c r="H28">
        <v>-5.19</v>
      </c>
      <c r="I28">
        <v>16.239999999999998</v>
      </c>
      <c r="J28">
        <v>0.505</v>
      </c>
      <c r="K28">
        <v>1.48</v>
      </c>
      <c r="L28">
        <v>6.0000000000000001E-3</v>
      </c>
      <c r="M28">
        <v>1.474</v>
      </c>
    </row>
    <row r="29" spans="1:13" x14ac:dyDescent="0.45">
      <c r="A29" t="s">
        <v>104</v>
      </c>
      <c r="B29">
        <v>2018</v>
      </c>
      <c r="C29">
        <v>7.3</v>
      </c>
      <c r="D29">
        <v>7.03</v>
      </c>
      <c r="E29">
        <v>0.06</v>
      </c>
      <c r="F29">
        <v>0</v>
      </c>
      <c r="G29">
        <v>3.09</v>
      </c>
      <c r="H29">
        <v>-7.7</v>
      </c>
      <c r="I29">
        <v>19.059999999999999</v>
      </c>
      <c r="J29">
        <v>0.48799999999999999</v>
      </c>
      <c r="K29">
        <v>1.476</v>
      </c>
      <c r="L29">
        <v>6.0000000000000001E-3</v>
      </c>
      <c r="M29">
        <v>1.47</v>
      </c>
    </row>
    <row r="30" spans="1:13" x14ac:dyDescent="0.45">
      <c r="A30" t="s">
        <v>104</v>
      </c>
      <c r="B30">
        <v>2019</v>
      </c>
      <c r="C30">
        <v>6.33</v>
      </c>
      <c r="D30">
        <v>7.24</v>
      </c>
      <c r="E30">
        <v>0.06</v>
      </c>
      <c r="F30">
        <v>0</v>
      </c>
      <c r="G30">
        <v>2.83</v>
      </c>
      <c r="H30">
        <v>-6.57</v>
      </c>
      <c r="I30">
        <v>17.420000000000002</v>
      </c>
      <c r="J30">
        <v>0.46899999999999997</v>
      </c>
      <c r="K30">
        <v>1.425</v>
      </c>
      <c r="L30">
        <v>7.0000000000000001E-3</v>
      </c>
      <c r="M30">
        <v>1.4179999999999999</v>
      </c>
    </row>
    <row r="31" spans="1:13" x14ac:dyDescent="0.45">
      <c r="A31" t="s">
        <v>104</v>
      </c>
      <c r="B31">
        <v>2020</v>
      </c>
      <c r="C31">
        <v>5.35</v>
      </c>
      <c r="D31">
        <v>7.27</v>
      </c>
      <c r="E31">
        <v>0.06</v>
      </c>
      <c r="F31">
        <v>0</v>
      </c>
      <c r="G31">
        <v>3.27</v>
      </c>
      <c r="H31">
        <v>-7.32</v>
      </c>
      <c r="I31">
        <v>16.79</v>
      </c>
      <c r="J31">
        <v>0.67200000000000004</v>
      </c>
      <c r="K31">
        <v>1.494</v>
      </c>
      <c r="L31">
        <v>7.0000000000000001E-3</v>
      </c>
      <c r="M31">
        <v>1.4870000000000001</v>
      </c>
    </row>
    <row r="32" spans="1:13" x14ac:dyDescent="0.45">
      <c r="A32" t="s">
        <v>104</v>
      </c>
      <c r="B32">
        <v>2021</v>
      </c>
      <c r="C32">
        <v>5.93</v>
      </c>
      <c r="D32">
        <v>7.63</v>
      </c>
      <c r="E32">
        <v>0.05</v>
      </c>
      <c r="F32">
        <v>0</v>
      </c>
      <c r="G32">
        <v>3.26</v>
      </c>
      <c r="H32">
        <v>-8.01</v>
      </c>
      <c r="I32">
        <v>18.43</v>
      </c>
      <c r="J32">
        <v>0.68200000000000005</v>
      </c>
      <c r="K32">
        <v>1.5309999999999999</v>
      </c>
      <c r="L32">
        <v>7.0000000000000001E-3</v>
      </c>
      <c r="M32">
        <v>1.524</v>
      </c>
    </row>
    <row r="33" spans="1:13" x14ac:dyDescent="0.45">
      <c r="A33" t="s">
        <v>104</v>
      </c>
      <c r="B33">
        <v>2022</v>
      </c>
      <c r="C33">
        <v>5.53</v>
      </c>
      <c r="D33">
        <v>7.71</v>
      </c>
      <c r="E33">
        <v>0.06</v>
      </c>
      <c r="F33">
        <v>0</v>
      </c>
      <c r="G33">
        <v>3.83</v>
      </c>
      <c r="H33">
        <v>-6.86</v>
      </c>
      <c r="I33">
        <v>16.350000000000001</v>
      </c>
      <c r="J33">
        <v>0.69</v>
      </c>
      <c r="K33">
        <v>1.45</v>
      </c>
      <c r="L33">
        <v>0.01</v>
      </c>
      <c r="M33">
        <v>1.44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2026-08-27T07:51:19Z</dcterms:modified>
</cp:coreProperties>
</file>