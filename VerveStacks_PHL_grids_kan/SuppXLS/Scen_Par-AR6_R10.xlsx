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HL_grids_kan\SuppXLS\"/>
    </mc:Choice>
  </mc:AlternateContent>
  <xr:revisionPtr revIDLastSave="0" documentId="8_{D25BD132-1C30-4D41-8863-9D0B5463DCE3}" xr6:coauthVersionLast="47" xr6:coauthVersionMax="47" xr10:uidLastSave="{00000000-0000-0000-0000-000000000000}"/>
  <bookViews>
    <workbookView xWindow="-98" yWindow="-98" windowWidth="28996" windowHeight="17475" firstSheet="10" activeTab="10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24" sheetId="8" r:id="rId7"/>
    <sheet name="ts_036" sheetId="9" r:id="rId8"/>
    <sheet name="ts_048" sheetId="10" r:id="rId9"/>
    <sheet name="ts_annual" sheetId="11" r:id="rId10"/>
    <sheet name="ts_12t" sheetId="12" r:id="rId11"/>
  </sheets>
  <definedNames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2" l="1"/>
  <c r="AG9" i="12"/>
  <c r="AC9" i="12"/>
  <c r="A10" i="6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AI16" i="1"/>
  <c r="AI15" i="1"/>
  <c r="AI14" i="1"/>
  <c r="AI13" i="1"/>
  <c r="AI12" i="1"/>
  <c r="AI11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42" i="1"/>
  <c r="D47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E15" i="1"/>
  <c r="E20" i="1" s="1"/>
  <c r="E25" i="1" s="1"/>
  <c r="E30" i="1" s="1"/>
  <c r="E35" i="1" s="1"/>
  <c r="E40" i="1" s="1"/>
  <c r="E45" i="1" s="1"/>
  <c r="E16" i="1"/>
  <c r="E17" i="1"/>
  <c r="E18" i="1"/>
  <c r="E21" i="1"/>
  <c r="E22" i="1"/>
  <c r="E27" i="1" s="1"/>
  <c r="E32" i="1" s="1"/>
  <c r="E37" i="1" s="1"/>
  <c r="E42" i="1" s="1"/>
  <c r="E47" i="1" s="1"/>
  <c r="E23" i="1"/>
  <c r="E28" i="1" s="1"/>
  <c r="E26" i="1"/>
  <c r="E31" i="1" s="1"/>
  <c r="E36" i="1" s="1"/>
  <c r="E41" i="1" s="1"/>
  <c r="E46" i="1" s="1"/>
  <c r="E14" i="1"/>
  <c r="E19" i="1" s="1"/>
  <c r="E24" i="1" s="1"/>
  <c r="E29" i="1" s="1"/>
  <c r="E34" i="1" s="1"/>
  <c r="E39" i="1" s="1"/>
  <c r="E44" i="1" s="1"/>
  <c r="B18" i="1" l="1"/>
  <c r="B17" i="1"/>
  <c r="D23" i="1"/>
  <c r="AJ28" i="1"/>
  <c r="E33" i="1"/>
  <c r="AJ24" i="1"/>
  <c r="D19" i="1"/>
  <c r="B19" i="1" s="1"/>
  <c r="D21" i="1"/>
  <c r="B21" i="1" s="1"/>
  <c r="D36" i="1"/>
  <c r="B36" i="1" s="1"/>
  <c r="B23" i="1"/>
  <c r="D41" i="1"/>
  <c r="B41" i="1" s="1"/>
  <c r="B47" i="1"/>
  <c r="D26" i="1"/>
  <c r="B26" i="1" s="1"/>
  <c r="D16" i="1"/>
  <c r="B16" i="1" s="1"/>
  <c r="D31" i="1"/>
  <c r="B31" i="1" s="1"/>
  <c r="B15" i="1"/>
  <c r="B27" i="1"/>
  <c r="AJ20" i="1"/>
  <c r="D46" i="1"/>
  <c r="B46" i="1" s="1"/>
  <c r="D14" i="1"/>
  <c r="B14" i="1" s="1"/>
  <c r="B22" i="1"/>
  <c r="B42" i="1"/>
  <c r="B37" i="1"/>
  <c r="B32" i="1"/>
  <c r="D2" i="1"/>
  <c r="H48" i="1"/>
  <c r="H47" i="1"/>
  <c r="H46" i="1"/>
  <c r="H45" i="1"/>
  <c r="H24" i="6"/>
  <c r="H23" i="6"/>
  <c r="D5" i="1"/>
  <c r="H21" i="6" l="1"/>
  <c r="D28" i="1"/>
  <c r="B28" i="1" s="1"/>
  <c r="AJ33" i="1"/>
  <c r="AJ25" i="1"/>
  <c r="D20" i="1"/>
  <c r="B20" i="1" s="1"/>
  <c r="AJ29" i="1"/>
  <c r="D24" i="1"/>
  <c r="B24" i="1" s="1"/>
  <c r="E38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D33" i="1"/>
  <c r="B33" i="1" s="1"/>
  <c r="E43" i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43" i="1" l="1"/>
  <c r="D38" i="1"/>
  <c r="B38" i="1" s="1"/>
  <c r="AJ39" i="1"/>
  <c r="D34" i="1"/>
  <c r="B34" i="1" s="1"/>
  <c r="D30" i="1"/>
  <c r="B30" i="1" s="1"/>
  <c r="AJ35" i="1"/>
  <c r="E48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AJ48" i="1" l="1"/>
  <c r="D43" i="1"/>
  <c r="B43" i="1" s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53" i="1" l="1"/>
  <c r="AJ58" i="1" s="1"/>
  <c r="AJ63" i="1" s="1"/>
  <c r="AJ68" i="1" s="1"/>
  <c r="AJ73" i="1" s="1"/>
  <c r="AJ78" i="1" s="1"/>
  <c r="D48" i="1"/>
  <c r="B48" i="1" s="1"/>
  <c r="AJ49" i="1"/>
  <c r="D44" i="1"/>
  <c r="B44" i="1" s="1"/>
  <c r="AJ45" i="1"/>
  <c r="D40" i="1"/>
  <c r="B40" i="1" s="1"/>
  <c r="U22" i="1"/>
  <c r="Y22" i="1"/>
  <c r="AJ50" i="1" l="1"/>
  <c r="D45" i="1"/>
  <c r="B45" i="1" s="1"/>
  <c r="AJ54" i="1"/>
  <c r="AJ59" i="1" l="1"/>
  <c r="AJ55" i="1"/>
  <c r="AJ60" i="1" l="1"/>
  <c r="AJ64" i="1"/>
  <c r="AJ69" i="1" l="1"/>
  <c r="AJ65" i="1"/>
  <c r="AJ70" i="1" l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<sst xmlns="http://schemas.openxmlformats.org/spreadsheetml/2006/main" count="31310" uniqueCount="317">
  <si>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</si>
  <si>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</si>
  <si>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</si>
  <si>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</si>
  <si>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</si>
  <si>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</si>
  <si>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</si>
  <si>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</si>
  <si>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</si>
  <si>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</si>
  <si>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</si>
  <si>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</si>
  <si>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</si>
  <si>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</si>
  <si>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</si>
  <si>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</si>
  <si>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</si>
  <si>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</si>
  <si>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</si>
  <si>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</si>
  <si>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</si>
  <si>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</si>
  <si>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</si>
  <si>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</si>
  <si>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</si>
  <si>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</si>
  <si>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</si>
  <si>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</si>
  <si>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</si>
  <si>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</si>
  <si>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</si>
  <si>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</si>
  <si>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</si>
  <si>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</si>
  <si>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</si>
  <si>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</si>
  <si>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</si>
  <si>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</si>
  <si>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</si>
  <si>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</si>
  <si>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</si>
  <si>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</si>
  <si>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</si>
  <si>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</si>
  <si>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</si>
  <si>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</si>
  <si>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</si>
  <si>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</si>
  <si>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</si>
  <si>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</si>
  <si>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</si>
  <si>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</si>
  <si>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</si>
  <si>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</si>
  <si>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</si>
  <si>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</si>
  <si>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</si>
  <si>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</si>
  <si>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</si>
  <si>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</si>
  <si>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</si>
  <si>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</si>
  <si>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</si>
  <si>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</si>
  <si>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</si>
  <si>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</si>
  <si>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</si>
  <si>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</si>
  <si>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</si>
  <si>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</si>
  <si>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</si>
  <si>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</si>
  <si>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</si>
  <si>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</si>
  <si>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</si>
  <si>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</si>
  <si>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</si>
  <si>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</si>
  <si>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</si>
  <si>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</si>
  <si>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</si>
  <si>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</si>
  <si>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</si>
  <si>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</si>
  <si>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</si>
  <si>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</si>
  <si>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</si>
  <si>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</si>
  <si>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</si>
  <si>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</si>
  <si>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</si>
  <si>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</si>
  <si>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</si>
  <si>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</si>
  <si>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</si>
  <si>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</si>
  <si>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</si>
  <si>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</si>
  <si>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</si>
  <si>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</si>
  <si>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</si>
  <si>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</si>
  <si>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</si>
  <si>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</si>
  <si>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</si>
  <si>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</si>
  <si>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</si>
  <si>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</si>
  <si>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</si>
  <si>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</si>
  <si>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</si>
  <si>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</si>
  <si>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</si>
  <si>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</si>
  <si>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</si>
  <si>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</si>
  <si>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</si>
  <si>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</si>
  <si>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</si>
  <si>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</si>
  <si>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</si>
  <si>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</si>
  <si>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</si>
  <si>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</si>
  <si>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</si>
  <si>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</si>
  <si>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</si>
  <si>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</si>
  <si>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</si>
  <si>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</si>
  <si>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</si>
  <si>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</si>
  <si>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</si>
  <si>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PHL</t>
  </si>
  <si>
    <t>R10REST_ASIA</t>
  </si>
  <si>
    <t>Malampaya declining, imports rising</t>
  </si>
  <si>
    <t>1-25,36-40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</si>
  <si>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</si>
  <si>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</si>
  <si>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</si>
  <si>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</si>
  <si>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</si>
  <si>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</si>
  <si>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</si>
  <si>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</si>
  <si>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</si>
  <si>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</si>
  <si>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</si>
  <si>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</si>
  <si>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</si>
  <si>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</si>
  <si>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</si>
  <si>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elc_spv_PHL_001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</si>
  <si>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</si>
  <si>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</si>
  <si>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</si>
  <si>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</si>
  <si>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</si>
  <si>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</si>
  <si>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</si>
  <si>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</si>
  <si>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</si>
  <si>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</si>
  <si>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</si>
  <si>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</si>
  <si>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</si>
  <si>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elc_spv_PHL_002</t>
  </si>
  <si>
    <t>elc_spv_PHL_003</t>
  </si>
  <si>
    <t>elc_spv_PHL_004</t>
  </si>
  <si>
    <t>elc_spv_PHL_005</t>
  </si>
  <si>
    <t>elc_spv_PHL_006</t>
  </si>
  <si>
    <t>elc_spv_PHL_007</t>
  </si>
  <si>
    <t>elc_spv_PHL_008</t>
  </si>
  <si>
    <t>elc_spv_PHL_009</t>
  </si>
  <si>
    <t>elc_spv_PHL_010</t>
  </si>
  <si>
    <t>elc_spv_PHL_011</t>
  </si>
  <si>
    <t>elc_spv_PHL_012</t>
  </si>
  <si>
    <t>elc_spv_PHL_013</t>
  </si>
  <si>
    <t>elc_spv_PHL_014</t>
  </si>
  <si>
    <t>elc_spv_PHL_015</t>
  </si>
  <si>
    <t>elc_spv_PHL_016</t>
  </si>
  <si>
    <t>elc_spv_PHL_017</t>
  </si>
  <si>
    <t>elc_spv_PHL_018</t>
  </si>
  <si>
    <t>elc_spv_PHL_019</t>
  </si>
  <si>
    <t>elc_spv_PHL_020</t>
  </si>
  <si>
    <t>elc_spv_PHL_021</t>
  </si>
  <si>
    <t>elc_spv_PHL_022</t>
  </si>
  <si>
    <t>elc_spv_PHL_023</t>
  </si>
  <si>
    <t>elc_spv_PHL_024</t>
  </si>
  <si>
    <t>elc_spv_PHL_025</t>
  </si>
  <si>
    <t>elc_spv_PHL_026</t>
  </si>
  <si>
    <t>elc_spv_PHL_027</t>
  </si>
  <si>
    <t>elc_spv_PHL_028</t>
  </si>
  <si>
    <t>elc_spv_PHL_029</t>
  </si>
  <si>
    <t>elc_won_PHL_001</t>
  </si>
  <si>
    <t>elc_won_PHL_002</t>
  </si>
  <si>
    <t>elc_won_PHL_003</t>
  </si>
  <si>
    <t>elc_won_PHL_004</t>
  </si>
  <si>
    <t>elc_won_PHL_005</t>
  </si>
  <si>
    <t>elc_won_PHL_006</t>
  </si>
  <si>
    <t>elc_won_PHL_007</t>
  </si>
  <si>
    <t>elc_won_PHL_008</t>
  </si>
  <si>
    <t>elc_won_PHL_009</t>
  </si>
  <si>
    <t>elc_won_PHL_010</t>
  </si>
  <si>
    <t>elc_won_PHL_011</t>
  </si>
  <si>
    <t>elc_won_PHL_012</t>
  </si>
  <si>
    <t>elc_won_PHL_013</t>
  </si>
  <si>
    <t>elc_won_PHL_014</t>
  </si>
  <si>
    <t>elc_won_PHL_015</t>
  </si>
  <si>
    <t>elc_won_PHL_016</t>
  </si>
  <si>
    <t>elc_won_PHL_017</t>
  </si>
  <si>
    <t>elc_won_PHL_018</t>
  </si>
  <si>
    <t>elc_won_PHL_019</t>
  </si>
  <si>
    <t>elc_won_PHL_020</t>
  </si>
  <si>
    <t>elc_won_PHL_021</t>
  </si>
  <si>
    <t>elc_won_PHL_022</t>
  </si>
  <si>
    <t>elc_won_PHL_023</t>
  </si>
  <si>
    <t>elc_won_PHL_024</t>
  </si>
  <si>
    <t>elc_wof_PHL_001</t>
  </si>
  <si>
    <t>elc_wof_PHL_002</t>
  </si>
  <si>
    <t>elc_wof_PHL_003</t>
  </si>
  <si>
    <t>elc_wof_PHL_004</t>
  </si>
  <si>
    <t>elc_wof_PHL_005</t>
  </si>
  <si>
    <t>elc_wof_PHL_006</t>
  </si>
  <si>
    <t>elc_wof_PHL_007</t>
  </si>
  <si>
    <t>elc_wof_PHL_008</t>
  </si>
  <si>
    <t>elc_wof_PHL_009</t>
  </si>
  <si>
    <t>elc_wof_PHL_010</t>
  </si>
  <si>
    <t>elc_wof_PHL_011</t>
  </si>
  <si>
    <t>elc_wof_PHL_012</t>
  </si>
  <si>
    <t>elc_wof_PHL_013</t>
  </si>
  <si>
    <t>elc_wof_PHL_014</t>
  </si>
  <si>
    <t>elc_wof_PHL_015</t>
  </si>
  <si>
    <t>elc_wof_PHL_016</t>
  </si>
  <si>
    <t>elc_wof_PHL_017</t>
  </si>
  <si>
    <t>elc_wof_PHL_018</t>
  </si>
  <si>
    <t>elc_wof_PHL_019</t>
  </si>
  <si>
    <t>elc_wof_PHL_020</t>
  </si>
  <si>
    <t>elc_wof_PHL_021</t>
  </si>
  <si>
    <t>elc_wof_PHL_022</t>
  </si>
  <si>
    <t>elc_wof_PHL_023</t>
  </si>
  <si>
    <t>g_yrfr</t>
  </si>
  <si>
    <t>day_night</t>
  </si>
  <si>
    <t>D</t>
  </si>
  <si>
    <t>S03aH02,S01aH02,S04aH02,S02aH02</t>
  </si>
  <si>
    <t>N</t>
  </si>
  <si>
    <t>S01aH03,S02aH01,S04aH03,S02aH03,S03aH01,S03aH03,S01aH01,S04aH01</t>
  </si>
  <si>
    <t>com_pkflx</t>
  </si>
  <si>
    <t>ncap_afs</t>
  </si>
  <si>
    <t>pset_ci</t>
  </si>
  <si>
    <t>hydro</t>
  </si>
  <si>
    <t>H04</t>
  </si>
  <si>
    <t>H05</t>
  </si>
  <si>
    <t>H06</t>
  </si>
  <si>
    <t>ts_024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</si>
  <si>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</si>
  <si>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</si>
  <si>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</si>
  <si>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</si>
  <si>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</si>
  <si>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</si>
  <si>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</si>
  <si>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</si>
  <si>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</si>
  <si>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S04aH04</t>
  </si>
  <si>
    <t>S04aH05</t>
  </si>
  <si>
    <t>S04aH06</t>
  </si>
  <si>
    <t>S02aH04,S04aH03,S01aH04,S03aH03,S03aH04,S02aH02,S01aH03,S02aH03,S03aH02,S04aH02,S01aH02,S04aH04</t>
  </si>
  <si>
    <t>S02aH06,S03aH05,S02aH01,S01aH06,S03aH01,S04aH05,S01aH01,S04aH01,S04aH06,S02aH05,S01aH05,S03aH06</t>
  </si>
  <si>
    <t>S01,S02,S03,S04,S05</t>
  </si>
  <si>
    <t>S05</t>
  </si>
  <si>
    <t>ts_036</t>
  </si>
  <si>
    <t>S05aH01</t>
  </si>
  <si>
    <t>S05aH02</t>
  </si>
  <si>
    <t>S05aH03</t>
  </si>
  <si>
    <t>S05aH04</t>
  </si>
  <si>
    <t>S05aH05</t>
  </si>
  <si>
    <t>S05aH06</t>
  </si>
  <si>
    <t>S03aH02,S03aH03,S03aH04,S01aH03,S05aH02,S05aH03,S01aH04,S02aH02,S04aH02,S02aH04,S02aH03,S04aH03,S01aH02,S04aH04,S05aH04</t>
  </si>
  <si>
    <t>S05aH01,S03aH01,S02aH05,S02aH06,S03aH05,S05aH05,S01aH01,S04aH01,S04aH06,S04aH05,S02aH01,S05aH06,S01aH05,S03aH06,S01aH06</t>
  </si>
  <si>
    <t>H07</t>
  </si>
  <si>
    <t>H08</t>
  </si>
  <si>
    <t>S01aH07</t>
  </si>
  <si>
    <t>S01aH08</t>
  </si>
  <si>
    <t>S02aH07</t>
  </si>
  <si>
    <t>S02aH08</t>
  </si>
  <si>
    <t>S03aH07</t>
  </si>
  <si>
    <t>S03aH08</t>
  </si>
  <si>
    <t>S04aH07</t>
  </si>
  <si>
    <t>S04aH08</t>
  </si>
  <si>
    <t>S05aH07</t>
  </si>
  <si>
    <t>S05aH08</t>
  </si>
  <si>
    <t>S01aH04,S01aH06,S02aH03,S02aH06,S03aH05,S05aH05,S04aH03,S03aH02,S04aH05,S02aH04,S02aH05,S03aH03,S01aH05,S03aH06,S02aH02,S04aH06,S05aH04,S01aH02,S04aH04,S03aH04,S01aH03,S05aH02,S05aH03,S05aH06,S04aH02</t>
  </si>
  <si>
    <t>S01aH01,S04aH01,S02aH01,S05aH08,S03aH08,S04aH07,S04aH08,S03aH01,S05aH07,S01aH08,S02aH08,S03aH07,S01aH07,S02aH07,S05aH01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</si>
  <si>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</si>
  <si>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</si>
  <si>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</si>
  <si>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</si>
  <si>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</si>
  <si>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</si>
  <si>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</si>
  <si>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</si>
  <si>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</si>
  <si>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</si>
  <si>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</si>
  <si>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</si>
  <si>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</si>
  <si>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</si>
  <si>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</si>
  <si>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</si>
  <si>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</si>
  <si>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</si>
  <si>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</si>
  <si>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</si>
  <si>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</si>
  <si>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WaP,FaD,SaD,WaD,FaP,SaP,RaD,RaP</t>
  </si>
  <si>
    <t>SaN,WaN,RaN,FaN,RaP,FaP,SaP,WaP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</si>
</sst>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111.52</c:v>
                </c:pt>
                <c:pt idx="1">
                  <c:v>129.36319999999998</c:v>
                </c:pt>
                <c:pt idx="2">
                  <c:v>146.09120000000001</c:v>
                </c:pt>
                <c:pt idx="3">
                  <c:v>167.28</c:v>
                </c:pt>
                <c:pt idx="4">
                  <c:v>191.81439999999998</c:v>
                </c:pt>
                <c:pt idx="5">
                  <c:v>237.53759999999997</c:v>
                </c:pt>
                <c:pt idx="6">
                  <c:v>279.91519999999997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55.79</c:v>
                </c:pt>
                <c:pt idx="3">
                  <c:v>89.54</c:v>
                </c:pt>
                <c:pt idx="4">
                  <c:v>128.22999999999999</c:v>
                </c:pt>
                <c:pt idx="5">
                  <c:v>171.82</c:v>
                </c:pt>
                <c:pt idx="6">
                  <c:v>208.87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workbookViewId="0">
      <selection activeCell="A11" sqref="A11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136</v>
      </c>
      <c r="H1">
        <v>8</v>
      </c>
      <c r="I1">
        <v>13</v>
      </c>
      <c r="J1">
        <v>18</v>
      </c>
      <c r="K1">
        <v>23</v>
      </c>
      <c r="L1">
        <v>28</v>
      </c>
      <c r="M1">
        <v>33</v>
      </c>
      <c r="N1">
        <v>38</v>
      </c>
    </row>
    <row r="2" spans="1:39" x14ac:dyDescent="0.45">
      <c r="D2" s="1" t="str">
        <f>"~Inputcell: "&amp;_xlfn.TEXTJOIN(",",TRUE,G1:EE1)</f>
        <v>~Inputcell: 1-25,36-40,8,13,18,23,28,33,38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112</v>
      </c>
    </row>
    <row r="8" spans="1:39" ht="14.65" thickBot="1" x14ac:dyDescent="0.5">
      <c r="A8" s="4" t="s">
        <v>117</v>
      </c>
      <c r="B8" s="4" t="s">
        <v>113</v>
      </c>
      <c r="C8" s="4" t="s">
        <v>114</v>
      </c>
      <c r="D8" s="4" t="s">
        <v>115</v>
      </c>
      <c r="E8" s="4" t="s">
        <v>116</v>
      </c>
      <c r="AM8" s="2" t="s">
        <v>122</v>
      </c>
    </row>
    <row r="9" spans="1:39" x14ac:dyDescent="0.45">
      <c r="A9">
        <v>5</v>
      </c>
      <c r="B9" t="str">
        <f>VLOOKUP(E9,$AK$9:$AL$15,2,FALSE)&amp;"."&amp;VLOOKUP(D9,$AH$9:$AI$24,2,FALSE)</f>
        <v>e 1.5 deg no OS.xAnn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103</v>
      </c>
      <c r="AI9" t="s">
        <v>132</v>
      </c>
      <c r="AJ9" s="10">
        <v>1</v>
      </c>
      <c r="AK9" t="s">
        <v>0</v>
      </c>
      <c r="AL9" t="s">
        <v>105</v>
      </c>
      <c r="AM9" s="12">
        <v>5</v>
      </c>
    </row>
    <row r="10" spans="1:39" x14ac:dyDescent="0.45">
      <c r="A10">
        <v>5</v>
      </c>
      <c r="B10" t="str">
        <f t="shared" ref="B10:B48" si="0">VLOOKUP(E10,$AK$9:$AL$15,2,FALSE)&amp;"."&amp;VLOOKUP(D10,$AH$9:$AI$24,2,FALSE)</f>
        <v>d 1.5 deg OS.xAnn</v>
      </c>
      <c r="C10">
        <f>C9+1</f>
        <v>2</v>
      </c>
      <c r="D10" t="str">
        <f t="shared" ref="D10:D48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120</v>
      </c>
      <c r="AI10" t="s">
        <v>131</v>
      </c>
      <c r="AJ10" s="10">
        <v>1</v>
      </c>
      <c r="AK10" t="s">
        <v>2</v>
      </c>
      <c r="AL10" t="s">
        <v>107</v>
      </c>
      <c r="AM10" s="12">
        <v>4</v>
      </c>
    </row>
    <row r="11" spans="1:39" x14ac:dyDescent="0.45">
      <c r="A11">
        <v>5</v>
      </c>
      <c r="B11" t="str">
        <f t="shared" si="0"/>
        <v>c 2 deg (67%).xAnn</v>
      </c>
      <c r="C11">
        <f t="shared" ref="C11:C48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118</v>
      </c>
      <c r="AI11" t="str">
        <f>AH11</f>
        <v>ts_012</v>
      </c>
      <c r="AJ11" s="10">
        <v>1</v>
      </c>
      <c r="AK11" t="s">
        <v>5</v>
      </c>
      <c r="AL11" t="s">
        <v>108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(50%).xAnn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111.52</v>
      </c>
      <c r="T12" s="2" t="s">
        <v>57</v>
      </c>
      <c r="AG12">
        <v>4</v>
      </c>
      <c r="AH12" t="s">
        <v>124</v>
      </c>
      <c r="AI12" t="str">
        <f t="shared" ref="AI12:AI16" si="3">AH12</f>
        <v>ts_030</v>
      </c>
      <c r="AJ12" s="10">
        <v>1</v>
      </c>
      <c r="AK12" t="s">
        <v>7</v>
      </c>
      <c r="AL12" t="s">
        <v>109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deg.xAnn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119</v>
      </c>
      <c r="AI13" t="str">
        <f t="shared" si="3"/>
        <v>ts_048</v>
      </c>
      <c r="AJ13" s="10">
        <v>1</v>
      </c>
      <c r="AK13" t="s">
        <v>9</v>
      </c>
      <c r="AL13" t="s">
        <v>110</v>
      </c>
      <c r="AM13" s="12">
        <v>1.5</v>
      </c>
    </row>
    <row r="14" spans="1:39" x14ac:dyDescent="0.45">
      <c r="A14">
        <v>5</v>
      </c>
      <c r="B14" t="str">
        <f t="shared" si="0"/>
        <v>e 1.5 deg no OS.x12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111.52</v>
      </c>
      <c r="U14" s="8">
        <f t="shared" ref="U14:Z14" si="4">$S$12*J15</f>
        <v>129.36319999999998</v>
      </c>
      <c r="V14" s="8">
        <f t="shared" si="4"/>
        <v>146.09120000000001</v>
      </c>
      <c r="W14" s="8">
        <f t="shared" si="4"/>
        <v>167.28</v>
      </c>
      <c r="X14" s="8">
        <f t="shared" si="4"/>
        <v>191.81439999999998</v>
      </c>
      <c r="Y14" s="8">
        <f t="shared" si="4"/>
        <v>237.53759999999997</v>
      </c>
      <c r="Z14" s="8">
        <f t="shared" si="4"/>
        <v>279.91519999999997</v>
      </c>
      <c r="AG14">
        <v>6</v>
      </c>
      <c r="AH14" t="s">
        <v>128</v>
      </c>
      <c r="AI14" t="str">
        <f t="shared" si="3"/>
        <v>ts_072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OS.x12</v>
      </c>
      <c r="C15">
        <f t="shared" si="2"/>
        <v>7</v>
      </c>
      <c r="D15" t="str">
        <f t="shared" si="1"/>
        <v>ts_12t</v>
      </c>
      <c r="E15" t="str">
        <f t="shared" ref="E15:E48" si="5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1.1599999999999999</v>
      </c>
      <c r="K15" s="11">
        <f>SUMIFS(ar6_r10!$F$2:$F$999,ar6_r10!$A$2:$A$999,Veda!$E$5,ar6_r10!$C$2:$C$999,Veda!K$17,ar6_r10!$M$2:$M$999,Veda!$G15)</f>
        <v>1.31</v>
      </c>
      <c r="L15" s="11">
        <f>SUMIFS(ar6_r10!$F$2:$F$999,ar6_r10!$A$2:$A$999,Veda!$E$5,ar6_r10!$C$2:$C$999,Veda!L$17,ar6_r10!$M$2:$M$999,Veda!$G15)</f>
        <v>1.5</v>
      </c>
      <c r="M15" s="11">
        <f>SUMIFS(ar6_r10!$F$2:$F$999,ar6_r10!$A$2:$A$999,Veda!$E$5,ar6_r10!$C$2:$C$999,Veda!M$17,ar6_r10!$M$2:$M$999,Veda!$G15)</f>
        <v>1.72</v>
      </c>
      <c r="N15" s="11">
        <f>SUMIFS(ar6_r10!$F$2:$F$999,ar6_r10!$A$2:$A$999,Veda!$E$5,ar6_r10!$C$2:$C$999,Veda!N$17,ar6_r10!$M$2:$M$999,Veda!$G15)</f>
        <v>2.13</v>
      </c>
      <c r="O15" s="11">
        <f>SUMIFS(ar6_r10!$F$2:$F$999,ar6_r10!$A$2:$A$999,Veda!$E$5,ar6_r10!$C$2:$C$999,Veda!O$17,ar6_r10!$M$2:$M$999,Veda!$G15)</f>
        <v>2.5099999999999998</v>
      </c>
      <c r="AG15">
        <v>7</v>
      </c>
      <c r="AH15" t="s">
        <v>129</v>
      </c>
      <c r="AI15" t="str">
        <f t="shared" si="3"/>
        <v>ts_144</v>
      </c>
      <c r="AJ15" s="10">
        <f t="shared" ref="AJ15:AJ78" si="6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(67%).x12</v>
      </c>
      <c r="C16">
        <f t="shared" si="2"/>
        <v>8</v>
      </c>
      <c r="D16" t="str">
        <f t="shared" si="1"/>
        <v>ts_12t</v>
      </c>
      <c r="E16" t="str">
        <f t="shared" si="5"/>
        <v>C3</v>
      </c>
      <c r="S16" s="5" t="s">
        <v>12</v>
      </c>
      <c r="AG16">
        <v>8</v>
      </c>
      <c r="AH16" t="s">
        <v>130</v>
      </c>
      <c r="AI16" t="str">
        <f t="shared" si="3"/>
        <v>ts_288</v>
      </c>
      <c r="AJ16" s="10">
        <f t="shared" si="6"/>
        <v>2</v>
      </c>
    </row>
    <row r="17" spans="1:36" ht="15" customHeight="1" thickTop="1" thickBot="1" x14ac:dyDescent="0.5">
      <c r="A17">
        <v>5</v>
      </c>
      <c r="B17" t="str">
        <f t="shared" si="0"/>
        <v>b 2 deg (50%).x12</v>
      </c>
      <c r="C17">
        <f t="shared" si="2"/>
        <v>9</v>
      </c>
      <c r="D17" t="str">
        <f t="shared" si="1"/>
        <v>ts_12t</v>
      </c>
      <c r="E17" t="str">
        <f t="shared" si="5"/>
        <v>C4</v>
      </c>
      <c r="I17" s="7">
        <v>2020</v>
      </c>
      <c r="J17" s="7">
        <f t="shared" ref="J17:O17" si="7">U17</f>
        <v>2025</v>
      </c>
      <c r="K17" s="7">
        <f t="shared" si="7"/>
        <v>2030</v>
      </c>
      <c r="L17" s="7">
        <f t="shared" si="7"/>
        <v>2035</v>
      </c>
      <c r="M17" s="7">
        <f t="shared" si="7"/>
        <v>2040</v>
      </c>
      <c r="N17" s="7">
        <f t="shared" si="7"/>
        <v>2045</v>
      </c>
      <c r="O17" s="7">
        <f t="shared" si="7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123</v>
      </c>
      <c r="AI17" t="s">
        <v>125</v>
      </c>
      <c r="AJ17" s="10">
        <f t="shared" si="6"/>
        <v>2</v>
      </c>
    </row>
    <row r="18" spans="1:36" x14ac:dyDescent="0.45">
      <c r="A18">
        <v>5</v>
      </c>
      <c r="B18" t="str">
        <f t="shared" si="0"/>
        <v>a 3 deg.x12</v>
      </c>
      <c r="C18">
        <f t="shared" si="2"/>
        <v>10</v>
      </c>
      <c r="D18" t="str">
        <f t="shared" si="1"/>
        <v>ts_12t</v>
      </c>
      <c r="E18" t="str">
        <f t="shared" si="5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0.02</v>
      </c>
      <c r="N18" s="11">
        <f>SUMIFS(ar6_r10!$F$2:$F$999,ar6_r10!$A$2:$A$999,Veda!$E$5,ar6_r10!$C$2:$C$999,Veda!N$17,ar6_r10!$M$2:$M$999,Veda!$G18)</f>
        <v>0.03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8">I18*T$14</f>
        <v>0</v>
      </c>
      <c r="U18" s="6">
        <f t="shared" si="8"/>
        <v>0</v>
      </c>
      <c r="V18" s="6">
        <f t="shared" si="8"/>
        <v>0</v>
      </c>
      <c r="W18" s="6">
        <f t="shared" si="8"/>
        <v>1.6728000000000001</v>
      </c>
      <c r="X18" s="6">
        <f t="shared" si="8"/>
        <v>3.8362879999999997</v>
      </c>
      <c r="Y18" s="6">
        <f t="shared" si="8"/>
        <v>7.1261279999999987</v>
      </c>
      <c r="Z18" s="6">
        <f t="shared" si="8"/>
        <v>8.3974559999999983</v>
      </c>
      <c r="AA18" t="s">
        <v>17</v>
      </c>
      <c r="AC18" s="2"/>
      <c r="AG18">
        <v>10</v>
      </c>
      <c r="AH18" t="s">
        <v>126</v>
      </c>
      <c r="AI18" t="s">
        <v>127</v>
      </c>
      <c r="AJ18" s="10">
        <f t="shared" si="6"/>
        <v>2</v>
      </c>
    </row>
    <row r="19" spans="1:36" x14ac:dyDescent="0.45">
      <c r="A19">
        <v>5</v>
      </c>
      <c r="B19" t="str">
        <f t="shared" si="0"/>
        <v>e 1.5 deg no OS.ts_012</v>
      </c>
      <c r="C19">
        <f t="shared" si="2"/>
        <v>11</v>
      </c>
      <c r="D19" t="str">
        <f t="shared" si="1"/>
        <v>ts_012</v>
      </c>
      <c r="E19" t="str">
        <f t="shared" si="5"/>
        <v>C1</v>
      </c>
      <c r="G19" t="s">
        <v>18</v>
      </c>
      <c r="I19" s="11">
        <f>SUMIFS(ar6_r10!$F$2:$F$999,ar6_r10!$A$2:$A$999,Veda!$E$5,ar6_r10!$C$2:$C$999,Veda!I$17,ar6_r10!$M$2:$M$999,Veda!$G19)</f>
        <v>0.46</v>
      </c>
      <c r="J19" s="11">
        <f>SUMIFS(ar6_r10!$F$2:$F$999,ar6_r10!$A$2:$A$999,Veda!$E$5,ar6_r10!$C$2:$C$999,Veda!J$17,ar6_r10!$M$2:$M$999,Veda!$G19)</f>
        <v>0.42</v>
      </c>
      <c r="K19" s="11">
        <f>SUMIFS(ar6_r10!$F$2:$F$999,ar6_r10!$A$2:$A$999,Veda!$E$5,ar6_r10!$C$2:$C$999,Veda!K$17,ar6_r10!$M$2:$M$999,Veda!$G19)</f>
        <v>0.44</v>
      </c>
      <c r="L19" s="11">
        <f>SUMIFS(ar6_r10!$F$2:$F$999,ar6_r10!$A$2:$A$999,Veda!$E$5,ar6_r10!$C$2:$C$999,Veda!L$17,ar6_r10!$M$2:$M$999,Veda!$G19)</f>
        <v>0.43</v>
      </c>
      <c r="M19" s="11">
        <f>SUMIFS(ar6_r10!$F$2:$F$999,ar6_r10!$A$2:$A$999,Veda!$E$5,ar6_r10!$C$2:$C$999,Veda!M$17,ar6_r10!$M$2:$M$999,Veda!$G19)</f>
        <v>0.41</v>
      </c>
      <c r="N19" s="11">
        <f>SUMIFS(ar6_r10!$F$2:$F$999,ar6_r10!$A$2:$A$999,Veda!$E$5,ar6_r10!$C$2:$C$999,Veda!N$17,ar6_r10!$M$2:$M$999,Veda!$G19)</f>
        <v>0.43</v>
      </c>
      <c r="O19" s="11">
        <f>SUMIFS(ar6_r10!$F$2:$F$999,ar6_r10!$A$2:$A$999,Veda!$E$5,ar6_r10!$C$2:$C$999,Veda!O$17,ar6_r10!$M$2:$M$999,Veda!$G19)</f>
        <v>0.39</v>
      </c>
      <c r="S19" s="10" t="s">
        <v>19</v>
      </c>
      <c r="T19" s="6">
        <f t="shared" si="8"/>
        <v>51.299199999999999</v>
      </c>
      <c r="U19" s="6">
        <f t="shared" si="8"/>
        <v>54.332543999999992</v>
      </c>
      <c r="V19" s="6">
        <f t="shared" si="8"/>
        <v>64.280128000000005</v>
      </c>
      <c r="W19" s="6">
        <f t="shared" si="8"/>
        <v>71.930400000000006</v>
      </c>
      <c r="X19" s="6">
        <f t="shared" si="8"/>
        <v>78.643903999999992</v>
      </c>
      <c r="Y19" s="6">
        <f t="shared" si="8"/>
        <v>102.14116799999998</v>
      </c>
      <c r="Z19" s="6">
        <f t="shared" si="8"/>
        <v>109.166928</v>
      </c>
      <c r="AA19" t="s">
        <v>17</v>
      </c>
      <c r="AG19">
        <v>11</v>
      </c>
      <c r="AH19" t="s">
        <v>101</v>
      </c>
      <c r="AI19" t="s">
        <v>106</v>
      </c>
      <c r="AJ19" s="10">
        <f t="shared" si="6"/>
        <v>3</v>
      </c>
    </row>
    <row r="20" spans="1:36" x14ac:dyDescent="0.45">
      <c r="A20">
        <v>5</v>
      </c>
      <c r="B20" t="str">
        <f t="shared" si="0"/>
        <v>d 1.5 deg OS.ts_012</v>
      </c>
      <c r="C20">
        <f t="shared" si="2"/>
        <v>12</v>
      </c>
      <c r="D20" t="str">
        <f t="shared" si="1"/>
        <v>ts_012</v>
      </c>
      <c r="E20" t="str">
        <f t="shared" si="5"/>
        <v>C2</v>
      </c>
      <c r="G20" t="s">
        <v>21</v>
      </c>
      <c r="I20" s="11">
        <f>SUMIFS(ar6_r10!$F$2:$F$999,ar6_r10!$A$2:$A$999,Veda!$E$5,ar6_r10!$C$2:$C$999,Veda!I$17,ar6_r10!$M$2:$M$999,Veda!$G20)</f>
        <v>0.53</v>
      </c>
      <c r="J20" s="11">
        <f>SUMIFS(ar6_r10!$F$2:$F$999,ar6_r10!$A$2:$A$999,Veda!$E$5,ar6_r10!$C$2:$C$999,Veda!J$17,ar6_r10!$M$2:$M$999,Veda!$G20)</f>
        <v>0.56000000000000005</v>
      </c>
      <c r="K20" s="11">
        <f>SUMIFS(ar6_r10!$F$2:$F$999,ar6_r10!$A$2:$A$999,Veda!$E$5,ar6_r10!$C$2:$C$999,Veda!K$17,ar6_r10!$M$2:$M$999,Veda!$G20)</f>
        <v>0.53</v>
      </c>
      <c r="L20" s="11">
        <f>SUMIFS(ar6_r10!$F$2:$F$999,ar6_r10!$A$2:$A$999,Veda!$E$5,ar6_r10!$C$2:$C$999,Veda!L$17,ar6_r10!$M$2:$M$999,Veda!$G20)</f>
        <v>0.52</v>
      </c>
      <c r="M20" s="11">
        <f>SUMIFS(ar6_r10!$F$2:$F$999,ar6_r10!$A$2:$A$999,Veda!$E$5,ar6_r10!$C$2:$C$999,Veda!M$17,ar6_r10!$M$2:$M$999,Veda!$G20)</f>
        <v>0.52</v>
      </c>
      <c r="N20" s="11">
        <f>SUMIFS(ar6_r10!$F$2:$F$999,ar6_r10!$A$2:$A$999,Veda!$E$5,ar6_r10!$C$2:$C$999,Veda!N$17,ar6_r10!$M$2:$M$999,Veda!$G20)</f>
        <v>0.5</v>
      </c>
      <c r="O20" s="11">
        <f>SUMIFS(ar6_r10!$F$2:$F$999,ar6_r10!$A$2:$A$999,Veda!$E$5,ar6_r10!$C$2:$C$999,Veda!O$17,ar6_r10!$M$2:$M$999,Veda!$G20)</f>
        <v>0.49</v>
      </c>
      <c r="S20" s="10" t="s">
        <v>22</v>
      </c>
      <c r="T20" s="6">
        <f t="shared" si="8"/>
        <v>59.105600000000003</v>
      </c>
      <c r="U20" s="6">
        <f t="shared" si="8"/>
        <v>72.443391999999989</v>
      </c>
      <c r="V20" s="6">
        <f t="shared" si="8"/>
        <v>77.428336000000016</v>
      </c>
      <c r="W20" s="6">
        <f t="shared" si="8"/>
        <v>86.985600000000005</v>
      </c>
      <c r="X20" s="6">
        <f t="shared" si="8"/>
        <v>99.743487999999985</v>
      </c>
      <c r="Y20" s="6">
        <f t="shared" si="8"/>
        <v>118.76879999999998</v>
      </c>
      <c r="Z20" s="6">
        <f t="shared" si="8"/>
        <v>137.15844799999999</v>
      </c>
      <c r="AA20" t="s">
        <v>17</v>
      </c>
      <c r="AG20">
        <v>12</v>
      </c>
      <c r="AH20" t="s">
        <v>102</v>
      </c>
      <c r="AI20" t="s">
        <v>111</v>
      </c>
      <c r="AJ20" s="10">
        <f t="shared" si="6"/>
        <v>3</v>
      </c>
    </row>
    <row r="21" spans="1:36" x14ac:dyDescent="0.45">
      <c r="A21">
        <v>5</v>
      </c>
      <c r="B21" t="str">
        <f t="shared" si="0"/>
        <v>c 2 deg (67%).ts_012</v>
      </c>
      <c r="C21">
        <f t="shared" si="2"/>
        <v>13</v>
      </c>
      <c r="D21" t="str">
        <f t="shared" si="1"/>
        <v>ts_012</v>
      </c>
      <c r="E21" t="str">
        <f t="shared" si="5"/>
        <v>C3</v>
      </c>
      <c r="G21" t="s">
        <v>23</v>
      </c>
      <c r="I21" s="11">
        <f>SUMIFS(ar6_r10!$F$2:$F$999,ar6_r10!$A$2:$A$999,Veda!$E$5,ar6_r10!$C$2:$C$999,Veda!I$17,ar6_r10!$M$2:$M$999,Veda!$G21)</f>
        <v>0.01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0.02</v>
      </c>
      <c r="L21" s="11">
        <f>SUMIFS(ar6_r10!$F$2:$F$999,ar6_r10!$A$2:$A$999,Veda!$E$5,ar6_r10!$C$2:$C$999,Veda!L$17,ar6_r10!$M$2:$M$999,Veda!$G21)</f>
        <v>0.03</v>
      </c>
      <c r="M21" s="11">
        <f>SUMIFS(ar6_r10!$F$2:$F$999,ar6_r10!$A$2:$A$999,Veda!$E$5,ar6_r10!$C$2:$C$999,Veda!M$17,ar6_r10!$M$2:$M$999,Veda!$G21)</f>
        <v>0.04</v>
      </c>
      <c r="N21" s="11">
        <f>SUMIFS(ar6_r10!$F$2:$F$999,ar6_r10!$A$2:$A$999,Veda!$E$5,ar6_r10!$C$2:$C$999,Veda!N$17,ar6_r10!$M$2:$M$999,Veda!$G21)</f>
        <v>0.06</v>
      </c>
      <c r="O21" s="11">
        <f>SUMIFS(ar6_r10!$F$2:$F$999,ar6_r10!$A$2:$A$999,Veda!$E$5,ar6_r10!$C$2:$C$999,Veda!O$17,ar6_r10!$M$2:$M$999,Veda!$G21)</f>
        <v>0.08</v>
      </c>
      <c r="S21" s="10" t="s">
        <v>24</v>
      </c>
      <c r="T21" s="6">
        <f>I21*T$14</f>
        <v>1.1152</v>
      </c>
      <c r="U21" s="6">
        <f t="shared" ref="U21:Z21" si="9">T21</f>
        <v>1.1152</v>
      </c>
      <c r="V21" s="6">
        <f t="shared" si="9"/>
        <v>1.1152</v>
      </c>
      <c r="W21" s="6">
        <f t="shared" si="9"/>
        <v>1.1152</v>
      </c>
      <c r="X21" s="6">
        <f t="shared" si="9"/>
        <v>1.1152</v>
      </c>
      <c r="Y21" s="6">
        <f t="shared" si="9"/>
        <v>1.1152</v>
      </c>
      <c r="Z21" s="6">
        <f t="shared" si="9"/>
        <v>1.1152</v>
      </c>
      <c r="AA21" t="s">
        <v>17</v>
      </c>
      <c r="AC21" s="2" t="s">
        <v>20</v>
      </c>
      <c r="AJ21" s="10">
        <f t="shared" si="6"/>
        <v>3</v>
      </c>
    </row>
    <row r="22" spans="1:36" x14ac:dyDescent="0.45">
      <c r="A22">
        <v>5</v>
      </c>
      <c r="B22" t="str">
        <f t="shared" si="0"/>
        <v>b 2 deg (50%).ts_012</v>
      </c>
      <c r="C22">
        <f t="shared" si="2"/>
        <v>14</v>
      </c>
      <c r="D22" t="str">
        <f t="shared" si="1"/>
        <v>ts_012</v>
      </c>
      <c r="E22" t="str">
        <f t="shared" si="5"/>
        <v>C4</v>
      </c>
      <c r="S22" s="10" t="s">
        <v>25</v>
      </c>
      <c r="T22" s="6">
        <f t="shared" ref="T22:Z22" si="10">T14-SUM(T19:T21)</f>
        <v>0</v>
      </c>
      <c r="U22" s="6">
        <f t="shared" si="10"/>
        <v>1.4720640000000031</v>
      </c>
      <c r="V22" s="6">
        <f t="shared" si="10"/>
        <v>3.2675360000000069</v>
      </c>
      <c r="W22" s="6">
        <f t="shared" si="10"/>
        <v>7.248800000000017</v>
      </c>
      <c r="X22" s="6">
        <f t="shared" si="10"/>
        <v>12.311808000000013</v>
      </c>
      <c r="Y22" s="6">
        <f t="shared" si="10"/>
        <v>15.512432000000018</v>
      </c>
      <c r="Z22" s="6">
        <f t="shared" si="10"/>
        <v>32.474623999999977</v>
      </c>
      <c r="AA22" t="s">
        <v>17</v>
      </c>
      <c r="AJ22" s="10">
        <f t="shared" si="6"/>
        <v>3</v>
      </c>
    </row>
    <row r="23" spans="1:36" x14ac:dyDescent="0.45">
      <c r="A23">
        <v>5</v>
      </c>
      <c r="B23" t="str">
        <f t="shared" si="0"/>
        <v>a 3 deg.ts_012</v>
      </c>
      <c r="C23">
        <f t="shared" si="2"/>
        <v>15</v>
      </c>
      <c r="D23" t="str">
        <f t="shared" si="1"/>
        <v>ts_012</v>
      </c>
      <c r="E23" t="str">
        <f t="shared" si="5"/>
        <v>C7</v>
      </c>
      <c r="S23" t="s">
        <v>26</v>
      </c>
      <c r="AJ23" s="10">
        <f t="shared" si="6"/>
        <v>3</v>
      </c>
    </row>
    <row r="24" spans="1:36" ht="14.65" customHeight="1" x14ac:dyDescent="0.45">
      <c r="A24">
        <v>5</v>
      </c>
      <c r="B24" t="str">
        <f t="shared" si="0"/>
        <v>e 1.5 deg no OS.ts_030</v>
      </c>
      <c r="C24">
        <f t="shared" si="2"/>
        <v>16</v>
      </c>
      <c r="D24" t="str">
        <f t="shared" si="1"/>
        <v>ts_030</v>
      </c>
      <c r="E24" t="str">
        <f t="shared" si="5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55.79</v>
      </c>
      <c r="L24" s="8">
        <f>SUMIFS(ar6_r10!$F$2:$F$999,ar6_r10!$A$2:$A$999,Veda!$E$5,ar6_r10!$C$2:$C$999,Veda!L$17,ar6_r10!$M$2:$M$999,Veda!$G24)</f>
        <v>89.54</v>
      </c>
      <c r="M24" s="8">
        <f>SUMIFS(ar6_r10!$F$2:$F$999,ar6_r10!$A$2:$A$999,Veda!$E$5,ar6_r10!$C$2:$C$999,Veda!M$17,ar6_r10!$M$2:$M$999,Veda!$G24)</f>
        <v>128.22999999999999</v>
      </c>
      <c r="N24" s="8">
        <f>SUMIFS(ar6_r10!$F$2:$F$999,ar6_r10!$A$2:$A$999,Veda!$E$5,ar6_r10!$C$2:$C$999,Veda!N$17,ar6_r10!$M$2:$M$999,Veda!$G24)</f>
        <v>171.82</v>
      </c>
      <c r="O24" s="8">
        <f>SUMIFS(ar6_r10!$F$2:$F$999,ar6_r10!$A$2:$A$999,Veda!$E$5,ar6_r10!$C$2:$C$999,Veda!O$17,ar6_r10!$M$2:$M$999,Veda!$G24)</f>
        <v>208.87</v>
      </c>
      <c r="S24" t="s">
        <v>28</v>
      </c>
      <c r="U24">
        <v>0</v>
      </c>
      <c r="V24" s="11">
        <f>K24/1000</f>
        <v>5.5789999999999999E-2</v>
      </c>
      <c r="W24" s="11">
        <f>L24/1000</f>
        <v>8.9540000000000008E-2</v>
      </c>
      <c r="X24" s="11">
        <f>M24/1000</f>
        <v>0.12822999999999998</v>
      </c>
      <c r="Y24" s="11">
        <f>N24/1000</f>
        <v>0.17182</v>
      </c>
      <c r="Z24" s="11">
        <f>O24/1000</f>
        <v>0.20887</v>
      </c>
      <c r="AA24" t="s">
        <v>29</v>
      </c>
      <c r="AJ24" s="10">
        <f t="shared" si="6"/>
        <v>4</v>
      </c>
    </row>
    <row r="25" spans="1:36" ht="14.65" customHeight="1" x14ac:dyDescent="0.45">
      <c r="A25">
        <v>5</v>
      </c>
      <c r="B25" t="str">
        <f t="shared" si="0"/>
        <v>d 1.5 deg OS.ts_030</v>
      </c>
      <c r="C25">
        <f t="shared" si="2"/>
        <v>17</v>
      </c>
      <c r="D25" t="str">
        <f t="shared" si="1"/>
        <v>ts_030</v>
      </c>
      <c r="E25" t="str">
        <f t="shared" si="5"/>
        <v>C2</v>
      </c>
      <c r="AJ25" s="10">
        <f t="shared" si="6"/>
        <v>4</v>
      </c>
    </row>
    <row r="26" spans="1:36" ht="17.649999999999999" customHeight="1" thickBot="1" x14ac:dyDescent="0.6">
      <c r="A26">
        <v>5</v>
      </c>
      <c r="B26" t="str">
        <f t="shared" si="0"/>
        <v>c 2 deg (67%).ts_030</v>
      </c>
      <c r="C26">
        <f t="shared" si="2"/>
        <v>18</v>
      </c>
      <c r="D26" t="str">
        <f t="shared" si="1"/>
        <v>ts_030</v>
      </c>
      <c r="E26" t="str">
        <f t="shared" si="5"/>
        <v>C3</v>
      </c>
      <c r="S26" s="5" t="s">
        <v>12</v>
      </c>
      <c r="AJ26" s="10">
        <f t="shared" si="6"/>
        <v>4</v>
      </c>
    </row>
    <row r="27" spans="1:36" ht="15" customHeight="1" thickTop="1" thickBot="1" x14ac:dyDescent="0.5">
      <c r="A27">
        <v>5</v>
      </c>
      <c r="B27" t="str">
        <f t="shared" si="0"/>
        <v>b 2 deg (50%).ts_030</v>
      </c>
      <c r="C27">
        <f t="shared" si="2"/>
        <v>19</v>
      </c>
      <c r="D27" t="str">
        <f t="shared" si="1"/>
        <v>ts_030</v>
      </c>
      <c r="E27" t="str">
        <f t="shared" si="5"/>
        <v>C4</v>
      </c>
      <c r="S27" s="4" t="s">
        <v>30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31</v>
      </c>
      <c r="AJ27" s="10">
        <f t="shared" si="6"/>
        <v>4</v>
      </c>
    </row>
    <row r="28" spans="1:36" ht="14.65" customHeight="1" thickBot="1" x14ac:dyDescent="0.5">
      <c r="A28">
        <v>5</v>
      </c>
      <c r="B28" t="str">
        <f t="shared" si="0"/>
        <v>a 3 deg.ts_030</v>
      </c>
      <c r="C28">
        <f t="shared" si="2"/>
        <v>20</v>
      </c>
      <c r="D28" t="str">
        <f t="shared" si="1"/>
        <v>ts_030</v>
      </c>
      <c r="E28" t="str">
        <f t="shared" si="5"/>
        <v>C7</v>
      </c>
      <c r="Q28" s="3">
        <f>SUMIFS(iea_data!G3:G9999,iea_data!$B$3:$B$9999,Veda!$S$11)</f>
        <v>0</v>
      </c>
      <c r="S28" t="s">
        <v>32</v>
      </c>
      <c r="T28" s="3">
        <f>Q28</f>
        <v>0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6"/>
        <v>4</v>
      </c>
    </row>
    <row r="29" spans="1:36" ht="15" customHeight="1" thickTop="1" thickBot="1" x14ac:dyDescent="0.5">
      <c r="A29">
        <v>5</v>
      </c>
      <c r="B29" t="str">
        <f t="shared" si="0"/>
        <v>e 1.5 deg no OS.ts_048</v>
      </c>
      <c r="C29">
        <f t="shared" si="2"/>
        <v>21</v>
      </c>
      <c r="D29" t="str">
        <f t="shared" si="1"/>
        <v>ts_048</v>
      </c>
      <c r="E29" t="str">
        <f t="shared" si="5"/>
        <v>C1</v>
      </c>
      <c r="Q29" s="3">
        <f>SUMIFS(iea_data!H3:H9999,iea_data!$B$3:$B$9999,Veda!$S$11)</f>
        <v>0</v>
      </c>
      <c r="S29" t="s">
        <v>35</v>
      </c>
      <c r="T29" s="3">
        <f>-1*Q29</f>
        <v>0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6"/>
        <v>5</v>
      </c>
    </row>
    <row r="30" spans="1:36" ht="14.65" customHeight="1" thickTop="1" x14ac:dyDescent="0.45">
      <c r="A30">
        <v>5</v>
      </c>
      <c r="B30" t="str">
        <f t="shared" si="0"/>
        <v>d 1.5 deg OS.ts_048</v>
      </c>
      <c r="C30">
        <f t="shared" si="2"/>
        <v>22</v>
      </c>
      <c r="D30" t="str">
        <f t="shared" si="1"/>
        <v>ts_048</v>
      </c>
      <c r="E30" t="str">
        <f t="shared" si="5"/>
        <v>C2</v>
      </c>
      <c r="AJ30" s="10">
        <f t="shared" si="6"/>
        <v>5</v>
      </c>
    </row>
    <row r="31" spans="1:36" x14ac:dyDescent="0.45">
      <c r="A31">
        <v>5</v>
      </c>
      <c r="B31" t="str">
        <f t="shared" si="0"/>
        <v>c 2 deg (67%).ts_048</v>
      </c>
      <c r="C31">
        <f t="shared" si="2"/>
        <v>23</v>
      </c>
      <c r="D31" t="str">
        <f t="shared" si="1"/>
        <v>ts_048</v>
      </c>
      <c r="E31" t="str">
        <f t="shared" si="5"/>
        <v>C3</v>
      </c>
      <c r="AJ31" s="10">
        <f t="shared" si="6"/>
        <v>5</v>
      </c>
    </row>
    <row r="32" spans="1:36" x14ac:dyDescent="0.45">
      <c r="A32">
        <v>5</v>
      </c>
      <c r="B32" t="str">
        <f t="shared" si="0"/>
        <v>b 2 deg (50%).ts_048</v>
      </c>
      <c r="C32">
        <f t="shared" si="2"/>
        <v>24</v>
      </c>
      <c r="D32" t="str">
        <f t="shared" si="1"/>
        <v>ts_048</v>
      </c>
      <c r="E32" t="str">
        <f t="shared" si="5"/>
        <v>C4</v>
      </c>
      <c r="AJ32" s="10">
        <f t="shared" si="6"/>
        <v>5</v>
      </c>
    </row>
    <row r="33" spans="1:36" x14ac:dyDescent="0.45">
      <c r="A33">
        <v>5</v>
      </c>
      <c r="B33" t="str">
        <f t="shared" si="0"/>
        <v>a 3 deg.ts_048</v>
      </c>
      <c r="C33">
        <f t="shared" si="2"/>
        <v>25</v>
      </c>
      <c r="D33" t="str">
        <f t="shared" si="1"/>
        <v>ts_048</v>
      </c>
      <c r="E33" t="str">
        <f t="shared" si="5"/>
        <v>C7</v>
      </c>
      <c r="AJ33" s="10">
        <f t="shared" si="6"/>
        <v>5</v>
      </c>
    </row>
    <row r="34" spans="1:36" x14ac:dyDescent="0.45">
      <c r="A34">
        <v>5</v>
      </c>
      <c r="B34" t="str">
        <f t="shared" si="0"/>
        <v>e 1.5 deg no OS.ts_072</v>
      </c>
      <c r="C34">
        <f t="shared" si="2"/>
        <v>26</v>
      </c>
      <c r="D34" t="str">
        <f t="shared" si="1"/>
        <v>ts_072</v>
      </c>
      <c r="E34" t="str">
        <f t="shared" si="5"/>
        <v>C1</v>
      </c>
      <c r="AJ34" s="10">
        <f t="shared" si="6"/>
        <v>6</v>
      </c>
    </row>
    <row r="35" spans="1:36" x14ac:dyDescent="0.45">
      <c r="A35">
        <v>5</v>
      </c>
      <c r="B35" t="str">
        <f t="shared" si="0"/>
        <v>d 1.5 deg OS.ts_072</v>
      </c>
      <c r="C35">
        <f t="shared" si="2"/>
        <v>27</v>
      </c>
      <c r="D35" t="str">
        <f t="shared" si="1"/>
        <v>ts_072</v>
      </c>
      <c r="E35" t="str">
        <f t="shared" si="5"/>
        <v>C2</v>
      </c>
      <c r="AJ35" s="10">
        <f t="shared" si="6"/>
        <v>6</v>
      </c>
    </row>
    <row r="36" spans="1:36" x14ac:dyDescent="0.45">
      <c r="A36">
        <v>5</v>
      </c>
      <c r="B36" t="str">
        <f t="shared" si="0"/>
        <v>c 2 deg (67%).ts_072</v>
      </c>
      <c r="C36">
        <f t="shared" si="2"/>
        <v>28</v>
      </c>
      <c r="D36" t="str">
        <f t="shared" si="1"/>
        <v>ts_072</v>
      </c>
      <c r="E36" t="str">
        <f t="shared" si="5"/>
        <v>C3</v>
      </c>
      <c r="G36" s="2" t="s">
        <v>9</v>
      </c>
      <c r="AJ36" s="10">
        <f t="shared" si="6"/>
        <v>6</v>
      </c>
    </row>
    <row r="37" spans="1:36" x14ac:dyDescent="0.45">
      <c r="A37">
        <v>5</v>
      </c>
      <c r="B37" t="str">
        <f t="shared" si="0"/>
        <v>b 2 deg (50%).ts_072</v>
      </c>
      <c r="C37">
        <f t="shared" si="2"/>
        <v>29</v>
      </c>
      <c r="D37" t="str">
        <f t="shared" si="1"/>
        <v>ts_072</v>
      </c>
      <c r="E37" t="str">
        <f t="shared" si="5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1.08</v>
      </c>
      <c r="K37" s="11">
        <f>SUMIFS(ar6_r10!$F$2:$F$999,ar6_r10!$A$2:$A$999,Veda!$G$36,ar6_r10!$C$2:$C$999,Veda!K$17,ar6_r10!$M$2:$M$999,Veda!$G37)</f>
        <v>1.29</v>
      </c>
      <c r="L37" s="11">
        <f>SUMIFS(ar6_r10!$F$2:$F$999,ar6_r10!$A$2:$A$999,Veda!$G$36,ar6_r10!$C$2:$C$999,Veda!L$17,ar6_r10!$M$2:$M$999,Veda!$G37)</f>
        <v>1.28</v>
      </c>
      <c r="M37" s="11">
        <f>SUMIFS(ar6_r10!$F$2:$F$999,ar6_r10!$A$2:$A$999,Veda!$G$36,ar6_r10!$C$2:$C$999,Veda!M$17,ar6_r10!$M$2:$M$999,Veda!$G37)</f>
        <v>1.4</v>
      </c>
      <c r="N37" s="11">
        <f>SUMIFS(ar6_r10!$F$2:$F$999,ar6_r10!$A$2:$A$999,Veda!$G$36,ar6_r10!$C$2:$C$999,Veda!N$17,ar6_r10!$M$2:$M$999,Veda!$G37)</f>
        <v>1.48</v>
      </c>
      <c r="O37" s="11">
        <f>SUMIFS(ar6_r10!$F$2:$F$999,ar6_r10!$A$2:$A$999,Veda!$G$36,ar6_r10!$C$2:$C$999,Veda!O$17,ar6_r10!$M$2:$M$999,Veda!$G37)</f>
        <v>1.53</v>
      </c>
      <c r="AJ37" s="10">
        <f t="shared" si="6"/>
        <v>6</v>
      </c>
    </row>
    <row r="38" spans="1:36" x14ac:dyDescent="0.45">
      <c r="A38">
        <v>5</v>
      </c>
      <c r="B38" t="str">
        <f t="shared" si="0"/>
        <v>a 3 deg.ts_072</v>
      </c>
      <c r="C38">
        <f t="shared" si="2"/>
        <v>30</v>
      </c>
      <c r="D38" t="str">
        <f t="shared" si="1"/>
        <v>ts_072</v>
      </c>
      <c r="E38" t="str">
        <f t="shared" si="5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1.04</v>
      </c>
      <c r="K38" s="11">
        <f>SUMIFS(ar6_r10!$F$2:$F$999,ar6_r10!$A$2:$A$999,Veda!$G$36,ar6_r10!$C$2:$C$999,Veda!K$17,ar6_r10!$M$2:$M$999,Veda!$G38)</f>
        <v>1.1100000000000001</v>
      </c>
      <c r="L38" s="11">
        <f>SUMIFS(ar6_r10!$F$2:$F$999,ar6_r10!$A$2:$A$999,Veda!$G$36,ar6_r10!$C$2:$C$999,Veda!L$17,ar6_r10!$M$2:$M$999,Veda!$G38)</f>
        <v>1.1399999999999999</v>
      </c>
      <c r="M38" s="11">
        <f>SUMIFS(ar6_r10!$F$2:$F$999,ar6_r10!$A$2:$A$999,Veda!$G$36,ar6_r10!$C$2:$C$999,Veda!M$17,ar6_r10!$M$2:$M$999,Veda!$G38)</f>
        <v>1.1599999999999999</v>
      </c>
      <c r="N38" s="11">
        <f>SUMIFS(ar6_r10!$F$2:$F$999,ar6_r10!$A$2:$A$999,Veda!$G$36,ar6_r10!$C$2:$C$999,Veda!N$17,ar6_r10!$M$2:$M$999,Veda!$G38)</f>
        <v>1.18</v>
      </c>
      <c r="O38" s="11">
        <f>SUMIFS(ar6_r10!$F$2:$F$999,ar6_r10!$A$2:$A$999,Veda!$G$36,ar6_r10!$C$2:$C$999,Veda!O$17,ar6_r10!$M$2:$M$999,Veda!$G38)</f>
        <v>1.19</v>
      </c>
      <c r="AJ38" s="10">
        <f t="shared" si="6"/>
        <v>6</v>
      </c>
    </row>
    <row r="39" spans="1:36" x14ac:dyDescent="0.45">
      <c r="A39">
        <v>5</v>
      </c>
      <c r="B39" t="str">
        <f t="shared" si="0"/>
        <v>e 1.5 deg no OS.ts_144</v>
      </c>
      <c r="C39">
        <f t="shared" si="2"/>
        <v>31</v>
      </c>
      <c r="D39" t="str">
        <f t="shared" si="1"/>
        <v>ts_144</v>
      </c>
      <c r="E39" t="str">
        <f t="shared" si="5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1.17</v>
      </c>
      <c r="K39" s="11">
        <f>SUMIFS(ar6_r10!$F$2:$F$999,ar6_r10!$A$2:$A$999,Veda!$G$36,ar6_r10!$C$2:$C$999,Veda!K$17,ar6_r10!$M$2:$M$999,Veda!$G39)</f>
        <v>1.34</v>
      </c>
      <c r="L39" s="11">
        <f>SUMIFS(ar6_r10!$F$2:$F$999,ar6_r10!$A$2:$A$999,Veda!$G$36,ar6_r10!$C$2:$C$999,Veda!L$17,ar6_r10!$M$2:$M$999,Veda!$G39)</f>
        <v>1.33</v>
      </c>
      <c r="M39" s="11">
        <f>SUMIFS(ar6_r10!$F$2:$F$999,ar6_r10!$A$2:$A$999,Veda!$G$36,ar6_r10!$C$2:$C$999,Veda!M$17,ar6_r10!$M$2:$M$999,Veda!$G39)</f>
        <v>1.44</v>
      </c>
      <c r="N39" s="11">
        <f>SUMIFS(ar6_r10!$F$2:$F$999,ar6_r10!$A$2:$A$999,Veda!$G$36,ar6_r10!$C$2:$C$999,Veda!N$17,ar6_r10!$M$2:$M$999,Veda!$G39)</f>
        <v>1.63</v>
      </c>
      <c r="O39" s="11">
        <f>SUMIFS(ar6_r10!$F$2:$F$999,ar6_r10!$A$2:$A$999,Veda!$G$36,ar6_r10!$C$2:$C$999,Veda!O$17,ar6_r10!$M$2:$M$999,Veda!$G39)</f>
        <v>1.89</v>
      </c>
      <c r="AJ39" s="10">
        <f t="shared" si="6"/>
        <v>7</v>
      </c>
    </row>
    <row r="40" spans="1:36" x14ac:dyDescent="0.45">
      <c r="A40">
        <v>5</v>
      </c>
      <c r="B40" t="str">
        <f t="shared" si="0"/>
        <v>d 1.5 deg OS.ts_144</v>
      </c>
      <c r="C40">
        <f t="shared" si="2"/>
        <v>32</v>
      </c>
      <c r="D40" t="str">
        <f t="shared" si="1"/>
        <v>ts_144</v>
      </c>
      <c r="E40" t="str">
        <f t="shared" si="5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0.97</v>
      </c>
      <c r="K40" s="11">
        <f>SUMIFS(ar6_r10!$F$2:$F$999,ar6_r10!$A$2:$A$999,Veda!$G$36,ar6_r10!$C$2:$C$999,Veda!K$17,ar6_r10!$M$2:$M$999,Veda!$G40)</f>
        <v>0.95</v>
      </c>
      <c r="L40" s="11">
        <f>SUMIFS(ar6_r10!$F$2:$F$999,ar6_r10!$A$2:$A$999,Veda!$G$36,ar6_r10!$C$2:$C$999,Veda!L$17,ar6_r10!$M$2:$M$999,Veda!$G40)</f>
        <v>0.93</v>
      </c>
      <c r="M40" s="11">
        <f>SUMIFS(ar6_r10!$F$2:$F$999,ar6_r10!$A$2:$A$999,Veda!$G$36,ar6_r10!$C$2:$C$999,Veda!M$17,ar6_r10!$M$2:$M$999,Veda!$G40)</f>
        <v>0.89</v>
      </c>
      <c r="N40" s="11">
        <f>SUMIFS(ar6_r10!$F$2:$F$999,ar6_r10!$A$2:$A$999,Veda!$G$36,ar6_r10!$C$2:$C$999,Veda!N$17,ar6_r10!$M$2:$M$999,Veda!$G40)</f>
        <v>0.88</v>
      </c>
      <c r="O40" s="11">
        <f>SUMIFS(ar6_r10!$F$2:$F$999,ar6_r10!$A$2:$A$999,Veda!$G$36,ar6_r10!$C$2:$C$999,Veda!O$17,ar6_r10!$M$2:$M$999,Veda!$G40)</f>
        <v>0.95</v>
      </c>
      <c r="AJ40" s="10">
        <f t="shared" si="6"/>
        <v>7</v>
      </c>
    </row>
    <row r="41" spans="1:36" x14ac:dyDescent="0.45">
      <c r="A41">
        <v>5</v>
      </c>
      <c r="B41" t="str">
        <f t="shared" si="0"/>
        <v>c 2 deg (67%).ts_144</v>
      </c>
      <c r="C41">
        <f t="shared" si="2"/>
        <v>33</v>
      </c>
      <c r="D41" t="str">
        <f t="shared" si="1"/>
        <v>ts_144</v>
      </c>
      <c r="E41" t="str">
        <f t="shared" si="5"/>
        <v>C3</v>
      </c>
      <c r="AJ41" s="10">
        <f t="shared" si="6"/>
        <v>7</v>
      </c>
    </row>
    <row r="42" spans="1:36" x14ac:dyDescent="0.45">
      <c r="A42">
        <v>5</v>
      </c>
      <c r="B42" t="str">
        <f t="shared" si="0"/>
        <v>b 2 deg (50%).ts_144</v>
      </c>
      <c r="C42">
        <f t="shared" si="2"/>
        <v>34</v>
      </c>
      <c r="D42" t="str">
        <f t="shared" si="1"/>
        <v>ts_144</v>
      </c>
      <c r="E42" t="str">
        <f t="shared" si="5"/>
        <v>C4</v>
      </c>
      <c r="AJ42" s="10">
        <f t="shared" si="6"/>
        <v>7</v>
      </c>
    </row>
    <row r="43" spans="1:36" x14ac:dyDescent="0.45">
      <c r="A43">
        <v>5</v>
      </c>
      <c r="B43" t="str">
        <f t="shared" si="0"/>
        <v>a 3 deg.ts_144</v>
      </c>
      <c r="C43">
        <f t="shared" si="2"/>
        <v>35</v>
      </c>
      <c r="D43" t="str">
        <f t="shared" si="1"/>
        <v>ts_144</v>
      </c>
      <c r="E43" t="str">
        <f t="shared" si="5"/>
        <v>C7</v>
      </c>
      <c r="G43" t="s">
        <v>121</v>
      </c>
      <c r="AJ43" s="10">
        <f t="shared" si="6"/>
        <v>7</v>
      </c>
    </row>
    <row r="44" spans="1:36" x14ac:dyDescent="0.45">
      <c r="A44">
        <v>5</v>
      </c>
      <c r="B44" t="str">
        <f t="shared" si="0"/>
        <v>e 1.5 deg no OS.ts_288</v>
      </c>
      <c r="C44">
        <f t="shared" si="2"/>
        <v>36</v>
      </c>
      <c r="D44" t="str">
        <f t="shared" si="1"/>
        <v>ts_288</v>
      </c>
      <c r="E44" t="str">
        <f t="shared" si="5"/>
        <v>C1</v>
      </c>
      <c r="G44" t="s">
        <v>13</v>
      </c>
      <c r="H44" t="s">
        <v>104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82</v>
      </c>
      <c r="S44" t="s">
        <v>83</v>
      </c>
      <c r="AJ44" s="10">
        <f t="shared" si="6"/>
        <v>8</v>
      </c>
    </row>
    <row r="45" spans="1:36" x14ac:dyDescent="0.45">
      <c r="A45">
        <v>5</v>
      </c>
      <c r="B45" t="str">
        <f t="shared" si="0"/>
        <v>d 1.5 deg OS.ts_288</v>
      </c>
      <c r="C45">
        <f t="shared" si="2"/>
        <v>37</v>
      </c>
      <c r="D45" t="str">
        <f t="shared" si="1"/>
        <v>ts_288</v>
      </c>
      <c r="E45" t="str">
        <f t="shared" si="5"/>
        <v>C2</v>
      </c>
      <c r="G45" t="s">
        <v>78</v>
      </c>
      <c r="H45" t="str">
        <f>G45</f>
        <v>Gas</v>
      </c>
      <c r="I45">
        <f t="shared" ref="I45:O48" si="13">AVERAGE($R45:$S45)*I37</f>
        <v>37.75</v>
      </c>
      <c r="J45">
        <f t="shared" si="13"/>
        <v>40.770000000000003</v>
      </c>
      <c r="K45">
        <f t="shared" si="13"/>
        <v>48.697499999999998</v>
      </c>
      <c r="L45">
        <f t="shared" si="13"/>
        <v>48.32</v>
      </c>
      <c r="M45">
        <f t="shared" si="13"/>
        <v>52.849999999999994</v>
      </c>
      <c r="N45">
        <f t="shared" si="13"/>
        <v>55.87</v>
      </c>
      <c r="O45">
        <f t="shared" si="13"/>
        <v>57.7575</v>
      </c>
      <c r="R45">
        <f>HLOOKUP($G45&amp;"_"&amp;R$44,fuel_prices!$B$10:$I$11,2,FALSE)</f>
        <v>30.9</v>
      </c>
      <c r="S45">
        <f>HLOOKUP($G45&amp;"_"&amp;S$44,fuel_prices!$B$10:$I$11,2,FALSE)</f>
        <v>44.6</v>
      </c>
      <c r="AJ45" s="10">
        <f t="shared" si="6"/>
        <v>8</v>
      </c>
    </row>
    <row r="46" spans="1:36" x14ac:dyDescent="0.45">
      <c r="A46">
        <v>5</v>
      </c>
      <c r="B46" t="str">
        <f t="shared" si="0"/>
        <v>c 2 deg (67%).ts_288</v>
      </c>
      <c r="C46">
        <f t="shared" si="2"/>
        <v>38</v>
      </c>
      <c r="D46" t="str">
        <f t="shared" si="1"/>
        <v>ts_288</v>
      </c>
      <c r="E46" t="str">
        <f t="shared" si="5"/>
        <v>C3</v>
      </c>
      <c r="G46" t="s">
        <v>79</v>
      </c>
      <c r="H46" t="str">
        <f t="shared" ref="H46:H48" si="14">G46</f>
        <v>Coal</v>
      </c>
      <c r="I46">
        <f t="shared" si="13"/>
        <v>17.5</v>
      </c>
      <c r="J46">
        <f t="shared" si="13"/>
        <v>18.2</v>
      </c>
      <c r="K46">
        <f t="shared" si="13"/>
        <v>19.425000000000001</v>
      </c>
      <c r="L46">
        <f t="shared" si="13"/>
        <v>19.95</v>
      </c>
      <c r="M46">
        <f t="shared" si="13"/>
        <v>20.299999999999997</v>
      </c>
      <c r="N46">
        <f t="shared" si="13"/>
        <v>20.65</v>
      </c>
      <c r="O46">
        <f t="shared" si="13"/>
        <v>20.824999999999999</v>
      </c>
      <c r="R46">
        <f>HLOOKUP($G46&amp;"_"&amp;R$44,fuel_prices!$B$10:$I$11,2,FALSE)</f>
        <v>15.2</v>
      </c>
      <c r="S46">
        <f>HLOOKUP($G46&amp;"_"&amp;S$44,fuel_prices!$B$10:$I$11,2,FALSE)</f>
        <v>19.8</v>
      </c>
      <c r="AJ46" s="10">
        <f t="shared" si="6"/>
        <v>8</v>
      </c>
    </row>
    <row r="47" spans="1:36" x14ac:dyDescent="0.45">
      <c r="A47">
        <v>5</v>
      </c>
      <c r="B47" t="str">
        <f t="shared" si="0"/>
        <v>b 2 deg (50%).ts_288</v>
      </c>
      <c r="C47">
        <f t="shared" si="2"/>
        <v>39</v>
      </c>
      <c r="D47" t="str">
        <f t="shared" si="1"/>
        <v>ts_288</v>
      </c>
      <c r="E47" t="str">
        <f t="shared" si="5"/>
        <v>C4</v>
      </c>
      <c r="G47" t="s">
        <v>80</v>
      </c>
      <c r="H47" t="str">
        <f t="shared" si="14"/>
        <v>Oil</v>
      </c>
      <c r="I47">
        <f t="shared" si="13"/>
        <v>50</v>
      </c>
      <c r="J47">
        <f t="shared" si="13"/>
        <v>58.5</v>
      </c>
      <c r="K47">
        <f t="shared" si="13"/>
        <v>67</v>
      </c>
      <c r="L47">
        <f t="shared" si="13"/>
        <v>66.5</v>
      </c>
      <c r="M47">
        <f t="shared" si="13"/>
        <v>72</v>
      </c>
      <c r="N47">
        <f t="shared" si="13"/>
        <v>81.5</v>
      </c>
      <c r="O47">
        <f t="shared" si="13"/>
        <v>94.5</v>
      </c>
      <c r="R47">
        <f>HLOOKUP($G47&amp;"_"&amp;R$44,fuel_prices!$B$10:$I$11,2,FALSE)</f>
        <v>45</v>
      </c>
      <c r="S47">
        <f>HLOOKUP($G47&amp;"_"&amp;S$44,fuel_prices!$B$10:$I$11,2,FALSE)</f>
        <v>55</v>
      </c>
      <c r="AJ47" s="10">
        <f t="shared" si="6"/>
        <v>8</v>
      </c>
    </row>
    <row r="48" spans="1:36" x14ac:dyDescent="0.45">
      <c r="A48">
        <v>5</v>
      </c>
      <c r="B48" t="str">
        <f t="shared" si="0"/>
        <v>a 3 deg.ts_288</v>
      </c>
      <c r="C48">
        <f t="shared" si="2"/>
        <v>40</v>
      </c>
      <c r="D48" t="str">
        <f t="shared" si="1"/>
        <v>ts_288</v>
      </c>
      <c r="E48" t="str">
        <f t="shared" si="5"/>
        <v>C7</v>
      </c>
      <c r="G48" t="s">
        <v>81</v>
      </c>
      <c r="H48" t="str">
        <f t="shared" si="14"/>
        <v>Bioenergy</v>
      </c>
      <c r="I48">
        <f t="shared" si="13"/>
        <v>18</v>
      </c>
      <c r="O48">
        <f>VLOOKUP($E$5,$AK$9:$AM$15,3,FALSE)*I48</f>
        <v>54</v>
      </c>
      <c r="R48">
        <f>HLOOKUP($G48&amp;"_"&amp;R$44,fuel_prices!$B$10:$I$11,2,FALSE)</f>
        <v>14</v>
      </c>
      <c r="S48">
        <f>HLOOKUP($G48&amp;"_"&amp;S$44,fuel_prices!$B$10:$I$11,2,FALSE)</f>
        <v>22</v>
      </c>
      <c r="AJ48" s="10">
        <f t="shared" si="6"/>
        <v>8</v>
      </c>
    </row>
    <row r="49" spans="36:36" x14ac:dyDescent="0.45">
      <c r="AJ49" s="10">
        <f t="shared" si="6"/>
        <v>9</v>
      </c>
    </row>
    <row r="50" spans="36:36" x14ac:dyDescent="0.45">
      <c r="AJ50" s="10">
        <f t="shared" si="6"/>
        <v>9</v>
      </c>
    </row>
    <row r="51" spans="36:36" x14ac:dyDescent="0.45">
      <c r="AJ51" s="10">
        <f t="shared" si="6"/>
        <v>9</v>
      </c>
    </row>
    <row r="52" spans="36:36" x14ac:dyDescent="0.45">
      <c r="AJ52" s="10">
        <f t="shared" si="6"/>
        <v>9</v>
      </c>
    </row>
    <row r="53" spans="36:36" x14ac:dyDescent="0.45">
      <c r="AJ53" s="10">
        <f t="shared" si="6"/>
        <v>9</v>
      </c>
    </row>
    <row r="54" spans="36:36" x14ac:dyDescent="0.45">
      <c r="AJ54" s="10">
        <f t="shared" si="6"/>
        <v>10</v>
      </c>
    </row>
    <row r="55" spans="36:36" x14ac:dyDescent="0.45">
      <c r="AJ55" s="10">
        <f t="shared" si="6"/>
        <v>10</v>
      </c>
    </row>
    <row r="56" spans="36:36" x14ac:dyDescent="0.45">
      <c r="AJ56" s="10">
        <f t="shared" si="6"/>
        <v>10</v>
      </c>
    </row>
    <row r="57" spans="36:36" x14ac:dyDescent="0.45">
      <c r="AJ57" s="10">
        <f t="shared" si="6"/>
        <v>10</v>
      </c>
    </row>
    <row r="58" spans="36:36" x14ac:dyDescent="0.45">
      <c r="AJ58" s="10">
        <f t="shared" si="6"/>
        <v>10</v>
      </c>
    </row>
    <row r="59" spans="36:36" x14ac:dyDescent="0.45">
      <c r="AJ59" s="10">
        <f t="shared" si="6"/>
        <v>11</v>
      </c>
    </row>
    <row r="60" spans="36:36" x14ac:dyDescent="0.45">
      <c r="AJ60" s="10">
        <f t="shared" si="6"/>
        <v>11</v>
      </c>
    </row>
    <row r="61" spans="36:36" x14ac:dyDescent="0.45">
      <c r="AJ61" s="10">
        <f t="shared" si="6"/>
        <v>11</v>
      </c>
    </row>
    <row r="62" spans="36:36" x14ac:dyDescent="0.45">
      <c r="AJ62" s="10">
        <f t="shared" si="6"/>
        <v>11</v>
      </c>
    </row>
    <row r="63" spans="36:36" x14ac:dyDescent="0.45">
      <c r="AJ63" s="10">
        <f t="shared" si="6"/>
        <v>11</v>
      </c>
    </row>
    <row r="64" spans="36:36" x14ac:dyDescent="0.45">
      <c r="AJ64" s="10">
        <f t="shared" si="6"/>
        <v>12</v>
      </c>
    </row>
    <row r="65" spans="36:36" x14ac:dyDescent="0.45">
      <c r="AJ65" s="10">
        <f t="shared" si="6"/>
        <v>12</v>
      </c>
    </row>
    <row r="66" spans="36:36" x14ac:dyDescent="0.45">
      <c r="AJ66" s="10">
        <f t="shared" si="6"/>
        <v>12</v>
      </c>
    </row>
    <row r="67" spans="36:36" x14ac:dyDescent="0.45">
      <c r="AJ67" s="10">
        <f t="shared" si="6"/>
        <v>12</v>
      </c>
    </row>
    <row r="68" spans="36:36" x14ac:dyDescent="0.45">
      <c r="AJ68" s="10">
        <f t="shared" si="6"/>
        <v>12</v>
      </c>
    </row>
    <row r="69" spans="36:36" x14ac:dyDescent="0.45">
      <c r="AJ69" s="10">
        <f t="shared" si="6"/>
        <v>13</v>
      </c>
    </row>
    <row r="70" spans="36:36" x14ac:dyDescent="0.45">
      <c r="AJ70" s="10">
        <f t="shared" si="6"/>
        <v>13</v>
      </c>
    </row>
    <row r="71" spans="36:36" x14ac:dyDescent="0.45">
      <c r="AJ71" s="10">
        <f t="shared" si="6"/>
        <v>13</v>
      </c>
    </row>
    <row r="72" spans="36:36" x14ac:dyDescent="0.45">
      <c r="AJ72" s="10">
        <f t="shared" si="6"/>
        <v>13</v>
      </c>
    </row>
    <row r="73" spans="36:36" x14ac:dyDescent="0.45">
      <c r="AJ73" s="10">
        <f t="shared" si="6"/>
        <v>13</v>
      </c>
    </row>
    <row r="74" spans="36:36" x14ac:dyDescent="0.45">
      <c r="AJ74" s="10">
        <f t="shared" si="6"/>
        <v>14</v>
      </c>
    </row>
    <row r="75" spans="36:36" x14ac:dyDescent="0.45">
      <c r="AJ75" s="10">
        <f t="shared" si="6"/>
        <v>14</v>
      </c>
    </row>
    <row r="76" spans="36:36" x14ac:dyDescent="0.45">
      <c r="AJ76" s="10">
        <f t="shared" si="6"/>
        <v>14</v>
      </c>
    </row>
    <row r="77" spans="36:36" x14ac:dyDescent="0.45">
      <c r="AJ77" s="10">
        <f t="shared" si="6"/>
        <v>14</v>
      </c>
    </row>
    <row r="78" spans="36:36" x14ac:dyDescent="0.45">
      <c r="AJ78" s="10">
        <f t="shared" si="6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133</v>
      </c>
      <c r="B11">
        <v>30.9</v>
      </c>
      <c r="C11">
        <v>44.6</v>
      </c>
      <c r="D11">
        <v>15.2</v>
      </c>
      <c r="E11">
        <v>19.8</v>
      </c>
      <c r="F11">
        <v>45</v>
      </c>
      <c r="G11">
        <v>55</v>
      </c>
      <c r="H11">
        <v>14</v>
      </c>
      <c r="I11">
        <v>22</v>
      </c>
      <c r="J11" t="s">
        <v>135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133</v>
      </c>
      <c r="B11">
        <v>2000</v>
      </c>
      <c r="C11">
        <v>21.93</v>
      </c>
      <c r="D11">
        <v>23.2</v>
      </c>
      <c r="E11">
        <v>0.06</v>
      </c>
      <c r="F11">
        <v>0</v>
      </c>
      <c r="G11">
        <v>0</v>
      </c>
      <c r="H11">
        <v>0</v>
      </c>
      <c r="I11">
        <v>45.29</v>
      </c>
    </row>
    <row r="12" spans="1:9" x14ac:dyDescent="0.45">
      <c r="A12" t="s">
        <v>133</v>
      </c>
      <c r="B12">
        <v>2001</v>
      </c>
      <c r="C12">
        <v>22.35</v>
      </c>
      <c r="D12">
        <v>24.51</v>
      </c>
      <c r="E12">
        <v>0.06</v>
      </c>
      <c r="F12">
        <v>0</v>
      </c>
      <c r="G12">
        <v>0</v>
      </c>
      <c r="H12">
        <v>0</v>
      </c>
      <c r="I12">
        <v>47.05</v>
      </c>
    </row>
    <row r="13" spans="1:9" x14ac:dyDescent="0.45">
      <c r="A13" t="s">
        <v>133</v>
      </c>
      <c r="B13">
        <v>2002</v>
      </c>
      <c r="C13">
        <v>23.47</v>
      </c>
      <c r="D13">
        <v>24.81</v>
      </c>
      <c r="E13">
        <v>0.06</v>
      </c>
      <c r="F13">
        <v>0</v>
      </c>
      <c r="G13">
        <v>0</v>
      </c>
      <c r="H13">
        <v>0</v>
      </c>
      <c r="I13">
        <v>48.47</v>
      </c>
    </row>
    <row r="14" spans="1:9" x14ac:dyDescent="0.45">
      <c r="A14" t="s">
        <v>133</v>
      </c>
      <c r="B14">
        <v>2003</v>
      </c>
      <c r="C14">
        <v>25.41</v>
      </c>
      <c r="D14">
        <v>27.37</v>
      </c>
      <c r="E14">
        <v>0.04</v>
      </c>
      <c r="F14">
        <v>0</v>
      </c>
      <c r="G14">
        <v>0</v>
      </c>
      <c r="H14">
        <v>0</v>
      </c>
      <c r="I14">
        <v>52.94</v>
      </c>
    </row>
    <row r="15" spans="1:9" x14ac:dyDescent="0.45">
      <c r="A15" t="s">
        <v>133</v>
      </c>
      <c r="B15">
        <v>2004</v>
      </c>
      <c r="C15">
        <v>26.89</v>
      </c>
      <c r="D15">
        <v>28.84</v>
      </c>
      <c r="E15">
        <v>7.0000000000000007E-2</v>
      </c>
      <c r="F15">
        <v>0</v>
      </c>
      <c r="G15">
        <v>0</v>
      </c>
      <c r="H15">
        <v>0</v>
      </c>
      <c r="I15">
        <v>55.96</v>
      </c>
    </row>
    <row r="16" spans="1:9" x14ac:dyDescent="0.45">
      <c r="A16" t="s">
        <v>133</v>
      </c>
      <c r="B16">
        <v>2005</v>
      </c>
      <c r="C16">
        <v>27.11</v>
      </c>
      <c r="D16">
        <v>29.23</v>
      </c>
      <c r="E16">
        <v>0.09</v>
      </c>
      <c r="F16">
        <v>0</v>
      </c>
      <c r="G16">
        <v>0</v>
      </c>
      <c r="H16">
        <v>0</v>
      </c>
      <c r="I16">
        <v>56.57</v>
      </c>
    </row>
    <row r="17" spans="1:9" x14ac:dyDescent="0.45">
      <c r="A17" t="s">
        <v>133</v>
      </c>
      <c r="B17">
        <v>2006</v>
      </c>
      <c r="C17">
        <v>27</v>
      </c>
      <c r="D17">
        <v>29.55</v>
      </c>
      <c r="E17">
        <v>0.1</v>
      </c>
      <c r="F17">
        <v>0</v>
      </c>
      <c r="G17">
        <v>0</v>
      </c>
      <c r="H17">
        <v>0</v>
      </c>
      <c r="I17">
        <v>56.78</v>
      </c>
    </row>
    <row r="18" spans="1:9" x14ac:dyDescent="0.45">
      <c r="A18" t="s">
        <v>133</v>
      </c>
      <c r="B18">
        <v>2007</v>
      </c>
      <c r="C18">
        <v>28.12</v>
      </c>
      <c r="D18">
        <v>31.2</v>
      </c>
      <c r="E18">
        <v>0.11</v>
      </c>
      <c r="F18">
        <v>0</v>
      </c>
      <c r="G18">
        <v>0</v>
      </c>
      <c r="H18">
        <v>0</v>
      </c>
      <c r="I18">
        <v>59.61</v>
      </c>
    </row>
    <row r="19" spans="1:9" x14ac:dyDescent="0.45">
      <c r="A19" t="s">
        <v>133</v>
      </c>
      <c r="B19">
        <v>2008</v>
      </c>
      <c r="C19">
        <v>28.65</v>
      </c>
      <c r="D19">
        <v>31.91</v>
      </c>
      <c r="E19">
        <v>0.11</v>
      </c>
      <c r="F19">
        <v>0</v>
      </c>
      <c r="G19">
        <v>0</v>
      </c>
      <c r="H19">
        <v>0</v>
      </c>
      <c r="I19">
        <v>60.82</v>
      </c>
    </row>
    <row r="20" spans="1:9" x14ac:dyDescent="0.45">
      <c r="A20" t="s">
        <v>133</v>
      </c>
      <c r="B20">
        <v>2009</v>
      </c>
      <c r="C20">
        <v>28.15</v>
      </c>
      <c r="D20">
        <v>33.5</v>
      </c>
      <c r="E20">
        <v>0.11</v>
      </c>
      <c r="F20">
        <v>0</v>
      </c>
      <c r="G20">
        <v>0</v>
      </c>
      <c r="H20">
        <v>0</v>
      </c>
      <c r="I20">
        <v>61.93</v>
      </c>
    </row>
    <row r="21" spans="1:9" x14ac:dyDescent="0.45">
      <c r="A21" t="s">
        <v>133</v>
      </c>
      <c r="B21">
        <v>2010</v>
      </c>
      <c r="C21">
        <v>31.05</v>
      </c>
      <c r="D21">
        <v>36.4</v>
      </c>
      <c r="E21">
        <v>0.11</v>
      </c>
      <c r="F21">
        <v>0</v>
      </c>
      <c r="G21">
        <v>0</v>
      </c>
      <c r="H21">
        <v>0</v>
      </c>
      <c r="I21">
        <v>67.739999999999995</v>
      </c>
    </row>
    <row r="22" spans="1:9" x14ac:dyDescent="0.45">
      <c r="A22" t="s">
        <v>133</v>
      </c>
      <c r="B22">
        <v>2011</v>
      </c>
      <c r="C22">
        <v>32.409999999999997</v>
      </c>
      <c r="D22">
        <v>36.49</v>
      </c>
      <c r="E22">
        <v>0.11</v>
      </c>
      <c r="F22">
        <v>0</v>
      </c>
      <c r="G22">
        <v>0</v>
      </c>
      <c r="H22">
        <v>0</v>
      </c>
      <c r="I22">
        <v>69.180000000000007</v>
      </c>
    </row>
    <row r="23" spans="1:9" x14ac:dyDescent="0.45">
      <c r="A23" t="s">
        <v>133</v>
      </c>
      <c r="B23">
        <v>2012</v>
      </c>
      <c r="C23">
        <v>33.78</v>
      </c>
      <c r="D23">
        <v>38.840000000000003</v>
      </c>
      <c r="E23">
        <v>0.12</v>
      </c>
      <c r="F23">
        <v>0</v>
      </c>
      <c r="G23">
        <v>0</v>
      </c>
      <c r="H23">
        <v>0</v>
      </c>
      <c r="I23">
        <v>72.92</v>
      </c>
    </row>
    <row r="24" spans="1:9" x14ac:dyDescent="0.45">
      <c r="A24" t="s">
        <v>133</v>
      </c>
      <c r="B24">
        <v>2013</v>
      </c>
      <c r="C24">
        <v>34.380000000000003</v>
      </c>
      <c r="D24">
        <v>40.549999999999997</v>
      </c>
      <c r="E24">
        <v>0.11</v>
      </c>
      <c r="F24">
        <v>0</v>
      </c>
      <c r="G24">
        <v>0</v>
      </c>
      <c r="H24">
        <v>0</v>
      </c>
      <c r="I24">
        <v>75.27</v>
      </c>
    </row>
    <row r="25" spans="1:9" x14ac:dyDescent="0.45">
      <c r="A25" t="s">
        <v>133</v>
      </c>
      <c r="B25">
        <v>2014</v>
      </c>
      <c r="C25">
        <v>35.340000000000003</v>
      </c>
      <c r="D25">
        <v>41.56</v>
      </c>
      <c r="E25">
        <v>0.11</v>
      </c>
      <c r="F25">
        <v>0</v>
      </c>
      <c r="G25">
        <v>0</v>
      </c>
      <c r="H25">
        <v>0</v>
      </c>
      <c r="I25">
        <v>77.260000000000005</v>
      </c>
    </row>
    <row r="26" spans="1:9" x14ac:dyDescent="0.45">
      <c r="A26" t="s">
        <v>133</v>
      </c>
      <c r="B26">
        <v>2015</v>
      </c>
      <c r="C26">
        <v>37.119999999999997</v>
      </c>
      <c r="D26">
        <v>44.91</v>
      </c>
      <c r="E26">
        <v>0.1</v>
      </c>
      <c r="F26">
        <v>0</v>
      </c>
      <c r="G26">
        <v>0</v>
      </c>
      <c r="H26">
        <v>0</v>
      </c>
      <c r="I26">
        <v>82.41</v>
      </c>
    </row>
    <row r="27" spans="1:9" x14ac:dyDescent="0.45">
      <c r="A27" t="s">
        <v>133</v>
      </c>
      <c r="B27">
        <v>2016</v>
      </c>
      <c r="C27">
        <v>40.76</v>
      </c>
      <c r="D27">
        <v>49.63</v>
      </c>
      <c r="E27">
        <v>0.1</v>
      </c>
      <c r="F27">
        <v>0</v>
      </c>
      <c r="G27">
        <v>0</v>
      </c>
      <c r="H27">
        <v>0</v>
      </c>
      <c r="I27">
        <v>90.8</v>
      </c>
    </row>
    <row r="28" spans="1:9" x14ac:dyDescent="0.45">
      <c r="A28" t="s">
        <v>133</v>
      </c>
      <c r="B28">
        <v>2017</v>
      </c>
      <c r="C28">
        <v>42.15</v>
      </c>
      <c r="D28">
        <v>51.8</v>
      </c>
      <c r="E28">
        <v>0.11</v>
      </c>
      <c r="F28">
        <v>0</v>
      </c>
      <c r="G28">
        <v>0</v>
      </c>
      <c r="H28">
        <v>0</v>
      </c>
      <c r="I28">
        <v>94.37</v>
      </c>
    </row>
    <row r="29" spans="1:9" x14ac:dyDescent="0.45">
      <c r="A29" t="s">
        <v>133</v>
      </c>
      <c r="B29">
        <v>2018</v>
      </c>
      <c r="C29">
        <v>44.73</v>
      </c>
      <c r="D29">
        <v>54.61</v>
      </c>
      <c r="E29">
        <v>0.11</v>
      </c>
      <c r="F29">
        <v>0</v>
      </c>
      <c r="G29">
        <v>0</v>
      </c>
      <c r="H29">
        <v>0</v>
      </c>
      <c r="I29">
        <v>99.76</v>
      </c>
    </row>
    <row r="30" spans="1:9" x14ac:dyDescent="0.45">
      <c r="A30" t="s">
        <v>133</v>
      </c>
      <c r="B30">
        <v>2019</v>
      </c>
      <c r="C30">
        <v>47.12</v>
      </c>
      <c r="D30">
        <v>58.48</v>
      </c>
      <c r="E30">
        <v>0.11</v>
      </c>
      <c r="F30">
        <v>0</v>
      </c>
      <c r="G30">
        <v>0</v>
      </c>
      <c r="H30">
        <v>0</v>
      </c>
      <c r="I30">
        <v>106.04</v>
      </c>
    </row>
    <row r="31" spans="1:9" x14ac:dyDescent="0.45">
      <c r="A31" t="s">
        <v>133</v>
      </c>
      <c r="B31">
        <v>2020</v>
      </c>
      <c r="C31">
        <v>44.08</v>
      </c>
      <c r="D31">
        <v>57.29</v>
      </c>
      <c r="E31">
        <v>0.08</v>
      </c>
      <c r="F31">
        <v>0</v>
      </c>
      <c r="G31">
        <v>0</v>
      </c>
      <c r="H31">
        <v>0</v>
      </c>
      <c r="I31">
        <v>101.76</v>
      </c>
    </row>
    <row r="32" spans="1:9" x14ac:dyDescent="0.45">
      <c r="A32" t="s">
        <v>133</v>
      </c>
      <c r="B32">
        <v>2021</v>
      </c>
      <c r="C32">
        <v>46.32</v>
      </c>
      <c r="D32">
        <v>59.27</v>
      </c>
      <c r="E32">
        <v>0.1</v>
      </c>
      <c r="F32">
        <v>0</v>
      </c>
      <c r="G32">
        <v>0</v>
      </c>
      <c r="H32">
        <v>0</v>
      </c>
      <c r="I32">
        <v>105.73</v>
      </c>
    </row>
    <row r="33" spans="1:9" x14ac:dyDescent="0.45">
      <c r="A33" t="s">
        <v>133</v>
      </c>
      <c r="B33">
        <v>2022</v>
      </c>
      <c r="C33">
        <v>49.03</v>
      </c>
      <c r="D33">
        <v>61.67</v>
      </c>
      <c r="E33">
        <v>0.11</v>
      </c>
      <c r="F33">
        <v>0</v>
      </c>
      <c r="G33">
        <v>0</v>
      </c>
      <c r="H33">
        <v>0</v>
      </c>
      <c r="I33">
        <v>111.52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134</v>
      </c>
      <c r="C11">
        <v>2020</v>
      </c>
      <c r="D11">
        <v>60</v>
      </c>
      <c r="E11">
        <v>3.28</v>
      </c>
      <c r="F11">
        <v>0.55000000000000004</v>
      </c>
      <c r="G11">
        <v>3.92</v>
      </c>
      <c r="H11">
        <v>0</v>
      </c>
      <c r="I11">
        <v>9.19</v>
      </c>
      <c r="J11">
        <v>0</v>
      </c>
      <c r="K11">
        <v>8.0500000000000007</v>
      </c>
      <c r="L11" t="s">
        <v>1</v>
      </c>
      <c r="M11" t="s">
        <v>27</v>
      </c>
    </row>
    <row r="12" spans="1:13" x14ac:dyDescent="0.45">
      <c r="A12" t="s">
        <v>0</v>
      </c>
      <c r="B12" t="s">
        <v>134</v>
      </c>
      <c r="C12">
        <v>2025</v>
      </c>
      <c r="D12">
        <v>60</v>
      </c>
      <c r="E12">
        <v>144.21</v>
      </c>
      <c r="F12">
        <v>117.22</v>
      </c>
      <c r="G12">
        <v>125.47</v>
      </c>
      <c r="H12">
        <v>9.49</v>
      </c>
      <c r="I12">
        <v>626.48</v>
      </c>
      <c r="J12">
        <v>72.92</v>
      </c>
      <c r="K12">
        <v>177.75</v>
      </c>
      <c r="L12" t="s">
        <v>1</v>
      </c>
      <c r="M12" t="s">
        <v>27</v>
      </c>
    </row>
    <row r="13" spans="1:13" x14ac:dyDescent="0.45">
      <c r="A13" t="s">
        <v>0</v>
      </c>
      <c r="B13" t="s">
        <v>134</v>
      </c>
      <c r="C13">
        <v>2030</v>
      </c>
      <c r="D13">
        <v>60</v>
      </c>
      <c r="E13">
        <v>204.31</v>
      </c>
      <c r="F13">
        <v>186.64</v>
      </c>
      <c r="G13">
        <v>116.81</v>
      </c>
      <c r="H13">
        <v>6.28</v>
      </c>
      <c r="I13">
        <v>673.46</v>
      </c>
      <c r="J13">
        <v>116.89</v>
      </c>
      <c r="K13">
        <v>241.69</v>
      </c>
      <c r="L13" t="s">
        <v>1</v>
      </c>
      <c r="M13" t="s">
        <v>27</v>
      </c>
    </row>
    <row r="14" spans="1:13" x14ac:dyDescent="0.45">
      <c r="A14" t="s">
        <v>0</v>
      </c>
      <c r="B14" t="s">
        <v>134</v>
      </c>
      <c r="C14">
        <v>2035</v>
      </c>
      <c r="D14">
        <v>60</v>
      </c>
      <c r="E14">
        <v>292.3</v>
      </c>
      <c r="F14">
        <v>250.8</v>
      </c>
      <c r="G14">
        <v>154.01</v>
      </c>
      <c r="H14">
        <v>34.159999999999997</v>
      </c>
      <c r="I14">
        <v>859.53</v>
      </c>
      <c r="J14">
        <v>184.18</v>
      </c>
      <c r="K14">
        <v>361.62</v>
      </c>
      <c r="L14" t="s">
        <v>1</v>
      </c>
      <c r="M14" t="s">
        <v>27</v>
      </c>
    </row>
    <row r="15" spans="1:13" x14ac:dyDescent="0.45">
      <c r="A15" t="s">
        <v>0</v>
      </c>
      <c r="B15" t="s">
        <v>134</v>
      </c>
      <c r="C15">
        <v>2040</v>
      </c>
      <c r="D15">
        <v>60</v>
      </c>
      <c r="E15">
        <v>406.37</v>
      </c>
      <c r="F15">
        <v>325.37</v>
      </c>
      <c r="G15">
        <v>208.03</v>
      </c>
      <c r="H15">
        <v>145.16</v>
      </c>
      <c r="I15">
        <v>1097.01</v>
      </c>
      <c r="J15">
        <v>278.29000000000002</v>
      </c>
      <c r="K15">
        <v>499.12</v>
      </c>
      <c r="L15" t="s">
        <v>1</v>
      </c>
      <c r="M15" t="s">
        <v>27</v>
      </c>
    </row>
    <row r="16" spans="1:13" x14ac:dyDescent="0.45">
      <c r="A16" t="s">
        <v>0</v>
      </c>
      <c r="B16" t="s">
        <v>134</v>
      </c>
      <c r="C16">
        <v>2045</v>
      </c>
      <c r="D16">
        <v>60</v>
      </c>
      <c r="E16">
        <v>524.62</v>
      </c>
      <c r="F16">
        <v>440.67</v>
      </c>
      <c r="G16">
        <v>244.73</v>
      </c>
      <c r="H16">
        <v>193.42</v>
      </c>
      <c r="I16">
        <v>1269.8800000000001</v>
      </c>
      <c r="J16">
        <v>355.81</v>
      </c>
      <c r="K16">
        <v>713.93</v>
      </c>
      <c r="L16" t="s">
        <v>1</v>
      </c>
      <c r="M16" t="s">
        <v>27</v>
      </c>
    </row>
    <row r="17" spans="1:13" x14ac:dyDescent="0.45">
      <c r="A17" t="s">
        <v>0</v>
      </c>
      <c r="B17" t="s">
        <v>134</v>
      </c>
      <c r="C17">
        <v>2050</v>
      </c>
      <c r="D17">
        <v>60</v>
      </c>
      <c r="E17">
        <v>628.96</v>
      </c>
      <c r="F17">
        <v>581.75</v>
      </c>
      <c r="G17">
        <v>257.45</v>
      </c>
      <c r="H17">
        <v>209.76</v>
      </c>
      <c r="I17">
        <v>1170.26</v>
      </c>
      <c r="J17">
        <v>412.98</v>
      </c>
      <c r="K17">
        <v>808.29</v>
      </c>
      <c r="L17" t="s">
        <v>1</v>
      </c>
      <c r="M17" t="s">
        <v>27</v>
      </c>
    </row>
    <row r="18" spans="1:13" x14ac:dyDescent="0.45">
      <c r="A18" t="s">
        <v>2</v>
      </c>
      <c r="B18" t="s">
        <v>134</v>
      </c>
      <c r="C18">
        <v>2020</v>
      </c>
      <c r="D18">
        <v>86</v>
      </c>
      <c r="E18">
        <v>1.62</v>
      </c>
      <c r="F18">
        <v>0.12</v>
      </c>
      <c r="G18">
        <v>2.95</v>
      </c>
      <c r="H18">
        <v>0</v>
      </c>
      <c r="I18">
        <v>9.08</v>
      </c>
      <c r="J18">
        <v>0</v>
      </c>
      <c r="K18">
        <v>0.88</v>
      </c>
      <c r="L18" t="s">
        <v>3</v>
      </c>
      <c r="M18" t="s">
        <v>27</v>
      </c>
    </row>
    <row r="19" spans="1:13" x14ac:dyDescent="0.45">
      <c r="A19" t="s">
        <v>2</v>
      </c>
      <c r="B19" t="s">
        <v>134</v>
      </c>
      <c r="C19">
        <v>2025</v>
      </c>
      <c r="D19">
        <v>75</v>
      </c>
      <c r="E19">
        <v>46.43</v>
      </c>
      <c r="F19">
        <v>28.76</v>
      </c>
      <c r="G19">
        <v>40.020000000000003</v>
      </c>
      <c r="H19">
        <v>7.08</v>
      </c>
      <c r="I19">
        <v>174.97</v>
      </c>
      <c r="J19">
        <v>20.12</v>
      </c>
      <c r="K19">
        <v>61.53</v>
      </c>
      <c r="L19" t="s">
        <v>3</v>
      </c>
      <c r="M19" t="s">
        <v>27</v>
      </c>
    </row>
    <row r="20" spans="1:13" x14ac:dyDescent="0.45">
      <c r="A20" t="s">
        <v>2</v>
      </c>
      <c r="B20" t="s">
        <v>134</v>
      </c>
      <c r="C20">
        <v>2030</v>
      </c>
      <c r="D20">
        <v>86</v>
      </c>
      <c r="E20">
        <v>62.15</v>
      </c>
      <c r="F20">
        <v>50</v>
      </c>
      <c r="G20">
        <v>46.76</v>
      </c>
      <c r="H20">
        <v>0</v>
      </c>
      <c r="I20">
        <v>221.93</v>
      </c>
      <c r="J20">
        <v>25.96</v>
      </c>
      <c r="K20">
        <v>72.459999999999994</v>
      </c>
      <c r="L20" t="s">
        <v>3</v>
      </c>
      <c r="M20" t="s">
        <v>27</v>
      </c>
    </row>
    <row r="21" spans="1:13" x14ac:dyDescent="0.45">
      <c r="A21" t="s">
        <v>2</v>
      </c>
      <c r="B21" t="s">
        <v>134</v>
      </c>
      <c r="C21">
        <v>2035</v>
      </c>
      <c r="D21">
        <v>75</v>
      </c>
      <c r="E21">
        <v>199.95</v>
      </c>
      <c r="F21">
        <v>135.74</v>
      </c>
      <c r="G21">
        <v>294.3</v>
      </c>
      <c r="H21">
        <v>46.61</v>
      </c>
      <c r="I21">
        <v>2037.12</v>
      </c>
      <c r="J21">
        <v>86.12</v>
      </c>
      <c r="K21">
        <v>201.85</v>
      </c>
      <c r="L21" t="s">
        <v>3</v>
      </c>
      <c r="M21" t="s">
        <v>27</v>
      </c>
    </row>
    <row r="22" spans="1:13" x14ac:dyDescent="0.45">
      <c r="A22" t="s">
        <v>2</v>
      </c>
      <c r="B22" t="s">
        <v>134</v>
      </c>
      <c r="C22">
        <v>2040</v>
      </c>
      <c r="D22">
        <v>86</v>
      </c>
      <c r="E22">
        <v>246.92</v>
      </c>
      <c r="F22">
        <v>165.64</v>
      </c>
      <c r="G22">
        <v>360.4</v>
      </c>
      <c r="H22">
        <v>0</v>
      </c>
      <c r="I22">
        <v>2600</v>
      </c>
      <c r="J22">
        <v>111.3</v>
      </c>
      <c r="K22">
        <v>257.19</v>
      </c>
      <c r="L22" t="s">
        <v>3</v>
      </c>
      <c r="M22" t="s">
        <v>27</v>
      </c>
    </row>
    <row r="23" spans="1:13" x14ac:dyDescent="0.45">
      <c r="A23" t="s">
        <v>2</v>
      </c>
      <c r="B23" t="s">
        <v>134</v>
      </c>
      <c r="C23">
        <v>2045</v>
      </c>
      <c r="D23">
        <v>75</v>
      </c>
      <c r="E23">
        <v>294.52999999999997</v>
      </c>
      <c r="F23">
        <v>249.21</v>
      </c>
      <c r="G23">
        <v>189.56</v>
      </c>
      <c r="H23">
        <v>103.36</v>
      </c>
      <c r="I23">
        <v>1213.1199999999999</v>
      </c>
      <c r="J23">
        <v>166.87</v>
      </c>
      <c r="K23">
        <v>348.51</v>
      </c>
      <c r="L23" t="s">
        <v>3</v>
      </c>
      <c r="M23" t="s">
        <v>27</v>
      </c>
    </row>
    <row r="24" spans="1:13" x14ac:dyDescent="0.45">
      <c r="A24" t="s">
        <v>2</v>
      </c>
      <c r="B24" t="s">
        <v>134</v>
      </c>
      <c r="C24">
        <v>2050</v>
      </c>
      <c r="D24">
        <v>86</v>
      </c>
      <c r="E24">
        <v>308.95</v>
      </c>
      <c r="F24">
        <v>285.02999999999997</v>
      </c>
      <c r="G24">
        <v>170</v>
      </c>
      <c r="H24">
        <v>0</v>
      </c>
      <c r="I24">
        <v>729.74</v>
      </c>
      <c r="J24">
        <v>194.46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134</v>
      </c>
      <c r="C25">
        <v>2020</v>
      </c>
      <c r="D25">
        <v>193</v>
      </c>
      <c r="E25">
        <v>5.77</v>
      </c>
      <c r="F25">
        <v>0.88</v>
      </c>
      <c r="G25">
        <v>12.32</v>
      </c>
      <c r="H25">
        <v>0</v>
      </c>
      <c r="I25">
        <v>127.81</v>
      </c>
      <c r="J25">
        <v>0</v>
      </c>
      <c r="K25">
        <v>8.0500000000000007</v>
      </c>
      <c r="L25" t="s">
        <v>6</v>
      </c>
      <c r="M25" t="s">
        <v>27</v>
      </c>
    </row>
    <row r="26" spans="1:13" x14ac:dyDescent="0.45">
      <c r="A26" t="s">
        <v>5</v>
      </c>
      <c r="B26" t="s">
        <v>134</v>
      </c>
      <c r="C26">
        <v>2025</v>
      </c>
      <c r="D26">
        <v>170</v>
      </c>
      <c r="E26">
        <v>39.229999999999997</v>
      </c>
      <c r="F26">
        <v>33.18</v>
      </c>
      <c r="G26">
        <v>28.37</v>
      </c>
      <c r="H26">
        <v>0</v>
      </c>
      <c r="I26">
        <v>134.68</v>
      </c>
      <c r="J26">
        <v>16.760000000000002</v>
      </c>
      <c r="K26">
        <v>53.92</v>
      </c>
      <c r="L26" t="s">
        <v>6</v>
      </c>
      <c r="M26" t="s">
        <v>27</v>
      </c>
    </row>
    <row r="27" spans="1:13" x14ac:dyDescent="0.45">
      <c r="A27" t="s">
        <v>5</v>
      </c>
      <c r="B27" t="s">
        <v>134</v>
      </c>
      <c r="C27">
        <v>2030</v>
      </c>
      <c r="D27">
        <v>193</v>
      </c>
      <c r="E27">
        <v>65.069999999999993</v>
      </c>
      <c r="F27">
        <v>55.79</v>
      </c>
      <c r="G27">
        <v>42.59</v>
      </c>
      <c r="H27">
        <v>0</v>
      </c>
      <c r="I27">
        <v>216.75</v>
      </c>
      <c r="J27">
        <v>38.340000000000003</v>
      </c>
      <c r="K27">
        <v>80.39</v>
      </c>
      <c r="L27" t="s">
        <v>6</v>
      </c>
      <c r="M27" t="s">
        <v>27</v>
      </c>
    </row>
    <row r="28" spans="1:13" x14ac:dyDescent="0.45">
      <c r="A28" t="s">
        <v>5</v>
      </c>
      <c r="B28" t="s">
        <v>134</v>
      </c>
      <c r="C28">
        <v>2035</v>
      </c>
      <c r="D28">
        <v>170</v>
      </c>
      <c r="E28">
        <v>112.49</v>
      </c>
      <c r="F28">
        <v>89.54</v>
      </c>
      <c r="G28">
        <v>88.5</v>
      </c>
      <c r="H28">
        <v>22.73</v>
      </c>
      <c r="I28">
        <v>960.63</v>
      </c>
      <c r="J28">
        <v>66.58</v>
      </c>
      <c r="K28">
        <v>135.76</v>
      </c>
      <c r="L28" t="s">
        <v>6</v>
      </c>
      <c r="M28" t="s">
        <v>27</v>
      </c>
    </row>
    <row r="29" spans="1:13" x14ac:dyDescent="0.45">
      <c r="A29" t="s">
        <v>5</v>
      </c>
      <c r="B29" t="s">
        <v>134</v>
      </c>
      <c r="C29">
        <v>2040</v>
      </c>
      <c r="D29">
        <v>193</v>
      </c>
      <c r="E29">
        <v>153.59</v>
      </c>
      <c r="F29">
        <v>128.22999999999999</v>
      </c>
      <c r="G29">
        <v>111.07</v>
      </c>
      <c r="H29">
        <v>46.68</v>
      </c>
      <c r="I29">
        <v>1226.04</v>
      </c>
      <c r="J29">
        <v>91.28</v>
      </c>
      <c r="K29">
        <v>182.11</v>
      </c>
      <c r="L29" t="s">
        <v>6</v>
      </c>
      <c r="M29" t="s">
        <v>27</v>
      </c>
    </row>
    <row r="30" spans="1:13" x14ac:dyDescent="0.45">
      <c r="A30" t="s">
        <v>5</v>
      </c>
      <c r="B30" t="s">
        <v>134</v>
      </c>
      <c r="C30">
        <v>2045</v>
      </c>
      <c r="D30">
        <v>170</v>
      </c>
      <c r="E30">
        <v>198.24</v>
      </c>
      <c r="F30">
        <v>171.82</v>
      </c>
      <c r="G30">
        <v>142.07</v>
      </c>
      <c r="H30">
        <v>46.21</v>
      </c>
      <c r="I30">
        <v>1564.8</v>
      </c>
      <c r="J30">
        <v>118.51</v>
      </c>
      <c r="K30">
        <v>237.03</v>
      </c>
      <c r="L30" t="s">
        <v>6</v>
      </c>
      <c r="M30" t="s">
        <v>27</v>
      </c>
    </row>
    <row r="31" spans="1:13" x14ac:dyDescent="0.45">
      <c r="A31" t="s">
        <v>5</v>
      </c>
      <c r="B31" t="s">
        <v>134</v>
      </c>
      <c r="C31">
        <v>2050</v>
      </c>
      <c r="D31">
        <v>193</v>
      </c>
      <c r="E31">
        <v>243.64</v>
      </c>
      <c r="F31">
        <v>208.87</v>
      </c>
      <c r="G31">
        <v>133.19999999999999</v>
      </c>
      <c r="H31">
        <v>50.04</v>
      </c>
      <c r="I31">
        <v>926.14</v>
      </c>
      <c r="J31">
        <v>147.6</v>
      </c>
      <c r="K31">
        <v>302.19</v>
      </c>
      <c r="L31" t="s">
        <v>6</v>
      </c>
      <c r="M31" t="s">
        <v>27</v>
      </c>
    </row>
    <row r="32" spans="1:13" x14ac:dyDescent="0.45">
      <c r="A32" t="s">
        <v>7</v>
      </c>
      <c r="B32" t="s">
        <v>134</v>
      </c>
      <c r="C32">
        <v>2020</v>
      </c>
      <c r="D32">
        <v>74</v>
      </c>
      <c r="E32">
        <v>2.65</v>
      </c>
      <c r="F32">
        <v>0</v>
      </c>
      <c r="G32">
        <v>5.69</v>
      </c>
      <c r="H32">
        <v>0</v>
      </c>
      <c r="I32">
        <v>28.69</v>
      </c>
      <c r="J32">
        <v>0</v>
      </c>
      <c r="K32">
        <v>0.88</v>
      </c>
      <c r="L32" t="s">
        <v>8</v>
      </c>
      <c r="M32" t="s">
        <v>27</v>
      </c>
    </row>
    <row r="33" spans="1:13" x14ac:dyDescent="0.45">
      <c r="A33" t="s">
        <v>7</v>
      </c>
      <c r="B33" t="s">
        <v>134</v>
      </c>
      <c r="C33">
        <v>2025</v>
      </c>
      <c r="D33">
        <v>68</v>
      </c>
      <c r="E33">
        <v>20.55</v>
      </c>
      <c r="F33">
        <v>18.48</v>
      </c>
      <c r="G33">
        <v>10.73</v>
      </c>
      <c r="H33">
        <v>0</v>
      </c>
      <c r="I33">
        <v>48.97</v>
      </c>
      <c r="J33">
        <v>10.91</v>
      </c>
      <c r="K33">
        <v>28.56</v>
      </c>
      <c r="L33" t="s">
        <v>8</v>
      </c>
      <c r="M33" t="s">
        <v>27</v>
      </c>
    </row>
    <row r="34" spans="1:13" x14ac:dyDescent="0.45">
      <c r="A34" t="s">
        <v>7</v>
      </c>
      <c r="B34" t="s">
        <v>134</v>
      </c>
      <c r="C34">
        <v>2030</v>
      </c>
      <c r="D34">
        <v>74</v>
      </c>
      <c r="E34">
        <v>46.67</v>
      </c>
      <c r="F34">
        <v>42.46</v>
      </c>
      <c r="G34">
        <v>32.42</v>
      </c>
      <c r="H34">
        <v>0</v>
      </c>
      <c r="I34">
        <v>169.8</v>
      </c>
      <c r="J34">
        <v>24.9</v>
      </c>
      <c r="K34">
        <v>58.39</v>
      </c>
      <c r="L34" t="s">
        <v>8</v>
      </c>
      <c r="M34" t="s">
        <v>27</v>
      </c>
    </row>
    <row r="35" spans="1:13" x14ac:dyDescent="0.45">
      <c r="A35" t="s">
        <v>7</v>
      </c>
      <c r="B35" t="s">
        <v>134</v>
      </c>
      <c r="C35">
        <v>2035</v>
      </c>
      <c r="D35">
        <v>68</v>
      </c>
      <c r="E35">
        <v>61.44</v>
      </c>
      <c r="F35">
        <v>52.06</v>
      </c>
      <c r="G35">
        <v>29.61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134</v>
      </c>
      <c r="C36">
        <v>2040</v>
      </c>
      <c r="D36">
        <v>74</v>
      </c>
      <c r="E36">
        <v>86.28</v>
      </c>
      <c r="F36">
        <v>75.8</v>
      </c>
      <c r="G36">
        <v>43.19</v>
      </c>
      <c r="H36">
        <v>31.83</v>
      </c>
      <c r="I36">
        <v>281.55</v>
      </c>
      <c r="J36">
        <v>57.1</v>
      </c>
      <c r="K36">
        <v>106.13</v>
      </c>
      <c r="L36" t="s">
        <v>8</v>
      </c>
      <c r="M36" t="s">
        <v>27</v>
      </c>
    </row>
    <row r="37" spans="1:13" x14ac:dyDescent="0.45">
      <c r="A37" t="s">
        <v>7</v>
      </c>
      <c r="B37" t="s">
        <v>134</v>
      </c>
      <c r="C37">
        <v>2045</v>
      </c>
      <c r="D37">
        <v>68</v>
      </c>
      <c r="E37">
        <v>112</v>
      </c>
      <c r="F37">
        <v>94.85</v>
      </c>
      <c r="G37">
        <v>56.67</v>
      </c>
      <c r="H37">
        <v>42.44</v>
      </c>
      <c r="I37">
        <v>317.81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134</v>
      </c>
      <c r="C38">
        <v>2050</v>
      </c>
      <c r="D38">
        <v>74</v>
      </c>
      <c r="E38">
        <v>132.16999999999999</v>
      </c>
      <c r="F38">
        <v>112.39</v>
      </c>
      <c r="G38">
        <v>60.03</v>
      </c>
      <c r="H38">
        <v>54.16</v>
      </c>
      <c r="I38">
        <v>331.7</v>
      </c>
      <c r="J38">
        <v>92.44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134</v>
      </c>
      <c r="C39">
        <v>2020</v>
      </c>
      <c r="D39">
        <v>53</v>
      </c>
      <c r="E39">
        <v>1.93</v>
      </c>
      <c r="F39">
        <v>0</v>
      </c>
      <c r="G39">
        <v>3.41</v>
      </c>
      <c r="H39">
        <v>0</v>
      </c>
      <c r="I39">
        <v>9.64</v>
      </c>
      <c r="J39">
        <v>0</v>
      </c>
      <c r="K39">
        <v>0.98</v>
      </c>
      <c r="L39" t="s">
        <v>10</v>
      </c>
      <c r="M39" t="s">
        <v>27</v>
      </c>
    </row>
    <row r="40" spans="1:13" x14ac:dyDescent="0.45">
      <c r="A40" t="s">
        <v>9</v>
      </c>
      <c r="B40" t="s">
        <v>134</v>
      </c>
      <c r="C40">
        <v>2025</v>
      </c>
      <c r="D40">
        <v>48</v>
      </c>
      <c r="E40">
        <v>1.91</v>
      </c>
      <c r="F40">
        <v>0</v>
      </c>
      <c r="G40">
        <v>3.25</v>
      </c>
      <c r="H40">
        <v>0</v>
      </c>
      <c r="I40">
        <v>8.58</v>
      </c>
      <c r="J40">
        <v>0</v>
      </c>
      <c r="K40">
        <v>1.53</v>
      </c>
      <c r="L40" t="s">
        <v>10</v>
      </c>
      <c r="M40" t="s">
        <v>27</v>
      </c>
    </row>
    <row r="41" spans="1:13" x14ac:dyDescent="0.45">
      <c r="A41" t="s">
        <v>9</v>
      </c>
      <c r="B41" t="s">
        <v>134</v>
      </c>
      <c r="C41">
        <v>2030</v>
      </c>
      <c r="D41">
        <v>53</v>
      </c>
      <c r="E41">
        <v>11.2</v>
      </c>
      <c r="F41">
        <v>0</v>
      </c>
      <c r="G41">
        <v>38.86</v>
      </c>
      <c r="H41">
        <v>0</v>
      </c>
      <c r="I41">
        <v>169.8</v>
      </c>
      <c r="J41">
        <v>0</v>
      </c>
      <c r="K41">
        <v>5.93</v>
      </c>
      <c r="L41" t="s">
        <v>10</v>
      </c>
      <c r="M41" t="s">
        <v>27</v>
      </c>
    </row>
    <row r="42" spans="1:13" x14ac:dyDescent="0.45">
      <c r="A42" t="s">
        <v>9</v>
      </c>
      <c r="B42" t="s">
        <v>134</v>
      </c>
      <c r="C42">
        <v>2035</v>
      </c>
      <c r="D42">
        <v>48</v>
      </c>
      <c r="E42">
        <v>2.0299999999999998</v>
      </c>
      <c r="F42">
        <v>0</v>
      </c>
      <c r="G42">
        <v>3.16</v>
      </c>
      <c r="H42">
        <v>0</v>
      </c>
      <c r="I42">
        <v>8.31</v>
      </c>
      <c r="J42">
        <v>0</v>
      </c>
      <c r="K42">
        <v>1.7</v>
      </c>
      <c r="L42" t="s">
        <v>10</v>
      </c>
      <c r="M42" t="s">
        <v>27</v>
      </c>
    </row>
    <row r="43" spans="1:13" x14ac:dyDescent="0.45">
      <c r="A43" t="s">
        <v>9</v>
      </c>
      <c r="B43" t="s">
        <v>134</v>
      </c>
      <c r="C43">
        <v>2040</v>
      </c>
      <c r="D43">
        <v>53</v>
      </c>
      <c r="E43">
        <v>1.98</v>
      </c>
      <c r="F43">
        <v>0</v>
      </c>
      <c r="G43">
        <v>3.1</v>
      </c>
      <c r="H43">
        <v>0</v>
      </c>
      <c r="I43">
        <v>9.1999999999999993</v>
      </c>
      <c r="J43">
        <v>0</v>
      </c>
      <c r="K43">
        <v>2.11</v>
      </c>
      <c r="L43" t="s">
        <v>10</v>
      </c>
      <c r="M43" t="s">
        <v>27</v>
      </c>
    </row>
    <row r="44" spans="1:13" x14ac:dyDescent="0.45">
      <c r="A44" t="s">
        <v>9</v>
      </c>
      <c r="B44" t="s">
        <v>134</v>
      </c>
      <c r="C44">
        <v>2045</v>
      </c>
      <c r="D44">
        <v>48</v>
      </c>
      <c r="E44">
        <v>2.35</v>
      </c>
      <c r="F44">
        <v>0</v>
      </c>
      <c r="G44">
        <v>3.28</v>
      </c>
      <c r="H44">
        <v>0</v>
      </c>
      <c r="I44">
        <v>10.19</v>
      </c>
      <c r="J44">
        <v>0</v>
      </c>
      <c r="K44">
        <v>2.96</v>
      </c>
      <c r="L44" t="s">
        <v>10</v>
      </c>
      <c r="M44" t="s">
        <v>27</v>
      </c>
    </row>
    <row r="45" spans="1:13" x14ac:dyDescent="0.45">
      <c r="A45" t="s">
        <v>9</v>
      </c>
      <c r="B45" t="s">
        <v>134</v>
      </c>
      <c r="C45">
        <v>2050</v>
      </c>
      <c r="D45">
        <v>53</v>
      </c>
      <c r="E45">
        <v>2.29</v>
      </c>
      <c r="F45">
        <v>0</v>
      </c>
      <c r="G45">
        <v>3.34</v>
      </c>
      <c r="H45">
        <v>0</v>
      </c>
      <c r="I45">
        <v>11.22</v>
      </c>
      <c r="J45">
        <v>0</v>
      </c>
      <c r="K45">
        <v>3.18</v>
      </c>
      <c r="L45" t="s">
        <v>10</v>
      </c>
      <c r="M45" t="s">
        <v>27</v>
      </c>
    </row>
    <row r="46" spans="1:13" x14ac:dyDescent="0.45">
      <c r="A46" t="s">
        <v>0</v>
      </c>
      <c r="B46" t="s">
        <v>134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134</v>
      </c>
      <c r="C47">
        <v>2025</v>
      </c>
      <c r="D47">
        <v>64</v>
      </c>
      <c r="E47">
        <v>1.1399999999999999</v>
      </c>
      <c r="F47">
        <v>1.1599999999999999</v>
      </c>
      <c r="G47">
        <v>0.12</v>
      </c>
      <c r="H47">
        <v>0.8</v>
      </c>
      <c r="I47">
        <v>1.39</v>
      </c>
      <c r="J47">
        <v>1.1100000000000001</v>
      </c>
      <c r="K47">
        <v>1.2</v>
      </c>
      <c r="L47" t="s">
        <v>1</v>
      </c>
      <c r="M47" t="s">
        <v>11</v>
      </c>
    </row>
    <row r="48" spans="1:13" x14ac:dyDescent="0.45">
      <c r="A48" t="s">
        <v>0</v>
      </c>
      <c r="B48" t="s">
        <v>134</v>
      </c>
      <c r="C48">
        <v>2030</v>
      </c>
      <c r="D48">
        <v>64</v>
      </c>
      <c r="E48">
        <v>1.43</v>
      </c>
      <c r="F48">
        <v>1.42</v>
      </c>
      <c r="G48">
        <v>0.28999999999999998</v>
      </c>
      <c r="H48">
        <v>0.76</v>
      </c>
      <c r="I48">
        <v>2.48</v>
      </c>
      <c r="J48">
        <v>1.32</v>
      </c>
      <c r="K48">
        <v>1.57</v>
      </c>
      <c r="L48" t="s">
        <v>1</v>
      </c>
      <c r="M48" t="s">
        <v>11</v>
      </c>
    </row>
    <row r="49" spans="1:13" x14ac:dyDescent="0.45">
      <c r="A49" t="s">
        <v>0</v>
      </c>
      <c r="B49" t="s">
        <v>134</v>
      </c>
      <c r="C49">
        <v>2035</v>
      </c>
      <c r="D49">
        <v>64</v>
      </c>
      <c r="E49">
        <v>1.84</v>
      </c>
      <c r="F49">
        <v>1.8</v>
      </c>
      <c r="G49">
        <v>0.45</v>
      </c>
      <c r="H49">
        <v>0.78</v>
      </c>
      <c r="I49">
        <v>3.23</v>
      </c>
      <c r="J49">
        <v>1.62</v>
      </c>
      <c r="K49">
        <v>2.16</v>
      </c>
      <c r="L49" t="s">
        <v>1</v>
      </c>
      <c r="M49" t="s">
        <v>11</v>
      </c>
    </row>
    <row r="50" spans="1:13" x14ac:dyDescent="0.45">
      <c r="A50" t="s">
        <v>0</v>
      </c>
      <c r="B50" t="s">
        <v>134</v>
      </c>
      <c r="C50">
        <v>2040</v>
      </c>
      <c r="D50">
        <v>64</v>
      </c>
      <c r="E50">
        <v>2.37</v>
      </c>
      <c r="F50">
        <v>2.41</v>
      </c>
      <c r="G50">
        <v>0.66</v>
      </c>
      <c r="H50">
        <v>0.95</v>
      </c>
      <c r="I50">
        <v>3.76</v>
      </c>
      <c r="J50">
        <v>1.96</v>
      </c>
      <c r="K50">
        <v>2.86</v>
      </c>
      <c r="L50" t="s">
        <v>1</v>
      </c>
      <c r="M50" t="s">
        <v>11</v>
      </c>
    </row>
    <row r="51" spans="1:13" x14ac:dyDescent="0.45">
      <c r="A51" t="s">
        <v>0</v>
      </c>
      <c r="B51" t="s">
        <v>134</v>
      </c>
      <c r="C51">
        <v>2045</v>
      </c>
      <c r="D51">
        <v>64</v>
      </c>
      <c r="E51">
        <v>3.02</v>
      </c>
      <c r="F51">
        <v>3.06</v>
      </c>
      <c r="G51">
        <v>0.88</v>
      </c>
      <c r="H51">
        <v>1.31</v>
      </c>
      <c r="I51">
        <v>4.3600000000000003</v>
      </c>
      <c r="J51">
        <v>2.37</v>
      </c>
      <c r="K51">
        <v>3.81</v>
      </c>
      <c r="L51" t="s">
        <v>1</v>
      </c>
      <c r="M51" t="s">
        <v>11</v>
      </c>
    </row>
    <row r="52" spans="1:13" x14ac:dyDescent="0.45">
      <c r="A52" t="s">
        <v>0</v>
      </c>
      <c r="B52" t="s">
        <v>134</v>
      </c>
      <c r="C52">
        <v>2050</v>
      </c>
      <c r="D52">
        <v>64</v>
      </c>
      <c r="E52">
        <v>3.65</v>
      </c>
      <c r="F52">
        <v>3.72</v>
      </c>
      <c r="G52">
        <v>1.06</v>
      </c>
      <c r="H52">
        <v>1.77</v>
      </c>
      <c r="I52">
        <v>5.82</v>
      </c>
      <c r="J52">
        <v>2.74</v>
      </c>
      <c r="K52">
        <v>4.6100000000000003</v>
      </c>
      <c r="L52" t="s">
        <v>1</v>
      </c>
      <c r="M52" t="s">
        <v>11</v>
      </c>
    </row>
    <row r="53" spans="1:13" x14ac:dyDescent="0.45">
      <c r="A53" t="s">
        <v>2</v>
      </c>
      <c r="B53" t="s">
        <v>134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134</v>
      </c>
      <c r="C54">
        <v>2025</v>
      </c>
      <c r="D54">
        <v>89</v>
      </c>
      <c r="E54">
        <v>1.1599999999999999</v>
      </c>
      <c r="F54">
        <v>1.1599999999999999</v>
      </c>
      <c r="G54">
        <v>0.08</v>
      </c>
      <c r="H54">
        <v>0.93</v>
      </c>
      <c r="I54">
        <v>1.3</v>
      </c>
      <c r="J54">
        <v>1.1100000000000001</v>
      </c>
      <c r="K54">
        <v>1.21</v>
      </c>
      <c r="L54" t="s">
        <v>3</v>
      </c>
      <c r="M54" t="s">
        <v>11</v>
      </c>
    </row>
    <row r="55" spans="1:13" x14ac:dyDescent="0.45">
      <c r="A55" t="s">
        <v>2</v>
      </c>
      <c r="B55" t="s">
        <v>134</v>
      </c>
      <c r="C55">
        <v>2030</v>
      </c>
      <c r="D55">
        <v>100</v>
      </c>
      <c r="E55">
        <v>1.4</v>
      </c>
      <c r="F55">
        <v>1.44</v>
      </c>
      <c r="G55">
        <v>0.17</v>
      </c>
      <c r="H55">
        <v>0.97</v>
      </c>
      <c r="I55">
        <v>1.78</v>
      </c>
      <c r="J55">
        <v>1.27</v>
      </c>
      <c r="K55">
        <v>1.5</v>
      </c>
      <c r="L55" t="s">
        <v>3</v>
      </c>
      <c r="M55" t="s">
        <v>11</v>
      </c>
    </row>
    <row r="56" spans="1:13" x14ac:dyDescent="0.45">
      <c r="A56" t="s">
        <v>2</v>
      </c>
      <c r="B56" t="s">
        <v>134</v>
      </c>
      <c r="C56">
        <v>2035</v>
      </c>
      <c r="D56">
        <v>89</v>
      </c>
      <c r="E56">
        <v>1.66</v>
      </c>
      <c r="F56">
        <v>1.62</v>
      </c>
      <c r="G56">
        <v>0.31</v>
      </c>
      <c r="H56">
        <v>1.01</v>
      </c>
      <c r="I56">
        <v>2.39</v>
      </c>
      <c r="J56">
        <v>1.47</v>
      </c>
      <c r="K56">
        <v>1.89</v>
      </c>
      <c r="L56" t="s">
        <v>3</v>
      </c>
      <c r="M56" t="s">
        <v>11</v>
      </c>
    </row>
    <row r="57" spans="1:13" x14ac:dyDescent="0.45">
      <c r="A57" t="s">
        <v>2</v>
      </c>
      <c r="B57" t="s">
        <v>134</v>
      </c>
      <c r="C57">
        <v>2040</v>
      </c>
      <c r="D57">
        <v>100</v>
      </c>
      <c r="E57">
        <v>2.0699999999999998</v>
      </c>
      <c r="F57">
        <v>2.13</v>
      </c>
      <c r="G57">
        <v>0.48</v>
      </c>
      <c r="H57">
        <v>1.06</v>
      </c>
      <c r="I57">
        <v>3.28</v>
      </c>
      <c r="J57">
        <v>1.73</v>
      </c>
      <c r="K57">
        <v>2.36</v>
      </c>
      <c r="L57" t="s">
        <v>3</v>
      </c>
      <c r="M57" t="s">
        <v>11</v>
      </c>
    </row>
    <row r="58" spans="1:13" x14ac:dyDescent="0.45">
      <c r="A58" t="s">
        <v>2</v>
      </c>
      <c r="B58" t="s">
        <v>134</v>
      </c>
      <c r="C58">
        <v>2045</v>
      </c>
      <c r="D58">
        <v>89</v>
      </c>
      <c r="E58">
        <v>2.57</v>
      </c>
      <c r="F58">
        <v>2.61</v>
      </c>
      <c r="G58">
        <v>0.77</v>
      </c>
      <c r="H58">
        <v>1.1399999999999999</v>
      </c>
      <c r="I58">
        <v>4.1500000000000004</v>
      </c>
      <c r="J58">
        <v>2.04</v>
      </c>
      <c r="K58">
        <v>3.03</v>
      </c>
      <c r="L58" t="s">
        <v>3</v>
      </c>
      <c r="M58" t="s">
        <v>11</v>
      </c>
    </row>
    <row r="59" spans="1:13" x14ac:dyDescent="0.45">
      <c r="A59" t="s">
        <v>2</v>
      </c>
      <c r="B59" t="s">
        <v>134</v>
      </c>
      <c r="C59">
        <v>2050</v>
      </c>
      <c r="D59">
        <v>100</v>
      </c>
      <c r="E59">
        <v>3.13</v>
      </c>
      <c r="F59">
        <v>3.05</v>
      </c>
      <c r="G59">
        <v>0.97</v>
      </c>
      <c r="H59">
        <v>1.36</v>
      </c>
      <c r="I59">
        <v>5.49</v>
      </c>
      <c r="J59">
        <v>2.5</v>
      </c>
      <c r="K59">
        <v>3.8</v>
      </c>
      <c r="L59" t="s">
        <v>3</v>
      </c>
      <c r="M59" t="s">
        <v>11</v>
      </c>
    </row>
    <row r="60" spans="1:13" x14ac:dyDescent="0.45">
      <c r="A60" t="s">
        <v>5</v>
      </c>
      <c r="B60" t="s">
        <v>134</v>
      </c>
      <c r="C60">
        <v>2020</v>
      </c>
      <c r="D60">
        <v>233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134</v>
      </c>
      <c r="C61">
        <v>2025</v>
      </c>
      <c r="D61">
        <v>210</v>
      </c>
      <c r="E61">
        <v>1.1499999999999999</v>
      </c>
      <c r="F61">
        <v>1.1599999999999999</v>
      </c>
      <c r="G61">
        <v>0.12</v>
      </c>
      <c r="H61">
        <v>0.8</v>
      </c>
      <c r="I61">
        <v>1.4</v>
      </c>
      <c r="J61">
        <v>1.07</v>
      </c>
      <c r="K61">
        <v>1.24</v>
      </c>
      <c r="L61" t="s">
        <v>6</v>
      </c>
      <c r="M61" t="s">
        <v>11</v>
      </c>
    </row>
    <row r="62" spans="1:13" x14ac:dyDescent="0.45">
      <c r="A62" t="s">
        <v>5</v>
      </c>
      <c r="B62" t="s">
        <v>134</v>
      </c>
      <c r="C62">
        <v>2030</v>
      </c>
      <c r="D62">
        <v>233</v>
      </c>
      <c r="E62">
        <v>1.38</v>
      </c>
      <c r="F62">
        <v>1.31</v>
      </c>
      <c r="G62">
        <v>0.24</v>
      </c>
      <c r="H62">
        <v>0.76</v>
      </c>
      <c r="I62">
        <v>2.09</v>
      </c>
      <c r="J62">
        <v>1.23</v>
      </c>
      <c r="K62">
        <v>1.62</v>
      </c>
      <c r="L62" t="s">
        <v>6</v>
      </c>
      <c r="M62" t="s">
        <v>11</v>
      </c>
    </row>
    <row r="63" spans="1:13" x14ac:dyDescent="0.45">
      <c r="A63" t="s">
        <v>5</v>
      </c>
      <c r="B63" t="s">
        <v>134</v>
      </c>
      <c r="C63">
        <v>2035</v>
      </c>
      <c r="D63">
        <v>210</v>
      </c>
      <c r="E63">
        <v>1.63</v>
      </c>
      <c r="F63">
        <v>1.5</v>
      </c>
      <c r="G63">
        <v>0.42</v>
      </c>
      <c r="H63">
        <v>0.84</v>
      </c>
      <c r="I63">
        <v>3.02</v>
      </c>
      <c r="J63">
        <v>1.32</v>
      </c>
      <c r="K63">
        <v>2.0099999999999998</v>
      </c>
      <c r="L63" t="s">
        <v>6</v>
      </c>
      <c r="M63" t="s">
        <v>11</v>
      </c>
    </row>
    <row r="64" spans="1:13" x14ac:dyDescent="0.45">
      <c r="A64" t="s">
        <v>5</v>
      </c>
      <c r="B64" t="s">
        <v>134</v>
      </c>
      <c r="C64">
        <v>2040</v>
      </c>
      <c r="D64">
        <v>233</v>
      </c>
      <c r="E64">
        <v>1.94</v>
      </c>
      <c r="F64">
        <v>1.72</v>
      </c>
      <c r="G64">
        <v>0.61</v>
      </c>
      <c r="H64">
        <v>1</v>
      </c>
      <c r="I64">
        <v>4.17</v>
      </c>
      <c r="J64">
        <v>1.54</v>
      </c>
      <c r="K64">
        <v>2.4900000000000002</v>
      </c>
      <c r="L64" t="s">
        <v>6</v>
      </c>
      <c r="M64" t="s">
        <v>11</v>
      </c>
    </row>
    <row r="65" spans="1:13" x14ac:dyDescent="0.45">
      <c r="A65" t="s">
        <v>5</v>
      </c>
      <c r="B65" t="s">
        <v>134</v>
      </c>
      <c r="C65">
        <v>2045</v>
      </c>
      <c r="D65">
        <v>210</v>
      </c>
      <c r="E65">
        <v>2.42</v>
      </c>
      <c r="F65">
        <v>2.13</v>
      </c>
      <c r="G65">
        <v>0.87</v>
      </c>
      <c r="H65">
        <v>1.1200000000000001</v>
      </c>
      <c r="I65">
        <v>5.43</v>
      </c>
      <c r="J65">
        <v>1.69</v>
      </c>
      <c r="K65">
        <v>3.2</v>
      </c>
      <c r="L65" t="s">
        <v>6</v>
      </c>
      <c r="M65" t="s">
        <v>11</v>
      </c>
    </row>
    <row r="66" spans="1:13" x14ac:dyDescent="0.45">
      <c r="A66" t="s">
        <v>5</v>
      </c>
      <c r="B66" t="s">
        <v>134</v>
      </c>
      <c r="C66">
        <v>2050</v>
      </c>
      <c r="D66">
        <v>233</v>
      </c>
      <c r="E66">
        <v>2.85</v>
      </c>
      <c r="F66">
        <v>2.5099999999999998</v>
      </c>
      <c r="G66">
        <v>1.08</v>
      </c>
      <c r="H66">
        <v>1.39</v>
      </c>
      <c r="I66">
        <v>6.7</v>
      </c>
      <c r="J66">
        <v>1.85</v>
      </c>
      <c r="K66">
        <v>3.98</v>
      </c>
      <c r="L66" t="s">
        <v>6</v>
      </c>
      <c r="M66" t="s">
        <v>11</v>
      </c>
    </row>
    <row r="67" spans="1:13" x14ac:dyDescent="0.45">
      <c r="A67" t="s">
        <v>7</v>
      </c>
      <c r="B67" t="s">
        <v>134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134</v>
      </c>
      <c r="C68">
        <v>2025</v>
      </c>
      <c r="D68">
        <v>96</v>
      </c>
      <c r="E68">
        <v>1.1100000000000001</v>
      </c>
      <c r="F68">
        <v>1.1399999999999999</v>
      </c>
      <c r="G68">
        <v>0.1</v>
      </c>
      <c r="H68">
        <v>0.9</v>
      </c>
      <c r="I68">
        <v>1.31</v>
      </c>
      <c r="J68">
        <v>1.06</v>
      </c>
      <c r="K68">
        <v>1.1599999999999999</v>
      </c>
      <c r="L68" t="s">
        <v>8</v>
      </c>
      <c r="M68" t="s">
        <v>11</v>
      </c>
    </row>
    <row r="69" spans="1:13" x14ac:dyDescent="0.45">
      <c r="A69" t="s">
        <v>7</v>
      </c>
      <c r="B69" t="s">
        <v>134</v>
      </c>
      <c r="C69">
        <v>2030</v>
      </c>
      <c r="D69">
        <v>102</v>
      </c>
      <c r="E69">
        <v>1.27</v>
      </c>
      <c r="F69">
        <v>1.28</v>
      </c>
      <c r="G69">
        <v>0.18</v>
      </c>
      <c r="H69">
        <v>0.97</v>
      </c>
      <c r="I69">
        <v>1.7</v>
      </c>
      <c r="J69">
        <v>1.21</v>
      </c>
      <c r="K69">
        <v>1.36</v>
      </c>
      <c r="L69" t="s">
        <v>8</v>
      </c>
      <c r="M69" t="s">
        <v>11</v>
      </c>
    </row>
    <row r="70" spans="1:13" x14ac:dyDescent="0.45">
      <c r="A70" t="s">
        <v>7</v>
      </c>
      <c r="B70" t="s">
        <v>134</v>
      </c>
      <c r="C70">
        <v>2035</v>
      </c>
      <c r="D70">
        <v>96</v>
      </c>
      <c r="E70">
        <v>1.41</v>
      </c>
      <c r="F70">
        <v>1.4</v>
      </c>
      <c r="G70">
        <v>0.31</v>
      </c>
      <c r="H70">
        <v>0.99</v>
      </c>
      <c r="I70">
        <v>2.16</v>
      </c>
      <c r="J70">
        <v>1.1499999999999999</v>
      </c>
      <c r="K70">
        <v>1.48</v>
      </c>
      <c r="L70" t="s">
        <v>8</v>
      </c>
      <c r="M70" t="s">
        <v>11</v>
      </c>
    </row>
    <row r="71" spans="1:13" x14ac:dyDescent="0.45">
      <c r="A71" t="s">
        <v>7</v>
      </c>
      <c r="B71" t="s">
        <v>134</v>
      </c>
      <c r="C71">
        <v>2040</v>
      </c>
      <c r="D71">
        <v>102</v>
      </c>
      <c r="E71">
        <v>1.59</v>
      </c>
      <c r="F71">
        <v>1.57</v>
      </c>
      <c r="G71">
        <v>0.44</v>
      </c>
      <c r="H71">
        <v>1.06</v>
      </c>
      <c r="I71">
        <v>2.85</v>
      </c>
      <c r="J71">
        <v>1.18</v>
      </c>
      <c r="K71">
        <v>1.67</v>
      </c>
      <c r="L71" t="s">
        <v>8</v>
      </c>
      <c r="M71" t="s">
        <v>11</v>
      </c>
    </row>
    <row r="72" spans="1:13" x14ac:dyDescent="0.45">
      <c r="A72" t="s">
        <v>7</v>
      </c>
      <c r="B72" t="s">
        <v>134</v>
      </c>
      <c r="C72">
        <v>2045</v>
      </c>
      <c r="D72">
        <v>96</v>
      </c>
      <c r="E72">
        <v>1.85</v>
      </c>
      <c r="F72">
        <v>1.66</v>
      </c>
      <c r="G72">
        <v>0.61</v>
      </c>
      <c r="H72">
        <v>1.1200000000000001</v>
      </c>
      <c r="I72">
        <v>3.55</v>
      </c>
      <c r="J72">
        <v>1.46</v>
      </c>
      <c r="K72">
        <v>1.98</v>
      </c>
      <c r="L72" t="s">
        <v>8</v>
      </c>
      <c r="M72" t="s">
        <v>11</v>
      </c>
    </row>
    <row r="73" spans="1:13" x14ac:dyDescent="0.45">
      <c r="A73" t="s">
        <v>7</v>
      </c>
      <c r="B73" t="s">
        <v>134</v>
      </c>
      <c r="C73">
        <v>2050</v>
      </c>
      <c r="D73">
        <v>102</v>
      </c>
      <c r="E73">
        <v>2.16</v>
      </c>
      <c r="F73">
        <v>1.84</v>
      </c>
      <c r="G73">
        <v>0.78</v>
      </c>
      <c r="H73">
        <v>1.21</v>
      </c>
      <c r="I73">
        <v>4.76</v>
      </c>
      <c r="J73">
        <v>1.74</v>
      </c>
      <c r="K73">
        <v>2.3199999999999998</v>
      </c>
      <c r="L73" t="s">
        <v>8</v>
      </c>
      <c r="M73" t="s">
        <v>11</v>
      </c>
    </row>
    <row r="74" spans="1:13" x14ac:dyDescent="0.45">
      <c r="A74" t="s">
        <v>9</v>
      </c>
      <c r="B74" t="s">
        <v>134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134</v>
      </c>
      <c r="C75">
        <v>2025</v>
      </c>
      <c r="D75">
        <v>56</v>
      </c>
      <c r="E75">
        <v>1.23</v>
      </c>
      <c r="F75">
        <v>1.24</v>
      </c>
      <c r="G75">
        <v>0.06</v>
      </c>
      <c r="H75">
        <v>1.07</v>
      </c>
      <c r="I75">
        <v>1.35</v>
      </c>
      <c r="J75">
        <v>1.21</v>
      </c>
      <c r="K75">
        <v>1.26</v>
      </c>
      <c r="L75" t="s">
        <v>10</v>
      </c>
      <c r="M75" t="s">
        <v>11</v>
      </c>
    </row>
    <row r="76" spans="1:13" x14ac:dyDescent="0.45">
      <c r="A76" t="s">
        <v>9</v>
      </c>
      <c r="B76" t="s">
        <v>134</v>
      </c>
      <c r="C76">
        <v>2030</v>
      </c>
      <c r="D76">
        <v>61</v>
      </c>
      <c r="E76">
        <v>1.49</v>
      </c>
      <c r="F76">
        <v>1.52</v>
      </c>
      <c r="G76">
        <v>0.15</v>
      </c>
      <c r="H76">
        <v>1.07</v>
      </c>
      <c r="I76">
        <v>1.8</v>
      </c>
      <c r="J76">
        <v>1.42</v>
      </c>
      <c r="K76">
        <v>1.6</v>
      </c>
      <c r="L76" t="s">
        <v>10</v>
      </c>
      <c r="M76" t="s">
        <v>11</v>
      </c>
    </row>
    <row r="77" spans="1:13" x14ac:dyDescent="0.45">
      <c r="A77" t="s">
        <v>9</v>
      </c>
      <c r="B77" t="s">
        <v>134</v>
      </c>
      <c r="C77">
        <v>2035</v>
      </c>
      <c r="D77">
        <v>56</v>
      </c>
      <c r="E77">
        <v>1.8</v>
      </c>
      <c r="F77">
        <v>1.85</v>
      </c>
      <c r="G77">
        <v>0.25</v>
      </c>
      <c r="H77">
        <v>1.1100000000000001</v>
      </c>
      <c r="I77">
        <v>2.34</v>
      </c>
      <c r="J77">
        <v>1.7</v>
      </c>
      <c r="K77">
        <v>1.96</v>
      </c>
      <c r="L77" t="s">
        <v>10</v>
      </c>
      <c r="M77" t="s">
        <v>11</v>
      </c>
    </row>
    <row r="78" spans="1:13" x14ac:dyDescent="0.45">
      <c r="A78" t="s">
        <v>9</v>
      </c>
      <c r="B78" t="s">
        <v>134</v>
      </c>
      <c r="C78">
        <v>2040</v>
      </c>
      <c r="D78">
        <v>61</v>
      </c>
      <c r="E78">
        <v>2.08</v>
      </c>
      <c r="F78">
        <v>2.1800000000000002</v>
      </c>
      <c r="G78">
        <v>0.37</v>
      </c>
      <c r="H78">
        <v>1.22</v>
      </c>
      <c r="I78">
        <v>3.03</v>
      </c>
      <c r="J78">
        <v>1.8</v>
      </c>
      <c r="K78">
        <v>2.27</v>
      </c>
      <c r="L78" t="s">
        <v>10</v>
      </c>
      <c r="M78" t="s">
        <v>11</v>
      </c>
    </row>
    <row r="79" spans="1:13" x14ac:dyDescent="0.45">
      <c r="A79" t="s">
        <v>9</v>
      </c>
      <c r="B79" t="s">
        <v>134</v>
      </c>
      <c r="C79">
        <v>2045</v>
      </c>
      <c r="D79">
        <v>56</v>
      </c>
      <c r="E79">
        <v>2.46</v>
      </c>
      <c r="F79">
        <v>2.57</v>
      </c>
      <c r="G79">
        <v>0.49</v>
      </c>
      <c r="H79">
        <v>1.34</v>
      </c>
      <c r="I79">
        <v>3.82</v>
      </c>
      <c r="J79">
        <v>2.12</v>
      </c>
      <c r="K79">
        <v>2.7</v>
      </c>
      <c r="L79" t="s">
        <v>10</v>
      </c>
      <c r="M79" t="s">
        <v>11</v>
      </c>
    </row>
    <row r="80" spans="1:13" x14ac:dyDescent="0.45">
      <c r="A80" t="s">
        <v>9</v>
      </c>
      <c r="B80" t="s">
        <v>134</v>
      </c>
      <c r="C80">
        <v>2050</v>
      </c>
      <c r="D80">
        <v>61</v>
      </c>
      <c r="E80">
        <v>2.74</v>
      </c>
      <c r="F80">
        <v>2.93</v>
      </c>
      <c r="G80">
        <v>0.66</v>
      </c>
      <c r="H80">
        <v>1.46</v>
      </c>
      <c r="I80">
        <v>4.6399999999999997</v>
      </c>
      <c r="J80">
        <v>2.2799999999999998</v>
      </c>
      <c r="K80">
        <v>3.16</v>
      </c>
      <c r="L80" t="s">
        <v>10</v>
      </c>
      <c r="M80" t="s">
        <v>11</v>
      </c>
    </row>
    <row r="81" spans="1:13" x14ac:dyDescent="0.45">
      <c r="A81" t="s">
        <v>0</v>
      </c>
      <c r="B81" t="s">
        <v>134</v>
      </c>
      <c r="C81">
        <v>2020</v>
      </c>
      <c r="D81">
        <v>64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134</v>
      </c>
      <c r="C82">
        <v>2025</v>
      </c>
      <c r="D82">
        <v>64</v>
      </c>
      <c r="E82">
        <v>0.01</v>
      </c>
      <c r="F82">
        <v>0.01</v>
      </c>
      <c r="G82">
        <v>0.01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134</v>
      </c>
      <c r="C83">
        <v>2030</v>
      </c>
      <c r="D83">
        <v>64</v>
      </c>
      <c r="E83">
        <v>0.01</v>
      </c>
      <c r="F83">
        <v>0.01</v>
      </c>
      <c r="G83">
        <v>0.01</v>
      </c>
      <c r="H83">
        <v>0</v>
      </c>
      <c r="I83">
        <v>0.05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134</v>
      </c>
      <c r="C84">
        <v>2035</v>
      </c>
      <c r="D84">
        <v>64</v>
      </c>
      <c r="E84">
        <v>0.02</v>
      </c>
      <c r="F84">
        <v>0.02</v>
      </c>
      <c r="G84">
        <v>0.02</v>
      </c>
      <c r="H84">
        <v>0</v>
      </c>
      <c r="I84">
        <v>0.13</v>
      </c>
      <c r="J84">
        <v>0.01</v>
      </c>
      <c r="K84">
        <v>0.02</v>
      </c>
      <c r="L84" t="s">
        <v>1</v>
      </c>
      <c r="M84" t="s">
        <v>15</v>
      </c>
    </row>
    <row r="85" spans="1:13" x14ac:dyDescent="0.45">
      <c r="A85" t="s">
        <v>0</v>
      </c>
      <c r="B85" t="s">
        <v>134</v>
      </c>
      <c r="C85">
        <v>2040</v>
      </c>
      <c r="D85">
        <v>64</v>
      </c>
      <c r="E85">
        <v>0.04</v>
      </c>
      <c r="F85">
        <v>0.03</v>
      </c>
      <c r="G85">
        <v>0.05</v>
      </c>
      <c r="H85">
        <v>0</v>
      </c>
      <c r="I85">
        <v>0.42</v>
      </c>
      <c r="J85">
        <v>0.02</v>
      </c>
      <c r="K85">
        <v>0.03</v>
      </c>
      <c r="L85" t="s">
        <v>1</v>
      </c>
      <c r="M85" t="s">
        <v>15</v>
      </c>
    </row>
    <row r="86" spans="1:13" x14ac:dyDescent="0.45">
      <c r="A86" t="s">
        <v>0</v>
      </c>
      <c r="B86" t="s">
        <v>134</v>
      </c>
      <c r="C86">
        <v>2045</v>
      </c>
      <c r="D86">
        <v>64</v>
      </c>
      <c r="E86">
        <v>0.06</v>
      </c>
      <c r="F86">
        <v>0.04</v>
      </c>
      <c r="G86">
        <v>0.08</v>
      </c>
      <c r="H86">
        <v>0</v>
      </c>
      <c r="I86">
        <v>0.56999999999999995</v>
      </c>
      <c r="J86">
        <v>0.03</v>
      </c>
      <c r="K86">
        <v>0.05</v>
      </c>
      <c r="L86" t="s">
        <v>1</v>
      </c>
      <c r="M86" t="s">
        <v>15</v>
      </c>
    </row>
    <row r="87" spans="1:13" x14ac:dyDescent="0.45">
      <c r="A87" t="s">
        <v>0</v>
      </c>
      <c r="B87" t="s">
        <v>134</v>
      </c>
      <c r="C87">
        <v>2050</v>
      </c>
      <c r="D87">
        <v>64</v>
      </c>
      <c r="E87">
        <v>7.0000000000000007E-2</v>
      </c>
      <c r="F87">
        <v>0.05</v>
      </c>
      <c r="G87">
        <v>0.09</v>
      </c>
      <c r="H87">
        <v>0</v>
      </c>
      <c r="I87">
        <v>0.46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134</v>
      </c>
      <c r="C88">
        <v>2020</v>
      </c>
      <c r="D88">
        <v>100</v>
      </c>
      <c r="E88">
        <v>0</v>
      </c>
      <c r="F88">
        <v>0</v>
      </c>
      <c r="G88">
        <v>0</v>
      </c>
      <c r="H88">
        <v>0</v>
      </c>
      <c r="I88">
        <v>0.03</v>
      </c>
      <c r="J88">
        <v>0</v>
      </c>
      <c r="K88">
        <v>0.01</v>
      </c>
      <c r="L88" t="s">
        <v>3</v>
      </c>
      <c r="M88" t="s">
        <v>15</v>
      </c>
    </row>
    <row r="89" spans="1:13" x14ac:dyDescent="0.45">
      <c r="A89" t="s">
        <v>2</v>
      </c>
      <c r="B89" t="s">
        <v>134</v>
      </c>
      <c r="C89">
        <v>2025</v>
      </c>
      <c r="D89">
        <v>89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134</v>
      </c>
      <c r="C90">
        <v>2030</v>
      </c>
      <c r="D90">
        <v>100</v>
      </c>
      <c r="E90">
        <v>0</v>
      </c>
      <c r="F90">
        <v>0</v>
      </c>
      <c r="G90">
        <v>0.01</v>
      </c>
      <c r="H90">
        <v>0</v>
      </c>
      <c r="I90">
        <v>0.04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134</v>
      </c>
      <c r="C91">
        <v>2035</v>
      </c>
      <c r="D91">
        <v>89</v>
      </c>
      <c r="E91">
        <v>0.01</v>
      </c>
      <c r="F91">
        <v>0.01</v>
      </c>
      <c r="G91">
        <v>0.01</v>
      </c>
      <c r="H91">
        <v>0</v>
      </c>
      <c r="I91">
        <v>0.04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134</v>
      </c>
      <c r="C92">
        <v>2040</v>
      </c>
      <c r="D92">
        <v>100</v>
      </c>
      <c r="E92">
        <v>0.03</v>
      </c>
      <c r="F92">
        <v>0.02</v>
      </c>
      <c r="G92">
        <v>0.03</v>
      </c>
      <c r="H92">
        <v>0</v>
      </c>
      <c r="I92">
        <v>0.21</v>
      </c>
      <c r="J92">
        <v>0.01</v>
      </c>
      <c r="K92">
        <v>0.03</v>
      </c>
      <c r="L92" t="s">
        <v>3</v>
      </c>
      <c r="M92" t="s">
        <v>15</v>
      </c>
    </row>
    <row r="93" spans="1:13" x14ac:dyDescent="0.45">
      <c r="A93" t="s">
        <v>2</v>
      </c>
      <c r="B93" t="s">
        <v>134</v>
      </c>
      <c r="C93">
        <v>2045</v>
      </c>
      <c r="D93">
        <v>89</v>
      </c>
      <c r="E93">
        <v>0.05</v>
      </c>
      <c r="F93">
        <v>0.03</v>
      </c>
      <c r="G93">
        <v>0.06</v>
      </c>
      <c r="H93">
        <v>0</v>
      </c>
      <c r="I93">
        <v>0.37</v>
      </c>
      <c r="J93">
        <v>0.02</v>
      </c>
      <c r="K93">
        <v>0.04</v>
      </c>
      <c r="L93" t="s">
        <v>3</v>
      </c>
      <c r="M93" t="s">
        <v>15</v>
      </c>
    </row>
    <row r="94" spans="1:13" x14ac:dyDescent="0.45">
      <c r="A94" t="s">
        <v>2</v>
      </c>
      <c r="B94" t="s">
        <v>134</v>
      </c>
      <c r="C94">
        <v>2050</v>
      </c>
      <c r="D94">
        <v>100</v>
      </c>
      <c r="E94">
        <v>0.08</v>
      </c>
      <c r="F94">
        <v>0.04</v>
      </c>
      <c r="G94">
        <v>0.1</v>
      </c>
      <c r="H94">
        <v>0</v>
      </c>
      <c r="I94">
        <v>0.46</v>
      </c>
      <c r="J94">
        <v>0.02</v>
      </c>
      <c r="K94">
        <v>0.09</v>
      </c>
      <c r="L94" t="s">
        <v>3</v>
      </c>
      <c r="M94" t="s">
        <v>15</v>
      </c>
    </row>
    <row r="95" spans="1:13" x14ac:dyDescent="0.45">
      <c r="A95" t="s">
        <v>5</v>
      </c>
      <c r="B95" t="s">
        <v>134</v>
      </c>
      <c r="C95">
        <v>2020</v>
      </c>
      <c r="D95">
        <v>215</v>
      </c>
      <c r="E95">
        <v>0</v>
      </c>
      <c r="F95">
        <v>0</v>
      </c>
      <c r="G95">
        <v>0</v>
      </c>
      <c r="H95">
        <v>0</v>
      </c>
      <c r="I95">
        <v>0.03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134</v>
      </c>
      <c r="C96">
        <v>2025</v>
      </c>
      <c r="D96">
        <v>203</v>
      </c>
      <c r="E96">
        <v>0</v>
      </c>
      <c r="F96">
        <v>0</v>
      </c>
      <c r="G96">
        <v>0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134</v>
      </c>
      <c r="C97">
        <v>2030</v>
      </c>
      <c r="D97">
        <v>215</v>
      </c>
      <c r="E97">
        <v>0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134</v>
      </c>
      <c r="C98">
        <v>2035</v>
      </c>
      <c r="D98">
        <v>203</v>
      </c>
      <c r="E98">
        <v>0.01</v>
      </c>
      <c r="F98">
        <v>0.01</v>
      </c>
      <c r="G98">
        <v>0.01</v>
      </c>
      <c r="H98">
        <v>0</v>
      </c>
      <c r="I98">
        <v>0.04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134</v>
      </c>
      <c r="C99">
        <v>2040</v>
      </c>
      <c r="D99">
        <v>215</v>
      </c>
      <c r="E99">
        <v>0.02</v>
      </c>
      <c r="F99">
        <v>0.02</v>
      </c>
      <c r="G99">
        <v>0.02</v>
      </c>
      <c r="H99">
        <v>0</v>
      </c>
      <c r="I99">
        <v>0.1</v>
      </c>
      <c r="J99">
        <v>0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134</v>
      </c>
      <c r="C100">
        <v>2045</v>
      </c>
      <c r="D100">
        <v>203</v>
      </c>
      <c r="E100">
        <v>0.03</v>
      </c>
      <c r="F100">
        <v>0.03</v>
      </c>
      <c r="G100">
        <v>0.04</v>
      </c>
      <c r="H100">
        <v>0</v>
      </c>
      <c r="I100">
        <v>0.46</v>
      </c>
      <c r="J100">
        <v>0</v>
      </c>
      <c r="K100">
        <v>0.03</v>
      </c>
      <c r="L100" t="s">
        <v>6</v>
      </c>
      <c r="M100" t="s">
        <v>15</v>
      </c>
    </row>
    <row r="101" spans="1:13" x14ac:dyDescent="0.45">
      <c r="A101" t="s">
        <v>5</v>
      </c>
      <c r="B101" t="s">
        <v>134</v>
      </c>
      <c r="C101">
        <v>2050</v>
      </c>
      <c r="D101">
        <v>215</v>
      </c>
      <c r="E101">
        <v>0.04</v>
      </c>
      <c r="F101">
        <v>0.03</v>
      </c>
      <c r="G101">
        <v>0.05</v>
      </c>
      <c r="H101">
        <v>0</v>
      </c>
      <c r="I101">
        <v>0.5</v>
      </c>
      <c r="J101">
        <v>0.01</v>
      </c>
      <c r="K101">
        <v>0.05</v>
      </c>
      <c r="L101" t="s">
        <v>6</v>
      </c>
      <c r="M101" t="s">
        <v>15</v>
      </c>
    </row>
    <row r="102" spans="1:13" x14ac:dyDescent="0.45">
      <c r="A102" t="s">
        <v>7</v>
      </c>
      <c r="B102" t="s">
        <v>134</v>
      </c>
      <c r="C102">
        <v>2020</v>
      </c>
      <c r="D102">
        <v>96</v>
      </c>
      <c r="E102">
        <v>0</v>
      </c>
      <c r="F102">
        <v>0</v>
      </c>
      <c r="G102">
        <v>0</v>
      </c>
      <c r="H102">
        <v>0</v>
      </c>
      <c r="I102">
        <v>0.03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134</v>
      </c>
      <c r="C103">
        <v>2025</v>
      </c>
      <c r="D103">
        <v>96</v>
      </c>
      <c r="E103">
        <v>0</v>
      </c>
      <c r="F103">
        <v>0</v>
      </c>
      <c r="G103">
        <v>0</v>
      </c>
      <c r="H103">
        <v>0</v>
      </c>
      <c r="I103">
        <v>0.03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134</v>
      </c>
      <c r="C104">
        <v>2030</v>
      </c>
      <c r="D104">
        <v>96</v>
      </c>
      <c r="E104">
        <v>0</v>
      </c>
      <c r="F104">
        <v>0</v>
      </c>
      <c r="G104">
        <v>0</v>
      </c>
      <c r="H104">
        <v>0</v>
      </c>
      <c r="I104">
        <v>0.04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134</v>
      </c>
      <c r="C105">
        <v>2035</v>
      </c>
      <c r="D105">
        <v>96</v>
      </c>
      <c r="E105">
        <v>0</v>
      </c>
      <c r="F105">
        <v>0</v>
      </c>
      <c r="G105">
        <v>0.01</v>
      </c>
      <c r="H105">
        <v>0</v>
      </c>
      <c r="I105">
        <v>0.04</v>
      </c>
      <c r="J105">
        <v>0</v>
      </c>
      <c r="K105">
        <v>0</v>
      </c>
      <c r="L105" t="s">
        <v>8</v>
      </c>
      <c r="M105" t="s">
        <v>15</v>
      </c>
    </row>
    <row r="106" spans="1:13" x14ac:dyDescent="0.45">
      <c r="A106" t="s">
        <v>7</v>
      </c>
      <c r="B106" t="s">
        <v>134</v>
      </c>
      <c r="C106">
        <v>2040</v>
      </c>
      <c r="D106">
        <v>96</v>
      </c>
      <c r="E106">
        <v>0.01</v>
      </c>
      <c r="F106">
        <v>0</v>
      </c>
      <c r="G106">
        <v>0.01</v>
      </c>
      <c r="H106">
        <v>0</v>
      </c>
      <c r="I106">
        <v>0.04</v>
      </c>
      <c r="J106">
        <v>0</v>
      </c>
      <c r="K106">
        <v>0</v>
      </c>
      <c r="L106" t="s">
        <v>8</v>
      </c>
      <c r="M106" t="s">
        <v>15</v>
      </c>
    </row>
    <row r="107" spans="1:13" x14ac:dyDescent="0.45">
      <c r="A107" t="s">
        <v>7</v>
      </c>
      <c r="B107" t="s">
        <v>134</v>
      </c>
      <c r="C107">
        <v>2045</v>
      </c>
      <c r="D107">
        <v>96</v>
      </c>
      <c r="E107">
        <v>0.01</v>
      </c>
      <c r="F107">
        <v>0</v>
      </c>
      <c r="G107">
        <v>0.01</v>
      </c>
      <c r="H107">
        <v>0</v>
      </c>
      <c r="I107">
        <v>0.04</v>
      </c>
      <c r="J107">
        <v>0</v>
      </c>
      <c r="K107">
        <v>0.01</v>
      </c>
      <c r="L107" t="s">
        <v>8</v>
      </c>
      <c r="M107" t="s">
        <v>15</v>
      </c>
    </row>
    <row r="108" spans="1:13" x14ac:dyDescent="0.45">
      <c r="A108" t="s">
        <v>7</v>
      </c>
      <c r="B108" t="s">
        <v>134</v>
      </c>
      <c r="C108">
        <v>2050</v>
      </c>
      <c r="D108">
        <v>96</v>
      </c>
      <c r="E108">
        <v>0.01</v>
      </c>
      <c r="F108">
        <v>0</v>
      </c>
      <c r="G108">
        <v>0.01</v>
      </c>
      <c r="H108">
        <v>0</v>
      </c>
      <c r="I108">
        <v>0.04</v>
      </c>
      <c r="J108">
        <v>0</v>
      </c>
      <c r="K108">
        <v>0.02</v>
      </c>
      <c r="L108" t="s">
        <v>8</v>
      </c>
      <c r="M108" t="s">
        <v>15</v>
      </c>
    </row>
    <row r="109" spans="1:13" x14ac:dyDescent="0.45">
      <c r="A109" t="s">
        <v>9</v>
      </c>
      <c r="B109" t="s">
        <v>134</v>
      </c>
      <c r="C109">
        <v>2020</v>
      </c>
      <c r="D109">
        <v>59</v>
      </c>
      <c r="E109">
        <v>0</v>
      </c>
      <c r="F109">
        <v>0.01</v>
      </c>
      <c r="G109">
        <v>0</v>
      </c>
      <c r="H109">
        <v>0</v>
      </c>
      <c r="I109">
        <v>0.03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134</v>
      </c>
      <c r="C110">
        <v>2025</v>
      </c>
      <c r="D110">
        <v>54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134</v>
      </c>
      <c r="C111">
        <v>2030</v>
      </c>
      <c r="D111">
        <v>59</v>
      </c>
      <c r="E111">
        <v>0.01</v>
      </c>
      <c r="F111">
        <v>0.01</v>
      </c>
      <c r="G111">
        <v>0.01</v>
      </c>
      <c r="H111">
        <v>0</v>
      </c>
      <c r="I111">
        <v>0.04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134</v>
      </c>
      <c r="C112">
        <v>2035</v>
      </c>
      <c r="D112">
        <v>54</v>
      </c>
      <c r="E112">
        <v>0.01</v>
      </c>
      <c r="F112">
        <v>0.01</v>
      </c>
      <c r="G112">
        <v>0.01</v>
      </c>
      <c r="H112">
        <v>0</v>
      </c>
      <c r="I112">
        <v>0.04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134</v>
      </c>
      <c r="C113">
        <v>2040</v>
      </c>
      <c r="D113">
        <v>59</v>
      </c>
      <c r="E113">
        <v>0.02</v>
      </c>
      <c r="F113">
        <v>0.02</v>
      </c>
      <c r="G113">
        <v>0.01</v>
      </c>
      <c r="H113">
        <v>0</v>
      </c>
      <c r="I113">
        <v>0.05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134</v>
      </c>
      <c r="C114">
        <v>2045</v>
      </c>
      <c r="D114">
        <v>54</v>
      </c>
      <c r="E114">
        <v>0.02</v>
      </c>
      <c r="F114">
        <v>0.03</v>
      </c>
      <c r="G114">
        <v>0.02</v>
      </c>
      <c r="H114">
        <v>0</v>
      </c>
      <c r="I114">
        <v>0.06</v>
      </c>
      <c r="J114">
        <v>0</v>
      </c>
      <c r="K114">
        <v>0.04</v>
      </c>
      <c r="L114" t="s">
        <v>10</v>
      </c>
      <c r="M114" t="s">
        <v>15</v>
      </c>
    </row>
    <row r="115" spans="1:13" x14ac:dyDescent="0.45">
      <c r="A115" t="s">
        <v>9</v>
      </c>
      <c r="B115" t="s">
        <v>134</v>
      </c>
      <c r="C115">
        <v>2050</v>
      </c>
      <c r="D115">
        <v>59</v>
      </c>
      <c r="E115">
        <v>0.03</v>
      </c>
      <c r="F115">
        <v>0.03</v>
      </c>
      <c r="G115">
        <v>0.02</v>
      </c>
      <c r="H115">
        <v>0</v>
      </c>
      <c r="I115">
        <v>0.09</v>
      </c>
      <c r="J115">
        <v>0</v>
      </c>
      <c r="K115">
        <v>0.04</v>
      </c>
      <c r="L115" t="s">
        <v>10</v>
      </c>
      <c r="M115" t="s">
        <v>15</v>
      </c>
    </row>
    <row r="116" spans="1:13" x14ac:dyDescent="0.45">
      <c r="A116" t="s">
        <v>0</v>
      </c>
      <c r="B116" t="s">
        <v>134</v>
      </c>
      <c r="C116">
        <v>2020</v>
      </c>
      <c r="D116">
        <v>64</v>
      </c>
      <c r="E116">
        <v>0.45</v>
      </c>
      <c r="F116">
        <v>0.46</v>
      </c>
      <c r="G116">
        <v>0.04</v>
      </c>
      <c r="H116">
        <v>0.3</v>
      </c>
      <c r="I116">
        <v>0.52</v>
      </c>
      <c r="J116">
        <v>0.42</v>
      </c>
      <c r="K116">
        <v>0.48</v>
      </c>
      <c r="L116" t="s">
        <v>1</v>
      </c>
      <c r="M116" t="s">
        <v>18</v>
      </c>
    </row>
    <row r="117" spans="1:13" x14ac:dyDescent="0.45">
      <c r="A117" t="s">
        <v>0</v>
      </c>
      <c r="B117" t="s">
        <v>134</v>
      </c>
      <c r="C117">
        <v>2025</v>
      </c>
      <c r="D117">
        <v>64</v>
      </c>
      <c r="E117">
        <v>0.42</v>
      </c>
      <c r="F117">
        <v>0.43</v>
      </c>
      <c r="G117">
        <v>0.08</v>
      </c>
      <c r="H117">
        <v>0.18</v>
      </c>
      <c r="I117">
        <v>0.53</v>
      </c>
      <c r="J117">
        <v>0.42</v>
      </c>
      <c r="K117">
        <v>0.47</v>
      </c>
      <c r="L117" t="s">
        <v>1</v>
      </c>
      <c r="M117" t="s">
        <v>18</v>
      </c>
    </row>
    <row r="118" spans="1:13" x14ac:dyDescent="0.45">
      <c r="A118" t="s">
        <v>0</v>
      </c>
      <c r="B118" t="s">
        <v>134</v>
      </c>
      <c r="C118">
        <v>2030</v>
      </c>
      <c r="D118">
        <v>64</v>
      </c>
      <c r="E118">
        <v>0.43</v>
      </c>
      <c r="F118">
        <v>0.45</v>
      </c>
      <c r="G118">
        <v>0.09</v>
      </c>
      <c r="H118">
        <v>0.2</v>
      </c>
      <c r="I118">
        <v>0.62</v>
      </c>
      <c r="J118">
        <v>0.42</v>
      </c>
      <c r="K118">
        <v>0.48</v>
      </c>
      <c r="L118" t="s">
        <v>1</v>
      </c>
      <c r="M118" t="s">
        <v>18</v>
      </c>
    </row>
    <row r="119" spans="1:13" x14ac:dyDescent="0.45">
      <c r="A119" t="s">
        <v>0</v>
      </c>
      <c r="B119" t="s">
        <v>134</v>
      </c>
      <c r="C119">
        <v>2035</v>
      </c>
      <c r="D119">
        <v>64</v>
      </c>
      <c r="E119">
        <v>0.44</v>
      </c>
      <c r="F119">
        <v>0.45</v>
      </c>
      <c r="G119">
        <v>0.1</v>
      </c>
      <c r="H119">
        <v>0.19</v>
      </c>
      <c r="I119">
        <v>0.63</v>
      </c>
      <c r="J119">
        <v>0.42</v>
      </c>
      <c r="K119">
        <v>0.47</v>
      </c>
      <c r="L119" t="s">
        <v>1</v>
      </c>
      <c r="M119" t="s">
        <v>18</v>
      </c>
    </row>
    <row r="120" spans="1:13" x14ac:dyDescent="0.45">
      <c r="A120" t="s">
        <v>0</v>
      </c>
      <c r="B120" t="s">
        <v>134</v>
      </c>
      <c r="C120">
        <v>2040</v>
      </c>
      <c r="D120">
        <v>64</v>
      </c>
      <c r="E120">
        <v>0.44</v>
      </c>
      <c r="F120">
        <v>0.46</v>
      </c>
      <c r="G120">
        <v>0.1</v>
      </c>
      <c r="H120">
        <v>0.2</v>
      </c>
      <c r="I120">
        <v>0.62</v>
      </c>
      <c r="J120">
        <v>0.4</v>
      </c>
      <c r="K120">
        <v>0.48</v>
      </c>
      <c r="L120" t="s">
        <v>1</v>
      </c>
      <c r="M120" t="s">
        <v>18</v>
      </c>
    </row>
    <row r="121" spans="1:13" x14ac:dyDescent="0.45">
      <c r="A121" t="s">
        <v>0</v>
      </c>
      <c r="B121" t="s">
        <v>134</v>
      </c>
      <c r="C121">
        <v>2045</v>
      </c>
      <c r="D121">
        <v>64</v>
      </c>
      <c r="E121">
        <v>0.44</v>
      </c>
      <c r="F121">
        <v>0.46</v>
      </c>
      <c r="G121">
        <v>0.11</v>
      </c>
      <c r="H121">
        <v>0.2</v>
      </c>
      <c r="I121">
        <v>0.61</v>
      </c>
      <c r="J121">
        <v>0.39</v>
      </c>
      <c r="K121">
        <v>0.51</v>
      </c>
      <c r="L121" t="s">
        <v>1</v>
      </c>
      <c r="M121" t="s">
        <v>18</v>
      </c>
    </row>
    <row r="122" spans="1:13" x14ac:dyDescent="0.45">
      <c r="A122" t="s">
        <v>0</v>
      </c>
      <c r="B122" t="s">
        <v>134</v>
      </c>
      <c r="C122">
        <v>2050</v>
      </c>
      <c r="D122">
        <v>64</v>
      </c>
      <c r="E122">
        <v>0.45</v>
      </c>
      <c r="F122">
        <v>0.49</v>
      </c>
      <c r="G122">
        <v>0.11</v>
      </c>
      <c r="H122">
        <v>0.18</v>
      </c>
      <c r="I122">
        <v>0.6</v>
      </c>
      <c r="J122">
        <v>0.4</v>
      </c>
      <c r="K122">
        <v>0.54</v>
      </c>
      <c r="L122" t="s">
        <v>1</v>
      </c>
      <c r="M122" t="s">
        <v>18</v>
      </c>
    </row>
    <row r="123" spans="1:13" x14ac:dyDescent="0.45">
      <c r="A123" t="s">
        <v>2</v>
      </c>
      <c r="B123" t="s">
        <v>134</v>
      </c>
      <c r="C123">
        <v>2020</v>
      </c>
      <c r="D123">
        <v>100</v>
      </c>
      <c r="E123">
        <v>0.45</v>
      </c>
      <c r="F123">
        <v>0.47</v>
      </c>
      <c r="G123">
        <v>0.04</v>
      </c>
      <c r="H123">
        <v>0.3</v>
      </c>
      <c r="I123">
        <v>0.52</v>
      </c>
      <c r="J123">
        <v>0.42</v>
      </c>
      <c r="K123">
        <v>0.48</v>
      </c>
      <c r="L123" t="s">
        <v>3</v>
      </c>
      <c r="M123" t="s">
        <v>18</v>
      </c>
    </row>
    <row r="124" spans="1:13" x14ac:dyDescent="0.45">
      <c r="A124" t="s">
        <v>2</v>
      </c>
      <c r="B124" t="s">
        <v>134</v>
      </c>
      <c r="C124">
        <v>2025</v>
      </c>
      <c r="D124">
        <v>89</v>
      </c>
      <c r="E124">
        <v>0.44</v>
      </c>
      <c r="F124">
        <v>0.45</v>
      </c>
      <c r="G124">
        <v>0.06</v>
      </c>
      <c r="H124">
        <v>0</v>
      </c>
      <c r="I124">
        <v>0.53</v>
      </c>
      <c r="J124">
        <v>0.42</v>
      </c>
      <c r="K124">
        <v>0.46</v>
      </c>
      <c r="L124" t="s">
        <v>3</v>
      </c>
      <c r="M124" t="s">
        <v>18</v>
      </c>
    </row>
    <row r="125" spans="1:13" x14ac:dyDescent="0.45">
      <c r="A125" t="s">
        <v>2</v>
      </c>
      <c r="B125" t="s">
        <v>134</v>
      </c>
      <c r="C125">
        <v>2030</v>
      </c>
      <c r="D125">
        <v>100</v>
      </c>
      <c r="E125">
        <v>0.43</v>
      </c>
      <c r="F125">
        <v>0.44</v>
      </c>
      <c r="G125">
        <v>0.06</v>
      </c>
      <c r="H125">
        <v>0</v>
      </c>
      <c r="I125">
        <v>0.56000000000000005</v>
      </c>
      <c r="J125">
        <v>0.42</v>
      </c>
      <c r="K125">
        <v>0.45</v>
      </c>
      <c r="L125" t="s">
        <v>3</v>
      </c>
      <c r="M125" t="s">
        <v>18</v>
      </c>
    </row>
    <row r="126" spans="1:13" x14ac:dyDescent="0.45">
      <c r="A126" t="s">
        <v>2</v>
      </c>
      <c r="B126" t="s">
        <v>134</v>
      </c>
      <c r="C126">
        <v>2035</v>
      </c>
      <c r="D126">
        <v>89</v>
      </c>
      <c r="E126">
        <v>0.43</v>
      </c>
      <c r="F126">
        <v>0.43</v>
      </c>
      <c r="G126">
        <v>0.05</v>
      </c>
      <c r="H126">
        <v>0.21</v>
      </c>
      <c r="I126">
        <v>0.57999999999999996</v>
      </c>
      <c r="J126">
        <v>0.41</v>
      </c>
      <c r="K126">
        <v>0.45</v>
      </c>
      <c r="L126" t="s">
        <v>3</v>
      </c>
      <c r="M126" t="s">
        <v>18</v>
      </c>
    </row>
    <row r="127" spans="1:13" x14ac:dyDescent="0.45">
      <c r="A127" t="s">
        <v>2</v>
      </c>
      <c r="B127" t="s">
        <v>134</v>
      </c>
      <c r="C127">
        <v>2040</v>
      </c>
      <c r="D127">
        <v>100</v>
      </c>
      <c r="E127">
        <v>0.41</v>
      </c>
      <c r="F127">
        <v>0.42</v>
      </c>
      <c r="G127">
        <v>7.0000000000000007E-2</v>
      </c>
      <c r="H127">
        <v>0.22</v>
      </c>
      <c r="I127">
        <v>0.56000000000000005</v>
      </c>
      <c r="J127">
        <v>0.39</v>
      </c>
      <c r="K127">
        <v>0.45</v>
      </c>
      <c r="L127" t="s">
        <v>3</v>
      </c>
      <c r="M127" t="s">
        <v>18</v>
      </c>
    </row>
    <row r="128" spans="1:13" x14ac:dyDescent="0.45">
      <c r="A128" t="s">
        <v>2</v>
      </c>
      <c r="B128" t="s">
        <v>134</v>
      </c>
      <c r="C128">
        <v>2045</v>
      </c>
      <c r="D128">
        <v>89</v>
      </c>
      <c r="E128">
        <v>0.42</v>
      </c>
      <c r="F128">
        <v>0.42</v>
      </c>
      <c r="G128">
        <v>7.0000000000000007E-2</v>
      </c>
      <c r="H128">
        <v>0.21</v>
      </c>
      <c r="I128">
        <v>0.56000000000000005</v>
      </c>
      <c r="J128">
        <v>0.38</v>
      </c>
      <c r="K128">
        <v>0.47</v>
      </c>
      <c r="L128" t="s">
        <v>3</v>
      </c>
      <c r="M128" t="s">
        <v>18</v>
      </c>
    </row>
    <row r="129" spans="1:13" x14ac:dyDescent="0.45">
      <c r="A129" t="s">
        <v>2</v>
      </c>
      <c r="B129" t="s">
        <v>134</v>
      </c>
      <c r="C129">
        <v>2050</v>
      </c>
      <c r="D129">
        <v>100</v>
      </c>
      <c r="E129">
        <v>0.41</v>
      </c>
      <c r="F129">
        <v>0.41</v>
      </c>
      <c r="G129">
        <v>0.09</v>
      </c>
      <c r="H129">
        <v>0.19</v>
      </c>
      <c r="I129">
        <v>0.57999999999999996</v>
      </c>
      <c r="J129">
        <v>0.35</v>
      </c>
      <c r="K129">
        <v>0.48</v>
      </c>
      <c r="L129" t="s">
        <v>3</v>
      </c>
      <c r="M129" t="s">
        <v>18</v>
      </c>
    </row>
    <row r="130" spans="1:13" x14ac:dyDescent="0.45">
      <c r="A130" t="s">
        <v>5</v>
      </c>
      <c r="B130" t="s">
        <v>134</v>
      </c>
      <c r="C130">
        <v>2020</v>
      </c>
      <c r="D130">
        <v>233</v>
      </c>
      <c r="E130">
        <v>0.44</v>
      </c>
      <c r="F130">
        <v>0.46</v>
      </c>
      <c r="G130">
        <v>0.05</v>
      </c>
      <c r="H130">
        <v>0.28999999999999998</v>
      </c>
      <c r="I130">
        <v>0.52</v>
      </c>
      <c r="J130">
        <v>0.42</v>
      </c>
      <c r="K130">
        <v>0.48</v>
      </c>
      <c r="L130" t="s">
        <v>6</v>
      </c>
      <c r="M130" t="s">
        <v>18</v>
      </c>
    </row>
    <row r="131" spans="1:13" x14ac:dyDescent="0.45">
      <c r="A131" t="s">
        <v>5</v>
      </c>
      <c r="B131" t="s">
        <v>134</v>
      </c>
      <c r="C131">
        <v>2025</v>
      </c>
      <c r="D131">
        <v>210</v>
      </c>
      <c r="E131">
        <v>0.39</v>
      </c>
      <c r="F131">
        <v>0.42</v>
      </c>
      <c r="G131">
        <v>0.13</v>
      </c>
      <c r="H131">
        <v>0</v>
      </c>
      <c r="I131">
        <v>0.53</v>
      </c>
      <c r="J131">
        <v>0.41</v>
      </c>
      <c r="K131">
        <v>0.45</v>
      </c>
      <c r="L131" t="s">
        <v>6</v>
      </c>
      <c r="M131" t="s">
        <v>18</v>
      </c>
    </row>
    <row r="132" spans="1:13" x14ac:dyDescent="0.45">
      <c r="A132" t="s">
        <v>5</v>
      </c>
      <c r="B132" t="s">
        <v>134</v>
      </c>
      <c r="C132">
        <v>2030</v>
      </c>
      <c r="D132">
        <v>233</v>
      </c>
      <c r="E132">
        <v>0.4</v>
      </c>
      <c r="F132">
        <v>0.44</v>
      </c>
      <c r="G132">
        <v>0.11</v>
      </c>
      <c r="H132">
        <v>0</v>
      </c>
      <c r="I132">
        <v>0.56999999999999995</v>
      </c>
      <c r="J132">
        <v>0.39</v>
      </c>
      <c r="K132">
        <v>0.45</v>
      </c>
      <c r="L132" t="s">
        <v>6</v>
      </c>
      <c r="M132" t="s">
        <v>18</v>
      </c>
    </row>
    <row r="133" spans="1:13" x14ac:dyDescent="0.45">
      <c r="A133" t="s">
        <v>5</v>
      </c>
      <c r="B133" t="s">
        <v>134</v>
      </c>
      <c r="C133">
        <v>2035</v>
      </c>
      <c r="D133">
        <v>210</v>
      </c>
      <c r="E133">
        <v>0.4</v>
      </c>
      <c r="F133">
        <v>0.43</v>
      </c>
      <c r="G133">
        <v>0.1</v>
      </c>
      <c r="H133">
        <v>0.15</v>
      </c>
      <c r="I133">
        <v>0.6</v>
      </c>
      <c r="J133">
        <v>0.38</v>
      </c>
      <c r="K133">
        <v>0.45</v>
      </c>
      <c r="L133" t="s">
        <v>6</v>
      </c>
      <c r="M133" t="s">
        <v>18</v>
      </c>
    </row>
    <row r="134" spans="1:13" x14ac:dyDescent="0.45">
      <c r="A134" t="s">
        <v>5</v>
      </c>
      <c r="B134" t="s">
        <v>134</v>
      </c>
      <c r="C134">
        <v>2040</v>
      </c>
      <c r="D134">
        <v>233</v>
      </c>
      <c r="E134">
        <v>0.39</v>
      </c>
      <c r="F134">
        <v>0.41</v>
      </c>
      <c r="G134">
        <v>0.1</v>
      </c>
      <c r="H134">
        <v>0.14000000000000001</v>
      </c>
      <c r="I134">
        <v>0.59</v>
      </c>
      <c r="J134">
        <v>0.35</v>
      </c>
      <c r="K134">
        <v>0.46</v>
      </c>
      <c r="L134" t="s">
        <v>6</v>
      </c>
      <c r="M134" t="s">
        <v>18</v>
      </c>
    </row>
    <row r="135" spans="1:13" x14ac:dyDescent="0.45">
      <c r="A135" t="s">
        <v>5</v>
      </c>
      <c r="B135" t="s">
        <v>134</v>
      </c>
      <c r="C135">
        <v>2045</v>
      </c>
      <c r="D135">
        <v>210</v>
      </c>
      <c r="E135">
        <v>0.39</v>
      </c>
      <c r="F135">
        <v>0.43</v>
      </c>
      <c r="G135">
        <v>0.11</v>
      </c>
      <c r="H135">
        <v>0.14000000000000001</v>
      </c>
      <c r="I135">
        <v>0.59</v>
      </c>
      <c r="J135">
        <v>0.33</v>
      </c>
      <c r="K135">
        <v>0.47</v>
      </c>
      <c r="L135" t="s">
        <v>6</v>
      </c>
      <c r="M135" t="s">
        <v>18</v>
      </c>
    </row>
    <row r="136" spans="1:13" x14ac:dyDescent="0.45">
      <c r="A136" t="s">
        <v>5</v>
      </c>
      <c r="B136" t="s">
        <v>134</v>
      </c>
      <c r="C136">
        <v>2050</v>
      </c>
      <c r="D136">
        <v>233</v>
      </c>
      <c r="E136">
        <v>0.39</v>
      </c>
      <c r="F136">
        <v>0.39</v>
      </c>
      <c r="G136">
        <v>0.12</v>
      </c>
      <c r="H136">
        <v>0.13</v>
      </c>
      <c r="I136">
        <v>0.6</v>
      </c>
      <c r="J136">
        <v>0.31</v>
      </c>
      <c r="K136">
        <v>0.49</v>
      </c>
      <c r="L136" t="s">
        <v>6</v>
      </c>
      <c r="M136" t="s">
        <v>18</v>
      </c>
    </row>
    <row r="137" spans="1:13" x14ac:dyDescent="0.45">
      <c r="A137" t="s">
        <v>7</v>
      </c>
      <c r="B137" t="s">
        <v>134</v>
      </c>
      <c r="C137">
        <v>2020</v>
      </c>
      <c r="D137">
        <v>102</v>
      </c>
      <c r="E137">
        <v>0.44</v>
      </c>
      <c r="F137">
        <v>0.46</v>
      </c>
      <c r="G137">
        <v>0.06</v>
      </c>
      <c r="H137">
        <v>0.28999999999999998</v>
      </c>
      <c r="I137">
        <v>0.49</v>
      </c>
      <c r="J137">
        <v>0.41</v>
      </c>
      <c r="K137">
        <v>0.48</v>
      </c>
      <c r="L137" t="s">
        <v>8</v>
      </c>
      <c r="M137" t="s">
        <v>18</v>
      </c>
    </row>
    <row r="138" spans="1:13" x14ac:dyDescent="0.45">
      <c r="A138" t="s">
        <v>7</v>
      </c>
      <c r="B138" t="s">
        <v>134</v>
      </c>
      <c r="C138">
        <v>2025</v>
      </c>
      <c r="D138">
        <v>96</v>
      </c>
      <c r="E138">
        <v>0.38</v>
      </c>
      <c r="F138">
        <v>0.42</v>
      </c>
      <c r="G138">
        <v>0.14000000000000001</v>
      </c>
      <c r="H138">
        <v>0</v>
      </c>
      <c r="I138">
        <v>0.52</v>
      </c>
      <c r="J138">
        <v>0.34</v>
      </c>
      <c r="K138">
        <v>0.46</v>
      </c>
      <c r="L138" t="s">
        <v>8</v>
      </c>
      <c r="M138" t="s">
        <v>18</v>
      </c>
    </row>
    <row r="139" spans="1:13" x14ac:dyDescent="0.45">
      <c r="A139" t="s">
        <v>7</v>
      </c>
      <c r="B139" t="s">
        <v>134</v>
      </c>
      <c r="C139">
        <v>2030</v>
      </c>
      <c r="D139">
        <v>102</v>
      </c>
      <c r="E139">
        <v>0.39</v>
      </c>
      <c r="F139">
        <v>0.43</v>
      </c>
      <c r="G139">
        <v>0.11</v>
      </c>
      <c r="H139">
        <v>0</v>
      </c>
      <c r="I139">
        <v>0.52</v>
      </c>
      <c r="J139">
        <v>0.34</v>
      </c>
      <c r="K139">
        <v>0.45</v>
      </c>
      <c r="L139" t="s">
        <v>8</v>
      </c>
      <c r="M139" t="s">
        <v>18</v>
      </c>
    </row>
    <row r="140" spans="1:13" x14ac:dyDescent="0.45">
      <c r="A140" t="s">
        <v>7</v>
      </c>
      <c r="B140" t="s">
        <v>134</v>
      </c>
      <c r="C140">
        <v>2035</v>
      </c>
      <c r="D140">
        <v>96</v>
      </c>
      <c r="E140">
        <v>0.39</v>
      </c>
      <c r="F140">
        <v>0.42</v>
      </c>
      <c r="G140">
        <v>0.09</v>
      </c>
      <c r="H140">
        <v>0.21</v>
      </c>
      <c r="I140">
        <v>0.52</v>
      </c>
      <c r="J140">
        <v>0.34</v>
      </c>
      <c r="K140">
        <v>0.45</v>
      </c>
      <c r="L140" t="s">
        <v>8</v>
      </c>
      <c r="M140" t="s">
        <v>18</v>
      </c>
    </row>
    <row r="141" spans="1:13" x14ac:dyDescent="0.45">
      <c r="A141" t="s">
        <v>7</v>
      </c>
      <c r="B141" t="s">
        <v>134</v>
      </c>
      <c r="C141">
        <v>2040</v>
      </c>
      <c r="D141">
        <v>102</v>
      </c>
      <c r="E141">
        <v>0.38</v>
      </c>
      <c r="F141">
        <v>0.37</v>
      </c>
      <c r="G141">
        <v>0.09</v>
      </c>
      <c r="H141">
        <v>0.22</v>
      </c>
      <c r="I141">
        <v>0.56000000000000005</v>
      </c>
      <c r="J141">
        <v>0.31</v>
      </c>
      <c r="K141">
        <v>0.45</v>
      </c>
      <c r="L141" t="s">
        <v>8</v>
      </c>
      <c r="M141" t="s">
        <v>18</v>
      </c>
    </row>
    <row r="142" spans="1:13" x14ac:dyDescent="0.45">
      <c r="A142" t="s">
        <v>7</v>
      </c>
      <c r="B142" t="s">
        <v>134</v>
      </c>
      <c r="C142">
        <v>2045</v>
      </c>
      <c r="D142">
        <v>96</v>
      </c>
      <c r="E142">
        <v>0.37</v>
      </c>
      <c r="F142">
        <v>0.38</v>
      </c>
      <c r="G142">
        <v>0.1</v>
      </c>
      <c r="H142">
        <v>0.22</v>
      </c>
      <c r="I142">
        <v>0.56000000000000005</v>
      </c>
      <c r="J142">
        <v>0.28000000000000003</v>
      </c>
      <c r="K142">
        <v>0.45</v>
      </c>
      <c r="L142" t="s">
        <v>8</v>
      </c>
      <c r="M142" t="s">
        <v>18</v>
      </c>
    </row>
    <row r="143" spans="1:13" x14ac:dyDescent="0.45">
      <c r="A143" t="s">
        <v>7</v>
      </c>
      <c r="B143" t="s">
        <v>134</v>
      </c>
      <c r="C143">
        <v>2050</v>
      </c>
      <c r="D143">
        <v>102</v>
      </c>
      <c r="E143">
        <v>0.36</v>
      </c>
      <c r="F143">
        <v>0.34</v>
      </c>
      <c r="G143">
        <v>0.1</v>
      </c>
      <c r="H143">
        <v>0.22</v>
      </c>
      <c r="I143">
        <v>0.55000000000000004</v>
      </c>
      <c r="J143">
        <v>0.27</v>
      </c>
      <c r="K143">
        <v>0.44</v>
      </c>
      <c r="L143" t="s">
        <v>8</v>
      </c>
      <c r="M143" t="s">
        <v>18</v>
      </c>
    </row>
    <row r="144" spans="1:13" x14ac:dyDescent="0.45">
      <c r="A144" t="s">
        <v>9</v>
      </c>
      <c r="B144" t="s">
        <v>134</v>
      </c>
      <c r="C144">
        <v>2020</v>
      </c>
      <c r="D144">
        <v>61</v>
      </c>
      <c r="E144">
        <v>0.45</v>
      </c>
      <c r="F144">
        <v>0.46</v>
      </c>
      <c r="G144">
        <v>0.03</v>
      </c>
      <c r="H144">
        <v>0.35</v>
      </c>
      <c r="I144">
        <v>0.52</v>
      </c>
      <c r="J144">
        <v>0.42</v>
      </c>
      <c r="K144">
        <v>0.47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134</v>
      </c>
      <c r="C145">
        <v>2025</v>
      </c>
      <c r="D145">
        <v>56</v>
      </c>
      <c r="E145">
        <v>0.44</v>
      </c>
      <c r="F145">
        <v>0.44</v>
      </c>
      <c r="G145">
        <v>0.02</v>
      </c>
      <c r="H145">
        <v>0.4</v>
      </c>
      <c r="I145">
        <v>0.49</v>
      </c>
      <c r="J145">
        <v>0.43</v>
      </c>
      <c r="K145">
        <v>0.45</v>
      </c>
      <c r="L145" t="s">
        <v>10</v>
      </c>
      <c r="M145" t="s">
        <v>18</v>
      </c>
    </row>
    <row r="146" spans="1:13" x14ac:dyDescent="0.45">
      <c r="A146" t="s">
        <v>9</v>
      </c>
      <c r="B146" t="s">
        <v>134</v>
      </c>
      <c r="C146">
        <v>2030</v>
      </c>
      <c r="D146">
        <v>61</v>
      </c>
      <c r="E146">
        <v>0.44</v>
      </c>
      <c r="F146">
        <v>0.44</v>
      </c>
      <c r="G146">
        <v>0.03</v>
      </c>
      <c r="H146">
        <v>0.36</v>
      </c>
      <c r="I146">
        <v>0.5</v>
      </c>
      <c r="J146">
        <v>0.42</v>
      </c>
      <c r="K146">
        <v>0.45</v>
      </c>
      <c r="L146" t="s">
        <v>10</v>
      </c>
      <c r="M146" t="s">
        <v>18</v>
      </c>
    </row>
    <row r="147" spans="1:13" x14ac:dyDescent="0.45">
      <c r="A147" t="s">
        <v>9</v>
      </c>
      <c r="B147" t="s">
        <v>134</v>
      </c>
      <c r="C147">
        <v>2035</v>
      </c>
      <c r="D147">
        <v>56</v>
      </c>
      <c r="E147">
        <v>0.43</v>
      </c>
      <c r="F147">
        <v>0.44</v>
      </c>
      <c r="G147">
        <v>0.04</v>
      </c>
      <c r="H147">
        <v>0.31</v>
      </c>
      <c r="I147">
        <v>0.52</v>
      </c>
      <c r="J147">
        <v>0.41</v>
      </c>
      <c r="K147">
        <v>0.45</v>
      </c>
      <c r="L147" t="s">
        <v>10</v>
      </c>
      <c r="M147" t="s">
        <v>18</v>
      </c>
    </row>
    <row r="148" spans="1:13" x14ac:dyDescent="0.45">
      <c r="A148" t="s">
        <v>9</v>
      </c>
      <c r="B148" t="s">
        <v>134</v>
      </c>
      <c r="C148">
        <v>2040</v>
      </c>
      <c r="D148">
        <v>61</v>
      </c>
      <c r="E148">
        <v>0.42</v>
      </c>
      <c r="F148">
        <v>0.42</v>
      </c>
      <c r="G148">
        <v>0.05</v>
      </c>
      <c r="H148">
        <v>0.28999999999999998</v>
      </c>
      <c r="I148">
        <v>0.53</v>
      </c>
      <c r="J148">
        <v>0.4</v>
      </c>
      <c r="K148">
        <v>0.44</v>
      </c>
      <c r="L148" t="s">
        <v>10</v>
      </c>
      <c r="M148" t="s">
        <v>18</v>
      </c>
    </row>
    <row r="149" spans="1:13" x14ac:dyDescent="0.45">
      <c r="A149" t="s">
        <v>9</v>
      </c>
      <c r="B149" t="s">
        <v>134</v>
      </c>
      <c r="C149">
        <v>2045</v>
      </c>
      <c r="D149">
        <v>56</v>
      </c>
      <c r="E149">
        <v>0.41</v>
      </c>
      <c r="F149">
        <v>0.41</v>
      </c>
      <c r="G149">
        <v>0.05</v>
      </c>
      <c r="H149">
        <v>0.27</v>
      </c>
      <c r="I149">
        <v>0.54</v>
      </c>
      <c r="J149">
        <v>0.39</v>
      </c>
      <c r="K149">
        <v>0.44</v>
      </c>
      <c r="L149" t="s">
        <v>10</v>
      </c>
      <c r="M149" t="s">
        <v>18</v>
      </c>
    </row>
    <row r="150" spans="1:13" x14ac:dyDescent="0.45">
      <c r="A150" t="s">
        <v>9</v>
      </c>
      <c r="B150" t="s">
        <v>134</v>
      </c>
      <c r="C150">
        <v>2050</v>
      </c>
      <c r="D150">
        <v>61</v>
      </c>
      <c r="E150">
        <v>0.4</v>
      </c>
      <c r="F150">
        <v>0.4</v>
      </c>
      <c r="G150">
        <v>0.06</v>
      </c>
      <c r="H150">
        <v>0.25</v>
      </c>
      <c r="I150">
        <v>0.55000000000000004</v>
      </c>
      <c r="J150">
        <v>0.37</v>
      </c>
      <c r="K150">
        <v>0.43</v>
      </c>
      <c r="L150" t="s">
        <v>10</v>
      </c>
      <c r="M150" t="s">
        <v>18</v>
      </c>
    </row>
    <row r="151" spans="1:13" x14ac:dyDescent="0.45">
      <c r="A151" t="s">
        <v>0</v>
      </c>
      <c r="B151" t="s">
        <v>134</v>
      </c>
      <c r="C151">
        <v>2020</v>
      </c>
      <c r="D151">
        <v>64</v>
      </c>
      <c r="E151">
        <v>0.54</v>
      </c>
      <c r="F151">
        <v>0.54</v>
      </c>
      <c r="G151">
        <v>0.04</v>
      </c>
      <c r="H151">
        <v>0.47</v>
      </c>
      <c r="I151">
        <v>0.69</v>
      </c>
      <c r="J151">
        <v>0.51</v>
      </c>
      <c r="K151">
        <v>0.56999999999999995</v>
      </c>
      <c r="L151" t="s">
        <v>1</v>
      </c>
      <c r="M151" t="s">
        <v>21</v>
      </c>
    </row>
    <row r="152" spans="1:13" x14ac:dyDescent="0.45">
      <c r="A152" t="s">
        <v>0</v>
      </c>
      <c r="B152" t="s">
        <v>134</v>
      </c>
      <c r="C152">
        <v>2025</v>
      </c>
      <c r="D152">
        <v>64</v>
      </c>
      <c r="E152">
        <v>0.56000000000000005</v>
      </c>
      <c r="F152">
        <v>0.56000000000000005</v>
      </c>
      <c r="G152">
        <v>7.0000000000000007E-2</v>
      </c>
      <c r="H152">
        <v>0.45</v>
      </c>
      <c r="I152">
        <v>0.76</v>
      </c>
      <c r="J152">
        <v>0.5</v>
      </c>
      <c r="K152">
        <v>0.56000000000000005</v>
      </c>
      <c r="L152" t="s">
        <v>1</v>
      </c>
      <c r="M152" t="s">
        <v>21</v>
      </c>
    </row>
    <row r="153" spans="1:13" x14ac:dyDescent="0.45">
      <c r="A153" t="s">
        <v>0</v>
      </c>
      <c r="B153" t="s">
        <v>134</v>
      </c>
      <c r="C153">
        <v>2030</v>
      </c>
      <c r="D153">
        <v>64</v>
      </c>
      <c r="E153">
        <v>0.53</v>
      </c>
      <c r="F153">
        <v>0.52</v>
      </c>
      <c r="G153">
        <v>0.08</v>
      </c>
      <c r="H153">
        <v>0.37</v>
      </c>
      <c r="I153">
        <v>0.75</v>
      </c>
      <c r="J153">
        <v>0.49</v>
      </c>
      <c r="K153">
        <v>0.55000000000000004</v>
      </c>
      <c r="L153" t="s">
        <v>1</v>
      </c>
      <c r="M153" t="s">
        <v>21</v>
      </c>
    </row>
    <row r="154" spans="1:13" x14ac:dyDescent="0.45">
      <c r="A154" t="s">
        <v>0</v>
      </c>
      <c r="B154" t="s">
        <v>134</v>
      </c>
      <c r="C154">
        <v>2035</v>
      </c>
      <c r="D154">
        <v>64</v>
      </c>
      <c r="E154">
        <v>0.51</v>
      </c>
      <c r="F154">
        <v>0.49</v>
      </c>
      <c r="G154">
        <v>0.09</v>
      </c>
      <c r="H154">
        <v>0.35</v>
      </c>
      <c r="I154">
        <v>0.77</v>
      </c>
      <c r="J154">
        <v>0.47</v>
      </c>
      <c r="K154">
        <v>0.53</v>
      </c>
      <c r="L154" t="s">
        <v>1</v>
      </c>
      <c r="M154" t="s">
        <v>21</v>
      </c>
    </row>
    <row r="155" spans="1:13" x14ac:dyDescent="0.45">
      <c r="A155" t="s">
        <v>0</v>
      </c>
      <c r="B155" t="s">
        <v>134</v>
      </c>
      <c r="C155">
        <v>2040</v>
      </c>
      <c r="D155">
        <v>64</v>
      </c>
      <c r="E155">
        <v>0.48</v>
      </c>
      <c r="F155">
        <v>0.46</v>
      </c>
      <c r="G155">
        <v>0.09</v>
      </c>
      <c r="H155">
        <v>0.34</v>
      </c>
      <c r="I155">
        <v>0.75</v>
      </c>
      <c r="J155">
        <v>0.44</v>
      </c>
      <c r="K155">
        <v>0.51</v>
      </c>
      <c r="L155" t="s">
        <v>1</v>
      </c>
      <c r="M155" t="s">
        <v>21</v>
      </c>
    </row>
    <row r="156" spans="1:13" x14ac:dyDescent="0.45">
      <c r="A156" t="s">
        <v>0</v>
      </c>
      <c r="B156" t="s">
        <v>134</v>
      </c>
      <c r="C156">
        <v>2045</v>
      </c>
      <c r="D156">
        <v>64</v>
      </c>
      <c r="E156">
        <v>0.46</v>
      </c>
      <c r="F156">
        <v>0.43</v>
      </c>
      <c r="G156">
        <v>0.1</v>
      </c>
      <c r="H156">
        <v>0.33</v>
      </c>
      <c r="I156">
        <v>0.73</v>
      </c>
      <c r="J156">
        <v>0.41</v>
      </c>
      <c r="K156">
        <v>0.49</v>
      </c>
      <c r="L156" t="s">
        <v>1</v>
      </c>
      <c r="M156" t="s">
        <v>21</v>
      </c>
    </row>
    <row r="157" spans="1:13" x14ac:dyDescent="0.45">
      <c r="A157" t="s">
        <v>0</v>
      </c>
      <c r="B157" t="s">
        <v>134</v>
      </c>
      <c r="C157">
        <v>2050</v>
      </c>
      <c r="D157">
        <v>64</v>
      </c>
      <c r="E157">
        <v>0.45</v>
      </c>
      <c r="F157">
        <v>0.42</v>
      </c>
      <c r="G157">
        <v>0.1</v>
      </c>
      <c r="H157">
        <v>0.31</v>
      </c>
      <c r="I157">
        <v>0.72</v>
      </c>
      <c r="J157">
        <v>0.38</v>
      </c>
      <c r="K157">
        <v>0.48</v>
      </c>
      <c r="L157" t="s">
        <v>1</v>
      </c>
      <c r="M157" t="s">
        <v>21</v>
      </c>
    </row>
    <row r="158" spans="1:13" x14ac:dyDescent="0.45">
      <c r="A158" t="s">
        <v>2</v>
      </c>
      <c r="B158" t="s">
        <v>134</v>
      </c>
      <c r="C158">
        <v>2020</v>
      </c>
      <c r="D158">
        <v>97</v>
      </c>
      <c r="E158">
        <v>0.53</v>
      </c>
      <c r="F158">
        <v>0.52</v>
      </c>
      <c r="G158">
        <v>0.05</v>
      </c>
      <c r="H158">
        <v>0.47</v>
      </c>
      <c r="I158">
        <v>0.69</v>
      </c>
      <c r="J158">
        <v>0.51</v>
      </c>
      <c r="K158">
        <v>0.56999999999999995</v>
      </c>
      <c r="L158" t="s">
        <v>3</v>
      </c>
      <c r="M158" t="s">
        <v>21</v>
      </c>
    </row>
    <row r="159" spans="1:13" x14ac:dyDescent="0.45">
      <c r="A159" t="s">
        <v>2</v>
      </c>
      <c r="B159" t="s">
        <v>134</v>
      </c>
      <c r="C159">
        <v>2025</v>
      </c>
      <c r="D159">
        <v>86</v>
      </c>
      <c r="E159">
        <v>0.54</v>
      </c>
      <c r="F159">
        <v>0.54</v>
      </c>
      <c r="G159">
        <v>0.05</v>
      </c>
      <c r="H159">
        <v>0.45</v>
      </c>
      <c r="I159">
        <v>0.8</v>
      </c>
      <c r="J159">
        <v>0.51</v>
      </c>
      <c r="K159">
        <v>0.56000000000000005</v>
      </c>
      <c r="L159" t="s">
        <v>3</v>
      </c>
      <c r="M159" t="s">
        <v>21</v>
      </c>
    </row>
    <row r="160" spans="1:13" x14ac:dyDescent="0.45">
      <c r="A160" t="s">
        <v>2</v>
      </c>
      <c r="B160" t="s">
        <v>134</v>
      </c>
      <c r="C160">
        <v>2030</v>
      </c>
      <c r="D160">
        <v>97</v>
      </c>
      <c r="E160">
        <v>0.53</v>
      </c>
      <c r="F160">
        <v>0.52</v>
      </c>
      <c r="G160">
        <v>0.05</v>
      </c>
      <c r="H160">
        <v>0.42</v>
      </c>
      <c r="I160">
        <v>0.83</v>
      </c>
      <c r="J160">
        <v>0.51</v>
      </c>
      <c r="K160">
        <v>0.56000000000000005</v>
      </c>
      <c r="L160" t="s">
        <v>3</v>
      </c>
      <c r="M160" t="s">
        <v>21</v>
      </c>
    </row>
    <row r="161" spans="1:13" x14ac:dyDescent="0.45">
      <c r="A161" t="s">
        <v>2</v>
      </c>
      <c r="B161" t="s">
        <v>134</v>
      </c>
      <c r="C161">
        <v>2035</v>
      </c>
      <c r="D161">
        <v>86</v>
      </c>
      <c r="E161">
        <v>0.52</v>
      </c>
      <c r="F161">
        <v>0.52</v>
      </c>
      <c r="G161">
        <v>0.05</v>
      </c>
      <c r="H161">
        <v>0.4</v>
      </c>
      <c r="I161">
        <v>0.74</v>
      </c>
      <c r="J161">
        <v>0.5</v>
      </c>
      <c r="K161">
        <v>0.54</v>
      </c>
      <c r="L161" t="s">
        <v>3</v>
      </c>
      <c r="M161" t="s">
        <v>21</v>
      </c>
    </row>
    <row r="162" spans="1:13" x14ac:dyDescent="0.45">
      <c r="A162" t="s">
        <v>2</v>
      </c>
      <c r="B162" t="s">
        <v>134</v>
      </c>
      <c r="C162">
        <v>2040</v>
      </c>
      <c r="D162">
        <v>97</v>
      </c>
      <c r="E162">
        <v>0.5</v>
      </c>
      <c r="F162">
        <v>0.5</v>
      </c>
      <c r="G162">
        <v>0.06</v>
      </c>
      <c r="H162">
        <v>0.37</v>
      </c>
      <c r="I162">
        <v>0.71</v>
      </c>
      <c r="J162">
        <v>0.47</v>
      </c>
      <c r="K162">
        <v>0.52</v>
      </c>
      <c r="L162" t="s">
        <v>3</v>
      </c>
      <c r="M162" t="s">
        <v>21</v>
      </c>
    </row>
    <row r="163" spans="1:13" x14ac:dyDescent="0.45">
      <c r="A163" t="s">
        <v>2</v>
      </c>
      <c r="B163" t="s">
        <v>134</v>
      </c>
      <c r="C163">
        <v>2045</v>
      </c>
      <c r="D163">
        <v>86</v>
      </c>
      <c r="E163">
        <v>0.49</v>
      </c>
      <c r="F163">
        <v>0.49</v>
      </c>
      <c r="G163">
        <v>0.06</v>
      </c>
      <c r="H163">
        <v>0.35</v>
      </c>
      <c r="I163">
        <v>0.71</v>
      </c>
      <c r="J163">
        <v>0.45</v>
      </c>
      <c r="K163">
        <v>0.53</v>
      </c>
      <c r="L163" t="s">
        <v>3</v>
      </c>
      <c r="M163" t="s">
        <v>21</v>
      </c>
    </row>
    <row r="164" spans="1:13" x14ac:dyDescent="0.45">
      <c r="A164" t="s">
        <v>2</v>
      </c>
      <c r="B164" t="s">
        <v>134</v>
      </c>
      <c r="C164">
        <v>2050</v>
      </c>
      <c r="D164">
        <v>97</v>
      </c>
      <c r="E164">
        <v>0.47</v>
      </c>
      <c r="F164">
        <v>0.47</v>
      </c>
      <c r="G164">
        <v>7.0000000000000007E-2</v>
      </c>
      <c r="H164">
        <v>0.35</v>
      </c>
      <c r="I164">
        <v>0.74</v>
      </c>
      <c r="J164">
        <v>0.43</v>
      </c>
      <c r="K164">
        <v>0.5</v>
      </c>
      <c r="L164" t="s">
        <v>3</v>
      </c>
      <c r="M164" t="s">
        <v>21</v>
      </c>
    </row>
    <row r="165" spans="1:13" x14ac:dyDescent="0.45">
      <c r="A165" t="s">
        <v>5</v>
      </c>
      <c r="B165" t="s">
        <v>134</v>
      </c>
      <c r="C165">
        <v>2020</v>
      </c>
      <c r="D165">
        <v>233</v>
      </c>
      <c r="E165">
        <v>0.54</v>
      </c>
      <c r="F165">
        <v>0.53</v>
      </c>
      <c r="G165">
        <v>0.05</v>
      </c>
      <c r="H165">
        <v>0.47</v>
      </c>
      <c r="I165">
        <v>0.69</v>
      </c>
      <c r="J165">
        <v>0.51</v>
      </c>
      <c r="K165">
        <v>0.56999999999999995</v>
      </c>
      <c r="L165" t="s">
        <v>6</v>
      </c>
      <c r="M165" t="s">
        <v>21</v>
      </c>
    </row>
    <row r="166" spans="1:13" x14ac:dyDescent="0.45">
      <c r="A166" t="s">
        <v>5</v>
      </c>
      <c r="B166" t="s">
        <v>134</v>
      </c>
      <c r="C166">
        <v>2025</v>
      </c>
      <c r="D166">
        <v>210</v>
      </c>
      <c r="E166">
        <v>0.57999999999999996</v>
      </c>
      <c r="F166">
        <v>0.56000000000000005</v>
      </c>
      <c r="G166">
        <v>0.09</v>
      </c>
      <c r="H166">
        <v>0.4</v>
      </c>
      <c r="I166">
        <v>0.87</v>
      </c>
      <c r="J166">
        <v>0.53</v>
      </c>
      <c r="K166">
        <v>0.57999999999999996</v>
      </c>
      <c r="L166" t="s">
        <v>6</v>
      </c>
      <c r="M166" t="s">
        <v>21</v>
      </c>
    </row>
    <row r="167" spans="1:13" x14ac:dyDescent="0.45">
      <c r="A167" t="s">
        <v>5</v>
      </c>
      <c r="B167" t="s">
        <v>134</v>
      </c>
      <c r="C167">
        <v>2030</v>
      </c>
      <c r="D167">
        <v>233</v>
      </c>
      <c r="E167">
        <v>0.56000000000000005</v>
      </c>
      <c r="F167">
        <v>0.53</v>
      </c>
      <c r="G167">
        <v>0.08</v>
      </c>
      <c r="H167">
        <v>0.31</v>
      </c>
      <c r="I167">
        <v>0.88</v>
      </c>
      <c r="J167">
        <v>0.52</v>
      </c>
      <c r="K167">
        <v>0.59</v>
      </c>
      <c r="L167" t="s">
        <v>6</v>
      </c>
      <c r="M167" t="s">
        <v>21</v>
      </c>
    </row>
    <row r="168" spans="1:13" x14ac:dyDescent="0.45">
      <c r="A168" t="s">
        <v>5</v>
      </c>
      <c r="B168" t="s">
        <v>134</v>
      </c>
      <c r="C168">
        <v>2035</v>
      </c>
      <c r="D168">
        <v>210</v>
      </c>
      <c r="E168">
        <v>0.55000000000000004</v>
      </c>
      <c r="F168">
        <v>0.52</v>
      </c>
      <c r="G168">
        <v>0.09</v>
      </c>
      <c r="H168">
        <v>0.39</v>
      </c>
      <c r="I168">
        <v>0.81</v>
      </c>
      <c r="J168">
        <v>0.51</v>
      </c>
      <c r="K168">
        <v>0.57999999999999996</v>
      </c>
      <c r="L168" t="s">
        <v>6</v>
      </c>
      <c r="M168" t="s">
        <v>21</v>
      </c>
    </row>
    <row r="169" spans="1:13" x14ac:dyDescent="0.45">
      <c r="A169" t="s">
        <v>5</v>
      </c>
      <c r="B169" t="s">
        <v>134</v>
      </c>
      <c r="C169">
        <v>2040</v>
      </c>
      <c r="D169">
        <v>233</v>
      </c>
      <c r="E169">
        <v>0.55000000000000004</v>
      </c>
      <c r="F169">
        <v>0.52</v>
      </c>
      <c r="G169">
        <v>0.1</v>
      </c>
      <c r="H169">
        <v>0.38</v>
      </c>
      <c r="I169">
        <v>0.8</v>
      </c>
      <c r="J169">
        <v>0.48</v>
      </c>
      <c r="K169">
        <v>0.64</v>
      </c>
      <c r="L169" t="s">
        <v>6</v>
      </c>
      <c r="M169" t="s">
        <v>21</v>
      </c>
    </row>
    <row r="170" spans="1:13" x14ac:dyDescent="0.45">
      <c r="A170" t="s">
        <v>5</v>
      </c>
      <c r="B170" t="s">
        <v>134</v>
      </c>
      <c r="C170">
        <v>2045</v>
      </c>
      <c r="D170">
        <v>210</v>
      </c>
      <c r="E170">
        <v>0.53</v>
      </c>
      <c r="F170">
        <v>0.5</v>
      </c>
      <c r="G170">
        <v>0.11</v>
      </c>
      <c r="H170">
        <v>0.35</v>
      </c>
      <c r="I170">
        <v>0.8</v>
      </c>
      <c r="J170">
        <v>0.45</v>
      </c>
      <c r="K170">
        <v>0.56999999999999995</v>
      </c>
      <c r="L170" t="s">
        <v>6</v>
      </c>
      <c r="M170" t="s">
        <v>21</v>
      </c>
    </row>
    <row r="171" spans="1:13" x14ac:dyDescent="0.45">
      <c r="A171" t="s">
        <v>5</v>
      </c>
      <c r="B171" t="s">
        <v>134</v>
      </c>
      <c r="C171">
        <v>2050</v>
      </c>
      <c r="D171">
        <v>233</v>
      </c>
      <c r="E171">
        <v>0.53</v>
      </c>
      <c r="F171">
        <v>0.49</v>
      </c>
      <c r="G171">
        <v>0.13</v>
      </c>
      <c r="H171">
        <v>0.33</v>
      </c>
      <c r="I171">
        <v>0.79</v>
      </c>
      <c r="J171">
        <v>0.43</v>
      </c>
      <c r="K171">
        <v>0.65</v>
      </c>
      <c r="L171" t="s">
        <v>6</v>
      </c>
      <c r="M171" t="s">
        <v>21</v>
      </c>
    </row>
    <row r="172" spans="1:13" x14ac:dyDescent="0.45">
      <c r="A172" t="s">
        <v>7</v>
      </c>
      <c r="B172" t="s">
        <v>134</v>
      </c>
      <c r="C172">
        <v>2020</v>
      </c>
      <c r="D172">
        <v>100</v>
      </c>
      <c r="E172">
        <v>0.55000000000000004</v>
      </c>
      <c r="F172">
        <v>0.52</v>
      </c>
      <c r="G172">
        <v>0.06</v>
      </c>
      <c r="H172">
        <v>0.49</v>
      </c>
      <c r="I172">
        <v>0.69</v>
      </c>
      <c r="J172">
        <v>0.51</v>
      </c>
      <c r="K172">
        <v>0.55000000000000004</v>
      </c>
      <c r="L172" t="s">
        <v>8</v>
      </c>
      <c r="M172" t="s">
        <v>21</v>
      </c>
    </row>
    <row r="173" spans="1:13" x14ac:dyDescent="0.45">
      <c r="A173" t="s">
        <v>7</v>
      </c>
      <c r="B173" t="s">
        <v>134</v>
      </c>
      <c r="C173">
        <v>2025</v>
      </c>
      <c r="D173">
        <v>94</v>
      </c>
      <c r="E173">
        <v>0.57999999999999996</v>
      </c>
      <c r="F173">
        <v>0.55000000000000004</v>
      </c>
      <c r="G173">
        <v>0.1</v>
      </c>
      <c r="H173">
        <v>0.17</v>
      </c>
      <c r="I173">
        <v>0.87</v>
      </c>
      <c r="J173">
        <v>0.52</v>
      </c>
      <c r="K173">
        <v>0.62</v>
      </c>
      <c r="L173" t="s">
        <v>8</v>
      </c>
      <c r="M173" t="s">
        <v>21</v>
      </c>
    </row>
    <row r="174" spans="1:13" x14ac:dyDescent="0.45">
      <c r="A174" t="s">
        <v>7</v>
      </c>
      <c r="B174" t="s">
        <v>134</v>
      </c>
      <c r="C174">
        <v>2030</v>
      </c>
      <c r="D174">
        <v>100</v>
      </c>
      <c r="E174">
        <v>0.56999999999999995</v>
      </c>
      <c r="F174">
        <v>0.55000000000000004</v>
      </c>
      <c r="G174">
        <v>0.09</v>
      </c>
      <c r="H174">
        <v>0.18</v>
      </c>
      <c r="I174">
        <v>0.89</v>
      </c>
      <c r="J174">
        <v>0.52</v>
      </c>
      <c r="K174">
        <v>0.61</v>
      </c>
      <c r="L174" t="s">
        <v>8</v>
      </c>
      <c r="M174" t="s">
        <v>21</v>
      </c>
    </row>
    <row r="175" spans="1:13" x14ac:dyDescent="0.45">
      <c r="A175" t="s">
        <v>7</v>
      </c>
      <c r="B175" t="s">
        <v>134</v>
      </c>
      <c r="C175">
        <v>2035</v>
      </c>
      <c r="D175">
        <v>94</v>
      </c>
      <c r="E175">
        <v>0.57999999999999996</v>
      </c>
      <c r="F175">
        <v>0.56000000000000005</v>
      </c>
      <c r="G175">
        <v>0.08</v>
      </c>
      <c r="H175">
        <v>0.46</v>
      </c>
      <c r="I175">
        <v>0.74</v>
      </c>
      <c r="J175">
        <v>0.51</v>
      </c>
      <c r="K175">
        <v>0.6</v>
      </c>
      <c r="L175" t="s">
        <v>8</v>
      </c>
      <c r="M175" t="s">
        <v>21</v>
      </c>
    </row>
    <row r="176" spans="1:13" x14ac:dyDescent="0.45">
      <c r="A176" t="s">
        <v>7</v>
      </c>
      <c r="B176" t="s">
        <v>134</v>
      </c>
      <c r="C176">
        <v>2040</v>
      </c>
      <c r="D176">
        <v>100</v>
      </c>
      <c r="E176">
        <v>0.57999999999999996</v>
      </c>
      <c r="F176">
        <v>0.56999999999999995</v>
      </c>
      <c r="G176">
        <v>0.08</v>
      </c>
      <c r="H176">
        <v>0.41</v>
      </c>
      <c r="I176">
        <v>0.73</v>
      </c>
      <c r="J176">
        <v>0.51</v>
      </c>
      <c r="K176">
        <v>0.64</v>
      </c>
      <c r="L176" t="s">
        <v>8</v>
      </c>
      <c r="M176" t="s">
        <v>21</v>
      </c>
    </row>
    <row r="177" spans="1:13" x14ac:dyDescent="0.45">
      <c r="A177" t="s">
        <v>7</v>
      </c>
      <c r="B177" t="s">
        <v>134</v>
      </c>
      <c r="C177">
        <v>2045</v>
      </c>
      <c r="D177">
        <v>94</v>
      </c>
      <c r="E177">
        <v>0.56999999999999995</v>
      </c>
      <c r="F177">
        <v>0.55000000000000004</v>
      </c>
      <c r="G177">
        <v>0.09</v>
      </c>
      <c r="H177">
        <v>0.4</v>
      </c>
      <c r="I177">
        <v>0.73</v>
      </c>
      <c r="J177">
        <v>0.5</v>
      </c>
      <c r="K177">
        <v>0.63</v>
      </c>
      <c r="L177" t="s">
        <v>8</v>
      </c>
      <c r="M177" t="s">
        <v>21</v>
      </c>
    </row>
    <row r="178" spans="1:13" x14ac:dyDescent="0.45">
      <c r="A178" t="s">
        <v>7</v>
      </c>
      <c r="B178" t="s">
        <v>134</v>
      </c>
      <c r="C178">
        <v>2050</v>
      </c>
      <c r="D178">
        <v>100</v>
      </c>
      <c r="E178">
        <v>0.56999999999999995</v>
      </c>
      <c r="F178">
        <v>0.53</v>
      </c>
      <c r="G178">
        <v>0.1</v>
      </c>
      <c r="H178">
        <v>0.4</v>
      </c>
      <c r="I178">
        <v>0.74</v>
      </c>
      <c r="J178">
        <v>0.5</v>
      </c>
      <c r="K178">
        <v>0.68</v>
      </c>
      <c r="L178" t="s">
        <v>8</v>
      </c>
      <c r="M178" t="s">
        <v>21</v>
      </c>
    </row>
    <row r="179" spans="1:13" x14ac:dyDescent="0.45">
      <c r="A179" t="s">
        <v>9</v>
      </c>
      <c r="B179" t="s">
        <v>134</v>
      </c>
      <c r="C179">
        <v>2020</v>
      </c>
      <c r="D179">
        <v>58</v>
      </c>
      <c r="E179">
        <v>0.54</v>
      </c>
      <c r="F179">
        <v>0.53</v>
      </c>
      <c r="G179">
        <v>0.03</v>
      </c>
      <c r="H179">
        <v>0.47</v>
      </c>
      <c r="I179">
        <v>0.6</v>
      </c>
      <c r="J179">
        <v>0.51</v>
      </c>
      <c r="K179">
        <v>0.56999999999999995</v>
      </c>
      <c r="L179" t="s">
        <v>10</v>
      </c>
      <c r="M179" t="s">
        <v>21</v>
      </c>
    </row>
    <row r="180" spans="1:13" x14ac:dyDescent="0.45">
      <c r="A180" t="s">
        <v>9</v>
      </c>
      <c r="B180" t="s">
        <v>134</v>
      </c>
      <c r="C180">
        <v>2025</v>
      </c>
      <c r="D180">
        <v>53</v>
      </c>
      <c r="E180">
        <v>0.54</v>
      </c>
      <c r="F180">
        <v>0.55000000000000004</v>
      </c>
      <c r="G180">
        <v>0.03</v>
      </c>
      <c r="H180">
        <v>0.45</v>
      </c>
      <c r="I180">
        <v>0.57999999999999996</v>
      </c>
      <c r="J180">
        <v>0.53</v>
      </c>
      <c r="K180">
        <v>0.56000000000000005</v>
      </c>
      <c r="L180" t="s">
        <v>10</v>
      </c>
      <c r="M180" t="s">
        <v>21</v>
      </c>
    </row>
    <row r="181" spans="1:13" x14ac:dyDescent="0.45">
      <c r="A181" t="s">
        <v>9</v>
      </c>
      <c r="B181" t="s">
        <v>134</v>
      </c>
      <c r="C181">
        <v>2030</v>
      </c>
      <c r="D181">
        <v>58</v>
      </c>
      <c r="E181">
        <v>0.54</v>
      </c>
      <c r="F181">
        <v>0.54</v>
      </c>
      <c r="G181">
        <v>0.03</v>
      </c>
      <c r="H181">
        <v>0.47</v>
      </c>
      <c r="I181">
        <v>0.61</v>
      </c>
      <c r="J181">
        <v>0.53</v>
      </c>
      <c r="K181">
        <v>0.56000000000000005</v>
      </c>
      <c r="L181" t="s">
        <v>10</v>
      </c>
      <c r="M181" t="s">
        <v>21</v>
      </c>
    </row>
    <row r="182" spans="1:13" x14ac:dyDescent="0.45">
      <c r="A182" t="s">
        <v>9</v>
      </c>
      <c r="B182" t="s">
        <v>134</v>
      </c>
      <c r="C182">
        <v>2035</v>
      </c>
      <c r="D182">
        <v>53</v>
      </c>
      <c r="E182">
        <v>0.53</v>
      </c>
      <c r="F182">
        <v>0.53</v>
      </c>
      <c r="G182">
        <v>0.03</v>
      </c>
      <c r="H182">
        <v>0.45</v>
      </c>
      <c r="I182">
        <v>0.61</v>
      </c>
      <c r="J182">
        <v>0.52</v>
      </c>
      <c r="K182">
        <v>0.56000000000000005</v>
      </c>
      <c r="L182" t="s">
        <v>10</v>
      </c>
      <c r="M182" t="s">
        <v>21</v>
      </c>
    </row>
    <row r="183" spans="1:13" x14ac:dyDescent="0.45">
      <c r="A183" t="s">
        <v>9</v>
      </c>
      <c r="B183" t="s">
        <v>134</v>
      </c>
      <c r="C183">
        <v>2040</v>
      </c>
      <c r="D183">
        <v>58</v>
      </c>
      <c r="E183">
        <v>0.54</v>
      </c>
      <c r="F183">
        <v>0.54</v>
      </c>
      <c r="G183">
        <v>0.05</v>
      </c>
      <c r="H183">
        <v>0.44</v>
      </c>
      <c r="I183">
        <v>0.67</v>
      </c>
      <c r="J183">
        <v>0.51</v>
      </c>
      <c r="K183">
        <v>0.56999999999999995</v>
      </c>
      <c r="L183" t="s">
        <v>10</v>
      </c>
      <c r="M183" t="s">
        <v>21</v>
      </c>
    </row>
    <row r="184" spans="1:13" x14ac:dyDescent="0.45">
      <c r="A184" t="s">
        <v>9</v>
      </c>
      <c r="B184" t="s">
        <v>134</v>
      </c>
      <c r="C184">
        <v>2045</v>
      </c>
      <c r="D184">
        <v>53</v>
      </c>
      <c r="E184">
        <v>0.53</v>
      </c>
      <c r="F184">
        <v>0.52</v>
      </c>
      <c r="G184">
        <v>0.05</v>
      </c>
      <c r="H184">
        <v>0.43</v>
      </c>
      <c r="I184">
        <v>0.63</v>
      </c>
      <c r="J184">
        <v>0.49</v>
      </c>
      <c r="K184">
        <v>0.56000000000000005</v>
      </c>
      <c r="L184" t="s">
        <v>10</v>
      </c>
      <c r="M184" t="s">
        <v>21</v>
      </c>
    </row>
    <row r="185" spans="1:13" x14ac:dyDescent="0.45">
      <c r="A185" t="s">
        <v>9</v>
      </c>
      <c r="B185" t="s">
        <v>134</v>
      </c>
      <c r="C185">
        <v>2050</v>
      </c>
      <c r="D185">
        <v>58</v>
      </c>
      <c r="E185">
        <v>0.54</v>
      </c>
      <c r="F185">
        <v>0.55000000000000004</v>
      </c>
      <c r="G185">
        <v>7.0000000000000007E-2</v>
      </c>
      <c r="H185">
        <v>0.42</v>
      </c>
      <c r="I185">
        <v>0.69</v>
      </c>
      <c r="J185">
        <v>0.48</v>
      </c>
      <c r="K185">
        <v>0.56999999999999995</v>
      </c>
      <c r="L185" t="s">
        <v>10</v>
      </c>
      <c r="M185" t="s">
        <v>21</v>
      </c>
    </row>
    <row r="186" spans="1:13" x14ac:dyDescent="0.45">
      <c r="A186" t="s">
        <v>0</v>
      </c>
      <c r="B186" t="s">
        <v>134</v>
      </c>
      <c r="C186">
        <v>2020</v>
      </c>
      <c r="D186">
        <v>56</v>
      </c>
      <c r="E186">
        <v>0.01</v>
      </c>
      <c r="F186">
        <v>0.01</v>
      </c>
      <c r="G186">
        <v>0</v>
      </c>
      <c r="H186">
        <v>0</v>
      </c>
      <c r="I186">
        <v>0.02</v>
      </c>
      <c r="J186">
        <v>0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134</v>
      </c>
      <c r="C187">
        <v>2025</v>
      </c>
      <c r="D187">
        <v>56</v>
      </c>
      <c r="E187">
        <v>0.02</v>
      </c>
      <c r="F187">
        <v>0.02</v>
      </c>
      <c r="G187">
        <v>0.01</v>
      </c>
      <c r="H187">
        <v>0</v>
      </c>
      <c r="I187">
        <v>0.04</v>
      </c>
      <c r="J187">
        <v>0.01</v>
      </c>
      <c r="K187">
        <v>0.02</v>
      </c>
      <c r="L187" t="s">
        <v>1</v>
      </c>
      <c r="M187" t="s">
        <v>23</v>
      </c>
    </row>
    <row r="188" spans="1:13" x14ac:dyDescent="0.45">
      <c r="A188" t="s">
        <v>0</v>
      </c>
      <c r="B188" t="s">
        <v>134</v>
      </c>
      <c r="C188">
        <v>2030</v>
      </c>
      <c r="D188">
        <v>56</v>
      </c>
      <c r="E188">
        <v>0.03</v>
      </c>
      <c r="F188">
        <v>0.03</v>
      </c>
      <c r="G188">
        <v>0.01</v>
      </c>
      <c r="H188">
        <v>0</v>
      </c>
      <c r="I188">
        <v>0.05</v>
      </c>
      <c r="J188">
        <v>0.02</v>
      </c>
      <c r="K188">
        <v>0.04</v>
      </c>
      <c r="L188" t="s">
        <v>1</v>
      </c>
      <c r="M188" t="s">
        <v>23</v>
      </c>
    </row>
    <row r="189" spans="1:13" x14ac:dyDescent="0.45">
      <c r="A189" t="s">
        <v>0</v>
      </c>
      <c r="B189" t="s">
        <v>134</v>
      </c>
      <c r="C189">
        <v>2035</v>
      </c>
      <c r="D189">
        <v>56</v>
      </c>
      <c r="E189">
        <v>0.05</v>
      </c>
      <c r="F189">
        <v>0.05</v>
      </c>
      <c r="G189">
        <v>0.02</v>
      </c>
      <c r="H189">
        <v>0.01</v>
      </c>
      <c r="I189">
        <v>0.08</v>
      </c>
      <c r="J189">
        <v>0.04</v>
      </c>
      <c r="K189">
        <v>0.06</v>
      </c>
      <c r="L189" t="s">
        <v>1</v>
      </c>
      <c r="M189" t="s">
        <v>23</v>
      </c>
    </row>
    <row r="190" spans="1:13" x14ac:dyDescent="0.45">
      <c r="A190" t="s">
        <v>0</v>
      </c>
      <c r="B190" t="s">
        <v>134</v>
      </c>
      <c r="C190">
        <v>2040</v>
      </c>
      <c r="D190">
        <v>56</v>
      </c>
      <c r="E190">
        <v>7.0000000000000007E-2</v>
      </c>
      <c r="F190">
        <v>7.0000000000000007E-2</v>
      </c>
      <c r="G190">
        <v>0.03</v>
      </c>
      <c r="H190">
        <v>0.01</v>
      </c>
      <c r="I190">
        <v>0.13</v>
      </c>
      <c r="J190">
        <v>0.06</v>
      </c>
      <c r="K190">
        <v>0.08</v>
      </c>
      <c r="L190" t="s">
        <v>1</v>
      </c>
      <c r="M190" t="s">
        <v>23</v>
      </c>
    </row>
    <row r="191" spans="1:13" x14ac:dyDescent="0.45">
      <c r="A191" t="s">
        <v>0</v>
      </c>
      <c r="B191" t="s">
        <v>134</v>
      </c>
      <c r="C191">
        <v>2045</v>
      </c>
      <c r="D191">
        <v>56</v>
      </c>
      <c r="E191">
        <v>0.09</v>
      </c>
      <c r="F191">
        <v>0.09</v>
      </c>
      <c r="G191">
        <v>0.04</v>
      </c>
      <c r="H191">
        <v>0.01</v>
      </c>
      <c r="I191">
        <v>0.16</v>
      </c>
      <c r="J191">
        <v>0.08</v>
      </c>
      <c r="K191">
        <v>0.12</v>
      </c>
      <c r="L191" t="s">
        <v>1</v>
      </c>
      <c r="M191" t="s">
        <v>23</v>
      </c>
    </row>
    <row r="192" spans="1:13" x14ac:dyDescent="0.45">
      <c r="A192" t="s">
        <v>0</v>
      </c>
      <c r="B192" t="s">
        <v>134</v>
      </c>
      <c r="C192">
        <v>2050</v>
      </c>
      <c r="D192">
        <v>56</v>
      </c>
      <c r="E192">
        <v>0.1</v>
      </c>
      <c r="F192">
        <v>0.09</v>
      </c>
      <c r="G192">
        <v>0.04</v>
      </c>
      <c r="H192">
        <v>0.01</v>
      </c>
      <c r="I192">
        <v>0.18</v>
      </c>
      <c r="J192">
        <v>0.09</v>
      </c>
      <c r="K192">
        <v>0.12</v>
      </c>
      <c r="L192" t="s">
        <v>1</v>
      </c>
      <c r="M192" t="s">
        <v>23</v>
      </c>
    </row>
    <row r="193" spans="1:13" x14ac:dyDescent="0.45">
      <c r="A193" t="s">
        <v>2</v>
      </c>
      <c r="B193" t="s">
        <v>134</v>
      </c>
      <c r="C193">
        <v>2020</v>
      </c>
      <c r="D193">
        <v>99</v>
      </c>
      <c r="E193">
        <v>0.01</v>
      </c>
      <c r="F193">
        <v>0.01</v>
      </c>
      <c r="G193">
        <v>0</v>
      </c>
      <c r="H193">
        <v>0</v>
      </c>
      <c r="I193">
        <v>0.02</v>
      </c>
      <c r="J193">
        <v>0</v>
      </c>
      <c r="K193">
        <v>0.01</v>
      </c>
      <c r="L193" t="s">
        <v>3</v>
      </c>
      <c r="M193" t="s">
        <v>23</v>
      </c>
    </row>
    <row r="194" spans="1:13" x14ac:dyDescent="0.45">
      <c r="A194" t="s">
        <v>2</v>
      </c>
      <c r="B194" t="s">
        <v>134</v>
      </c>
      <c r="C194">
        <v>2025</v>
      </c>
      <c r="D194">
        <v>88</v>
      </c>
      <c r="E194">
        <v>0.02</v>
      </c>
      <c r="F194">
        <v>0.01</v>
      </c>
      <c r="G194">
        <v>0.01</v>
      </c>
      <c r="H194">
        <v>0</v>
      </c>
      <c r="I194">
        <v>0.05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134</v>
      </c>
      <c r="C195">
        <v>2030</v>
      </c>
      <c r="D195">
        <v>99</v>
      </c>
      <c r="E195">
        <v>0.03</v>
      </c>
      <c r="F195">
        <v>0.03</v>
      </c>
      <c r="G195">
        <v>0.02</v>
      </c>
      <c r="H195">
        <v>0</v>
      </c>
      <c r="I195">
        <v>0.06</v>
      </c>
      <c r="J195">
        <v>0.02</v>
      </c>
      <c r="K195">
        <v>0.03</v>
      </c>
      <c r="L195" t="s">
        <v>3</v>
      </c>
      <c r="M195" t="s">
        <v>23</v>
      </c>
    </row>
    <row r="196" spans="1:13" x14ac:dyDescent="0.45">
      <c r="A196" t="s">
        <v>2</v>
      </c>
      <c r="B196" t="s">
        <v>134</v>
      </c>
      <c r="C196">
        <v>2035</v>
      </c>
      <c r="D196">
        <v>88</v>
      </c>
      <c r="E196">
        <v>0.04</v>
      </c>
      <c r="F196">
        <v>0.04</v>
      </c>
      <c r="G196">
        <v>0.02</v>
      </c>
      <c r="H196">
        <v>0.01</v>
      </c>
      <c r="I196">
        <v>0.08</v>
      </c>
      <c r="J196">
        <v>0.02</v>
      </c>
      <c r="K196">
        <v>0.05</v>
      </c>
      <c r="L196" t="s">
        <v>3</v>
      </c>
      <c r="M196" t="s">
        <v>23</v>
      </c>
    </row>
    <row r="197" spans="1:13" x14ac:dyDescent="0.45">
      <c r="A197" t="s">
        <v>2</v>
      </c>
      <c r="B197" t="s">
        <v>134</v>
      </c>
      <c r="C197">
        <v>2040</v>
      </c>
      <c r="D197">
        <v>99</v>
      </c>
      <c r="E197">
        <v>0.08</v>
      </c>
      <c r="F197">
        <v>7.0000000000000007E-2</v>
      </c>
      <c r="G197">
        <v>0.05</v>
      </c>
      <c r="H197">
        <v>0.01</v>
      </c>
      <c r="I197">
        <v>0.22</v>
      </c>
      <c r="J197">
        <v>0.04</v>
      </c>
      <c r="K197">
        <v>0.09</v>
      </c>
      <c r="L197" t="s">
        <v>3</v>
      </c>
      <c r="M197" t="s">
        <v>23</v>
      </c>
    </row>
    <row r="198" spans="1:13" x14ac:dyDescent="0.45">
      <c r="A198" t="s">
        <v>2</v>
      </c>
      <c r="B198" t="s">
        <v>134</v>
      </c>
      <c r="C198">
        <v>2045</v>
      </c>
      <c r="D198">
        <v>88</v>
      </c>
      <c r="E198">
        <v>0.08</v>
      </c>
      <c r="F198">
        <v>0.08</v>
      </c>
      <c r="G198">
        <v>0.04</v>
      </c>
      <c r="H198">
        <v>0.01</v>
      </c>
      <c r="I198">
        <v>0.17</v>
      </c>
      <c r="J198">
        <v>0.05</v>
      </c>
      <c r="K198">
        <v>0.11</v>
      </c>
      <c r="L198" t="s">
        <v>3</v>
      </c>
      <c r="M198" t="s">
        <v>23</v>
      </c>
    </row>
    <row r="199" spans="1:13" x14ac:dyDescent="0.45">
      <c r="A199" t="s">
        <v>2</v>
      </c>
      <c r="B199" t="s">
        <v>134</v>
      </c>
      <c r="C199">
        <v>2050</v>
      </c>
      <c r="D199">
        <v>99</v>
      </c>
      <c r="E199">
        <v>0.11</v>
      </c>
      <c r="F199">
        <v>0.09</v>
      </c>
      <c r="G199">
        <v>7.0000000000000007E-2</v>
      </c>
      <c r="H199">
        <v>0.01</v>
      </c>
      <c r="I199">
        <v>0.27</v>
      </c>
      <c r="J199">
        <v>7.0000000000000007E-2</v>
      </c>
      <c r="K199">
        <v>0.16</v>
      </c>
      <c r="L199" t="s">
        <v>3</v>
      </c>
      <c r="M199" t="s">
        <v>23</v>
      </c>
    </row>
    <row r="200" spans="1:13" x14ac:dyDescent="0.45">
      <c r="A200" t="s">
        <v>5</v>
      </c>
      <c r="B200" t="s">
        <v>134</v>
      </c>
      <c r="C200">
        <v>2020</v>
      </c>
      <c r="D200">
        <v>231</v>
      </c>
      <c r="E200">
        <v>0.01</v>
      </c>
      <c r="F200">
        <v>0.01</v>
      </c>
      <c r="G200">
        <v>0</v>
      </c>
      <c r="H200">
        <v>0</v>
      </c>
      <c r="I200">
        <v>0.03</v>
      </c>
      <c r="J200">
        <v>0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134</v>
      </c>
      <c r="C201">
        <v>2025</v>
      </c>
      <c r="D201">
        <v>208</v>
      </c>
      <c r="E201">
        <v>0.02</v>
      </c>
      <c r="F201">
        <v>0.01</v>
      </c>
      <c r="G201">
        <v>0.04</v>
      </c>
      <c r="H201">
        <v>0</v>
      </c>
      <c r="I201">
        <v>0.38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134</v>
      </c>
      <c r="C202">
        <v>2030</v>
      </c>
      <c r="D202">
        <v>231</v>
      </c>
      <c r="E202">
        <v>0.02</v>
      </c>
      <c r="F202">
        <v>0.02</v>
      </c>
      <c r="G202">
        <v>0.04</v>
      </c>
      <c r="H202">
        <v>0</v>
      </c>
      <c r="I202">
        <v>0.5</v>
      </c>
      <c r="J202">
        <v>0</v>
      </c>
      <c r="K202">
        <v>0.03</v>
      </c>
      <c r="L202" t="s">
        <v>6</v>
      </c>
      <c r="M202" t="s">
        <v>23</v>
      </c>
    </row>
    <row r="203" spans="1:13" x14ac:dyDescent="0.45">
      <c r="A203" t="s">
        <v>5</v>
      </c>
      <c r="B203" t="s">
        <v>134</v>
      </c>
      <c r="C203">
        <v>2035</v>
      </c>
      <c r="D203">
        <v>208</v>
      </c>
      <c r="E203">
        <v>0.03</v>
      </c>
      <c r="F203">
        <v>0.03</v>
      </c>
      <c r="G203">
        <v>0.02</v>
      </c>
      <c r="H203">
        <v>0</v>
      </c>
      <c r="I203">
        <v>0.19</v>
      </c>
      <c r="J203">
        <v>0.01</v>
      </c>
      <c r="K203">
        <v>0.05</v>
      </c>
      <c r="L203" t="s">
        <v>6</v>
      </c>
      <c r="M203" t="s">
        <v>23</v>
      </c>
    </row>
    <row r="204" spans="1:13" x14ac:dyDescent="0.45">
      <c r="A204" t="s">
        <v>5</v>
      </c>
      <c r="B204" t="s">
        <v>134</v>
      </c>
      <c r="C204">
        <v>2040</v>
      </c>
      <c r="D204">
        <v>231</v>
      </c>
      <c r="E204">
        <v>0.05</v>
      </c>
      <c r="F204">
        <v>0.04</v>
      </c>
      <c r="G204">
        <v>0.04</v>
      </c>
      <c r="H204">
        <v>0</v>
      </c>
      <c r="I204">
        <v>0.25</v>
      </c>
      <c r="J204">
        <v>0.02</v>
      </c>
      <c r="K204">
        <v>7.0000000000000007E-2</v>
      </c>
      <c r="L204" t="s">
        <v>6</v>
      </c>
      <c r="M204" t="s">
        <v>23</v>
      </c>
    </row>
    <row r="205" spans="1:13" x14ac:dyDescent="0.45">
      <c r="A205" t="s">
        <v>5</v>
      </c>
      <c r="B205" t="s">
        <v>134</v>
      </c>
      <c r="C205">
        <v>2045</v>
      </c>
      <c r="D205">
        <v>208</v>
      </c>
      <c r="E205">
        <v>7.0000000000000007E-2</v>
      </c>
      <c r="F205">
        <v>0.06</v>
      </c>
      <c r="G205">
        <v>0.04</v>
      </c>
      <c r="H205">
        <v>0.01</v>
      </c>
      <c r="I205">
        <v>0.3</v>
      </c>
      <c r="J205">
        <v>0.03</v>
      </c>
      <c r="K205">
        <v>0.09</v>
      </c>
      <c r="L205" t="s">
        <v>6</v>
      </c>
      <c r="M205" t="s">
        <v>23</v>
      </c>
    </row>
    <row r="206" spans="1:13" x14ac:dyDescent="0.45">
      <c r="A206" t="s">
        <v>5</v>
      </c>
      <c r="B206" t="s">
        <v>134</v>
      </c>
      <c r="C206">
        <v>2050</v>
      </c>
      <c r="D206">
        <v>231</v>
      </c>
      <c r="E206">
        <v>0.08</v>
      </c>
      <c r="F206">
        <v>0.08</v>
      </c>
      <c r="G206">
        <v>0.06</v>
      </c>
      <c r="H206">
        <v>0</v>
      </c>
      <c r="I206">
        <v>0.32</v>
      </c>
      <c r="J206">
        <v>0.02</v>
      </c>
      <c r="K206">
        <v>0.09</v>
      </c>
      <c r="L206" t="s">
        <v>6</v>
      </c>
      <c r="M206" t="s">
        <v>23</v>
      </c>
    </row>
    <row r="207" spans="1:13" x14ac:dyDescent="0.45">
      <c r="A207" t="s">
        <v>7</v>
      </c>
      <c r="B207" t="s">
        <v>134</v>
      </c>
      <c r="C207">
        <v>2020</v>
      </c>
      <c r="D207">
        <v>102</v>
      </c>
      <c r="E207">
        <v>0.01</v>
      </c>
      <c r="F207">
        <v>0.01</v>
      </c>
      <c r="G207">
        <v>0.01</v>
      </c>
      <c r="H207">
        <v>0</v>
      </c>
      <c r="I207">
        <v>0.03</v>
      </c>
      <c r="J207">
        <v>0</v>
      </c>
      <c r="K207">
        <v>0.01</v>
      </c>
      <c r="L207" t="s">
        <v>8</v>
      </c>
      <c r="M207" t="s">
        <v>23</v>
      </c>
    </row>
    <row r="208" spans="1:13" x14ac:dyDescent="0.45">
      <c r="A208" t="s">
        <v>7</v>
      </c>
      <c r="B208" t="s">
        <v>134</v>
      </c>
      <c r="C208">
        <v>2025</v>
      </c>
      <c r="D208">
        <v>96</v>
      </c>
      <c r="E208">
        <v>0.02</v>
      </c>
      <c r="F208">
        <v>0.01</v>
      </c>
      <c r="G208">
        <v>7.0000000000000007E-2</v>
      </c>
      <c r="H208">
        <v>0</v>
      </c>
      <c r="I208">
        <v>0.63</v>
      </c>
      <c r="J208">
        <v>0.01</v>
      </c>
      <c r="K208">
        <v>0.02</v>
      </c>
      <c r="L208" t="s">
        <v>8</v>
      </c>
      <c r="M208" t="s">
        <v>23</v>
      </c>
    </row>
    <row r="209" spans="1:13" x14ac:dyDescent="0.45">
      <c r="A209" t="s">
        <v>7</v>
      </c>
      <c r="B209" t="s">
        <v>134</v>
      </c>
      <c r="C209">
        <v>2030</v>
      </c>
      <c r="D209">
        <v>102</v>
      </c>
      <c r="E209">
        <v>0.02</v>
      </c>
      <c r="F209">
        <v>0.01</v>
      </c>
      <c r="G209">
        <v>0.06</v>
      </c>
      <c r="H209">
        <v>0</v>
      </c>
      <c r="I209">
        <v>0.63</v>
      </c>
      <c r="J209">
        <v>0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134</v>
      </c>
      <c r="C210">
        <v>2035</v>
      </c>
      <c r="D210">
        <v>96</v>
      </c>
      <c r="E210">
        <v>0.03</v>
      </c>
      <c r="F210">
        <v>0.02</v>
      </c>
      <c r="G210">
        <v>0.02</v>
      </c>
      <c r="H210">
        <v>0</v>
      </c>
      <c r="I210">
        <v>7.0000000000000007E-2</v>
      </c>
      <c r="J210">
        <v>0.01</v>
      </c>
      <c r="K210">
        <v>0.04</v>
      </c>
      <c r="L210" t="s">
        <v>8</v>
      </c>
      <c r="M210" t="s">
        <v>23</v>
      </c>
    </row>
    <row r="211" spans="1:13" x14ac:dyDescent="0.45">
      <c r="A211" t="s">
        <v>7</v>
      </c>
      <c r="B211" t="s">
        <v>134</v>
      </c>
      <c r="C211">
        <v>2040</v>
      </c>
      <c r="D211">
        <v>102</v>
      </c>
      <c r="E211">
        <v>0.04</v>
      </c>
      <c r="F211">
        <v>0.03</v>
      </c>
      <c r="G211">
        <v>0.03</v>
      </c>
      <c r="H211">
        <v>0</v>
      </c>
      <c r="I211">
        <v>0.09</v>
      </c>
      <c r="J211">
        <v>0.01</v>
      </c>
      <c r="K211">
        <v>0.05</v>
      </c>
      <c r="L211" t="s">
        <v>8</v>
      </c>
      <c r="M211" t="s">
        <v>23</v>
      </c>
    </row>
    <row r="212" spans="1:13" x14ac:dyDescent="0.45">
      <c r="A212" t="s">
        <v>7</v>
      </c>
      <c r="B212" t="s">
        <v>134</v>
      </c>
      <c r="C212">
        <v>2045</v>
      </c>
      <c r="D212">
        <v>96</v>
      </c>
      <c r="E212">
        <v>0.05</v>
      </c>
      <c r="F212">
        <v>0.05</v>
      </c>
      <c r="G212">
        <v>0.04</v>
      </c>
      <c r="H212">
        <v>0</v>
      </c>
      <c r="I212">
        <v>0.14000000000000001</v>
      </c>
      <c r="J212">
        <v>0.02</v>
      </c>
      <c r="K212">
        <v>7.0000000000000007E-2</v>
      </c>
      <c r="L212" t="s">
        <v>8</v>
      </c>
      <c r="M212" t="s">
        <v>23</v>
      </c>
    </row>
    <row r="213" spans="1:13" x14ac:dyDescent="0.45">
      <c r="A213" t="s">
        <v>7</v>
      </c>
      <c r="B213" t="s">
        <v>134</v>
      </c>
      <c r="C213">
        <v>2050</v>
      </c>
      <c r="D213">
        <v>102</v>
      </c>
      <c r="E213">
        <v>7.0000000000000007E-2</v>
      </c>
      <c r="F213">
        <v>0.06</v>
      </c>
      <c r="G213">
        <v>0.06</v>
      </c>
      <c r="H213">
        <v>0</v>
      </c>
      <c r="I213">
        <v>0.21</v>
      </c>
      <c r="J213">
        <v>0.01</v>
      </c>
      <c r="K213">
        <v>0.09</v>
      </c>
      <c r="L213" t="s">
        <v>8</v>
      </c>
      <c r="M213" t="s">
        <v>23</v>
      </c>
    </row>
    <row r="214" spans="1:13" x14ac:dyDescent="0.45">
      <c r="A214" t="s">
        <v>9</v>
      </c>
      <c r="B214" t="s">
        <v>134</v>
      </c>
      <c r="C214">
        <v>2020</v>
      </c>
      <c r="D214">
        <v>59</v>
      </c>
      <c r="E214">
        <v>0.01</v>
      </c>
      <c r="F214">
        <v>0.01</v>
      </c>
      <c r="G214">
        <v>0.01</v>
      </c>
      <c r="H214">
        <v>0</v>
      </c>
      <c r="I214">
        <v>0.02</v>
      </c>
      <c r="J214">
        <v>0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134</v>
      </c>
      <c r="C215">
        <v>2025</v>
      </c>
      <c r="D215">
        <v>54</v>
      </c>
      <c r="E215">
        <v>0.01</v>
      </c>
      <c r="F215">
        <v>0.01</v>
      </c>
      <c r="G215">
        <v>0.01</v>
      </c>
      <c r="H215">
        <v>0</v>
      </c>
      <c r="I215">
        <v>0.04</v>
      </c>
      <c r="J215">
        <v>0.01</v>
      </c>
      <c r="K215">
        <v>0.01</v>
      </c>
      <c r="L215" t="s">
        <v>10</v>
      </c>
      <c r="M215" t="s">
        <v>23</v>
      </c>
    </row>
    <row r="216" spans="1:13" x14ac:dyDescent="0.45">
      <c r="A216" t="s">
        <v>9</v>
      </c>
      <c r="B216" t="s">
        <v>134</v>
      </c>
      <c r="C216">
        <v>2030</v>
      </c>
      <c r="D216">
        <v>59</v>
      </c>
      <c r="E216">
        <v>0.02</v>
      </c>
      <c r="F216">
        <v>0.02</v>
      </c>
      <c r="G216">
        <v>0.01</v>
      </c>
      <c r="H216">
        <v>0</v>
      </c>
      <c r="I216">
        <v>0.06</v>
      </c>
      <c r="J216">
        <v>0.01</v>
      </c>
      <c r="K216">
        <v>0.02</v>
      </c>
      <c r="L216" t="s">
        <v>10</v>
      </c>
      <c r="M216" t="s">
        <v>23</v>
      </c>
    </row>
    <row r="217" spans="1:13" x14ac:dyDescent="0.45">
      <c r="A217" t="s">
        <v>9</v>
      </c>
      <c r="B217" t="s">
        <v>134</v>
      </c>
      <c r="C217">
        <v>2035</v>
      </c>
      <c r="D217">
        <v>54</v>
      </c>
      <c r="E217">
        <v>0.02</v>
      </c>
      <c r="F217">
        <v>0.02</v>
      </c>
      <c r="G217">
        <v>0.01</v>
      </c>
      <c r="H217">
        <v>0</v>
      </c>
      <c r="I217">
        <v>7.0000000000000007E-2</v>
      </c>
      <c r="J217">
        <v>0.01</v>
      </c>
      <c r="K217">
        <v>0.03</v>
      </c>
      <c r="L217" t="s">
        <v>10</v>
      </c>
      <c r="M217" t="s">
        <v>23</v>
      </c>
    </row>
    <row r="218" spans="1:13" x14ac:dyDescent="0.45">
      <c r="A218" t="s">
        <v>9</v>
      </c>
      <c r="B218" t="s">
        <v>134</v>
      </c>
      <c r="C218">
        <v>2040</v>
      </c>
      <c r="D218">
        <v>59</v>
      </c>
      <c r="E218">
        <v>0.03</v>
      </c>
      <c r="F218">
        <v>0.03</v>
      </c>
      <c r="G218">
        <v>0.02</v>
      </c>
      <c r="H218">
        <v>0</v>
      </c>
      <c r="I218">
        <v>0.08</v>
      </c>
      <c r="J218">
        <v>0.01</v>
      </c>
      <c r="K218">
        <v>0.04</v>
      </c>
      <c r="L218" t="s">
        <v>10</v>
      </c>
      <c r="M218" t="s">
        <v>23</v>
      </c>
    </row>
    <row r="219" spans="1:13" x14ac:dyDescent="0.45">
      <c r="A219" t="s">
        <v>9</v>
      </c>
      <c r="B219" t="s">
        <v>134</v>
      </c>
      <c r="C219">
        <v>2045</v>
      </c>
      <c r="D219">
        <v>54</v>
      </c>
      <c r="E219">
        <v>0.04</v>
      </c>
      <c r="F219">
        <v>0.04</v>
      </c>
      <c r="G219">
        <v>0.02</v>
      </c>
      <c r="H219">
        <v>0</v>
      </c>
      <c r="I219">
        <v>0.09</v>
      </c>
      <c r="J219">
        <v>0.02</v>
      </c>
      <c r="K219">
        <v>0.06</v>
      </c>
      <c r="L219" t="s">
        <v>10</v>
      </c>
      <c r="M219" t="s">
        <v>23</v>
      </c>
    </row>
    <row r="220" spans="1:13" x14ac:dyDescent="0.45">
      <c r="A220" t="s">
        <v>9</v>
      </c>
      <c r="B220" t="s">
        <v>134</v>
      </c>
      <c r="C220">
        <v>2050</v>
      </c>
      <c r="D220">
        <v>59</v>
      </c>
      <c r="E220">
        <v>0.05</v>
      </c>
      <c r="F220">
        <v>0.05</v>
      </c>
      <c r="G220">
        <v>0.03</v>
      </c>
      <c r="H220">
        <v>0</v>
      </c>
      <c r="I220">
        <v>0.1</v>
      </c>
      <c r="J220">
        <v>0.03</v>
      </c>
      <c r="K220">
        <v>0.08</v>
      </c>
      <c r="L220" t="s">
        <v>10</v>
      </c>
      <c r="M220" t="s">
        <v>23</v>
      </c>
    </row>
    <row r="221" spans="1:13" x14ac:dyDescent="0.45">
      <c r="A221" t="s">
        <v>0</v>
      </c>
      <c r="B221" t="s">
        <v>134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134</v>
      </c>
      <c r="C222">
        <v>2025</v>
      </c>
      <c r="D222">
        <v>45</v>
      </c>
      <c r="E222">
        <v>2.0499999999999998</v>
      </c>
      <c r="F222">
        <v>1.83</v>
      </c>
      <c r="G222">
        <v>1.03</v>
      </c>
      <c r="H222">
        <v>1.1200000000000001</v>
      </c>
      <c r="I222">
        <v>5.98</v>
      </c>
      <c r="J222">
        <v>1.48</v>
      </c>
      <c r="K222">
        <v>2.09</v>
      </c>
      <c r="L222" t="s">
        <v>1</v>
      </c>
      <c r="M222" t="s">
        <v>70</v>
      </c>
    </row>
    <row r="223" spans="1:13" x14ac:dyDescent="0.45">
      <c r="A223" t="s">
        <v>0</v>
      </c>
      <c r="B223" t="s">
        <v>134</v>
      </c>
      <c r="C223">
        <v>2030</v>
      </c>
      <c r="D223">
        <v>45</v>
      </c>
      <c r="E223">
        <v>3.11</v>
      </c>
      <c r="F223">
        <v>2.5499999999999998</v>
      </c>
      <c r="G223">
        <v>1.56</v>
      </c>
      <c r="H223">
        <v>1.21</v>
      </c>
      <c r="I223">
        <v>9.1</v>
      </c>
      <c r="J223">
        <v>2.14</v>
      </c>
      <c r="K223">
        <v>4.16</v>
      </c>
      <c r="L223" t="s">
        <v>1</v>
      </c>
      <c r="M223" t="s">
        <v>70</v>
      </c>
    </row>
    <row r="224" spans="1:13" x14ac:dyDescent="0.45">
      <c r="A224" t="s">
        <v>0</v>
      </c>
      <c r="B224" t="s">
        <v>134</v>
      </c>
      <c r="C224">
        <v>2035</v>
      </c>
      <c r="D224">
        <v>45</v>
      </c>
      <c r="E224">
        <v>4.08</v>
      </c>
      <c r="F224">
        <v>2.88</v>
      </c>
      <c r="G224">
        <v>2.34</v>
      </c>
      <c r="H224">
        <v>1.58</v>
      </c>
      <c r="I224">
        <v>10.93</v>
      </c>
      <c r="J224">
        <v>2.5499999999999998</v>
      </c>
      <c r="K224">
        <v>4.9400000000000004</v>
      </c>
      <c r="L224" t="s">
        <v>1</v>
      </c>
      <c r="M224" t="s">
        <v>70</v>
      </c>
    </row>
    <row r="225" spans="1:13" x14ac:dyDescent="0.45">
      <c r="A225" t="s">
        <v>0</v>
      </c>
      <c r="B225" t="s">
        <v>134</v>
      </c>
      <c r="C225">
        <v>2040</v>
      </c>
      <c r="D225">
        <v>45</v>
      </c>
      <c r="E225">
        <v>5.25</v>
      </c>
      <c r="F225">
        <v>3.73</v>
      </c>
      <c r="G225">
        <v>3.03</v>
      </c>
      <c r="H225">
        <v>2.36</v>
      </c>
      <c r="I225">
        <v>12.84</v>
      </c>
      <c r="J225">
        <v>3.22</v>
      </c>
      <c r="K225">
        <v>6.09</v>
      </c>
      <c r="L225" t="s">
        <v>1</v>
      </c>
      <c r="M225" t="s">
        <v>70</v>
      </c>
    </row>
    <row r="226" spans="1:13" x14ac:dyDescent="0.45">
      <c r="A226" t="s">
        <v>0</v>
      </c>
      <c r="B226" t="s">
        <v>134</v>
      </c>
      <c r="C226">
        <v>2045</v>
      </c>
      <c r="D226">
        <v>45</v>
      </c>
      <c r="E226">
        <v>6.38</v>
      </c>
      <c r="F226">
        <v>4.8</v>
      </c>
      <c r="G226">
        <v>3.62</v>
      </c>
      <c r="H226">
        <v>2.72</v>
      </c>
      <c r="I226">
        <v>15.49</v>
      </c>
      <c r="J226">
        <v>3.92</v>
      </c>
      <c r="K226">
        <v>7.58</v>
      </c>
      <c r="L226" t="s">
        <v>1</v>
      </c>
      <c r="M226" t="s">
        <v>70</v>
      </c>
    </row>
    <row r="227" spans="1:13" x14ac:dyDescent="0.45">
      <c r="A227" t="s">
        <v>0</v>
      </c>
      <c r="B227" t="s">
        <v>134</v>
      </c>
      <c r="C227">
        <v>2050</v>
      </c>
      <c r="D227">
        <v>45</v>
      </c>
      <c r="E227">
        <v>7.06</v>
      </c>
      <c r="F227">
        <v>5.3</v>
      </c>
      <c r="G227">
        <v>4.08</v>
      </c>
      <c r="H227">
        <v>2.86</v>
      </c>
      <c r="I227">
        <v>16.670000000000002</v>
      </c>
      <c r="J227">
        <v>4.18</v>
      </c>
      <c r="K227">
        <v>8.2899999999999991</v>
      </c>
      <c r="L227" t="s">
        <v>1</v>
      </c>
      <c r="M227" t="s">
        <v>70</v>
      </c>
    </row>
    <row r="228" spans="1:13" x14ac:dyDescent="0.45">
      <c r="A228" t="s">
        <v>2</v>
      </c>
      <c r="B228" t="s">
        <v>134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134</v>
      </c>
      <c r="C229">
        <v>2025</v>
      </c>
      <c r="D229">
        <v>44</v>
      </c>
      <c r="E229">
        <v>1.32</v>
      </c>
      <c r="F229">
        <v>1.27</v>
      </c>
      <c r="G229">
        <v>0.27</v>
      </c>
      <c r="H229">
        <v>0.87</v>
      </c>
      <c r="I229">
        <v>2.0299999999999998</v>
      </c>
      <c r="J229">
        <v>1.1299999999999999</v>
      </c>
      <c r="K229">
        <v>1.4</v>
      </c>
      <c r="L229" t="s">
        <v>3</v>
      </c>
      <c r="M229" t="s">
        <v>70</v>
      </c>
    </row>
    <row r="230" spans="1:13" x14ac:dyDescent="0.45">
      <c r="A230" t="s">
        <v>2</v>
      </c>
      <c r="B230" t="s">
        <v>134</v>
      </c>
      <c r="C230">
        <v>2030</v>
      </c>
      <c r="D230">
        <v>44</v>
      </c>
      <c r="E230">
        <v>1.59</v>
      </c>
      <c r="F230">
        <v>1.54</v>
      </c>
      <c r="G230">
        <v>0.38</v>
      </c>
      <c r="H230">
        <v>1.05</v>
      </c>
      <c r="I230">
        <v>2.6</v>
      </c>
      <c r="J230">
        <v>1.27</v>
      </c>
      <c r="K230">
        <v>1.73</v>
      </c>
      <c r="L230" t="s">
        <v>3</v>
      </c>
      <c r="M230" t="s">
        <v>70</v>
      </c>
    </row>
    <row r="231" spans="1:13" x14ac:dyDescent="0.45">
      <c r="A231" t="s">
        <v>2</v>
      </c>
      <c r="B231" t="s">
        <v>134</v>
      </c>
      <c r="C231">
        <v>2035</v>
      </c>
      <c r="D231">
        <v>44</v>
      </c>
      <c r="E231">
        <v>2.6</v>
      </c>
      <c r="F231">
        <v>2.2200000000000002</v>
      </c>
      <c r="G231">
        <v>2.1800000000000002</v>
      </c>
      <c r="H231">
        <v>0</v>
      </c>
      <c r="I231">
        <v>12.14</v>
      </c>
      <c r="J231">
        <v>1.7</v>
      </c>
      <c r="K231">
        <v>2.5299999999999998</v>
      </c>
      <c r="L231" t="s">
        <v>3</v>
      </c>
      <c r="M231" t="s">
        <v>70</v>
      </c>
    </row>
    <row r="232" spans="1:13" x14ac:dyDescent="0.45">
      <c r="A232" t="s">
        <v>2</v>
      </c>
      <c r="B232" t="s">
        <v>134</v>
      </c>
      <c r="C232">
        <v>2040</v>
      </c>
      <c r="D232">
        <v>44</v>
      </c>
      <c r="E232">
        <v>3.43</v>
      </c>
      <c r="F232">
        <v>2.63</v>
      </c>
      <c r="G232">
        <v>3.78</v>
      </c>
      <c r="H232">
        <v>0</v>
      </c>
      <c r="I232">
        <v>22.21</v>
      </c>
      <c r="J232">
        <v>1.87</v>
      </c>
      <c r="K232">
        <v>3.14</v>
      </c>
      <c r="L232" t="s">
        <v>3</v>
      </c>
      <c r="M232" t="s">
        <v>70</v>
      </c>
    </row>
    <row r="233" spans="1:13" x14ac:dyDescent="0.45">
      <c r="A233" t="s">
        <v>2</v>
      </c>
      <c r="B233" t="s">
        <v>134</v>
      </c>
      <c r="C233">
        <v>2045</v>
      </c>
      <c r="D233">
        <v>44</v>
      </c>
      <c r="E233">
        <v>3.5</v>
      </c>
      <c r="F233">
        <v>3.23</v>
      </c>
      <c r="G233">
        <v>2.2999999999999998</v>
      </c>
      <c r="H233">
        <v>0</v>
      </c>
      <c r="I233">
        <v>12.42</v>
      </c>
      <c r="J233">
        <v>2.3199999999999998</v>
      </c>
      <c r="K233">
        <v>3.85</v>
      </c>
      <c r="L233" t="s">
        <v>3</v>
      </c>
      <c r="M233" t="s">
        <v>70</v>
      </c>
    </row>
    <row r="234" spans="1:13" x14ac:dyDescent="0.45">
      <c r="A234" t="s">
        <v>2</v>
      </c>
      <c r="B234" t="s">
        <v>134</v>
      </c>
      <c r="C234">
        <v>2050</v>
      </c>
      <c r="D234">
        <v>44</v>
      </c>
      <c r="E234">
        <v>3.53</v>
      </c>
      <c r="F234">
        <v>3.75</v>
      </c>
      <c r="G234">
        <v>1.87</v>
      </c>
      <c r="H234">
        <v>0</v>
      </c>
      <c r="I234">
        <v>11.57</v>
      </c>
      <c r="J234">
        <v>2.5499999999999998</v>
      </c>
      <c r="K234">
        <v>4.2300000000000004</v>
      </c>
      <c r="L234" t="s">
        <v>3</v>
      </c>
      <c r="M234" t="s">
        <v>70</v>
      </c>
    </row>
    <row r="235" spans="1:13" x14ac:dyDescent="0.45">
      <c r="A235" t="s">
        <v>5</v>
      </c>
      <c r="B235" t="s">
        <v>134</v>
      </c>
      <c r="C235">
        <v>2020</v>
      </c>
      <c r="D235">
        <v>113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134</v>
      </c>
      <c r="C236">
        <v>2025</v>
      </c>
      <c r="D236">
        <v>113</v>
      </c>
      <c r="E236">
        <v>1.44</v>
      </c>
      <c r="F236">
        <v>1.31</v>
      </c>
      <c r="G236">
        <v>0.42</v>
      </c>
      <c r="H236">
        <v>0.78</v>
      </c>
      <c r="I236">
        <v>3.33</v>
      </c>
      <c r="J236">
        <v>1.18</v>
      </c>
      <c r="K236">
        <v>1.53</v>
      </c>
      <c r="L236" t="s">
        <v>6</v>
      </c>
      <c r="M236" t="s">
        <v>70</v>
      </c>
    </row>
    <row r="237" spans="1:13" x14ac:dyDescent="0.45">
      <c r="A237" t="s">
        <v>5</v>
      </c>
      <c r="B237" t="s">
        <v>134</v>
      </c>
      <c r="C237">
        <v>2030</v>
      </c>
      <c r="D237">
        <v>113</v>
      </c>
      <c r="E237">
        <v>1.8</v>
      </c>
      <c r="F237">
        <v>1.66</v>
      </c>
      <c r="G237">
        <v>0.65</v>
      </c>
      <c r="H237">
        <v>1.05</v>
      </c>
      <c r="I237">
        <v>4.8099999999999996</v>
      </c>
      <c r="J237">
        <v>1.43</v>
      </c>
      <c r="K237">
        <v>1.89</v>
      </c>
      <c r="L237" t="s">
        <v>6</v>
      </c>
      <c r="M237" t="s">
        <v>70</v>
      </c>
    </row>
    <row r="238" spans="1:13" x14ac:dyDescent="0.45">
      <c r="A238" t="s">
        <v>5</v>
      </c>
      <c r="B238" t="s">
        <v>134</v>
      </c>
      <c r="C238">
        <v>2035</v>
      </c>
      <c r="D238">
        <v>113</v>
      </c>
      <c r="E238">
        <v>2.5299999999999998</v>
      </c>
      <c r="F238">
        <v>1.99</v>
      </c>
      <c r="G238">
        <v>1.1499999999999999</v>
      </c>
      <c r="H238">
        <v>1.05</v>
      </c>
      <c r="I238">
        <v>8.35</v>
      </c>
      <c r="J238">
        <v>1.79</v>
      </c>
      <c r="K238">
        <v>2.98</v>
      </c>
      <c r="L238" t="s">
        <v>6</v>
      </c>
      <c r="M238" t="s">
        <v>70</v>
      </c>
    </row>
    <row r="239" spans="1:13" x14ac:dyDescent="0.45">
      <c r="A239" t="s">
        <v>5</v>
      </c>
      <c r="B239" t="s">
        <v>134</v>
      </c>
      <c r="C239">
        <v>2040</v>
      </c>
      <c r="D239">
        <v>113</v>
      </c>
      <c r="E239">
        <v>3.19</v>
      </c>
      <c r="F239">
        <v>2.4700000000000002</v>
      </c>
      <c r="G239">
        <v>1.71</v>
      </c>
      <c r="H239">
        <v>1.06</v>
      </c>
      <c r="I239">
        <v>11.04</v>
      </c>
      <c r="J239">
        <v>2.0099999999999998</v>
      </c>
      <c r="K239">
        <v>3.99</v>
      </c>
      <c r="L239" t="s">
        <v>6</v>
      </c>
      <c r="M239" t="s">
        <v>70</v>
      </c>
    </row>
    <row r="240" spans="1:13" x14ac:dyDescent="0.45">
      <c r="A240" t="s">
        <v>5</v>
      </c>
      <c r="B240" t="s">
        <v>134</v>
      </c>
      <c r="C240">
        <v>2045</v>
      </c>
      <c r="D240">
        <v>113</v>
      </c>
      <c r="E240">
        <v>3.73</v>
      </c>
      <c r="F240">
        <v>2.9</v>
      </c>
      <c r="G240">
        <v>1.9</v>
      </c>
      <c r="H240">
        <v>1.08</v>
      </c>
      <c r="I240">
        <v>10.44</v>
      </c>
      <c r="J240">
        <v>2.37</v>
      </c>
      <c r="K240">
        <v>4.8</v>
      </c>
      <c r="L240" t="s">
        <v>6</v>
      </c>
      <c r="M240" t="s">
        <v>70</v>
      </c>
    </row>
    <row r="241" spans="1:13" x14ac:dyDescent="0.45">
      <c r="A241" t="s">
        <v>5</v>
      </c>
      <c r="B241" t="s">
        <v>134</v>
      </c>
      <c r="C241">
        <v>2050</v>
      </c>
      <c r="D241">
        <v>113</v>
      </c>
      <c r="E241">
        <v>4.17</v>
      </c>
      <c r="F241">
        <v>3.42</v>
      </c>
      <c r="G241">
        <v>2.1800000000000002</v>
      </c>
      <c r="H241">
        <v>1.1100000000000001</v>
      </c>
      <c r="I241">
        <v>12.05</v>
      </c>
      <c r="J241">
        <v>2.5499999999999998</v>
      </c>
      <c r="K241">
        <v>5.38</v>
      </c>
      <c r="L241" t="s">
        <v>6</v>
      </c>
      <c r="M241" t="s">
        <v>70</v>
      </c>
    </row>
    <row r="242" spans="1:13" x14ac:dyDescent="0.45">
      <c r="A242" t="s">
        <v>7</v>
      </c>
      <c r="B242" t="s">
        <v>134</v>
      </c>
      <c r="C242">
        <v>2020</v>
      </c>
      <c r="D242">
        <v>30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134</v>
      </c>
      <c r="C243">
        <v>2025</v>
      </c>
      <c r="D243">
        <v>30</v>
      </c>
      <c r="E243">
        <v>1.32</v>
      </c>
      <c r="F243">
        <v>1.25</v>
      </c>
      <c r="G243">
        <v>0.24</v>
      </c>
      <c r="H243">
        <v>1.02</v>
      </c>
      <c r="I243">
        <v>1.89</v>
      </c>
      <c r="J243">
        <v>1.1200000000000001</v>
      </c>
      <c r="K243">
        <v>1.4</v>
      </c>
      <c r="L243" t="s">
        <v>8</v>
      </c>
      <c r="M243" t="s">
        <v>70</v>
      </c>
    </row>
    <row r="244" spans="1:13" x14ac:dyDescent="0.45">
      <c r="A244" t="s">
        <v>7</v>
      </c>
      <c r="B244" t="s">
        <v>134</v>
      </c>
      <c r="C244">
        <v>2030</v>
      </c>
      <c r="D244">
        <v>30</v>
      </c>
      <c r="E244">
        <v>1.63</v>
      </c>
      <c r="F244">
        <v>1.55</v>
      </c>
      <c r="G244">
        <v>0.4</v>
      </c>
      <c r="H244">
        <v>1.01</v>
      </c>
      <c r="I244">
        <v>2.5</v>
      </c>
      <c r="J244">
        <v>1.26</v>
      </c>
      <c r="K244">
        <v>1.95</v>
      </c>
      <c r="L244" t="s">
        <v>8</v>
      </c>
      <c r="M244" t="s">
        <v>70</v>
      </c>
    </row>
    <row r="245" spans="1:13" x14ac:dyDescent="0.45">
      <c r="A245" t="s">
        <v>7</v>
      </c>
      <c r="B245" t="s">
        <v>134</v>
      </c>
      <c r="C245">
        <v>2035</v>
      </c>
      <c r="D245">
        <v>30</v>
      </c>
      <c r="E245">
        <v>2.2000000000000002</v>
      </c>
      <c r="F245">
        <v>2.27</v>
      </c>
      <c r="G245">
        <v>0.6</v>
      </c>
      <c r="H245">
        <v>0.84</v>
      </c>
      <c r="I245">
        <v>3.25</v>
      </c>
      <c r="J245">
        <v>1.58</v>
      </c>
      <c r="K245">
        <v>2.59</v>
      </c>
      <c r="L245" t="s">
        <v>8</v>
      </c>
      <c r="M245" t="s">
        <v>70</v>
      </c>
    </row>
    <row r="246" spans="1:13" x14ac:dyDescent="0.45">
      <c r="A246" t="s">
        <v>7</v>
      </c>
      <c r="B246" t="s">
        <v>134</v>
      </c>
      <c r="C246">
        <v>2040</v>
      </c>
      <c r="D246">
        <v>30</v>
      </c>
      <c r="E246">
        <v>2.73</v>
      </c>
      <c r="F246">
        <v>2.87</v>
      </c>
      <c r="G246">
        <v>0.89</v>
      </c>
      <c r="H246">
        <v>0.95</v>
      </c>
      <c r="I246">
        <v>5.05</v>
      </c>
      <c r="J246">
        <v>1.77</v>
      </c>
      <c r="K246">
        <v>3.26</v>
      </c>
      <c r="L246" t="s">
        <v>8</v>
      </c>
      <c r="M246" t="s">
        <v>70</v>
      </c>
    </row>
    <row r="247" spans="1:13" x14ac:dyDescent="0.45">
      <c r="A247" t="s">
        <v>7</v>
      </c>
      <c r="B247" t="s">
        <v>134</v>
      </c>
      <c r="C247">
        <v>2045</v>
      </c>
      <c r="D247">
        <v>30</v>
      </c>
      <c r="E247">
        <v>3.11</v>
      </c>
      <c r="F247">
        <v>3.27</v>
      </c>
      <c r="G247">
        <v>1.07</v>
      </c>
      <c r="H247">
        <v>0.93</v>
      </c>
      <c r="I247">
        <v>5.94</v>
      </c>
      <c r="J247">
        <v>1.95</v>
      </c>
      <c r="K247">
        <v>3.76</v>
      </c>
      <c r="L247" t="s">
        <v>8</v>
      </c>
      <c r="M247" t="s">
        <v>70</v>
      </c>
    </row>
    <row r="248" spans="1:13" x14ac:dyDescent="0.45">
      <c r="A248" t="s">
        <v>7</v>
      </c>
      <c r="B248" t="s">
        <v>134</v>
      </c>
      <c r="C248">
        <v>2050</v>
      </c>
      <c r="D248">
        <v>30</v>
      </c>
      <c r="E248">
        <v>3.3</v>
      </c>
      <c r="F248">
        <v>3.49</v>
      </c>
      <c r="G248">
        <v>1.08</v>
      </c>
      <c r="H248">
        <v>0.92</v>
      </c>
      <c r="I248">
        <v>5.16</v>
      </c>
      <c r="J248">
        <v>2.12</v>
      </c>
      <c r="K248">
        <v>3.99</v>
      </c>
      <c r="L248" t="s">
        <v>8</v>
      </c>
      <c r="M248" t="s">
        <v>70</v>
      </c>
    </row>
    <row r="249" spans="1:13" x14ac:dyDescent="0.45">
      <c r="A249" t="s">
        <v>9</v>
      </c>
      <c r="B249" t="s">
        <v>134</v>
      </c>
      <c r="C249">
        <v>2020</v>
      </c>
      <c r="D249">
        <v>45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134</v>
      </c>
      <c r="C250">
        <v>2025</v>
      </c>
      <c r="D250">
        <v>45</v>
      </c>
      <c r="E250">
        <v>1.06</v>
      </c>
      <c r="F250">
        <v>1.08</v>
      </c>
      <c r="G250">
        <v>0.19</v>
      </c>
      <c r="H250">
        <v>0</v>
      </c>
      <c r="I250">
        <v>1.4</v>
      </c>
      <c r="J250">
        <v>1.05</v>
      </c>
      <c r="K250">
        <v>1.1100000000000001</v>
      </c>
      <c r="L250" t="s">
        <v>10</v>
      </c>
      <c r="M250" t="s">
        <v>70</v>
      </c>
    </row>
    <row r="251" spans="1:13" x14ac:dyDescent="0.45">
      <c r="A251" t="s">
        <v>9</v>
      </c>
      <c r="B251" t="s">
        <v>134</v>
      </c>
      <c r="C251">
        <v>2030</v>
      </c>
      <c r="D251">
        <v>45</v>
      </c>
      <c r="E251">
        <v>1.22</v>
      </c>
      <c r="F251">
        <v>1.29</v>
      </c>
      <c r="G251">
        <v>0.24</v>
      </c>
      <c r="H251">
        <v>0</v>
      </c>
      <c r="I251">
        <v>1.69</v>
      </c>
      <c r="J251">
        <v>1.1000000000000001</v>
      </c>
      <c r="K251">
        <v>1.34</v>
      </c>
      <c r="L251" t="s">
        <v>10</v>
      </c>
      <c r="M251" t="s">
        <v>70</v>
      </c>
    </row>
    <row r="252" spans="1:13" x14ac:dyDescent="0.45">
      <c r="A252" t="s">
        <v>9</v>
      </c>
      <c r="B252" t="s">
        <v>134</v>
      </c>
      <c r="C252">
        <v>2035</v>
      </c>
      <c r="D252">
        <v>45</v>
      </c>
      <c r="E252">
        <v>1.28</v>
      </c>
      <c r="F252">
        <v>1.28</v>
      </c>
      <c r="G252">
        <v>0.35</v>
      </c>
      <c r="H252">
        <v>0</v>
      </c>
      <c r="I252">
        <v>2.8</v>
      </c>
      <c r="J252">
        <v>1.1299999999999999</v>
      </c>
      <c r="K252">
        <v>1.32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134</v>
      </c>
      <c r="C253">
        <v>2040</v>
      </c>
      <c r="D253">
        <v>45</v>
      </c>
      <c r="E253">
        <v>1.39</v>
      </c>
      <c r="F253">
        <v>1.4</v>
      </c>
      <c r="G253">
        <v>0.42</v>
      </c>
      <c r="H253">
        <v>0</v>
      </c>
      <c r="I253">
        <v>3.36</v>
      </c>
      <c r="J253">
        <v>1.21</v>
      </c>
      <c r="K253">
        <v>1.46</v>
      </c>
      <c r="L253" t="s">
        <v>10</v>
      </c>
      <c r="M253" t="s">
        <v>70</v>
      </c>
    </row>
    <row r="254" spans="1:13" x14ac:dyDescent="0.45">
      <c r="A254" t="s">
        <v>9</v>
      </c>
      <c r="B254" t="s">
        <v>134</v>
      </c>
      <c r="C254">
        <v>2045</v>
      </c>
      <c r="D254">
        <v>45</v>
      </c>
      <c r="E254">
        <v>1.47</v>
      </c>
      <c r="F254">
        <v>1.48</v>
      </c>
      <c r="G254">
        <v>0.48</v>
      </c>
      <c r="H254">
        <v>0</v>
      </c>
      <c r="I254">
        <v>3.81</v>
      </c>
      <c r="J254">
        <v>1.21</v>
      </c>
      <c r="K254">
        <v>1.54</v>
      </c>
      <c r="L254" t="s">
        <v>10</v>
      </c>
      <c r="M254" t="s">
        <v>70</v>
      </c>
    </row>
    <row r="255" spans="1:13" x14ac:dyDescent="0.45">
      <c r="A255" t="s">
        <v>9</v>
      </c>
      <c r="B255" t="s">
        <v>134</v>
      </c>
      <c r="C255">
        <v>2050</v>
      </c>
      <c r="D255">
        <v>45</v>
      </c>
      <c r="E255">
        <v>1.55</v>
      </c>
      <c r="F255">
        <v>1.53</v>
      </c>
      <c r="G255">
        <v>0.55000000000000004</v>
      </c>
      <c r="H255">
        <v>0</v>
      </c>
      <c r="I255">
        <v>4.29</v>
      </c>
      <c r="J255">
        <v>1.27</v>
      </c>
      <c r="K255">
        <v>1.61</v>
      </c>
      <c r="L255" t="s">
        <v>10</v>
      </c>
      <c r="M255" t="s">
        <v>70</v>
      </c>
    </row>
    <row r="256" spans="1:13" x14ac:dyDescent="0.45">
      <c r="A256" t="s">
        <v>0</v>
      </c>
      <c r="B256" t="s">
        <v>134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134</v>
      </c>
      <c r="C257">
        <v>2025</v>
      </c>
      <c r="D257">
        <v>50</v>
      </c>
      <c r="E257">
        <v>1.73</v>
      </c>
      <c r="F257">
        <v>1.62</v>
      </c>
      <c r="G257">
        <v>0.63</v>
      </c>
      <c r="H257">
        <v>0.95</v>
      </c>
      <c r="I257">
        <v>4.41</v>
      </c>
      <c r="J257">
        <v>1.3</v>
      </c>
      <c r="K257">
        <v>1.93</v>
      </c>
      <c r="L257" t="s">
        <v>1</v>
      </c>
      <c r="M257" t="s">
        <v>71</v>
      </c>
    </row>
    <row r="258" spans="1:13" x14ac:dyDescent="0.45">
      <c r="A258" t="s">
        <v>0</v>
      </c>
      <c r="B258" t="s">
        <v>134</v>
      </c>
      <c r="C258">
        <v>2030</v>
      </c>
      <c r="D258">
        <v>50</v>
      </c>
      <c r="E258">
        <v>2.5299999999999998</v>
      </c>
      <c r="F258">
        <v>2.5099999999999998</v>
      </c>
      <c r="G258">
        <v>1.33</v>
      </c>
      <c r="H258">
        <v>-1.32</v>
      </c>
      <c r="I258">
        <v>6.74</v>
      </c>
      <c r="J258">
        <v>1.9</v>
      </c>
      <c r="K258">
        <v>3.24</v>
      </c>
      <c r="L258" t="s">
        <v>1</v>
      </c>
      <c r="M258" t="s">
        <v>71</v>
      </c>
    </row>
    <row r="259" spans="1:13" x14ac:dyDescent="0.45">
      <c r="A259" t="s">
        <v>0</v>
      </c>
      <c r="B259" t="s">
        <v>134</v>
      </c>
      <c r="C259">
        <v>2035</v>
      </c>
      <c r="D259">
        <v>50</v>
      </c>
      <c r="E259">
        <v>3.01</v>
      </c>
      <c r="F259">
        <v>2.86</v>
      </c>
      <c r="G259">
        <v>1.59</v>
      </c>
      <c r="H259">
        <v>0</v>
      </c>
      <c r="I259">
        <v>7.28</v>
      </c>
      <c r="J259">
        <v>1.98</v>
      </c>
      <c r="K259">
        <v>3.44</v>
      </c>
      <c r="L259" t="s">
        <v>1</v>
      </c>
      <c r="M259" t="s">
        <v>71</v>
      </c>
    </row>
    <row r="260" spans="1:13" x14ac:dyDescent="0.45">
      <c r="A260" t="s">
        <v>0</v>
      </c>
      <c r="B260" t="s">
        <v>134</v>
      </c>
      <c r="C260">
        <v>2040</v>
      </c>
      <c r="D260">
        <v>50</v>
      </c>
      <c r="E260">
        <v>3.8</v>
      </c>
      <c r="F260">
        <v>3.37</v>
      </c>
      <c r="G260">
        <v>1.99</v>
      </c>
      <c r="H260">
        <v>0</v>
      </c>
      <c r="I260">
        <v>8.7200000000000006</v>
      </c>
      <c r="J260">
        <v>2.76</v>
      </c>
      <c r="K260">
        <v>4.33</v>
      </c>
      <c r="L260" t="s">
        <v>1</v>
      </c>
      <c r="M260" t="s">
        <v>71</v>
      </c>
    </row>
    <row r="261" spans="1:13" x14ac:dyDescent="0.45">
      <c r="A261" t="s">
        <v>0</v>
      </c>
      <c r="B261" t="s">
        <v>134</v>
      </c>
      <c r="C261">
        <v>2045</v>
      </c>
      <c r="D261">
        <v>50</v>
      </c>
      <c r="E261">
        <v>4.3899999999999997</v>
      </c>
      <c r="F261">
        <v>4.05</v>
      </c>
      <c r="G261">
        <v>2.66</v>
      </c>
      <c r="H261">
        <v>-0.08</v>
      </c>
      <c r="I261">
        <v>9.31</v>
      </c>
      <c r="J261">
        <v>3.37</v>
      </c>
      <c r="K261">
        <v>5.04</v>
      </c>
      <c r="L261" t="s">
        <v>1</v>
      </c>
      <c r="M261" t="s">
        <v>71</v>
      </c>
    </row>
    <row r="262" spans="1:13" x14ac:dyDescent="0.45">
      <c r="A262" t="s">
        <v>0</v>
      </c>
      <c r="B262" t="s">
        <v>134</v>
      </c>
      <c r="C262">
        <v>2050</v>
      </c>
      <c r="D262">
        <v>50</v>
      </c>
      <c r="E262">
        <v>4.87</v>
      </c>
      <c r="F262">
        <v>4.78</v>
      </c>
      <c r="G262">
        <v>3.11</v>
      </c>
      <c r="H262">
        <v>-0.42</v>
      </c>
      <c r="I262">
        <v>10.3</v>
      </c>
      <c r="J262">
        <v>3.61</v>
      </c>
      <c r="K262">
        <v>6.35</v>
      </c>
      <c r="L262" t="s">
        <v>1</v>
      </c>
      <c r="M262" t="s">
        <v>71</v>
      </c>
    </row>
    <row r="263" spans="1:13" x14ac:dyDescent="0.45">
      <c r="A263" t="s">
        <v>2</v>
      </c>
      <c r="B263" t="s">
        <v>134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134</v>
      </c>
      <c r="C264">
        <v>2025</v>
      </c>
      <c r="D264">
        <v>52</v>
      </c>
      <c r="E264">
        <v>1.32</v>
      </c>
      <c r="F264">
        <v>1.27</v>
      </c>
      <c r="G264">
        <v>0.28999999999999998</v>
      </c>
      <c r="H264">
        <v>0.85</v>
      </c>
      <c r="I264">
        <v>1.84</v>
      </c>
      <c r="J264">
        <v>1.08</v>
      </c>
      <c r="K264">
        <v>1.62</v>
      </c>
      <c r="L264" t="s">
        <v>3</v>
      </c>
      <c r="M264" t="s">
        <v>71</v>
      </c>
    </row>
    <row r="265" spans="1:13" x14ac:dyDescent="0.45">
      <c r="A265" t="s">
        <v>2</v>
      </c>
      <c r="B265" t="s">
        <v>134</v>
      </c>
      <c r="C265">
        <v>2030</v>
      </c>
      <c r="D265">
        <v>63</v>
      </c>
      <c r="E265">
        <v>1.88</v>
      </c>
      <c r="F265">
        <v>1.37</v>
      </c>
      <c r="G265">
        <v>1.33</v>
      </c>
      <c r="H265">
        <v>0.77</v>
      </c>
      <c r="I265">
        <v>7.32</v>
      </c>
      <c r="J265">
        <v>1.0900000000000001</v>
      </c>
      <c r="K265">
        <v>2.14</v>
      </c>
      <c r="L265" t="s">
        <v>3</v>
      </c>
      <c r="M265" t="s">
        <v>71</v>
      </c>
    </row>
    <row r="266" spans="1:13" x14ac:dyDescent="0.45">
      <c r="A266" t="s">
        <v>2</v>
      </c>
      <c r="B266" t="s">
        <v>134</v>
      </c>
      <c r="C266">
        <v>2035</v>
      </c>
      <c r="D266">
        <v>52</v>
      </c>
      <c r="E266">
        <v>2.69</v>
      </c>
      <c r="F266">
        <v>1.94</v>
      </c>
      <c r="G266">
        <v>3.26</v>
      </c>
      <c r="H266">
        <v>0.72</v>
      </c>
      <c r="I266">
        <v>19.32</v>
      </c>
      <c r="J266">
        <v>1.25</v>
      </c>
      <c r="K266">
        <v>2.8</v>
      </c>
      <c r="L266" t="s">
        <v>3</v>
      </c>
      <c r="M266" t="s">
        <v>71</v>
      </c>
    </row>
    <row r="267" spans="1:13" x14ac:dyDescent="0.45">
      <c r="A267" t="s">
        <v>2</v>
      </c>
      <c r="B267" t="s">
        <v>134</v>
      </c>
      <c r="C267">
        <v>2040</v>
      </c>
      <c r="D267">
        <v>63</v>
      </c>
      <c r="E267">
        <v>3.43</v>
      </c>
      <c r="F267">
        <v>2.3199999999999998</v>
      </c>
      <c r="G267">
        <v>3.61</v>
      </c>
      <c r="H267">
        <v>0.17</v>
      </c>
      <c r="I267">
        <v>20.37</v>
      </c>
      <c r="J267">
        <v>1.47</v>
      </c>
      <c r="K267">
        <v>3.32</v>
      </c>
      <c r="L267" t="s">
        <v>3</v>
      </c>
      <c r="M267" t="s">
        <v>71</v>
      </c>
    </row>
    <row r="268" spans="1:13" x14ac:dyDescent="0.45">
      <c r="A268" t="s">
        <v>2</v>
      </c>
      <c r="B268" t="s">
        <v>134</v>
      </c>
      <c r="C268">
        <v>2045</v>
      </c>
      <c r="D268">
        <v>52</v>
      </c>
      <c r="E268">
        <v>2.75</v>
      </c>
      <c r="F268">
        <v>2.2599999999999998</v>
      </c>
      <c r="G268">
        <v>1.85</v>
      </c>
      <c r="H268">
        <v>0</v>
      </c>
      <c r="I268">
        <v>9.33</v>
      </c>
      <c r="J268">
        <v>1.44</v>
      </c>
      <c r="K268">
        <v>3.74</v>
      </c>
      <c r="L268" t="s">
        <v>3</v>
      </c>
      <c r="M268" t="s">
        <v>71</v>
      </c>
    </row>
    <row r="269" spans="1:13" x14ac:dyDescent="0.45">
      <c r="A269" t="s">
        <v>2</v>
      </c>
      <c r="B269" t="s">
        <v>134</v>
      </c>
      <c r="C269">
        <v>2050</v>
      </c>
      <c r="D269">
        <v>63</v>
      </c>
      <c r="E269">
        <v>3.07</v>
      </c>
      <c r="F269">
        <v>1.81</v>
      </c>
      <c r="G269">
        <v>3.48</v>
      </c>
      <c r="H269">
        <v>-0.55000000000000004</v>
      </c>
      <c r="I269">
        <v>16.579999999999998</v>
      </c>
      <c r="J269">
        <v>1.0900000000000001</v>
      </c>
      <c r="K269">
        <v>4.1900000000000004</v>
      </c>
      <c r="L269" t="s">
        <v>3</v>
      </c>
      <c r="M269" t="s">
        <v>71</v>
      </c>
    </row>
    <row r="270" spans="1:13" x14ac:dyDescent="0.45">
      <c r="A270" t="s">
        <v>5</v>
      </c>
      <c r="B270" t="s">
        <v>134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134</v>
      </c>
      <c r="C271">
        <v>2025</v>
      </c>
      <c r="D271">
        <v>160</v>
      </c>
      <c r="E271">
        <v>1.37</v>
      </c>
      <c r="F271">
        <v>1.32</v>
      </c>
      <c r="G271">
        <v>0.26</v>
      </c>
      <c r="H271">
        <v>0.82</v>
      </c>
      <c r="I271">
        <v>2.75</v>
      </c>
      <c r="J271">
        <v>1.17</v>
      </c>
      <c r="K271">
        <v>1.56</v>
      </c>
      <c r="L271" t="s">
        <v>6</v>
      </c>
      <c r="M271" t="s">
        <v>71</v>
      </c>
    </row>
    <row r="272" spans="1:13" x14ac:dyDescent="0.45">
      <c r="A272" t="s">
        <v>5</v>
      </c>
      <c r="B272" t="s">
        <v>134</v>
      </c>
      <c r="C272">
        <v>2030</v>
      </c>
      <c r="D272">
        <v>163</v>
      </c>
      <c r="E272">
        <v>1.63</v>
      </c>
      <c r="F272">
        <v>1.47</v>
      </c>
      <c r="G272">
        <v>0.49</v>
      </c>
      <c r="H272">
        <v>0.86</v>
      </c>
      <c r="I272">
        <v>2.78</v>
      </c>
      <c r="J272">
        <v>1.24</v>
      </c>
      <c r="K272">
        <v>2.0099999999999998</v>
      </c>
      <c r="L272" t="s">
        <v>6</v>
      </c>
      <c r="M272" t="s">
        <v>71</v>
      </c>
    </row>
    <row r="273" spans="1:13" x14ac:dyDescent="0.45">
      <c r="A273" t="s">
        <v>5</v>
      </c>
      <c r="B273" t="s">
        <v>134</v>
      </c>
      <c r="C273">
        <v>2035</v>
      </c>
      <c r="D273">
        <v>160</v>
      </c>
      <c r="E273">
        <v>1.97</v>
      </c>
      <c r="F273">
        <v>1.96</v>
      </c>
      <c r="G273">
        <v>0.79</v>
      </c>
      <c r="H273">
        <v>0.9</v>
      </c>
      <c r="I273">
        <v>8.0399999999999991</v>
      </c>
      <c r="J273">
        <v>1.46</v>
      </c>
      <c r="K273">
        <v>2.2799999999999998</v>
      </c>
      <c r="L273" t="s">
        <v>6</v>
      </c>
      <c r="M273" t="s">
        <v>71</v>
      </c>
    </row>
    <row r="274" spans="1:13" x14ac:dyDescent="0.45">
      <c r="A274" t="s">
        <v>5</v>
      </c>
      <c r="B274" t="s">
        <v>134</v>
      </c>
      <c r="C274">
        <v>2040</v>
      </c>
      <c r="D274">
        <v>163</v>
      </c>
      <c r="E274">
        <v>2.25</v>
      </c>
      <c r="F274">
        <v>2.2999999999999998</v>
      </c>
      <c r="G274">
        <v>0.93</v>
      </c>
      <c r="H274">
        <v>0.92</v>
      </c>
      <c r="I274">
        <v>9.41</v>
      </c>
      <c r="J274">
        <v>1.61</v>
      </c>
      <c r="K274">
        <v>2.66</v>
      </c>
      <c r="L274" t="s">
        <v>6</v>
      </c>
      <c r="M274" t="s">
        <v>71</v>
      </c>
    </row>
    <row r="275" spans="1:13" x14ac:dyDescent="0.45">
      <c r="A275" t="s">
        <v>5</v>
      </c>
      <c r="B275" t="s">
        <v>134</v>
      </c>
      <c r="C275">
        <v>2045</v>
      </c>
      <c r="D275">
        <v>160</v>
      </c>
      <c r="E275">
        <v>2.66</v>
      </c>
      <c r="F275">
        <v>2.76</v>
      </c>
      <c r="G275">
        <v>1.02</v>
      </c>
      <c r="H275">
        <v>0.25</v>
      </c>
      <c r="I275">
        <v>6.72</v>
      </c>
      <c r="J275">
        <v>1.82</v>
      </c>
      <c r="K275">
        <v>3.21</v>
      </c>
      <c r="L275" t="s">
        <v>6</v>
      </c>
      <c r="M275" t="s">
        <v>71</v>
      </c>
    </row>
    <row r="276" spans="1:13" x14ac:dyDescent="0.45">
      <c r="A276" t="s">
        <v>5</v>
      </c>
      <c r="B276" t="s">
        <v>134</v>
      </c>
      <c r="C276">
        <v>2050</v>
      </c>
      <c r="D276">
        <v>163</v>
      </c>
      <c r="E276">
        <v>2.82</v>
      </c>
      <c r="F276">
        <v>2.94</v>
      </c>
      <c r="G276">
        <v>1.27</v>
      </c>
      <c r="H276">
        <v>0.05</v>
      </c>
      <c r="I276">
        <v>5.95</v>
      </c>
      <c r="J276">
        <v>1.76</v>
      </c>
      <c r="K276">
        <v>3.66</v>
      </c>
      <c r="L276" t="s">
        <v>6</v>
      </c>
      <c r="M276" t="s">
        <v>71</v>
      </c>
    </row>
    <row r="277" spans="1:13" x14ac:dyDescent="0.45">
      <c r="A277" t="s">
        <v>7</v>
      </c>
      <c r="B277" t="s">
        <v>134</v>
      </c>
      <c r="C277">
        <v>2020</v>
      </c>
      <c r="D277">
        <v>53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134</v>
      </c>
      <c r="C278">
        <v>2025</v>
      </c>
      <c r="D278">
        <v>53</v>
      </c>
      <c r="E278">
        <v>1.23</v>
      </c>
      <c r="F278">
        <v>1.2</v>
      </c>
      <c r="G278">
        <v>0.11</v>
      </c>
      <c r="H278">
        <v>1.01</v>
      </c>
      <c r="I278">
        <v>1.64</v>
      </c>
      <c r="J278">
        <v>1.17</v>
      </c>
      <c r="K278">
        <v>1.28</v>
      </c>
      <c r="L278" t="s">
        <v>8</v>
      </c>
      <c r="M278" t="s">
        <v>71</v>
      </c>
    </row>
    <row r="279" spans="1:13" x14ac:dyDescent="0.45">
      <c r="A279" t="s">
        <v>7</v>
      </c>
      <c r="B279" t="s">
        <v>134</v>
      </c>
      <c r="C279">
        <v>2030</v>
      </c>
      <c r="D279">
        <v>53</v>
      </c>
      <c r="E279">
        <v>1.31</v>
      </c>
      <c r="F279">
        <v>1.24</v>
      </c>
      <c r="G279">
        <v>0.21</v>
      </c>
      <c r="H279">
        <v>1</v>
      </c>
      <c r="I279">
        <v>2.11</v>
      </c>
      <c r="J279">
        <v>1.1200000000000001</v>
      </c>
      <c r="K279">
        <v>1.4</v>
      </c>
      <c r="L279" t="s">
        <v>8</v>
      </c>
      <c r="M279" t="s">
        <v>71</v>
      </c>
    </row>
    <row r="280" spans="1:13" x14ac:dyDescent="0.45">
      <c r="A280" t="s">
        <v>7</v>
      </c>
      <c r="B280" t="s">
        <v>134</v>
      </c>
      <c r="C280">
        <v>2035</v>
      </c>
      <c r="D280">
        <v>53</v>
      </c>
      <c r="E280">
        <v>1.47</v>
      </c>
      <c r="F280">
        <v>1.47</v>
      </c>
      <c r="G280">
        <v>0.22</v>
      </c>
      <c r="H280">
        <v>1.01</v>
      </c>
      <c r="I280">
        <v>1.95</v>
      </c>
      <c r="J280">
        <v>1.25</v>
      </c>
      <c r="K280">
        <v>1.6</v>
      </c>
      <c r="L280" t="s">
        <v>8</v>
      </c>
      <c r="M280" t="s">
        <v>71</v>
      </c>
    </row>
    <row r="281" spans="1:13" x14ac:dyDescent="0.45">
      <c r="A281" t="s">
        <v>7</v>
      </c>
      <c r="B281" t="s">
        <v>134</v>
      </c>
      <c r="C281">
        <v>2040</v>
      </c>
      <c r="D281">
        <v>53</v>
      </c>
      <c r="E281">
        <v>1.63</v>
      </c>
      <c r="F281">
        <v>1.52</v>
      </c>
      <c r="G281">
        <v>0.35</v>
      </c>
      <c r="H281">
        <v>1</v>
      </c>
      <c r="I281">
        <v>2.58</v>
      </c>
      <c r="J281">
        <v>1.33</v>
      </c>
      <c r="K281">
        <v>1.92</v>
      </c>
      <c r="L281" t="s">
        <v>8</v>
      </c>
      <c r="M281" t="s">
        <v>71</v>
      </c>
    </row>
    <row r="282" spans="1:13" x14ac:dyDescent="0.45">
      <c r="A282" t="s">
        <v>7</v>
      </c>
      <c r="B282" t="s">
        <v>134</v>
      </c>
      <c r="C282">
        <v>2045</v>
      </c>
      <c r="D282">
        <v>53</v>
      </c>
      <c r="E282">
        <v>1.86</v>
      </c>
      <c r="F282">
        <v>1.76</v>
      </c>
      <c r="G282">
        <v>0.4</v>
      </c>
      <c r="H282">
        <v>0.99</v>
      </c>
      <c r="I282">
        <v>2.9</v>
      </c>
      <c r="J282">
        <v>1.64</v>
      </c>
      <c r="K282">
        <v>2.13</v>
      </c>
      <c r="L282" t="s">
        <v>8</v>
      </c>
      <c r="M282" t="s">
        <v>71</v>
      </c>
    </row>
    <row r="283" spans="1:13" x14ac:dyDescent="0.45">
      <c r="A283" t="s">
        <v>7</v>
      </c>
      <c r="B283" t="s">
        <v>134</v>
      </c>
      <c r="C283">
        <v>2050</v>
      </c>
      <c r="D283">
        <v>53</v>
      </c>
      <c r="E283">
        <v>1.94</v>
      </c>
      <c r="F283">
        <v>1.79</v>
      </c>
      <c r="G283">
        <v>0.51</v>
      </c>
      <c r="H283">
        <v>0.92</v>
      </c>
      <c r="I283">
        <v>3.17</v>
      </c>
      <c r="J283">
        <v>1.55</v>
      </c>
      <c r="K283">
        <v>2.36</v>
      </c>
      <c r="L283" t="s">
        <v>8</v>
      </c>
      <c r="M283" t="s">
        <v>71</v>
      </c>
    </row>
    <row r="284" spans="1:13" x14ac:dyDescent="0.45">
      <c r="A284" t="s">
        <v>9</v>
      </c>
      <c r="B284" t="s">
        <v>134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134</v>
      </c>
      <c r="C285">
        <v>2025</v>
      </c>
      <c r="D285">
        <v>40</v>
      </c>
      <c r="E285">
        <v>1.19</v>
      </c>
      <c r="F285">
        <v>1.17</v>
      </c>
      <c r="G285">
        <v>0.17</v>
      </c>
      <c r="H285">
        <v>0.78</v>
      </c>
      <c r="I285">
        <v>1.47</v>
      </c>
      <c r="J285">
        <v>1.07</v>
      </c>
      <c r="K285">
        <v>1.34</v>
      </c>
      <c r="L285" t="s">
        <v>10</v>
      </c>
      <c r="M285" t="s">
        <v>71</v>
      </c>
    </row>
    <row r="286" spans="1:13" x14ac:dyDescent="0.45">
      <c r="A286" t="s">
        <v>9</v>
      </c>
      <c r="B286" t="s">
        <v>134</v>
      </c>
      <c r="C286">
        <v>2030</v>
      </c>
      <c r="D286">
        <v>40</v>
      </c>
      <c r="E286">
        <v>1.4</v>
      </c>
      <c r="F286">
        <v>1.34</v>
      </c>
      <c r="G286">
        <v>0.32</v>
      </c>
      <c r="H286">
        <v>1</v>
      </c>
      <c r="I286">
        <v>2.29</v>
      </c>
      <c r="J286">
        <v>1.1299999999999999</v>
      </c>
      <c r="K286">
        <v>1.7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134</v>
      </c>
      <c r="C287">
        <v>2035</v>
      </c>
      <c r="D287">
        <v>40</v>
      </c>
      <c r="E287">
        <v>1.34</v>
      </c>
      <c r="F287">
        <v>1.33</v>
      </c>
      <c r="G287">
        <v>0.22</v>
      </c>
      <c r="H287">
        <v>0.99</v>
      </c>
      <c r="I287">
        <v>1.72</v>
      </c>
      <c r="J287">
        <v>1.17</v>
      </c>
      <c r="K287">
        <v>1.52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134</v>
      </c>
      <c r="C288">
        <v>2040</v>
      </c>
      <c r="D288">
        <v>40</v>
      </c>
      <c r="E288">
        <v>1.47</v>
      </c>
      <c r="F288">
        <v>1.44</v>
      </c>
      <c r="G288">
        <v>0.31</v>
      </c>
      <c r="H288">
        <v>0.97</v>
      </c>
      <c r="I288">
        <v>2.23</v>
      </c>
      <c r="J288">
        <v>1.23</v>
      </c>
      <c r="K288">
        <v>1.68</v>
      </c>
      <c r="L288" t="s">
        <v>10</v>
      </c>
      <c r="M288" t="s">
        <v>71</v>
      </c>
    </row>
    <row r="289" spans="1:13" x14ac:dyDescent="0.45">
      <c r="A289" t="s">
        <v>9</v>
      </c>
      <c r="B289" t="s">
        <v>134</v>
      </c>
      <c r="C289">
        <v>2045</v>
      </c>
      <c r="D289">
        <v>40</v>
      </c>
      <c r="E289">
        <v>1.61</v>
      </c>
      <c r="F289">
        <v>1.63</v>
      </c>
      <c r="G289">
        <v>0.43</v>
      </c>
      <c r="H289">
        <v>0.96</v>
      </c>
      <c r="I289">
        <v>2.4700000000000002</v>
      </c>
      <c r="J289">
        <v>1.24</v>
      </c>
      <c r="K289">
        <v>2.0099999999999998</v>
      </c>
      <c r="L289" t="s">
        <v>10</v>
      </c>
      <c r="M289" t="s">
        <v>71</v>
      </c>
    </row>
    <row r="290" spans="1:13" x14ac:dyDescent="0.45">
      <c r="A290" t="s">
        <v>9</v>
      </c>
      <c r="B290" t="s">
        <v>134</v>
      </c>
      <c r="C290">
        <v>2050</v>
      </c>
      <c r="D290">
        <v>40</v>
      </c>
      <c r="E290">
        <v>1.79</v>
      </c>
      <c r="F290">
        <v>1.89</v>
      </c>
      <c r="G290">
        <v>0.51</v>
      </c>
      <c r="H290">
        <v>0.98</v>
      </c>
      <c r="I290">
        <v>2.96</v>
      </c>
      <c r="J290">
        <v>1.4</v>
      </c>
      <c r="K290">
        <v>2.2400000000000002</v>
      </c>
      <c r="L290" t="s">
        <v>10</v>
      </c>
      <c r="M290" t="s">
        <v>71</v>
      </c>
    </row>
    <row r="291" spans="1:13" x14ac:dyDescent="0.45">
      <c r="A291" t="s">
        <v>0</v>
      </c>
      <c r="B291" t="s">
        <v>134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134</v>
      </c>
      <c r="C292">
        <v>2025</v>
      </c>
      <c r="D292">
        <v>20</v>
      </c>
      <c r="E292">
        <v>3.95</v>
      </c>
      <c r="F292">
        <v>3.39</v>
      </c>
      <c r="G292">
        <v>2.68</v>
      </c>
      <c r="H292">
        <v>1.49</v>
      </c>
      <c r="I292">
        <v>12.33</v>
      </c>
      <c r="J292">
        <v>2.16</v>
      </c>
      <c r="K292">
        <v>4.57</v>
      </c>
      <c r="L292" t="s">
        <v>1</v>
      </c>
      <c r="M292" t="s">
        <v>72</v>
      </c>
    </row>
    <row r="293" spans="1:13" x14ac:dyDescent="0.45">
      <c r="A293" t="s">
        <v>0</v>
      </c>
      <c r="B293" t="s">
        <v>134</v>
      </c>
      <c r="C293">
        <v>2030</v>
      </c>
      <c r="D293">
        <v>20</v>
      </c>
      <c r="E293">
        <v>7.11</v>
      </c>
      <c r="F293">
        <v>7.23</v>
      </c>
      <c r="G293">
        <v>3.96</v>
      </c>
      <c r="H293">
        <v>1.39</v>
      </c>
      <c r="I293">
        <v>19.34</v>
      </c>
      <c r="J293">
        <v>4.37</v>
      </c>
      <c r="K293">
        <v>7.45</v>
      </c>
      <c r="L293" t="s">
        <v>1</v>
      </c>
      <c r="M293" t="s">
        <v>72</v>
      </c>
    </row>
    <row r="294" spans="1:13" x14ac:dyDescent="0.45">
      <c r="A294" t="s">
        <v>0</v>
      </c>
      <c r="B294" t="s">
        <v>134</v>
      </c>
      <c r="C294">
        <v>2035</v>
      </c>
      <c r="D294">
        <v>20</v>
      </c>
      <c r="E294">
        <v>9.39</v>
      </c>
      <c r="F294">
        <v>10.19</v>
      </c>
      <c r="G294">
        <v>5.99</v>
      </c>
      <c r="H294">
        <v>2.04</v>
      </c>
      <c r="I294">
        <v>23.54</v>
      </c>
      <c r="J294">
        <v>3.8</v>
      </c>
      <c r="K294">
        <v>13.4</v>
      </c>
      <c r="L294" t="s">
        <v>1</v>
      </c>
      <c r="M294" t="s">
        <v>72</v>
      </c>
    </row>
    <row r="295" spans="1:13" x14ac:dyDescent="0.45">
      <c r="A295" t="s">
        <v>0</v>
      </c>
      <c r="B295" t="s">
        <v>134</v>
      </c>
      <c r="C295">
        <v>2040</v>
      </c>
      <c r="D295">
        <v>20</v>
      </c>
      <c r="E295">
        <v>12.29</v>
      </c>
      <c r="F295">
        <v>12.94</v>
      </c>
      <c r="G295">
        <v>8.2100000000000009</v>
      </c>
      <c r="H295">
        <v>2.75</v>
      </c>
      <c r="I295">
        <v>27.91</v>
      </c>
      <c r="J295">
        <v>2.95</v>
      </c>
      <c r="K295">
        <v>18.75</v>
      </c>
      <c r="L295" t="s">
        <v>1</v>
      </c>
      <c r="M295" t="s">
        <v>72</v>
      </c>
    </row>
    <row r="296" spans="1:13" x14ac:dyDescent="0.45">
      <c r="A296" t="s">
        <v>0</v>
      </c>
      <c r="B296" t="s">
        <v>134</v>
      </c>
      <c r="C296">
        <v>2045</v>
      </c>
      <c r="D296">
        <v>20</v>
      </c>
      <c r="E296">
        <v>14.94</v>
      </c>
      <c r="F296">
        <v>15.1</v>
      </c>
      <c r="G296">
        <v>10.36</v>
      </c>
      <c r="H296">
        <v>2.0099999999999998</v>
      </c>
      <c r="I296">
        <v>33.97</v>
      </c>
      <c r="J296">
        <v>3.48</v>
      </c>
      <c r="K296">
        <v>23.31</v>
      </c>
      <c r="L296" t="s">
        <v>1</v>
      </c>
      <c r="M296" t="s">
        <v>72</v>
      </c>
    </row>
    <row r="297" spans="1:13" x14ac:dyDescent="0.45">
      <c r="A297" t="s">
        <v>0</v>
      </c>
      <c r="B297" t="s">
        <v>134</v>
      </c>
      <c r="C297">
        <v>2050</v>
      </c>
      <c r="D297">
        <v>20</v>
      </c>
      <c r="E297">
        <v>16.63</v>
      </c>
      <c r="F297">
        <v>16.59</v>
      </c>
      <c r="G297">
        <v>11.83</v>
      </c>
      <c r="H297">
        <v>3.17</v>
      </c>
      <c r="I297">
        <v>36.6</v>
      </c>
      <c r="J297">
        <v>3.67</v>
      </c>
      <c r="K297">
        <v>27.11</v>
      </c>
      <c r="L297" t="s">
        <v>1</v>
      </c>
      <c r="M297" t="s">
        <v>72</v>
      </c>
    </row>
    <row r="298" spans="1:13" x14ac:dyDescent="0.45">
      <c r="A298" t="s">
        <v>2</v>
      </c>
      <c r="B298" t="s">
        <v>134</v>
      </c>
      <c r="C298">
        <v>2020</v>
      </c>
      <c r="D298">
        <v>19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134</v>
      </c>
      <c r="C299">
        <v>2025</v>
      </c>
      <c r="D299">
        <v>19</v>
      </c>
      <c r="E299">
        <v>1.63</v>
      </c>
      <c r="F299">
        <v>1.31</v>
      </c>
      <c r="G299">
        <v>0.56000000000000005</v>
      </c>
      <c r="H299">
        <v>1.1399999999999999</v>
      </c>
      <c r="I299">
        <v>2.9</v>
      </c>
      <c r="J299">
        <v>1.26</v>
      </c>
      <c r="K299">
        <v>1.88</v>
      </c>
      <c r="L299" t="s">
        <v>3</v>
      </c>
      <c r="M299" t="s">
        <v>72</v>
      </c>
    </row>
    <row r="300" spans="1:13" x14ac:dyDescent="0.45">
      <c r="A300" t="s">
        <v>2</v>
      </c>
      <c r="B300" t="s">
        <v>134</v>
      </c>
      <c r="C300">
        <v>2030</v>
      </c>
      <c r="D300">
        <v>19</v>
      </c>
      <c r="E300">
        <v>2.2599999999999998</v>
      </c>
      <c r="F300">
        <v>1.98</v>
      </c>
      <c r="G300">
        <v>0.62</v>
      </c>
      <c r="H300">
        <v>1.44</v>
      </c>
      <c r="I300">
        <v>3.8</v>
      </c>
      <c r="J300">
        <v>1.9</v>
      </c>
      <c r="K300">
        <v>2.65</v>
      </c>
      <c r="L300" t="s">
        <v>3</v>
      </c>
      <c r="M300" t="s">
        <v>72</v>
      </c>
    </row>
    <row r="301" spans="1:13" x14ac:dyDescent="0.45">
      <c r="A301" t="s">
        <v>2</v>
      </c>
      <c r="B301" t="s">
        <v>134</v>
      </c>
      <c r="C301">
        <v>2035</v>
      </c>
      <c r="D301">
        <v>19</v>
      </c>
      <c r="E301">
        <v>4.6399999999999997</v>
      </c>
      <c r="F301">
        <v>3.55</v>
      </c>
      <c r="G301">
        <v>4.2</v>
      </c>
      <c r="H301">
        <v>0</v>
      </c>
      <c r="I301">
        <v>16.850000000000001</v>
      </c>
      <c r="J301">
        <v>2.71</v>
      </c>
      <c r="K301">
        <v>3.99</v>
      </c>
      <c r="L301" t="s">
        <v>3</v>
      </c>
      <c r="M301" t="s">
        <v>72</v>
      </c>
    </row>
    <row r="302" spans="1:13" x14ac:dyDescent="0.45">
      <c r="A302" t="s">
        <v>2</v>
      </c>
      <c r="B302" t="s">
        <v>134</v>
      </c>
      <c r="C302">
        <v>2040</v>
      </c>
      <c r="D302">
        <v>19</v>
      </c>
      <c r="E302">
        <v>6.08</v>
      </c>
      <c r="F302">
        <v>2.97</v>
      </c>
      <c r="G302">
        <v>6.83</v>
      </c>
      <c r="H302">
        <v>0</v>
      </c>
      <c r="I302">
        <v>26.89</v>
      </c>
      <c r="J302">
        <v>2.56</v>
      </c>
      <c r="K302">
        <v>6.32</v>
      </c>
      <c r="L302" t="s">
        <v>3</v>
      </c>
      <c r="M302" t="s">
        <v>72</v>
      </c>
    </row>
    <row r="303" spans="1:13" x14ac:dyDescent="0.45">
      <c r="A303" t="s">
        <v>2</v>
      </c>
      <c r="B303" t="s">
        <v>134</v>
      </c>
      <c r="C303">
        <v>2045</v>
      </c>
      <c r="D303">
        <v>19</v>
      </c>
      <c r="E303">
        <v>6.01</v>
      </c>
      <c r="F303">
        <v>3.27</v>
      </c>
      <c r="G303">
        <v>6.46</v>
      </c>
      <c r="H303">
        <v>0</v>
      </c>
      <c r="I303">
        <v>22.94</v>
      </c>
      <c r="J303">
        <v>2.82</v>
      </c>
      <c r="K303">
        <v>4.95</v>
      </c>
      <c r="L303" t="s">
        <v>3</v>
      </c>
      <c r="M303" t="s">
        <v>72</v>
      </c>
    </row>
    <row r="304" spans="1:13" x14ac:dyDescent="0.45">
      <c r="A304" t="s">
        <v>2</v>
      </c>
      <c r="B304" t="s">
        <v>134</v>
      </c>
      <c r="C304">
        <v>2050</v>
      </c>
      <c r="D304">
        <v>19</v>
      </c>
      <c r="E304">
        <v>5.0999999999999996</v>
      </c>
      <c r="F304">
        <v>3.33</v>
      </c>
      <c r="G304">
        <v>5.31</v>
      </c>
      <c r="H304">
        <v>0</v>
      </c>
      <c r="I304">
        <v>24.66</v>
      </c>
      <c r="J304">
        <v>2.7</v>
      </c>
      <c r="K304">
        <v>5.58</v>
      </c>
      <c r="L304" t="s">
        <v>3</v>
      </c>
      <c r="M304" t="s">
        <v>72</v>
      </c>
    </row>
    <row r="305" spans="1:13" x14ac:dyDescent="0.45">
      <c r="A305" t="s">
        <v>5</v>
      </c>
      <c r="B305" t="s">
        <v>134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134</v>
      </c>
      <c r="C306">
        <v>2025</v>
      </c>
      <c r="D306">
        <v>70</v>
      </c>
      <c r="E306">
        <v>1.94</v>
      </c>
      <c r="F306">
        <v>1.35</v>
      </c>
      <c r="G306">
        <v>1.1299999999999999</v>
      </c>
      <c r="H306">
        <v>1.1399999999999999</v>
      </c>
      <c r="I306">
        <v>6.26</v>
      </c>
      <c r="J306">
        <v>1.21</v>
      </c>
      <c r="K306">
        <v>2.13</v>
      </c>
      <c r="L306" t="s">
        <v>6</v>
      </c>
      <c r="M306" t="s">
        <v>72</v>
      </c>
    </row>
    <row r="307" spans="1:13" x14ac:dyDescent="0.45">
      <c r="A307" t="s">
        <v>5</v>
      </c>
      <c r="B307" t="s">
        <v>134</v>
      </c>
      <c r="C307">
        <v>2030</v>
      </c>
      <c r="D307">
        <v>70</v>
      </c>
      <c r="E307">
        <v>2.68</v>
      </c>
      <c r="F307">
        <v>1.98</v>
      </c>
      <c r="G307">
        <v>1.81</v>
      </c>
      <c r="H307">
        <v>1.31</v>
      </c>
      <c r="I307">
        <v>9.57</v>
      </c>
      <c r="J307">
        <v>1.45</v>
      </c>
      <c r="K307">
        <v>2.5499999999999998</v>
      </c>
      <c r="L307" t="s">
        <v>6</v>
      </c>
      <c r="M307" t="s">
        <v>72</v>
      </c>
    </row>
    <row r="308" spans="1:13" x14ac:dyDescent="0.45">
      <c r="A308" t="s">
        <v>5</v>
      </c>
      <c r="B308" t="s">
        <v>134</v>
      </c>
      <c r="C308">
        <v>2035</v>
      </c>
      <c r="D308">
        <v>70</v>
      </c>
      <c r="E308">
        <v>4.78</v>
      </c>
      <c r="F308">
        <v>3.29</v>
      </c>
      <c r="G308">
        <v>2.74</v>
      </c>
      <c r="H308">
        <v>1.93</v>
      </c>
      <c r="I308">
        <v>12.43</v>
      </c>
      <c r="J308">
        <v>2.4900000000000002</v>
      </c>
      <c r="K308">
        <v>6.76</v>
      </c>
      <c r="L308" t="s">
        <v>6</v>
      </c>
      <c r="M308" t="s">
        <v>72</v>
      </c>
    </row>
    <row r="309" spans="1:13" x14ac:dyDescent="0.45">
      <c r="A309" t="s">
        <v>5</v>
      </c>
      <c r="B309" t="s">
        <v>134</v>
      </c>
      <c r="C309">
        <v>2040</v>
      </c>
      <c r="D309">
        <v>70</v>
      </c>
      <c r="E309">
        <v>6.24</v>
      </c>
      <c r="F309">
        <v>3.37</v>
      </c>
      <c r="G309">
        <v>4.57</v>
      </c>
      <c r="H309">
        <v>1.86</v>
      </c>
      <c r="I309">
        <v>20.96</v>
      </c>
      <c r="J309">
        <v>2.4900000000000002</v>
      </c>
      <c r="K309">
        <v>9.1199999999999992</v>
      </c>
      <c r="L309" t="s">
        <v>6</v>
      </c>
      <c r="M309" t="s">
        <v>72</v>
      </c>
    </row>
    <row r="310" spans="1:13" x14ac:dyDescent="0.45">
      <c r="A310" t="s">
        <v>5</v>
      </c>
      <c r="B310" t="s">
        <v>134</v>
      </c>
      <c r="C310">
        <v>2045</v>
      </c>
      <c r="D310">
        <v>70</v>
      </c>
      <c r="E310">
        <v>7.17</v>
      </c>
      <c r="F310">
        <v>3.91</v>
      </c>
      <c r="G310">
        <v>5.75</v>
      </c>
      <c r="H310">
        <v>1.84</v>
      </c>
      <c r="I310">
        <v>26.67</v>
      </c>
      <c r="J310">
        <v>2.2999999999999998</v>
      </c>
      <c r="K310">
        <v>10.93</v>
      </c>
      <c r="L310" t="s">
        <v>6</v>
      </c>
      <c r="M310" t="s">
        <v>72</v>
      </c>
    </row>
    <row r="311" spans="1:13" x14ac:dyDescent="0.45">
      <c r="A311" t="s">
        <v>5</v>
      </c>
      <c r="B311" t="s">
        <v>134</v>
      </c>
      <c r="C311">
        <v>2050</v>
      </c>
      <c r="D311">
        <v>70</v>
      </c>
      <c r="E311">
        <v>8.02</v>
      </c>
      <c r="F311">
        <v>3.91</v>
      </c>
      <c r="G311">
        <v>6.68</v>
      </c>
      <c r="H311">
        <v>1.81</v>
      </c>
      <c r="I311">
        <v>31.13</v>
      </c>
      <c r="J311">
        <v>2.69</v>
      </c>
      <c r="K311">
        <v>12.02</v>
      </c>
      <c r="L311" t="s">
        <v>6</v>
      </c>
      <c r="M311" t="s">
        <v>72</v>
      </c>
    </row>
    <row r="312" spans="1:13" x14ac:dyDescent="0.45">
      <c r="A312" t="s">
        <v>7</v>
      </c>
      <c r="B312" t="s">
        <v>134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134</v>
      </c>
      <c r="C313">
        <v>2025</v>
      </c>
      <c r="D313">
        <v>27</v>
      </c>
      <c r="E313">
        <v>1.61</v>
      </c>
      <c r="F313">
        <v>1.31</v>
      </c>
      <c r="G313">
        <v>0.61</v>
      </c>
      <c r="H313">
        <v>0.88</v>
      </c>
      <c r="I313">
        <v>2.96</v>
      </c>
      <c r="J313">
        <v>1.21</v>
      </c>
      <c r="K313">
        <v>1.87</v>
      </c>
      <c r="L313" t="s">
        <v>8</v>
      </c>
      <c r="M313" t="s">
        <v>72</v>
      </c>
    </row>
    <row r="314" spans="1:13" x14ac:dyDescent="0.45">
      <c r="A314" t="s">
        <v>7</v>
      </c>
      <c r="B314" t="s">
        <v>134</v>
      </c>
      <c r="C314">
        <v>2030</v>
      </c>
      <c r="D314">
        <v>27</v>
      </c>
      <c r="E314">
        <v>2.27</v>
      </c>
      <c r="F314">
        <v>1.98</v>
      </c>
      <c r="G314">
        <v>0.92</v>
      </c>
      <c r="H314">
        <v>1.44</v>
      </c>
      <c r="I314">
        <v>4.3</v>
      </c>
      <c r="J314">
        <v>1.45</v>
      </c>
      <c r="K314">
        <v>2.97</v>
      </c>
      <c r="L314" t="s">
        <v>8</v>
      </c>
      <c r="M314" t="s">
        <v>72</v>
      </c>
    </row>
    <row r="315" spans="1:13" x14ac:dyDescent="0.45">
      <c r="A315" t="s">
        <v>7</v>
      </c>
      <c r="B315" t="s">
        <v>134</v>
      </c>
      <c r="C315">
        <v>2035</v>
      </c>
      <c r="D315">
        <v>27</v>
      </c>
      <c r="E315">
        <v>3.54</v>
      </c>
      <c r="F315">
        <v>3.79</v>
      </c>
      <c r="G315">
        <v>1.37</v>
      </c>
      <c r="H315">
        <v>1.26</v>
      </c>
      <c r="I315">
        <v>5.89</v>
      </c>
      <c r="J315">
        <v>2.75</v>
      </c>
      <c r="K315">
        <v>4.32</v>
      </c>
      <c r="L315" t="s">
        <v>8</v>
      </c>
      <c r="M315" t="s">
        <v>72</v>
      </c>
    </row>
    <row r="316" spans="1:13" x14ac:dyDescent="0.45">
      <c r="A316" t="s">
        <v>7</v>
      </c>
      <c r="B316" t="s">
        <v>134</v>
      </c>
      <c r="C316">
        <v>2040</v>
      </c>
      <c r="D316">
        <v>27</v>
      </c>
      <c r="E316">
        <v>4.76</v>
      </c>
      <c r="F316">
        <v>4.93</v>
      </c>
      <c r="G316">
        <v>2.1</v>
      </c>
      <c r="H316">
        <v>1.36</v>
      </c>
      <c r="I316">
        <v>10.7</v>
      </c>
      <c r="J316">
        <v>4.3099999999999996</v>
      </c>
      <c r="K316">
        <v>5.87</v>
      </c>
      <c r="L316" t="s">
        <v>8</v>
      </c>
      <c r="M316" t="s">
        <v>72</v>
      </c>
    </row>
    <row r="317" spans="1:13" x14ac:dyDescent="0.45">
      <c r="A317" t="s">
        <v>7</v>
      </c>
      <c r="B317" t="s">
        <v>134</v>
      </c>
      <c r="C317">
        <v>2045</v>
      </c>
      <c r="D317">
        <v>27</v>
      </c>
      <c r="E317">
        <v>5.53</v>
      </c>
      <c r="F317">
        <v>5.82</v>
      </c>
      <c r="G317">
        <v>2.68</v>
      </c>
      <c r="H317">
        <v>1.47</v>
      </c>
      <c r="I317">
        <v>12.91</v>
      </c>
      <c r="J317">
        <v>4.6500000000000004</v>
      </c>
      <c r="K317">
        <v>6.96</v>
      </c>
      <c r="L317" t="s">
        <v>8</v>
      </c>
      <c r="M317" t="s">
        <v>72</v>
      </c>
    </row>
    <row r="318" spans="1:13" x14ac:dyDescent="0.45">
      <c r="A318" t="s">
        <v>7</v>
      </c>
      <c r="B318" t="s">
        <v>134</v>
      </c>
      <c r="C318">
        <v>2050</v>
      </c>
      <c r="D318">
        <v>27</v>
      </c>
      <c r="E318">
        <v>5.76</v>
      </c>
      <c r="F318">
        <v>6.33</v>
      </c>
      <c r="G318">
        <v>2.6</v>
      </c>
      <c r="H318">
        <v>1.73</v>
      </c>
      <c r="I318">
        <v>9.89</v>
      </c>
      <c r="J318">
        <v>4.24</v>
      </c>
      <c r="K318">
        <v>7.44</v>
      </c>
      <c r="L318" t="s">
        <v>8</v>
      </c>
      <c r="M318" t="s">
        <v>72</v>
      </c>
    </row>
    <row r="319" spans="1:13" x14ac:dyDescent="0.45">
      <c r="A319" t="s">
        <v>9</v>
      </c>
      <c r="B319" t="s">
        <v>134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134</v>
      </c>
      <c r="C320">
        <v>2025</v>
      </c>
      <c r="D320">
        <v>14</v>
      </c>
      <c r="E320">
        <v>1.03</v>
      </c>
      <c r="F320">
        <v>1.04</v>
      </c>
      <c r="G320">
        <v>0.28000000000000003</v>
      </c>
      <c r="H320">
        <v>0.64</v>
      </c>
      <c r="I320">
        <v>1.87</v>
      </c>
      <c r="J320">
        <v>1.03</v>
      </c>
      <c r="K320">
        <v>1.06</v>
      </c>
      <c r="L320" t="s">
        <v>10</v>
      </c>
      <c r="M320" t="s">
        <v>72</v>
      </c>
    </row>
    <row r="321" spans="1:13" x14ac:dyDescent="0.45">
      <c r="A321" t="s">
        <v>9</v>
      </c>
      <c r="B321" t="s">
        <v>134</v>
      </c>
      <c r="C321">
        <v>2030</v>
      </c>
      <c r="D321">
        <v>14</v>
      </c>
      <c r="E321">
        <v>1.17</v>
      </c>
      <c r="F321">
        <v>1.1100000000000001</v>
      </c>
      <c r="G321">
        <v>0.28000000000000003</v>
      </c>
      <c r="H321">
        <v>0.98</v>
      </c>
      <c r="I321">
        <v>2.11</v>
      </c>
      <c r="J321">
        <v>1.07</v>
      </c>
      <c r="K321">
        <v>1.1399999999999999</v>
      </c>
      <c r="L321" t="s">
        <v>10</v>
      </c>
      <c r="M321" t="s">
        <v>72</v>
      </c>
    </row>
    <row r="322" spans="1:13" x14ac:dyDescent="0.45">
      <c r="A322" t="s">
        <v>9</v>
      </c>
      <c r="B322" t="s">
        <v>134</v>
      </c>
      <c r="C322">
        <v>2035</v>
      </c>
      <c r="D322">
        <v>14</v>
      </c>
      <c r="E322">
        <v>1.34</v>
      </c>
      <c r="F322">
        <v>1.1399999999999999</v>
      </c>
      <c r="G322">
        <v>0.9</v>
      </c>
      <c r="H322">
        <v>0.8</v>
      </c>
      <c r="I322">
        <v>4.42</v>
      </c>
      <c r="J322">
        <v>1.0900000000000001</v>
      </c>
      <c r="K322">
        <v>1.24</v>
      </c>
      <c r="L322" t="s">
        <v>10</v>
      </c>
      <c r="M322" t="s">
        <v>72</v>
      </c>
    </row>
    <row r="323" spans="1:13" x14ac:dyDescent="0.45">
      <c r="A323" t="s">
        <v>9</v>
      </c>
      <c r="B323" t="s">
        <v>134</v>
      </c>
      <c r="C323">
        <v>2040</v>
      </c>
      <c r="D323">
        <v>14</v>
      </c>
      <c r="E323">
        <v>1.5</v>
      </c>
      <c r="F323">
        <v>1.1599999999999999</v>
      </c>
      <c r="G323">
        <v>1.1200000000000001</v>
      </c>
      <c r="H323">
        <v>0.98</v>
      </c>
      <c r="I323">
        <v>5.33</v>
      </c>
      <c r="J323">
        <v>1.1200000000000001</v>
      </c>
      <c r="K323">
        <v>1.37</v>
      </c>
      <c r="L323" t="s">
        <v>10</v>
      </c>
      <c r="M323" t="s">
        <v>72</v>
      </c>
    </row>
    <row r="324" spans="1:13" x14ac:dyDescent="0.45">
      <c r="A324" t="s">
        <v>9</v>
      </c>
      <c r="B324" t="s">
        <v>134</v>
      </c>
      <c r="C324">
        <v>2045</v>
      </c>
      <c r="D324">
        <v>14</v>
      </c>
      <c r="E324">
        <v>1.57</v>
      </c>
      <c r="F324">
        <v>1.18</v>
      </c>
      <c r="G324">
        <v>1.29</v>
      </c>
      <c r="H324">
        <v>0.93</v>
      </c>
      <c r="I324">
        <v>5.97</v>
      </c>
      <c r="J324">
        <v>1.1399999999999999</v>
      </c>
      <c r="K324">
        <v>1.48</v>
      </c>
      <c r="L324" t="s">
        <v>10</v>
      </c>
      <c r="M324" t="s">
        <v>72</v>
      </c>
    </row>
    <row r="325" spans="1:13" x14ac:dyDescent="0.45">
      <c r="A325" t="s">
        <v>9</v>
      </c>
      <c r="B325" t="s">
        <v>134</v>
      </c>
      <c r="C325">
        <v>2050</v>
      </c>
      <c r="D325">
        <v>14</v>
      </c>
      <c r="E325">
        <v>1.7</v>
      </c>
      <c r="F325">
        <v>1.19</v>
      </c>
      <c r="G325">
        <v>1.42</v>
      </c>
      <c r="H325">
        <v>1.06</v>
      </c>
      <c r="I325">
        <v>6.53</v>
      </c>
      <c r="J325">
        <v>1.1599999999999999</v>
      </c>
      <c r="K325">
        <v>1.59</v>
      </c>
      <c r="L325" t="s">
        <v>10</v>
      </c>
      <c r="M325" t="s">
        <v>72</v>
      </c>
    </row>
    <row r="326" spans="1:13" x14ac:dyDescent="0.45">
      <c r="A326" t="s">
        <v>0</v>
      </c>
      <c r="B326" t="s">
        <v>134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134</v>
      </c>
      <c r="C327">
        <v>2025</v>
      </c>
      <c r="D327">
        <v>7</v>
      </c>
      <c r="E327">
        <v>0.97</v>
      </c>
      <c r="F327">
        <v>0.97</v>
      </c>
      <c r="G327">
        <v>0</v>
      </c>
      <c r="H327">
        <v>0.97</v>
      </c>
      <c r="I327">
        <v>0.97</v>
      </c>
      <c r="J327">
        <v>0.97</v>
      </c>
      <c r="K327">
        <v>0.97</v>
      </c>
      <c r="L327" t="s">
        <v>1</v>
      </c>
      <c r="M327" t="s">
        <v>73</v>
      </c>
    </row>
    <row r="328" spans="1:13" x14ac:dyDescent="0.45">
      <c r="A328" t="s">
        <v>0</v>
      </c>
      <c r="B328" t="s">
        <v>134</v>
      </c>
      <c r="C328">
        <v>2030</v>
      </c>
      <c r="D328">
        <v>7</v>
      </c>
      <c r="E328">
        <v>0.94</v>
      </c>
      <c r="F328">
        <v>0.94</v>
      </c>
      <c r="G328">
        <v>0.01</v>
      </c>
      <c r="H328">
        <v>0.93</v>
      </c>
      <c r="I328">
        <v>0.95</v>
      </c>
      <c r="J328">
        <v>0.93</v>
      </c>
      <c r="K328">
        <v>0.94</v>
      </c>
      <c r="L328" t="s">
        <v>1</v>
      </c>
      <c r="M328" t="s">
        <v>73</v>
      </c>
    </row>
    <row r="329" spans="1:13" x14ac:dyDescent="0.45">
      <c r="A329" t="s">
        <v>0</v>
      </c>
      <c r="B329" t="s">
        <v>134</v>
      </c>
      <c r="C329">
        <v>2035</v>
      </c>
      <c r="D329">
        <v>7</v>
      </c>
      <c r="E329">
        <v>0.93</v>
      </c>
      <c r="F329">
        <v>0.93</v>
      </c>
      <c r="G329">
        <v>0.02</v>
      </c>
      <c r="H329">
        <v>0.91</v>
      </c>
      <c r="I329">
        <v>0.95</v>
      </c>
      <c r="J329">
        <v>0.92</v>
      </c>
      <c r="K329">
        <v>0.94</v>
      </c>
      <c r="L329" t="s">
        <v>1</v>
      </c>
      <c r="M329" t="s">
        <v>73</v>
      </c>
    </row>
    <row r="330" spans="1:13" x14ac:dyDescent="0.45">
      <c r="A330" t="s">
        <v>0</v>
      </c>
      <c r="B330" t="s">
        <v>134</v>
      </c>
      <c r="C330">
        <v>2040</v>
      </c>
      <c r="D330">
        <v>7</v>
      </c>
      <c r="E330">
        <v>0.95</v>
      </c>
      <c r="F330">
        <v>0.94</v>
      </c>
      <c r="G330">
        <v>0.03</v>
      </c>
      <c r="H330">
        <v>0.9</v>
      </c>
      <c r="I330">
        <v>0.99</v>
      </c>
      <c r="J330">
        <v>0.93</v>
      </c>
      <c r="K330">
        <v>0.97</v>
      </c>
      <c r="L330" t="s">
        <v>1</v>
      </c>
      <c r="M330" t="s">
        <v>73</v>
      </c>
    </row>
    <row r="331" spans="1:13" x14ac:dyDescent="0.45">
      <c r="A331" t="s">
        <v>0</v>
      </c>
      <c r="B331" t="s">
        <v>134</v>
      </c>
      <c r="C331">
        <v>2045</v>
      </c>
      <c r="D331">
        <v>7</v>
      </c>
      <c r="E331">
        <v>0.93</v>
      </c>
      <c r="F331">
        <v>0.93</v>
      </c>
      <c r="G331">
        <v>0.03</v>
      </c>
      <c r="H331">
        <v>0.89</v>
      </c>
      <c r="I331">
        <v>0.98</v>
      </c>
      <c r="J331">
        <v>0.9</v>
      </c>
      <c r="K331">
        <v>0.95</v>
      </c>
      <c r="L331" t="s">
        <v>1</v>
      </c>
      <c r="M331" t="s">
        <v>73</v>
      </c>
    </row>
    <row r="332" spans="1:13" x14ac:dyDescent="0.45">
      <c r="A332" t="s">
        <v>0</v>
      </c>
      <c r="B332" t="s">
        <v>134</v>
      </c>
      <c r="C332">
        <v>2050</v>
      </c>
      <c r="D332">
        <v>7</v>
      </c>
      <c r="E332">
        <v>0.93</v>
      </c>
      <c r="F332">
        <v>0.91</v>
      </c>
      <c r="G332">
        <v>0.06</v>
      </c>
      <c r="H332">
        <v>0.88</v>
      </c>
      <c r="I332">
        <v>1.02</v>
      </c>
      <c r="J332">
        <v>0.88</v>
      </c>
      <c r="K332">
        <v>0.97</v>
      </c>
      <c r="L332" t="s">
        <v>1</v>
      </c>
      <c r="M332" t="s">
        <v>73</v>
      </c>
    </row>
    <row r="333" spans="1:13" x14ac:dyDescent="0.45">
      <c r="A333" t="s">
        <v>2</v>
      </c>
      <c r="B333" t="s">
        <v>134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134</v>
      </c>
      <c r="C334">
        <v>2025</v>
      </c>
      <c r="D334">
        <v>7</v>
      </c>
      <c r="E334">
        <v>0.97</v>
      </c>
      <c r="F334">
        <v>0.97</v>
      </c>
      <c r="G334">
        <v>0</v>
      </c>
      <c r="H334">
        <v>0.96</v>
      </c>
      <c r="I334">
        <v>0.97</v>
      </c>
      <c r="J334">
        <v>0.96</v>
      </c>
      <c r="K334">
        <v>0.97</v>
      </c>
      <c r="L334" t="s">
        <v>3</v>
      </c>
      <c r="M334" t="s">
        <v>73</v>
      </c>
    </row>
    <row r="335" spans="1:13" x14ac:dyDescent="0.45">
      <c r="A335" t="s">
        <v>2</v>
      </c>
      <c r="B335" t="s">
        <v>134</v>
      </c>
      <c r="C335">
        <v>2030</v>
      </c>
      <c r="D335">
        <v>7</v>
      </c>
      <c r="E335">
        <v>0.94</v>
      </c>
      <c r="F335">
        <v>0.94</v>
      </c>
      <c r="G335">
        <v>0</v>
      </c>
      <c r="H335">
        <v>0.94</v>
      </c>
      <c r="I335">
        <v>0.95</v>
      </c>
      <c r="J335">
        <v>0.94</v>
      </c>
      <c r="K335">
        <v>0.94</v>
      </c>
      <c r="L335" t="s">
        <v>3</v>
      </c>
      <c r="M335" t="s">
        <v>73</v>
      </c>
    </row>
    <row r="336" spans="1:13" x14ac:dyDescent="0.45">
      <c r="A336" t="s">
        <v>2</v>
      </c>
      <c r="B336" t="s">
        <v>134</v>
      </c>
      <c r="C336">
        <v>2035</v>
      </c>
      <c r="D336">
        <v>7</v>
      </c>
      <c r="E336">
        <v>0.92</v>
      </c>
      <c r="F336">
        <v>0.91</v>
      </c>
      <c r="G336">
        <v>0.02</v>
      </c>
      <c r="H336">
        <v>0.9</v>
      </c>
      <c r="I336">
        <v>0.95</v>
      </c>
      <c r="J336">
        <v>0.91</v>
      </c>
      <c r="K336">
        <v>0.93</v>
      </c>
      <c r="L336" t="s">
        <v>3</v>
      </c>
      <c r="M336" t="s">
        <v>73</v>
      </c>
    </row>
    <row r="337" spans="1:13" x14ac:dyDescent="0.45">
      <c r="A337" t="s">
        <v>2</v>
      </c>
      <c r="B337" t="s">
        <v>134</v>
      </c>
      <c r="C337">
        <v>2040</v>
      </c>
      <c r="D337">
        <v>7</v>
      </c>
      <c r="E337">
        <v>0.96</v>
      </c>
      <c r="F337">
        <v>0.94</v>
      </c>
      <c r="G337">
        <v>0.02</v>
      </c>
      <c r="H337">
        <v>0.94</v>
      </c>
      <c r="I337">
        <v>0.99</v>
      </c>
      <c r="J337">
        <v>0.94</v>
      </c>
      <c r="K337">
        <v>0.97</v>
      </c>
      <c r="L337" t="s">
        <v>3</v>
      </c>
      <c r="M337" t="s">
        <v>73</v>
      </c>
    </row>
    <row r="338" spans="1:13" x14ac:dyDescent="0.45">
      <c r="A338" t="s">
        <v>2</v>
      </c>
      <c r="B338" t="s">
        <v>134</v>
      </c>
      <c r="C338">
        <v>2045</v>
      </c>
      <c r="D338">
        <v>7</v>
      </c>
      <c r="E338">
        <v>1</v>
      </c>
      <c r="F338">
        <v>0.99</v>
      </c>
      <c r="G338">
        <v>0.03</v>
      </c>
      <c r="H338">
        <v>0.97</v>
      </c>
      <c r="I338">
        <v>1.04</v>
      </c>
      <c r="J338">
        <v>0.98</v>
      </c>
      <c r="K338">
        <v>1.03</v>
      </c>
      <c r="L338" t="s">
        <v>3</v>
      </c>
      <c r="M338" t="s">
        <v>73</v>
      </c>
    </row>
    <row r="339" spans="1:13" x14ac:dyDescent="0.45">
      <c r="A339" t="s">
        <v>2</v>
      </c>
      <c r="B339" t="s">
        <v>134</v>
      </c>
      <c r="C339">
        <v>2050</v>
      </c>
      <c r="D339">
        <v>7</v>
      </c>
      <c r="E339">
        <v>1.05</v>
      </c>
      <c r="F339">
        <v>1.04</v>
      </c>
      <c r="G339">
        <v>0.03</v>
      </c>
      <c r="H339">
        <v>1.01</v>
      </c>
      <c r="I339">
        <v>1.0900000000000001</v>
      </c>
      <c r="J339">
        <v>1.03</v>
      </c>
      <c r="K339">
        <v>1.08</v>
      </c>
      <c r="L339" t="s">
        <v>3</v>
      </c>
      <c r="M339" t="s">
        <v>73</v>
      </c>
    </row>
    <row r="340" spans="1:13" x14ac:dyDescent="0.45">
      <c r="A340" t="s">
        <v>5</v>
      </c>
      <c r="B340" t="s">
        <v>134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134</v>
      </c>
      <c r="C341">
        <v>2025</v>
      </c>
      <c r="D341">
        <v>15</v>
      </c>
      <c r="E341">
        <v>1.03</v>
      </c>
      <c r="F341">
        <v>0.97</v>
      </c>
      <c r="G341">
        <v>0.08</v>
      </c>
      <c r="H341">
        <v>0.97</v>
      </c>
      <c r="I341">
        <v>1.22</v>
      </c>
      <c r="J341">
        <v>0.97</v>
      </c>
      <c r="K341">
        <v>1.1000000000000001</v>
      </c>
      <c r="L341" t="s">
        <v>6</v>
      </c>
      <c r="M341" t="s">
        <v>73</v>
      </c>
    </row>
    <row r="342" spans="1:13" x14ac:dyDescent="0.45">
      <c r="A342" t="s">
        <v>5</v>
      </c>
      <c r="B342" t="s">
        <v>134</v>
      </c>
      <c r="C342">
        <v>2030</v>
      </c>
      <c r="D342">
        <v>15</v>
      </c>
      <c r="E342">
        <v>1.07</v>
      </c>
      <c r="F342">
        <v>0.95</v>
      </c>
      <c r="G342">
        <v>0.19</v>
      </c>
      <c r="H342">
        <v>0.94</v>
      </c>
      <c r="I342">
        <v>1.55</v>
      </c>
      <c r="J342">
        <v>0.95</v>
      </c>
      <c r="K342">
        <v>1.19</v>
      </c>
      <c r="L342" t="s">
        <v>6</v>
      </c>
      <c r="M342" t="s">
        <v>73</v>
      </c>
    </row>
    <row r="343" spans="1:13" x14ac:dyDescent="0.45">
      <c r="A343" t="s">
        <v>5</v>
      </c>
      <c r="B343" t="s">
        <v>134</v>
      </c>
      <c r="C343">
        <v>2035</v>
      </c>
      <c r="D343">
        <v>15</v>
      </c>
      <c r="E343">
        <v>1.26</v>
      </c>
      <c r="F343">
        <v>0.92</v>
      </c>
      <c r="G343">
        <v>0.45</v>
      </c>
      <c r="H343">
        <v>0.91</v>
      </c>
      <c r="I343">
        <v>2.0099999999999998</v>
      </c>
      <c r="J343">
        <v>0.92</v>
      </c>
      <c r="K343">
        <v>1.7</v>
      </c>
      <c r="L343" t="s">
        <v>6</v>
      </c>
      <c r="M343" t="s">
        <v>73</v>
      </c>
    </row>
    <row r="344" spans="1:13" x14ac:dyDescent="0.45">
      <c r="A344" t="s">
        <v>5</v>
      </c>
      <c r="B344" t="s">
        <v>134</v>
      </c>
      <c r="C344">
        <v>2040</v>
      </c>
      <c r="D344">
        <v>15</v>
      </c>
      <c r="E344">
        <v>1.48</v>
      </c>
      <c r="F344">
        <v>0.95</v>
      </c>
      <c r="G344">
        <v>0.77</v>
      </c>
      <c r="H344">
        <v>0.87</v>
      </c>
      <c r="I344">
        <v>2.96</v>
      </c>
      <c r="J344">
        <v>0.91</v>
      </c>
      <c r="K344">
        <v>2.11</v>
      </c>
      <c r="L344" t="s">
        <v>6</v>
      </c>
      <c r="M344" t="s">
        <v>73</v>
      </c>
    </row>
    <row r="345" spans="1:13" x14ac:dyDescent="0.45">
      <c r="A345" t="s">
        <v>5</v>
      </c>
      <c r="B345" t="s">
        <v>134</v>
      </c>
      <c r="C345">
        <v>2045</v>
      </c>
      <c r="D345">
        <v>15</v>
      </c>
      <c r="E345">
        <v>1.81</v>
      </c>
      <c r="F345">
        <v>0.99</v>
      </c>
      <c r="G345">
        <v>1.17</v>
      </c>
      <c r="H345">
        <v>0.9</v>
      </c>
      <c r="I345">
        <v>4.05</v>
      </c>
      <c r="J345">
        <v>0.95</v>
      </c>
      <c r="K345">
        <v>2.63</v>
      </c>
      <c r="L345" t="s">
        <v>6</v>
      </c>
      <c r="M345" t="s">
        <v>73</v>
      </c>
    </row>
    <row r="346" spans="1:13" x14ac:dyDescent="0.45">
      <c r="A346" t="s">
        <v>5</v>
      </c>
      <c r="B346" t="s">
        <v>134</v>
      </c>
      <c r="C346">
        <v>2050</v>
      </c>
      <c r="D346">
        <v>15</v>
      </c>
      <c r="E346">
        <v>2.13</v>
      </c>
      <c r="F346">
        <v>1.04</v>
      </c>
      <c r="G346">
        <v>1.56</v>
      </c>
      <c r="H346">
        <v>0.94</v>
      </c>
      <c r="I346">
        <v>5.04</v>
      </c>
      <c r="J346">
        <v>0.99</v>
      </c>
      <c r="K346">
        <v>3.27</v>
      </c>
      <c r="L346" t="s">
        <v>6</v>
      </c>
      <c r="M346" t="s">
        <v>73</v>
      </c>
    </row>
    <row r="347" spans="1:13" x14ac:dyDescent="0.45">
      <c r="A347" t="s">
        <v>7</v>
      </c>
      <c r="B347" t="s">
        <v>134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134</v>
      </c>
      <c r="C348">
        <v>2025</v>
      </c>
      <c r="D348">
        <v>8</v>
      </c>
      <c r="E348">
        <v>1.0900000000000001</v>
      </c>
      <c r="F348">
        <v>1.1000000000000001</v>
      </c>
      <c r="G348">
        <v>0.02</v>
      </c>
      <c r="H348">
        <v>1.05</v>
      </c>
      <c r="I348">
        <v>1.1000000000000001</v>
      </c>
      <c r="J348">
        <v>1.0900000000000001</v>
      </c>
      <c r="K348">
        <v>1.1000000000000001</v>
      </c>
      <c r="L348" t="s">
        <v>8</v>
      </c>
      <c r="M348" t="s">
        <v>73</v>
      </c>
    </row>
    <row r="349" spans="1:13" x14ac:dyDescent="0.45">
      <c r="A349" t="s">
        <v>7</v>
      </c>
      <c r="B349" t="s">
        <v>134</v>
      </c>
      <c r="C349">
        <v>2030</v>
      </c>
      <c r="D349">
        <v>8</v>
      </c>
      <c r="E349">
        <v>1.1399999999999999</v>
      </c>
      <c r="F349">
        <v>1.1299999999999999</v>
      </c>
      <c r="G349">
        <v>0.05</v>
      </c>
      <c r="H349">
        <v>1.1000000000000001</v>
      </c>
      <c r="I349">
        <v>1.22</v>
      </c>
      <c r="J349">
        <v>1.1000000000000001</v>
      </c>
      <c r="K349">
        <v>1.18</v>
      </c>
      <c r="L349" t="s">
        <v>8</v>
      </c>
      <c r="M349" t="s">
        <v>73</v>
      </c>
    </row>
    <row r="350" spans="1:13" x14ac:dyDescent="0.45">
      <c r="A350" t="s">
        <v>7</v>
      </c>
      <c r="B350" t="s">
        <v>134</v>
      </c>
      <c r="C350">
        <v>2035</v>
      </c>
      <c r="D350">
        <v>8</v>
      </c>
      <c r="E350">
        <v>1.35</v>
      </c>
      <c r="F350">
        <v>1.34</v>
      </c>
      <c r="G350">
        <v>0.15</v>
      </c>
      <c r="H350">
        <v>1.1599999999999999</v>
      </c>
      <c r="I350">
        <v>1.55</v>
      </c>
      <c r="J350">
        <v>1.24</v>
      </c>
      <c r="K350">
        <v>1.46</v>
      </c>
      <c r="L350" t="s">
        <v>8</v>
      </c>
      <c r="M350" t="s">
        <v>73</v>
      </c>
    </row>
    <row r="351" spans="1:13" x14ac:dyDescent="0.45">
      <c r="A351" t="s">
        <v>7</v>
      </c>
      <c r="B351" t="s">
        <v>134</v>
      </c>
      <c r="C351">
        <v>2040</v>
      </c>
      <c r="D351">
        <v>8</v>
      </c>
      <c r="E351">
        <v>1.48</v>
      </c>
      <c r="F351">
        <v>1.5</v>
      </c>
      <c r="G351">
        <v>0.15</v>
      </c>
      <c r="H351">
        <v>1.28</v>
      </c>
      <c r="I351">
        <v>1.67</v>
      </c>
      <c r="J351">
        <v>1.39</v>
      </c>
      <c r="K351">
        <v>1.61</v>
      </c>
      <c r="L351" t="s">
        <v>8</v>
      </c>
      <c r="M351" t="s">
        <v>73</v>
      </c>
    </row>
    <row r="352" spans="1:13" x14ac:dyDescent="0.45">
      <c r="A352" t="s">
        <v>7</v>
      </c>
      <c r="B352" t="s">
        <v>134</v>
      </c>
      <c r="C352">
        <v>2045</v>
      </c>
      <c r="D352">
        <v>8</v>
      </c>
      <c r="E352">
        <v>1.85</v>
      </c>
      <c r="F352">
        <v>1.82</v>
      </c>
      <c r="G352">
        <v>0.11</v>
      </c>
      <c r="H352">
        <v>1.68</v>
      </c>
      <c r="I352">
        <v>2.02</v>
      </c>
      <c r="J352">
        <v>1.81</v>
      </c>
      <c r="K352">
        <v>1.93</v>
      </c>
      <c r="L352" t="s">
        <v>8</v>
      </c>
      <c r="M352" t="s">
        <v>73</v>
      </c>
    </row>
    <row r="353" spans="1:13" x14ac:dyDescent="0.45">
      <c r="A353" t="s">
        <v>7</v>
      </c>
      <c r="B353" t="s">
        <v>134</v>
      </c>
      <c r="C353">
        <v>2050</v>
      </c>
      <c r="D353">
        <v>8</v>
      </c>
      <c r="E353">
        <v>2.2400000000000002</v>
      </c>
      <c r="F353">
        <v>2.2000000000000002</v>
      </c>
      <c r="G353">
        <v>0.26</v>
      </c>
      <c r="H353">
        <v>1.85</v>
      </c>
      <c r="I353">
        <v>2.65</v>
      </c>
      <c r="J353">
        <v>2.0699999999999998</v>
      </c>
      <c r="K353">
        <v>2.42</v>
      </c>
      <c r="L353" t="s">
        <v>8</v>
      </c>
      <c r="M353" t="s">
        <v>73</v>
      </c>
    </row>
    <row r="354" spans="1:13" x14ac:dyDescent="0.45">
      <c r="A354" t="s">
        <v>9</v>
      </c>
      <c r="B354" t="s">
        <v>134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134</v>
      </c>
      <c r="C355">
        <v>2025</v>
      </c>
      <c r="D355">
        <v>7</v>
      </c>
      <c r="E355">
        <v>1.01</v>
      </c>
      <c r="F355">
        <v>0.97</v>
      </c>
      <c r="G355">
        <v>0.06</v>
      </c>
      <c r="H355">
        <v>0.97</v>
      </c>
      <c r="I355">
        <v>1.1000000000000001</v>
      </c>
      <c r="J355">
        <v>0.97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134</v>
      </c>
      <c r="C356">
        <v>2030</v>
      </c>
      <c r="D356">
        <v>7</v>
      </c>
      <c r="E356">
        <v>1</v>
      </c>
      <c r="F356">
        <v>0.95</v>
      </c>
      <c r="G356">
        <v>0.08</v>
      </c>
      <c r="H356">
        <v>0.94</v>
      </c>
      <c r="I356">
        <v>1.1100000000000001</v>
      </c>
      <c r="J356">
        <v>0.95</v>
      </c>
      <c r="K356">
        <v>1.06</v>
      </c>
      <c r="L356" t="s">
        <v>10</v>
      </c>
      <c r="M356" t="s">
        <v>73</v>
      </c>
    </row>
    <row r="357" spans="1:13" x14ac:dyDescent="0.45">
      <c r="A357" t="s">
        <v>9</v>
      </c>
      <c r="B357" t="s">
        <v>134</v>
      </c>
      <c r="C357">
        <v>2035</v>
      </c>
      <c r="D357">
        <v>7</v>
      </c>
      <c r="E357">
        <v>0.97</v>
      </c>
      <c r="F357">
        <v>0.93</v>
      </c>
      <c r="G357">
        <v>0.1</v>
      </c>
      <c r="H357">
        <v>0.88</v>
      </c>
      <c r="I357">
        <v>1.18</v>
      </c>
      <c r="J357">
        <v>0.92</v>
      </c>
      <c r="K357">
        <v>0.98</v>
      </c>
      <c r="L357" t="s">
        <v>10</v>
      </c>
      <c r="M357" t="s">
        <v>73</v>
      </c>
    </row>
    <row r="358" spans="1:13" x14ac:dyDescent="0.45">
      <c r="A358" t="s">
        <v>9</v>
      </c>
      <c r="B358" t="s">
        <v>134</v>
      </c>
      <c r="C358">
        <v>2040</v>
      </c>
      <c r="D358">
        <v>7</v>
      </c>
      <c r="E358">
        <v>0.93</v>
      </c>
      <c r="F358">
        <v>0.89</v>
      </c>
      <c r="G358">
        <v>0.12</v>
      </c>
      <c r="H358">
        <v>0.78</v>
      </c>
      <c r="I358">
        <v>1.17</v>
      </c>
      <c r="J358">
        <v>0.89</v>
      </c>
      <c r="K358">
        <v>0.96</v>
      </c>
      <c r="L358" t="s">
        <v>10</v>
      </c>
      <c r="M358" t="s">
        <v>73</v>
      </c>
    </row>
    <row r="359" spans="1:13" x14ac:dyDescent="0.45">
      <c r="A359" t="s">
        <v>9</v>
      </c>
      <c r="B359" t="s">
        <v>134</v>
      </c>
      <c r="C359">
        <v>2045</v>
      </c>
      <c r="D359">
        <v>7</v>
      </c>
      <c r="E359">
        <v>0.94</v>
      </c>
      <c r="F359">
        <v>0.88</v>
      </c>
      <c r="G359">
        <v>0.14000000000000001</v>
      </c>
      <c r="H359">
        <v>0.82</v>
      </c>
      <c r="I359">
        <v>1.21</v>
      </c>
      <c r="J359">
        <v>0.85</v>
      </c>
      <c r="K359">
        <v>0.99</v>
      </c>
      <c r="L359" t="s">
        <v>10</v>
      </c>
      <c r="M359" t="s">
        <v>73</v>
      </c>
    </row>
    <row r="360" spans="1:13" x14ac:dyDescent="0.45">
      <c r="A360" t="s">
        <v>9</v>
      </c>
      <c r="B360" t="s">
        <v>134</v>
      </c>
      <c r="C360">
        <v>2050</v>
      </c>
      <c r="D360">
        <v>7</v>
      </c>
      <c r="E360">
        <v>1.06</v>
      </c>
      <c r="F360">
        <v>0.95</v>
      </c>
      <c r="G360">
        <v>0.3</v>
      </c>
      <c r="H360">
        <v>0.86</v>
      </c>
      <c r="I360">
        <v>1.7</v>
      </c>
      <c r="J360">
        <v>0.87</v>
      </c>
      <c r="K360">
        <v>1.1000000000000001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S24"/>
  <sheetViews>
    <sheetView workbookViewId="0">
      <selection activeCell="H21" sqref="H21"/>
    </sheetView>
  </sheetViews>
  <sheetFormatPr defaultRowHeight="14.25" x14ac:dyDescent="0.45"/>
  <sheetData>
    <row r="10" spans="1:19" x14ac:dyDescent="0.45">
      <c r="A10" t="str">
        <f>IFERROR(Veda!D5,"ts_12t")</f>
        <v>ts_annual</v>
      </c>
      <c r="B10" s="15"/>
      <c r="C10" s="15" t="s">
        <v>242</v>
      </c>
      <c r="D10" t="s">
        <v>118</v>
      </c>
      <c r="F10" t="s">
        <v>242</v>
      </c>
      <c r="G10" t="s">
        <v>254</v>
      </c>
      <c r="I10" t="s">
        <v>242</v>
      </c>
      <c r="J10" t="s">
        <v>271</v>
      </c>
      <c r="L10" t="s">
        <v>242</v>
      </c>
      <c r="M10" t="s">
        <v>119</v>
      </c>
      <c r="O10" t="s">
        <v>242</v>
      </c>
      <c r="P10" t="s">
        <v>103</v>
      </c>
      <c r="R10" t="s">
        <v>242</v>
      </c>
      <c r="S10" t="s">
        <v>120</v>
      </c>
    </row>
    <row r="11" spans="1:19" x14ac:dyDescent="0.45">
      <c r="B11" s="15"/>
      <c r="C11" s="15" t="s">
        <v>243</v>
      </c>
      <c r="D11" t="s">
        <v>244</v>
      </c>
      <c r="F11" t="s">
        <v>243</v>
      </c>
      <c r="G11" t="s">
        <v>267</v>
      </c>
      <c r="I11" t="s">
        <v>243</v>
      </c>
      <c r="J11" t="s">
        <v>278</v>
      </c>
      <c r="L11" t="s">
        <v>243</v>
      </c>
      <c r="M11" t="s">
        <v>292</v>
      </c>
      <c r="O11" t="s">
        <v>243</v>
      </c>
      <c r="P11" t="s">
        <v>296</v>
      </c>
      <c r="R11" t="s">
        <v>243</v>
      </c>
      <c r="S11" t="s">
        <v>315</v>
      </c>
    </row>
    <row r="12" spans="1:19" x14ac:dyDescent="0.45">
      <c r="B12" s="15"/>
      <c r="C12" s="15" t="s">
        <v>245</v>
      </c>
      <c r="D12" t="s">
        <v>246</v>
      </c>
      <c r="F12" t="s">
        <v>245</v>
      </c>
      <c r="G12" t="s">
        <v>268</v>
      </c>
      <c r="I12" t="s">
        <v>245</v>
      </c>
      <c r="J12" t="s">
        <v>279</v>
      </c>
      <c r="L12" t="s">
        <v>245</v>
      </c>
      <c r="M12" t="s">
        <v>293</v>
      </c>
      <c r="O12" t="s">
        <v>245</v>
      </c>
      <c r="P12" t="s">
        <v>296</v>
      </c>
      <c r="R12" t="s">
        <v>245</v>
      </c>
      <c r="S12" t="s">
        <v>316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5679B-F96F-4A5F-A38E-09E6C117939E}">
  <dimension ref="A9:AN35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118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241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247</v>
      </c>
      <c r="AK10" t="s">
        <v>47</v>
      </c>
      <c r="AL10" t="s">
        <v>115</v>
      </c>
      <c r="AM10" t="s">
        <v>248</v>
      </c>
      <c r="AN10" t="s">
        <v>249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145</v>
      </c>
      <c r="G11" t="s">
        <v>143</v>
      </c>
      <c r="I11" t="s">
        <v>152</v>
      </c>
      <c r="J11" t="s">
        <v>153</v>
      </c>
      <c r="K11">
        <v>6.7256335235093157E-3</v>
      </c>
      <c r="L11" t="s">
        <v>154</v>
      </c>
      <c r="N11" t="s">
        <v>194</v>
      </c>
      <c r="O11" t="s">
        <v>153</v>
      </c>
      <c r="P11">
        <v>0.15167700171055809</v>
      </c>
      <c r="Q11" t="s">
        <v>154</v>
      </c>
      <c r="S11" t="s">
        <v>218</v>
      </c>
      <c r="T11" t="s">
        <v>153</v>
      </c>
      <c r="U11">
        <v>0.18646594686146978</v>
      </c>
      <c r="V11" t="s">
        <v>154</v>
      </c>
      <c r="X11">
        <v>0.18938356164383563</v>
      </c>
      <c r="Y11">
        <v>7.4791039952266131E-2</v>
      </c>
      <c r="Z11" t="s">
        <v>153</v>
      </c>
      <c r="AA11" t="s">
        <v>25</v>
      </c>
      <c r="AC11" t="s">
        <v>22</v>
      </c>
      <c r="AD11" t="s">
        <v>153</v>
      </c>
      <c r="AE11">
        <v>0.13273114382191817</v>
      </c>
      <c r="AG11" t="s">
        <v>96</v>
      </c>
      <c r="AH11" t="s">
        <v>153</v>
      </c>
      <c r="AI11">
        <v>0.34938176629727469</v>
      </c>
      <c r="AK11">
        <v>2020</v>
      </c>
      <c r="AL11" t="s">
        <v>142</v>
      </c>
      <c r="AM11">
        <v>0.22789999999999999</v>
      </c>
      <c r="AN11" t="s">
        <v>250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0.61844158104610525</v>
      </c>
      <c r="L12" t="s">
        <v>154</v>
      </c>
      <c r="N12" t="s">
        <v>194</v>
      </c>
      <c r="O12" t="s">
        <v>155</v>
      </c>
      <c r="P12">
        <v>0.25572589610456381</v>
      </c>
      <c r="Q12" t="s">
        <v>154</v>
      </c>
      <c r="S12" t="s">
        <v>218</v>
      </c>
      <c r="T12" t="s">
        <v>155</v>
      </c>
      <c r="U12">
        <v>0.28967095774286317</v>
      </c>
      <c r="V12" t="s">
        <v>154</v>
      </c>
      <c r="X12">
        <v>0.29760273972602741</v>
      </c>
      <c r="Y12">
        <v>0.43154115804390525</v>
      </c>
      <c r="Z12" t="s">
        <v>155</v>
      </c>
      <c r="AA12" t="s">
        <v>25</v>
      </c>
      <c r="AC12" t="s">
        <v>22</v>
      </c>
      <c r="AD12" t="s">
        <v>155</v>
      </c>
      <c r="AE12">
        <v>0.3421165910400637</v>
      </c>
      <c r="AG12" t="s">
        <v>96</v>
      </c>
      <c r="AH12" t="s">
        <v>155</v>
      </c>
      <c r="AI12">
        <v>0.11780999074357035</v>
      </c>
      <c r="AK12">
        <v>2020</v>
      </c>
      <c r="AL12" t="s">
        <v>146</v>
      </c>
      <c r="AM12">
        <v>0.29503333333333331</v>
      </c>
      <c r="AN12" t="s">
        <v>250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2.0174608491864979E-2</v>
      </c>
      <c r="L13" t="s">
        <v>154</v>
      </c>
      <c r="N13" t="s">
        <v>194</v>
      </c>
      <c r="O13" t="s">
        <v>156</v>
      </c>
      <c r="P13">
        <v>0.14361971346257998</v>
      </c>
      <c r="Q13" t="s">
        <v>154</v>
      </c>
      <c r="S13" t="s">
        <v>218</v>
      </c>
      <c r="T13" t="s">
        <v>156</v>
      </c>
      <c r="U13">
        <v>0.15093878937960906</v>
      </c>
      <c r="V13" t="s">
        <v>154</v>
      </c>
      <c r="X13">
        <v>0.16232876712328767</v>
      </c>
      <c r="Y13">
        <v>0.14298287049697936</v>
      </c>
      <c r="Z13" t="s">
        <v>156</v>
      </c>
      <c r="AA13" t="s">
        <v>25</v>
      </c>
      <c r="AC13" t="s">
        <v>22</v>
      </c>
      <c r="AD13" t="s">
        <v>156</v>
      </c>
      <c r="AE13">
        <v>0.18343078306839267</v>
      </c>
      <c r="AG13" t="s">
        <v>96</v>
      </c>
      <c r="AH13" t="s">
        <v>156</v>
      </c>
      <c r="AI13">
        <v>0.27819383939340048</v>
      </c>
      <c r="AK13">
        <v>2020</v>
      </c>
      <c r="AL13" t="s">
        <v>148</v>
      </c>
      <c r="AM13">
        <v>0.34450000000000003</v>
      </c>
      <c r="AN13" t="s">
        <v>250</v>
      </c>
    </row>
    <row r="14" spans="1:40" x14ac:dyDescent="0.45">
      <c r="C14" t="s">
        <v>150</v>
      </c>
      <c r="I14" t="s">
        <v>152</v>
      </c>
      <c r="J14" t="s">
        <v>157</v>
      </c>
      <c r="K14">
        <v>2.9138751692925184E-4</v>
      </c>
      <c r="L14" t="s">
        <v>154</v>
      </c>
      <c r="N14" t="s">
        <v>194</v>
      </c>
      <c r="O14" t="s">
        <v>157</v>
      </c>
      <c r="P14">
        <v>2.7127771661399281E-2</v>
      </c>
      <c r="Q14" t="s">
        <v>154</v>
      </c>
      <c r="S14" t="s">
        <v>218</v>
      </c>
      <c r="T14" t="s">
        <v>157</v>
      </c>
      <c r="U14">
        <v>5.4685698180737388E-2</v>
      </c>
      <c r="V14" t="s">
        <v>154</v>
      </c>
      <c r="X14">
        <v>4.1552511415525115E-2</v>
      </c>
      <c r="Y14">
        <v>1.6409848428345312E-2</v>
      </c>
      <c r="Z14" t="s">
        <v>157</v>
      </c>
      <c r="AA14" t="s">
        <v>25</v>
      </c>
      <c r="AC14" t="s">
        <v>22</v>
      </c>
      <c r="AD14" t="s">
        <v>157</v>
      </c>
      <c r="AE14">
        <v>2.6773343211781087E-2</v>
      </c>
      <c r="AG14" t="s">
        <v>96</v>
      </c>
      <c r="AH14" t="s">
        <v>157</v>
      </c>
      <c r="AI14">
        <v>0.21401082004765537</v>
      </c>
      <c r="AK14">
        <v>2020</v>
      </c>
      <c r="AL14" t="s">
        <v>150</v>
      </c>
      <c r="AM14">
        <v>0.38205</v>
      </c>
      <c r="AN14" t="s">
        <v>250</v>
      </c>
    </row>
    <row r="15" spans="1:40" x14ac:dyDescent="0.45">
      <c r="I15" t="s">
        <v>152</v>
      </c>
      <c r="J15" t="s">
        <v>158</v>
      </c>
      <c r="K15">
        <v>0.14803450288701731</v>
      </c>
      <c r="L15" t="s">
        <v>154</v>
      </c>
      <c r="N15" t="s">
        <v>194</v>
      </c>
      <c r="O15" t="s">
        <v>158</v>
      </c>
      <c r="P15">
        <v>4.8544389255048996E-2</v>
      </c>
      <c r="Q15" t="s">
        <v>154</v>
      </c>
      <c r="S15" t="s">
        <v>218</v>
      </c>
      <c r="T15" t="s">
        <v>158</v>
      </c>
      <c r="U15">
        <v>8.9881386656298828E-2</v>
      </c>
      <c r="V15" t="s">
        <v>154</v>
      </c>
      <c r="X15">
        <v>6.5296803652968041E-2</v>
      </c>
      <c r="Y15">
        <v>9.4684135942122674E-2</v>
      </c>
      <c r="Z15" t="s">
        <v>158</v>
      </c>
      <c r="AA15" t="s">
        <v>25</v>
      </c>
      <c r="AC15" t="s">
        <v>22</v>
      </c>
      <c r="AD15" t="s">
        <v>158</v>
      </c>
      <c r="AE15">
        <v>7.3444708825132529E-2</v>
      </c>
      <c r="AG15" t="s">
        <v>96</v>
      </c>
      <c r="AH15" t="s">
        <v>158</v>
      </c>
      <c r="AI15">
        <v>7.4180672117548641E-2</v>
      </c>
      <c r="AK15">
        <v>2021</v>
      </c>
      <c r="AL15" t="s">
        <v>142</v>
      </c>
      <c r="AM15">
        <v>0.31198749999999997</v>
      </c>
      <c r="AN15" t="s">
        <v>250</v>
      </c>
    </row>
    <row r="16" spans="1:40" x14ac:dyDescent="0.45">
      <c r="I16" t="s">
        <v>152</v>
      </c>
      <c r="J16" t="s">
        <v>159</v>
      </c>
      <c r="K16">
        <v>2.033472823981352E-3</v>
      </c>
      <c r="L16" t="s">
        <v>154</v>
      </c>
      <c r="N16" t="s">
        <v>194</v>
      </c>
      <c r="O16" t="s">
        <v>159</v>
      </c>
      <c r="P16">
        <v>2.6975426089732413E-2</v>
      </c>
      <c r="Q16" t="s">
        <v>154</v>
      </c>
      <c r="S16" t="s">
        <v>218</v>
      </c>
      <c r="T16" t="s">
        <v>159</v>
      </c>
      <c r="U16">
        <v>4.3674529426481347E-2</v>
      </c>
      <c r="V16" t="s">
        <v>154</v>
      </c>
      <c r="X16">
        <v>3.5616438356164383E-2</v>
      </c>
      <c r="Y16">
        <v>3.1371769054189563E-2</v>
      </c>
      <c r="Z16" t="s">
        <v>159</v>
      </c>
      <c r="AA16" t="s">
        <v>25</v>
      </c>
      <c r="AC16" t="s">
        <v>22</v>
      </c>
      <c r="AD16" t="s">
        <v>159</v>
      </c>
      <c r="AE16">
        <v>3.8926431499765886E-2</v>
      </c>
      <c r="AG16" t="s">
        <v>96</v>
      </c>
      <c r="AH16" t="s">
        <v>159</v>
      </c>
      <c r="AI16">
        <v>0.29636894813062087</v>
      </c>
      <c r="AK16">
        <v>2021</v>
      </c>
      <c r="AL16" t="s">
        <v>146</v>
      </c>
      <c r="AM16">
        <v>0.4528666666666667</v>
      </c>
      <c r="AN16" t="s">
        <v>250</v>
      </c>
    </row>
    <row r="17" spans="9:40" x14ac:dyDescent="0.45">
      <c r="I17" t="s">
        <v>152</v>
      </c>
      <c r="J17" t="s">
        <v>160</v>
      </c>
      <c r="K17">
        <v>1.6773747219454588E-4</v>
      </c>
      <c r="L17" t="s">
        <v>154</v>
      </c>
      <c r="N17" t="s">
        <v>194</v>
      </c>
      <c r="O17" t="s">
        <v>160</v>
      </c>
      <c r="P17">
        <v>3.3520522844827337E-2</v>
      </c>
      <c r="Q17" t="s">
        <v>154</v>
      </c>
      <c r="S17" t="s">
        <v>218</v>
      </c>
      <c r="T17" t="s">
        <v>160</v>
      </c>
      <c r="U17">
        <v>7.7392956829450011E-3</v>
      </c>
      <c r="V17" t="s">
        <v>154</v>
      </c>
      <c r="X17">
        <v>2.1575342465753426E-2</v>
      </c>
      <c r="Y17">
        <v>8.5204982224100657E-3</v>
      </c>
      <c r="Z17" t="s">
        <v>160</v>
      </c>
      <c r="AA17" t="s">
        <v>25</v>
      </c>
      <c r="AC17" t="s">
        <v>22</v>
      </c>
      <c r="AD17" t="s">
        <v>160</v>
      </c>
      <c r="AE17">
        <v>1.4079703499875664E-2</v>
      </c>
      <c r="AG17" t="s">
        <v>96</v>
      </c>
      <c r="AH17" t="s">
        <v>160</v>
      </c>
      <c r="AI17">
        <v>0.19818064662851076</v>
      </c>
      <c r="AK17">
        <v>2021</v>
      </c>
      <c r="AL17" t="s">
        <v>148</v>
      </c>
      <c r="AM17">
        <v>0.42710000000000004</v>
      </c>
      <c r="AN17" t="s">
        <v>250</v>
      </c>
    </row>
    <row r="18" spans="9:40" x14ac:dyDescent="0.45">
      <c r="I18" t="s">
        <v>152</v>
      </c>
      <c r="J18" t="s">
        <v>161</v>
      </c>
      <c r="K18">
        <v>7.0379382908287588E-2</v>
      </c>
      <c r="L18" t="s">
        <v>154</v>
      </c>
      <c r="N18" t="s">
        <v>194</v>
      </c>
      <c r="O18" t="s">
        <v>161</v>
      </c>
      <c r="P18">
        <v>5.8249383713602096E-2</v>
      </c>
      <c r="Q18" t="s">
        <v>154</v>
      </c>
      <c r="S18" t="s">
        <v>218</v>
      </c>
      <c r="T18" t="s">
        <v>161</v>
      </c>
      <c r="U18">
        <v>1.1540356950872828E-2</v>
      </c>
      <c r="V18" t="s">
        <v>154</v>
      </c>
      <c r="X18">
        <v>3.3904109589041095E-2</v>
      </c>
      <c r="Y18">
        <v>4.916291673917908E-2</v>
      </c>
      <c r="Z18" t="s">
        <v>161</v>
      </c>
      <c r="AA18" t="s">
        <v>25</v>
      </c>
      <c r="AC18" t="s">
        <v>22</v>
      </c>
      <c r="AD18" t="s">
        <v>161</v>
      </c>
      <c r="AE18">
        <v>3.8318350138519079E-2</v>
      </c>
      <c r="AG18" t="s">
        <v>96</v>
      </c>
      <c r="AH18" t="s">
        <v>161</v>
      </c>
      <c r="AI18">
        <v>7.2655156233906393E-2</v>
      </c>
      <c r="AK18">
        <v>2021</v>
      </c>
      <c r="AL18" t="s">
        <v>150</v>
      </c>
      <c r="AM18">
        <v>0.3654</v>
      </c>
      <c r="AN18" t="s">
        <v>250</v>
      </c>
    </row>
    <row r="19" spans="9:40" x14ac:dyDescent="0.45">
      <c r="I19" t="s">
        <v>152</v>
      </c>
      <c r="J19" t="s">
        <v>162</v>
      </c>
      <c r="K19">
        <v>0</v>
      </c>
      <c r="L19" t="s">
        <v>154</v>
      </c>
      <c r="N19" t="s">
        <v>194</v>
      </c>
      <c r="O19" t="s">
        <v>162</v>
      </c>
      <c r="P19">
        <v>2.901719008182357E-2</v>
      </c>
      <c r="Q19" t="s">
        <v>154</v>
      </c>
      <c r="S19" t="s">
        <v>218</v>
      </c>
      <c r="T19" t="s">
        <v>162</v>
      </c>
      <c r="U19">
        <v>6.6008646974261625E-3</v>
      </c>
      <c r="V19" t="s">
        <v>154</v>
      </c>
      <c r="X19">
        <v>1.8493150684931507E-2</v>
      </c>
      <c r="Y19">
        <v>1.6289187778136888E-2</v>
      </c>
      <c r="Z19" t="s">
        <v>162</v>
      </c>
      <c r="AA19" t="s">
        <v>25</v>
      </c>
      <c r="AC19" t="s">
        <v>22</v>
      </c>
      <c r="AD19" t="s">
        <v>162</v>
      </c>
      <c r="AE19">
        <v>2.0461122731413948E-2</v>
      </c>
      <c r="AG19" t="s">
        <v>96</v>
      </c>
      <c r="AH19" t="s">
        <v>162</v>
      </c>
      <c r="AI19">
        <v>0.26577220058366402</v>
      </c>
      <c r="AK19">
        <v>2022</v>
      </c>
      <c r="AL19" t="s">
        <v>142</v>
      </c>
      <c r="AM19">
        <v>0.35178749999999998</v>
      </c>
      <c r="AN19" t="s">
        <v>250</v>
      </c>
    </row>
    <row r="20" spans="9:40" x14ac:dyDescent="0.45">
      <c r="I20" t="s">
        <v>152</v>
      </c>
      <c r="J20" t="s">
        <v>163</v>
      </c>
      <c r="K20">
        <v>0</v>
      </c>
      <c r="L20" t="s">
        <v>154</v>
      </c>
      <c r="N20" t="s">
        <v>194</v>
      </c>
      <c r="O20" t="s">
        <v>163</v>
      </c>
      <c r="P20">
        <v>6.4483795791300855E-2</v>
      </c>
      <c r="Q20" t="s">
        <v>154</v>
      </c>
      <c r="S20" t="s">
        <v>218</v>
      </c>
      <c r="T20" t="s">
        <v>163</v>
      </c>
      <c r="U20">
        <v>4.4556213613282714E-2</v>
      </c>
      <c r="V20" t="s">
        <v>154</v>
      </c>
      <c r="X20">
        <v>3.9155251141552515E-2</v>
      </c>
      <c r="Y20">
        <v>1.5463126403633084E-2</v>
      </c>
      <c r="Z20" t="s">
        <v>163</v>
      </c>
      <c r="AA20" t="s">
        <v>25</v>
      </c>
      <c r="AC20" t="s">
        <v>22</v>
      </c>
      <c r="AD20" t="s">
        <v>163</v>
      </c>
      <c r="AE20">
        <v>2.5182533549232014E-2</v>
      </c>
      <c r="AG20" t="s">
        <v>96</v>
      </c>
      <c r="AH20" t="s">
        <v>163</v>
      </c>
      <c r="AI20">
        <v>0.20602074935618986</v>
      </c>
      <c r="AK20">
        <v>2022</v>
      </c>
      <c r="AL20" t="s">
        <v>146</v>
      </c>
      <c r="AM20">
        <v>0.4531</v>
      </c>
      <c r="AN20" t="s">
        <v>250</v>
      </c>
    </row>
    <row r="21" spans="9:40" x14ac:dyDescent="0.45">
      <c r="I21" t="s">
        <v>152</v>
      </c>
      <c r="J21" t="s">
        <v>164</v>
      </c>
      <c r="K21">
        <v>0.13375169333010975</v>
      </c>
      <c r="L21" t="s">
        <v>154</v>
      </c>
      <c r="N21" t="s">
        <v>194</v>
      </c>
      <c r="O21" t="s">
        <v>164</v>
      </c>
      <c r="P21">
        <v>0.10648177570573274</v>
      </c>
      <c r="Q21" t="s">
        <v>154</v>
      </c>
      <c r="S21" t="s">
        <v>218</v>
      </c>
      <c r="T21" t="s">
        <v>164</v>
      </c>
      <c r="U21">
        <v>7.1507107103112783E-2</v>
      </c>
      <c r="V21" t="s">
        <v>154</v>
      </c>
      <c r="X21">
        <v>6.1529680365296803E-2</v>
      </c>
      <c r="Y21">
        <v>8.9221589637769438E-2</v>
      </c>
      <c r="Z21" t="s">
        <v>164</v>
      </c>
      <c r="AA21" t="s">
        <v>25</v>
      </c>
      <c r="AC21" t="s">
        <v>22</v>
      </c>
      <c r="AD21" t="s">
        <v>164</v>
      </c>
      <c r="AE21">
        <v>6.8037985075957499E-2</v>
      </c>
      <c r="AG21" t="s">
        <v>96</v>
      </c>
      <c r="AH21" t="s">
        <v>164</v>
      </c>
      <c r="AI21">
        <v>8.7480064306622252E-2</v>
      </c>
      <c r="AK21">
        <v>2022</v>
      </c>
      <c r="AL21" t="s">
        <v>148</v>
      </c>
      <c r="AM21">
        <v>0.43845000000000001</v>
      </c>
      <c r="AN21" t="s">
        <v>250</v>
      </c>
    </row>
    <row r="22" spans="9:40" x14ac:dyDescent="0.45">
      <c r="I22" t="s">
        <v>152</v>
      </c>
      <c r="J22" t="s">
        <v>165</v>
      </c>
      <c r="K22">
        <v>0</v>
      </c>
      <c r="L22" t="s">
        <v>154</v>
      </c>
      <c r="N22" t="s">
        <v>194</v>
      </c>
      <c r="O22" t="s">
        <v>165</v>
      </c>
      <c r="P22">
        <v>5.4577133578830164E-2</v>
      </c>
      <c r="Q22" t="s">
        <v>154</v>
      </c>
      <c r="S22" t="s">
        <v>218</v>
      </c>
      <c r="T22" t="s">
        <v>165</v>
      </c>
      <c r="U22">
        <v>4.2738853704900187E-2</v>
      </c>
      <c r="V22" t="s">
        <v>154</v>
      </c>
      <c r="X22">
        <v>3.3561643835616439E-2</v>
      </c>
      <c r="Y22">
        <v>2.9561859301063243E-2</v>
      </c>
      <c r="Z22" t="s">
        <v>165</v>
      </c>
      <c r="AA22" t="s">
        <v>25</v>
      </c>
      <c r="AC22" t="s">
        <v>22</v>
      </c>
      <c r="AD22" t="s">
        <v>165</v>
      </c>
      <c r="AE22">
        <v>3.6497303537947723E-2</v>
      </c>
      <c r="AG22" t="s">
        <v>96</v>
      </c>
      <c r="AH22" t="s">
        <v>165</v>
      </c>
      <c r="AI22">
        <v>0.27058561358070854</v>
      </c>
      <c r="AK22">
        <v>2022</v>
      </c>
      <c r="AL22" t="s">
        <v>150</v>
      </c>
      <c r="AM22">
        <v>0.40529999999999999</v>
      </c>
      <c r="AN22" t="s">
        <v>250</v>
      </c>
    </row>
    <row r="23" spans="9:40" x14ac:dyDescent="0.45">
      <c r="I23" t="s">
        <v>166</v>
      </c>
      <c r="J23" t="s">
        <v>153</v>
      </c>
      <c r="K23">
        <v>1.2210910260312892E-3</v>
      </c>
      <c r="L23" t="s">
        <v>154</v>
      </c>
      <c r="N23" t="s">
        <v>195</v>
      </c>
      <c r="O23" t="s">
        <v>153</v>
      </c>
      <c r="P23">
        <v>0.11616350275611212</v>
      </c>
      <c r="Q23" t="s">
        <v>154</v>
      </c>
      <c r="S23" t="s">
        <v>219</v>
      </c>
      <c r="T23" t="s">
        <v>153</v>
      </c>
      <c r="U23">
        <v>0.18261875461601029</v>
      </c>
      <c r="V23" t="s">
        <v>154</v>
      </c>
      <c r="AC23" t="s">
        <v>19</v>
      </c>
      <c r="AD23" t="s">
        <v>153</v>
      </c>
      <c r="AE23">
        <v>0.18522873061513781</v>
      </c>
      <c r="AK23">
        <v>2025</v>
      </c>
      <c r="AL23" t="s">
        <v>142</v>
      </c>
      <c r="AM23">
        <v>0.2951375</v>
      </c>
      <c r="AN23" t="s">
        <v>250</v>
      </c>
    </row>
    <row r="24" spans="9:40" x14ac:dyDescent="0.45">
      <c r="I24" t="s">
        <v>166</v>
      </c>
      <c r="J24" t="s">
        <v>155</v>
      </c>
      <c r="K24">
        <v>0.62996902897878448</v>
      </c>
      <c r="L24" t="s">
        <v>154</v>
      </c>
      <c r="N24" t="s">
        <v>195</v>
      </c>
      <c r="O24" t="s">
        <v>155</v>
      </c>
      <c r="P24">
        <v>0.2430652292691193</v>
      </c>
      <c r="Q24" t="s">
        <v>154</v>
      </c>
      <c r="S24" t="s">
        <v>219</v>
      </c>
      <c r="T24" t="s">
        <v>155</v>
      </c>
      <c r="U24">
        <v>0.29213175007160413</v>
      </c>
      <c r="V24" t="s">
        <v>154</v>
      </c>
      <c r="AC24" t="s">
        <v>19</v>
      </c>
      <c r="AD24" t="s">
        <v>155</v>
      </c>
      <c r="AE24">
        <v>0.3004799825033565</v>
      </c>
      <c r="AK24">
        <v>2025</v>
      </c>
      <c r="AL24" t="s">
        <v>146</v>
      </c>
      <c r="AM24">
        <v>0.37109999999999999</v>
      </c>
      <c r="AN24" t="s">
        <v>250</v>
      </c>
    </row>
    <row r="25" spans="9:40" x14ac:dyDescent="0.45">
      <c r="I25" t="s">
        <v>166</v>
      </c>
      <c r="J25" t="s">
        <v>156</v>
      </c>
      <c r="K25">
        <v>1.9017799762416403E-2</v>
      </c>
      <c r="L25" t="s">
        <v>154</v>
      </c>
      <c r="N25" t="s">
        <v>195</v>
      </c>
      <c r="O25" t="s">
        <v>156</v>
      </c>
      <c r="P25">
        <v>0.11878898474508716</v>
      </c>
      <c r="Q25" t="s">
        <v>154</v>
      </c>
      <c r="S25" t="s">
        <v>219</v>
      </c>
      <c r="T25" t="s">
        <v>156</v>
      </c>
      <c r="U25">
        <v>0.1562121740172773</v>
      </c>
      <c r="V25" t="s">
        <v>154</v>
      </c>
      <c r="AC25" t="s">
        <v>19</v>
      </c>
      <c r="AD25" t="s">
        <v>156</v>
      </c>
      <c r="AE25">
        <v>0.16367430064484556</v>
      </c>
      <c r="AK25">
        <v>2025</v>
      </c>
      <c r="AL25" t="s">
        <v>148</v>
      </c>
      <c r="AM25">
        <v>0.34094999999999998</v>
      </c>
      <c r="AN25" t="s">
        <v>250</v>
      </c>
    </row>
    <row r="26" spans="9:40" x14ac:dyDescent="0.45">
      <c r="I26" t="s">
        <v>166</v>
      </c>
      <c r="J26" t="s">
        <v>157</v>
      </c>
      <c r="K26">
        <v>0</v>
      </c>
      <c r="L26" t="s">
        <v>154</v>
      </c>
      <c r="N26" t="s">
        <v>195</v>
      </c>
      <c r="O26" t="s">
        <v>157</v>
      </c>
      <c r="P26">
        <v>3.7100166443460439E-2</v>
      </c>
      <c r="Q26" t="s">
        <v>154</v>
      </c>
      <c r="S26" t="s">
        <v>219</v>
      </c>
      <c r="T26" t="s">
        <v>157</v>
      </c>
      <c r="U26">
        <v>6.9077984788640703E-2</v>
      </c>
      <c r="V26" t="s">
        <v>154</v>
      </c>
      <c r="AC26" t="s">
        <v>19</v>
      </c>
      <c r="AD26" t="s">
        <v>157</v>
      </c>
      <c r="AE26">
        <v>4.057006478889276E-2</v>
      </c>
      <c r="AK26">
        <v>2025</v>
      </c>
      <c r="AL26" t="s">
        <v>150</v>
      </c>
      <c r="AM26">
        <v>0.28625</v>
      </c>
      <c r="AN26" t="s">
        <v>250</v>
      </c>
    </row>
    <row r="27" spans="9:40" x14ac:dyDescent="0.45">
      <c r="I27" t="s">
        <v>166</v>
      </c>
      <c r="J27" t="s">
        <v>158</v>
      </c>
      <c r="K27">
        <v>0.13689119011195239</v>
      </c>
      <c r="L27" t="s">
        <v>154</v>
      </c>
      <c r="N27" t="s">
        <v>195</v>
      </c>
      <c r="O27" t="s">
        <v>158</v>
      </c>
      <c r="P27">
        <v>7.127384258667803E-2</v>
      </c>
      <c r="Q27" t="s">
        <v>154</v>
      </c>
      <c r="S27" t="s">
        <v>219</v>
      </c>
      <c r="T27" t="s">
        <v>158</v>
      </c>
      <c r="U27">
        <v>0.108312108859033</v>
      </c>
      <c r="V27" t="s">
        <v>154</v>
      </c>
      <c r="AC27" t="s">
        <v>19</v>
      </c>
      <c r="AD27" t="s">
        <v>158</v>
      </c>
      <c r="AE27">
        <v>6.5962770653224048E-2</v>
      </c>
      <c r="AK27">
        <v>2026</v>
      </c>
      <c r="AL27" t="s">
        <v>142</v>
      </c>
      <c r="AM27">
        <v>0.35624999999999996</v>
      </c>
      <c r="AN27" t="s">
        <v>250</v>
      </c>
    </row>
    <row r="28" spans="9:40" x14ac:dyDescent="0.45">
      <c r="I28" t="s">
        <v>166</v>
      </c>
      <c r="J28" t="s">
        <v>159</v>
      </c>
      <c r="K28">
        <v>2.454679360308585E-3</v>
      </c>
      <c r="L28" t="s">
        <v>154</v>
      </c>
      <c r="N28" t="s">
        <v>195</v>
      </c>
      <c r="O28" t="s">
        <v>159</v>
      </c>
      <c r="P28">
        <v>3.5730258544821335E-2</v>
      </c>
      <c r="Q28" t="s">
        <v>154</v>
      </c>
      <c r="S28" t="s">
        <v>219</v>
      </c>
      <c r="T28" t="s">
        <v>159</v>
      </c>
      <c r="U28">
        <v>5.4746748355032022E-2</v>
      </c>
      <c r="V28" t="s">
        <v>154</v>
      </c>
      <c r="AC28" t="s">
        <v>19</v>
      </c>
      <c r="AD28" t="s">
        <v>159</v>
      </c>
      <c r="AE28">
        <v>3.5899793621357937E-2</v>
      </c>
      <c r="AK28">
        <v>2026</v>
      </c>
      <c r="AL28" t="s">
        <v>146</v>
      </c>
      <c r="AM28">
        <v>0.49580000000000002</v>
      </c>
      <c r="AN28" t="s">
        <v>250</v>
      </c>
    </row>
    <row r="29" spans="9:40" x14ac:dyDescent="0.45">
      <c r="I29" t="s">
        <v>166</v>
      </c>
      <c r="J29" t="s">
        <v>160</v>
      </c>
      <c r="K29">
        <v>0</v>
      </c>
      <c r="L29" t="s">
        <v>154</v>
      </c>
      <c r="N29" t="s">
        <v>195</v>
      </c>
      <c r="O29" t="s">
        <v>160</v>
      </c>
      <c r="P29">
        <v>3.8550938948544722E-2</v>
      </c>
      <c r="Q29" t="s">
        <v>154</v>
      </c>
      <c r="S29" t="s">
        <v>219</v>
      </c>
      <c r="T29" t="s">
        <v>160</v>
      </c>
      <c r="U29">
        <v>1.1784587596776173E-2</v>
      </c>
      <c r="V29" t="s">
        <v>154</v>
      </c>
      <c r="AC29" t="s">
        <v>19</v>
      </c>
      <c r="AD29" t="s">
        <v>160</v>
      </c>
      <c r="AE29">
        <v>2.1070734611874295E-2</v>
      </c>
      <c r="AK29">
        <v>2026</v>
      </c>
      <c r="AL29" t="s">
        <v>148</v>
      </c>
      <c r="AM29">
        <v>0.44</v>
      </c>
      <c r="AN29" t="s">
        <v>250</v>
      </c>
    </row>
    <row r="30" spans="9:40" x14ac:dyDescent="0.45">
      <c r="I30" t="s">
        <v>166</v>
      </c>
      <c r="J30" t="s">
        <v>161</v>
      </c>
      <c r="K30">
        <v>6.9460448684440054E-2</v>
      </c>
      <c r="L30" t="s">
        <v>154</v>
      </c>
      <c r="N30" t="s">
        <v>195</v>
      </c>
      <c r="O30" t="s">
        <v>161</v>
      </c>
      <c r="P30">
        <v>6.8166085209592983E-2</v>
      </c>
      <c r="Q30" t="s">
        <v>154</v>
      </c>
      <c r="S30" t="s">
        <v>219</v>
      </c>
      <c r="T30" t="s">
        <v>161</v>
      </c>
      <c r="U30">
        <v>1.7180991152512679E-2</v>
      </c>
      <c r="V30" t="s">
        <v>154</v>
      </c>
      <c r="AC30" t="s">
        <v>19</v>
      </c>
      <c r="AD30" t="s">
        <v>161</v>
      </c>
      <c r="AE30">
        <v>3.4251768615952062E-2</v>
      </c>
      <c r="AK30">
        <v>2026</v>
      </c>
      <c r="AL30" t="s">
        <v>150</v>
      </c>
      <c r="AM30">
        <v>0.43859999999999999</v>
      </c>
      <c r="AN30" t="s">
        <v>250</v>
      </c>
    </row>
    <row r="31" spans="9:40" x14ac:dyDescent="0.45">
      <c r="I31" t="s">
        <v>166</v>
      </c>
      <c r="J31" t="s">
        <v>162</v>
      </c>
      <c r="K31">
        <v>0</v>
      </c>
      <c r="L31" t="s">
        <v>154</v>
      </c>
      <c r="N31" t="s">
        <v>195</v>
      </c>
      <c r="O31" t="s">
        <v>162</v>
      </c>
      <c r="P31">
        <v>3.9110452077773084E-2</v>
      </c>
      <c r="Q31" t="s">
        <v>154</v>
      </c>
      <c r="S31" t="s">
        <v>219</v>
      </c>
      <c r="T31" t="s">
        <v>162</v>
      </c>
      <c r="U31">
        <v>8.7131021164930829E-3</v>
      </c>
      <c r="V31" t="s">
        <v>154</v>
      </c>
      <c r="AC31" t="s">
        <v>19</v>
      </c>
      <c r="AD31" t="s">
        <v>162</v>
      </c>
      <c r="AE31">
        <v>1.8651804441340271E-2</v>
      </c>
      <c r="AK31">
        <v>2027</v>
      </c>
      <c r="AL31" t="s">
        <v>142</v>
      </c>
      <c r="AM31">
        <v>0.40931250000000002</v>
      </c>
      <c r="AN31" t="s">
        <v>250</v>
      </c>
    </row>
    <row r="32" spans="9:40" x14ac:dyDescent="0.45">
      <c r="I32" t="s">
        <v>166</v>
      </c>
      <c r="J32" t="s">
        <v>163</v>
      </c>
      <c r="K32">
        <v>0</v>
      </c>
      <c r="L32" t="s">
        <v>154</v>
      </c>
      <c r="N32" t="s">
        <v>195</v>
      </c>
      <c r="O32" t="s">
        <v>163</v>
      </c>
      <c r="P32">
        <v>6.1183050174243726E-2</v>
      </c>
      <c r="Q32" t="s">
        <v>154</v>
      </c>
      <c r="S32" t="s">
        <v>219</v>
      </c>
      <c r="T32" t="s">
        <v>163</v>
      </c>
      <c r="U32">
        <v>2.9833182229631182E-2</v>
      </c>
      <c r="V32" t="s">
        <v>154</v>
      </c>
      <c r="AC32" t="s">
        <v>19</v>
      </c>
      <c r="AD32" t="s">
        <v>163</v>
      </c>
      <c r="AE32">
        <v>3.8253424549002629E-2</v>
      </c>
      <c r="AK32">
        <v>2027</v>
      </c>
      <c r="AL32" t="s">
        <v>146</v>
      </c>
      <c r="AM32">
        <v>0.5782666666666666</v>
      </c>
      <c r="AN32" t="s">
        <v>250</v>
      </c>
    </row>
    <row r="33" spans="9:40" x14ac:dyDescent="0.45">
      <c r="I33" t="s">
        <v>166</v>
      </c>
      <c r="J33" t="s">
        <v>164</v>
      </c>
      <c r="K33">
        <v>0.14094605727645862</v>
      </c>
      <c r="L33" t="s">
        <v>154</v>
      </c>
      <c r="N33" t="s">
        <v>195</v>
      </c>
      <c r="O33" t="s">
        <v>164</v>
      </c>
      <c r="P33">
        <v>0.11230845955968564</v>
      </c>
      <c r="Q33" t="s">
        <v>154</v>
      </c>
      <c r="S33" t="s">
        <v>219</v>
      </c>
      <c r="T33" t="s">
        <v>164</v>
      </c>
      <c r="U33">
        <v>4.425608858557438E-2</v>
      </c>
      <c r="V33" t="s">
        <v>154</v>
      </c>
      <c r="AC33" t="s">
        <v>19</v>
      </c>
      <c r="AD33" t="s">
        <v>164</v>
      </c>
      <c r="AE33">
        <v>6.2117580365677549E-2</v>
      </c>
      <c r="AK33">
        <v>2027</v>
      </c>
      <c r="AL33" t="s">
        <v>148</v>
      </c>
      <c r="AM33">
        <v>0.42784999999999995</v>
      </c>
      <c r="AN33" t="s">
        <v>250</v>
      </c>
    </row>
    <row r="34" spans="9:40" x14ac:dyDescent="0.45">
      <c r="I34" t="s">
        <v>166</v>
      </c>
      <c r="J34" t="s">
        <v>165</v>
      </c>
      <c r="K34">
        <v>3.9704799607249579E-5</v>
      </c>
      <c r="L34" t="s">
        <v>154</v>
      </c>
      <c r="N34" t="s">
        <v>195</v>
      </c>
      <c r="O34" t="s">
        <v>165</v>
      </c>
      <c r="P34">
        <v>5.8559029684878229E-2</v>
      </c>
      <c r="Q34" t="s">
        <v>154</v>
      </c>
      <c r="S34" t="s">
        <v>219</v>
      </c>
      <c r="T34" t="s">
        <v>165</v>
      </c>
      <c r="U34">
        <v>2.5132527611418719E-2</v>
      </c>
      <c r="V34" t="s">
        <v>154</v>
      </c>
      <c r="AC34" t="s">
        <v>19</v>
      </c>
      <c r="AD34" t="s">
        <v>165</v>
      </c>
      <c r="AE34">
        <v>3.3839044589338729E-2</v>
      </c>
      <c r="AK34">
        <v>2027</v>
      </c>
      <c r="AL34" t="s">
        <v>150</v>
      </c>
      <c r="AM34">
        <v>0.37709999999999999</v>
      </c>
      <c r="AN34" t="s">
        <v>250</v>
      </c>
    </row>
    <row r="35" spans="9:40" x14ac:dyDescent="0.45">
      <c r="I35" t="s">
        <v>167</v>
      </c>
      <c r="J35" t="s">
        <v>153</v>
      </c>
      <c r="K35">
        <v>7.5007191460297702E-3</v>
      </c>
      <c r="L35" t="s">
        <v>154</v>
      </c>
      <c r="N35" t="s">
        <v>196</v>
      </c>
      <c r="O35" t="s">
        <v>153</v>
      </c>
      <c r="P35">
        <v>0.1322950088336973</v>
      </c>
      <c r="Q35" t="s">
        <v>154</v>
      </c>
      <c r="S35" t="s">
        <v>220</v>
      </c>
      <c r="T35" t="s">
        <v>153</v>
      </c>
      <c r="U35">
        <v>0.1828570422210376</v>
      </c>
      <c r="V35" t="s">
        <v>154</v>
      </c>
      <c r="AK35">
        <v>2028</v>
      </c>
      <c r="AL35" t="s">
        <v>142</v>
      </c>
      <c r="AM35">
        <v>0.39555000000000007</v>
      </c>
      <c r="AN35" t="s">
        <v>250</v>
      </c>
    </row>
    <row r="36" spans="9:40" x14ac:dyDescent="0.45">
      <c r="I36" t="s">
        <v>167</v>
      </c>
      <c r="J36" t="s">
        <v>155</v>
      </c>
      <c r="K36">
        <v>0.63795157489126397</v>
      </c>
      <c r="L36" t="s">
        <v>154</v>
      </c>
      <c r="N36" t="s">
        <v>196</v>
      </c>
      <c r="O36" t="s">
        <v>155</v>
      </c>
      <c r="P36">
        <v>0.25761090844960893</v>
      </c>
      <c r="Q36" t="s">
        <v>154</v>
      </c>
      <c r="S36" t="s">
        <v>220</v>
      </c>
      <c r="T36" t="s">
        <v>155</v>
      </c>
      <c r="U36">
        <v>0.28247764933601294</v>
      </c>
      <c r="V36" t="s">
        <v>154</v>
      </c>
      <c r="AK36">
        <v>2028</v>
      </c>
      <c r="AL36" t="s">
        <v>146</v>
      </c>
      <c r="AM36">
        <v>0.55143333333333333</v>
      </c>
      <c r="AN36" t="s">
        <v>250</v>
      </c>
    </row>
    <row r="37" spans="9:40" x14ac:dyDescent="0.45">
      <c r="I37" t="s">
        <v>167</v>
      </c>
      <c r="J37" t="s">
        <v>156</v>
      </c>
      <c r="K37">
        <v>1.9349353739164667E-2</v>
      </c>
      <c r="L37" t="s">
        <v>154</v>
      </c>
      <c r="N37" t="s">
        <v>196</v>
      </c>
      <c r="O37" t="s">
        <v>156</v>
      </c>
      <c r="P37">
        <v>0.12263664909866646</v>
      </c>
      <c r="Q37" t="s">
        <v>154</v>
      </c>
      <c r="S37" t="s">
        <v>220</v>
      </c>
      <c r="T37" t="s">
        <v>156</v>
      </c>
      <c r="U37">
        <v>0.16233609558632059</v>
      </c>
      <c r="V37" t="s">
        <v>154</v>
      </c>
      <c r="AK37">
        <v>2028</v>
      </c>
      <c r="AL37" t="s">
        <v>148</v>
      </c>
      <c r="AM37">
        <v>0.5452999999999999</v>
      </c>
      <c r="AN37" t="s">
        <v>250</v>
      </c>
    </row>
    <row r="38" spans="9:40" x14ac:dyDescent="0.45">
      <c r="I38" t="s">
        <v>167</v>
      </c>
      <c r="J38" t="s">
        <v>157</v>
      </c>
      <c r="K38">
        <v>0</v>
      </c>
      <c r="L38" t="s">
        <v>154</v>
      </c>
      <c r="N38" t="s">
        <v>196</v>
      </c>
      <c r="O38" t="s">
        <v>157</v>
      </c>
      <c r="P38">
        <v>3.14664814798606E-2</v>
      </c>
      <c r="Q38" t="s">
        <v>154</v>
      </c>
      <c r="S38" t="s">
        <v>220</v>
      </c>
      <c r="T38" t="s">
        <v>157</v>
      </c>
      <c r="U38">
        <v>6.8974510054380669E-2</v>
      </c>
      <c r="V38" t="s">
        <v>154</v>
      </c>
      <c r="AK38">
        <v>2028</v>
      </c>
      <c r="AL38" t="s">
        <v>150</v>
      </c>
      <c r="AM38">
        <v>0.51014999999999999</v>
      </c>
      <c r="AN38" t="s">
        <v>250</v>
      </c>
    </row>
    <row r="39" spans="9:40" x14ac:dyDescent="0.45">
      <c r="I39" t="s">
        <v>167</v>
      </c>
      <c r="J39" t="s">
        <v>158</v>
      </c>
      <c r="K39">
        <v>0.13275926604162697</v>
      </c>
      <c r="L39" t="s">
        <v>154</v>
      </c>
      <c r="N39" t="s">
        <v>196</v>
      </c>
      <c r="O39" t="s">
        <v>158</v>
      </c>
      <c r="P39">
        <v>5.6586411418287658E-2</v>
      </c>
      <c r="Q39" t="s">
        <v>154</v>
      </c>
      <c r="S39" t="s">
        <v>220</v>
      </c>
      <c r="T39" t="s">
        <v>158</v>
      </c>
      <c r="U39">
        <v>0.11399940391477553</v>
      </c>
      <c r="V39" t="s">
        <v>154</v>
      </c>
      <c r="AK39">
        <v>2029</v>
      </c>
      <c r="AL39" t="s">
        <v>142</v>
      </c>
      <c r="AM39">
        <v>0.41341249999999996</v>
      </c>
      <c r="AN39" t="s">
        <v>250</v>
      </c>
    </row>
    <row r="40" spans="9:40" x14ac:dyDescent="0.45">
      <c r="I40" t="s">
        <v>167</v>
      </c>
      <c r="J40" t="s">
        <v>159</v>
      </c>
      <c r="K40">
        <v>2.1133010281601523E-3</v>
      </c>
      <c r="L40" t="s">
        <v>154</v>
      </c>
      <c r="N40" t="s">
        <v>196</v>
      </c>
      <c r="O40" t="s">
        <v>159</v>
      </c>
      <c r="P40">
        <v>2.9861300876717765E-2</v>
      </c>
      <c r="Q40" t="s">
        <v>154</v>
      </c>
      <c r="S40" t="s">
        <v>220</v>
      </c>
      <c r="T40" t="s">
        <v>159</v>
      </c>
      <c r="U40">
        <v>5.6853744620170517E-2</v>
      </c>
      <c r="V40" t="s">
        <v>154</v>
      </c>
      <c r="AK40">
        <v>2029</v>
      </c>
      <c r="AL40" t="s">
        <v>146</v>
      </c>
      <c r="AM40">
        <v>0.52569999999999995</v>
      </c>
      <c r="AN40" t="s">
        <v>250</v>
      </c>
    </row>
    <row r="41" spans="9:40" x14ac:dyDescent="0.45">
      <c r="I41" t="s">
        <v>167</v>
      </c>
      <c r="J41" t="s">
        <v>160</v>
      </c>
      <c r="K41">
        <v>0</v>
      </c>
      <c r="L41" t="s">
        <v>154</v>
      </c>
      <c r="N41" t="s">
        <v>196</v>
      </c>
      <c r="O41" t="s">
        <v>160</v>
      </c>
      <c r="P41">
        <v>3.7949709426048257E-2</v>
      </c>
      <c r="Q41" t="s">
        <v>154</v>
      </c>
      <c r="S41" t="s">
        <v>220</v>
      </c>
      <c r="T41" t="s">
        <v>160</v>
      </c>
      <c r="U41">
        <v>1.0357627179677783E-2</v>
      </c>
      <c r="V41" t="s">
        <v>154</v>
      </c>
      <c r="AK41">
        <v>2029</v>
      </c>
      <c r="AL41" t="s">
        <v>148</v>
      </c>
      <c r="AM41">
        <v>0.44735000000000003</v>
      </c>
      <c r="AN41" t="s">
        <v>250</v>
      </c>
    </row>
    <row r="42" spans="9:40" x14ac:dyDescent="0.45">
      <c r="I42" t="s">
        <v>167</v>
      </c>
      <c r="J42" t="s">
        <v>161</v>
      </c>
      <c r="K42">
        <v>7.4526573934220366E-2</v>
      </c>
      <c r="L42" t="s">
        <v>154</v>
      </c>
      <c r="N42" t="s">
        <v>196</v>
      </c>
      <c r="O42" t="s">
        <v>161</v>
      </c>
      <c r="P42">
        <v>6.9966367093012224E-2</v>
      </c>
      <c r="Q42" t="s">
        <v>154</v>
      </c>
      <c r="S42" t="s">
        <v>220</v>
      </c>
      <c r="T42" t="s">
        <v>161</v>
      </c>
      <c r="U42">
        <v>1.925497521224695E-2</v>
      </c>
      <c r="V42" t="s">
        <v>154</v>
      </c>
      <c r="AK42">
        <v>2029</v>
      </c>
      <c r="AL42" t="s">
        <v>150</v>
      </c>
      <c r="AM42">
        <v>0.42589999999999995</v>
      </c>
      <c r="AN42" t="s">
        <v>250</v>
      </c>
    </row>
    <row r="43" spans="9:40" x14ac:dyDescent="0.45">
      <c r="I43" t="s">
        <v>167</v>
      </c>
      <c r="J43" t="s">
        <v>162</v>
      </c>
      <c r="K43">
        <v>0</v>
      </c>
      <c r="L43" t="s">
        <v>154</v>
      </c>
      <c r="N43" t="s">
        <v>196</v>
      </c>
      <c r="O43" t="s">
        <v>162</v>
      </c>
      <c r="P43">
        <v>3.284862634288601E-2</v>
      </c>
      <c r="Q43" t="s">
        <v>154</v>
      </c>
      <c r="S43" t="s">
        <v>220</v>
      </c>
      <c r="T43" t="s">
        <v>162</v>
      </c>
      <c r="U43">
        <v>8.4042416477685886E-3</v>
      </c>
      <c r="V43" t="s">
        <v>154</v>
      </c>
      <c r="AK43">
        <v>2030</v>
      </c>
      <c r="AL43" t="s">
        <v>142</v>
      </c>
      <c r="AM43">
        <v>0.41156250000000005</v>
      </c>
      <c r="AN43" t="s">
        <v>250</v>
      </c>
    </row>
    <row r="44" spans="9:40" x14ac:dyDescent="0.45">
      <c r="I44" t="s">
        <v>167</v>
      </c>
      <c r="J44" t="s">
        <v>163</v>
      </c>
      <c r="K44">
        <v>0</v>
      </c>
      <c r="L44" t="s">
        <v>154</v>
      </c>
      <c r="N44" t="s">
        <v>196</v>
      </c>
      <c r="O44" t="s">
        <v>163</v>
      </c>
      <c r="P44">
        <v>6.3249659556896959E-2</v>
      </c>
      <c r="Q44" t="s">
        <v>154</v>
      </c>
      <c r="S44" t="s">
        <v>220</v>
      </c>
      <c r="T44" t="s">
        <v>163</v>
      </c>
      <c r="U44">
        <v>2.7738736976052423E-2</v>
      </c>
      <c r="V44" t="s">
        <v>154</v>
      </c>
      <c r="AK44">
        <v>2030</v>
      </c>
      <c r="AL44" t="s">
        <v>146</v>
      </c>
      <c r="AM44">
        <v>0.51593333333333335</v>
      </c>
      <c r="AN44" t="s">
        <v>250</v>
      </c>
    </row>
    <row r="45" spans="9:40" x14ac:dyDescent="0.45">
      <c r="I45" t="s">
        <v>167</v>
      </c>
      <c r="J45" t="s">
        <v>164</v>
      </c>
      <c r="K45">
        <v>0.12579921121953619</v>
      </c>
      <c r="L45" t="s">
        <v>154</v>
      </c>
      <c r="N45" t="s">
        <v>196</v>
      </c>
      <c r="O45" t="s">
        <v>164</v>
      </c>
      <c r="P45">
        <v>0.11202599470656442</v>
      </c>
      <c r="Q45" t="s">
        <v>154</v>
      </c>
      <c r="S45" t="s">
        <v>220</v>
      </c>
      <c r="T45" t="s">
        <v>164</v>
      </c>
      <c r="U45">
        <v>3.9485770897911221E-2</v>
      </c>
      <c r="V45" t="s">
        <v>154</v>
      </c>
      <c r="AK45">
        <v>2030</v>
      </c>
      <c r="AL45" t="s">
        <v>148</v>
      </c>
      <c r="AM45">
        <v>0.47060000000000002</v>
      </c>
      <c r="AN45" t="s">
        <v>250</v>
      </c>
    </row>
    <row r="46" spans="9:40" x14ac:dyDescent="0.45">
      <c r="I46" t="s">
        <v>167</v>
      </c>
      <c r="J46" t="s">
        <v>165</v>
      </c>
      <c r="K46">
        <v>0</v>
      </c>
      <c r="L46" t="s">
        <v>154</v>
      </c>
      <c r="N46" t="s">
        <v>196</v>
      </c>
      <c r="O46" t="s">
        <v>165</v>
      </c>
      <c r="P46">
        <v>5.3502882717750652E-2</v>
      </c>
      <c r="Q46" t="s">
        <v>154</v>
      </c>
      <c r="S46" t="s">
        <v>220</v>
      </c>
      <c r="T46" t="s">
        <v>165</v>
      </c>
      <c r="U46">
        <v>2.7260202353639747E-2</v>
      </c>
      <c r="V46" t="s">
        <v>154</v>
      </c>
      <c r="AK46">
        <v>2030</v>
      </c>
      <c r="AL46" t="s">
        <v>150</v>
      </c>
      <c r="AM46">
        <v>0.44289999999999996</v>
      </c>
      <c r="AN46" t="s">
        <v>250</v>
      </c>
    </row>
    <row r="47" spans="9:40" x14ac:dyDescent="0.45">
      <c r="I47" t="s">
        <v>168</v>
      </c>
      <c r="J47" t="s">
        <v>153</v>
      </c>
      <c r="K47">
        <v>6.2632685271096908E-3</v>
      </c>
      <c r="L47" t="s">
        <v>154</v>
      </c>
      <c r="N47" t="s">
        <v>197</v>
      </c>
      <c r="O47" t="s">
        <v>153</v>
      </c>
      <c r="P47">
        <v>0.13840641133568293</v>
      </c>
      <c r="Q47" t="s">
        <v>154</v>
      </c>
      <c r="S47" t="s">
        <v>221</v>
      </c>
      <c r="T47" t="s">
        <v>153</v>
      </c>
      <c r="U47">
        <v>0.17560921343119568</v>
      </c>
      <c r="V47" t="s">
        <v>154</v>
      </c>
      <c r="AK47">
        <v>2031</v>
      </c>
      <c r="AL47" t="s">
        <v>142</v>
      </c>
      <c r="AM47">
        <v>0.35183749999999997</v>
      </c>
      <c r="AN47" t="s">
        <v>250</v>
      </c>
    </row>
    <row r="48" spans="9:40" x14ac:dyDescent="0.45">
      <c r="I48" t="s">
        <v>168</v>
      </c>
      <c r="J48" t="s">
        <v>155</v>
      </c>
      <c r="K48">
        <v>0.63044305049329774</v>
      </c>
      <c r="L48" t="s">
        <v>154</v>
      </c>
      <c r="N48" t="s">
        <v>197</v>
      </c>
      <c r="O48" t="s">
        <v>155</v>
      </c>
      <c r="P48">
        <v>0.26785487497751193</v>
      </c>
      <c r="Q48" t="s">
        <v>154</v>
      </c>
      <c r="S48" t="s">
        <v>221</v>
      </c>
      <c r="T48" t="s">
        <v>155</v>
      </c>
      <c r="U48">
        <v>0.27954007901610239</v>
      </c>
      <c r="V48" t="s">
        <v>154</v>
      </c>
      <c r="AK48">
        <v>2031</v>
      </c>
      <c r="AL48" t="s">
        <v>146</v>
      </c>
      <c r="AM48">
        <v>0.47960000000000003</v>
      </c>
      <c r="AN48" t="s">
        <v>250</v>
      </c>
    </row>
    <row r="49" spans="9:40" x14ac:dyDescent="0.45">
      <c r="I49" t="s">
        <v>168</v>
      </c>
      <c r="J49" t="s">
        <v>156</v>
      </c>
      <c r="K49">
        <v>1.9439120485262341E-2</v>
      </c>
      <c r="L49" t="s">
        <v>154</v>
      </c>
      <c r="N49" t="s">
        <v>197</v>
      </c>
      <c r="O49" t="s">
        <v>156</v>
      </c>
      <c r="P49">
        <v>0.13159460774558299</v>
      </c>
      <c r="Q49" t="s">
        <v>154</v>
      </c>
      <c r="S49" t="s">
        <v>221</v>
      </c>
      <c r="T49" t="s">
        <v>156</v>
      </c>
      <c r="U49">
        <v>0.14374046580658723</v>
      </c>
      <c r="V49" t="s">
        <v>154</v>
      </c>
      <c r="AK49">
        <v>2031</v>
      </c>
      <c r="AL49" t="s">
        <v>148</v>
      </c>
      <c r="AM49">
        <v>0.42569999999999997</v>
      </c>
      <c r="AN49" t="s">
        <v>250</v>
      </c>
    </row>
    <row r="50" spans="9:40" x14ac:dyDescent="0.45">
      <c r="I50" t="s">
        <v>168</v>
      </c>
      <c r="J50" t="s">
        <v>157</v>
      </c>
      <c r="K50">
        <v>0</v>
      </c>
      <c r="L50" t="s">
        <v>154</v>
      </c>
      <c r="N50" t="s">
        <v>197</v>
      </c>
      <c r="O50" t="s">
        <v>157</v>
      </c>
      <c r="P50">
        <v>2.8769445737596065E-2</v>
      </c>
      <c r="Q50" t="s">
        <v>154</v>
      </c>
      <c r="S50" t="s">
        <v>221</v>
      </c>
      <c r="T50" t="s">
        <v>157</v>
      </c>
      <c r="U50">
        <v>5.0911268786429466E-2</v>
      </c>
      <c r="V50" t="s">
        <v>154</v>
      </c>
      <c r="AK50">
        <v>2031</v>
      </c>
      <c r="AL50" t="s">
        <v>150</v>
      </c>
      <c r="AM50">
        <v>0.40249999999999997</v>
      </c>
      <c r="AN50" t="s">
        <v>250</v>
      </c>
    </row>
    <row r="51" spans="9:40" x14ac:dyDescent="0.45">
      <c r="I51" t="s">
        <v>168</v>
      </c>
      <c r="J51" t="s">
        <v>158</v>
      </c>
      <c r="K51">
        <v>0.13744971145168877</v>
      </c>
      <c r="L51" t="s">
        <v>154</v>
      </c>
      <c r="N51" t="s">
        <v>197</v>
      </c>
      <c r="O51" t="s">
        <v>158</v>
      </c>
      <c r="P51">
        <v>4.8262758613846456E-2</v>
      </c>
      <c r="Q51" t="s">
        <v>154</v>
      </c>
      <c r="S51" t="s">
        <v>221</v>
      </c>
      <c r="T51" t="s">
        <v>158</v>
      </c>
      <c r="U51">
        <v>8.0195264167443395E-2</v>
      </c>
      <c r="V51" t="s">
        <v>154</v>
      </c>
      <c r="AK51">
        <v>2032</v>
      </c>
      <c r="AL51" t="s">
        <v>142</v>
      </c>
      <c r="AM51">
        <v>0.31106250000000002</v>
      </c>
      <c r="AN51" t="s">
        <v>250</v>
      </c>
    </row>
    <row r="52" spans="9:40" x14ac:dyDescent="0.45">
      <c r="I52" t="s">
        <v>168</v>
      </c>
      <c r="J52" t="s">
        <v>159</v>
      </c>
      <c r="K52">
        <v>2.1451482653176506E-3</v>
      </c>
      <c r="L52" t="s">
        <v>154</v>
      </c>
      <c r="N52" t="s">
        <v>197</v>
      </c>
      <c r="O52" t="s">
        <v>159</v>
      </c>
      <c r="P52">
        <v>2.9200198085977777E-2</v>
      </c>
      <c r="Q52" t="s">
        <v>154</v>
      </c>
      <c r="S52" t="s">
        <v>221</v>
      </c>
      <c r="T52" t="s">
        <v>159</v>
      </c>
      <c r="U52">
        <v>4.0105411276370885E-2</v>
      </c>
      <c r="V52" t="s">
        <v>154</v>
      </c>
      <c r="AK52">
        <v>2032</v>
      </c>
      <c r="AL52" t="s">
        <v>146</v>
      </c>
      <c r="AM52">
        <v>0.39020000000000005</v>
      </c>
      <c r="AN52" t="s">
        <v>250</v>
      </c>
    </row>
    <row r="53" spans="9:40" x14ac:dyDescent="0.45">
      <c r="I53" t="s">
        <v>168</v>
      </c>
      <c r="J53" t="s">
        <v>160</v>
      </c>
      <c r="K53">
        <v>0</v>
      </c>
      <c r="L53" t="s">
        <v>154</v>
      </c>
      <c r="N53" t="s">
        <v>197</v>
      </c>
      <c r="O53" t="s">
        <v>160</v>
      </c>
      <c r="P53">
        <v>3.9237587523824204E-2</v>
      </c>
      <c r="Q53" t="s">
        <v>154</v>
      </c>
      <c r="S53" t="s">
        <v>221</v>
      </c>
      <c r="T53" t="s">
        <v>160</v>
      </c>
      <c r="U53">
        <v>1.0892919497007594E-2</v>
      </c>
      <c r="V53" t="s">
        <v>154</v>
      </c>
      <c r="AK53">
        <v>2032</v>
      </c>
      <c r="AL53" t="s">
        <v>148</v>
      </c>
      <c r="AM53">
        <v>0.39939999999999998</v>
      </c>
      <c r="AN53" t="s">
        <v>250</v>
      </c>
    </row>
    <row r="54" spans="9:40" x14ac:dyDescent="0.45">
      <c r="I54" t="s">
        <v>168</v>
      </c>
      <c r="J54" t="s">
        <v>161</v>
      </c>
      <c r="K54">
        <v>7.4469390173520361E-2</v>
      </c>
      <c r="L54" t="s">
        <v>154</v>
      </c>
      <c r="N54" t="s">
        <v>197</v>
      </c>
      <c r="O54" t="s">
        <v>161</v>
      </c>
      <c r="P54">
        <v>6.847607499795598E-2</v>
      </c>
      <c r="Q54" t="s">
        <v>154</v>
      </c>
      <c r="S54" t="s">
        <v>221</v>
      </c>
      <c r="T54" t="s">
        <v>161</v>
      </c>
      <c r="U54">
        <v>1.6683097045644205E-2</v>
      </c>
      <c r="V54" t="s">
        <v>154</v>
      </c>
      <c r="AK54">
        <v>2032</v>
      </c>
      <c r="AL54" t="s">
        <v>150</v>
      </c>
      <c r="AM54">
        <v>0.38865</v>
      </c>
      <c r="AN54" t="s">
        <v>250</v>
      </c>
    </row>
    <row r="55" spans="9:40" x14ac:dyDescent="0.45">
      <c r="I55" t="s">
        <v>168</v>
      </c>
      <c r="J55" t="s">
        <v>162</v>
      </c>
      <c r="K55">
        <v>0</v>
      </c>
      <c r="L55" t="s">
        <v>154</v>
      </c>
      <c r="N55" t="s">
        <v>197</v>
      </c>
      <c r="O55" t="s">
        <v>162</v>
      </c>
      <c r="P55">
        <v>3.5694347656464072E-2</v>
      </c>
      <c r="Q55" t="s">
        <v>154</v>
      </c>
      <c r="S55" t="s">
        <v>221</v>
      </c>
      <c r="T55" t="s">
        <v>162</v>
      </c>
      <c r="U55">
        <v>9.2848564464273753E-3</v>
      </c>
      <c r="V55" t="s">
        <v>154</v>
      </c>
      <c r="AK55">
        <v>2033</v>
      </c>
      <c r="AL55" t="s">
        <v>142</v>
      </c>
      <c r="AM55">
        <v>0.29920000000000002</v>
      </c>
      <c r="AN55" t="s">
        <v>250</v>
      </c>
    </row>
    <row r="56" spans="9:40" x14ac:dyDescent="0.45">
      <c r="I56" t="s">
        <v>168</v>
      </c>
      <c r="J56" t="s">
        <v>163</v>
      </c>
      <c r="K56">
        <v>0</v>
      </c>
      <c r="L56" t="s">
        <v>154</v>
      </c>
      <c r="N56" t="s">
        <v>197</v>
      </c>
      <c r="O56" t="s">
        <v>163</v>
      </c>
      <c r="P56">
        <v>6.0291271021488083E-2</v>
      </c>
      <c r="Q56" t="s">
        <v>154</v>
      </c>
      <c r="S56" t="s">
        <v>221</v>
      </c>
      <c r="T56" t="s">
        <v>163</v>
      </c>
      <c r="U56">
        <v>5.5471473007725688E-2</v>
      </c>
      <c r="V56" t="s">
        <v>154</v>
      </c>
      <c r="AK56">
        <v>2033</v>
      </c>
      <c r="AL56" t="s">
        <v>146</v>
      </c>
      <c r="AM56">
        <v>0.48933333333333334</v>
      </c>
      <c r="AN56" t="s">
        <v>250</v>
      </c>
    </row>
    <row r="57" spans="9:40" x14ac:dyDescent="0.45">
      <c r="I57" t="s">
        <v>168</v>
      </c>
      <c r="J57" t="s">
        <v>164</v>
      </c>
      <c r="K57">
        <v>0.12979031060380491</v>
      </c>
      <c r="L57" t="s">
        <v>154</v>
      </c>
      <c r="N57" t="s">
        <v>197</v>
      </c>
      <c r="O57" t="s">
        <v>164</v>
      </c>
      <c r="P57">
        <v>0.10273880323828573</v>
      </c>
      <c r="Q57" t="s">
        <v>154</v>
      </c>
      <c r="S57" t="s">
        <v>221</v>
      </c>
      <c r="T57" t="s">
        <v>164</v>
      </c>
      <c r="U57">
        <v>8.7523314767260746E-2</v>
      </c>
      <c r="V57" t="s">
        <v>154</v>
      </c>
      <c r="AK57">
        <v>2033</v>
      </c>
      <c r="AL57" t="s">
        <v>148</v>
      </c>
      <c r="AM57">
        <v>0.44020000000000004</v>
      </c>
      <c r="AN57" t="s">
        <v>250</v>
      </c>
    </row>
    <row r="58" spans="9:40" x14ac:dyDescent="0.45">
      <c r="I58" t="s">
        <v>168</v>
      </c>
      <c r="J58" t="s">
        <v>165</v>
      </c>
      <c r="K58">
        <v>0</v>
      </c>
      <c r="L58" t="s">
        <v>154</v>
      </c>
      <c r="N58" t="s">
        <v>197</v>
      </c>
      <c r="O58" t="s">
        <v>165</v>
      </c>
      <c r="P58">
        <v>4.9473619065779927E-2</v>
      </c>
      <c r="Q58" t="s">
        <v>154</v>
      </c>
      <c r="S58" t="s">
        <v>221</v>
      </c>
      <c r="T58" t="s">
        <v>165</v>
      </c>
      <c r="U58">
        <v>5.0042636751809325E-2</v>
      </c>
      <c r="V58" t="s">
        <v>154</v>
      </c>
      <c r="AK58">
        <v>2033</v>
      </c>
      <c r="AL58" t="s">
        <v>150</v>
      </c>
      <c r="AM58">
        <v>0.36194999999999999</v>
      </c>
      <c r="AN58" t="s">
        <v>250</v>
      </c>
    </row>
    <row r="59" spans="9:40" x14ac:dyDescent="0.45">
      <c r="I59" t="s">
        <v>169</v>
      </c>
      <c r="J59" t="s">
        <v>153</v>
      </c>
      <c r="K59">
        <v>0</v>
      </c>
      <c r="L59" t="s">
        <v>154</v>
      </c>
      <c r="N59" t="s">
        <v>198</v>
      </c>
      <c r="O59" t="s">
        <v>153</v>
      </c>
      <c r="P59">
        <v>0.17173807409577627</v>
      </c>
      <c r="Q59" t="s">
        <v>154</v>
      </c>
      <c r="S59" t="s">
        <v>222</v>
      </c>
      <c r="T59" t="s">
        <v>153</v>
      </c>
      <c r="U59">
        <v>0.16995539750721014</v>
      </c>
      <c r="V59" t="s">
        <v>154</v>
      </c>
      <c r="AK59">
        <v>2034</v>
      </c>
      <c r="AL59" t="s">
        <v>142</v>
      </c>
      <c r="AM59">
        <v>0.34939999999999993</v>
      </c>
      <c r="AN59" t="s">
        <v>250</v>
      </c>
    </row>
    <row r="60" spans="9:40" x14ac:dyDescent="0.45">
      <c r="I60" t="s">
        <v>169</v>
      </c>
      <c r="J60" t="s">
        <v>155</v>
      </c>
      <c r="K60">
        <v>0.63576635370351164</v>
      </c>
      <c r="L60" t="s">
        <v>154</v>
      </c>
      <c r="N60" t="s">
        <v>198</v>
      </c>
      <c r="O60" t="s">
        <v>155</v>
      </c>
      <c r="P60">
        <v>0.30454860183895716</v>
      </c>
      <c r="Q60" t="s">
        <v>154</v>
      </c>
      <c r="S60" t="s">
        <v>222</v>
      </c>
      <c r="T60" t="s">
        <v>155</v>
      </c>
      <c r="U60">
        <v>0.28444743372295545</v>
      </c>
      <c r="V60" t="s">
        <v>154</v>
      </c>
      <c r="AK60">
        <v>2034</v>
      </c>
      <c r="AL60" t="s">
        <v>146</v>
      </c>
      <c r="AM60">
        <v>0.44696666666666668</v>
      </c>
      <c r="AN60" t="s">
        <v>250</v>
      </c>
    </row>
    <row r="61" spans="9:40" x14ac:dyDescent="0.45">
      <c r="I61" t="s">
        <v>169</v>
      </c>
      <c r="J61" t="s">
        <v>156</v>
      </c>
      <c r="K61">
        <v>1.982223151490874E-2</v>
      </c>
      <c r="L61" t="s">
        <v>154</v>
      </c>
      <c r="N61" t="s">
        <v>198</v>
      </c>
      <c r="O61" t="s">
        <v>156</v>
      </c>
      <c r="P61">
        <v>0.14214946435272174</v>
      </c>
      <c r="Q61" t="s">
        <v>154</v>
      </c>
      <c r="S61" t="s">
        <v>222</v>
      </c>
      <c r="T61" t="s">
        <v>156</v>
      </c>
      <c r="U61">
        <v>0.13440818943321631</v>
      </c>
      <c r="V61" t="s">
        <v>154</v>
      </c>
      <c r="AK61">
        <v>2034</v>
      </c>
      <c r="AL61" t="s">
        <v>148</v>
      </c>
      <c r="AM61">
        <v>0.41254999999999997</v>
      </c>
      <c r="AN61" t="s">
        <v>250</v>
      </c>
    </row>
    <row r="62" spans="9:40" x14ac:dyDescent="0.45">
      <c r="I62" t="s">
        <v>169</v>
      </c>
      <c r="J62" t="s">
        <v>157</v>
      </c>
      <c r="K62">
        <v>0</v>
      </c>
      <c r="L62" t="s">
        <v>154</v>
      </c>
      <c r="N62" t="s">
        <v>198</v>
      </c>
      <c r="O62" t="s">
        <v>157</v>
      </c>
      <c r="P62">
        <v>7.1676793035422806E-2</v>
      </c>
      <c r="Q62" t="s">
        <v>154</v>
      </c>
      <c r="S62" t="s">
        <v>222</v>
      </c>
      <c r="T62" t="s">
        <v>157</v>
      </c>
      <c r="U62">
        <v>5.0283369073684851E-2</v>
      </c>
      <c r="V62" t="s">
        <v>154</v>
      </c>
      <c r="AK62">
        <v>2034</v>
      </c>
      <c r="AL62" t="s">
        <v>150</v>
      </c>
      <c r="AM62">
        <v>0.3755</v>
      </c>
      <c r="AN62" t="s">
        <v>250</v>
      </c>
    </row>
    <row r="63" spans="9:40" x14ac:dyDescent="0.45">
      <c r="I63" t="s">
        <v>169</v>
      </c>
      <c r="J63" t="s">
        <v>158</v>
      </c>
      <c r="K63">
        <v>0.12735662698650291</v>
      </c>
      <c r="L63" t="s">
        <v>154</v>
      </c>
      <c r="N63" t="s">
        <v>198</v>
      </c>
      <c r="O63" t="s">
        <v>158</v>
      </c>
      <c r="P63">
        <v>0.12137956848339883</v>
      </c>
      <c r="Q63" t="s">
        <v>154</v>
      </c>
      <c r="S63" t="s">
        <v>222</v>
      </c>
      <c r="T63" t="s">
        <v>158</v>
      </c>
      <c r="U63">
        <v>8.5449646533152873E-2</v>
      </c>
      <c r="V63" t="s">
        <v>154</v>
      </c>
      <c r="AK63">
        <v>2035</v>
      </c>
      <c r="AL63" t="s">
        <v>142</v>
      </c>
      <c r="AM63">
        <v>0.37425000000000003</v>
      </c>
      <c r="AN63" t="s">
        <v>250</v>
      </c>
    </row>
    <row r="64" spans="9:40" x14ac:dyDescent="0.45">
      <c r="I64" t="s">
        <v>169</v>
      </c>
      <c r="J64" t="s">
        <v>159</v>
      </c>
      <c r="K64">
        <v>2.2783688161054213E-3</v>
      </c>
      <c r="L64" t="s">
        <v>154</v>
      </c>
      <c r="N64" t="s">
        <v>198</v>
      </c>
      <c r="O64" t="s">
        <v>159</v>
      </c>
      <c r="P64">
        <v>5.6123766288180769E-2</v>
      </c>
      <c r="Q64" t="s">
        <v>154</v>
      </c>
      <c r="S64" t="s">
        <v>222</v>
      </c>
      <c r="T64" t="s">
        <v>159</v>
      </c>
      <c r="U64">
        <v>4.0951006895926921E-2</v>
      </c>
      <c r="V64" t="s">
        <v>154</v>
      </c>
      <c r="AK64">
        <v>2035</v>
      </c>
      <c r="AL64" t="s">
        <v>146</v>
      </c>
      <c r="AM64">
        <v>0.45843333333333341</v>
      </c>
      <c r="AN64" t="s">
        <v>250</v>
      </c>
    </row>
    <row r="65" spans="9:40" x14ac:dyDescent="0.45">
      <c r="I65" t="s">
        <v>169</v>
      </c>
      <c r="J65" t="s">
        <v>160</v>
      </c>
      <c r="K65">
        <v>0</v>
      </c>
      <c r="L65" t="s">
        <v>154</v>
      </c>
      <c r="N65" t="s">
        <v>198</v>
      </c>
      <c r="O65" t="s">
        <v>160</v>
      </c>
      <c r="P65">
        <v>1.1100577550409409E-2</v>
      </c>
      <c r="Q65" t="s">
        <v>154</v>
      </c>
      <c r="S65" t="s">
        <v>222</v>
      </c>
      <c r="T65" t="s">
        <v>160</v>
      </c>
      <c r="U65">
        <v>1.3185140077035641E-2</v>
      </c>
      <c r="V65" t="s">
        <v>154</v>
      </c>
      <c r="AK65">
        <v>2035</v>
      </c>
      <c r="AL65" t="s">
        <v>148</v>
      </c>
      <c r="AM65">
        <v>0.45484999999999998</v>
      </c>
      <c r="AN65" t="s">
        <v>250</v>
      </c>
    </row>
    <row r="66" spans="9:40" x14ac:dyDescent="0.45">
      <c r="I66" t="s">
        <v>169</v>
      </c>
      <c r="J66" t="s">
        <v>161</v>
      </c>
      <c r="K66">
        <v>7.3897242362710461E-2</v>
      </c>
      <c r="L66" t="s">
        <v>154</v>
      </c>
      <c r="N66" t="s">
        <v>198</v>
      </c>
      <c r="O66" t="s">
        <v>161</v>
      </c>
      <c r="P66">
        <v>1.8204520401154473E-2</v>
      </c>
      <c r="Q66" t="s">
        <v>154</v>
      </c>
      <c r="S66" t="s">
        <v>222</v>
      </c>
      <c r="T66" t="s">
        <v>161</v>
      </c>
      <c r="U66">
        <v>2.1889642671929554E-2</v>
      </c>
      <c r="V66" t="s">
        <v>154</v>
      </c>
      <c r="AK66">
        <v>2035</v>
      </c>
      <c r="AL66" t="s">
        <v>150</v>
      </c>
      <c r="AM66">
        <v>0.41420000000000001</v>
      </c>
      <c r="AN66" t="s">
        <v>250</v>
      </c>
    </row>
    <row r="67" spans="9:40" x14ac:dyDescent="0.45">
      <c r="I67" t="s">
        <v>169</v>
      </c>
      <c r="J67" t="s">
        <v>162</v>
      </c>
      <c r="K67">
        <v>3.303622943602027E-8</v>
      </c>
      <c r="L67" t="s">
        <v>154</v>
      </c>
      <c r="N67" t="s">
        <v>198</v>
      </c>
      <c r="O67" t="s">
        <v>162</v>
      </c>
      <c r="P67">
        <v>7.8998074358584691E-3</v>
      </c>
      <c r="Q67" t="s">
        <v>154</v>
      </c>
      <c r="S67" t="s">
        <v>222</v>
      </c>
      <c r="T67" t="s">
        <v>162</v>
      </c>
      <c r="U67">
        <v>1.2089325733853795E-2</v>
      </c>
      <c r="V67" t="s">
        <v>154</v>
      </c>
      <c r="AK67">
        <v>2036</v>
      </c>
      <c r="AL67" t="s">
        <v>142</v>
      </c>
      <c r="AM67">
        <v>0.308</v>
      </c>
      <c r="AN67" t="s">
        <v>250</v>
      </c>
    </row>
    <row r="68" spans="9:40" x14ac:dyDescent="0.45">
      <c r="I68" t="s">
        <v>169</v>
      </c>
      <c r="J68" t="s">
        <v>163</v>
      </c>
      <c r="K68">
        <v>0</v>
      </c>
      <c r="L68" t="s">
        <v>154</v>
      </c>
      <c r="N68" t="s">
        <v>198</v>
      </c>
      <c r="O68" t="s">
        <v>163</v>
      </c>
      <c r="P68">
        <v>2.7628856029426777E-2</v>
      </c>
      <c r="Q68" t="s">
        <v>154</v>
      </c>
      <c r="S68" t="s">
        <v>222</v>
      </c>
      <c r="T68" t="s">
        <v>163</v>
      </c>
      <c r="U68">
        <v>5.488342808524773E-2</v>
      </c>
      <c r="V68" t="s">
        <v>154</v>
      </c>
      <c r="AK68">
        <v>2036</v>
      </c>
      <c r="AL68" t="s">
        <v>146</v>
      </c>
      <c r="AM68">
        <v>0.46866666666666662</v>
      </c>
      <c r="AN68" t="s">
        <v>250</v>
      </c>
    </row>
    <row r="69" spans="9:40" x14ac:dyDescent="0.45">
      <c r="I69" t="s">
        <v>169</v>
      </c>
      <c r="J69" t="s">
        <v>164</v>
      </c>
      <c r="K69">
        <v>0.14067963834831107</v>
      </c>
      <c r="L69" t="s">
        <v>154</v>
      </c>
      <c r="N69" t="s">
        <v>198</v>
      </c>
      <c r="O69" t="s">
        <v>164</v>
      </c>
      <c r="P69">
        <v>4.4489845528862669E-2</v>
      </c>
      <c r="Q69" t="s">
        <v>154</v>
      </c>
      <c r="S69" t="s">
        <v>222</v>
      </c>
      <c r="T69" t="s">
        <v>164</v>
      </c>
      <c r="U69">
        <v>8.4964064166468997E-2</v>
      </c>
      <c r="V69" t="s">
        <v>154</v>
      </c>
      <c r="AK69">
        <v>2036</v>
      </c>
      <c r="AL69" t="s">
        <v>148</v>
      </c>
      <c r="AM69">
        <v>0.36985000000000001</v>
      </c>
      <c r="AN69" t="s">
        <v>250</v>
      </c>
    </row>
    <row r="70" spans="9:40" x14ac:dyDescent="0.45">
      <c r="I70" t="s">
        <v>169</v>
      </c>
      <c r="J70" t="s">
        <v>165</v>
      </c>
      <c r="K70">
        <v>1.9950523172074439E-4</v>
      </c>
      <c r="L70" t="s">
        <v>154</v>
      </c>
      <c r="N70" t="s">
        <v>198</v>
      </c>
      <c r="O70" t="s">
        <v>165</v>
      </c>
      <c r="P70">
        <v>2.3060124959831403E-2</v>
      </c>
      <c r="Q70" t="s">
        <v>154</v>
      </c>
      <c r="S70" t="s">
        <v>222</v>
      </c>
      <c r="T70" t="s">
        <v>165</v>
      </c>
      <c r="U70">
        <v>4.7493356099317256E-2</v>
      </c>
      <c r="V70" t="s">
        <v>154</v>
      </c>
      <c r="AK70">
        <v>2036</v>
      </c>
      <c r="AL70" t="s">
        <v>150</v>
      </c>
      <c r="AM70">
        <v>0.37519999999999998</v>
      </c>
      <c r="AN70" t="s">
        <v>250</v>
      </c>
    </row>
    <row r="71" spans="9:40" x14ac:dyDescent="0.45">
      <c r="I71" t="s">
        <v>170</v>
      </c>
      <c r="J71" t="s">
        <v>153</v>
      </c>
      <c r="K71">
        <v>1.985353865943507E-3</v>
      </c>
      <c r="L71" t="s">
        <v>154</v>
      </c>
      <c r="N71" t="s">
        <v>199</v>
      </c>
      <c r="O71" t="s">
        <v>153</v>
      </c>
      <c r="P71">
        <v>0.1922815925216001</v>
      </c>
      <c r="Q71" t="s">
        <v>154</v>
      </c>
      <c r="S71" t="s">
        <v>223</v>
      </c>
      <c r="T71" t="s">
        <v>153</v>
      </c>
      <c r="U71">
        <v>0.17376022179304826</v>
      </c>
      <c r="V71" t="s">
        <v>154</v>
      </c>
      <c r="AK71">
        <v>2037</v>
      </c>
      <c r="AL71" t="s">
        <v>142</v>
      </c>
      <c r="AM71">
        <v>0.3515875</v>
      </c>
      <c r="AN71" t="s">
        <v>250</v>
      </c>
    </row>
    <row r="72" spans="9:40" x14ac:dyDescent="0.45">
      <c r="I72" t="s">
        <v>170</v>
      </c>
      <c r="J72" t="s">
        <v>155</v>
      </c>
      <c r="K72">
        <v>0.6332784674307862</v>
      </c>
      <c r="L72" t="s">
        <v>154</v>
      </c>
      <c r="N72" t="s">
        <v>199</v>
      </c>
      <c r="O72" t="s">
        <v>155</v>
      </c>
      <c r="P72">
        <v>0.31528574875813792</v>
      </c>
      <c r="Q72" t="s">
        <v>154</v>
      </c>
      <c r="S72" t="s">
        <v>223</v>
      </c>
      <c r="T72" t="s">
        <v>155</v>
      </c>
      <c r="U72">
        <v>0.28832109427453878</v>
      </c>
      <c r="V72" t="s">
        <v>154</v>
      </c>
      <c r="AK72">
        <v>2037</v>
      </c>
      <c r="AL72" t="s">
        <v>146</v>
      </c>
      <c r="AM72">
        <v>0.45366666666666666</v>
      </c>
      <c r="AN72" t="s">
        <v>250</v>
      </c>
    </row>
    <row r="73" spans="9:40" x14ac:dyDescent="0.45">
      <c r="I73" t="s">
        <v>170</v>
      </c>
      <c r="J73" t="s">
        <v>156</v>
      </c>
      <c r="K73">
        <v>1.9832207416791568E-2</v>
      </c>
      <c r="L73" t="s">
        <v>154</v>
      </c>
      <c r="N73" t="s">
        <v>199</v>
      </c>
      <c r="O73" t="s">
        <v>156</v>
      </c>
      <c r="P73">
        <v>0.12683171024323989</v>
      </c>
      <c r="Q73" t="s">
        <v>154</v>
      </c>
      <c r="S73" t="s">
        <v>223</v>
      </c>
      <c r="T73" t="s">
        <v>156</v>
      </c>
      <c r="U73">
        <v>0.14138573091901971</v>
      </c>
      <c r="V73" t="s">
        <v>154</v>
      </c>
      <c r="AK73">
        <v>2037</v>
      </c>
      <c r="AL73" t="s">
        <v>148</v>
      </c>
      <c r="AM73">
        <v>0.38470000000000004</v>
      </c>
      <c r="AN73" t="s">
        <v>250</v>
      </c>
    </row>
    <row r="74" spans="9:40" x14ac:dyDescent="0.45">
      <c r="I74" t="s">
        <v>170</v>
      </c>
      <c r="J74" t="s">
        <v>157</v>
      </c>
      <c r="K74">
        <v>0</v>
      </c>
      <c r="L74" t="s">
        <v>154</v>
      </c>
      <c r="N74" t="s">
        <v>199</v>
      </c>
      <c r="O74" t="s">
        <v>157</v>
      </c>
      <c r="P74">
        <v>4.0624791972794762E-2</v>
      </c>
      <c r="Q74" t="s">
        <v>154</v>
      </c>
      <c r="S74" t="s">
        <v>223</v>
      </c>
      <c r="T74" t="s">
        <v>157</v>
      </c>
      <c r="U74">
        <v>5.4302010240034629E-2</v>
      </c>
      <c r="V74" t="s">
        <v>154</v>
      </c>
      <c r="AK74">
        <v>2037</v>
      </c>
      <c r="AL74" t="s">
        <v>150</v>
      </c>
      <c r="AM74">
        <v>0.37204999999999999</v>
      </c>
      <c r="AN74" t="s">
        <v>250</v>
      </c>
    </row>
    <row r="75" spans="9:40" x14ac:dyDescent="0.45">
      <c r="I75" t="s">
        <v>170</v>
      </c>
      <c r="J75" t="s">
        <v>158</v>
      </c>
      <c r="K75">
        <v>0.1338855609437116</v>
      </c>
      <c r="L75" t="s">
        <v>154</v>
      </c>
      <c r="N75" t="s">
        <v>199</v>
      </c>
      <c r="O75" t="s">
        <v>158</v>
      </c>
      <c r="P75">
        <v>7.2618176929785908E-2</v>
      </c>
      <c r="Q75" t="s">
        <v>154</v>
      </c>
      <c r="S75" t="s">
        <v>223</v>
      </c>
      <c r="T75" t="s">
        <v>158</v>
      </c>
      <c r="U75">
        <v>8.9645048546547632E-2</v>
      </c>
      <c r="V75" t="s">
        <v>154</v>
      </c>
      <c r="AK75">
        <v>2038</v>
      </c>
      <c r="AL75" t="s">
        <v>142</v>
      </c>
      <c r="AM75">
        <v>0.30561250000000001</v>
      </c>
      <c r="AN75" t="s">
        <v>250</v>
      </c>
    </row>
    <row r="76" spans="9:40" x14ac:dyDescent="0.45">
      <c r="I76" t="s">
        <v>170</v>
      </c>
      <c r="J76" t="s">
        <v>159</v>
      </c>
      <c r="K76">
        <v>2.2169995980328397E-3</v>
      </c>
      <c r="L76" t="s">
        <v>154</v>
      </c>
      <c r="N76" t="s">
        <v>199</v>
      </c>
      <c r="O76" t="s">
        <v>159</v>
      </c>
      <c r="P76">
        <v>3.1194098385093461E-2</v>
      </c>
      <c r="Q76" t="s">
        <v>154</v>
      </c>
      <c r="S76" t="s">
        <v>223</v>
      </c>
      <c r="T76" t="s">
        <v>159</v>
      </c>
      <c r="U76">
        <v>4.3504617289566352E-2</v>
      </c>
      <c r="V76" t="s">
        <v>154</v>
      </c>
      <c r="AK76">
        <v>2038</v>
      </c>
      <c r="AL76" t="s">
        <v>146</v>
      </c>
      <c r="AM76">
        <v>0.43409999999999993</v>
      </c>
      <c r="AN76" t="s">
        <v>250</v>
      </c>
    </row>
    <row r="77" spans="9:40" x14ac:dyDescent="0.45">
      <c r="I77" t="s">
        <v>170</v>
      </c>
      <c r="J77" t="s">
        <v>160</v>
      </c>
      <c r="K77">
        <v>0</v>
      </c>
      <c r="L77" t="s">
        <v>154</v>
      </c>
      <c r="N77" t="s">
        <v>199</v>
      </c>
      <c r="O77" t="s">
        <v>160</v>
      </c>
      <c r="P77">
        <v>1.5081012954778957E-2</v>
      </c>
      <c r="Q77" t="s">
        <v>154</v>
      </c>
      <c r="S77" t="s">
        <v>223</v>
      </c>
      <c r="T77" t="s">
        <v>160</v>
      </c>
      <c r="U77">
        <v>1.1646772737938356E-2</v>
      </c>
      <c r="V77" t="s">
        <v>154</v>
      </c>
      <c r="AK77">
        <v>2038</v>
      </c>
      <c r="AL77" t="s">
        <v>148</v>
      </c>
      <c r="AM77">
        <v>0.37544999999999995</v>
      </c>
      <c r="AN77" t="s">
        <v>250</v>
      </c>
    </row>
    <row r="78" spans="9:40" x14ac:dyDescent="0.45">
      <c r="I78" t="s">
        <v>170</v>
      </c>
      <c r="J78" t="s">
        <v>161</v>
      </c>
      <c r="K78">
        <v>7.5008431477658385E-2</v>
      </c>
      <c r="L78" t="s">
        <v>154</v>
      </c>
      <c r="N78" t="s">
        <v>199</v>
      </c>
      <c r="O78" t="s">
        <v>161</v>
      </c>
      <c r="P78">
        <v>2.7692555420781546E-2</v>
      </c>
      <c r="Q78" t="s">
        <v>154</v>
      </c>
      <c r="S78" t="s">
        <v>223</v>
      </c>
      <c r="T78" t="s">
        <v>161</v>
      </c>
      <c r="U78">
        <v>1.7067884439556261E-2</v>
      </c>
      <c r="V78" t="s">
        <v>154</v>
      </c>
      <c r="AK78">
        <v>2038</v>
      </c>
      <c r="AL78" t="s">
        <v>150</v>
      </c>
      <c r="AM78">
        <v>0.32055</v>
      </c>
      <c r="AN78" t="s">
        <v>250</v>
      </c>
    </row>
    <row r="79" spans="9:40" x14ac:dyDescent="0.45">
      <c r="I79" t="s">
        <v>170</v>
      </c>
      <c r="J79" t="s">
        <v>162</v>
      </c>
      <c r="K79">
        <v>0</v>
      </c>
      <c r="L79" t="s">
        <v>154</v>
      </c>
      <c r="N79" t="s">
        <v>199</v>
      </c>
      <c r="O79" t="s">
        <v>162</v>
      </c>
      <c r="P79">
        <v>1.0034588892566997E-2</v>
      </c>
      <c r="Q79" t="s">
        <v>154</v>
      </c>
      <c r="S79" t="s">
        <v>223</v>
      </c>
      <c r="T79" t="s">
        <v>162</v>
      </c>
      <c r="U79">
        <v>9.9331979433997727E-3</v>
      </c>
      <c r="V79" t="s">
        <v>154</v>
      </c>
      <c r="AK79">
        <v>2039</v>
      </c>
      <c r="AL79" t="s">
        <v>142</v>
      </c>
      <c r="AM79">
        <v>0.32023750000000001</v>
      </c>
      <c r="AN79" t="s">
        <v>250</v>
      </c>
    </row>
    <row r="80" spans="9:40" x14ac:dyDescent="0.45">
      <c r="I80" t="s">
        <v>170</v>
      </c>
      <c r="J80" t="s">
        <v>163</v>
      </c>
      <c r="K80">
        <v>0</v>
      </c>
      <c r="L80" t="s">
        <v>154</v>
      </c>
      <c r="N80" t="s">
        <v>199</v>
      </c>
      <c r="O80" t="s">
        <v>163</v>
      </c>
      <c r="P80">
        <v>5.3083787275914382E-2</v>
      </c>
      <c r="Q80" t="s">
        <v>154</v>
      </c>
      <c r="S80" t="s">
        <v>223</v>
      </c>
      <c r="T80" t="s">
        <v>163</v>
      </c>
      <c r="U80">
        <v>5.0215561194721502E-2</v>
      </c>
      <c r="V80" t="s">
        <v>154</v>
      </c>
      <c r="AK80">
        <v>2039</v>
      </c>
      <c r="AL80" t="s">
        <v>146</v>
      </c>
      <c r="AM80">
        <v>0.45563333333333333</v>
      </c>
      <c r="AN80" t="s">
        <v>250</v>
      </c>
    </row>
    <row r="81" spans="9:40" x14ac:dyDescent="0.45">
      <c r="I81" t="s">
        <v>170</v>
      </c>
      <c r="J81" t="s">
        <v>164</v>
      </c>
      <c r="K81">
        <v>0.13379297926707681</v>
      </c>
      <c r="L81" t="s">
        <v>154</v>
      </c>
      <c r="N81" t="s">
        <v>199</v>
      </c>
      <c r="O81" t="s">
        <v>164</v>
      </c>
      <c r="P81">
        <v>7.9231086235594272E-2</v>
      </c>
      <c r="Q81" t="s">
        <v>154</v>
      </c>
      <c r="S81" t="s">
        <v>223</v>
      </c>
      <c r="T81" t="s">
        <v>164</v>
      </c>
      <c r="U81">
        <v>7.6443006702510891E-2</v>
      </c>
      <c r="V81" t="s">
        <v>154</v>
      </c>
      <c r="AK81">
        <v>2039</v>
      </c>
      <c r="AL81" t="s">
        <v>148</v>
      </c>
      <c r="AM81">
        <v>0.48199999999999998</v>
      </c>
      <c r="AN81" t="s">
        <v>250</v>
      </c>
    </row>
    <row r="82" spans="9:40" x14ac:dyDescent="0.45">
      <c r="I82" t="s">
        <v>170</v>
      </c>
      <c r="J82" t="s">
        <v>165</v>
      </c>
      <c r="K82">
        <v>0</v>
      </c>
      <c r="L82" t="s">
        <v>154</v>
      </c>
      <c r="N82" t="s">
        <v>199</v>
      </c>
      <c r="O82" t="s">
        <v>165</v>
      </c>
      <c r="P82">
        <v>3.6040850409709273E-2</v>
      </c>
      <c r="Q82" t="s">
        <v>154</v>
      </c>
      <c r="S82" t="s">
        <v>223</v>
      </c>
      <c r="T82" t="s">
        <v>165</v>
      </c>
      <c r="U82">
        <v>4.3774853919119741E-2</v>
      </c>
      <c r="V82" t="s">
        <v>154</v>
      </c>
      <c r="AK82">
        <v>2039</v>
      </c>
      <c r="AL82" t="s">
        <v>150</v>
      </c>
      <c r="AM82">
        <v>0.44624999999999998</v>
      </c>
      <c r="AN82" t="s">
        <v>250</v>
      </c>
    </row>
    <row r="83" spans="9:40" x14ac:dyDescent="0.45">
      <c r="I83" t="s">
        <v>171</v>
      </c>
      <c r="J83" t="s">
        <v>153</v>
      </c>
      <c r="K83">
        <v>0</v>
      </c>
      <c r="L83" t="s">
        <v>154</v>
      </c>
      <c r="N83" t="s">
        <v>200</v>
      </c>
      <c r="O83" t="s">
        <v>153</v>
      </c>
      <c r="P83">
        <v>0.1929977022459344</v>
      </c>
      <c r="Q83" t="s">
        <v>154</v>
      </c>
      <c r="S83" t="s">
        <v>224</v>
      </c>
      <c r="T83" t="s">
        <v>153</v>
      </c>
      <c r="U83">
        <v>0.1653401925349901</v>
      </c>
      <c r="V83" t="s">
        <v>154</v>
      </c>
      <c r="AK83">
        <v>2040</v>
      </c>
      <c r="AL83" t="s">
        <v>142</v>
      </c>
      <c r="AM83">
        <v>0.32792499999999997</v>
      </c>
      <c r="AN83" t="s">
        <v>250</v>
      </c>
    </row>
    <row r="84" spans="9:40" x14ac:dyDescent="0.45">
      <c r="I84" t="s">
        <v>171</v>
      </c>
      <c r="J84" t="s">
        <v>155</v>
      </c>
      <c r="K84">
        <v>0.61769091877028337</v>
      </c>
      <c r="L84" t="s">
        <v>154</v>
      </c>
      <c r="N84" t="s">
        <v>200</v>
      </c>
      <c r="O84" t="s">
        <v>155</v>
      </c>
      <c r="P84">
        <v>0.28892013028878644</v>
      </c>
      <c r="Q84" t="s">
        <v>154</v>
      </c>
      <c r="S84" t="s">
        <v>224</v>
      </c>
      <c r="T84" t="s">
        <v>155</v>
      </c>
      <c r="U84">
        <v>0.26481241740110634</v>
      </c>
      <c r="V84" t="s">
        <v>154</v>
      </c>
      <c r="AK84">
        <v>2040</v>
      </c>
      <c r="AL84" t="s">
        <v>146</v>
      </c>
      <c r="AM84">
        <v>0.4269</v>
      </c>
      <c r="AN84" t="s">
        <v>250</v>
      </c>
    </row>
    <row r="85" spans="9:40" x14ac:dyDescent="0.45">
      <c r="I85" t="s">
        <v>171</v>
      </c>
      <c r="J85" t="s">
        <v>156</v>
      </c>
      <c r="K85">
        <v>2.1072979855610775E-2</v>
      </c>
      <c r="L85" t="s">
        <v>154</v>
      </c>
      <c r="N85" t="s">
        <v>200</v>
      </c>
      <c r="O85" t="s">
        <v>156</v>
      </c>
      <c r="P85">
        <v>0.12841412684247827</v>
      </c>
      <c r="Q85" t="s">
        <v>154</v>
      </c>
      <c r="S85" t="s">
        <v>224</v>
      </c>
      <c r="T85" t="s">
        <v>156</v>
      </c>
      <c r="U85">
        <v>0.1195759816539263</v>
      </c>
      <c r="V85" t="s">
        <v>154</v>
      </c>
      <c r="AK85">
        <v>2040</v>
      </c>
      <c r="AL85" t="s">
        <v>148</v>
      </c>
      <c r="AM85">
        <v>0.37085000000000001</v>
      </c>
      <c r="AN85" t="s">
        <v>250</v>
      </c>
    </row>
    <row r="86" spans="9:40" x14ac:dyDescent="0.45">
      <c r="I86" t="s">
        <v>171</v>
      </c>
      <c r="J86" t="s">
        <v>157</v>
      </c>
      <c r="K86">
        <v>0</v>
      </c>
      <c r="L86" t="s">
        <v>154</v>
      </c>
      <c r="N86" t="s">
        <v>200</v>
      </c>
      <c r="O86" t="s">
        <v>157</v>
      </c>
      <c r="P86">
        <v>5.7113020041806954E-2</v>
      </c>
      <c r="Q86" t="s">
        <v>154</v>
      </c>
      <c r="S86" t="s">
        <v>224</v>
      </c>
      <c r="T86" t="s">
        <v>157</v>
      </c>
      <c r="U86">
        <v>6.469791498057921E-2</v>
      </c>
      <c r="V86" t="s">
        <v>154</v>
      </c>
      <c r="AK86">
        <v>2040</v>
      </c>
      <c r="AL86" t="s">
        <v>150</v>
      </c>
      <c r="AM86">
        <v>0.35099999999999998</v>
      </c>
      <c r="AN86" t="s">
        <v>250</v>
      </c>
    </row>
    <row r="87" spans="9:40" x14ac:dyDescent="0.45">
      <c r="I87" t="s">
        <v>171</v>
      </c>
      <c r="J87" t="s">
        <v>158</v>
      </c>
      <c r="K87">
        <v>0.13704953439546588</v>
      </c>
      <c r="L87" t="s">
        <v>154</v>
      </c>
      <c r="N87" t="s">
        <v>200</v>
      </c>
      <c r="O87" t="s">
        <v>158</v>
      </c>
      <c r="P87">
        <v>9.0044445493767195E-2</v>
      </c>
      <c r="Q87" t="s">
        <v>154</v>
      </c>
      <c r="S87" t="s">
        <v>224</v>
      </c>
      <c r="T87" t="s">
        <v>158</v>
      </c>
      <c r="U87">
        <v>0.10558646276186914</v>
      </c>
      <c r="V87" t="s">
        <v>154</v>
      </c>
      <c r="AK87">
        <v>2041</v>
      </c>
      <c r="AL87" t="s">
        <v>142</v>
      </c>
      <c r="AM87">
        <v>0.38823750000000001</v>
      </c>
      <c r="AN87" t="s">
        <v>250</v>
      </c>
    </row>
    <row r="88" spans="9:40" x14ac:dyDescent="0.45">
      <c r="I88" t="s">
        <v>171</v>
      </c>
      <c r="J88" t="s">
        <v>159</v>
      </c>
      <c r="K88">
        <v>3.8610498291274812E-3</v>
      </c>
      <c r="L88" t="s">
        <v>154</v>
      </c>
      <c r="N88" t="s">
        <v>200</v>
      </c>
      <c r="O88" t="s">
        <v>159</v>
      </c>
      <c r="P88">
        <v>4.4514747804740851E-2</v>
      </c>
      <c r="Q88" t="s">
        <v>154</v>
      </c>
      <c r="S88" t="s">
        <v>224</v>
      </c>
      <c r="T88" t="s">
        <v>159</v>
      </c>
      <c r="U88">
        <v>5.1617971630186256E-2</v>
      </c>
      <c r="V88" t="s">
        <v>154</v>
      </c>
      <c r="AK88">
        <v>2041</v>
      </c>
      <c r="AL88" t="s">
        <v>146</v>
      </c>
      <c r="AM88">
        <v>0.44720000000000004</v>
      </c>
      <c r="AN88" t="s">
        <v>250</v>
      </c>
    </row>
    <row r="89" spans="9:40" x14ac:dyDescent="0.45">
      <c r="I89" t="s">
        <v>171</v>
      </c>
      <c r="J89" t="s">
        <v>160</v>
      </c>
      <c r="K89">
        <v>0</v>
      </c>
      <c r="L89" t="s">
        <v>154</v>
      </c>
      <c r="N89" t="s">
        <v>200</v>
      </c>
      <c r="O89" t="s">
        <v>160</v>
      </c>
      <c r="P89">
        <v>1.4155290514744531E-2</v>
      </c>
      <c r="Q89" t="s">
        <v>154</v>
      </c>
      <c r="S89" t="s">
        <v>224</v>
      </c>
      <c r="T89" t="s">
        <v>160</v>
      </c>
      <c r="U89">
        <v>1.8560800216778327E-2</v>
      </c>
      <c r="V89" t="s">
        <v>154</v>
      </c>
      <c r="AK89">
        <v>2041</v>
      </c>
      <c r="AL89" t="s">
        <v>148</v>
      </c>
      <c r="AM89">
        <v>0.36014999999999997</v>
      </c>
      <c r="AN89" t="s">
        <v>250</v>
      </c>
    </row>
    <row r="90" spans="9:40" x14ac:dyDescent="0.45">
      <c r="I90" t="s">
        <v>171</v>
      </c>
      <c r="J90" t="s">
        <v>161</v>
      </c>
      <c r="K90">
        <v>7.5553315240606378E-2</v>
      </c>
      <c r="L90" t="s">
        <v>154</v>
      </c>
      <c r="N90" t="s">
        <v>200</v>
      </c>
      <c r="O90" t="s">
        <v>161</v>
      </c>
      <c r="P90">
        <v>2.877779608613211E-2</v>
      </c>
      <c r="Q90" t="s">
        <v>154</v>
      </c>
      <c r="S90" t="s">
        <v>224</v>
      </c>
      <c r="T90" t="s">
        <v>161</v>
      </c>
      <c r="U90">
        <v>3.300850653999006E-2</v>
      </c>
      <c r="V90" t="s">
        <v>154</v>
      </c>
      <c r="AK90">
        <v>2041</v>
      </c>
      <c r="AL90" t="s">
        <v>150</v>
      </c>
      <c r="AM90">
        <v>0.3805</v>
      </c>
      <c r="AN90" t="s">
        <v>250</v>
      </c>
    </row>
    <row r="91" spans="9:40" x14ac:dyDescent="0.45">
      <c r="I91" t="s">
        <v>171</v>
      </c>
      <c r="J91" t="s">
        <v>162</v>
      </c>
      <c r="K91">
        <v>4.096984733620142E-4</v>
      </c>
      <c r="L91" t="s">
        <v>154</v>
      </c>
      <c r="N91" t="s">
        <v>200</v>
      </c>
      <c r="O91" t="s">
        <v>162</v>
      </c>
      <c r="P91">
        <v>8.089374613818678E-3</v>
      </c>
      <c r="Q91" t="s">
        <v>154</v>
      </c>
      <c r="S91" t="s">
        <v>224</v>
      </c>
      <c r="T91" t="s">
        <v>162</v>
      </c>
      <c r="U91">
        <v>1.2070598787652107E-2</v>
      </c>
      <c r="V91" t="s">
        <v>154</v>
      </c>
      <c r="AK91">
        <v>2042</v>
      </c>
      <c r="AL91" t="s">
        <v>142</v>
      </c>
      <c r="AM91">
        <v>0.36522500000000002</v>
      </c>
      <c r="AN91" t="s">
        <v>250</v>
      </c>
    </row>
    <row r="92" spans="9:40" x14ac:dyDescent="0.45">
      <c r="I92" t="s">
        <v>171</v>
      </c>
      <c r="J92" t="s">
        <v>163</v>
      </c>
      <c r="K92">
        <v>0</v>
      </c>
      <c r="L92" t="s">
        <v>154</v>
      </c>
      <c r="N92" t="s">
        <v>200</v>
      </c>
      <c r="O92" t="s">
        <v>163</v>
      </c>
      <c r="P92">
        <v>4.7792541415129015E-2</v>
      </c>
      <c r="Q92" t="s">
        <v>154</v>
      </c>
      <c r="S92" t="s">
        <v>224</v>
      </c>
      <c r="T92" t="s">
        <v>163</v>
      </c>
      <c r="U92">
        <v>5.2083539214277885E-2</v>
      </c>
      <c r="V92" t="s">
        <v>154</v>
      </c>
      <c r="AK92">
        <v>2042</v>
      </c>
      <c r="AL92" t="s">
        <v>146</v>
      </c>
      <c r="AM92">
        <v>0.45026666666666665</v>
      </c>
      <c r="AN92" t="s">
        <v>250</v>
      </c>
    </row>
    <row r="93" spans="9:40" x14ac:dyDescent="0.45">
      <c r="I93" t="s">
        <v>171</v>
      </c>
      <c r="J93" t="s">
        <v>164</v>
      </c>
      <c r="K93">
        <v>0.14168059198724756</v>
      </c>
      <c r="L93" t="s">
        <v>154</v>
      </c>
      <c r="N93" t="s">
        <v>200</v>
      </c>
      <c r="O93" t="s">
        <v>164</v>
      </c>
      <c r="P93">
        <v>6.875263708880755E-2</v>
      </c>
      <c r="Q93" t="s">
        <v>154</v>
      </c>
      <c r="S93" t="s">
        <v>224</v>
      </c>
      <c r="T93" t="s">
        <v>164</v>
      </c>
      <c r="U93">
        <v>7.5263163189710811E-2</v>
      </c>
      <c r="V93" t="s">
        <v>154</v>
      </c>
      <c r="AK93">
        <v>2042</v>
      </c>
      <c r="AL93" t="s">
        <v>148</v>
      </c>
      <c r="AM93">
        <v>0.40900000000000003</v>
      </c>
      <c r="AN93" t="s">
        <v>250</v>
      </c>
    </row>
    <row r="94" spans="9:40" x14ac:dyDescent="0.45">
      <c r="I94" t="s">
        <v>171</v>
      </c>
      <c r="J94" t="s">
        <v>165</v>
      </c>
      <c r="K94">
        <v>2.6819114482975301E-3</v>
      </c>
      <c r="L94" t="s">
        <v>154</v>
      </c>
      <c r="N94" t="s">
        <v>200</v>
      </c>
      <c r="O94" t="s">
        <v>165</v>
      </c>
      <c r="P94">
        <v>3.0428187563849785E-2</v>
      </c>
      <c r="Q94" t="s">
        <v>154</v>
      </c>
      <c r="S94" t="s">
        <v>224</v>
      </c>
      <c r="T94" t="s">
        <v>165</v>
      </c>
      <c r="U94">
        <v>3.7382451088932379E-2</v>
      </c>
      <c r="V94" t="s">
        <v>154</v>
      </c>
      <c r="AK94">
        <v>2042</v>
      </c>
      <c r="AL94" t="s">
        <v>150</v>
      </c>
      <c r="AM94">
        <v>0.39624999999999999</v>
      </c>
      <c r="AN94" t="s">
        <v>250</v>
      </c>
    </row>
    <row r="95" spans="9:40" x14ac:dyDescent="0.45">
      <c r="I95" t="s">
        <v>172</v>
      </c>
      <c r="J95" t="s">
        <v>153</v>
      </c>
      <c r="K95">
        <v>0</v>
      </c>
      <c r="L95" t="s">
        <v>154</v>
      </c>
      <c r="N95" t="s">
        <v>201</v>
      </c>
      <c r="O95" t="s">
        <v>153</v>
      </c>
      <c r="P95">
        <v>0.17821345751775769</v>
      </c>
      <c r="Q95" t="s">
        <v>154</v>
      </c>
      <c r="S95" t="s">
        <v>225</v>
      </c>
      <c r="T95" t="s">
        <v>153</v>
      </c>
      <c r="U95">
        <v>0.18932936862385111</v>
      </c>
      <c r="V95" t="s">
        <v>154</v>
      </c>
      <c r="AK95">
        <v>2043</v>
      </c>
      <c r="AL95" t="s">
        <v>142</v>
      </c>
      <c r="AM95">
        <v>0.3268875</v>
      </c>
      <c r="AN95" t="s">
        <v>250</v>
      </c>
    </row>
    <row r="96" spans="9:40" x14ac:dyDescent="0.45">
      <c r="I96" t="s">
        <v>172</v>
      </c>
      <c r="J96" t="s">
        <v>155</v>
      </c>
      <c r="K96">
        <v>0.61673071268370883</v>
      </c>
      <c r="L96" t="s">
        <v>154</v>
      </c>
      <c r="N96" t="s">
        <v>201</v>
      </c>
      <c r="O96" t="s">
        <v>155</v>
      </c>
      <c r="P96">
        <v>0.27448097545989503</v>
      </c>
      <c r="Q96" t="s">
        <v>154</v>
      </c>
      <c r="S96" t="s">
        <v>225</v>
      </c>
      <c r="T96" t="s">
        <v>155</v>
      </c>
      <c r="U96">
        <v>0.28756491276744489</v>
      </c>
      <c r="V96" t="s">
        <v>154</v>
      </c>
      <c r="AK96">
        <v>2043</v>
      </c>
      <c r="AL96" t="s">
        <v>146</v>
      </c>
      <c r="AM96">
        <v>0.43559999999999999</v>
      </c>
      <c r="AN96" t="s">
        <v>250</v>
      </c>
    </row>
    <row r="97" spans="9:40" x14ac:dyDescent="0.45">
      <c r="I97" t="s">
        <v>172</v>
      </c>
      <c r="J97" t="s">
        <v>156</v>
      </c>
      <c r="K97">
        <v>2.3658067770789871E-2</v>
      </c>
      <c r="L97" t="s">
        <v>154</v>
      </c>
      <c r="N97" t="s">
        <v>201</v>
      </c>
      <c r="O97" t="s">
        <v>156</v>
      </c>
      <c r="P97">
        <v>0.14632838121315675</v>
      </c>
      <c r="Q97" t="s">
        <v>154</v>
      </c>
      <c r="S97" t="s">
        <v>225</v>
      </c>
      <c r="T97" t="s">
        <v>156</v>
      </c>
      <c r="U97">
        <v>0.12504327957030792</v>
      </c>
      <c r="V97" t="s">
        <v>154</v>
      </c>
      <c r="AK97">
        <v>2043</v>
      </c>
      <c r="AL97" t="s">
        <v>148</v>
      </c>
      <c r="AM97">
        <v>0.35085</v>
      </c>
      <c r="AN97" t="s">
        <v>250</v>
      </c>
    </row>
    <row r="98" spans="9:40" x14ac:dyDescent="0.45">
      <c r="I98" t="s">
        <v>172</v>
      </c>
      <c r="J98" t="s">
        <v>157</v>
      </c>
      <c r="K98">
        <v>0</v>
      </c>
      <c r="L98" t="s">
        <v>154</v>
      </c>
      <c r="N98" t="s">
        <v>201</v>
      </c>
      <c r="O98" t="s">
        <v>157</v>
      </c>
      <c r="P98">
        <v>5.4261779606159355E-2</v>
      </c>
      <c r="Q98" t="s">
        <v>154</v>
      </c>
      <c r="S98" t="s">
        <v>225</v>
      </c>
      <c r="T98" t="s">
        <v>157</v>
      </c>
      <c r="U98">
        <v>5.7518891994677142E-2</v>
      </c>
      <c r="V98" t="s">
        <v>154</v>
      </c>
      <c r="AK98">
        <v>2043</v>
      </c>
      <c r="AL98" t="s">
        <v>150</v>
      </c>
      <c r="AM98">
        <v>0.3755</v>
      </c>
      <c r="AN98" t="s">
        <v>250</v>
      </c>
    </row>
    <row r="99" spans="9:40" x14ac:dyDescent="0.45">
      <c r="I99" t="s">
        <v>172</v>
      </c>
      <c r="J99" t="s">
        <v>158</v>
      </c>
      <c r="K99">
        <v>0.14959886575905498</v>
      </c>
      <c r="L99" t="s">
        <v>154</v>
      </c>
      <c r="N99" t="s">
        <v>201</v>
      </c>
      <c r="O99" t="s">
        <v>158</v>
      </c>
      <c r="P99">
        <v>8.8611775384848976E-2</v>
      </c>
      <c r="Q99" t="s">
        <v>154</v>
      </c>
      <c r="S99" t="s">
        <v>225</v>
      </c>
      <c r="T99" t="s">
        <v>158</v>
      </c>
      <c r="U99">
        <v>9.1495713373326501E-2</v>
      </c>
      <c r="V99" t="s">
        <v>154</v>
      </c>
      <c r="AK99">
        <v>2044</v>
      </c>
      <c r="AL99" t="s">
        <v>142</v>
      </c>
      <c r="AM99">
        <v>0.33727499999999999</v>
      </c>
      <c r="AN99" t="s">
        <v>250</v>
      </c>
    </row>
    <row r="100" spans="9:40" x14ac:dyDescent="0.45">
      <c r="I100" t="s">
        <v>172</v>
      </c>
      <c r="J100" t="s">
        <v>159</v>
      </c>
      <c r="K100">
        <v>4.5805947932531527E-3</v>
      </c>
      <c r="L100" t="s">
        <v>154</v>
      </c>
      <c r="N100" t="s">
        <v>201</v>
      </c>
      <c r="O100" t="s">
        <v>159</v>
      </c>
      <c r="P100">
        <v>4.5820812126325307E-2</v>
      </c>
      <c r="Q100" t="s">
        <v>154</v>
      </c>
      <c r="S100" t="s">
        <v>225</v>
      </c>
      <c r="T100" t="s">
        <v>159</v>
      </c>
      <c r="U100">
        <v>4.5756262197255301E-2</v>
      </c>
      <c r="V100" t="s">
        <v>154</v>
      </c>
      <c r="AK100">
        <v>2044</v>
      </c>
      <c r="AL100" t="s">
        <v>146</v>
      </c>
      <c r="AM100">
        <v>0.52049999999999996</v>
      </c>
      <c r="AN100" t="s">
        <v>250</v>
      </c>
    </row>
    <row r="101" spans="9:40" x14ac:dyDescent="0.45">
      <c r="I101" t="s">
        <v>172</v>
      </c>
      <c r="J101" t="s">
        <v>160</v>
      </c>
      <c r="K101">
        <v>0</v>
      </c>
      <c r="L101" t="s">
        <v>154</v>
      </c>
      <c r="N101" t="s">
        <v>201</v>
      </c>
      <c r="O101" t="s">
        <v>160</v>
      </c>
      <c r="P101">
        <v>2.3815381935509965E-2</v>
      </c>
      <c r="Q101" t="s">
        <v>154</v>
      </c>
      <c r="S101" t="s">
        <v>225</v>
      </c>
      <c r="T101" t="s">
        <v>160</v>
      </c>
      <c r="U101">
        <v>1.3392265094411215E-2</v>
      </c>
      <c r="V101" t="s">
        <v>154</v>
      </c>
      <c r="AK101">
        <v>2044</v>
      </c>
      <c r="AL101" t="s">
        <v>148</v>
      </c>
      <c r="AM101">
        <v>0.38995000000000002</v>
      </c>
      <c r="AN101" t="s">
        <v>250</v>
      </c>
    </row>
    <row r="102" spans="9:40" x14ac:dyDescent="0.45">
      <c r="I102" t="s">
        <v>172</v>
      </c>
      <c r="J102" t="s">
        <v>161</v>
      </c>
      <c r="K102">
        <v>7.4415120288274211E-2</v>
      </c>
      <c r="L102" t="s">
        <v>154</v>
      </c>
      <c r="N102" t="s">
        <v>201</v>
      </c>
      <c r="O102" t="s">
        <v>161</v>
      </c>
      <c r="P102">
        <v>3.7188573354359065E-2</v>
      </c>
      <c r="Q102" t="s">
        <v>154</v>
      </c>
      <c r="S102" t="s">
        <v>225</v>
      </c>
      <c r="T102" t="s">
        <v>161</v>
      </c>
      <c r="U102">
        <v>3.0373540827830024E-2</v>
      </c>
      <c r="V102" t="s">
        <v>154</v>
      </c>
      <c r="AK102">
        <v>2044</v>
      </c>
      <c r="AL102" t="s">
        <v>150</v>
      </c>
      <c r="AM102">
        <v>0.34870000000000001</v>
      </c>
      <c r="AN102" t="s">
        <v>250</v>
      </c>
    </row>
    <row r="103" spans="9:40" x14ac:dyDescent="0.45">
      <c r="I103" t="s">
        <v>172</v>
      </c>
      <c r="J103" t="s">
        <v>162</v>
      </c>
      <c r="K103">
        <v>1.8987268417997444E-3</v>
      </c>
      <c r="L103" t="s">
        <v>154</v>
      </c>
      <c r="N103" t="s">
        <v>201</v>
      </c>
      <c r="O103" t="s">
        <v>162</v>
      </c>
      <c r="P103">
        <v>2.4549500562954383E-2</v>
      </c>
      <c r="Q103" t="s">
        <v>154</v>
      </c>
      <c r="S103" t="s">
        <v>225</v>
      </c>
      <c r="T103" t="s">
        <v>162</v>
      </c>
      <c r="U103">
        <v>7.8760955048445807E-3</v>
      </c>
      <c r="V103" t="s">
        <v>154</v>
      </c>
      <c r="AK103">
        <v>2045</v>
      </c>
      <c r="AL103" t="s">
        <v>142</v>
      </c>
      <c r="AM103">
        <v>0.36561250000000001</v>
      </c>
      <c r="AN103" t="s">
        <v>250</v>
      </c>
    </row>
    <row r="104" spans="9:40" x14ac:dyDescent="0.45">
      <c r="I104" t="s">
        <v>172</v>
      </c>
      <c r="J104" t="s">
        <v>163</v>
      </c>
      <c r="K104">
        <v>0</v>
      </c>
      <c r="L104" t="s">
        <v>154</v>
      </c>
      <c r="N104" t="s">
        <v>201</v>
      </c>
      <c r="O104" t="s">
        <v>163</v>
      </c>
      <c r="P104">
        <v>3.3118392413352071E-2</v>
      </c>
      <c r="Q104" t="s">
        <v>154</v>
      </c>
      <c r="S104" t="s">
        <v>225</v>
      </c>
      <c r="T104" t="s">
        <v>163</v>
      </c>
      <c r="U104">
        <v>4.87430282518014E-2</v>
      </c>
      <c r="V104" t="s">
        <v>154</v>
      </c>
      <c r="AK104">
        <v>2045</v>
      </c>
      <c r="AL104" t="s">
        <v>146</v>
      </c>
      <c r="AM104">
        <v>0.41030000000000005</v>
      </c>
      <c r="AN104" t="s">
        <v>250</v>
      </c>
    </row>
    <row r="105" spans="9:40" x14ac:dyDescent="0.45">
      <c r="I105" t="s">
        <v>172</v>
      </c>
      <c r="J105" t="s">
        <v>164</v>
      </c>
      <c r="K105">
        <v>0.12508894474327309</v>
      </c>
      <c r="L105" t="s">
        <v>154</v>
      </c>
      <c r="N105" t="s">
        <v>201</v>
      </c>
      <c r="O105" t="s">
        <v>164</v>
      </c>
      <c r="P105">
        <v>6.0191406532521086E-2</v>
      </c>
      <c r="Q105" t="s">
        <v>154</v>
      </c>
      <c r="S105" t="s">
        <v>225</v>
      </c>
      <c r="T105" t="s">
        <v>164</v>
      </c>
      <c r="U105">
        <v>7.2209951087379709E-2</v>
      </c>
      <c r="V105" t="s">
        <v>154</v>
      </c>
      <c r="AK105">
        <v>2045</v>
      </c>
      <c r="AL105" t="s">
        <v>148</v>
      </c>
      <c r="AM105">
        <v>0.36745</v>
      </c>
      <c r="AN105" t="s">
        <v>250</v>
      </c>
    </row>
    <row r="106" spans="9:40" x14ac:dyDescent="0.45">
      <c r="I106" t="s">
        <v>172</v>
      </c>
      <c r="J106" t="s">
        <v>165</v>
      </c>
      <c r="K106">
        <v>4.028967119849701E-3</v>
      </c>
      <c r="L106" t="s">
        <v>154</v>
      </c>
      <c r="N106" t="s">
        <v>201</v>
      </c>
      <c r="O106" t="s">
        <v>165</v>
      </c>
      <c r="P106">
        <v>3.3419563893161953E-2</v>
      </c>
      <c r="Q106" t="s">
        <v>154</v>
      </c>
      <c r="S106" t="s">
        <v>225</v>
      </c>
      <c r="T106" t="s">
        <v>165</v>
      </c>
      <c r="U106">
        <v>3.0696690706872087E-2</v>
      </c>
      <c r="V106" t="s">
        <v>154</v>
      </c>
      <c r="AK106">
        <v>2045</v>
      </c>
      <c r="AL106" t="s">
        <v>150</v>
      </c>
      <c r="AM106">
        <v>0.38439999999999996</v>
      </c>
      <c r="AN106" t="s">
        <v>250</v>
      </c>
    </row>
    <row r="107" spans="9:40" x14ac:dyDescent="0.45">
      <c r="I107" t="s">
        <v>173</v>
      </c>
      <c r="J107" t="s">
        <v>153</v>
      </c>
      <c r="K107">
        <v>0</v>
      </c>
      <c r="L107" t="s">
        <v>154</v>
      </c>
      <c r="N107" t="s">
        <v>202</v>
      </c>
      <c r="O107" t="s">
        <v>153</v>
      </c>
      <c r="P107">
        <v>0.16426667005849743</v>
      </c>
      <c r="Q107" t="s">
        <v>154</v>
      </c>
      <c r="S107" t="s">
        <v>226</v>
      </c>
      <c r="T107" t="s">
        <v>153</v>
      </c>
      <c r="U107">
        <v>0.1756388567863558</v>
      </c>
      <c r="V107" t="s">
        <v>154</v>
      </c>
      <c r="AK107">
        <v>2046</v>
      </c>
      <c r="AL107" t="s">
        <v>142</v>
      </c>
      <c r="AM107">
        <v>0.33384999999999998</v>
      </c>
      <c r="AN107" t="s">
        <v>250</v>
      </c>
    </row>
    <row r="108" spans="9:40" x14ac:dyDescent="0.45">
      <c r="I108" t="s">
        <v>173</v>
      </c>
      <c r="J108" t="s">
        <v>155</v>
      </c>
      <c r="K108">
        <v>0.61332004022344599</v>
      </c>
      <c r="L108" t="s">
        <v>154</v>
      </c>
      <c r="N108" t="s">
        <v>202</v>
      </c>
      <c r="O108" t="s">
        <v>155</v>
      </c>
      <c r="P108">
        <v>0.27402903647612253</v>
      </c>
      <c r="Q108" t="s">
        <v>154</v>
      </c>
      <c r="S108" t="s">
        <v>226</v>
      </c>
      <c r="T108" t="s">
        <v>155</v>
      </c>
      <c r="U108">
        <v>0.28768994859784697</v>
      </c>
      <c r="V108" t="s">
        <v>154</v>
      </c>
      <c r="AK108">
        <v>2046</v>
      </c>
      <c r="AL108" t="s">
        <v>146</v>
      </c>
      <c r="AM108">
        <v>0.47323333333333334</v>
      </c>
      <c r="AN108" t="s">
        <v>250</v>
      </c>
    </row>
    <row r="109" spans="9:40" x14ac:dyDescent="0.45">
      <c r="I109" t="s">
        <v>173</v>
      </c>
      <c r="J109" t="s">
        <v>156</v>
      </c>
      <c r="K109">
        <v>2.5283797698949308E-2</v>
      </c>
      <c r="L109" t="s">
        <v>154</v>
      </c>
      <c r="N109" t="s">
        <v>202</v>
      </c>
      <c r="O109" t="s">
        <v>156</v>
      </c>
      <c r="P109">
        <v>0.14579434570708613</v>
      </c>
      <c r="Q109" t="s">
        <v>154</v>
      </c>
      <c r="S109" t="s">
        <v>226</v>
      </c>
      <c r="T109" t="s">
        <v>156</v>
      </c>
      <c r="U109">
        <v>0.13313536800585241</v>
      </c>
      <c r="V109" t="s">
        <v>154</v>
      </c>
      <c r="AK109">
        <v>2046</v>
      </c>
      <c r="AL109" t="s">
        <v>148</v>
      </c>
      <c r="AM109">
        <v>0.45960000000000001</v>
      </c>
      <c r="AN109" t="s">
        <v>250</v>
      </c>
    </row>
    <row r="110" spans="9:40" x14ac:dyDescent="0.45">
      <c r="I110" t="s">
        <v>173</v>
      </c>
      <c r="J110" t="s">
        <v>157</v>
      </c>
      <c r="K110">
        <v>0</v>
      </c>
      <c r="L110" t="s">
        <v>154</v>
      </c>
      <c r="N110" t="s">
        <v>202</v>
      </c>
      <c r="O110" t="s">
        <v>157</v>
      </c>
      <c r="P110">
        <v>5.6777260280776808E-2</v>
      </c>
      <c r="Q110" t="s">
        <v>154</v>
      </c>
      <c r="S110" t="s">
        <v>226</v>
      </c>
      <c r="T110" t="s">
        <v>157</v>
      </c>
      <c r="U110">
        <v>6.1710055199724105E-2</v>
      </c>
      <c r="V110" t="s">
        <v>154</v>
      </c>
      <c r="AK110">
        <v>2046</v>
      </c>
      <c r="AL110" t="s">
        <v>150</v>
      </c>
      <c r="AM110">
        <v>0.37404999999999999</v>
      </c>
      <c r="AN110" t="s">
        <v>250</v>
      </c>
    </row>
    <row r="111" spans="9:40" x14ac:dyDescent="0.45">
      <c r="I111" t="s">
        <v>173</v>
      </c>
      <c r="J111" t="s">
        <v>158</v>
      </c>
      <c r="K111">
        <v>0.13804479253726903</v>
      </c>
      <c r="L111" t="s">
        <v>154</v>
      </c>
      <c r="N111" t="s">
        <v>202</v>
      </c>
      <c r="O111" t="s">
        <v>158</v>
      </c>
      <c r="P111">
        <v>0.10949248025110334</v>
      </c>
      <c r="Q111" t="s">
        <v>154</v>
      </c>
      <c r="S111" t="s">
        <v>226</v>
      </c>
      <c r="T111" t="s">
        <v>158</v>
      </c>
      <c r="U111">
        <v>0.1000418251522234</v>
      </c>
      <c r="V111" t="s">
        <v>154</v>
      </c>
      <c r="AK111">
        <v>2047</v>
      </c>
      <c r="AL111" t="s">
        <v>142</v>
      </c>
      <c r="AM111">
        <v>0.35043750000000001</v>
      </c>
      <c r="AN111" t="s">
        <v>250</v>
      </c>
    </row>
    <row r="112" spans="9:40" x14ac:dyDescent="0.45">
      <c r="I112" t="s">
        <v>173</v>
      </c>
      <c r="J112" t="s">
        <v>159</v>
      </c>
      <c r="K112">
        <v>5.2379874229123045E-3</v>
      </c>
      <c r="L112" t="s">
        <v>154</v>
      </c>
      <c r="N112" t="s">
        <v>202</v>
      </c>
      <c r="O112" t="s">
        <v>159</v>
      </c>
      <c r="P112">
        <v>5.6785089582777858E-2</v>
      </c>
      <c r="Q112" t="s">
        <v>154</v>
      </c>
      <c r="S112" t="s">
        <v>226</v>
      </c>
      <c r="T112" t="s">
        <v>159</v>
      </c>
      <c r="U112">
        <v>4.9609361166412437E-2</v>
      </c>
      <c r="V112" t="s">
        <v>154</v>
      </c>
      <c r="AK112">
        <v>2047</v>
      </c>
      <c r="AL112" t="s">
        <v>146</v>
      </c>
      <c r="AM112">
        <v>0.42733333333333334</v>
      </c>
      <c r="AN112" t="s">
        <v>250</v>
      </c>
    </row>
    <row r="113" spans="9:40" x14ac:dyDescent="0.45">
      <c r="I113" t="s">
        <v>173</v>
      </c>
      <c r="J113" t="s">
        <v>160</v>
      </c>
      <c r="K113">
        <v>0</v>
      </c>
      <c r="L113" t="s">
        <v>154</v>
      </c>
      <c r="N113" t="s">
        <v>202</v>
      </c>
      <c r="O113" t="s">
        <v>160</v>
      </c>
      <c r="P113">
        <v>1.5604447426025281E-2</v>
      </c>
      <c r="Q113" t="s">
        <v>154</v>
      </c>
      <c r="S113" t="s">
        <v>226</v>
      </c>
      <c r="T113" t="s">
        <v>160</v>
      </c>
      <c r="U113">
        <v>1.2128527238457115E-2</v>
      </c>
      <c r="V113" t="s">
        <v>154</v>
      </c>
      <c r="AK113">
        <v>2047</v>
      </c>
      <c r="AL113" t="s">
        <v>148</v>
      </c>
      <c r="AM113">
        <v>0.34735000000000005</v>
      </c>
      <c r="AN113" t="s">
        <v>250</v>
      </c>
    </row>
    <row r="114" spans="9:40" x14ac:dyDescent="0.45">
      <c r="I114" t="s">
        <v>173</v>
      </c>
      <c r="J114" t="s">
        <v>161</v>
      </c>
      <c r="K114">
        <v>7.502796448089219E-2</v>
      </c>
      <c r="L114" t="s">
        <v>154</v>
      </c>
      <c r="N114" t="s">
        <v>202</v>
      </c>
      <c r="O114" t="s">
        <v>161</v>
      </c>
      <c r="P114">
        <v>2.87172235402741E-2</v>
      </c>
      <c r="Q114" t="s">
        <v>154</v>
      </c>
      <c r="S114" t="s">
        <v>226</v>
      </c>
      <c r="T114" t="s">
        <v>161</v>
      </c>
      <c r="U114">
        <v>2.1788883372487574E-2</v>
      </c>
      <c r="V114" t="s">
        <v>154</v>
      </c>
      <c r="AK114">
        <v>2047</v>
      </c>
      <c r="AL114" t="s">
        <v>150</v>
      </c>
      <c r="AM114">
        <v>0.33584999999999998</v>
      </c>
      <c r="AN114" t="s">
        <v>250</v>
      </c>
    </row>
    <row r="115" spans="9:40" x14ac:dyDescent="0.45">
      <c r="I115" t="s">
        <v>173</v>
      </c>
      <c r="J115" t="s">
        <v>162</v>
      </c>
      <c r="K115">
        <v>2.7155189622850612E-3</v>
      </c>
      <c r="L115" t="s">
        <v>154</v>
      </c>
      <c r="N115" t="s">
        <v>202</v>
      </c>
      <c r="O115" t="s">
        <v>162</v>
      </c>
      <c r="P115">
        <v>1.6544276603218208E-2</v>
      </c>
      <c r="Q115" t="s">
        <v>154</v>
      </c>
      <c r="S115" t="s">
        <v>226</v>
      </c>
      <c r="T115" t="s">
        <v>162</v>
      </c>
      <c r="U115">
        <v>9.5488818012596267E-3</v>
      </c>
      <c r="V115" t="s">
        <v>154</v>
      </c>
      <c r="AK115">
        <v>2048</v>
      </c>
      <c r="AL115" t="s">
        <v>142</v>
      </c>
      <c r="AM115">
        <v>0.31357499999999999</v>
      </c>
      <c r="AN115" t="s">
        <v>250</v>
      </c>
    </row>
    <row r="116" spans="9:40" x14ac:dyDescent="0.45">
      <c r="I116" t="s">
        <v>173</v>
      </c>
      <c r="J116" t="s">
        <v>163</v>
      </c>
      <c r="K116">
        <v>0</v>
      </c>
      <c r="L116" t="s">
        <v>154</v>
      </c>
      <c r="N116" t="s">
        <v>202</v>
      </c>
      <c r="O116" t="s">
        <v>163</v>
      </c>
      <c r="P116">
        <v>3.927116766096217E-2</v>
      </c>
      <c r="Q116" t="s">
        <v>154</v>
      </c>
      <c r="S116" t="s">
        <v>226</v>
      </c>
      <c r="T116" t="s">
        <v>163</v>
      </c>
      <c r="U116">
        <v>4.5003764600625371E-2</v>
      </c>
      <c r="V116" t="s">
        <v>154</v>
      </c>
      <c r="AK116">
        <v>2048</v>
      </c>
      <c r="AL116" t="s">
        <v>146</v>
      </c>
      <c r="AM116">
        <v>0.43990000000000001</v>
      </c>
      <c r="AN116" t="s">
        <v>250</v>
      </c>
    </row>
    <row r="117" spans="9:40" x14ac:dyDescent="0.45">
      <c r="I117" t="s">
        <v>173</v>
      </c>
      <c r="J117" t="s">
        <v>164</v>
      </c>
      <c r="K117">
        <v>0.13540685212730139</v>
      </c>
      <c r="L117" t="s">
        <v>154</v>
      </c>
      <c r="N117" t="s">
        <v>202</v>
      </c>
      <c r="O117" t="s">
        <v>164</v>
      </c>
      <c r="P117">
        <v>5.8687465017243146E-2</v>
      </c>
      <c r="Q117" t="s">
        <v>154</v>
      </c>
      <c r="S117" t="s">
        <v>226</v>
      </c>
      <c r="T117" t="s">
        <v>164</v>
      </c>
      <c r="U117">
        <v>6.9287106101706616E-2</v>
      </c>
      <c r="V117" t="s">
        <v>154</v>
      </c>
      <c r="AK117">
        <v>2048</v>
      </c>
      <c r="AL117" t="s">
        <v>148</v>
      </c>
      <c r="AM117">
        <v>0.41400000000000003</v>
      </c>
      <c r="AN117" t="s">
        <v>250</v>
      </c>
    </row>
    <row r="118" spans="9:40" x14ac:dyDescent="0.45">
      <c r="I118" t="s">
        <v>173</v>
      </c>
      <c r="J118" t="s">
        <v>165</v>
      </c>
      <c r="K118">
        <v>4.9630465469446584E-3</v>
      </c>
      <c r="L118" t="s">
        <v>154</v>
      </c>
      <c r="N118" t="s">
        <v>202</v>
      </c>
      <c r="O118" t="s">
        <v>165</v>
      </c>
      <c r="P118">
        <v>3.4030537395912851E-2</v>
      </c>
      <c r="Q118" t="s">
        <v>154</v>
      </c>
      <c r="S118" t="s">
        <v>226</v>
      </c>
      <c r="T118" t="s">
        <v>165</v>
      </c>
      <c r="U118">
        <v>3.4417421977048085E-2</v>
      </c>
      <c r="V118" t="s">
        <v>154</v>
      </c>
      <c r="AK118">
        <v>2048</v>
      </c>
      <c r="AL118" t="s">
        <v>150</v>
      </c>
      <c r="AM118">
        <v>0.38064999999999999</v>
      </c>
      <c r="AN118" t="s">
        <v>250</v>
      </c>
    </row>
    <row r="119" spans="9:40" x14ac:dyDescent="0.45">
      <c r="I119" t="s">
        <v>174</v>
      </c>
      <c r="J119" t="s">
        <v>153</v>
      </c>
      <c r="K119">
        <v>0</v>
      </c>
      <c r="L119" t="s">
        <v>154</v>
      </c>
      <c r="N119" t="s">
        <v>203</v>
      </c>
      <c r="O119" t="s">
        <v>153</v>
      </c>
      <c r="P119">
        <v>0.16992240564327035</v>
      </c>
      <c r="Q119" t="s">
        <v>154</v>
      </c>
      <c r="S119" t="s">
        <v>227</v>
      </c>
      <c r="T119" t="s">
        <v>153</v>
      </c>
      <c r="U119">
        <v>0.13924357044831689</v>
      </c>
      <c r="V119" t="s">
        <v>154</v>
      </c>
      <c r="AK119">
        <v>2049</v>
      </c>
      <c r="AL119" t="s">
        <v>142</v>
      </c>
      <c r="AM119">
        <v>0.30232500000000001</v>
      </c>
      <c r="AN119" t="s">
        <v>250</v>
      </c>
    </row>
    <row r="120" spans="9:40" x14ac:dyDescent="0.45">
      <c r="I120" t="s">
        <v>174</v>
      </c>
      <c r="J120" t="s">
        <v>155</v>
      </c>
      <c r="K120">
        <v>0.62490023072890155</v>
      </c>
      <c r="L120" t="s">
        <v>154</v>
      </c>
      <c r="N120" t="s">
        <v>203</v>
      </c>
      <c r="O120" t="s">
        <v>155</v>
      </c>
      <c r="P120">
        <v>0.27807070855682231</v>
      </c>
      <c r="Q120" t="s">
        <v>154</v>
      </c>
      <c r="S120" t="s">
        <v>227</v>
      </c>
      <c r="T120" t="s">
        <v>155</v>
      </c>
      <c r="U120">
        <v>0.22672313161702948</v>
      </c>
      <c r="V120" t="s">
        <v>154</v>
      </c>
      <c r="AK120">
        <v>2049</v>
      </c>
      <c r="AL120" t="s">
        <v>146</v>
      </c>
      <c r="AM120">
        <v>0.36210000000000003</v>
      </c>
      <c r="AN120" t="s">
        <v>250</v>
      </c>
    </row>
    <row r="121" spans="9:40" x14ac:dyDescent="0.45">
      <c r="I121" t="s">
        <v>174</v>
      </c>
      <c r="J121" t="s">
        <v>156</v>
      </c>
      <c r="K121">
        <v>1.5648501010654736E-2</v>
      </c>
      <c r="L121" t="s">
        <v>154</v>
      </c>
      <c r="N121" t="s">
        <v>203</v>
      </c>
      <c r="O121" t="s">
        <v>156</v>
      </c>
      <c r="P121">
        <v>0.18265396537004547</v>
      </c>
      <c r="Q121" t="s">
        <v>154</v>
      </c>
      <c r="S121" t="s">
        <v>227</v>
      </c>
      <c r="T121" t="s">
        <v>156</v>
      </c>
      <c r="U121">
        <v>0.13479250595579684</v>
      </c>
      <c r="V121" t="s">
        <v>154</v>
      </c>
      <c r="AK121">
        <v>2049</v>
      </c>
      <c r="AL121" t="s">
        <v>148</v>
      </c>
      <c r="AM121">
        <v>0.37404999999999999</v>
      </c>
      <c r="AN121" t="s">
        <v>250</v>
      </c>
    </row>
    <row r="122" spans="9:40" x14ac:dyDescent="0.45">
      <c r="I122" t="s">
        <v>174</v>
      </c>
      <c r="J122" t="s">
        <v>157</v>
      </c>
      <c r="K122">
        <v>0</v>
      </c>
      <c r="L122" t="s">
        <v>154</v>
      </c>
      <c r="N122" t="s">
        <v>203</v>
      </c>
      <c r="O122" t="s">
        <v>157</v>
      </c>
      <c r="P122">
        <v>5.3809722057761349E-2</v>
      </c>
      <c r="Q122" t="s">
        <v>154</v>
      </c>
      <c r="S122" t="s">
        <v>227</v>
      </c>
      <c r="T122" t="s">
        <v>157</v>
      </c>
      <c r="U122">
        <v>3.1098989921825172E-2</v>
      </c>
      <c r="V122" t="s">
        <v>154</v>
      </c>
      <c r="AK122">
        <v>2049</v>
      </c>
      <c r="AL122" t="s">
        <v>150</v>
      </c>
      <c r="AM122">
        <v>0.32679999999999998</v>
      </c>
      <c r="AN122" t="s">
        <v>250</v>
      </c>
    </row>
    <row r="123" spans="9:40" x14ac:dyDescent="0.45">
      <c r="I123" t="s">
        <v>174</v>
      </c>
      <c r="J123" t="s">
        <v>158</v>
      </c>
      <c r="K123">
        <v>0.13740750160646048</v>
      </c>
      <c r="L123" t="s">
        <v>154</v>
      </c>
      <c r="N123" t="s">
        <v>203</v>
      </c>
      <c r="O123" t="s">
        <v>158</v>
      </c>
      <c r="P123">
        <v>8.8986325109285141E-2</v>
      </c>
      <c r="Q123" t="s">
        <v>154</v>
      </c>
      <c r="S123" t="s">
        <v>227</v>
      </c>
      <c r="T123" t="s">
        <v>158</v>
      </c>
      <c r="U123">
        <v>5.1421591533690705E-2</v>
      </c>
      <c r="V123" t="s">
        <v>154</v>
      </c>
      <c r="AK123">
        <v>2050</v>
      </c>
      <c r="AL123" t="s">
        <v>142</v>
      </c>
      <c r="AM123">
        <v>0.33196249999999999</v>
      </c>
      <c r="AN123" t="s">
        <v>250</v>
      </c>
    </row>
    <row r="124" spans="9:40" x14ac:dyDescent="0.45">
      <c r="I124" t="s">
        <v>174</v>
      </c>
      <c r="J124" t="s">
        <v>159</v>
      </c>
      <c r="K124">
        <v>2.0951603916675985E-3</v>
      </c>
      <c r="L124" t="s">
        <v>154</v>
      </c>
      <c r="N124" t="s">
        <v>203</v>
      </c>
      <c r="O124" t="s">
        <v>159</v>
      </c>
      <c r="P124">
        <v>5.9083190689890097E-2</v>
      </c>
      <c r="Q124" t="s">
        <v>154</v>
      </c>
      <c r="S124" t="s">
        <v>227</v>
      </c>
      <c r="T124" t="s">
        <v>159</v>
      </c>
      <c r="U124">
        <v>2.8180992737103155E-2</v>
      </c>
      <c r="V124" t="s">
        <v>154</v>
      </c>
      <c r="AK124">
        <v>2050</v>
      </c>
      <c r="AL124" t="s">
        <v>146</v>
      </c>
      <c r="AM124">
        <v>0.44819999999999999</v>
      </c>
      <c r="AN124" t="s">
        <v>250</v>
      </c>
    </row>
    <row r="125" spans="9:40" x14ac:dyDescent="0.45">
      <c r="I125" t="s">
        <v>174</v>
      </c>
      <c r="J125" t="s">
        <v>160</v>
      </c>
      <c r="K125">
        <v>0</v>
      </c>
      <c r="L125" t="s">
        <v>154</v>
      </c>
      <c r="N125" t="s">
        <v>203</v>
      </c>
      <c r="O125" t="s">
        <v>160</v>
      </c>
      <c r="P125">
        <v>1.1592602435108311E-2</v>
      </c>
      <c r="Q125" t="s">
        <v>154</v>
      </c>
      <c r="S125" t="s">
        <v>227</v>
      </c>
      <c r="T125" t="s">
        <v>160</v>
      </c>
      <c r="U125">
        <v>4.0541751240583235E-2</v>
      </c>
      <c r="V125" t="s">
        <v>154</v>
      </c>
      <c r="AK125">
        <v>2050</v>
      </c>
      <c r="AL125" t="s">
        <v>148</v>
      </c>
      <c r="AM125">
        <v>0.41720000000000002</v>
      </c>
      <c r="AN125" t="s">
        <v>250</v>
      </c>
    </row>
    <row r="126" spans="9:40" x14ac:dyDescent="0.45">
      <c r="I126" t="s">
        <v>174</v>
      </c>
      <c r="J126" t="s">
        <v>161</v>
      </c>
      <c r="K126">
        <v>7.1088821024349574E-2</v>
      </c>
      <c r="L126" t="s">
        <v>154</v>
      </c>
      <c r="N126" t="s">
        <v>203</v>
      </c>
      <c r="O126" t="s">
        <v>161</v>
      </c>
      <c r="P126">
        <v>1.8921133291716501E-2</v>
      </c>
      <c r="Q126" t="s">
        <v>154</v>
      </c>
      <c r="S126" t="s">
        <v>227</v>
      </c>
      <c r="T126" t="s">
        <v>161</v>
      </c>
      <c r="U126">
        <v>6.1680255895352268E-2</v>
      </c>
      <c r="V126" t="s">
        <v>154</v>
      </c>
      <c r="AK126">
        <v>2050</v>
      </c>
      <c r="AL126" t="s">
        <v>150</v>
      </c>
      <c r="AM126">
        <v>0.33094999999999997</v>
      </c>
      <c r="AN126" t="s">
        <v>250</v>
      </c>
    </row>
    <row r="127" spans="9:40" x14ac:dyDescent="0.45">
      <c r="I127" t="s">
        <v>174</v>
      </c>
      <c r="J127" t="s">
        <v>162</v>
      </c>
      <c r="K127">
        <v>0</v>
      </c>
      <c r="L127" t="s">
        <v>154</v>
      </c>
      <c r="N127" t="s">
        <v>203</v>
      </c>
      <c r="O127" t="s">
        <v>162</v>
      </c>
      <c r="P127">
        <v>1.1025050194292625E-2</v>
      </c>
      <c r="Q127" t="s">
        <v>154</v>
      </c>
      <c r="S127" t="s">
        <v>227</v>
      </c>
      <c r="T127" t="s">
        <v>162</v>
      </c>
      <c r="U127">
        <v>3.7804439711601703E-2</v>
      </c>
      <c r="V127" t="s">
        <v>154</v>
      </c>
    </row>
    <row r="128" spans="9:40" x14ac:dyDescent="0.45">
      <c r="I128" t="s">
        <v>174</v>
      </c>
      <c r="J128" t="s">
        <v>163</v>
      </c>
      <c r="K128">
        <v>0</v>
      </c>
      <c r="L128" t="s">
        <v>154</v>
      </c>
      <c r="N128" t="s">
        <v>203</v>
      </c>
      <c r="O128" t="s">
        <v>163</v>
      </c>
      <c r="P128">
        <v>3.8263237695159408E-2</v>
      </c>
      <c r="Q128" t="s">
        <v>154</v>
      </c>
      <c r="S128" t="s">
        <v>227</v>
      </c>
      <c r="T128" t="s">
        <v>163</v>
      </c>
      <c r="U128">
        <v>6.8968024591982785E-2</v>
      </c>
      <c r="V128" t="s">
        <v>154</v>
      </c>
    </row>
    <row r="129" spans="9:22" x14ac:dyDescent="0.45">
      <c r="I129" t="s">
        <v>174</v>
      </c>
      <c r="J129" t="s">
        <v>164</v>
      </c>
      <c r="K129">
        <v>0.14803877398946974</v>
      </c>
      <c r="L129" t="s">
        <v>154</v>
      </c>
      <c r="N129" t="s">
        <v>203</v>
      </c>
      <c r="O129" t="s">
        <v>164</v>
      </c>
      <c r="P129">
        <v>5.1782629652743162E-2</v>
      </c>
      <c r="Q129" t="s">
        <v>154</v>
      </c>
      <c r="S129" t="s">
        <v>227</v>
      </c>
      <c r="T129" t="s">
        <v>164</v>
      </c>
      <c r="U129">
        <v>0.11257146660426927</v>
      </c>
      <c r="V129" t="s">
        <v>154</v>
      </c>
    </row>
    <row r="130" spans="9:22" x14ac:dyDescent="0.45">
      <c r="I130" t="s">
        <v>174</v>
      </c>
      <c r="J130" t="s">
        <v>165</v>
      </c>
      <c r="K130">
        <v>8.2101124849565034E-4</v>
      </c>
      <c r="L130" t="s">
        <v>154</v>
      </c>
      <c r="N130" t="s">
        <v>203</v>
      </c>
      <c r="O130" t="s">
        <v>165</v>
      </c>
      <c r="P130">
        <v>3.5889029303902434E-2</v>
      </c>
      <c r="Q130" t="s">
        <v>154</v>
      </c>
      <c r="S130" t="s">
        <v>227</v>
      </c>
      <c r="T130" t="s">
        <v>165</v>
      </c>
      <c r="U130">
        <v>6.6973279742450154E-2</v>
      </c>
      <c r="V130" t="s">
        <v>154</v>
      </c>
    </row>
    <row r="131" spans="9:22" x14ac:dyDescent="0.45">
      <c r="I131" t="s">
        <v>175</v>
      </c>
      <c r="J131" t="s">
        <v>153</v>
      </c>
      <c r="K131">
        <v>2.8545792194167854E-3</v>
      </c>
      <c r="L131" t="s">
        <v>154</v>
      </c>
      <c r="N131" t="s">
        <v>204</v>
      </c>
      <c r="O131" t="s">
        <v>153</v>
      </c>
      <c r="P131">
        <v>0.17962503841909758</v>
      </c>
      <c r="Q131" t="s">
        <v>154</v>
      </c>
      <c r="S131" t="s">
        <v>228</v>
      </c>
      <c r="T131" t="s">
        <v>153</v>
      </c>
      <c r="U131">
        <v>0.17295076658679537</v>
      </c>
      <c r="V131" t="s">
        <v>154</v>
      </c>
    </row>
    <row r="132" spans="9:22" x14ac:dyDescent="0.45">
      <c r="I132" t="s">
        <v>175</v>
      </c>
      <c r="J132" t="s">
        <v>155</v>
      </c>
      <c r="K132">
        <v>0.61331318362728038</v>
      </c>
      <c r="L132" t="s">
        <v>154</v>
      </c>
      <c r="N132" t="s">
        <v>204</v>
      </c>
      <c r="O132" t="s">
        <v>155</v>
      </c>
      <c r="P132">
        <v>0.2999652275344819</v>
      </c>
      <c r="Q132" t="s">
        <v>154</v>
      </c>
      <c r="S132" t="s">
        <v>228</v>
      </c>
      <c r="T132" t="s">
        <v>155</v>
      </c>
      <c r="U132">
        <v>0.24923299389412604</v>
      </c>
      <c r="V132" t="s">
        <v>154</v>
      </c>
    </row>
    <row r="133" spans="9:22" x14ac:dyDescent="0.45">
      <c r="I133" t="s">
        <v>175</v>
      </c>
      <c r="J133" t="s">
        <v>156</v>
      </c>
      <c r="K133">
        <v>1.7780820058986527E-2</v>
      </c>
      <c r="L133" t="s">
        <v>154</v>
      </c>
      <c r="N133" t="s">
        <v>204</v>
      </c>
      <c r="O133" t="s">
        <v>156</v>
      </c>
      <c r="P133">
        <v>0.14816689982866538</v>
      </c>
      <c r="Q133" t="s">
        <v>154</v>
      </c>
      <c r="S133" t="s">
        <v>228</v>
      </c>
      <c r="T133" t="s">
        <v>156</v>
      </c>
      <c r="U133">
        <v>0.1366136828959956</v>
      </c>
      <c r="V133" t="s">
        <v>154</v>
      </c>
    </row>
    <row r="134" spans="9:22" x14ac:dyDescent="0.45">
      <c r="I134" t="s">
        <v>175</v>
      </c>
      <c r="J134" t="s">
        <v>157</v>
      </c>
      <c r="K134">
        <v>1.6466171826046665E-4</v>
      </c>
      <c r="L134" t="s">
        <v>154</v>
      </c>
      <c r="N134" t="s">
        <v>204</v>
      </c>
      <c r="O134" t="s">
        <v>157</v>
      </c>
      <c r="P134">
        <v>4.1769624956521124E-2</v>
      </c>
      <c r="Q134" t="s">
        <v>154</v>
      </c>
      <c r="S134" t="s">
        <v>228</v>
      </c>
      <c r="T134" t="s">
        <v>157</v>
      </c>
      <c r="U134">
        <v>4.5799345470368812E-2</v>
      </c>
      <c r="V134" t="s">
        <v>154</v>
      </c>
    </row>
    <row r="135" spans="9:22" x14ac:dyDescent="0.45">
      <c r="I135" t="s">
        <v>175</v>
      </c>
      <c r="J135" t="s">
        <v>158</v>
      </c>
      <c r="K135">
        <v>0.14767430177811772</v>
      </c>
      <c r="L135" t="s">
        <v>154</v>
      </c>
      <c r="N135" t="s">
        <v>204</v>
      </c>
      <c r="O135" t="s">
        <v>158</v>
      </c>
      <c r="P135">
        <v>8.4676211037134713E-2</v>
      </c>
      <c r="Q135" t="s">
        <v>154</v>
      </c>
      <c r="S135" t="s">
        <v>228</v>
      </c>
      <c r="T135" t="s">
        <v>158</v>
      </c>
      <c r="U135">
        <v>6.9261119457199316E-2</v>
      </c>
      <c r="V135" t="s">
        <v>154</v>
      </c>
    </row>
    <row r="136" spans="9:22" x14ac:dyDescent="0.45">
      <c r="I136" t="s">
        <v>175</v>
      </c>
      <c r="J136" t="s">
        <v>159</v>
      </c>
      <c r="K136">
        <v>2.0676671588764229E-3</v>
      </c>
      <c r="L136" t="s">
        <v>154</v>
      </c>
      <c r="N136" t="s">
        <v>204</v>
      </c>
      <c r="O136" t="s">
        <v>159</v>
      </c>
      <c r="P136">
        <v>3.6584400751231101E-2</v>
      </c>
      <c r="Q136" t="s">
        <v>154</v>
      </c>
      <c r="S136" t="s">
        <v>228</v>
      </c>
      <c r="T136" t="s">
        <v>159</v>
      </c>
      <c r="U136">
        <v>3.3695372785842906E-2</v>
      </c>
      <c r="V136" t="s">
        <v>154</v>
      </c>
    </row>
    <row r="137" spans="9:22" x14ac:dyDescent="0.45">
      <c r="I137" t="s">
        <v>175</v>
      </c>
      <c r="J137" t="s">
        <v>160</v>
      </c>
      <c r="K137">
        <v>3.432682579498688E-4</v>
      </c>
      <c r="L137" t="s">
        <v>154</v>
      </c>
      <c r="N137" t="s">
        <v>204</v>
      </c>
      <c r="O137" t="s">
        <v>160</v>
      </c>
      <c r="P137">
        <v>1.0918802871853319E-2</v>
      </c>
      <c r="Q137" t="s">
        <v>154</v>
      </c>
      <c r="S137" t="s">
        <v>228</v>
      </c>
      <c r="T137" t="s">
        <v>160</v>
      </c>
      <c r="U137">
        <v>2.3147928045002989E-2</v>
      </c>
      <c r="V137" t="s">
        <v>154</v>
      </c>
    </row>
    <row r="138" spans="9:22" x14ac:dyDescent="0.45">
      <c r="I138" t="s">
        <v>175</v>
      </c>
      <c r="J138" t="s">
        <v>161</v>
      </c>
      <c r="K138">
        <v>7.4195359503545166E-2</v>
      </c>
      <c r="L138" t="s">
        <v>154</v>
      </c>
      <c r="N138" t="s">
        <v>204</v>
      </c>
      <c r="O138" t="s">
        <v>161</v>
      </c>
      <c r="P138">
        <v>2.6413421395668879E-2</v>
      </c>
      <c r="Q138" t="s">
        <v>154</v>
      </c>
      <c r="S138" t="s">
        <v>228</v>
      </c>
      <c r="T138" t="s">
        <v>161</v>
      </c>
      <c r="U138">
        <v>3.2243326195016471E-2</v>
      </c>
      <c r="V138" t="s">
        <v>154</v>
      </c>
    </row>
    <row r="139" spans="9:22" x14ac:dyDescent="0.45">
      <c r="I139" t="s">
        <v>175</v>
      </c>
      <c r="J139" t="s">
        <v>162</v>
      </c>
      <c r="K139">
        <v>0</v>
      </c>
      <c r="L139" t="s">
        <v>154</v>
      </c>
      <c r="N139" t="s">
        <v>204</v>
      </c>
      <c r="O139" t="s">
        <v>162</v>
      </c>
      <c r="P139">
        <v>1.1446980865088724E-2</v>
      </c>
      <c r="Q139" t="s">
        <v>154</v>
      </c>
      <c r="S139" t="s">
        <v>228</v>
      </c>
      <c r="T139" t="s">
        <v>162</v>
      </c>
      <c r="U139">
        <v>1.9520560626914048E-2</v>
      </c>
      <c r="V139" t="s">
        <v>154</v>
      </c>
    </row>
    <row r="140" spans="9:22" x14ac:dyDescent="0.45">
      <c r="I140" t="s">
        <v>175</v>
      </c>
      <c r="J140" t="s">
        <v>163</v>
      </c>
      <c r="K140">
        <v>0</v>
      </c>
      <c r="L140" t="s">
        <v>154</v>
      </c>
      <c r="N140" t="s">
        <v>204</v>
      </c>
      <c r="O140" t="s">
        <v>163</v>
      </c>
      <c r="P140">
        <v>4.7389452063366866E-2</v>
      </c>
      <c r="Q140" t="s">
        <v>154</v>
      </c>
      <c r="S140" t="s">
        <v>228</v>
      </c>
      <c r="T140" t="s">
        <v>163</v>
      </c>
      <c r="U140">
        <v>6.2672788005341762E-2</v>
      </c>
      <c r="V140" t="s">
        <v>154</v>
      </c>
    </row>
    <row r="141" spans="9:22" x14ac:dyDescent="0.45">
      <c r="I141" t="s">
        <v>175</v>
      </c>
      <c r="J141" t="s">
        <v>164</v>
      </c>
      <c r="K141">
        <v>0.14160604852568426</v>
      </c>
      <c r="L141" t="s">
        <v>154</v>
      </c>
      <c r="N141" t="s">
        <v>204</v>
      </c>
      <c r="O141" t="s">
        <v>164</v>
      </c>
      <c r="P141">
        <v>7.5461362751693531E-2</v>
      </c>
      <c r="Q141" t="s">
        <v>154</v>
      </c>
      <c r="S141" t="s">
        <v>228</v>
      </c>
      <c r="T141" t="s">
        <v>164</v>
      </c>
      <c r="U141">
        <v>9.5280918303428969E-2</v>
      </c>
      <c r="V141" t="s">
        <v>154</v>
      </c>
    </row>
    <row r="142" spans="9:22" x14ac:dyDescent="0.45">
      <c r="I142" t="s">
        <v>175</v>
      </c>
      <c r="J142" t="s">
        <v>165</v>
      </c>
      <c r="K142">
        <v>1.1015188294375806E-7</v>
      </c>
      <c r="L142" t="s">
        <v>154</v>
      </c>
      <c r="N142" t="s">
        <v>204</v>
      </c>
      <c r="O142" t="s">
        <v>165</v>
      </c>
      <c r="P142">
        <v>3.7582577525198883E-2</v>
      </c>
      <c r="Q142" t="s">
        <v>154</v>
      </c>
      <c r="S142" t="s">
        <v>228</v>
      </c>
      <c r="T142" t="s">
        <v>165</v>
      </c>
      <c r="U142">
        <v>5.9581197733966189E-2</v>
      </c>
      <c r="V142" t="s">
        <v>154</v>
      </c>
    </row>
    <row r="143" spans="9:22" x14ac:dyDescent="0.45">
      <c r="I143" t="s">
        <v>176</v>
      </c>
      <c r="J143" t="s">
        <v>153</v>
      </c>
      <c r="K143">
        <v>2.1987519979182611E-4</v>
      </c>
      <c r="L143" t="s">
        <v>154</v>
      </c>
      <c r="N143" t="s">
        <v>205</v>
      </c>
      <c r="O143" t="s">
        <v>153</v>
      </c>
      <c r="P143">
        <v>0.17786618047072489</v>
      </c>
      <c r="Q143" t="s">
        <v>154</v>
      </c>
      <c r="S143" t="s">
        <v>229</v>
      </c>
      <c r="T143" t="s">
        <v>153</v>
      </c>
      <c r="U143">
        <v>0.16326532085156129</v>
      </c>
      <c r="V143" t="s">
        <v>154</v>
      </c>
    </row>
    <row r="144" spans="9:22" x14ac:dyDescent="0.45">
      <c r="I144" t="s">
        <v>176</v>
      </c>
      <c r="J144" t="s">
        <v>155</v>
      </c>
      <c r="K144">
        <v>0.62265120845241606</v>
      </c>
      <c r="L144" t="s">
        <v>154</v>
      </c>
      <c r="N144" t="s">
        <v>205</v>
      </c>
      <c r="O144" t="s">
        <v>155</v>
      </c>
      <c r="P144">
        <v>0.31449523598880424</v>
      </c>
      <c r="Q144" t="s">
        <v>154</v>
      </c>
      <c r="S144" t="s">
        <v>229</v>
      </c>
      <c r="T144" t="s">
        <v>155</v>
      </c>
      <c r="U144">
        <v>0.2432716532208864</v>
      </c>
      <c r="V144" t="s">
        <v>154</v>
      </c>
    </row>
    <row r="145" spans="9:22" x14ac:dyDescent="0.45">
      <c r="I145" t="s">
        <v>176</v>
      </c>
      <c r="J145" t="s">
        <v>156</v>
      </c>
      <c r="K145">
        <v>1.4136174758615706E-2</v>
      </c>
      <c r="L145" t="s">
        <v>154</v>
      </c>
      <c r="N145" t="s">
        <v>205</v>
      </c>
      <c r="O145" t="s">
        <v>156</v>
      </c>
      <c r="P145">
        <v>0.15598576628438587</v>
      </c>
      <c r="Q145" t="s">
        <v>154</v>
      </c>
      <c r="S145" t="s">
        <v>229</v>
      </c>
      <c r="T145" t="s">
        <v>156</v>
      </c>
      <c r="U145">
        <v>0.13808799987095793</v>
      </c>
      <c r="V145" t="s">
        <v>154</v>
      </c>
    </row>
    <row r="146" spans="9:22" x14ac:dyDescent="0.45">
      <c r="I146" t="s">
        <v>176</v>
      </c>
      <c r="J146" t="s">
        <v>157</v>
      </c>
      <c r="K146">
        <v>0</v>
      </c>
      <c r="L146" t="s">
        <v>154</v>
      </c>
      <c r="N146" t="s">
        <v>205</v>
      </c>
      <c r="O146" t="s">
        <v>157</v>
      </c>
      <c r="P146">
        <v>3.6112078633386023E-2</v>
      </c>
      <c r="Q146" t="s">
        <v>154</v>
      </c>
      <c r="S146" t="s">
        <v>229</v>
      </c>
      <c r="T146" t="s">
        <v>157</v>
      </c>
      <c r="U146">
        <v>4.147452756046744E-2</v>
      </c>
      <c r="V146" t="s">
        <v>154</v>
      </c>
    </row>
    <row r="147" spans="9:22" x14ac:dyDescent="0.45">
      <c r="I147" t="s">
        <v>176</v>
      </c>
      <c r="J147" t="s">
        <v>158</v>
      </c>
      <c r="K147">
        <v>0.14237680448161108</v>
      </c>
      <c r="L147" t="s">
        <v>154</v>
      </c>
      <c r="N147" t="s">
        <v>205</v>
      </c>
      <c r="O147" t="s">
        <v>158</v>
      </c>
      <c r="P147">
        <v>7.9909243169896449E-2</v>
      </c>
      <c r="Q147" t="s">
        <v>154</v>
      </c>
      <c r="S147" t="s">
        <v>229</v>
      </c>
      <c r="T147" t="s">
        <v>158</v>
      </c>
      <c r="U147">
        <v>6.4390358016796836E-2</v>
      </c>
      <c r="V147" t="s">
        <v>154</v>
      </c>
    </row>
    <row r="148" spans="9:22" x14ac:dyDescent="0.45">
      <c r="I148" t="s">
        <v>176</v>
      </c>
      <c r="J148" t="s">
        <v>159</v>
      </c>
      <c r="K148">
        <v>2.1465096395795677E-3</v>
      </c>
      <c r="L148" t="s">
        <v>154</v>
      </c>
      <c r="N148" t="s">
        <v>205</v>
      </c>
      <c r="O148" t="s">
        <v>159</v>
      </c>
      <c r="P148">
        <v>3.229783151356691E-2</v>
      </c>
      <c r="Q148" t="s">
        <v>154</v>
      </c>
      <c r="S148" t="s">
        <v>229</v>
      </c>
      <c r="T148" t="s">
        <v>159</v>
      </c>
      <c r="U148">
        <v>3.6305855596529747E-2</v>
      </c>
      <c r="V148" t="s">
        <v>154</v>
      </c>
    </row>
    <row r="149" spans="9:22" x14ac:dyDescent="0.45">
      <c r="I149" t="s">
        <v>176</v>
      </c>
      <c r="J149" t="s">
        <v>160</v>
      </c>
      <c r="K149">
        <v>0</v>
      </c>
      <c r="L149" t="s">
        <v>154</v>
      </c>
      <c r="N149" t="s">
        <v>205</v>
      </c>
      <c r="O149" t="s">
        <v>160</v>
      </c>
      <c r="P149">
        <v>1.3127791208155586E-2</v>
      </c>
      <c r="Q149" t="s">
        <v>154</v>
      </c>
      <c r="S149" t="s">
        <v>229</v>
      </c>
      <c r="T149" t="s">
        <v>160</v>
      </c>
      <c r="U149">
        <v>3.3787137067156282E-2</v>
      </c>
      <c r="V149" t="s">
        <v>154</v>
      </c>
    </row>
    <row r="150" spans="9:22" x14ac:dyDescent="0.45">
      <c r="I150" t="s">
        <v>176</v>
      </c>
      <c r="J150" t="s">
        <v>161</v>
      </c>
      <c r="K150">
        <v>6.9397865190393648E-2</v>
      </c>
      <c r="L150" t="s">
        <v>154</v>
      </c>
      <c r="N150" t="s">
        <v>205</v>
      </c>
      <c r="O150" t="s">
        <v>161</v>
      </c>
      <c r="P150">
        <v>2.8447571849895326E-2</v>
      </c>
      <c r="Q150" t="s">
        <v>154</v>
      </c>
      <c r="S150" t="s">
        <v>229</v>
      </c>
      <c r="T150" t="s">
        <v>161</v>
      </c>
      <c r="U150">
        <v>5.1800678996142706E-2</v>
      </c>
      <c r="V150" t="s">
        <v>154</v>
      </c>
    </row>
    <row r="151" spans="9:22" x14ac:dyDescent="0.45">
      <c r="I151" t="s">
        <v>176</v>
      </c>
      <c r="J151" t="s">
        <v>162</v>
      </c>
      <c r="K151">
        <v>0</v>
      </c>
      <c r="L151" t="s">
        <v>154</v>
      </c>
      <c r="N151" t="s">
        <v>205</v>
      </c>
      <c r="O151" t="s">
        <v>162</v>
      </c>
      <c r="P151">
        <v>1.1871695748913037E-2</v>
      </c>
      <c r="Q151" t="s">
        <v>154</v>
      </c>
      <c r="S151" t="s">
        <v>229</v>
      </c>
      <c r="T151" t="s">
        <v>162</v>
      </c>
      <c r="U151">
        <v>2.8661100112115884E-2</v>
      </c>
      <c r="V151" t="s">
        <v>154</v>
      </c>
    </row>
    <row r="152" spans="9:22" x14ac:dyDescent="0.45">
      <c r="I152" t="s">
        <v>176</v>
      </c>
      <c r="J152" t="s">
        <v>163</v>
      </c>
      <c r="K152">
        <v>0</v>
      </c>
      <c r="L152" t="s">
        <v>154</v>
      </c>
      <c r="N152" t="s">
        <v>205</v>
      </c>
      <c r="O152" t="s">
        <v>163</v>
      </c>
      <c r="P152">
        <v>4.0925605325492623E-2</v>
      </c>
      <c r="Q152" t="s">
        <v>154</v>
      </c>
      <c r="S152" t="s">
        <v>229</v>
      </c>
      <c r="T152" t="s">
        <v>163</v>
      </c>
      <c r="U152">
        <v>6.0058300489856192E-2</v>
      </c>
      <c r="V152" t="s">
        <v>154</v>
      </c>
    </row>
    <row r="153" spans="9:22" x14ac:dyDescent="0.45">
      <c r="I153" t="s">
        <v>176</v>
      </c>
      <c r="J153" t="s">
        <v>164</v>
      </c>
      <c r="K153">
        <v>0.14904637445818192</v>
      </c>
      <c r="L153" t="s">
        <v>154</v>
      </c>
      <c r="N153" t="s">
        <v>205</v>
      </c>
      <c r="O153" t="s">
        <v>164</v>
      </c>
      <c r="P153">
        <v>7.5249715799490538E-2</v>
      </c>
      <c r="Q153" t="s">
        <v>154</v>
      </c>
      <c r="S153" t="s">
        <v>229</v>
      </c>
      <c r="T153" t="s">
        <v>164</v>
      </c>
      <c r="U153">
        <v>8.8717660967364373E-2</v>
      </c>
      <c r="V153" t="s">
        <v>154</v>
      </c>
    </row>
    <row r="154" spans="9:22" x14ac:dyDescent="0.45">
      <c r="I154" t="s">
        <v>176</v>
      </c>
      <c r="J154" t="s">
        <v>165</v>
      </c>
      <c r="K154">
        <v>2.5187819409986283E-5</v>
      </c>
      <c r="L154" t="s">
        <v>154</v>
      </c>
      <c r="N154" t="s">
        <v>205</v>
      </c>
      <c r="O154" t="s">
        <v>165</v>
      </c>
      <c r="P154">
        <v>3.3711284007292154E-2</v>
      </c>
      <c r="Q154" t="s">
        <v>154</v>
      </c>
      <c r="S154" t="s">
        <v>229</v>
      </c>
      <c r="T154" t="s">
        <v>165</v>
      </c>
      <c r="U154">
        <v>5.017940725016487E-2</v>
      </c>
      <c r="V154" t="s">
        <v>154</v>
      </c>
    </row>
    <row r="155" spans="9:22" x14ac:dyDescent="0.45">
      <c r="I155" t="s">
        <v>177</v>
      </c>
      <c r="J155" t="s">
        <v>153</v>
      </c>
      <c r="K155">
        <v>6.3243921708965338E-3</v>
      </c>
      <c r="L155" t="s">
        <v>154</v>
      </c>
      <c r="N155" t="s">
        <v>206</v>
      </c>
      <c r="O155" t="s">
        <v>153</v>
      </c>
      <c r="P155">
        <v>0.14923234219481044</v>
      </c>
      <c r="Q155" t="s">
        <v>154</v>
      </c>
      <c r="S155" t="s">
        <v>230</v>
      </c>
      <c r="T155" t="s">
        <v>153</v>
      </c>
      <c r="U155">
        <v>0.14394731671731348</v>
      </c>
      <c r="V155" t="s">
        <v>154</v>
      </c>
    </row>
    <row r="156" spans="9:22" x14ac:dyDescent="0.45">
      <c r="I156" t="s">
        <v>177</v>
      </c>
      <c r="J156" t="s">
        <v>155</v>
      </c>
      <c r="K156">
        <v>0.61229966628500909</v>
      </c>
      <c r="L156" t="s">
        <v>154</v>
      </c>
      <c r="N156" t="s">
        <v>206</v>
      </c>
      <c r="O156" t="s">
        <v>155</v>
      </c>
      <c r="P156">
        <v>0.33426309175932922</v>
      </c>
      <c r="Q156" t="s">
        <v>154</v>
      </c>
      <c r="S156" t="s">
        <v>230</v>
      </c>
      <c r="T156" t="s">
        <v>155</v>
      </c>
      <c r="U156">
        <v>0.23643504375296248</v>
      </c>
      <c r="V156" t="s">
        <v>154</v>
      </c>
    </row>
    <row r="157" spans="9:22" x14ac:dyDescent="0.45">
      <c r="I157" t="s">
        <v>177</v>
      </c>
      <c r="J157" t="s">
        <v>156</v>
      </c>
      <c r="K157">
        <v>1.7240299407119714E-2</v>
      </c>
      <c r="L157" t="s">
        <v>154</v>
      </c>
      <c r="N157" t="s">
        <v>206</v>
      </c>
      <c r="O157" t="s">
        <v>156</v>
      </c>
      <c r="P157">
        <v>0.1484029307606729</v>
      </c>
      <c r="Q157" t="s">
        <v>154</v>
      </c>
      <c r="S157" t="s">
        <v>230</v>
      </c>
      <c r="T157" t="s">
        <v>156</v>
      </c>
      <c r="U157">
        <v>0.13814424169432632</v>
      </c>
      <c r="V157" t="s">
        <v>154</v>
      </c>
    </row>
    <row r="158" spans="9:22" x14ac:dyDescent="0.45">
      <c r="I158" t="s">
        <v>177</v>
      </c>
      <c r="J158" t="s">
        <v>157</v>
      </c>
      <c r="K158">
        <v>3.0473255256510939E-4</v>
      </c>
      <c r="L158" t="s">
        <v>154</v>
      </c>
      <c r="N158" t="s">
        <v>206</v>
      </c>
      <c r="O158" t="s">
        <v>157</v>
      </c>
      <c r="P158">
        <v>4.3863347475371003E-2</v>
      </c>
      <c r="Q158" t="s">
        <v>154</v>
      </c>
      <c r="S158" t="s">
        <v>230</v>
      </c>
      <c r="T158" t="s">
        <v>157</v>
      </c>
      <c r="U158">
        <v>2.9683125713377348E-2</v>
      </c>
      <c r="V158" t="s">
        <v>154</v>
      </c>
    </row>
    <row r="159" spans="9:22" x14ac:dyDescent="0.45">
      <c r="I159" t="s">
        <v>177</v>
      </c>
      <c r="J159" t="s">
        <v>158</v>
      </c>
      <c r="K159">
        <v>0.15487219345264122</v>
      </c>
      <c r="L159" t="s">
        <v>154</v>
      </c>
      <c r="N159" t="s">
        <v>206</v>
      </c>
      <c r="O159" t="s">
        <v>158</v>
      </c>
      <c r="P159">
        <v>9.4304284273123817E-2</v>
      </c>
      <c r="Q159" t="s">
        <v>154</v>
      </c>
      <c r="S159" t="s">
        <v>230</v>
      </c>
      <c r="T159" t="s">
        <v>158</v>
      </c>
      <c r="U159">
        <v>4.9985680306166742E-2</v>
      </c>
      <c r="V159" t="s">
        <v>154</v>
      </c>
    </row>
    <row r="160" spans="9:22" x14ac:dyDescent="0.45">
      <c r="I160" t="s">
        <v>177</v>
      </c>
      <c r="J160" t="s">
        <v>159</v>
      </c>
      <c r="K160">
        <v>1.7436662858925031E-3</v>
      </c>
      <c r="L160" t="s">
        <v>154</v>
      </c>
      <c r="N160" t="s">
        <v>206</v>
      </c>
      <c r="O160" t="s">
        <v>159</v>
      </c>
      <c r="P160">
        <v>3.3550172863677771E-2</v>
      </c>
      <c r="Q160" t="s">
        <v>154</v>
      </c>
      <c r="S160" t="s">
        <v>230</v>
      </c>
      <c r="T160" t="s">
        <v>159</v>
      </c>
      <c r="U160">
        <v>2.9439485923453846E-2</v>
      </c>
      <c r="V160" t="s">
        <v>154</v>
      </c>
    </row>
    <row r="161" spans="9:22" x14ac:dyDescent="0.45">
      <c r="I161" t="s">
        <v>177</v>
      </c>
      <c r="J161" t="s">
        <v>160</v>
      </c>
      <c r="K161">
        <v>3.7282297719562279E-4</v>
      </c>
      <c r="L161" t="s">
        <v>154</v>
      </c>
      <c r="N161" t="s">
        <v>206</v>
      </c>
      <c r="O161" t="s">
        <v>160</v>
      </c>
      <c r="P161">
        <v>1.5845135728389477E-2</v>
      </c>
      <c r="Q161" t="s">
        <v>154</v>
      </c>
      <c r="S161" t="s">
        <v>230</v>
      </c>
      <c r="T161" t="s">
        <v>160</v>
      </c>
      <c r="U161">
        <v>3.6052291718174492E-2</v>
      </c>
      <c r="V161" t="s">
        <v>154</v>
      </c>
    </row>
    <row r="162" spans="9:22" x14ac:dyDescent="0.45">
      <c r="I162" t="s">
        <v>177</v>
      </c>
      <c r="J162" t="s">
        <v>161</v>
      </c>
      <c r="K162">
        <v>7.4085110246773528E-2</v>
      </c>
      <c r="L162" t="s">
        <v>154</v>
      </c>
      <c r="N162" t="s">
        <v>206</v>
      </c>
      <c r="O162" t="s">
        <v>161</v>
      </c>
      <c r="P162">
        <v>3.6386908031708423E-2</v>
      </c>
      <c r="Q162" t="s">
        <v>154</v>
      </c>
      <c r="S162" t="s">
        <v>230</v>
      </c>
      <c r="T162" t="s">
        <v>161</v>
      </c>
      <c r="U162">
        <v>6.0421150176927146E-2</v>
      </c>
      <c r="V162" t="s">
        <v>154</v>
      </c>
    </row>
    <row r="163" spans="9:22" x14ac:dyDescent="0.45">
      <c r="I163" t="s">
        <v>177</v>
      </c>
      <c r="J163" t="s">
        <v>162</v>
      </c>
      <c r="K163">
        <v>0</v>
      </c>
      <c r="L163" t="s">
        <v>154</v>
      </c>
      <c r="N163" t="s">
        <v>206</v>
      </c>
      <c r="O163" t="s">
        <v>162</v>
      </c>
      <c r="P163">
        <v>1.3356023484934827E-2</v>
      </c>
      <c r="Q163" t="s">
        <v>154</v>
      </c>
      <c r="S163" t="s">
        <v>230</v>
      </c>
      <c r="T163" t="s">
        <v>162</v>
      </c>
      <c r="U163">
        <v>3.3241147882739047E-2</v>
      </c>
      <c r="V163" t="s">
        <v>154</v>
      </c>
    </row>
    <row r="164" spans="9:22" x14ac:dyDescent="0.45">
      <c r="I164" t="s">
        <v>177</v>
      </c>
      <c r="J164" t="s">
        <v>163</v>
      </c>
      <c r="K164">
        <v>0</v>
      </c>
      <c r="L164" t="s">
        <v>154</v>
      </c>
      <c r="N164" t="s">
        <v>206</v>
      </c>
      <c r="O164" t="s">
        <v>163</v>
      </c>
      <c r="P164">
        <v>3.1968489845235704E-2</v>
      </c>
      <c r="Q164" t="s">
        <v>154</v>
      </c>
      <c r="S164" t="s">
        <v>230</v>
      </c>
      <c r="T164" t="s">
        <v>163</v>
      </c>
      <c r="U164">
        <v>6.9327731123811839E-2</v>
      </c>
      <c r="V164" t="s">
        <v>154</v>
      </c>
    </row>
    <row r="165" spans="9:22" x14ac:dyDescent="0.45">
      <c r="I165" t="s">
        <v>177</v>
      </c>
      <c r="J165" t="s">
        <v>164</v>
      </c>
      <c r="K165">
        <v>0.13275711662190937</v>
      </c>
      <c r="L165" t="s">
        <v>154</v>
      </c>
      <c r="N165" t="s">
        <v>206</v>
      </c>
      <c r="O165" t="s">
        <v>164</v>
      </c>
      <c r="P165">
        <v>6.888119201001526E-2</v>
      </c>
      <c r="Q165" t="s">
        <v>154</v>
      </c>
      <c r="S165" t="s">
        <v>230</v>
      </c>
      <c r="T165" t="s">
        <v>164</v>
      </c>
      <c r="U165">
        <v>0.11160329991310365</v>
      </c>
      <c r="V165" t="s">
        <v>154</v>
      </c>
    </row>
    <row r="166" spans="9:22" x14ac:dyDescent="0.45">
      <c r="I166" t="s">
        <v>177</v>
      </c>
      <c r="J166" t="s">
        <v>165</v>
      </c>
      <c r="K166">
        <v>0</v>
      </c>
      <c r="L166" t="s">
        <v>154</v>
      </c>
      <c r="N166" t="s">
        <v>206</v>
      </c>
      <c r="O166" t="s">
        <v>165</v>
      </c>
      <c r="P166">
        <v>2.9946081572733329E-2</v>
      </c>
      <c r="Q166" t="s">
        <v>154</v>
      </c>
      <c r="S166" t="s">
        <v>230</v>
      </c>
      <c r="T166" t="s">
        <v>165</v>
      </c>
      <c r="U166">
        <v>6.17194850776435E-2</v>
      </c>
      <c r="V166" t="s">
        <v>154</v>
      </c>
    </row>
    <row r="167" spans="9:22" x14ac:dyDescent="0.45">
      <c r="I167" t="s">
        <v>178</v>
      </c>
      <c r="J167" t="s">
        <v>153</v>
      </c>
      <c r="K167">
        <v>2.5126713502618297E-3</v>
      </c>
      <c r="L167" t="s">
        <v>154</v>
      </c>
      <c r="N167" t="s">
        <v>207</v>
      </c>
      <c r="O167" t="s">
        <v>153</v>
      </c>
      <c r="P167">
        <v>0.17647944139251392</v>
      </c>
      <c r="Q167" t="s">
        <v>154</v>
      </c>
      <c r="S167" t="s">
        <v>231</v>
      </c>
      <c r="T167" t="s">
        <v>153</v>
      </c>
      <c r="U167">
        <v>0.16238858373148804</v>
      </c>
      <c r="V167" t="s">
        <v>154</v>
      </c>
    </row>
    <row r="168" spans="9:22" x14ac:dyDescent="0.45">
      <c r="I168" t="s">
        <v>178</v>
      </c>
      <c r="J168" t="s">
        <v>155</v>
      </c>
      <c r="K168">
        <v>0.61961439771452376</v>
      </c>
      <c r="L168" t="s">
        <v>154</v>
      </c>
      <c r="N168" t="s">
        <v>207</v>
      </c>
      <c r="O168" t="s">
        <v>155</v>
      </c>
      <c r="P168">
        <v>0.29738279179459232</v>
      </c>
      <c r="Q168" t="s">
        <v>154</v>
      </c>
      <c r="S168" t="s">
        <v>231</v>
      </c>
      <c r="T168" t="s">
        <v>155</v>
      </c>
      <c r="U168">
        <v>0.25333278955405153</v>
      </c>
      <c r="V168" t="s">
        <v>154</v>
      </c>
    </row>
    <row r="169" spans="9:22" x14ac:dyDescent="0.45">
      <c r="I169" t="s">
        <v>178</v>
      </c>
      <c r="J169" t="s">
        <v>156</v>
      </c>
      <c r="K169">
        <v>1.4379435880442945E-2</v>
      </c>
      <c r="L169" t="s">
        <v>154</v>
      </c>
      <c r="N169" t="s">
        <v>207</v>
      </c>
      <c r="O169" t="s">
        <v>156</v>
      </c>
      <c r="P169">
        <v>0.16198867064517933</v>
      </c>
      <c r="Q169" t="s">
        <v>154</v>
      </c>
      <c r="S169" t="s">
        <v>231</v>
      </c>
      <c r="T169" t="s">
        <v>156</v>
      </c>
      <c r="U169">
        <v>0.1521150719197302</v>
      </c>
      <c r="V169" t="s">
        <v>154</v>
      </c>
    </row>
    <row r="170" spans="9:22" x14ac:dyDescent="0.45">
      <c r="I170" t="s">
        <v>178</v>
      </c>
      <c r="J170" t="s">
        <v>157</v>
      </c>
      <c r="K170">
        <v>0</v>
      </c>
      <c r="L170" t="s">
        <v>154</v>
      </c>
      <c r="N170" t="s">
        <v>207</v>
      </c>
      <c r="O170" t="s">
        <v>157</v>
      </c>
      <c r="P170">
        <v>4.7128875756071248E-2</v>
      </c>
      <c r="Q170" t="s">
        <v>154</v>
      </c>
      <c r="S170" t="s">
        <v>231</v>
      </c>
      <c r="T170" t="s">
        <v>157</v>
      </c>
      <c r="U170">
        <v>2.7028607229656644E-2</v>
      </c>
      <c r="V170" t="s">
        <v>154</v>
      </c>
    </row>
    <row r="171" spans="9:22" x14ac:dyDescent="0.45">
      <c r="I171" t="s">
        <v>178</v>
      </c>
      <c r="J171" t="s">
        <v>158</v>
      </c>
      <c r="K171">
        <v>0.14729929472466305</v>
      </c>
      <c r="L171" t="s">
        <v>154</v>
      </c>
      <c r="N171" t="s">
        <v>207</v>
      </c>
      <c r="O171" t="s">
        <v>158</v>
      </c>
      <c r="P171">
        <v>7.6563108773430019E-2</v>
      </c>
      <c r="Q171" t="s">
        <v>154</v>
      </c>
      <c r="S171" t="s">
        <v>231</v>
      </c>
      <c r="T171" t="s">
        <v>158</v>
      </c>
      <c r="U171">
        <v>4.5455877829782949E-2</v>
      </c>
      <c r="V171" t="s">
        <v>154</v>
      </c>
    </row>
    <row r="172" spans="9:22" x14ac:dyDescent="0.45">
      <c r="I172" t="s">
        <v>178</v>
      </c>
      <c r="J172" t="s">
        <v>159</v>
      </c>
      <c r="K172">
        <v>1.732862344492868E-3</v>
      </c>
      <c r="L172" t="s">
        <v>154</v>
      </c>
      <c r="N172" t="s">
        <v>207</v>
      </c>
      <c r="O172" t="s">
        <v>159</v>
      </c>
      <c r="P172">
        <v>3.5806668948358669E-2</v>
      </c>
      <c r="Q172" t="s">
        <v>154</v>
      </c>
      <c r="S172" t="s">
        <v>231</v>
      </c>
      <c r="T172" t="s">
        <v>159</v>
      </c>
      <c r="U172">
        <v>2.6303752435934365E-2</v>
      </c>
      <c r="V172" t="s">
        <v>154</v>
      </c>
    </row>
    <row r="173" spans="9:22" x14ac:dyDescent="0.45">
      <c r="I173" t="s">
        <v>178</v>
      </c>
      <c r="J173" t="s">
        <v>160</v>
      </c>
      <c r="K173">
        <v>0</v>
      </c>
      <c r="L173" t="s">
        <v>154</v>
      </c>
      <c r="N173" t="s">
        <v>207</v>
      </c>
      <c r="O173" t="s">
        <v>160</v>
      </c>
      <c r="P173">
        <v>1.9522730697715273E-2</v>
      </c>
      <c r="Q173" t="s">
        <v>154</v>
      </c>
      <c r="S173" t="s">
        <v>231</v>
      </c>
      <c r="T173" t="s">
        <v>160</v>
      </c>
      <c r="U173">
        <v>3.3020738570847218E-2</v>
      </c>
      <c r="V173" t="s">
        <v>154</v>
      </c>
    </row>
    <row r="174" spans="9:22" x14ac:dyDescent="0.45">
      <c r="I174" t="s">
        <v>178</v>
      </c>
      <c r="J174" t="s">
        <v>161</v>
      </c>
      <c r="K174">
        <v>6.813818417046287E-2</v>
      </c>
      <c r="L174" t="s">
        <v>154</v>
      </c>
      <c r="N174" t="s">
        <v>207</v>
      </c>
      <c r="O174" t="s">
        <v>161</v>
      </c>
      <c r="P174">
        <v>3.6042604763139301E-2</v>
      </c>
      <c r="Q174" t="s">
        <v>154</v>
      </c>
      <c r="S174" t="s">
        <v>231</v>
      </c>
      <c r="T174" t="s">
        <v>161</v>
      </c>
      <c r="U174">
        <v>5.3166638073395368E-2</v>
      </c>
      <c r="V174" t="s">
        <v>154</v>
      </c>
    </row>
    <row r="175" spans="9:22" x14ac:dyDescent="0.45">
      <c r="I175" t="s">
        <v>178</v>
      </c>
      <c r="J175" t="s">
        <v>162</v>
      </c>
      <c r="K175">
        <v>0</v>
      </c>
      <c r="L175" t="s">
        <v>154</v>
      </c>
      <c r="N175" t="s">
        <v>207</v>
      </c>
      <c r="O175" t="s">
        <v>162</v>
      </c>
      <c r="P175">
        <v>1.9315274960616677E-2</v>
      </c>
      <c r="Q175" t="s">
        <v>154</v>
      </c>
      <c r="S175" t="s">
        <v>231</v>
      </c>
      <c r="T175" t="s">
        <v>162</v>
      </c>
      <c r="U175">
        <v>2.8498454926388302E-2</v>
      </c>
      <c r="V175" t="s">
        <v>154</v>
      </c>
    </row>
    <row r="176" spans="9:22" x14ac:dyDescent="0.45">
      <c r="I176" t="s">
        <v>178</v>
      </c>
      <c r="J176" t="s">
        <v>163</v>
      </c>
      <c r="K176">
        <v>0</v>
      </c>
      <c r="L176" t="s">
        <v>154</v>
      </c>
      <c r="N176" t="s">
        <v>207</v>
      </c>
      <c r="O176" t="s">
        <v>163</v>
      </c>
      <c r="P176">
        <v>3.6220234791320881E-2</v>
      </c>
      <c r="Q176" t="s">
        <v>154</v>
      </c>
      <c r="S176" t="s">
        <v>231</v>
      </c>
      <c r="T176" t="s">
        <v>163</v>
      </c>
      <c r="U176">
        <v>6.3984612962249096E-2</v>
      </c>
      <c r="V176" t="s">
        <v>154</v>
      </c>
    </row>
    <row r="177" spans="9:22" x14ac:dyDescent="0.45">
      <c r="I177" t="s">
        <v>178</v>
      </c>
      <c r="J177" t="s">
        <v>164</v>
      </c>
      <c r="K177">
        <v>0.14632315381515618</v>
      </c>
      <c r="L177" t="s">
        <v>154</v>
      </c>
      <c r="N177" t="s">
        <v>207</v>
      </c>
      <c r="O177" t="s">
        <v>164</v>
      </c>
      <c r="P177">
        <v>6.0843900554645912E-2</v>
      </c>
      <c r="Q177" t="s">
        <v>154</v>
      </c>
      <c r="S177" t="s">
        <v>231</v>
      </c>
      <c r="T177" t="s">
        <v>164</v>
      </c>
      <c r="U177">
        <v>0.1013786918520287</v>
      </c>
      <c r="V177" t="s">
        <v>154</v>
      </c>
    </row>
    <row r="178" spans="9:22" x14ac:dyDescent="0.45">
      <c r="I178" t="s">
        <v>178</v>
      </c>
      <c r="J178" t="s">
        <v>165</v>
      </c>
      <c r="K178">
        <v>0</v>
      </c>
      <c r="L178" t="s">
        <v>154</v>
      </c>
      <c r="N178" t="s">
        <v>207</v>
      </c>
      <c r="O178" t="s">
        <v>165</v>
      </c>
      <c r="P178">
        <v>3.2705696922419633E-2</v>
      </c>
      <c r="Q178" t="s">
        <v>154</v>
      </c>
      <c r="S178" t="s">
        <v>231</v>
      </c>
      <c r="T178" t="s">
        <v>165</v>
      </c>
      <c r="U178">
        <v>5.3326180914446242E-2</v>
      </c>
      <c r="V178" t="s">
        <v>154</v>
      </c>
    </row>
    <row r="179" spans="9:22" x14ac:dyDescent="0.45">
      <c r="I179" t="s">
        <v>179</v>
      </c>
      <c r="J179" t="s">
        <v>153</v>
      </c>
      <c r="K179">
        <v>2.5622470437107782E-3</v>
      </c>
      <c r="L179" t="s">
        <v>154</v>
      </c>
      <c r="N179" t="s">
        <v>208</v>
      </c>
      <c r="O179" t="s">
        <v>153</v>
      </c>
      <c r="P179">
        <v>0.14600578450425247</v>
      </c>
      <c r="Q179" t="s">
        <v>154</v>
      </c>
      <c r="S179" t="s">
        <v>232</v>
      </c>
      <c r="T179" t="s">
        <v>153</v>
      </c>
      <c r="U179">
        <v>0.16105257945714813</v>
      </c>
      <c r="V179" t="s">
        <v>154</v>
      </c>
    </row>
    <row r="180" spans="9:22" x14ac:dyDescent="0.45">
      <c r="I180" t="s">
        <v>179</v>
      </c>
      <c r="J180" t="s">
        <v>155</v>
      </c>
      <c r="K180">
        <v>0.68440694561348503</v>
      </c>
      <c r="L180" t="s">
        <v>154</v>
      </c>
      <c r="N180" t="s">
        <v>208</v>
      </c>
      <c r="O180" t="s">
        <v>155</v>
      </c>
      <c r="P180">
        <v>0.34239131688209018</v>
      </c>
      <c r="Q180" t="s">
        <v>154</v>
      </c>
      <c r="S180" t="s">
        <v>232</v>
      </c>
      <c r="T180" t="s">
        <v>155</v>
      </c>
      <c r="U180">
        <v>0.27004300594186104</v>
      </c>
      <c r="V180" t="s">
        <v>154</v>
      </c>
    </row>
    <row r="181" spans="9:22" x14ac:dyDescent="0.45">
      <c r="I181" t="s">
        <v>179</v>
      </c>
      <c r="J181" t="s">
        <v>156</v>
      </c>
      <c r="K181">
        <v>1.8489967860125387E-2</v>
      </c>
      <c r="L181" t="s">
        <v>154</v>
      </c>
      <c r="N181" t="s">
        <v>208</v>
      </c>
      <c r="O181" t="s">
        <v>156</v>
      </c>
      <c r="P181">
        <v>0.13921381313766881</v>
      </c>
      <c r="Q181" t="s">
        <v>154</v>
      </c>
      <c r="S181" t="s">
        <v>232</v>
      </c>
      <c r="T181" t="s">
        <v>156</v>
      </c>
      <c r="U181">
        <v>0.15061172189228292</v>
      </c>
      <c r="V181" t="s">
        <v>154</v>
      </c>
    </row>
    <row r="182" spans="9:22" x14ac:dyDescent="0.45">
      <c r="I182" t="s">
        <v>179</v>
      </c>
      <c r="J182" t="s">
        <v>157</v>
      </c>
      <c r="K182">
        <v>0</v>
      </c>
      <c r="L182" t="s">
        <v>154</v>
      </c>
      <c r="N182" t="s">
        <v>208</v>
      </c>
      <c r="O182" t="s">
        <v>157</v>
      </c>
      <c r="P182">
        <v>2.7607169062520791E-2</v>
      </c>
      <c r="Q182" t="s">
        <v>154</v>
      </c>
      <c r="S182" t="s">
        <v>232</v>
      </c>
      <c r="T182" t="s">
        <v>157</v>
      </c>
      <c r="U182">
        <v>2.4551428254345656E-2</v>
      </c>
      <c r="V182" t="s">
        <v>154</v>
      </c>
    </row>
    <row r="183" spans="9:22" x14ac:dyDescent="0.45">
      <c r="I183" t="s">
        <v>179</v>
      </c>
      <c r="J183" t="s">
        <v>158</v>
      </c>
      <c r="K183">
        <v>0.13447697583730353</v>
      </c>
      <c r="L183" t="s">
        <v>154</v>
      </c>
      <c r="N183" t="s">
        <v>208</v>
      </c>
      <c r="O183" t="s">
        <v>158</v>
      </c>
      <c r="P183">
        <v>5.8128348517084719E-2</v>
      </c>
      <c r="Q183" t="s">
        <v>154</v>
      </c>
      <c r="S183" t="s">
        <v>232</v>
      </c>
      <c r="T183" t="s">
        <v>158</v>
      </c>
      <c r="U183">
        <v>3.6465652520892705E-2</v>
      </c>
      <c r="V183" t="s">
        <v>154</v>
      </c>
    </row>
    <row r="184" spans="9:22" x14ac:dyDescent="0.45">
      <c r="I184" t="s">
        <v>179</v>
      </c>
      <c r="J184" t="s">
        <v>159</v>
      </c>
      <c r="K184">
        <v>2.7157428175214734E-3</v>
      </c>
      <c r="L184" t="s">
        <v>154</v>
      </c>
      <c r="N184" t="s">
        <v>208</v>
      </c>
      <c r="O184" t="s">
        <v>159</v>
      </c>
      <c r="P184">
        <v>2.7547902032975767E-2</v>
      </c>
      <c r="Q184" t="s">
        <v>154</v>
      </c>
      <c r="S184" t="s">
        <v>232</v>
      </c>
      <c r="T184" t="s">
        <v>159</v>
      </c>
      <c r="U184">
        <v>2.2695971033180534E-2</v>
      </c>
      <c r="V184" t="s">
        <v>154</v>
      </c>
    </row>
    <row r="185" spans="9:22" x14ac:dyDescent="0.45">
      <c r="I185" t="s">
        <v>179</v>
      </c>
      <c r="J185" t="s">
        <v>160</v>
      </c>
      <c r="K185">
        <v>0</v>
      </c>
      <c r="L185" t="s">
        <v>154</v>
      </c>
      <c r="N185" t="s">
        <v>208</v>
      </c>
      <c r="O185" t="s">
        <v>160</v>
      </c>
      <c r="P185">
        <v>2.3397932281132235E-2</v>
      </c>
      <c r="Q185" t="s">
        <v>154</v>
      </c>
      <c r="S185" t="s">
        <v>232</v>
      </c>
      <c r="T185" t="s">
        <v>160</v>
      </c>
      <c r="U185">
        <v>3.7502459916339659E-2</v>
      </c>
      <c r="V185" t="s">
        <v>154</v>
      </c>
    </row>
    <row r="186" spans="9:22" x14ac:dyDescent="0.45">
      <c r="I186" t="s">
        <v>179</v>
      </c>
      <c r="J186" t="s">
        <v>161</v>
      </c>
      <c r="K186">
        <v>7.0658309207194375E-2</v>
      </c>
      <c r="L186" t="s">
        <v>154</v>
      </c>
      <c r="N186" t="s">
        <v>208</v>
      </c>
      <c r="O186" t="s">
        <v>161</v>
      </c>
      <c r="P186">
        <v>5.1250856399207317E-2</v>
      </c>
      <c r="Q186" t="s">
        <v>154</v>
      </c>
      <c r="S186" t="s">
        <v>232</v>
      </c>
      <c r="T186" t="s">
        <v>161</v>
      </c>
      <c r="U186">
        <v>5.83773523645051E-2</v>
      </c>
      <c r="V186" t="s">
        <v>154</v>
      </c>
    </row>
    <row r="187" spans="9:22" x14ac:dyDescent="0.45">
      <c r="I187" t="s">
        <v>179</v>
      </c>
      <c r="J187" t="s">
        <v>162</v>
      </c>
      <c r="K187">
        <v>0</v>
      </c>
      <c r="L187" t="s">
        <v>154</v>
      </c>
      <c r="N187" t="s">
        <v>208</v>
      </c>
      <c r="O187" t="s">
        <v>162</v>
      </c>
      <c r="P187">
        <v>1.8864483627385319E-2</v>
      </c>
      <c r="Q187" t="s">
        <v>154</v>
      </c>
      <c r="S187" t="s">
        <v>232</v>
      </c>
      <c r="T187" t="s">
        <v>162</v>
      </c>
      <c r="U187">
        <v>3.3070973341788518E-2</v>
      </c>
      <c r="V187" t="s">
        <v>154</v>
      </c>
    </row>
    <row r="188" spans="9:22" x14ac:dyDescent="0.45">
      <c r="I188" t="s">
        <v>179</v>
      </c>
      <c r="J188" t="s">
        <v>163</v>
      </c>
      <c r="K188">
        <v>0</v>
      </c>
      <c r="L188" t="s">
        <v>154</v>
      </c>
      <c r="N188" t="s">
        <v>208</v>
      </c>
      <c r="O188" t="s">
        <v>163</v>
      </c>
      <c r="P188">
        <v>4.318348899925982E-2</v>
      </c>
      <c r="Q188" t="s">
        <v>154</v>
      </c>
      <c r="S188" t="s">
        <v>232</v>
      </c>
      <c r="T188" t="s">
        <v>163</v>
      </c>
      <c r="U188">
        <v>6.0002844945555384E-2</v>
      </c>
      <c r="V188" t="s">
        <v>154</v>
      </c>
    </row>
    <row r="189" spans="9:22" x14ac:dyDescent="0.45">
      <c r="I189" t="s">
        <v>179</v>
      </c>
      <c r="J189" t="s">
        <v>164</v>
      </c>
      <c r="K189">
        <v>8.6689811620657198E-2</v>
      </c>
      <c r="L189" t="s">
        <v>154</v>
      </c>
      <c r="N189" t="s">
        <v>208</v>
      </c>
      <c r="O189" t="s">
        <v>164</v>
      </c>
      <c r="P189">
        <v>9.4408896510765228E-2</v>
      </c>
      <c r="Q189" t="s">
        <v>154</v>
      </c>
      <c r="S189" t="s">
        <v>232</v>
      </c>
      <c r="T189" t="s">
        <v>164</v>
      </c>
      <c r="U189">
        <v>9.5902517101547166E-2</v>
      </c>
      <c r="V189" t="s">
        <v>154</v>
      </c>
    </row>
    <row r="190" spans="9:22" x14ac:dyDescent="0.45">
      <c r="I190" t="s">
        <v>179</v>
      </c>
      <c r="J190" t="s">
        <v>165</v>
      </c>
      <c r="K190">
        <v>0</v>
      </c>
      <c r="L190" t="s">
        <v>154</v>
      </c>
      <c r="N190" t="s">
        <v>208</v>
      </c>
      <c r="O190" t="s">
        <v>165</v>
      </c>
      <c r="P190">
        <v>2.8000008045659518E-2</v>
      </c>
      <c r="Q190" t="s">
        <v>154</v>
      </c>
      <c r="S190" t="s">
        <v>232</v>
      </c>
      <c r="T190" t="s">
        <v>165</v>
      </c>
      <c r="U190">
        <v>4.9723493230552605E-2</v>
      </c>
      <c r="V190" t="s">
        <v>154</v>
      </c>
    </row>
    <row r="191" spans="9:22" x14ac:dyDescent="0.45">
      <c r="I191" t="s">
        <v>180</v>
      </c>
      <c r="J191" t="s">
        <v>153</v>
      </c>
      <c r="K191">
        <v>4.5298696537576736E-3</v>
      </c>
      <c r="L191" t="s">
        <v>154</v>
      </c>
      <c r="N191" t="s">
        <v>209</v>
      </c>
      <c r="O191" t="s">
        <v>153</v>
      </c>
      <c r="P191">
        <v>0.14977315693173623</v>
      </c>
      <c r="Q191" t="s">
        <v>154</v>
      </c>
      <c r="S191" t="s">
        <v>233</v>
      </c>
      <c r="T191" t="s">
        <v>153</v>
      </c>
      <c r="U191">
        <v>0.1746845084856124</v>
      </c>
      <c r="V191" t="s">
        <v>154</v>
      </c>
    </row>
    <row r="192" spans="9:22" x14ac:dyDescent="0.45">
      <c r="I192" t="s">
        <v>180</v>
      </c>
      <c r="J192" t="s">
        <v>155</v>
      </c>
      <c r="K192">
        <v>0.68548942107629518</v>
      </c>
      <c r="L192" t="s">
        <v>154</v>
      </c>
      <c r="N192" t="s">
        <v>209</v>
      </c>
      <c r="O192" t="s">
        <v>155</v>
      </c>
      <c r="P192">
        <v>0.30241206363676076</v>
      </c>
      <c r="Q192" t="s">
        <v>154</v>
      </c>
      <c r="S192" t="s">
        <v>233</v>
      </c>
      <c r="T192" t="s">
        <v>155</v>
      </c>
      <c r="U192">
        <v>0.26794748455728173</v>
      </c>
      <c r="V192" t="s">
        <v>154</v>
      </c>
    </row>
    <row r="193" spans="9:22" x14ac:dyDescent="0.45">
      <c r="I193" t="s">
        <v>180</v>
      </c>
      <c r="J193" t="s">
        <v>156</v>
      </c>
      <c r="K193">
        <v>2.0046424825295558E-2</v>
      </c>
      <c r="L193" t="s">
        <v>154</v>
      </c>
      <c r="N193" t="s">
        <v>209</v>
      </c>
      <c r="O193" t="s">
        <v>156</v>
      </c>
      <c r="P193">
        <v>0.14891003339218653</v>
      </c>
      <c r="Q193" t="s">
        <v>154</v>
      </c>
      <c r="S193" t="s">
        <v>233</v>
      </c>
      <c r="T193" t="s">
        <v>156</v>
      </c>
      <c r="U193">
        <v>0.14967556598004092</v>
      </c>
      <c r="V193" t="s">
        <v>154</v>
      </c>
    </row>
    <row r="194" spans="9:22" x14ac:dyDescent="0.45">
      <c r="I194" t="s">
        <v>180</v>
      </c>
      <c r="J194" t="s">
        <v>157</v>
      </c>
      <c r="K194">
        <v>0</v>
      </c>
      <c r="L194" t="s">
        <v>154</v>
      </c>
      <c r="N194" t="s">
        <v>209</v>
      </c>
      <c r="O194" t="s">
        <v>157</v>
      </c>
      <c r="P194">
        <v>3.7820212265310398E-2</v>
      </c>
      <c r="Q194" t="s">
        <v>154</v>
      </c>
      <c r="S194" t="s">
        <v>233</v>
      </c>
      <c r="T194" t="s">
        <v>157</v>
      </c>
      <c r="U194">
        <v>3.3795980133452988E-2</v>
      </c>
      <c r="V194" t="s">
        <v>154</v>
      </c>
    </row>
    <row r="195" spans="9:22" x14ac:dyDescent="0.45">
      <c r="I195" t="s">
        <v>180</v>
      </c>
      <c r="J195" t="s">
        <v>158</v>
      </c>
      <c r="K195">
        <v>0.14007390187123014</v>
      </c>
      <c r="L195" t="s">
        <v>154</v>
      </c>
      <c r="N195" t="s">
        <v>209</v>
      </c>
      <c r="O195" t="s">
        <v>158</v>
      </c>
      <c r="P195">
        <v>6.1176064302532578E-2</v>
      </c>
      <c r="Q195" t="s">
        <v>154</v>
      </c>
      <c r="S195" t="s">
        <v>233</v>
      </c>
      <c r="T195" t="s">
        <v>158</v>
      </c>
      <c r="U195">
        <v>4.9349167337096426E-2</v>
      </c>
      <c r="V195" t="s">
        <v>154</v>
      </c>
    </row>
    <row r="196" spans="9:22" x14ac:dyDescent="0.45">
      <c r="I196" t="s">
        <v>180</v>
      </c>
      <c r="J196" t="s">
        <v>159</v>
      </c>
      <c r="K196">
        <v>2.8621603187163323E-3</v>
      </c>
      <c r="L196" t="s">
        <v>154</v>
      </c>
      <c r="N196" t="s">
        <v>209</v>
      </c>
      <c r="O196" t="s">
        <v>159</v>
      </c>
      <c r="P196">
        <v>3.1810773103561535E-2</v>
      </c>
      <c r="Q196" t="s">
        <v>154</v>
      </c>
      <c r="S196" t="s">
        <v>233</v>
      </c>
      <c r="T196" t="s">
        <v>159</v>
      </c>
      <c r="U196">
        <v>2.6998693689858414E-2</v>
      </c>
      <c r="V196" t="s">
        <v>154</v>
      </c>
    </row>
    <row r="197" spans="9:22" x14ac:dyDescent="0.45">
      <c r="I197" t="s">
        <v>180</v>
      </c>
      <c r="J197" t="s">
        <v>160</v>
      </c>
      <c r="K197">
        <v>0</v>
      </c>
      <c r="L197" t="s">
        <v>154</v>
      </c>
      <c r="N197" t="s">
        <v>209</v>
      </c>
      <c r="O197" t="s">
        <v>160</v>
      </c>
      <c r="P197">
        <v>3.040741428712998E-2</v>
      </c>
      <c r="Q197" t="s">
        <v>154</v>
      </c>
      <c r="S197" t="s">
        <v>233</v>
      </c>
      <c r="T197" t="s">
        <v>160</v>
      </c>
      <c r="U197">
        <v>3.3673363882087991E-2</v>
      </c>
      <c r="V197" t="s">
        <v>154</v>
      </c>
    </row>
    <row r="198" spans="9:22" x14ac:dyDescent="0.45">
      <c r="I198" t="s">
        <v>180</v>
      </c>
      <c r="J198" t="s">
        <v>161</v>
      </c>
      <c r="K198">
        <v>7.0109304812616347E-2</v>
      </c>
      <c r="L198" t="s">
        <v>154</v>
      </c>
      <c r="N198" t="s">
        <v>209</v>
      </c>
      <c r="O198" t="s">
        <v>161</v>
      </c>
      <c r="P198">
        <v>5.7360219115501619E-2</v>
      </c>
      <c r="Q198" t="s">
        <v>154</v>
      </c>
      <c r="S198" t="s">
        <v>233</v>
      </c>
      <c r="T198" t="s">
        <v>161</v>
      </c>
      <c r="U198">
        <v>5.3390373959204679E-2</v>
      </c>
      <c r="V198" t="s">
        <v>154</v>
      </c>
    </row>
    <row r="199" spans="9:22" x14ac:dyDescent="0.45">
      <c r="I199" t="s">
        <v>180</v>
      </c>
      <c r="J199" t="s">
        <v>162</v>
      </c>
      <c r="K199">
        <v>0</v>
      </c>
      <c r="L199" t="s">
        <v>154</v>
      </c>
      <c r="N199" t="s">
        <v>209</v>
      </c>
      <c r="O199" t="s">
        <v>162</v>
      </c>
      <c r="P199">
        <v>2.8460218318863445E-2</v>
      </c>
      <c r="Q199" t="s">
        <v>154</v>
      </c>
      <c r="S199" t="s">
        <v>233</v>
      </c>
      <c r="T199" t="s">
        <v>162</v>
      </c>
      <c r="U199">
        <v>3.0392258712119459E-2</v>
      </c>
      <c r="V199" t="s">
        <v>154</v>
      </c>
    </row>
    <row r="200" spans="9:22" x14ac:dyDescent="0.45">
      <c r="I200" t="s">
        <v>180</v>
      </c>
      <c r="J200" t="s">
        <v>163</v>
      </c>
      <c r="K200">
        <v>0</v>
      </c>
      <c r="L200" t="s">
        <v>154</v>
      </c>
      <c r="N200" t="s">
        <v>209</v>
      </c>
      <c r="O200" t="s">
        <v>163</v>
      </c>
      <c r="P200">
        <v>4.0528383384255899E-2</v>
      </c>
      <c r="Q200" t="s">
        <v>154</v>
      </c>
      <c r="S200" t="s">
        <v>233</v>
      </c>
      <c r="T200" t="s">
        <v>163</v>
      </c>
      <c r="U200">
        <v>5.3587771802798292E-2</v>
      </c>
      <c r="V200" t="s">
        <v>154</v>
      </c>
    </row>
    <row r="201" spans="9:22" x14ac:dyDescent="0.45">
      <c r="I201" t="s">
        <v>180</v>
      </c>
      <c r="J201" t="s">
        <v>164</v>
      </c>
      <c r="K201">
        <v>7.6888917442090143E-2</v>
      </c>
      <c r="L201" t="s">
        <v>154</v>
      </c>
      <c r="N201" t="s">
        <v>209</v>
      </c>
      <c r="O201" t="s">
        <v>164</v>
      </c>
      <c r="P201">
        <v>7.3560194642332488E-2</v>
      </c>
      <c r="Q201" t="s">
        <v>154</v>
      </c>
      <c r="S201" t="s">
        <v>233</v>
      </c>
      <c r="T201" t="s">
        <v>164</v>
      </c>
      <c r="U201">
        <v>8.0489699754172125E-2</v>
      </c>
      <c r="V201" t="s">
        <v>154</v>
      </c>
    </row>
    <row r="202" spans="9:22" x14ac:dyDescent="0.45">
      <c r="I202" t="s">
        <v>180</v>
      </c>
      <c r="J202" t="s">
        <v>165</v>
      </c>
      <c r="K202">
        <v>0</v>
      </c>
      <c r="L202" t="s">
        <v>154</v>
      </c>
      <c r="N202" t="s">
        <v>209</v>
      </c>
      <c r="O202" t="s">
        <v>165</v>
      </c>
      <c r="P202">
        <v>3.7781266619827468E-2</v>
      </c>
      <c r="Q202" t="s">
        <v>154</v>
      </c>
      <c r="S202" t="s">
        <v>233</v>
      </c>
      <c r="T202" t="s">
        <v>165</v>
      </c>
      <c r="U202">
        <v>4.6015131706271098E-2</v>
      </c>
      <c r="V202" t="s">
        <v>154</v>
      </c>
    </row>
    <row r="203" spans="9:22" x14ac:dyDescent="0.45">
      <c r="I203" t="s">
        <v>181</v>
      </c>
      <c r="J203" t="s">
        <v>153</v>
      </c>
      <c r="K203">
        <v>2.4848437026649822E-3</v>
      </c>
      <c r="L203" t="s">
        <v>154</v>
      </c>
      <c r="N203" t="s">
        <v>210</v>
      </c>
      <c r="O203" t="s">
        <v>153</v>
      </c>
      <c r="P203">
        <v>0.16190578688403878</v>
      </c>
      <c r="Q203" t="s">
        <v>154</v>
      </c>
      <c r="S203" t="s">
        <v>234</v>
      </c>
      <c r="T203" t="s">
        <v>153</v>
      </c>
      <c r="U203">
        <v>0.17997731892161453</v>
      </c>
      <c r="V203" t="s">
        <v>154</v>
      </c>
    </row>
    <row r="204" spans="9:22" x14ac:dyDescent="0.45">
      <c r="I204" t="s">
        <v>181</v>
      </c>
      <c r="J204" t="s">
        <v>155</v>
      </c>
      <c r="K204">
        <v>0.67092184728543669</v>
      </c>
      <c r="L204" t="s">
        <v>154</v>
      </c>
      <c r="N204" t="s">
        <v>210</v>
      </c>
      <c r="O204" t="s">
        <v>155</v>
      </c>
      <c r="P204">
        <v>0.28513738994262694</v>
      </c>
      <c r="Q204" t="s">
        <v>154</v>
      </c>
      <c r="S204" t="s">
        <v>234</v>
      </c>
      <c r="T204" t="s">
        <v>155</v>
      </c>
      <c r="U204">
        <v>0.26640346980449997</v>
      </c>
      <c r="V204" t="s">
        <v>154</v>
      </c>
    </row>
    <row r="205" spans="9:22" x14ac:dyDescent="0.45">
      <c r="I205" t="s">
        <v>181</v>
      </c>
      <c r="J205" t="s">
        <v>156</v>
      </c>
      <c r="K205">
        <v>2.0935323783327721E-2</v>
      </c>
      <c r="L205" t="s">
        <v>154</v>
      </c>
      <c r="N205" t="s">
        <v>210</v>
      </c>
      <c r="O205" t="s">
        <v>156</v>
      </c>
      <c r="P205">
        <v>0.15270095456948787</v>
      </c>
      <c r="Q205" t="s">
        <v>154</v>
      </c>
      <c r="S205" t="s">
        <v>234</v>
      </c>
      <c r="T205" t="s">
        <v>156</v>
      </c>
      <c r="U205">
        <v>0.15899580738157085</v>
      </c>
      <c r="V205" t="s">
        <v>154</v>
      </c>
    </row>
    <row r="206" spans="9:22" x14ac:dyDescent="0.45">
      <c r="I206" t="s">
        <v>181</v>
      </c>
      <c r="J206" t="s">
        <v>157</v>
      </c>
      <c r="K206">
        <v>0</v>
      </c>
      <c r="L206" t="s">
        <v>154</v>
      </c>
      <c r="N206" t="s">
        <v>210</v>
      </c>
      <c r="O206" t="s">
        <v>157</v>
      </c>
      <c r="P206">
        <v>2.5485789735293016E-2</v>
      </c>
      <c r="Q206" t="s">
        <v>154</v>
      </c>
      <c r="S206" t="s">
        <v>234</v>
      </c>
      <c r="T206" t="s">
        <v>157</v>
      </c>
      <c r="U206">
        <v>4.9380173610619048E-2</v>
      </c>
      <c r="V206" t="s">
        <v>154</v>
      </c>
    </row>
    <row r="207" spans="9:22" x14ac:dyDescent="0.45">
      <c r="I207" t="s">
        <v>181</v>
      </c>
      <c r="J207" t="s">
        <v>158</v>
      </c>
      <c r="K207">
        <v>0.12714940416263645</v>
      </c>
      <c r="L207" t="s">
        <v>154</v>
      </c>
      <c r="N207" t="s">
        <v>210</v>
      </c>
      <c r="O207" t="s">
        <v>158</v>
      </c>
      <c r="P207">
        <v>4.1489376589594104E-2</v>
      </c>
      <c r="Q207" t="s">
        <v>154</v>
      </c>
      <c r="S207" t="s">
        <v>234</v>
      </c>
      <c r="T207" t="s">
        <v>158</v>
      </c>
      <c r="U207">
        <v>7.3827626392588552E-2</v>
      </c>
      <c r="V207" t="s">
        <v>154</v>
      </c>
    </row>
    <row r="208" spans="9:22" x14ac:dyDescent="0.45">
      <c r="I208" t="s">
        <v>181</v>
      </c>
      <c r="J208" t="s">
        <v>159</v>
      </c>
      <c r="K208">
        <v>3.0656441130121562E-3</v>
      </c>
      <c r="L208" t="s">
        <v>154</v>
      </c>
      <c r="N208" t="s">
        <v>210</v>
      </c>
      <c r="O208" t="s">
        <v>159</v>
      </c>
      <c r="P208">
        <v>2.3163683468906411E-2</v>
      </c>
      <c r="Q208" t="s">
        <v>154</v>
      </c>
      <c r="S208" t="s">
        <v>234</v>
      </c>
      <c r="T208" t="s">
        <v>159</v>
      </c>
      <c r="U208">
        <v>4.1345689108433378E-2</v>
      </c>
      <c r="V208" t="s">
        <v>154</v>
      </c>
    </row>
    <row r="209" spans="9:22" x14ac:dyDescent="0.45">
      <c r="I209" t="s">
        <v>181</v>
      </c>
      <c r="J209" t="s">
        <v>160</v>
      </c>
      <c r="K209">
        <v>0</v>
      </c>
      <c r="L209" t="s">
        <v>154</v>
      </c>
      <c r="N209" t="s">
        <v>210</v>
      </c>
      <c r="O209" t="s">
        <v>160</v>
      </c>
      <c r="P209">
        <v>3.3861022958635474E-2</v>
      </c>
      <c r="Q209" t="s">
        <v>154</v>
      </c>
      <c r="S209" t="s">
        <v>234</v>
      </c>
      <c r="T209" t="s">
        <v>160</v>
      </c>
      <c r="U209">
        <v>2.3490491706869485E-2</v>
      </c>
      <c r="V209" t="s">
        <v>154</v>
      </c>
    </row>
    <row r="210" spans="9:22" x14ac:dyDescent="0.45">
      <c r="I210" t="s">
        <v>181</v>
      </c>
      <c r="J210" t="s">
        <v>161</v>
      </c>
      <c r="K210">
        <v>7.429886360006073E-2</v>
      </c>
      <c r="L210" t="s">
        <v>154</v>
      </c>
      <c r="N210" t="s">
        <v>210</v>
      </c>
      <c r="O210" t="s">
        <v>161</v>
      </c>
      <c r="P210">
        <v>5.7606702645352392E-2</v>
      </c>
      <c r="Q210" t="s">
        <v>154</v>
      </c>
      <c r="S210" t="s">
        <v>234</v>
      </c>
      <c r="T210" t="s">
        <v>161</v>
      </c>
      <c r="U210">
        <v>3.5859175425277834E-2</v>
      </c>
      <c r="V210" t="s">
        <v>154</v>
      </c>
    </row>
    <row r="211" spans="9:22" x14ac:dyDescent="0.45">
      <c r="I211" t="s">
        <v>181</v>
      </c>
      <c r="J211" t="s">
        <v>162</v>
      </c>
      <c r="K211">
        <v>0</v>
      </c>
      <c r="L211" t="s">
        <v>154</v>
      </c>
      <c r="N211" t="s">
        <v>210</v>
      </c>
      <c r="O211" t="s">
        <v>162</v>
      </c>
      <c r="P211">
        <v>2.9831584692406158E-2</v>
      </c>
      <c r="Q211" t="s">
        <v>154</v>
      </c>
      <c r="S211" t="s">
        <v>234</v>
      </c>
      <c r="T211" t="s">
        <v>162</v>
      </c>
      <c r="U211">
        <v>2.2575709125247406E-2</v>
      </c>
      <c r="V211" t="s">
        <v>154</v>
      </c>
    </row>
    <row r="212" spans="9:22" x14ac:dyDescent="0.45">
      <c r="I212" t="s">
        <v>181</v>
      </c>
      <c r="J212" t="s">
        <v>163</v>
      </c>
      <c r="K212">
        <v>0</v>
      </c>
      <c r="L212" t="s">
        <v>154</v>
      </c>
      <c r="N212" t="s">
        <v>210</v>
      </c>
      <c r="O212" t="s">
        <v>163</v>
      </c>
      <c r="P212">
        <v>5.3952242408622182E-2</v>
      </c>
      <c r="Q212" t="s">
        <v>154</v>
      </c>
      <c r="S212" t="s">
        <v>234</v>
      </c>
      <c r="T212" t="s">
        <v>163</v>
      </c>
      <c r="U212">
        <v>4.5230385450296638E-2</v>
      </c>
      <c r="V212" t="s">
        <v>154</v>
      </c>
    </row>
    <row r="213" spans="9:22" x14ac:dyDescent="0.45">
      <c r="I213" t="s">
        <v>181</v>
      </c>
      <c r="J213" t="s">
        <v>164</v>
      </c>
      <c r="K213">
        <v>0.1011440733528617</v>
      </c>
      <c r="L213" t="s">
        <v>154</v>
      </c>
      <c r="N213" t="s">
        <v>210</v>
      </c>
      <c r="O213" t="s">
        <v>164</v>
      </c>
      <c r="P213">
        <v>8.9291505263039112E-2</v>
      </c>
      <c r="Q213" t="s">
        <v>154</v>
      </c>
      <c r="S213" t="s">
        <v>234</v>
      </c>
      <c r="T213" t="s">
        <v>164</v>
      </c>
      <c r="U213">
        <v>6.3760145643289343E-2</v>
      </c>
      <c r="V213" t="s">
        <v>154</v>
      </c>
    </row>
    <row r="214" spans="9:22" x14ac:dyDescent="0.45">
      <c r="I214" t="s">
        <v>181</v>
      </c>
      <c r="J214" t="s">
        <v>165</v>
      </c>
      <c r="K214">
        <v>0</v>
      </c>
      <c r="L214" t="s">
        <v>154</v>
      </c>
      <c r="N214" t="s">
        <v>210</v>
      </c>
      <c r="O214" t="s">
        <v>165</v>
      </c>
      <c r="P214">
        <v>4.5573960841997857E-2</v>
      </c>
      <c r="Q214" t="s">
        <v>154</v>
      </c>
      <c r="S214" t="s">
        <v>234</v>
      </c>
      <c r="T214" t="s">
        <v>165</v>
      </c>
      <c r="U214">
        <v>3.9154007429697303E-2</v>
      </c>
      <c r="V214" t="s">
        <v>154</v>
      </c>
    </row>
    <row r="215" spans="9:22" x14ac:dyDescent="0.45">
      <c r="I215" t="s">
        <v>182</v>
      </c>
      <c r="J215" t="s">
        <v>153</v>
      </c>
      <c r="K215">
        <v>5.9651520653698732E-3</v>
      </c>
      <c r="L215" t="s">
        <v>154</v>
      </c>
      <c r="N215" t="s">
        <v>211</v>
      </c>
      <c r="O215" t="s">
        <v>153</v>
      </c>
      <c r="P215">
        <v>0.17219152774199653</v>
      </c>
      <c r="Q215" t="s">
        <v>154</v>
      </c>
      <c r="S215" t="s">
        <v>235</v>
      </c>
      <c r="T215" t="s">
        <v>153</v>
      </c>
      <c r="U215">
        <v>0.17480718498931475</v>
      </c>
      <c r="V215" t="s">
        <v>154</v>
      </c>
    </row>
    <row r="216" spans="9:22" x14ac:dyDescent="0.45">
      <c r="I216" t="s">
        <v>182</v>
      </c>
      <c r="J216" t="s">
        <v>155</v>
      </c>
      <c r="K216">
        <v>0.65898994454186566</v>
      </c>
      <c r="L216" t="s">
        <v>154</v>
      </c>
      <c r="N216" t="s">
        <v>211</v>
      </c>
      <c r="O216" t="s">
        <v>155</v>
      </c>
      <c r="P216">
        <v>0.28365958262212887</v>
      </c>
      <c r="Q216" t="s">
        <v>154</v>
      </c>
      <c r="S216" t="s">
        <v>235</v>
      </c>
      <c r="T216" t="s">
        <v>155</v>
      </c>
      <c r="U216">
        <v>0.26867062583398205</v>
      </c>
      <c r="V216" t="s">
        <v>154</v>
      </c>
    </row>
    <row r="217" spans="9:22" x14ac:dyDescent="0.45">
      <c r="I217" t="s">
        <v>182</v>
      </c>
      <c r="J217" t="s">
        <v>156</v>
      </c>
      <c r="K217">
        <v>2.44703925251132E-2</v>
      </c>
      <c r="L217" t="s">
        <v>154</v>
      </c>
      <c r="N217" t="s">
        <v>211</v>
      </c>
      <c r="O217" t="s">
        <v>156</v>
      </c>
      <c r="P217">
        <v>0.15929293076074899</v>
      </c>
      <c r="Q217" t="s">
        <v>154</v>
      </c>
      <c r="S217" t="s">
        <v>235</v>
      </c>
      <c r="T217" t="s">
        <v>156</v>
      </c>
      <c r="U217">
        <v>0.17734298660748612</v>
      </c>
      <c r="V217" t="s">
        <v>154</v>
      </c>
    </row>
    <row r="218" spans="9:22" x14ac:dyDescent="0.45">
      <c r="I218" t="s">
        <v>182</v>
      </c>
      <c r="J218" t="s">
        <v>157</v>
      </c>
      <c r="K218">
        <v>0</v>
      </c>
      <c r="L218" t="s">
        <v>154</v>
      </c>
      <c r="N218" t="s">
        <v>211</v>
      </c>
      <c r="O218" t="s">
        <v>157</v>
      </c>
      <c r="P218">
        <v>4.813340883540819E-2</v>
      </c>
      <c r="Q218" t="s">
        <v>154</v>
      </c>
      <c r="S218" t="s">
        <v>235</v>
      </c>
      <c r="T218" t="s">
        <v>157</v>
      </c>
      <c r="U218">
        <v>6.3989564609056304E-2</v>
      </c>
      <c r="V218" t="s">
        <v>154</v>
      </c>
    </row>
    <row r="219" spans="9:22" x14ac:dyDescent="0.45">
      <c r="I219" t="s">
        <v>182</v>
      </c>
      <c r="J219" t="s">
        <v>158</v>
      </c>
      <c r="K219">
        <v>0.15075655168692256</v>
      </c>
      <c r="L219" t="s">
        <v>154</v>
      </c>
      <c r="N219" t="s">
        <v>211</v>
      </c>
      <c r="O219" t="s">
        <v>158</v>
      </c>
      <c r="P219">
        <v>7.2865250038356352E-2</v>
      </c>
      <c r="Q219" t="s">
        <v>154</v>
      </c>
      <c r="S219" t="s">
        <v>235</v>
      </c>
      <c r="T219" t="s">
        <v>158</v>
      </c>
      <c r="U219">
        <v>9.7711345548000497E-2</v>
      </c>
      <c r="V219" t="s">
        <v>154</v>
      </c>
    </row>
    <row r="220" spans="9:22" x14ac:dyDescent="0.45">
      <c r="I220" t="s">
        <v>182</v>
      </c>
      <c r="J220" t="s">
        <v>159</v>
      </c>
      <c r="K220">
        <v>3.9758180718228809E-3</v>
      </c>
      <c r="L220" t="s">
        <v>154</v>
      </c>
      <c r="N220" t="s">
        <v>211</v>
      </c>
      <c r="O220" t="s">
        <v>159</v>
      </c>
      <c r="P220">
        <v>3.7519206372559469E-2</v>
      </c>
      <c r="Q220" t="s">
        <v>154</v>
      </c>
      <c r="S220" t="s">
        <v>235</v>
      </c>
      <c r="T220" t="s">
        <v>159</v>
      </c>
      <c r="U220">
        <v>6.2573120023653672E-2</v>
      </c>
      <c r="V220" t="s">
        <v>154</v>
      </c>
    </row>
    <row r="221" spans="9:22" x14ac:dyDescent="0.45">
      <c r="I221" t="s">
        <v>182</v>
      </c>
      <c r="J221" t="s">
        <v>160</v>
      </c>
      <c r="K221">
        <v>0</v>
      </c>
      <c r="L221" t="s">
        <v>154</v>
      </c>
      <c r="N221" t="s">
        <v>211</v>
      </c>
      <c r="O221" t="s">
        <v>160</v>
      </c>
      <c r="P221">
        <v>2.2302876665154132E-2</v>
      </c>
      <c r="Q221" t="s">
        <v>154</v>
      </c>
      <c r="S221" t="s">
        <v>235</v>
      </c>
      <c r="T221" t="s">
        <v>160</v>
      </c>
      <c r="U221">
        <v>1.141335112617416E-2</v>
      </c>
      <c r="V221" t="s">
        <v>154</v>
      </c>
    </row>
    <row r="222" spans="9:22" x14ac:dyDescent="0.45">
      <c r="I222" t="s">
        <v>182</v>
      </c>
      <c r="J222" t="s">
        <v>161</v>
      </c>
      <c r="K222">
        <v>7.9859478121540442E-2</v>
      </c>
      <c r="L222" t="s">
        <v>154</v>
      </c>
      <c r="N222" t="s">
        <v>211</v>
      </c>
      <c r="O222" t="s">
        <v>161</v>
      </c>
      <c r="P222">
        <v>3.8901931243757418E-2</v>
      </c>
      <c r="Q222" t="s">
        <v>154</v>
      </c>
      <c r="S222" t="s">
        <v>235</v>
      </c>
      <c r="T222" t="s">
        <v>161</v>
      </c>
      <c r="U222">
        <v>1.6827439211655301E-2</v>
      </c>
      <c r="V222" t="s">
        <v>154</v>
      </c>
    </row>
    <row r="223" spans="9:22" x14ac:dyDescent="0.45">
      <c r="I223" t="s">
        <v>182</v>
      </c>
      <c r="J223" t="s">
        <v>162</v>
      </c>
      <c r="K223">
        <v>0</v>
      </c>
      <c r="L223" t="s">
        <v>154</v>
      </c>
      <c r="N223" t="s">
        <v>211</v>
      </c>
      <c r="O223" t="s">
        <v>162</v>
      </c>
      <c r="P223">
        <v>2.2685110411454195E-2</v>
      </c>
      <c r="Q223" t="s">
        <v>154</v>
      </c>
      <c r="S223" t="s">
        <v>235</v>
      </c>
      <c r="T223" t="s">
        <v>162</v>
      </c>
      <c r="U223">
        <v>1.1804276306932789E-2</v>
      </c>
      <c r="V223" t="s">
        <v>154</v>
      </c>
    </row>
    <row r="224" spans="9:22" x14ac:dyDescent="0.45">
      <c r="I224" t="s">
        <v>182</v>
      </c>
      <c r="J224" t="s">
        <v>163</v>
      </c>
      <c r="K224">
        <v>0</v>
      </c>
      <c r="L224" t="s">
        <v>154</v>
      </c>
      <c r="N224" t="s">
        <v>211</v>
      </c>
      <c r="O224" t="s">
        <v>163</v>
      </c>
      <c r="P224">
        <v>4.0665394290123599E-2</v>
      </c>
      <c r="Q224" t="s">
        <v>154</v>
      </c>
      <c r="S224" t="s">
        <v>235</v>
      </c>
      <c r="T224" t="s">
        <v>163</v>
      </c>
      <c r="U224">
        <v>3.5363660415264925E-2</v>
      </c>
      <c r="V224" t="s">
        <v>154</v>
      </c>
    </row>
    <row r="225" spans="9:22" x14ac:dyDescent="0.45">
      <c r="I225" t="s">
        <v>182</v>
      </c>
      <c r="J225" t="s">
        <v>164</v>
      </c>
      <c r="K225">
        <v>7.5982662987362629E-2</v>
      </c>
      <c r="L225" t="s">
        <v>154</v>
      </c>
      <c r="N225" t="s">
        <v>211</v>
      </c>
      <c r="O225" t="s">
        <v>164</v>
      </c>
      <c r="P225">
        <v>6.4479490276662818E-2</v>
      </c>
      <c r="Q225" t="s">
        <v>154</v>
      </c>
      <c r="S225" t="s">
        <v>235</v>
      </c>
      <c r="T225" t="s">
        <v>164</v>
      </c>
      <c r="U225">
        <v>4.7618178054629881E-2</v>
      </c>
      <c r="V225" t="s">
        <v>154</v>
      </c>
    </row>
    <row r="226" spans="9:22" x14ac:dyDescent="0.45">
      <c r="I226" t="s">
        <v>182</v>
      </c>
      <c r="J226" t="s">
        <v>165</v>
      </c>
      <c r="K226">
        <v>0</v>
      </c>
      <c r="L226" t="s">
        <v>154</v>
      </c>
      <c r="N226" t="s">
        <v>211</v>
      </c>
      <c r="O226" t="s">
        <v>165</v>
      </c>
      <c r="P226">
        <v>3.7303290741648717E-2</v>
      </c>
      <c r="Q226" t="s">
        <v>154</v>
      </c>
      <c r="S226" t="s">
        <v>235</v>
      </c>
      <c r="T226" t="s">
        <v>165</v>
      </c>
      <c r="U226">
        <v>3.1878267273845309E-2</v>
      </c>
      <c r="V226" t="s">
        <v>154</v>
      </c>
    </row>
    <row r="227" spans="9:22" x14ac:dyDescent="0.45">
      <c r="I227" t="s">
        <v>183</v>
      </c>
      <c r="J227" t="s">
        <v>153</v>
      </c>
      <c r="K227">
        <v>5.5324663338914967E-3</v>
      </c>
      <c r="L227" t="s">
        <v>154</v>
      </c>
      <c r="N227" t="s">
        <v>212</v>
      </c>
      <c r="O227" t="s">
        <v>153</v>
      </c>
      <c r="P227">
        <v>0.17658356761443772</v>
      </c>
      <c r="Q227" t="s">
        <v>154</v>
      </c>
      <c r="S227" t="s">
        <v>236</v>
      </c>
      <c r="T227" t="s">
        <v>153</v>
      </c>
      <c r="U227">
        <v>0.1797946701610762</v>
      </c>
      <c r="V227" t="s">
        <v>154</v>
      </c>
    </row>
    <row r="228" spans="9:22" x14ac:dyDescent="0.45">
      <c r="I228" t="s">
        <v>183</v>
      </c>
      <c r="J228" t="s">
        <v>155</v>
      </c>
      <c r="K228">
        <v>0.68796532154274703</v>
      </c>
      <c r="L228" t="s">
        <v>154</v>
      </c>
      <c r="N228" t="s">
        <v>212</v>
      </c>
      <c r="O228" t="s">
        <v>155</v>
      </c>
      <c r="P228">
        <v>0.28759063836643917</v>
      </c>
      <c r="Q228" t="s">
        <v>154</v>
      </c>
      <c r="S228" t="s">
        <v>236</v>
      </c>
      <c r="T228" t="s">
        <v>155</v>
      </c>
      <c r="U228">
        <v>0.27814661477958058</v>
      </c>
      <c r="V228" t="s">
        <v>154</v>
      </c>
    </row>
    <row r="229" spans="9:22" x14ac:dyDescent="0.45">
      <c r="I229" t="s">
        <v>183</v>
      </c>
      <c r="J229" t="s">
        <v>156</v>
      </c>
      <c r="K229">
        <v>2.0823896985630419E-2</v>
      </c>
      <c r="L229" t="s">
        <v>154</v>
      </c>
      <c r="N229" t="s">
        <v>212</v>
      </c>
      <c r="O229" t="s">
        <v>156</v>
      </c>
      <c r="P229">
        <v>0.14241949547559143</v>
      </c>
      <c r="Q229" t="s">
        <v>154</v>
      </c>
      <c r="S229" t="s">
        <v>236</v>
      </c>
      <c r="T229" t="s">
        <v>156</v>
      </c>
      <c r="U229">
        <v>0.15736362244216398</v>
      </c>
      <c r="V229" t="s">
        <v>154</v>
      </c>
    </row>
    <row r="230" spans="9:22" x14ac:dyDescent="0.45">
      <c r="I230" t="s">
        <v>183</v>
      </c>
      <c r="J230" t="s">
        <v>157</v>
      </c>
      <c r="K230">
        <v>0</v>
      </c>
      <c r="L230" t="s">
        <v>154</v>
      </c>
      <c r="N230" t="s">
        <v>212</v>
      </c>
      <c r="O230" t="s">
        <v>157</v>
      </c>
      <c r="P230">
        <v>3.650337829939606E-2</v>
      </c>
      <c r="Q230" t="s">
        <v>154</v>
      </c>
      <c r="S230" t="s">
        <v>236</v>
      </c>
      <c r="T230" t="s">
        <v>157</v>
      </c>
      <c r="U230">
        <v>6.0117251645017591E-2</v>
      </c>
      <c r="V230" t="s">
        <v>154</v>
      </c>
    </row>
    <row r="231" spans="9:22" x14ac:dyDescent="0.45">
      <c r="I231" t="s">
        <v>183</v>
      </c>
      <c r="J231" t="s">
        <v>158</v>
      </c>
      <c r="K231">
        <v>0.13667262778214906</v>
      </c>
      <c r="L231" t="s">
        <v>154</v>
      </c>
      <c r="N231" t="s">
        <v>212</v>
      </c>
      <c r="O231" t="s">
        <v>158</v>
      </c>
      <c r="P231">
        <v>6.5132121218950886E-2</v>
      </c>
      <c r="Q231" t="s">
        <v>154</v>
      </c>
      <c r="S231" t="s">
        <v>236</v>
      </c>
      <c r="T231" t="s">
        <v>158</v>
      </c>
      <c r="U231">
        <v>8.9337625542915702E-2</v>
      </c>
      <c r="V231" t="s">
        <v>154</v>
      </c>
    </row>
    <row r="232" spans="9:22" x14ac:dyDescent="0.45">
      <c r="I232" t="s">
        <v>183</v>
      </c>
      <c r="J232" t="s">
        <v>159</v>
      </c>
      <c r="K232">
        <v>3.3246701564185249E-3</v>
      </c>
      <c r="L232" t="s">
        <v>154</v>
      </c>
      <c r="N232" t="s">
        <v>212</v>
      </c>
      <c r="O232" t="s">
        <v>159</v>
      </c>
      <c r="P232">
        <v>3.1824125429016192E-2</v>
      </c>
      <c r="Q232" t="s">
        <v>154</v>
      </c>
      <c r="S232" t="s">
        <v>236</v>
      </c>
      <c r="T232" t="s">
        <v>159</v>
      </c>
      <c r="U232">
        <v>4.5555059031453952E-2</v>
      </c>
      <c r="V232" t="s">
        <v>154</v>
      </c>
    </row>
    <row r="233" spans="9:22" x14ac:dyDescent="0.45">
      <c r="I233" t="s">
        <v>183</v>
      </c>
      <c r="J233" t="s">
        <v>160</v>
      </c>
      <c r="K233">
        <v>0</v>
      </c>
      <c r="L233" t="s">
        <v>154</v>
      </c>
      <c r="N233" t="s">
        <v>212</v>
      </c>
      <c r="O233" t="s">
        <v>160</v>
      </c>
      <c r="P233">
        <v>2.4805369440299534E-2</v>
      </c>
      <c r="Q233" t="s">
        <v>154</v>
      </c>
      <c r="S233" t="s">
        <v>236</v>
      </c>
      <c r="T233" t="s">
        <v>160</v>
      </c>
      <c r="U233">
        <v>1.96696173038153E-2</v>
      </c>
      <c r="V233" t="s">
        <v>154</v>
      </c>
    </row>
    <row r="234" spans="9:22" x14ac:dyDescent="0.45">
      <c r="I234" t="s">
        <v>183</v>
      </c>
      <c r="J234" t="s">
        <v>161</v>
      </c>
      <c r="K234">
        <v>7.1945338640562059E-2</v>
      </c>
      <c r="L234" t="s">
        <v>154</v>
      </c>
      <c r="N234" t="s">
        <v>212</v>
      </c>
      <c r="O234" t="s">
        <v>161</v>
      </c>
      <c r="P234">
        <v>3.898916466854177E-2</v>
      </c>
      <c r="Q234" t="s">
        <v>154</v>
      </c>
      <c r="S234" t="s">
        <v>236</v>
      </c>
      <c r="T234" t="s">
        <v>161</v>
      </c>
      <c r="U234">
        <v>3.5268407907455279E-2</v>
      </c>
      <c r="V234" t="s">
        <v>154</v>
      </c>
    </row>
    <row r="235" spans="9:22" x14ac:dyDescent="0.45">
      <c r="I235" t="s">
        <v>183</v>
      </c>
      <c r="J235" t="s">
        <v>162</v>
      </c>
      <c r="K235">
        <v>0</v>
      </c>
      <c r="L235" t="s">
        <v>154</v>
      </c>
      <c r="N235" t="s">
        <v>212</v>
      </c>
      <c r="O235" t="s">
        <v>162</v>
      </c>
      <c r="P235">
        <v>1.9071026444896829E-2</v>
      </c>
      <c r="Q235" t="s">
        <v>154</v>
      </c>
      <c r="S235" t="s">
        <v>236</v>
      </c>
      <c r="T235" t="s">
        <v>162</v>
      </c>
      <c r="U235">
        <v>1.9242861813184131E-2</v>
      </c>
      <c r="V235" t="s">
        <v>154</v>
      </c>
    </row>
    <row r="236" spans="9:22" x14ac:dyDescent="0.45">
      <c r="I236" t="s">
        <v>183</v>
      </c>
      <c r="J236" t="s">
        <v>163</v>
      </c>
      <c r="K236">
        <v>0</v>
      </c>
      <c r="L236" t="s">
        <v>154</v>
      </c>
      <c r="N236" t="s">
        <v>212</v>
      </c>
      <c r="O236" t="s">
        <v>163</v>
      </c>
      <c r="P236">
        <v>5.3060274598212852E-2</v>
      </c>
      <c r="Q236" t="s">
        <v>154</v>
      </c>
      <c r="S236" t="s">
        <v>236</v>
      </c>
      <c r="T236" t="s">
        <v>163</v>
      </c>
      <c r="U236">
        <v>3.3621180113257182E-2</v>
      </c>
      <c r="V236" t="s">
        <v>154</v>
      </c>
    </row>
    <row r="237" spans="9:22" x14ac:dyDescent="0.45">
      <c r="I237" t="s">
        <v>183</v>
      </c>
      <c r="J237" t="s">
        <v>164</v>
      </c>
      <c r="K237">
        <v>7.3735678558599485E-2</v>
      </c>
      <c r="L237" t="s">
        <v>154</v>
      </c>
      <c r="N237" t="s">
        <v>212</v>
      </c>
      <c r="O237" t="s">
        <v>164</v>
      </c>
      <c r="P237">
        <v>8.2942944474317354E-2</v>
      </c>
      <c r="Q237" t="s">
        <v>154</v>
      </c>
      <c r="S237" t="s">
        <v>236</v>
      </c>
      <c r="T237" t="s">
        <v>164</v>
      </c>
      <c r="U237">
        <v>5.2496494633670794E-2</v>
      </c>
      <c r="V237" t="s">
        <v>154</v>
      </c>
    </row>
    <row r="238" spans="9:22" x14ac:dyDescent="0.45">
      <c r="I238" t="s">
        <v>183</v>
      </c>
      <c r="J238" t="s">
        <v>165</v>
      </c>
      <c r="K238">
        <v>0</v>
      </c>
      <c r="L238" t="s">
        <v>154</v>
      </c>
      <c r="N238" t="s">
        <v>212</v>
      </c>
      <c r="O238" t="s">
        <v>165</v>
      </c>
      <c r="P238">
        <v>4.1077893969903176E-2</v>
      </c>
      <c r="Q238" t="s">
        <v>154</v>
      </c>
      <c r="S238" t="s">
        <v>236</v>
      </c>
      <c r="T238" t="s">
        <v>165</v>
      </c>
      <c r="U238">
        <v>2.9386594626407865E-2</v>
      </c>
      <c r="V238" t="s">
        <v>154</v>
      </c>
    </row>
    <row r="239" spans="9:22" x14ac:dyDescent="0.45">
      <c r="I239" t="s">
        <v>184</v>
      </c>
      <c r="J239" t="s">
        <v>153</v>
      </c>
      <c r="K239">
        <v>0</v>
      </c>
      <c r="L239" t="s">
        <v>154</v>
      </c>
      <c r="N239" t="s">
        <v>213</v>
      </c>
      <c r="O239" t="s">
        <v>153</v>
      </c>
      <c r="P239">
        <v>0.19627507243791634</v>
      </c>
      <c r="Q239" t="s">
        <v>154</v>
      </c>
      <c r="S239" t="s">
        <v>237</v>
      </c>
      <c r="T239" t="s">
        <v>153</v>
      </c>
      <c r="U239">
        <v>0.18984545548551951</v>
      </c>
      <c r="V239" t="s">
        <v>154</v>
      </c>
    </row>
    <row r="240" spans="9:22" x14ac:dyDescent="0.45">
      <c r="I240" t="s">
        <v>184</v>
      </c>
      <c r="J240" t="s">
        <v>155</v>
      </c>
      <c r="K240">
        <v>0.63135387166815382</v>
      </c>
      <c r="L240" t="s">
        <v>154</v>
      </c>
      <c r="N240" t="s">
        <v>213</v>
      </c>
      <c r="O240" t="s">
        <v>155</v>
      </c>
      <c r="P240">
        <v>0.2955103911345619</v>
      </c>
      <c r="Q240" t="s">
        <v>154</v>
      </c>
      <c r="S240" t="s">
        <v>237</v>
      </c>
      <c r="T240" t="s">
        <v>155</v>
      </c>
      <c r="U240">
        <v>0.28371462992362922</v>
      </c>
      <c r="V240" t="s">
        <v>154</v>
      </c>
    </row>
    <row r="241" spans="9:22" x14ac:dyDescent="0.45">
      <c r="I241" t="s">
        <v>184</v>
      </c>
      <c r="J241" t="s">
        <v>156</v>
      </c>
      <c r="K241">
        <v>2.6725763375593247E-2</v>
      </c>
      <c r="L241" t="s">
        <v>154</v>
      </c>
      <c r="N241" t="s">
        <v>213</v>
      </c>
      <c r="O241" t="s">
        <v>156</v>
      </c>
      <c r="P241">
        <v>0.16908463917348984</v>
      </c>
      <c r="Q241" t="s">
        <v>154</v>
      </c>
      <c r="S241" t="s">
        <v>237</v>
      </c>
      <c r="T241" t="s">
        <v>156</v>
      </c>
      <c r="U241">
        <v>0.15049197426544889</v>
      </c>
      <c r="V241" t="s">
        <v>154</v>
      </c>
    </row>
    <row r="242" spans="9:22" x14ac:dyDescent="0.45">
      <c r="I242" t="s">
        <v>184</v>
      </c>
      <c r="J242" t="s">
        <v>157</v>
      </c>
      <c r="K242">
        <v>0</v>
      </c>
      <c r="L242" t="s">
        <v>154</v>
      </c>
      <c r="N242" t="s">
        <v>213</v>
      </c>
      <c r="O242" t="s">
        <v>157</v>
      </c>
      <c r="P242">
        <v>6.0718688557836423E-2</v>
      </c>
      <c r="Q242" t="s">
        <v>154</v>
      </c>
      <c r="S242" t="s">
        <v>237</v>
      </c>
      <c r="T242" t="s">
        <v>157</v>
      </c>
      <c r="U242">
        <v>3.6470749438560678E-2</v>
      </c>
      <c r="V242" t="s">
        <v>154</v>
      </c>
    </row>
    <row r="243" spans="9:22" x14ac:dyDescent="0.45">
      <c r="I243" t="s">
        <v>184</v>
      </c>
      <c r="J243" t="s">
        <v>158</v>
      </c>
      <c r="K243">
        <v>0.13243667471478032</v>
      </c>
      <c r="L243" t="s">
        <v>154</v>
      </c>
      <c r="N243" t="s">
        <v>213</v>
      </c>
      <c r="O243" t="s">
        <v>158</v>
      </c>
      <c r="P243">
        <v>7.4432686134473666E-2</v>
      </c>
      <c r="Q243" t="s">
        <v>154</v>
      </c>
      <c r="S243" t="s">
        <v>237</v>
      </c>
      <c r="T243" t="s">
        <v>158</v>
      </c>
      <c r="U243">
        <v>6.2185102622374533E-2</v>
      </c>
      <c r="V243" t="s">
        <v>154</v>
      </c>
    </row>
    <row r="244" spans="9:22" x14ac:dyDescent="0.45">
      <c r="I244" t="s">
        <v>184</v>
      </c>
      <c r="J244" t="s">
        <v>159</v>
      </c>
      <c r="K244">
        <v>4.0481594472854422E-3</v>
      </c>
      <c r="L244" t="s">
        <v>154</v>
      </c>
      <c r="N244" t="s">
        <v>213</v>
      </c>
      <c r="O244" t="s">
        <v>159</v>
      </c>
      <c r="P244">
        <v>4.6330466955668219E-2</v>
      </c>
      <c r="Q244" t="s">
        <v>154</v>
      </c>
      <c r="S244" t="s">
        <v>237</v>
      </c>
      <c r="T244" t="s">
        <v>159</v>
      </c>
      <c r="U244">
        <v>2.7027016795541422E-2</v>
      </c>
      <c r="V244" t="s">
        <v>154</v>
      </c>
    </row>
    <row r="245" spans="9:22" x14ac:dyDescent="0.45">
      <c r="I245" t="s">
        <v>184</v>
      </c>
      <c r="J245" t="s">
        <v>160</v>
      </c>
      <c r="K245">
        <v>0</v>
      </c>
      <c r="L245" t="s">
        <v>154</v>
      </c>
      <c r="N245" t="s">
        <v>213</v>
      </c>
      <c r="O245" t="s">
        <v>160</v>
      </c>
      <c r="P245">
        <v>2.3015128254955063E-2</v>
      </c>
      <c r="Q245" t="s">
        <v>154</v>
      </c>
      <c r="S245" t="s">
        <v>237</v>
      </c>
      <c r="T245" t="s">
        <v>160</v>
      </c>
      <c r="U245">
        <v>2.4960118836613233E-2</v>
      </c>
      <c r="V245" t="s">
        <v>154</v>
      </c>
    </row>
    <row r="246" spans="9:22" x14ac:dyDescent="0.45">
      <c r="I246" t="s">
        <v>184</v>
      </c>
      <c r="J246" t="s">
        <v>161</v>
      </c>
      <c r="K246">
        <v>7.1253128409725822E-2</v>
      </c>
      <c r="L246" t="s">
        <v>154</v>
      </c>
      <c r="N246" t="s">
        <v>213</v>
      </c>
      <c r="O246" t="s">
        <v>161</v>
      </c>
      <c r="P246">
        <v>2.9823698986191971E-2</v>
      </c>
      <c r="Q246" t="s">
        <v>154</v>
      </c>
      <c r="S246" t="s">
        <v>237</v>
      </c>
      <c r="T246" t="s">
        <v>161</v>
      </c>
      <c r="U246">
        <v>3.3406645268628521E-2</v>
      </c>
      <c r="V246" t="s">
        <v>154</v>
      </c>
    </row>
    <row r="247" spans="9:22" x14ac:dyDescent="0.45">
      <c r="I247" t="s">
        <v>184</v>
      </c>
      <c r="J247" t="s">
        <v>162</v>
      </c>
      <c r="K247">
        <v>2.3182179585663717E-3</v>
      </c>
      <c r="L247" t="s">
        <v>154</v>
      </c>
      <c r="N247" t="s">
        <v>213</v>
      </c>
      <c r="O247" t="s">
        <v>162</v>
      </c>
      <c r="P247">
        <v>2.1425695039806229E-2</v>
      </c>
      <c r="Q247" t="s">
        <v>154</v>
      </c>
      <c r="S247" t="s">
        <v>237</v>
      </c>
      <c r="T247" t="s">
        <v>162</v>
      </c>
      <c r="U247">
        <v>1.8936583168943463E-2</v>
      </c>
      <c r="V247" t="s">
        <v>154</v>
      </c>
    </row>
    <row r="248" spans="9:22" x14ac:dyDescent="0.45">
      <c r="I248" t="s">
        <v>184</v>
      </c>
      <c r="J248" t="s">
        <v>163</v>
      </c>
      <c r="K248">
        <v>0</v>
      </c>
      <c r="L248" t="s">
        <v>154</v>
      </c>
      <c r="N248" t="s">
        <v>213</v>
      </c>
      <c r="O248" t="s">
        <v>163</v>
      </c>
      <c r="P248">
        <v>2.5309688013530077E-2</v>
      </c>
      <c r="Q248" t="s">
        <v>154</v>
      </c>
      <c r="S248" t="s">
        <v>237</v>
      </c>
      <c r="T248" t="s">
        <v>163</v>
      </c>
      <c r="U248">
        <v>5.3175889213716417E-2</v>
      </c>
      <c r="V248" t="s">
        <v>154</v>
      </c>
    </row>
    <row r="249" spans="9:22" x14ac:dyDescent="0.45">
      <c r="I249" t="s">
        <v>184</v>
      </c>
      <c r="J249" t="s">
        <v>164</v>
      </c>
      <c r="K249">
        <v>0.12774872071882029</v>
      </c>
      <c r="L249" t="s">
        <v>154</v>
      </c>
      <c r="N249" t="s">
        <v>213</v>
      </c>
      <c r="O249" t="s">
        <v>164</v>
      </c>
      <c r="P249">
        <v>3.4533127746283129E-2</v>
      </c>
      <c r="Q249" t="s">
        <v>154</v>
      </c>
      <c r="S249" t="s">
        <v>237</v>
      </c>
      <c r="T249" t="s">
        <v>164</v>
      </c>
      <c r="U249">
        <v>7.6042877769870357E-2</v>
      </c>
      <c r="V249" t="s">
        <v>154</v>
      </c>
    </row>
    <row r="250" spans="9:22" x14ac:dyDescent="0.45">
      <c r="I250" t="s">
        <v>184</v>
      </c>
      <c r="J250" t="s">
        <v>165</v>
      </c>
      <c r="K250">
        <v>4.1154637070748793E-3</v>
      </c>
      <c r="L250" t="s">
        <v>154</v>
      </c>
      <c r="N250" t="s">
        <v>213</v>
      </c>
      <c r="O250" t="s">
        <v>165</v>
      </c>
      <c r="P250">
        <v>2.3540717565289367E-2</v>
      </c>
      <c r="Q250" t="s">
        <v>154</v>
      </c>
      <c r="S250" t="s">
        <v>237</v>
      </c>
      <c r="T250" t="s">
        <v>165</v>
      </c>
      <c r="U250">
        <v>4.3742957211152469E-2</v>
      </c>
      <c r="V250" t="s">
        <v>154</v>
      </c>
    </row>
    <row r="251" spans="9:22" x14ac:dyDescent="0.45">
      <c r="I251" t="s">
        <v>185</v>
      </c>
      <c r="J251" t="s">
        <v>153</v>
      </c>
      <c r="K251">
        <v>0</v>
      </c>
      <c r="L251" t="s">
        <v>154</v>
      </c>
      <c r="N251" t="s">
        <v>214</v>
      </c>
      <c r="O251" t="s">
        <v>153</v>
      </c>
      <c r="P251">
        <v>0.18851911350908396</v>
      </c>
      <c r="Q251" t="s">
        <v>154</v>
      </c>
      <c r="S251" t="s">
        <v>238</v>
      </c>
      <c r="T251" t="s">
        <v>153</v>
      </c>
      <c r="U251">
        <v>0.18714854829427793</v>
      </c>
      <c r="V251" t="s">
        <v>154</v>
      </c>
    </row>
    <row r="252" spans="9:22" x14ac:dyDescent="0.45">
      <c r="I252" t="s">
        <v>185</v>
      </c>
      <c r="J252" t="s">
        <v>155</v>
      </c>
      <c r="K252">
        <v>0.64284062593552238</v>
      </c>
      <c r="L252" t="s">
        <v>154</v>
      </c>
      <c r="N252" t="s">
        <v>214</v>
      </c>
      <c r="O252" t="s">
        <v>155</v>
      </c>
      <c r="P252">
        <v>0.33559497091593182</v>
      </c>
      <c r="Q252" t="s">
        <v>154</v>
      </c>
      <c r="S252" t="s">
        <v>238</v>
      </c>
      <c r="T252" t="s">
        <v>155</v>
      </c>
      <c r="U252">
        <v>0.28159233381224646</v>
      </c>
      <c r="V252" t="s">
        <v>154</v>
      </c>
    </row>
    <row r="253" spans="9:22" x14ac:dyDescent="0.45">
      <c r="I253" t="s">
        <v>185</v>
      </c>
      <c r="J253" t="s">
        <v>156</v>
      </c>
      <c r="K253">
        <v>2.3577193629146311E-2</v>
      </c>
      <c r="L253" t="s">
        <v>154</v>
      </c>
      <c r="N253" t="s">
        <v>214</v>
      </c>
      <c r="O253" t="s">
        <v>156</v>
      </c>
      <c r="P253">
        <v>0.14725595484171022</v>
      </c>
      <c r="Q253" t="s">
        <v>154</v>
      </c>
      <c r="S253" t="s">
        <v>238</v>
      </c>
      <c r="T253" t="s">
        <v>156</v>
      </c>
      <c r="U253">
        <v>0.14574254331398728</v>
      </c>
      <c r="V253" t="s">
        <v>154</v>
      </c>
    </row>
    <row r="254" spans="9:22" x14ac:dyDescent="0.45">
      <c r="I254" t="s">
        <v>185</v>
      </c>
      <c r="J254" t="s">
        <v>157</v>
      </c>
      <c r="K254">
        <v>0</v>
      </c>
      <c r="L254" t="s">
        <v>154</v>
      </c>
      <c r="N254" t="s">
        <v>214</v>
      </c>
      <c r="O254" t="s">
        <v>157</v>
      </c>
      <c r="P254">
        <v>3.9954183063367607E-2</v>
      </c>
      <c r="Q254" t="s">
        <v>154</v>
      </c>
      <c r="S254" t="s">
        <v>238</v>
      </c>
      <c r="T254" t="s">
        <v>157</v>
      </c>
      <c r="U254">
        <v>3.1000819018143642E-2</v>
      </c>
      <c r="V254" t="s">
        <v>154</v>
      </c>
    </row>
    <row r="255" spans="9:22" x14ac:dyDescent="0.45">
      <c r="I255" t="s">
        <v>185</v>
      </c>
      <c r="J255" t="s">
        <v>158</v>
      </c>
      <c r="K255">
        <v>0.11654991172519402</v>
      </c>
      <c r="L255" t="s">
        <v>154</v>
      </c>
      <c r="N255" t="s">
        <v>214</v>
      </c>
      <c r="O255" t="s">
        <v>158</v>
      </c>
      <c r="P255">
        <v>9.4364129974855257E-2</v>
      </c>
      <c r="Q255" t="s">
        <v>154</v>
      </c>
      <c r="S255" t="s">
        <v>238</v>
      </c>
      <c r="T255" t="s">
        <v>158</v>
      </c>
      <c r="U255">
        <v>4.9952915764678148E-2</v>
      </c>
      <c r="V255" t="s">
        <v>154</v>
      </c>
    </row>
    <row r="256" spans="9:22" x14ac:dyDescent="0.45">
      <c r="I256" t="s">
        <v>185</v>
      </c>
      <c r="J256" t="s">
        <v>159</v>
      </c>
      <c r="K256">
        <v>2.5294433267343181E-3</v>
      </c>
      <c r="L256" t="s">
        <v>154</v>
      </c>
      <c r="N256" t="s">
        <v>214</v>
      </c>
      <c r="O256" t="s">
        <v>159</v>
      </c>
      <c r="P256">
        <v>3.022290449474109E-2</v>
      </c>
      <c r="Q256" t="s">
        <v>154</v>
      </c>
      <c r="S256" t="s">
        <v>238</v>
      </c>
      <c r="T256" t="s">
        <v>159</v>
      </c>
      <c r="U256">
        <v>2.42343366498575E-2</v>
      </c>
      <c r="V256" t="s">
        <v>154</v>
      </c>
    </row>
    <row r="257" spans="9:22" x14ac:dyDescent="0.45">
      <c r="I257" t="s">
        <v>185</v>
      </c>
      <c r="J257" t="s">
        <v>160</v>
      </c>
      <c r="K257">
        <v>0</v>
      </c>
      <c r="L257" t="s">
        <v>154</v>
      </c>
      <c r="N257" t="s">
        <v>214</v>
      </c>
      <c r="O257" t="s">
        <v>160</v>
      </c>
      <c r="P257">
        <v>1.4584157698156497E-2</v>
      </c>
      <c r="Q257" t="s">
        <v>154</v>
      </c>
      <c r="S257" t="s">
        <v>238</v>
      </c>
      <c r="T257" t="s">
        <v>160</v>
      </c>
      <c r="U257">
        <v>2.3467759529251713E-2</v>
      </c>
      <c r="V257" t="s">
        <v>154</v>
      </c>
    </row>
    <row r="258" spans="9:22" x14ac:dyDescent="0.45">
      <c r="I258" t="s">
        <v>185</v>
      </c>
      <c r="J258" t="s">
        <v>161</v>
      </c>
      <c r="K258">
        <v>7.8812605142667511E-2</v>
      </c>
      <c r="L258" t="s">
        <v>154</v>
      </c>
      <c r="N258" t="s">
        <v>214</v>
      </c>
      <c r="O258" t="s">
        <v>161</v>
      </c>
      <c r="P258">
        <v>2.637392906589224E-2</v>
      </c>
      <c r="Q258" t="s">
        <v>154</v>
      </c>
      <c r="S258" t="s">
        <v>238</v>
      </c>
      <c r="T258" t="s">
        <v>161</v>
      </c>
      <c r="U258">
        <v>3.655385444081953E-2</v>
      </c>
      <c r="V258" t="s">
        <v>154</v>
      </c>
    </row>
    <row r="259" spans="9:22" x14ac:dyDescent="0.45">
      <c r="I259" t="s">
        <v>185</v>
      </c>
      <c r="J259" t="s">
        <v>162</v>
      </c>
      <c r="K259">
        <v>4.3043401056535476E-5</v>
      </c>
      <c r="L259" t="s">
        <v>154</v>
      </c>
      <c r="N259" t="s">
        <v>214</v>
      </c>
      <c r="O259" t="s">
        <v>162</v>
      </c>
      <c r="P259">
        <v>1.3250430725268944E-2</v>
      </c>
      <c r="Q259" t="s">
        <v>154</v>
      </c>
      <c r="S259" t="s">
        <v>238</v>
      </c>
      <c r="T259" t="s">
        <v>162</v>
      </c>
      <c r="U259">
        <v>1.6532509526255929E-2</v>
      </c>
      <c r="V259" t="s">
        <v>154</v>
      </c>
    </row>
    <row r="260" spans="9:22" x14ac:dyDescent="0.45">
      <c r="I260" t="s">
        <v>185</v>
      </c>
      <c r="J260" t="s">
        <v>163</v>
      </c>
      <c r="K260">
        <v>0</v>
      </c>
      <c r="L260" t="s">
        <v>154</v>
      </c>
      <c r="N260" t="s">
        <v>214</v>
      </c>
      <c r="O260" t="s">
        <v>163</v>
      </c>
      <c r="P260">
        <v>3.572999919607852E-2</v>
      </c>
      <c r="Q260" t="s">
        <v>154</v>
      </c>
      <c r="S260" t="s">
        <v>238</v>
      </c>
      <c r="T260" t="s">
        <v>163</v>
      </c>
      <c r="U260">
        <v>6.1391228013158057E-2</v>
      </c>
      <c r="V260" t="s">
        <v>154</v>
      </c>
    </row>
    <row r="261" spans="9:22" x14ac:dyDescent="0.45">
      <c r="I261" t="s">
        <v>185</v>
      </c>
      <c r="J261" t="s">
        <v>164</v>
      </c>
      <c r="K261">
        <v>0.13503139144956669</v>
      </c>
      <c r="L261" t="s">
        <v>154</v>
      </c>
      <c r="N261" t="s">
        <v>214</v>
      </c>
      <c r="O261" t="s">
        <v>164</v>
      </c>
      <c r="P261">
        <v>5.0768901221200265E-2</v>
      </c>
      <c r="Q261" t="s">
        <v>154</v>
      </c>
      <c r="S261" t="s">
        <v>238</v>
      </c>
      <c r="T261" t="s">
        <v>164</v>
      </c>
      <c r="U261">
        <v>9.2654858417685254E-2</v>
      </c>
      <c r="V261" t="s">
        <v>154</v>
      </c>
    </row>
    <row r="262" spans="9:22" x14ac:dyDescent="0.45">
      <c r="I262" t="s">
        <v>185</v>
      </c>
      <c r="J262" t="s">
        <v>165</v>
      </c>
      <c r="K262">
        <v>6.1578539011110129E-4</v>
      </c>
      <c r="L262" t="s">
        <v>154</v>
      </c>
      <c r="N262" t="s">
        <v>214</v>
      </c>
      <c r="O262" t="s">
        <v>165</v>
      </c>
      <c r="P262">
        <v>2.338132529371743E-2</v>
      </c>
      <c r="Q262" t="s">
        <v>154</v>
      </c>
      <c r="S262" t="s">
        <v>238</v>
      </c>
      <c r="T262" t="s">
        <v>165</v>
      </c>
      <c r="U262">
        <v>4.9728293219639216E-2</v>
      </c>
      <c r="V262" t="s">
        <v>154</v>
      </c>
    </row>
    <row r="263" spans="9:22" x14ac:dyDescent="0.45">
      <c r="I263" t="s">
        <v>186</v>
      </c>
      <c r="J263" t="s">
        <v>153</v>
      </c>
      <c r="K263">
        <v>0</v>
      </c>
      <c r="L263" t="s">
        <v>154</v>
      </c>
      <c r="N263" t="s">
        <v>215</v>
      </c>
      <c r="O263" t="s">
        <v>153</v>
      </c>
      <c r="P263">
        <v>0.19380372169806839</v>
      </c>
      <c r="Q263" t="s">
        <v>154</v>
      </c>
      <c r="S263" t="s">
        <v>239</v>
      </c>
      <c r="T263" t="s">
        <v>153</v>
      </c>
      <c r="U263">
        <v>0.18830599492075867</v>
      </c>
      <c r="V263" t="s">
        <v>154</v>
      </c>
    </row>
    <row r="264" spans="9:22" x14ac:dyDescent="0.45">
      <c r="I264" t="s">
        <v>186</v>
      </c>
      <c r="J264" t="s">
        <v>155</v>
      </c>
      <c r="K264">
        <v>0.63498554436142896</v>
      </c>
      <c r="L264" t="s">
        <v>154</v>
      </c>
      <c r="N264" t="s">
        <v>215</v>
      </c>
      <c r="O264" t="s">
        <v>155</v>
      </c>
      <c r="P264">
        <v>0.29157527482648271</v>
      </c>
      <c r="Q264" t="s">
        <v>154</v>
      </c>
      <c r="S264" t="s">
        <v>239</v>
      </c>
      <c r="T264" t="s">
        <v>155</v>
      </c>
      <c r="U264">
        <v>0.28808856093063911</v>
      </c>
      <c r="V264" t="s">
        <v>154</v>
      </c>
    </row>
    <row r="265" spans="9:22" x14ac:dyDescent="0.45">
      <c r="I265" t="s">
        <v>186</v>
      </c>
      <c r="J265" t="s">
        <v>156</v>
      </c>
      <c r="K265">
        <v>2.6081256009667507E-2</v>
      </c>
      <c r="L265" t="s">
        <v>154</v>
      </c>
      <c r="N265" t="s">
        <v>215</v>
      </c>
      <c r="O265" t="s">
        <v>156</v>
      </c>
      <c r="P265">
        <v>0.16203362257499465</v>
      </c>
      <c r="Q265" t="s">
        <v>154</v>
      </c>
      <c r="S265" t="s">
        <v>239</v>
      </c>
      <c r="T265" t="s">
        <v>156</v>
      </c>
      <c r="U265">
        <v>0.14326599826042716</v>
      </c>
      <c r="V265" t="s">
        <v>154</v>
      </c>
    </row>
    <row r="266" spans="9:22" x14ac:dyDescent="0.45">
      <c r="I266" t="s">
        <v>186</v>
      </c>
      <c r="J266" t="s">
        <v>157</v>
      </c>
      <c r="K266">
        <v>0</v>
      </c>
      <c r="L266" t="s">
        <v>154</v>
      </c>
      <c r="N266" t="s">
        <v>215</v>
      </c>
      <c r="O266" t="s">
        <v>157</v>
      </c>
      <c r="P266">
        <v>6.3223287231571126E-2</v>
      </c>
      <c r="Q266" t="s">
        <v>154</v>
      </c>
      <c r="S266" t="s">
        <v>239</v>
      </c>
      <c r="T266" t="s">
        <v>157</v>
      </c>
      <c r="U266">
        <v>3.5910600893867474E-2</v>
      </c>
      <c r="V266" t="s">
        <v>154</v>
      </c>
    </row>
    <row r="267" spans="9:22" x14ac:dyDescent="0.45">
      <c r="I267" t="s">
        <v>186</v>
      </c>
      <c r="J267" t="s">
        <v>158</v>
      </c>
      <c r="K267">
        <v>0.12432662929401816</v>
      </c>
      <c r="L267" t="s">
        <v>154</v>
      </c>
      <c r="N267" t="s">
        <v>215</v>
      </c>
      <c r="O267" t="s">
        <v>158</v>
      </c>
      <c r="P267">
        <v>0.12710413947143628</v>
      </c>
      <c r="Q267" t="s">
        <v>154</v>
      </c>
      <c r="S267" t="s">
        <v>239</v>
      </c>
      <c r="T267" t="s">
        <v>158</v>
      </c>
      <c r="U267">
        <v>6.5114892376583147E-2</v>
      </c>
      <c r="V267" t="s">
        <v>154</v>
      </c>
    </row>
    <row r="268" spans="9:22" x14ac:dyDescent="0.45">
      <c r="I268" t="s">
        <v>186</v>
      </c>
      <c r="J268" t="s">
        <v>159</v>
      </c>
      <c r="K268">
        <v>3.1741357688169778E-3</v>
      </c>
      <c r="L268" t="s">
        <v>154</v>
      </c>
      <c r="N268" t="s">
        <v>215</v>
      </c>
      <c r="O268" t="s">
        <v>159</v>
      </c>
      <c r="P268">
        <v>4.2838808506594758E-2</v>
      </c>
      <c r="Q268" t="s">
        <v>154</v>
      </c>
      <c r="S268" t="s">
        <v>239</v>
      </c>
      <c r="T268" t="s">
        <v>159</v>
      </c>
      <c r="U268">
        <v>3.0251950601946912E-2</v>
      </c>
      <c r="V268" t="s">
        <v>154</v>
      </c>
    </row>
    <row r="269" spans="9:22" x14ac:dyDescent="0.45">
      <c r="I269" t="s">
        <v>186</v>
      </c>
      <c r="J269" t="s">
        <v>160</v>
      </c>
      <c r="K269">
        <v>0</v>
      </c>
      <c r="L269" t="s">
        <v>154</v>
      </c>
      <c r="N269" t="s">
        <v>215</v>
      </c>
      <c r="O269" t="s">
        <v>160</v>
      </c>
      <c r="P269">
        <v>2.475868456044485E-2</v>
      </c>
      <c r="Q269" t="s">
        <v>154</v>
      </c>
      <c r="S269" t="s">
        <v>239</v>
      </c>
      <c r="T269" t="s">
        <v>160</v>
      </c>
      <c r="U269">
        <v>2.4635288241053308E-2</v>
      </c>
      <c r="V269" t="s">
        <v>154</v>
      </c>
    </row>
    <row r="270" spans="9:22" x14ac:dyDescent="0.45">
      <c r="I270" t="s">
        <v>186</v>
      </c>
      <c r="J270" t="s">
        <v>161</v>
      </c>
      <c r="K270">
        <v>7.601521386640353E-2</v>
      </c>
      <c r="L270" t="s">
        <v>154</v>
      </c>
      <c r="N270" t="s">
        <v>215</v>
      </c>
      <c r="O270" t="s">
        <v>161</v>
      </c>
      <c r="P270">
        <v>3.8803032487528963E-2</v>
      </c>
      <c r="Q270" t="s">
        <v>154</v>
      </c>
      <c r="S270" t="s">
        <v>239</v>
      </c>
      <c r="T270" t="s">
        <v>161</v>
      </c>
      <c r="U270">
        <v>3.8921922787116814E-2</v>
      </c>
      <c r="V270" t="s">
        <v>154</v>
      </c>
    </row>
    <row r="271" spans="9:22" x14ac:dyDescent="0.45">
      <c r="I271" t="s">
        <v>186</v>
      </c>
      <c r="J271" t="s">
        <v>162</v>
      </c>
      <c r="K271">
        <v>1.9623304064177415E-3</v>
      </c>
      <c r="L271" t="s">
        <v>154</v>
      </c>
      <c r="N271" t="s">
        <v>215</v>
      </c>
      <c r="O271" t="s">
        <v>162</v>
      </c>
      <c r="P271">
        <v>2.175870066316125E-2</v>
      </c>
      <c r="Q271" t="s">
        <v>154</v>
      </c>
      <c r="S271" t="s">
        <v>239</v>
      </c>
      <c r="T271" t="s">
        <v>162</v>
      </c>
      <c r="U271">
        <v>1.7477900977404363E-2</v>
      </c>
      <c r="V271" t="s">
        <v>154</v>
      </c>
    </row>
    <row r="272" spans="9:22" x14ac:dyDescent="0.45">
      <c r="I272" t="s">
        <v>186</v>
      </c>
      <c r="J272" t="s">
        <v>163</v>
      </c>
      <c r="K272">
        <v>0</v>
      </c>
      <c r="L272" t="s">
        <v>154</v>
      </c>
      <c r="N272" t="s">
        <v>215</v>
      </c>
      <c r="O272" t="s">
        <v>163</v>
      </c>
      <c r="P272">
        <v>1.1684111352566327E-2</v>
      </c>
      <c r="Q272" t="s">
        <v>154</v>
      </c>
      <c r="S272" t="s">
        <v>239</v>
      </c>
      <c r="T272" t="s">
        <v>163</v>
      </c>
      <c r="U272">
        <v>5.3900957046757333E-2</v>
      </c>
      <c r="V272" t="s">
        <v>154</v>
      </c>
    </row>
    <row r="273" spans="9:22" x14ac:dyDescent="0.45">
      <c r="I273" t="s">
        <v>186</v>
      </c>
      <c r="J273" t="s">
        <v>164</v>
      </c>
      <c r="K273">
        <v>0.13100686845501786</v>
      </c>
      <c r="L273" t="s">
        <v>154</v>
      </c>
      <c r="N273" t="s">
        <v>215</v>
      </c>
      <c r="O273" t="s">
        <v>164</v>
      </c>
      <c r="P273">
        <v>1.3661957567057903E-2</v>
      </c>
      <c r="Q273" t="s">
        <v>154</v>
      </c>
      <c r="S273" t="s">
        <v>239</v>
      </c>
      <c r="T273" t="s">
        <v>164</v>
      </c>
      <c r="U273">
        <v>8.2139322056551514E-2</v>
      </c>
      <c r="V273" t="s">
        <v>154</v>
      </c>
    </row>
    <row r="274" spans="9:22" x14ac:dyDescent="0.45">
      <c r="I274" t="s">
        <v>186</v>
      </c>
      <c r="J274" t="s">
        <v>165</v>
      </c>
      <c r="K274">
        <v>2.4480218382272093E-3</v>
      </c>
      <c r="L274" t="s">
        <v>154</v>
      </c>
      <c r="N274" t="s">
        <v>215</v>
      </c>
      <c r="O274" t="s">
        <v>165</v>
      </c>
      <c r="P274">
        <v>8.7546590600945332E-3</v>
      </c>
      <c r="Q274" t="s">
        <v>154</v>
      </c>
      <c r="S274" t="s">
        <v>239</v>
      </c>
      <c r="T274" t="s">
        <v>165</v>
      </c>
      <c r="U274">
        <v>3.1986610906897868E-2</v>
      </c>
      <c r="V274" t="s">
        <v>154</v>
      </c>
    </row>
    <row r="275" spans="9:22" x14ac:dyDescent="0.45">
      <c r="I275" t="s">
        <v>187</v>
      </c>
      <c r="J275" t="s">
        <v>153</v>
      </c>
      <c r="K275">
        <v>0</v>
      </c>
      <c r="L275" t="s">
        <v>154</v>
      </c>
      <c r="N275" t="s">
        <v>216</v>
      </c>
      <c r="O275" t="s">
        <v>153</v>
      </c>
      <c r="P275">
        <v>0.17614380543331659</v>
      </c>
      <c r="Q275" t="s">
        <v>154</v>
      </c>
      <c r="S275" t="s">
        <v>240</v>
      </c>
      <c r="T275" t="s">
        <v>153</v>
      </c>
      <c r="U275">
        <v>0.17415381437375835</v>
      </c>
      <c r="V275" t="s">
        <v>154</v>
      </c>
    </row>
    <row r="276" spans="9:22" x14ac:dyDescent="0.45">
      <c r="I276" t="s">
        <v>187</v>
      </c>
      <c r="J276" t="s">
        <v>155</v>
      </c>
      <c r="K276">
        <v>0.6514263236502803</v>
      </c>
      <c r="L276" t="s">
        <v>154</v>
      </c>
      <c r="N276" t="s">
        <v>216</v>
      </c>
      <c r="O276" t="s">
        <v>155</v>
      </c>
      <c r="P276">
        <v>0.32849277364269164</v>
      </c>
      <c r="Q276" t="s">
        <v>154</v>
      </c>
      <c r="S276" t="s">
        <v>240</v>
      </c>
      <c r="T276" t="s">
        <v>155</v>
      </c>
      <c r="U276">
        <v>0.26223142713913467</v>
      </c>
      <c r="V276" t="s">
        <v>154</v>
      </c>
    </row>
    <row r="277" spans="9:22" x14ac:dyDescent="0.45">
      <c r="I277" t="s">
        <v>187</v>
      </c>
      <c r="J277" t="s">
        <v>156</v>
      </c>
      <c r="K277">
        <v>2.3768260662104201E-2</v>
      </c>
      <c r="L277" t="s">
        <v>154</v>
      </c>
      <c r="N277" t="s">
        <v>216</v>
      </c>
      <c r="O277" t="s">
        <v>156</v>
      </c>
      <c r="P277">
        <v>0.1585799284818443</v>
      </c>
      <c r="Q277" t="s">
        <v>154</v>
      </c>
      <c r="S277" t="s">
        <v>240</v>
      </c>
      <c r="T277" t="s">
        <v>156</v>
      </c>
      <c r="U277">
        <v>0.14664122163058335</v>
      </c>
      <c r="V277" t="s">
        <v>154</v>
      </c>
    </row>
    <row r="278" spans="9:22" x14ac:dyDescent="0.45">
      <c r="I278" t="s">
        <v>187</v>
      </c>
      <c r="J278" t="s">
        <v>157</v>
      </c>
      <c r="K278">
        <v>0</v>
      </c>
      <c r="L278" t="s">
        <v>154</v>
      </c>
      <c r="N278" t="s">
        <v>216</v>
      </c>
      <c r="O278" t="s">
        <v>157</v>
      </c>
      <c r="P278">
        <v>3.55829122892697E-2</v>
      </c>
      <c r="Q278" t="s">
        <v>154</v>
      </c>
      <c r="S278" t="s">
        <v>240</v>
      </c>
      <c r="T278" t="s">
        <v>157</v>
      </c>
      <c r="U278">
        <v>5.5249683868621682E-2</v>
      </c>
      <c r="V278" t="s">
        <v>154</v>
      </c>
    </row>
    <row r="279" spans="9:22" x14ac:dyDescent="0.45">
      <c r="I279" t="s">
        <v>187</v>
      </c>
      <c r="J279" t="s">
        <v>158</v>
      </c>
      <c r="K279">
        <v>0.11542862455952382</v>
      </c>
      <c r="L279" t="s">
        <v>154</v>
      </c>
      <c r="N279" t="s">
        <v>216</v>
      </c>
      <c r="O279" t="s">
        <v>158</v>
      </c>
      <c r="P279">
        <v>8.127785437802941E-2</v>
      </c>
      <c r="Q279" t="s">
        <v>154</v>
      </c>
      <c r="S279" t="s">
        <v>240</v>
      </c>
      <c r="T279" t="s">
        <v>158</v>
      </c>
      <c r="U279">
        <v>8.8537222583827471E-2</v>
      </c>
      <c r="V279" t="s">
        <v>154</v>
      </c>
    </row>
    <row r="280" spans="9:22" x14ac:dyDescent="0.45">
      <c r="I280" t="s">
        <v>187</v>
      </c>
      <c r="J280" t="s">
        <v>159</v>
      </c>
      <c r="K280">
        <v>2.4028275491254866E-3</v>
      </c>
      <c r="L280" t="s">
        <v>154</v>
      </c>
      <c r="N280" t="s">
        <v>216</v>
      </c>
      <c r="O280" t="s">
        <v>159</v>
      </c>
      <c r="P280">
        <v>3.211440667185881E-2</v>
      </c>
      <c r="Q280" t="s">
        <v>154</v>
      </c>
      <c r="S280" t="s">
        <v>240</v>
      </c>
      <c r="T280" t="s">
        <v>159</v>
      </c>
      <c r="U280">
        <v>5.0822749384189514E-2</v>
      </c>
      <c r="V280" t="s">
        <v>154</v>
      </c>
    </row>
    <row r="281" spans="9:22" x14ac:dyDescent="0.45">
      <c r="I281" t="s">
        <v>187</v>
      </c>
      <c r="J281" t="s">
        <v>160</v>
      </c>
      <c r="K281">
        <v>0</v>
      </c>
      <c r="L281" t="s">
        <v>154</v>
      </c>
      <c r="N281" t="s">
        <v>216</v>
      </c>
      <c r="O281" t="s">
        <v>160</v>
      </c>
      <c r="P281">
        <v>1.9178528281091428E-2</v>
      </c>
      <c r="Q281" t="s">
        <v>154</v>
      </c>
      <c r="S281" t="s">
        <v>240</v>
      </c>
      <c r="T281" t="s">
        <v>160</v>
      </c>
      <c r="U281">
        <v>2.63880645917903E-2</v>
      </c>
      <c r="V281" t="s">
        <v>154</v>
      </c>
    </row>
    <row r="282" spans="9:22" x14ac:dyDescent="0.45">
      <c r="I282" t="s">
        <v>187</v>
      </c>
      <c r="J282" t="s">
        <v>161</v>
      </c>
      <c r="K282">
        <v>7.8910455243983837E-2</v>
      </c>
      <c r="L282" t="s">
        <v>154</v>
      </c>
      <c r="N282" t="s">
        <v>216</v>
      </c>
      <c r="O282" t="s">
        <v>161</v>
      </c>
      <c r="P282">
        <v>4.1393444535882513E-2</v>
      </c>
      <c r="Q282" t="s">
        <v>154</v>
      </c>
      <c r="S282" t="s">
        <v>240</v>
      </c>
      <c r="T282" t="s">
        <v>161</v>
      </c>
      <c r="U282">
        <v>3.8611683483134464E-2</v>
      </c>
      <c r="V282" t="s">
        <v>154</v>
      </c>
    </row>
    <row r="283" spans="9:22" x14ac:dyDescent="0.45">
      <c r="I283" t="s">
        <v>187</v>
      </c>
      <c r="J283" t="s">
        <v>162</v>
      </c>
      <c r="K283">
        <v>4.2947982764273973E-5</v>
      </c>
      <c r="L283" t="s">
        <v>154</v>
      </c>
      <c r="N283" t="s">
        <v>216</v>
      </c>
      <c r="O283" t="s">
        <v>162</v>
      </c>
      <c r="P283">
        <v>2.1829361779937009E-2</v>
      </c>
      <c r="Q283" t="s">
        <v>154</v>
      </c>
      <c r="S283" t="s">
        <v>240</v>
      </c>
      <c r="T283" t="s">
        <v>162</v>
      </c>
      <c r="U283">
        <v>2.3289871048130149E-2</v>
      </c>
      <c r="V283" t="s">
        <v>154</v>
      </c>
    </row>
    <row r="284" spans="9:22" x14ac:dyDescent="0.45">
      <c r="I284" t="s">
        <v>187</v>
      </c>
      <c r="J284" t="s">
        <v>163</v>
      </c>
      <c r="K284">
        <v>0</v>
      </c>
      <c r="L284" t="s">
        <v>154</v>
      </c>
      <c r="N284" t="s">
        <v>216</v>
      </c>
      <c r="O284" t="s">
        <v>163</v>
      </c>
      <c r="P284">
        <v>2.8105617231669176E-2</v>
      </c>
      <c r="Q284" t="s">
        <v>154</v>
      </c>
      <c r="S284" t="s">
        <v>240</v>
      </c>
      <c r="T284" t="s">
        <v>163</v>
      </c>
      <c r="U284">
        <v>4.260760090013694E-2</v>
      </c>
      <c r="V284" t="s">
        <v>154</v>
      </c>
    </row>
    <row r="285" spans="9:22" x14ac:dyDescent="0.45">
      <c r="I285" t="s">
        <v>187</v>
      </c>
      <c r="J285" t="s">
        <v>164</v>
      </c>
      <c r="K285">
        <v>0.12768304764771585</v>
      </c>
      <c r="L285" t="s">
        <v>154</v>
      </c>
      <c r="N285" t="s">
        <v>216</v>
      </c>
      <c r="O285" t="s">
        <v>164</v>
      </c>
      <c r="P285">
        <v>5.0129749956814955E-2</v>
      </c>
      <c r="Q285" t="s">
        <v>154</v>
      </c>
      <c r="S285" t="s">
        <v>240</v>
      </c>
      <c r="T285" t="s">
        <v>164</v>
      </c>
      <c r="U285">
        <v>5.850370648676638E-2</v>
      </c>
      <c r="V285" t="s">
        <v>154</v>
      </c>
    </row>
    <row r="286" spans="9:22" x14ac:dyDescent="0.45">
      <c r="I286" t="s">
        <v>187</v>
      </c>
      <c r="J286" t="s">
        <v>165</v>
      </c>
      <c r="K286">
        <v>3.3751270450424833E-4</v>
      </c>
      <c r="L286" t="s">
        <v>154</v>
      </c>
      <c r="N286" t="s">
        <v>216</v>
      </c>
      <c r="O286" t="s">
        <v>165</v>
      </c>
      <c r="P286">
        <v>2.7171617317596316E-2</v>
      </c>
      <c r="Q286" t="s">
        <v>154</v>
      </c>
      <c r="S286" t="s">
        <v>240</v>
      </c>
      <c r="T286" t="s">
        <v>165</v>
      </c>
      <c r="U286">
        <v>3.2962954509929851E-2</v>
      </c>
      <c r="V286" t="s">
        <v>154</v>
      </c>
    </row>
    <row r="287" spans="9:22" x14ac:dyDescent="0.45">
      <c r="I287" t="s">
        <v>188</v>
      </c>
      <c r="J287" t="s">
        <v>153</v>
      </c>
      <c r="K287">
        <v>3.7930655512245915E-5</v>
      </c>
      <c r="L287" t="s">
        <v>154</v>
      </c>
      <c r="N287" t="s">
        <v>217</v>
      </c>
      <c r="O287" t="s">
        <v>153</v>
      </c>
      <c r="P287">
        <v>0.16994360814654041</v>
      </c>
      <c r="Q287" t="s">
        <v>154</v>
      </c>
    </row>
    <row r="288" spans="9:22" x14ac:dyDescent="0.45">
      <c r="I288" t="s">
        <v>188</v>
      </c>
      <c r="J288" t="s">
        <v>155</v>
      </c>
      <c r="K288">
        <v>0.65673760007694071</v>
      </c>
      <c r="L288" t="s">
        <v>154</v>
      </c>
      <c r="N288" t="s">
        <v>217</v>
      </c>
      <c r="O288" t="s">
        <v>155</v>
      </c>
      <c r="P288">
        <v>0.32127372129603887</v>
      </c>
      <c r="Q288" t="s">
        <v>154</v>
      </c>
    </row>
    <row r="289" spans="9:17" x14ac:dyDescent="0.45">
      <c r="I289" t="s">
        <v>188</v>
      </c>
      <c r="J289" t="s">
        <v>156</v>
      </c>
      <c r="K289">
        <v>2.2168194170235429E-2</v>
      </c>
      <c r="L289" t="s">
        <v>154</v>
      </c>
      <c r="N289" t="s">
        <v>217</v>
      </c>
      <c r="O289" t="s">
        <v>156</v>
      </c>
      <c r="P289">
        <v>0.14894556186213684</v>
      </c>
      <c r="Q289" t="s">
        <v>154</v>
      </c>
    </row>
    <row r="290" spans="9:17" x14ac:dyDescent="0.45">
      <c r="I290" t="s">
        <v>188</v>
      </c>
      <c r="J290" t="s">
        <v>157</v>
      </c>
      <c r="K290">
        <v>0</v>
      </c>
      <c r="L290" t="s">
        <v>154</v>
      </c>
      <c r="N290" t="s">
        <v>217</v>
      </c>
      <c r="O290" t="s">
        <v>157</v>
      </c>
      <c r="P290">
        <v>3.92847117186437E-2</v>
      </c>
      <c r="Q290" t="s">
        <v>154</v>
      </c>
    </row>
    <row r="291" spans="9:17" x14ac:dyDescent="0.45">
      <c r="I291" t="s">
        <v>188</v>
      </c>
      <c r="J291" t="s">
        <v>158</v>
      </c>
      <c r="K291">
        <v>0.11884278757098307</v>
      </c>
      <c r="L291" t="s">
        <v>154</v>
      </c>
      <c r="N291" t="s">
        <v>217</v>
      </c>
      <c r="O291" t="s">
        <v>158</v>
      </c>
      <c r="P291">
        <v>8.2919068416290306E-2</v>
      </c>
      <c r="Q291" t="s">
        <v>154</v>
      </c>
    </row>
    <row r="292" spans="9:17" x14ac:dyDescent="0.45">
      <c r="I292" t="s">
        <v>188</v>
      </c>
      <c r="J292" t="s">
        <v>159</v>
      </c>
      <c r="K292">
        <v>2.4913091754844188E-3</v>
      </c>
      <c r="L292" t="s">
        <v>154</v>
      </c>
      <c r="N292" t="s">
        <v>217</v>
      </c>
      <c r="O292" t="s">
        <v>159</v>
      </c>
      <c r="P292">
        <v>3.3970238040695863E-2</v>
      </c>
      <c r="Q292" t="s">
        <v>154</v>
      </c>
    </row>
    <row r="293" spans="9:17" x14ac:dyDescent="0.45">
      <c r="I293" t="s">
        <v>188</v>
      </c>
      <c r="J293" t="s">
        <v>160</v>
      </c>
      <c r="K293">
        <v>0</v>
      </c>
      <c r="L293" t="s">
        <v>154</v>
      </c>
      <c r="N293" t="s">
        <v>217</v>
      </c>
      <c r="O293" t="s">
        <v>160</v>
      </c>
      <c r="P293">
        <v>1.8934709830057333E-2</v>
      </c>
      <c r="Q293" t="s">
        <v>154</v>
      </c>
    </row>
    <row r="294" spans="9:17" x14ac:dyDescent="0.45">
      <c r="I294" t="s">
        <v>188</v>
      </c>
      <c r="J294" t="s">
        <v>161</v>
      </c>
      <c r="K294">
        <v>7.7308828070243807E-2</v>
      </c>
      <c r="L294" t="s">
        <v>154</v>
      </c>
      <c r="N294" t="s">
        <v>217</v>
      </c>
      <c r="O294" t="s">
        <v>161</v>
      </c>
      <c r="P294">
        <v>3.2741077998621144E-2</v>
      </c>
      <c r="Q294" t="s">
        <v>154</v>
      </c>
    </row>
    <row r="295" spans="9:17" x14ac:dyDescent="0.45">
      <c r="I295" t="s">
        <v>188</v>
      </c>
      <c r="J295" t="s">
        <v>162</v>
      </c>
      <c r="K295">
        <v>0</v>
      </c>
      <c r="L295" t="s">
        <v>154</v>
      </c>
      <c r="N295" t="s">
        <v>217</v>
      </c>
      <c r="O295" t="s">
        <v>162</v>
      </c>
      <c r="P295">
        <v>1.7449250110161768E-2</v>
      </c>
      <c r="Q295" t="s">
        <v>154</v>
      </c>
    </row>
    <row r="296" spans="9:17" x14ac:dyDescent="0.45">
      <c r="I296" t="s">
        <v>188</v>
      </c>
      <c r="J296" t="s">
        <v>163</v>
      </c>
      <c r="K296">
        <v>0</v>
      </c>
      <c r="L296" t="s">
        <v>154</v>
      </c>
      <c r="N296" t="s">
        <v>217</v>
      </c>
      <c r="O296" t="s">
        <v>163</v>
      </c>
      <c r="P296">
        <v>3.8141889768016732E-2</v>
      </c>
      <c r="Q296" t="s">
        <v>154</v>
      </c>
    </row>
    <row r="297" spans="9:17" x14ac:dyDescent="0.45">
      <c r="I297" t="s">
        <v>188</v>
      </c>
      <c r="J297" t="s">
        <v>164</v>
      </c>
      <c r="K297">
        <v>0.12238997553565271</v>
      </c>
      <c r="L297" t="s">
        <v>154</v>
      </c>
      <c r="N297" t="s">
        <v>217</v>
      </c>
      <c r="O297" t="s">
        <v>164</v>
      </c>
      <c r="P297">
        <v>6.3715367473380788E-2</v>
      </c>
      <c r="Q297" t="s">
        <v>154</v>
      </c>
    </row>
    <row r="298" spans="9:17" x14ac:dyDescent="0.45">
      <c r="I298" t="s">
        <v>188</v>
      </c>
      <c r="J298" t="s">
        <v>165</v>
      </c>
      <c r="K298">
        <v>2.3374744948448519E-5</v>
      </c>
      <c r="L298" t="s">
        <v>154</v>
      </c>
      <c r="N298" t="s">
        <v>217</v>
      </c>
      <c r="O298" t="s">
        <v>165</v>
      </c>
      <c r="P298">
        <v>3.2680795339417222E-2</v>
      </c>
      <c r="Q298" t="s">
        <v>154</v>
      </c>
    </row>
    <row r="299" spans="9:17" x14ac:dyDescent="0.45">
      <c r="I299" t="s">
        <v>189</v>
      </c>
      <c r="J299" t="s">
        <v>153</v>
      </c>
      <c r="K299">
        <v>0</v>
      </c>
      <c r="L299" t="s">
        <v>154</v>
      </c>
    </row>
    <row r="300" spans="9:17" x14ac:dyDescent="0.45">
      <c r="I300" t="s">
        <v>189</v>
      </c>
      <c r="J300" t="s">
        <v>155</v>
      </c>
      <c r="K300">
        <v>0.65060974601263399</v>
      </c>
      <c r="L300" t="s">
        <v>154</v>
      </c>
    </row>
    <row r="301" spans="9:17" x14ac:dyDescent="0.45">
      <c r="I301" t="s">
        <v>189</v>
      </c>
      <c r="J301" t="s">
        <v>156</v>
      </c>
      <c r="K301">
        <v>2.1450934722885038E-2</v>
      </c>
      <c r="L301" t="s">
        <v>154</v>
      </c>
    </row>
    <row r="302" spans="9:17" x14ac:dyDescent="0.45">
      <c r="I302" t="s">
        <v>189</v>
      </c>
      <c r="J302" t="s">
        <v>157</v>
      </c>
      <c r="K302">
        <v>0</v>
      </c>
      <c r="L302" t="s">
        <v>154</v>
      </c>
    </row>
    <row r="303" spans="9:17" x14ac:dyDescent="0.45">
      <c r="I303" t="s">
        <v>189</v>
      </c>
      <c r="J303" t="s">
        <v>158</v>
      </c>
      <c r="K303">
        <v>0.11592536491288778</v>
      </c>
      <c r="L303" t="s">
        <v>154</v>
      </c>
    </row>
    <row r="304" spans="9:17" x14ac:dyDescent="0.45">
      <c r="I304" t="s">
        <v>189</v>
      </c>
      <c r="J304" t="s">
        <v>159</v>
      </c>
      <c r="K304">
        <v>2.385900050125382E-3</v>
      </c>
      <c r="L304" t="s">
        <v>154</v>
      </c>
    </row>
    <row r="305" spans="9:12" x14ac:dyDescent="0.45">
      <c r="I305" t="s">
        <v>189</v>
      </c>
      <c r="J305" t="s">
        <v>160</v>
      </c>
      <c r="K305">
        <v>0</v>
      </c>
      <c r="L305" t="s">
        <v>154</v>
      </c>
    </row>
    <row r="306" spans="9:12" x14ac:dyDescent="0.45">
      <c r="I306" t="s">
        <v>189</v>
      </c>
      <c r="J306" t="s">
        <v>161</v>
      </c>
      <c r="K306">
        <v>7.9767513128040812E-2</v>
      </c>
      <c r="L306" t="s">
        <v>154</v>
      </c>
    </row>
    <row r="307" spans="9:12" x14ac:dyDescent="0.45">
      <c r="I307" t="s">
        <v>189</v>
      </c>
      <c r="J307" t="s">
        <v>162</v>
      </c>
      <c r="K307">
        <v>6.6807350795245078E-5</v>
      </c>
      <c r="L307" t="s">
        <v>154</v>
      </c>
    </row>
    <row r="308" spans="9:12" x14ac:dyDescent="0.45">
      <c r="I308" t="s">
        <v>189</v>
      </c>
      <c r="J308" t="s">
        <v>163</v>
      </c>
      <c r="K308">
        <v>0</v>
      </c>
      <c r="L308" t="s">
        <v>154</v>
      </c>
    </row>
    <row r="309" spans="9:12" x14ac:dyDescent="0.45">
      <c r="I309" t="s">
        <v>189</v>
      </c>
      <c r="J309" t="s">
        <v>164</v>
      </c>
      <c r="K309">
        <v>0.12965452478930864</v>
      </c>
      <c r="L309" t="s">
        <v>154</v>
      </c>
    </row>
    <row r="310" spans="9:12" x14ac:dyDescent="0.45">
      <c r="I310" t="s">
        <v>189</v>
      </c>
      <c r="J310" t="s">
        <v>165</v>
      </c>
      <c r="K310">
        <v>1.392090333206963E-4</v>
      </c>
      <c r="L310" t="s">
        <v>154</v>
      </c>
    </row>
    <row r="311" spans="9:12" x14ac:dyDescent="0.45">
      <c r="I311" t="s">
        <v>190</v>
      </c>
      <c r="J311" t="s">
        <v>153</v>
      </c>
      <c r="K311">
        <v>2.2394744538167756E-4</v>
      </c>
      <c r="L311" t="s">
        <v>154</v>
      </c>
    </row>
    <row r="312" spans="9:12" x14ac:dyDescent="0.45">
      <c r="I312" t="s">
        <v>190</v>
      </c>
      <c r="J312" t="s">
        <v>155</v>
      </c>
      <c r="K312">
        <v>0.65469927765037916</v>
      </c>
      <c r="L312" t="s">
        <v>154</v>
      </c>
    </row>
    <row r="313" spans="9:12" x14ac:dyDescent="0.45">
      <c r="I313" t="s">
        <v>190</v>
      </c>
      <c r="J313" t="s">
        <v>156</v>
      </c>
      <c r="K313">
        <v>2.272142074279063E-2</v>
      </c>
      <c r="L313" t="s">
        <v>154</v>
      </c>
    </row>
    <row r="314" spans="9:12" x14ac:dyDescent="0.45">
      <c r="I314" t="s">
        <v>190</v>
      </c>
      <c r="J314" t="s">
        <v>157</v>
      </c>
      <c r="K314">
        <v>0</v>
      </c>
      <c r="L314" t="s">
        <v>154</v>
      </c>
    </row>
    <row r="315" spans="9:12" x14ac:dyDescent="0.45">
      <c r="I315" t="s">
        <v>190</v>
      </c>
      <c r="J315" t="s">
        <v>158</v>
      </c>
      <c r="K315">
        <v>0.1235004189357034</v>
      </c>
      <c r="L315" t="s">
        <v>154</v>
      </c>
    </row>
    <row r="316" spans="9:12" x14ac:dyDescent="0.45">
      <c r="I316" t="s">
        <v>190</v>
      </c>
      <c r="J316" t="s">
        <v>159</v>
      </c>
      <c r="K316">
        <v>2.5818785275312146E-3</v>
      </c>
      <c r="L316" t="s">
        <v>154</v>
      </c>
    </row>
    <row r="317" spans="9:12" x14ac:dyDescent="0.45">
      <c r="I317" t="s">
        <v>190</v>
      </c>
      <c r="J317" t="s">
        <v>160</v>
      </c>
      <c r="K317">
        <v>0</v>
      </c>
      <c r="L317" t="s">
        <v>154</v>
      </c>
    </row>
    <row r="318" spans="9:12" x14ac:dyDescent="0.45">
      <c r="I318" t="s">
        <v>190</v>
      </c>
      <c r="J318" t="s">
        <v>161</v>
      </c>
      <c r="K318">
        <v>7.6405915475293795E-2</v>
      </c>
      <c r="L318" t="s">
        <v>154</v>
      </c>
    </row>
    <row r="319" spans="9:12" x14ac:dyDescent="0.45">
      <c r="I319" t="s">
        <v>190</v>
      </c>
      <c r="J319" t="s">
        <v>162</v>
      </c>
      <c r="K319">
        <v>0</v>
      </c>
      <c r="L319" t="s">
        <v>154</v>
      </c>
    </row>
    <row r="320" spans="9:12" x14ac:dyDescent="0.45">
      <c r="I320" t="s">
        <v>190</v>
      </c>
      <c r="J320" t="s">
        <v>163</v>
      </c>
      <c r="K320">
        <v>0</v>
      </c>
      <c r="L320" t="s">
        <v>154</v>
      </c>
    </row>
    <row r="321" spans="9:12" x14ac:dyDescent="0.45">
      <c r="I321" t="s">
        <v>190</v>
      </c>
      <c r="J321" t="s">
        <v>164</v>
      </c>
      <c r="K321">
        <v>0.1198014359674785</v>
      </c>
      <c r="L321" t="s">
        <v>154</v>
      </c>
    </row>
    <row r="322" spans="9:12" x14ac:dyDescent="0.45">
      <c r="I322" t="s">
        <v>190</v>
      </c>
      <c r="J322" t="s">
        <v>165</v>
      </c>
      <c r="K322">
        <v>6.5705255445799789E-5</v>
      </c>
      <c r="L322" t="s">
        <v>154</v>
      </c>
    </row>
    <row r="323" spans="9:12" x14ac:dyDescent="0.45">
      <c r="I323" t="s">
        <v>191</v>
      </c>
      <c r="J323" t="s">
        <v>153</v>
      </c>
      <c r="K323">
        <v>2.3282573559907458E-3</v>
      </c>
      <c r="L323" t="s">
        <v>154</v>
      </c>
    </row>
    <row r="324" spans="9:12" x14ac:dyDescent="0.45">
      <c r="I324" t="s">
        <v>191</v>
      </c>
      <c r="J324" t="s">
        <v>155</v>
      </c>
      <c r="K324">
        <v>0.65584386376043668</v>
      </c>
      <c r="L324" t="s">
        <v>154</v>
      </c>
    </row>
    <row r="325" spans="9:12" x14ac:dyDescent="0.45">
      <c r="I325" t="s">
        <v>191</v>
      </c>
      <c r="J325" t="s">
        <v>156</v>
      </c>
      <c r="K325">
        <v>2.154910042028187E-2</v>
      </c>
      <c r="L325" t="s">
        <v>154</v>
      </c>
    </row>
    <row r="326" spans="9:12" x14ac:dyDescent="0.45">
      <c r="I326" t="s">
        <v>191</v>
      </c>
      <c r="J326" t="s">
        <v>157</v>
      </c>
      <c r="K326">
        <v>0</v>
      </c>
      <c r="L326" t="s">
        <v>154</v>
      </c>
    </row>
    <row r="327" spans="9:12" x14ac:dyDescent="0.45">
      <c r="I327" t="s">
        <v>191</v>
      </c>
      <c r="J327" t="s">
        <v>158</v>
      </c>
      <c r="K327">
        <v>0.12827074643145667</v>
      </c>
      <c r="L327" t="s">
        <v>154</v>
      </c>
    </row>
    <row r="328" spans="9:12" x14ac:dyDescent="0.45">
      <c r="I328" t="s">
        <v>191</v>
      </c>
      <c r="J328" t="s">
        <v>159</v>
      </c>
      <c r="K328">
        <v>2.2000030277635869E-3</v>
      </c>
      <c r="L328" t="s">
        <v>154</v>
      </c>
    </row>
    <row r="329" spans="9:12" x14ac:dyDescent="0.45">
      <c r="I329" t="s">
        <v>191</v>
      </c>
      <c r="J329" t="s">
        <v>160</v>
      </c>
      <c r="K329">
        <v>0</v>
      </c>
      <c r="L329" t="s">
        <v>154</v>
      </c>
    </row>
    <row r="330" spans="9:12" x14ac:dyDescent="0.45">
      <c r="I330" t="s">
        <v>191</v>
      </c>
      <c r="J330" t="s">
        <v>161</v>
      </c>
      <c r="K330">
        <v>7.5034791081017474E-2</v>
      </c>
      <c r="L330" t="s">
        <v>154</v>
      </c>
    </row>
    <row r="331" spans="9:12" x14ac:dyDescent="0.45">
      <c r="I331" t="s">
        <v>191</v>
      </c>
      <c r="J331" t="s">
        <v>162</v>
      </c>
      <c r="K331">
        <v>0</v>
      </c>
      <c r="L331" t="s">
        <v>154</v>
      </c>
    </row>
    <row r="332" spans="9:12" x14ac:dyDescent="0.45">
      <c r="I332" t="s">
        <v>191</v>
      </c>
      <c r="J332" t="s">
        <v>163</v>
      </c>
      <c r="K332">
        <v>0</v>
      </c>
      <c r="L332" t="s">
        <v>154</v>
      </c>
    </row>
    <row r="333" spans="9:12" x14ac:dyDescent="0.45">
      <c r="I333" t="s">
        <v>191</v>
      </c>
      <c r="J333" t="s">
        <v>164</v>
      </c>
      <c r="K333">
        <v>0.11477323792305279</v>
      </c>
      <c r="L333" t="s">
        <v>154</v>
      </c>
    </row>
    <row r="334" spans="9:12" x14ac:dyDescent="0.45">
      <c r="I334" t="s">
        <v>191</v>
      </c>
      <c r="J334" t="s">
        <v>165</v>
      </c>
      <c r="K334">
        <v>0</v>
      </c>
      <c r="L334" t="s">
        <v>154</v>
      </c>
    </row>
    <row r="335" spans="9:12" x14ac:dyDescent="0.45">
      <c r="I335" t="s">
        <v>192</v>
      </c>
      <c r="J335" t="s">
        <v>153</v>
      </c>
      <c r="K335">
        <v>4.1096061133184215E-3</v>
      </c>
      <c r="L335" t="s">
        <v>154</v>
      </c>
    </row>
    <row r="336" spans="9:12" x14ac:dyDescent="0.45">
      <c r="I336" t="s">
        <v>192</v>
      </c>
      <c r="J336" t="s">
        <v>155</v>
      </c>
      <c r="K336">
        <v>0.64689965309482689</v>
      </c>
      <c r="L336" t="s">
        <v>154</v>
      </c>
    </row>
    <row r="337" spans="9:12" x14ac:dyDescent="0.45">
      <c r="I337" t="s">
        <v>192</v>
      </c>
      <c r="J337" t="s">
        <v>156</v>
      </c>
      <c r="K337">
        <v>2.0919041236858584E-2</v>
      </c>
      <c r="L337" t="s">
        <v>154</v>
      </c>
    </row>
    <row r="338" spans="9:12" x14ac:dyDescent="0.45">
      <c r="I338" t="s">
        <v>192</v>
      </c>
      <c r="J338" t="s">
        <v>157</v>
      </c>
      <c r="K338">
        <v>0</v>
      </c>
      <c r="L338" t="s">
        <v>154</v>
      </c>
    </row>
    <row r="339" spans="9:12" x14ac:dyDescent="0.45">
      <c r="I339" t="s">
        <v>192</v>
      </c>
      <c r="J339" t="s">
        <v>158</v>
      </c>
      <c r="K339">
        <v>0.12972424624646817</v>
      </c>
      <c r="L339" t="s">
        <v>154</v>
      </c>
    </row>
    <row r="340" spans="9:12" x14ac:dyDescent="0.45">
      <c r="I340" t="s">
        <v>192</v>
      </c>
      <c r="J340" t="s">
        <v>159</v>
      </c>
      <c r="K340">
        <v>1.7117271576894176E-3</v>
      </c>
      <c r="L340" t="s">
        <v>154</v>
      </c>
    </row>
    <row r="341" spans="9:12" x14ac:dyDescent="0.45">
      <c r="I341" t="s">
        <v>192</v>
      </c>
      <c r="J341" t="s">
        <v>160</v>
      </c>
      <c r="K341">
        <v>0</v>
      </c>
      <c r="L341" t="s">
        <v>154</v>
      </c>
    </row>
    <row r="342" spans="9:12" x14ac:dyDescent="0.45">
      <c r="I342" t="s">
        <v>192</v>
      </c>
      <c r="J342" t="s">
        <v>161</v>
      </c>
      <c r="K342">
        <v>7.4887039362242613E-2</v>
      </c>
      <c r="L342" t="s">
        <v>154</v>
      </c>
    </row>
    <row r="343" spans="9:12" x14ac:dyDescent="0.45">
      <c r="I343" t="s">
        <v>192</v>
      </c>
      <c r="J343" t="s">
        <v>162</v>
      </c>
      <c r="K343">
        <v>0</v>
      </c>
      <c r="L343" t="s">
        <v>154</v>
      </c>
    </row>
    <row r="344" spans="9:12" x14ac:dyDescent="0.45">
      <c r="I344" t="s">
        <v>192</v>
      </c>
      <c r="J344" t="s">
        <v>163</v>
      </c>
      <c r="K344">
        <v>0</v>
      </c>
      <c r="L344" t="s">
        <v>154</v>
      </c>
    </row>
    <row r="345" spans="9:12" x14ac:dyDescent="0.45">
      <c r="I345" t="s">
        <v>192</v>
      </c>
      <c r="J345" t="s">
        <v>164</v>
      </c>
      <c r="K345">
        <v>0.12174868678859606</v>
      </c>
      <c r="L345" t="s">
        <v>154</v>
      </c>
    </row>
    <row r="346" spans="9:12" x14ac:dyDescent="0.45">
      <c r="I346" t="s">
        <v>192</v>
      </c>
      <c r="J346" t="s">
        <v>165</v>
      </c>
      <c r="K346">
        <v>0</v>
      </c>
      <c r="L346" t="s">
        <v>154</v>
      </c>
    </row>
    <row r="347" spans="9:12" x14ac:dyDescent="0.45">
      <c r="I347" t="s">
        <v>193</v>
      </c>
      <c r="J347" t="s">
        <v>153</v>
      </c>
      <c r="K347">
        <v>1.2897840522305482E-3</v>
      </c>
      <c r="L347" t="s">
        <v>154</v>
      </c>
    </row>
    <row r="348" spans="9:12" x14ac:dyDescent="0.45">
      <c r="I348" t="s">
        <v>193</v>
      </c>
      <c r="J348" t="s">
        <v>155</v>
      </c>
      <c r="K348">
        <v>0.63709876847756708</v>
      </c>
      <c r="L348" t="s">
        <v>154</v>
      </c>
    </row>
    <row r="349" spans="9:12" x14ac:dyDescent="0.45">
      <c r="I349" t="s">
        <v>193</v>
      </c>
      <c r="J349" t="s">
        <v>156</v>
      </c>
      <c r="K349">
        <v>2.139883432184489E-2</v>
      </c>
      <c r="L349" t="s">
        <v>154</v>
      </c>
    </row>
    <row r="350" spans="9:12" x14ac:dyDescent="0.45">
      <c r="I350" t="s">
        <v>193</v>
      </c>
      <c r="J350" t="s">
        <v>157</v>
      </c>
      <c r="K350">
        <v>0</v>
      </c>
      <c r="L350" t="s">
        <v>154</v>
      </c>
    </row>
    <row r="351" spans="9:12" x14ac:dyDescent="0.45">
      <c r="I351" t="s">
        <v>193</v>
      </c>
      <c r="J351" t="s">
        <v>158</v>
      </c>
      <c r="K351">
        <v>0.13077752459021841</v>
      </c>
      <c r="L351" t="s">
        <v>154</v>
      </c>
    </row>
    <row r="352" spans="9:12" x14ac:dyDescent="0.45">
      <c r="I352" t="s">
        <v>193</v>
      </c>
      <c r="J352" t="s">
        <v>159</v>
      </c>
      <c r="K352">
        <v>2.1377646707705709E-3</v>
      </c>
      <c r="L352" t="s">
        <v>154</v>
      </c>
    </row>
    <row r="353" spans="9:12" x14ac:dyDescent="0.45">
      <c r="I353" t="s">
        <v>193</v>
      </c>
      <c r="J353" t="s">
        <v>160</v>
      </c>
      <c r="K353">
        <v>0</v>
      </c>
      <c r="L353" t="s">
        <v>154</v>
      </c>
    </row>
    <row r="354" spans="9:12" x14ac:dyDescent="0.45">
      <c r="I354" t="s">
        <v>193</v>
      </c>
      <c r="J354" t="s">
        <v>161</v>
      </c>
      <c r="K354">
        <v>7.7676523135342582E-2</v>
      </c>
      <c r="L354" t="s">
        <v>154</v>
      </c>
    </row>
    <row r="355" spans="9:12" x14ac:dyDescent="0.45">
      <c r="I355" t="s">
        <v>193</v>
      </c>
      <c r="J355" t="s">
        <v>162</v>
      </c>
      <c r="K355">
        <v>0</v>
      </c>
      <c r="L355" t="s">
        <v>154</v>
      </c>
    </row>
    <row r="356" spans="9:12" x14ac:dyDescent="0.45">
      <c r="I356" t="s">
        <v>193</v>
      </c>
      <c r="J356" t="s">
        <v>163</v>
      </c>
      <c r="K356">
        <v>0</v>
      </c>
      <c r="L356" t="s">
        <v>154</v>
      </c>
    </row>
    <row r="357" spans="9:12" x14ac:dyDescent="0.45">
      <c r="I357" t="s">
        <v>193</v>
      </c>
      <c r="J357" t="s">
        <v>164</v>
      </c>
      <c r="K357">
        <v>0.12961202230699501</v>
      </c>
      <c r="L357" t="s">
        <v>154</v>
      </c>
    </row>
    <row r="358" spans="9:12" x14ac:dyDescent="0.45">
      <c r="I358" t="s">
        <v>193</v>
      </c>
      <c r="J358" t="s">
        <v>165</v>
      </c>
      <c r="K358">
        <v>8.7784450310337493E-6</v>
      </c>
      <c r="L358" t="s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D12B-FFB6-464A-AB5D-90378A54957F}">
  <dimension ref="A9:AN70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254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241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247</v>
      </c>
      <c r="AK10" t="s">
        <v>47</v>
      </c>
      <c r="AL10" t="s">
        <v>115</v>
      </c>
      <c r="AM10" t="s">
        <v>248</v>
      </c>
      <c r="AN10" t="s">
        <v>249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145</v>
      </c>
      <c r="G11" t="s">
        <v>143</v>
      </c>
      <c r="I11" t="s">
        <v>152</v>
      </c>
      <c r="J11" t="s">
        <v>153</v>
      </c>
      <c r="K11">
        <v>6.7256335235093157E-3</v>
      </c>
      <c r="L11" t="s">
        <v>154</v>
      </c>
      <c r="N11" t="s">
        <v>194</v>
      </c>
      <c r="O11" t="s">
        <v>153</v>
      </c>
      <c r="P11">
        <v>0.15167700171055809</v>
      </c>
      <c r="Q11" t="s">
        <v>154</v>
      </c>
      <c r="S11" t="s">
        <v>218</v>
      </c>
      <c r="T11" t="s">
        <v>153</v>
      </c>
      <c r="U11">
        <v>0.18646594686146978</v>
      </c>
      <c r="V11" t="s">
        <v>154</v>
      </c>
      <c r="X11">
        <v>0.18938356164383563</v>
      </c>
      <c r="Y11">
        <v>7.4791039952266131E-2</v>
      </c>
      <c r="Z11" t="s">
        <v>153</v>
      </c>
      <c r="AA11" t="s">
        <v>25</v>
      </c>
      <c r="AC11" t="s">
        <v>22</v>
      </c>
      <c r="AD11" t="s">
        <v>153</v>
      </c>
      <c r="AE11">
        <v>0.13273114382191817</v>
      </c>
      <c r="AG11" t="s">
        <v>96</v>
      </c>
      <c r="AH11" t="s">
        <v>153</v>
      </c>
      <c r="AI11">
        <v>0.34938176629727469</v>
      </c>
      <c r="AK11">
        <v>2020</v>
      </c>
      <c r="AL11" t="s">
        <v>142</v>
      </c>
      <c r="AM11">
        <v>0.22789999999999999</v>
      </c>
      <c r="AN11" t="s">
        <v>250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7.2992112542513726E-2</v>
      </c>
      <c r="L12" t="s">
        <v>154</v>
      </c>
      <c r="N12" t="s">
        <v>194</v>
      </c>
      <c r="O12" t="s">
        <v>155</v>
      </c>
      <c r="P12">
        <v>3.6324343306363929E-2</v>
      </c>
      <c r="Q12" t="s">
        <v>154</v>
      </c>
      <c r="S12" t="s">
        <v>218</v>
      </c>
      <c r="T12" t="s">
        <v>155</v>
      </c>
      <c r="U12">
        <v>5.3016624688604221E-2</v>
      </c>
      <c r="V12" t="s">
        <v>154</v>
      </c>
      <c r="X12">
        <v>5.410958904109589E-2</v>
      </c>
      <c r="Y12">
        <v>7.9740447007930787E-2</v>
      </c>
      <c r="Z12" t="s">
        <v>155</v>
      </c>
      <c r="AA12" t="s">
        <v>25</v>
      </c>
      <c r="AC12" t="s">
        <v>22</v>
      </c>
      <c r="AD12" t="s">
        <v>155</v>
      </c>
      <c r="AE12">
        <v>5.4431068615952129E-2</v>
      </c>
      <c r="AG12" t="s">
        <v>96</v>
      </c>
      <c r="AH12" t="s">
        <v>155</v>
      </c>
      <c r="AI12">
        <v>0.15574360317762648</v>
      </c>
      <c r="AK12">
        <v>2020</v>
      </c>
      <c r="AL12" t="s">
        <v>146</v>
      </c>
      <c r="AM12">
        <v>0.29503333333333331</v>
      </c>
      <c r="AN12" t="s">
        <v>250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0.51180296679434234</v>
      </c>
      <c r="L13" t="s">
        <v>154</v>
      </c>
      <c r="N13" t="s">
        <v>194</v>
      </c>
      <c r="O13" t="s">
        <v>156</v>
      </c>
      <c r="P13">
        <v>0.19265979767896874</v>
      </c>
      <c r="Q13" t="s">
        <v>154</v>
      </c>
      <c r="S13" t="s">
        <v>218</v>
      </c>
      <c r="T13" t="s">
        <v>156</v>
      </c>
      <c r="U13">
        <v>0.21315832690295475</v>
      </c>
      <c r="V13" t="s">
        <v>154</v>
      </c>
      <c r="X13">
        <v>0.21643835616438356</v>
      </c>
      <c r="Y13">
        <v>0.29916415980906452</v>
      </c>
      <c r="Z13" t="s">
        <v>156</v>
      </c>
      <c r="AA13" t="s">
        <v>25</v>
      </c>
      <c r="AC13" t="s">
        <v>22</v>
      </c>
      <c r="AD13" t="s">
        <v>156</v>
      </c>
      <c r="AE13">
        <v>0.25579389338646547</v>
      </c>
      <c r="AG13" t="s">
        <v>96</v>
      </c>
      <c r="AH13" t="s">
        <v>156</v>
      </c>
      <c r="AI13">
        <v>9.5289489501218405E-2</v>
      </c>
      <c r="AK13">
        <v>2020</v>
      </c>
      <c r="AL13" t="s">
        <v>148</v>
      </c>
      <c r="AM13">
        <v>0.34450000000000003</v>
      </c>
      <c r="AN13" t="s">
        <v>250</v>
      </c>
    </row>
    <row r="14" spans="1:40" x14ac:dyDescent="0.45">
      <c r="C14" t="s">
        <v>150</v>
      </c>
      <c r="E14" t="s">
        <v>251</v>
      </c>
      <c r="G14" t="s">
        <v>143</v>
      </c>
      <c r="I14" t="s">
        <v>152</v>
      </c>
      <c r="J14" t="s">
        <v>255</v>
      </c>
      <c r="K14">
        <v>3.3646501709249127E-2</v>
      </c>
      <c r="L14" t="s">
        <v>154</v>
      </c>
      <c r="N14" t="s">
        <v>194</v>
      </c>
      <c r="O14" t="s">
        <v>255</v>
      </c>
      <c r="P14">
        <v>2.6741755119231145E-2</v>
      </c>
      <c r="Q14" t="s">
        <v>154</v>
      </c>
      <c r="S14" t="s">
        <v>218</v>
      </c>
      <c r="T14" t="s">
        <v>255</v>
      </c>
      <c r="U14">
        <v>2.3496006151304202E-2</v>
      </c>
      <c r="V14" t="s">
        <v>154</v>
      </c>
      <c r="X14">
        <v>2.7054794520547945E-2</v>
      </c>
      <c r="Y14">
        <v>5.2636551226909987E-2</v>
      </c>
      <c r="Z14" t="s">
        <v>255</v>
      </c>
      <c r="AA14" t="s">
        <v>25</v>
      </c>
      <c r="AC14" t="s">
        <v>22</v>
      </c>
      <c r="AD14" t="s">
        <v>255</v>
      </c>
      <c r="AE14">
        <v>3.1891629037646051E-2</v>
      </c>
      <c r="AG14" t="s">
        <v>96</v>
      </c>
      <c r="AH14" t="s">
        <v>255</v>
      </c>
      <c r="AI14">
        <v>8.6047025969881341E-2</v>
      </c>
      <c r="AK14">
        <v>2020</v>
      </c>
      <c r="AL14" t="s">
        <v>150</v>
      </c>
      <c r="AM14">
        <v>0.38205</v>
      </c>
      <c r="AN14" t="s">
        <v>250</v>
      </c>
    </row>
    <row r="15" spans="1:40" x14ac:dyDescent="0.45">
      <c r="E15" t="s">
        <v>252</v>
      </c>
      <c r="G15" t="s">
        <v>143</v>
      </c>
      <c r="I15" t="s">
        <v>152</v>
      </c>
      <c r="J15" t="s">
        <v>256</v>
      </c>
      <c r="K15">
        <v>2.0174608491864979E-2</v>
      </c>
      <c r="L15" t="s">
        <v>154</v>
      </c>
      <c r="N15" t="s">
        <v>194</v>
      </c>
      <c r="O15" t="s">
        <v>256</v>
      </c>
      <c r="P15">
        <v>2.2619746030630536E-2</v>
      </c>
      <c r="Q15" t="s">
        <v>154</v>
      </c>
      <c r="S15" t="s">
        <v>218</v>
      </c>
      <c r="T15" t="s">
        <v>256</v>
      </c>
      <c r="U15">
        <v>2.3794737889001983E-2</v>
      </c>
      <c r="V15" t="s">
        <v>154</v>
      </c>
      <c r="X15">
        <v>2.7054794520547945E-2</v>
      </c>
      <c r="Y15">
        <v>4.0852248713422662E-2</v>
      </c>
      <c r="Z15" t="s">
        <v>256</v>
      </c>
      <c r="AA15" t="s">
        <v>25</v>
      </c>
      <c r="AC15" t="s">
        <v>22</v>
      </c>
      <c r="AD15" t="s">
        <v>256</v>
      </c>
      <c r="AE15">
        <v>3.7245779372241189E-2</v>
      </c>
      <c r="AG15" t="s">
        <v>96</v>
      </c>
      <c r="AH15" t="s">
        <v>256</v>
      </c>
      <c r="AI15">
        <v>9.7004877867604256E-2</v>
      </c>
      <c r="AK15">
        <v>2021</v>
      </c>
      <c r="AL15" t="s">
        <v>142</v>
      </c>
      <c r="AM15">
        <v>0.31198750000000003</v>
      </c>
      <c r="AN15" t="s">
        <v>250</v>
      </c>
    </row>
    <row r="16" spans="1:40" x14ac:dyDescent="0.45">
      <c r="E16" t="s">
        <v>253</v>
      </c>
      <c r="G16" t="s">
        <v>143</v>
      </c>
      <c r="I16" t="s">
        <v>152</v>
      </c>
      <c r="J16" t="s">
        <v>257</v>
      </c>
      <c r="K16">
        <v>0</v>
      </c>
      <c r="L16" t="s">
        <v>154</v>
      </c>
      <c r="N16" t="s">
        <v>194</v>
      </c>
      <c r="O16" t="s">
        <v>257</v>
      </c>
      <c r="P16">
        <v>0.12099996743194945</v>
      </c>
      <c r="Q16" t="s">
        <v>154</v>
      </c>
      <c r="S16" t="s">
        <v>218</v>
      </c>
      <c r="T16" t="s">
        <v>257</v>
      </c>
      <c r="U16">
        <v>0.12714405149060706</v>
      </c>
      <c r="V16" t="s">
        <v>154</v>
      </c>
      <c r="X16">
        <v>0.13527397260273974</v>
      </c>
      <c r="Y16">
        <v>0.10213062178355667</v>
      </c>
      <c r="Z16" t="s">
        <v>257</v>
      </c>
      <c r="AA16" t="s">
        <v>25</v>
      </c>
      <c r="AC16" t="s">
        <v>22</v>
      </c>
      <c r="AD16" t="s">
        <v>257</v>
      </c>
      <c r="AE16">
        <v>0.14618500369615148</v>
      </c>
      <c r="AG16" t="s">
        <v>96</v>
      </c>
      <c r="AH16" t="s">
        <v>257</v>
      </c>
      <c r="AI16">
        <v>0.32023656382465471</v>
      </c>
      <c r="AK16">
        <v>2021</v>
      </c>
      <c r="AL16" t="s">
        <v>146</v>
      </c>
      <c r="AM16">
        <v>0.4528666666666667</v>
      </c>
      <c r="AN16" t="s">
        <v>250</v>
      </c>
    </row>
    <row r="17" spans="9:40" x14ac:dyDescent="0.45">
      <c r="I17" t="s">
        <v>152</v>
      </c>
      <c r="J17" t="s">
        <v>157</v>
      </c>
      <c r="K17">
        <v>2.9138751692925184E-4</v>
      </c>
      <c r="L17" t="s">
        <v>154</v>
      </c>
      <c r="N17" t="s">
        <v>194</v>
      </c>
      <c r="O17" t="s">
        <v>157</v>
      </c>
      <c r="P17">
        <v>2.7127771661399281E-2</v>
      </c>
      <c r="Q17" t="s">
        <v>154</v>
      </c>
      <c r="S17" t="s">
        <v>218</v>
      </c>
      <c r="T17" t="s">
        <v>157</v>
      </c>
      <c r="U17">
        <v>5.4685698180737388E-2</v>
      </c>
      <c r="V17" t="s">
        <v>154</v>
      </c>
      <c r="X17">
        <v>4.1552511415525115E-2</v>
      </c>
      <c r="Y17">
        <v>1.6409848428345312E-2</v>
      </c>
      <c r="Z17" t="s">
        <v>157</v>
      </c>
      <c r="AA17" t="s">
        <v>25</v>
      </c>
      <c r="AC17" t="s">
        <v>22</v>
      </c>
      <c r="AD17" t="s">
        <v>157</v>
      </c>
      <c r="AE17">
        <v>2.6773343211781087E-2</v>
      </c>
      <c r="AG17" t="s">
        <v>96</v>
      </c>
      <c r="AH17" t="s">
        <v>157</v>
      </c>
      <c r="AI17">
        <v>0.21401082004765537</v>
      </c>
      <c r="AK17">
        <v>2021</v>
      </c>
      <c r="AL17" t="s">
        <v>148</v>
      </c>
      <c r="AM17">
        <v>0.42710000000000004</v>
      </c>
      <c r="AN17" t="s">
        <v>250</v>
      </c>
    </row>
    <row r="18" spans="9:40" x14ac:dyDescent="0.45">
      <c r="I18" t="s">
        <v>152</v>
      </c>
      <c r="J18" t="s">
        <v>158</v>
      </c>
      <c r="K18">
        <v>1.8482975020190369E-2</v>
      </c>
      <c r="L18" t="s">
        <v>154</v>
      </c>
      <c r="N18" t="s">
        <v>194</v>
      </c>
      <c r="O18" t="s">
        <v>158</v>
      </c>
      <c r="P18">
        <v>7.3630940373042566E-3</v>
      </c>
      <c r="Q18" t="s">
        <v>154</v>
      </c>
      <c r="S18" t="s">
        <v>218</v>
      </c>
      <c r="T18" t="s">
        <v>158</v>
      </c>
      <c r="U18">
        <v>1.5840777474848775E-2</v>
      </c>
      <c r="V18" t="s">
        <v>154</v>
      </c>
      <c r="X18">
        <v>1.1872146118721462E-2</v>
      </c>
      <c r="Y18">
        <v>1.7495794280221102E-2</v>
      </c>
      <c r="Z18" t="s">
        <v>158</v>
      </c>
      <c r="AA18" t="s">
        <v>25</v>
      </c>
      <c r="AC18" t="s">
        <v>22</v>
      </c>
      <c r="AD18" t="s">
        <v>158</v>
      </c>
      <c r="AE18">
        <v>1.1856053783047231E-2</v>
      </c>
      <c r="AG18" t="s">
        <v>96</v>
      </c>
      <c r="AH18" t="s">
        <v>158</v>
      </c>
      <c r="AI18">
        <v>0.12789000462728084</v>
      </c>
      <c r="AK18">
        <v>2021</v>
      </c>
      <c r="AL18" t="s">
        <v>150</v>
      </c>
      <c r="AM18">
        <v>0.3654</v>
      </c>
      <c r="AN18" t="s">
        <v>250</v>
      </c>
    </row>
    <row r="19" spans="9:40" x14ac:dyDescent="0.45">
      <c r="I19" t="s">
        <v>152</v>
      </c>
      <c r="J19" t="s">
        <v>159</v>
      </c>
      <c r="K19">
        <v>0.12298271992062416</v>
      </c>
      <c r="L19" t="s">
        <v>154</v>
      </c>
      <c r="N19" t="s">
        <v>194</v>
      </c>
      <c r="O19" t="s">
        <v>159</v>
      </c>
      <c r="P19">
        <v>3.6413129871210051E-2</v>
      </c>
      <c r="Q19" t="s">
        <v>154</v>
      </c>
      <c r="S19" t="s">
        <v>218</v>
      </c>
      <c r="T19" t="s">
        <v>159</v>
      </c>
      <c r="U19">
        <v>6.652044459560201E-2</v>
      </c>
      <c r="V19" t="s">
        <v>154</v>
      </c>
      <c r="X19">
        <v>4.7488584474885846E-2</v>
      </c>
      <c r="Y19">
        <v>6.5639393713381233E-2</v>
      </c>
      <c r="Z19" t="s">
        <v>159</v>
      </c>
      <c r="AA19" t="s">
        <v>25</v>
      </c>
      <c r="AC19" t="s">
        <v>22</v>
      </c>
      <c r="AD19" t="s">
        <v>159</v>
      </c>
      <c r="AE19">
        <v>5.46814554005172E-2</v>
      </c>
      <c r="AG19" t="s">
        <v>96</v>
      </c>
      <c r="AH19" t="s">
        <v>159</v>
      </c>
      <c r="AI19">
        <v>5.5945347491656916E-2</v>
      </c>
      <c r="AK19">
        <v>2022</v>
      </c>
      <c r="AL19" t="s">
        <v>142</v>
      </c>
      <c r="AM19">
        <v>0.35178749999999998</v>
      </c>
      <c r="AN19" t="s">
        <v>250</v>
      </c>
    </row>
    <row r="20" spans="9:40" x14ac:dyDescent="0.45">
      <c r="I20" t="s">
        <v>152</v>
      </c>
      <c r="J20" t="s">
        <v>258</v>
      </c>
      <c r="K20">
        <v>6.5688079462027779E-3</v>
      </c>
      <c r="L20" t="s">
        <v>154</v>
      </c>
      <c r="N20" t="s">
        <v>194</v>
      </c>
      <c r="O20" t="s">
        <v>258</v>
      </c>
      <c r="P20">
        <v>4.7681653465346911E-3</v>
      </c>
      <c r="Q20" t="s">
        <v>154</v>
      </c>
      <c r="S20" t="s">
        <v>218</v>
      </c>
      <c r="T20" t="s">
        <v>258</v>
      </c>
      <c r="U20">
        <v>7.5201645858480387E-3</v>
      </c>
      <c r="V20" t="s">
        <v>154</v>
      </c>
      <c r="X20">
        <v>5.9360730593607308E-3</v>
      </c>
      <c r="Y20">
        <v>1.154894794852033E-2</v>
      </c>
      <c r="Z20" t="s">
        <v>258</v>
      </c>
      <c r="AA20" t="s">
        <v>25</v>
      </c>
      <c r="AC20" t="s">
        <v>22</v>
      </c>
      <c r="AD20" t="s">
        <v>258</v>
      </c>
      <c r="AE20">
        <v>6.9071996415680939E-3</v>
      </c>
      <c r="AG20" t="s">
        <v>96</v>
      </c>
      <c r="AH20" t="s">
        <v>258</v>
      </c>
      <c r="AI20">
        <v>4.4252977745550703E-2</v>
      </c>
      <c r="AK20">
        <v>2022</v>
      </c>
      <c r="AL20" t="s">
        <v>146</v>
      </c>
      <c r="AM20">
        <v>0.4531</v>
      </c>
      <c r="AN20" t="s">
        <v>250</v>
      </c>
    </row>
    <row r="21" spans="9:40" x14ac:dyDescent="0.45">
      <c r="I21" t="s">
        <v>152</v>
      </c>
      <c r="J21" t="s">
        <v>259</v>
      </c>
      <c r="K21">
        <v>2.033472823981352E-3</v>
      </c>
      <c r="L21" t="s">
        <v>154</v>
      </c>
      <c r="N21" t="s">
        <v>194</v>
      </c>
      <c r="O21" t="s">
        <v>259</v>
      </c>
      <c r="P21">
        <v>4.5326562315723563E-3</v>
      </c>
      <c r="Q21" t="s">
        <v>154</v>
      </c>
      <c r="S21" t="s">
        <v>218</v>
      </c>
      <c r="T21" t="s">
        <v>259</v>
      </c>
      <c r="U21">
        <v>7.229891360981424E-3</v>
      </c>
      <c r="V21" t="s">
        <v>154</v>
      </c>
      <c r="X21">
        <v>5.9360730593607308E-3</v>
      </c>
      <c r="Y21">
        <v>8.9633625869113068E-3</v>
      </c>
      <c r="Z21" t="s">
        <v>259</v>
      </c>
      <c r="AA21" t="s">
        <v>25</v>
      </c>
      <c r="AC21" t="s">
        <v>22</v>
      </c>
      <c r="AD21" t="s">
        <v>259</v>
      </c>
      <c r="AE21">
        <v>8.3730825696562098E-3</v>
      </c>
      <c r="AG21" t="s">
        <v>96</v>
      </c>
      <c r="AH21" t="s">
        <v>259</v>
      </c>
      <c r="AI21">
        <v>6.4466172124275856E-2</v>
      </c>
      <c r="AK21">
        <v>2022</v>
      </c>
      <c r="AL21" t="s">
        <v>148</v>
      </c>
      <c r="AM21">
        <v>0.43845000000000001</v>
      </c>
      <c r="AN21" t="s">
        <v>250</v>
      </c>
    </row>
    <row r="22" spans="9:40" x14ac:dyDescent="0.45">
      <c r="I22" t="s">
        <v>152</v>
      </c>
      <c r="J22" t="s">
        <v>260</v>
      </c>
      <c r="K22">
        <v>0</v>
      </c>
      <c r="L22" t="s">
        <v>154</v>
      </c>
      <c r="N22" t="s">
        <v>194</v>
      </c>
      <c r="O22" t="s">
        <v>260</v>
      </c>
      <c r="P22">
        <v>2.2442769858160055E-2</v>
      </c>
      <c r="Q22" t="s">
        <v>154</v>
      </c>
      <c r="S22" t="s">
        <v>218</v>
      </c>
      <c r="T22" t="s">
        <v>260</v>
      </c>
      <c r="U22">
        <v>3.6444638065499919E-2</v>
      </c>
      <c r="V22" t="s">
        <v>154</v>
      </c>
      <c r="X22">
        <v>2.9680365296803651E-2</v>
      </c>
      <c r="Y22">
        <v>2.240840646727826E-2</v>
      </c>
      <c r="Z22" t="s">
        <v>260</v>
      </c>
      <c r="AA22" t="s">
        <v>25</v>
      </c>
      <c r="AC22" t="s">
        <v>22</v>
      </c>
      <c r="AD22" t="s">
        <v>260</v>
      </c>
      <c r="AE22">
        <v>3.0553348930109678E-2</v>
      </c>
      <c r="AG22" t="s">
        <v>96</v>
      </c>
      <c r="AH22" t="s">
        <v>260</v>
      </c>
      <c r="AI22">
        <v>0.35317077404639696</v>
      </c>
      <c r="AK22">
        <v>2022</v>
      </c>
      <c r="AL22" t="s">
        <v>150</v>
      </c>
      <c r="AM22">
        <v>0.40529999999999999</v>
      </c>
      <c r="AN22" t="s">
        <v>250</v>
      </c>
    </row>
    <row r="23" spans="9:40" x14ac:dyDescent="0.45">
      <c r="I23" t="s">
        <v>152</v>
      </c>
      <c r="J23" t="s">
        <v>160</v>
      </c>
      <c r="K23">
        <v>1.6773747219454588E-4</v>
      </c>
      <c r="L23" t="s">
        <v>154</v>
      </c>
      <c r="N23" t="s">
        <v>194</v>
      </c>
      <c r="O23" t="s">
        <v>160</v>
      </c>
      <c r="P23">
        <v>3.3520522844827337E-2</v>
      </c>
      <c r="Q23" t="s">
        <v>154</v>
      </c>
      <c r="S23" t="s">
        <v>218</v>
      </c>
      <c r="T23" t="s">
        <v>160</v>
      </c>
      <c r="U23">
        <v>7.7392956829450011E-3</v>
      </c>
      <c r="V23" t="s">
        <v>154</v>
      </c>
      <c r="X23">
        <v>2.1575342465753426E-2</v>
      </c>
      <c r="Y23">
        <v>8.5204982224100657E-3</v>
      </c>
      <c r="Z23" t="s">
        <v>160</v>
      </c>
      <c r="AA23" t="s">
        <v>25</v>
      </c>
      <c r="AC23" t="s">
        <v>22</v>
      </c>
      <c r="AD23" t="s">
        <v>160</v>
      </c>
      <c r="AE23">
        <v>1.4079703499875664E-2</v>
      </c>
      <c r="AG23" t="s">
        <v>96</v>
      </c>
      <c r="AH23" t="s">
        <v>160</v>
      </c>
      <c r="AI23">
        <v>0.19818064662851076</v>
      </c>
      <c r="AK23">
        <v>2025</v>
      </c>
      <c r="AL23" t="s">
        <v>142</v>
      </c>
      <c r="AM23">
        <v>0.2951375</v>
      </c>
      <c r="AN23" t="s">
        <v>250</v>
      </c>
    </row>
    <row r="24" spans="9:40" x14ac:dyDescent="0.45">
      <c r="I24" t="s">
        <v>152</v>
      </c>
      <c r="J24" t="s">
        <v>161</v>
      </c>
      <c r="K24">
        <v>9.6104286549953087E-3</v>
      </c>
      <c r="L24" t="s">
        <v>154</v>
      </c>
      <c r="N24" t="s">
        <v>194</v>
      </c>
      <c r="O24" t="s">
        <v>161</v>
      </c>
      <c r="P24">
        <v>8.8629381857776614E-3</v>
      </c>
      <c r="Q24" t="s">
        <v>154</v>
      </c>
      <c r="S24" t="s">
        <v>218</v>
      </c>
      <c r="T24" t="s">
        <v>161</v>
      </c>
      <c r="U24">
        <v>2.3212823835151264E-3</v>
      </c>
      <c r="V24" t="s">
        <v>154</v>
      </c>
      <c r="X24">
        <v>6.1643835616438354E-3</v>
      </c>
      <c r="Y24">
        <v>9.0843547224224962E-3</v>
      </c>
      <c r="Z24" t="s">
        <v>161</v>
      </c>
      <c r="AA24" t="s">
        <v>25</v>
      </c>
      <c r="AC24" t="s">
        <v>22</v>
      </c>
      <c r="AD24" t="s">
        <v>161</v>
      </c>
      <c r="AE24">
        <v>6.129652510718106E-3</v>
      </c>
      <c r="AG24" t="s">
        <v>96</v>
      </c>
      <c r="AH24" t="s">
        <v>161</v>
      </c>
      <c r="AI24">
        <v>0.12691764854679821</v>
      </c>
      <c r="AK24">
        <v>2025</v>
      </c>
      <c r="AL24" t="s">
        <v>146</v>
      </c>
      <c r="AM24">
        <v>0.37109999999999999</v>
      </c>
      <c r="AN24" t="s">
        <v>250</v>
      </c>
    </row>
    <row r="25" spans="9:40" x14ac:dyDescent="0.45">
      <c r="I25" t="s">
        <v>152</v>
      </c>
      <c r="J25" t="s">
        <v>162</v>
      </c>
      <c r="K25">
        <v>5.7830351991976656E-2</v>
      </c>
      <c r="L25" t="s">
        <v>154</v>
      </c>
      <c r="N25" t="s">
        <v>194</v>
      </c>
      <c r="O25" t="s">
        <v>162</v>
      </c>
      <c r="P25">
        <v>4.3963261039059218E-2</v>
      </c>
      <c r="Q25" t="s">
        <v>154</v>
      </c>
      <c r="S25" t="s">
        <v>218</v>
      </c>
      <c r="T25" t="s">
        <v>162</v>
      </c>
      <c r="U25">
        <v>8.2822008754492669E-3</v>
      </c>
      <c r="V25" t="s">
        <v>154</v>
      </c>
      <c r="X25">
        <v>2.4657534246575342E-2</v>
      </c>
      <c r="Y25">
        <v>3.4081992889640263E-2</v>
      </c>
      <c r="Z25" t="s">
        <v>162</v>
      </c>
      <c r="AA25" t="s">
        <v>25</v>
      </c>
      <c r="AC25" t="s">
        <v>22</v>
      </c>
      <c r="AD25" t="s">
        <v>162</v>
      </c>
      <c r="AE25">
        <v>2.8589613083998201E-2</v>
      </c>
      <c r="AG25" t="s">
        <v>96</v>
      </c>
      <c r="AH25" t="s">
        <v>162</v>
      </c>
      <c r="AI25">
        <v>5.2779451809289224E-2</v>
      </c>
      <c r="AK25">
        <v>2025</v>
      </c>
      <c r="AL25" t="s">
        <v>148</v>
      </c>
      <c r="AM25">
        <v>0.34094999999999998</v>
      </c>
      <c r="AN25" t="s">
        <v>250</v>
      </c>
    </row>
    <row r="26" spans="9:40" x14ac:dyDescent="0.45">
      <c r="I26" t="s">
        <v>152</v>
      </c>
      <c r="J26" t="s">
        <v>261</v>
      </c>
      <c r="K26">
        <v>2.9386022613156187E-3</v>
      </c>
      <c r="L26" t="s">
        <v>154</v>
      </c>
      <c r="N26" t="s">
        <v>194</v>
      </c>
      <c r="O26" t="s">
        <v>261</v>
      </c>
      <c r="P26">
        <v>5.4231844887652168E-3</v>
      </c>
      <c r="Q26" t="s">
        <v>154</v>
      </c>
      <c r="S26" t="s">
        <v>218</v>
      </c>
      <c r="T26" t="s">
        <v>261</v>
      </c>
      <c r="U26">
        <v>9.3687369190843534E-4</v>
      </c>
      <c r="V26" t="s">
        <v>154</v>
      </c>
      <c r="X26">
        <v>3.0821917808219177E-3</v>
      </c>
      <c r="Y26">
        <v>5.9965691271163281E-3</v>
      </c>
      <c r="Z26" t="s">
        <v>261</v>
      </c>
      <c r="AA26" t="s">
        <v>25</v>
      </c>
      <c r="AC26" t="s">
        <v>22</v>
      </c>
      <c r="AD26" t="s">
        <v>261</v>
      </c>
      <c r="AE26">
        <v>3.5990845438027708E-3</v>
      </c>
      <c r="AG26" t="s">
        <v>96</v>
      </c>
      <c r="AH26" t="s">
        <v>261</v>
      </c>
      <c r="AI26">
        <v>4.1649915368601187E-2</v>
      </c>
      <c r="AK26">
        <v>2025</v>
      </c>
      <c r="AL26" t="s">
        <v>150</v>
      </c>
      <c r="AM26">
        <v>0.28625</v>
      </c>
      <c r="AN26" t="s">
        <v>250</v>
      </c>
    </row>
    <row r="27" spans="9:40" x14ac:dyDescent="0.45">
      <c r="I27" t="s">
        <v>152</v>
      </c>
      <c r="J27" t="s">
        <v>262</v>
      </c>
      <c r="K27">
        <v>0</v>
      </c>
      <c r="L27" t="s">
        <v>154</v>
      </c>
      <c r="N27" t="s">
        <v>194</v>
      </c>
      <c r="O27" t="s">
        <v>262</v>
      </c>
      <c r="P27">
        <v>4.5100621101815778E-3</v>
      </c>
      <c r="Q27" t="s">
        <v>154</v>
      </c>
      <c r="S27" t="s">
        <v>218</v>
      </c>
      <c r="T27" t="s">
        <v>262</v>
      </c>
      <c r="U27">
        <v>1.0472410433466652E-3</v>
      </c>
      <c r="V27" t="s">
        <v>154</v>
      </c>
      <c r="X27">
        <v>3.0821917808219177E-3</v>
      </c>
      <c r="Y27">
        <v>4.6540536508962536E-3</v>
      </c>
      <c r="Z27" t="s">
        <v>262</v>
      </c>
      <c r="AA27" t="s">
        <v>25</v>
      </c>
      <c r="AC27" t="s">
        <v>22</v>
      </c>
      <c r="AD27" t="s">
        <v>262</v>
      </c>
      <c r="AE27">
        <v>4.3170058680696809E-3</v>
      </c>
      <c r="AG27" t="s">
        <v>96</v>
      </c>
      <c r="AH27" t="s">
        <v>262</v>
      </c>
      <c r="AI27">
        <v>5.3827361199815904E-2</v>
      </c>
      <c r="AK27">
        <v>2026</v>
      </c>
      <c r="AL27" t="s">
        <v>142</v>
      </c>
      <c r="AM27">
        <v>0.35625000000000001</v>
      </c>
      <c r="AN27" t="s">
        <v>250</v>
      </c>
    </row>
    <row r="28" spans="9:40" x14ac:dyDescent="0.45">
      <c r="I28" t="s">
        <v>152</v>
      </c>
      <c r="J28" t="s">
        <v>263</v>
      </c>
      <c r="K28">
        <v>0</v>
      </c>
      <c r="L28" t="s">
        <v>154</v>
      </c>
      <c r="N28" t="s">
        <v>194</v>
      </c>
      <c r="O28" t="s">
        <v>263</v>
      </c>
      <c r="P28">
        <v>2.4507127971641993E-2</v>
      </c>
      <c r="Q28" t="s">
        <v>154</v>
      </c>
      <c r="S28" t="s">
        <v>218</v>
      </c>
      <c r="T28" t="s">
        <v>263</v>
      </c>
      <c r="U28">
        <v>5.5536236540794977E-3</v>
      </c>
      <c r="V28" t="s">
        <v>154</v>
      </c>
      <c r="X28">
        <v>1.5410958904109588E-2</v>
      </c>
      <c r="Y28">
        <v>1.1635134127240635E-2</v>
      </c>
      <c r="Z28" t="s">
        <v>263</v>
      </c>
      <c r="AA28" t="s">
        <v>25</v>
      </c>
      <c r="AC28" t="s">
        <v>22</v>
      </c>
      <c r="AD28" t="s">
        <v>263</v>
      </c>
      <c r="AE28">
        <v>1.6144116863344268E-2</v>
      </c>
      <c r="AG28" t="s">
        <v>96</v>
      </c>
      <c r="AH28" t="s">
        <v>263</v>
      </c>
      <c r="AI28">
        <v>0.31651747721711998</v>
      </c>
      <c r="AK28">
        <v>2026</v>
      </c>
      <c r="AL28" t="s">
        <v>146</v>
      </c>
      <c r="AM28">
        <v>0.49580000000000002</v>
      </c>
      <c r="AN28" t="s">
        <v>250</v>
      </c>
    </row>
    <row r="29" spans="9:40" x14ac:dyDescent="0.45">
      <c r="I29" t="s">
        <v>152</v>
      </c>
      <c r="J29" t="s">
        <v>163</v>
      </c>
      <c r="K29">
        <v>0</v>
      </c>
      <c r="L29" t="s">
        <v>154</v>
      </c>
      <c r="N29" t="s">
        <v>194</v>
      </c>
      <c r="O29" t="s">
        <v>163</v>
      </c>
      <c r="P29">
        <v>6.4483795791300855E-2</v>
      </c>
      <c r="Q29" t="s">
        <v>154</v>
      </c>
      <c r="S29" t="s">
        <v>218</v>
      </c>
      <c r="T29" t="s">
        <v>163</v>
      </c>
      <c r="U29">
        <v>4.4556213613282714E-2</v>
      </c>
      <c r="V29" t="s">
        <v>154</v>
      </c>
      <c r="X29">
        <v>3.9155251141552515E-2</v>
      </c>
      <c r="Y29">
        <v>1.5463126403633084E-2</v>
      </c>
      <c r="Z29" t="s">
        <v>163</v>
      </c>
      <c r="AA29" t="s">
        <v>25</v>
      </c>
      <c r="AC29" t="s">
        <v>22</v>
      </c>
      <c r="AD29" t="s">
        <v>163</v>
      </c>
      <c r="AE29">
        <v>2.5182533549232014E-2</v>
      </c>
      <c r="AG29" t="s">
        <v>96</v>
      </c>
      <c r="AH29" t="s">
        <v>163</v>
      </c>
      <c r="AI29">
        <v>0.20602074935618986</v>
      </c>
      <c r="AK29">
        <v>2026</v>
      </c>
      <c r="AL29" t="s">
        <v>148</v>
      </c>
      <c r="AM29">
        <v>0.44</v>
      </c>
      <c r="AN29" t="s">
        <v>250</v>
      </c>
    </row>
    <row r="30" spans="9:40" x14ac:dyDescent="0.45">
      <c r="I30" t="s">
        <v>152</v>
      </c>
      <c r="J30" t="s">
        <v>164</v>
      </c>
      <c r="K30">
        <v>1.7936592206416992E-2</v>
      </c>
      <c r="L30" t="s">
        <v>154</v>
      </c>
      <c r="N30" t="s">
        <v>194</v>
      </c>
      <c r="O30" t="s">
        <v>164</v>
      </c>
      <c r="P30">
        <v>1.6661607412160283E-2</v>
      </c>
      <c r="Q30" t="s">
        <v>154</v>
      </c>
      <c r="S30" t="s">
        <v>218</v>
      </c>
      <c r="T30" t="s">
        <v>164</v>
      </c>
      <c r="U30">
        <v>1.3832496060901495E-2</v>
      </c>
      <c r="V30" t="s">
        <v>154</v>
      </c>
      <c r="X30">
        <v>1.1187214611872146E-2</v>
      </c>
      <c r="Y30">
        <v>1.6486421533285268E-2</v>
      </c>
      <c r="Z30" t="s">
        <v>164</v>
      </c>
      <c r="AA30" t="s">
        <v>25</v>
      </c>
      <c r="AC30" t="s">
        <v>22</v>
      </c>
      <c r="AD30" t="s">
        <v>164</v>
      </c>
      <c r="AE30">
        <v>1.1028368753510272E-2</v>
      </c>
      <c r="AG30" t="s">
        <v>96</v>
      </c>
      <c r="AH30" t="s">
        <v>164</v>
      </c>
      <c r="AI30">
        <v>0.11928230690253105</v>
      </c>
      <c r="AK30">
        <v>2026</v>
      </c>
      <c r="AL30" t="s">
        <v>150</v>
      </c>
      <c r="AM30">
        <v>0.43859999999999999</v>
      </c>
      <c r="AN30" t="s">
        <v>250</v>
      </c>
    </row>
    <row r="31" spans="9:40" x14ac:dyDescent="0.45">
      <c r="I31" t="s">
        <v>152</v>
      </c>
      <c r="J31" t="s">
        <v>165</v>
      </c>
      <c r="K31">
        <v>0.10931980217251218</v>
      </c>
      <c r="L31" t="s">
        <v>154</v>
      </c>
      <c r="N31" t="s">
        <v>194</v>
      </c>
      <c r="O31" t="s">
        <v>165</v>
      </c>
      <c r="P31">
        <v>7.957939510573836E-2</v>
      </c>
      <c r="Q31" t="s">
        <v>154</v>
      </c>
      <c r="S31" t="s">
        <v>218</v>
      </c>
      <c r="T31" t="s">
        <v>165</v>
      </c>
      <c r="U31">
        <v>5.1690721184208914E-2</v>
      </c>
      <c r="V31" t="s">
        <v>154</v>
      </c>
      <c r="X31">
        <v>4.4748858447488583E-2</v>
      </c>
      <c r="Y31">
        <v>6.1852505614532323E-2</v>
      </c>
      <c r="Z31" t="s">
        <v>165</v>
      </c>
      <c r="AA31" t="s">
        <v>25</v>
      </c>
      <c r="AC31" t="s">
        <v>22</v>
      </c>
      <c r="AD31" t="s">
        <v>165</v>
      </c>
      <c r="AE31">
        <v>5.0613617523439659E-2</v>
      </c>
      <c r="AG31" t="s">
        <v>96</v>
      </c>
      <c r="AH31" t="s">
        <v>165</v>
      </c>
      <c r="AI31">
        <v>6.9759894941515466E-2</v>
      </c>
      <c r="AK31">
        <v>2027</v>
      </c>
      <c r="AL31" t="s">
        <v>142</v>
      </c>
      <c r="AM31">
        <v>0.40931250000000002</v>
      </c>
      <c r="AN31" t="s">
        <v>250</v>
      </c>
    </row>
    <row r="32" spans="9:40" x14ac:dyDescent="0.45">
      <c r="I32" t="s">
        <v>152</v>
      </c>
      <c r="J32" t="s">
        <v>264</v>
      </c>
      <c r="K32">
        <v>6.4952989511805736E-3</v>
      </c>
      <c r="L32" t="s">
        <v>154</v>
      </c>
      <c r="N32" t="s">
        <v>194</v>
      </c>
      <c r="O32" t="s">
        <v>264</v>
      </c>
      <c r="P32">
        <v>1.024077318783409E-2</v>
      </c>
      <c r="Q32" t="s">
        <v>154</v>
      </c>
      <c r="S32" t="s">
        <v>218</v>
      </c>
      <c r="T32" t="s">
        <v>264</v>
      </c>
      <c r="U32">
        <v>5.9838898580023758E-3</v>
      </c>
      <c r="V32" t="s">
        <v>154</v>
      </c>
      <c r="X32">
        <v>5.5936073059360729E-3</v>
      </c>
      <c r="Y32">
        <v>1.0882662489951853E-2</v>
      </c>
      <c r="Z32" t="s">
        <v>264</v>
      </c>
      <c r="AA32" t="s">
        <v>25</v>
      </c>
      <c r="AC32" t="s">
        <v>22</v>
      </c>
      <c r="AD32" t="s">
        <v>264</v>
      </c>
      <c r="AE32">
        <v>6.3959987990075667E-3</v>
      </c>
      <c r="AG32" t="s">
        <v>96</v>
      </c>
      <c r="AH32" t="s">
        <v>264</v>
      </c>
      <c r="AI32">
        <v>5.7496390181293044E-2</v>
      </c>
      <c r="AK32">
        <v>2027</v>
      </c>
      <c r="AL32" t="s">
        <v>146</v>
      </c>
      <c r="AM32">
        <v>0.57826666666666671</v>
      </c>
      <c r="AN32" t="s">
        <v>250</v>
      </c>
    </row>
    <row r="33" spans="9:40" x14ac:dyDescent="0.45">
      <c r="I33" t="s">
        <v>152</v>
      </c>
      <c r="J33" t="s">
        <v>265</v>
      </c>
      <c r="K33">
        <v>0</v>
      </c>
      <c r="L33" t="s">
        <v>154</v>
      </c>
      <c r="N33" t="s">
        <v>194</v>
      </c>
      <c r="O33" t="s">
        <v>265</v>
      </c>
      <c r="P33">
        <v>8.4165232073144282E-3</v>
      </c>
      <c r="Q33" t="s">
        <v>154</v>
      </c>
      <c r="S33" t="s">
        <v>218</v>
      </c>
      <c r="T33" t="s">
        <v>265</v>
      </c>
      <c r="U33">
        <v>6.5400456907603191E-3</v>
      </c>
      <c r="V33" t="s">
        <v>154</v>
      </c>
      <c r="X33">
        <v>5.5936073059360729E-3</v>
      </c>
      <c r="Y33">
        <v>8.4462455145894993E-3</v>
      </c>
      <c r="Z33" t="s">
        <v>265</v>
      </c>
      <c r="AA33" t="s">
        <v>25</v>
      </c>
      <c r="AC33" t="s">
        <v>22</v>
      </c>
      <c r="AD33" t="s">
        <v>265</v>
      </c>
      <c r="AE33">
        <v>7.6640319593344582E-3</v>
      </c>
      <c r="AG33" t="s">
        <v>96</v>
      </c>
      <c r="AH33" t="s">
        <v>265</v>
      </c>
      <c r="AI33">
        <v>6.2485299195772281E-2</v>
      </c>
      <c r="AK33">
        <v>2027</v>
      </c>
      <c r="AL33" t="s">
        <v>148</v>
      </c>
      <c r="AM33">
        <v>0.42784999999999995</v>
      </c>
      <c r="AN33" t="s">
        <v>250</v>
      </c>
    </row>
    <row r="34" spans="9:40" x14ac:dyDescent="0.45">
      <c r="I34" t="s">
        <v>152</v>
      </c>
      <c r="J34" t="s">
        <v>266</v>
      </c>
      <c r="K34">
        <v>0</v>
      </c>
      <c r="L34" t="s">
        <v>154</v>
      </c>
      <c r="N34" t="s">
        <v>194</v>
      </c>
      <c r="O34" t="s">
        <v>266</v>
      </c>
      <c r="P34">
        <v>4.6160610371515733E-2</v>
      </c>
      <c r="Q34" t="s">
        <v>154</v>
      </c>
      <c r="S34" t="s">
        <v>218</v>
      </c>
      <c r="T34" t="s">
        <v>266</v>
      </c>
      <c r="U34">
        <v>3.6198808014139869E-2</v>
      </c>
      <c r="V34" t="s">
        <v>154</v>
      </c>
      <c r="X34">
        <v>2.7968036529680364E-2</v>
      </c>
      <c r="Y34">
        <v>2.1115613786473746E-2</v>
      </c>
      <c r="Z34" t="s">
        <v>266</v>
      </c>
      <c r="AA34" t="s">
        <v>25</v>
      </c>
      <c r="AC34" t="s">
        <v>22</v>
      </c>
      <c r="AD34" t="s">
        <v>266</v>
      </c>
      <c r="AE34">
        <v>2.8833271578613266E-2</v>
      </c>
      <c r="AG34" t="s">
        <v>96</v>
      </c>
      <c r="AH34" t="s">
        <v>266</v>
      </c>
      <c r="AI34">
        <v>0.32007097623814817</v>
      </c>
      <c r="AK34">
        <v>2027</v>
      </c>
      <c r="AL34" t="s">
        <v>150</v>
      </c>
      <c r="AM34">
        <v>0.37709999999999999</v>
      </c>
      <c r="AN34" t="s">
        <v>250</v>
      </c>
    </row>
    <row r="35" spans="9:40" x14ac:dyDescent="0.45">
      <c r="I35" t="s">
        <v>166</v>
      </c>
      <c r="J35" t="s">
        <v>153</v>
      </c>
      <c r="K35">
        <v>1.2210910260312892E-3</v>
      </c>
      <c r="L35" t="s">
        <v>154</v>
      </c>
      <c r="N35" t="s">
        <v>195</v>
      </c>
      <c r="O35" t="s">
        <v>153</v>
      </c>
      <c r="P35">
        <v>0.11616350275611212</v>
      </c>
      <c r="Q35" t="s">
        <v>154</v>
      </c>
      <c r="S35" t="s">
        <v>219</v>
      </c>
      <c r="T35" t="s">
        <v>153</v>
      </c>
      <c r="U35">
        <v>0.18261875461601029</v>
      </c>
      <c r="V35" t="s">
        <v>154</v>
      </c>
      <c r="AC35" t="s">
        <v>19</v>
      </c>
      <c r="AD35" t="s">
        <v>153</v>
      </c>
      <c r="AE35">
        <v>0.18522873061513781</v>
      </c>
      <c r="AK35">
        <v>2028</v>
      </c>
      <c r="AL35" t="s">
        <v>142</v>
      </c>
      <c r="AM35">
        <v>0.39555000000000007</v>
      </c>
      <c r="AN35" t="s">
        <v>250</v>
      </c>
    </row>
    <row r="36" spans="9:40" x14ac:dyDescent="0.45">
      <c r="I36" t="s">
        <v>166</v>
      </c>
      <c r="J36" t="s">
        <v>155</v>
      </c>
      <c r="K36">
        <v>6.9459130152193946E-2</v>
      </c>
      <c r="L36" t="s">
        <v>154</v>
      </c>
      <c r="N36" t="s">
        <v>195</v>
      </c>
      <c r="O36" t="s">
        <v>155</v>
      </c>
      <c r="P36">
        <v>2.7596372046907403E-2</v>
      </c>
      <c r="Q36" t="s">
        <v>154</v>
      </c>
      <c r="S36" t="s">
        <v>219</v>
      </c>
      <c r="T36" t="s">
        <v>155</v>
      </c>
      <c r="U36">
        <v>4.8240984441945169E-2</v>
      </c>
      <c r="V36" t="s">
        <v>154</v>
      </c>
      <c r="AC36" t="s">
        <v>19</v>
      </c>
      <c r="AD36" t="s">
        <v>155</v>
      </c>
      <c r="AE36">
        <v>5.4085281452119598E-2</v>
      </c>
      <c r="AK36">
        <v>2028</v>
      </c>
      <c r="AL36" t="s">
        <v>146</v>
      </c>
      <c r="AM36">
        <v>0.55143333333333333</v>
      </c>
      <c r="AN36" t="s">
        <v>250</v>
      </c>
    </row>
    <row r="37" spans="9:40" x14ac:dyDescent="0.45">
      <c r="I37" t="s">
        <v>166</v>
      </c>
      <c r="J37" t="s">
        <v>156</v>
      </c>
      <c r="K37">
        <v>0.52613108140212705</v>
      </c>
      <c r="L37" t="s">
        <v>154</v>
      </c>
      <c r="N37" t="s">
        <v>195</v>
      </c>
      <c r="O37" t="s">
        <v>156</v>
      </c>
      <c r="P37">
        <v>0.18940264524939343</v>
      </c>
      <c r="Q37" t="s">
        <v>154</v>
      </c>
      <c r="S37" t="s">
        <v>219</v>
      </c>
      <c r="T37" t="s">
        <v>156</v>
      </c>
      <c r="U37">
        <v>0.21429642358403492</v>
      </c>
      <c r="V37" t="s">
        <v>154</v>
      </c>
      <c r="AC37" t="s">
        <v>19</v>
      </c>
      <c r="AD37" t="s">
        <v>156</v>
      </c>
      <c r="AE37">
        <v>0.21902268425862145</v>
      </c>
      <c r="AK37">
        <v>2028</v>
      </c>
      <c r="AL37" t="s">
        <v>148</v>
      </c>
      <c r="AM37">
        <v>0.5452999999999999</v>
      </c>
      <c r="AN37" t="s">
        <v>250</v>
      </c>
    </row>
    <row r="38" spans="9:40" x14ac:dyDescent="0.45">
      <c r="I38" t="s">
        <v>166</v>
      </c>
      <c r="J38" t="s">
        <v>255</v>
      </c>
      <c r="K38">
        <v>3.437881742446338E-2</v>
      </c>
      <c r="L38" t="s">
        <v>154</v>
      </c>
      <c r="N38" t="s">
        <v>195</v>
      </c>
      <c r="O38" t="s">
        <v>255</v>
      </c>
      <c r="P38">
        <v>2.606621197281847E-2</v>
      </c>
      <c r="Q38" t="s">
        <v>154</v>
      </c>
      <c r="S38" t="s">
        <v>219</v>
      </c>
      <c r="T38" t="s">
        <v>255</v>
      </c>
      <c r="U38">
        <v>2.9594342045624042E-2</v>
      </c>
      <c r="V38" t="s">
        <v>154</v>
      </c>
      <c r="AC38" t="s">
        <v>19</v>
      </c>
      <c r="AD38" t="s">
        <v>255</v>
      </c>
      <c r="AE38">
        <v>2.7372016792615413E-2</v>
      </c>
      <c r="AK38">
        <v>2028</v>
      </c>
      <c r="AL38" t="s">
        <v>150</v>
      </c>
      <c r="AM38">
        <v>0.51014999999999999</v>
      </c>
      <c r="AN38" t="s">
        <v>250</v>
      </c>
    </row>
    <row r="39" spans="9:40" x14ac:dyDescent="0.45">
      <c r="I39" t="s">
        <v>166</v>
      </c>
      <c r="J39" t="s">
        <v>256</v>
      </c>
      <c r="K39">
        <v>1.9017799762416403E-2</v>
      </c>
      <c r="L39" t="s">
        <v>154</v>
      </c>
      <c r="N39" t="s">
        <v>195</v>
      </c>
      <c r="O39" t="s">
        <v>256</v>
      </c>
      <c r="P39">
        <v>2.1432445079201782E-2</v>
      </c>
      <c r="Q39" t="s">
        <v>154</v>
      </c>
      <c r="S39" t="s">
        <v>219</v>
      </c>
      <c r="T39" t="s">
        <v>256</v>
      </c>
      <c r="U39">
        <v>2.5636931360878037E-2</v>
      </c>
      <c r="V39" t="s">
        <v>154</v>
      </c>
      <c r="AC39" t="s">
        <v>19</v>
      </c>
      <c r="AD39" t="s">
        <v>256</v>
      </c>
      <c r="AE39">
        <v>2.7749153929244982E-2</v>
      </c>
      <c r="AK39">
        <v>2029</v>
      </c>
      <c r="AL39" t="s">
        <v>142</v>
      </c>
      <c r="AM39">
        <v>0.41341249999999996</v>
      </c>
      <c r="AN39" t="s">
        <v>250</v>
      </c>
    </row>
    <row r="40" spans="9:40" x14ac:dyDescent="0.45">
      <c r="I40" t="s">
        <v>166</v>
      </c>
      <c r="J40" t="s">
        <v>257</v>
      </c>
      <c r="K40">
        <v>0</v>
      </c>
      <c r="L40" t="s">
        <v>154</v>
      </c>
      <c r="N40" t="s">
        <v>195</v>
      </c>
      <c r="O40" t="s">
        <v>257</v>
      </c>
      <c r="P40">
        <v>9.7356539665885367E-2</v>
      </c>
      <c r="Q40" t="s">
        <v>154</v>
      </c>
      <c r="S40" t="s">
        <v>219</v>
      </c>
      <c r="T40" t="s">
        <v>257</v>
      </c>
      <c r="U40">
        <v>0.13057524265639925</v>
      </c>
      <c r="V40" t="s">
        <v>154</v>
      </c>
      <c r="AC40" t="s">
        <v>19</v>
      </c>
      <c r="AD40" t="s">
        <v>257</v>
      </c>
      <c r="AE40">
        <v>0.13592514671560058</v>
      </c>
      <c r="AK40">
        <v>2029</v>
      </c>
      <c r="AL40" t="s">
        <v>146</v>
      </c>
      <c r="AM40">
        <v>0.52569999999999995</v>
      </c>
      <c r="AN40" t="s">
        <v>250</v>
      </c>
    </row>
    <row r="41" spans="9:40" x14ac:dyDescent="0.45">
      <c r="I41" t="s">
        <v>166</v>
      </c>
      <c r="J41" t="s">
        <v>157</v>
      </c>
      <c r="K41">
        <v>0</v>
      </c>
      <c r="L41" t="s">
        <v>154</v>
      </c>
      <c r="N41" t="s">
        <v>195</v>
      </c>
      <c r="O41" t="s">
        <v>157</v>
      </c>
      <c r="P41">
        <v>3.7100166443460439E-2</v>
      </c>
      <c r="Q41" t="s">
        <v>154</v>
      </c>
      <c r="S41" t="s">
        <v>219</v>
      </c>
      <c r="T41" t="s">
        <v>157</v>
      </c>
      <c r="U41">
        <v>6.9077984788640703E-2</v>
      </c>
      <c r="V41" t="s">
        <v>154</v>
      </c>
      <c r="AC41" t="s">
        <v>19</v>
      </c>
      <c r="AD41" t="s">
        <v>157</v>
      </c>
      <c r="AE41">
        <v>4.057006478889276E-2</v>
      </c>
      <c r="AK41">
        <v>2029</v>
      </c>
      <c r="AL41" t="s">
        <v>148</v>
      </c>
      <c r="AM41">
        <v>0.44735000000000003</v>
      </c>
      <c r="AN41" t="s">
        <v>250</v>
      </c>
    </row>
    <row r="42" spans="9:40" x14ac:dyDescent="0.45">
      <c r="I42" t="s">
        <v>166</v>
      </c>
      <c r="J42" t="s">
        <v>158</v>
      </c>
      <c r="K42">
        <v>1.5030115707254548E-2</v>
      </c>
      <c r="L42" t="s">
        <v>154</v>
      </c>
      <c r="N42" t="s">
        <v>195</v>
      </c>
      <c r="O42" t="s">
        <v>158</v>
      </c>
      <c r="P42">
        <v>9.2271016263551116E-3</v>
      </c>
      <c r="Q42" t="s">
        <v>154</v>
      </c>
      <c r="S42" t="s">
        <v>219</v>
      </c>
      <c r="T42" t="s">
        <v>158</v>
      </c>
      <c r="U42">
        <v>1.9137890722712391E-2</v>
      </c>
      <c r="V42" t="s">
        <v>154</v>
      </c>
      <c r="AC42" t="s">
        <v>19</v>
      </c>
      <c r="AD42" t="s">
        <v>158</v>
      </c>
      <c r="AE42">
        <v>1.1887747616852186E-2</v>
      </c>
      <c r="AK42">
        <v>2029</v>
      </c>
      <c r="AL42" t="s">
        <v>150</v>
      </c>
      <c r="AM42">
        <v>0.42589999999999995</v>
      </c>
      <c r="AN42" t="s">
        <v>250</v>
      </c>
    </row>
    <row r="43" spans="9:40" x14ac:dyDescent="0.45">
      <c r="I43" t="s">
        <v>166</v>
      </c>
      <c r="J43" t="s">
        <v>159</v>
      </c>
      <c r="K43">
        <v>0.11561881900538346</v>
      </c>
      <c r="L43" t="s">
        <v>154</v>
      </c>
      <c r="N43" t="s">
        <v>195</v>
      </c>
      <c r="O43" t="s">
        <v>159</v>
      </c>
      <c r="P43">
        <v>5.5141518758346553E-2</v>
      </c>
      <c r="Q43" t="s">
        <v>154</v>
      </c>
      <c r="S43" t="s">
        <v>219</v>
      </c>
      <c r="T43" t="s">
        <v>159</v>
      </c>
      <c r="U43">
        <v>7.9150600017810699E-2</v>
      </c>
      <c r="V43" t="s">
        <v>154</v>
      </c>
      <c r="AC43" t="s">
        <v>19</v>
      </c>
      <c r="AD43" t="s">
        <v>159</v>
      </c>
      <c r="AE43">
        <v>4.8062177984304844E-2</v>
      </c>
      <c r="AK43">
        <v>2030</v>
      </c>
      <c r="AL43" t="s">
        <v>142</v>
      </c>
      <c r="AM43">
        <v>0.41156250000000005</v>
      </c>
      <c r="AN43" t="s">
        <v>250</v>
      </c>
    </row>
    <row r="44" spans="9:40" x14ac:dyDescent="0.45">
      <c r="I44" t="s">
        <v>166</v>
      </c>
      <c r="J44" t="s">
        <v>258</v>
      </c>
      <c r="K44">
        <v>6.2422553993143788E-3</v>
      </c>
      <c r="L44" t="s">
        <v>154</v>
      </c>
      <c r="N44" t="s">
        <v>195</v>
      </c>
      <c r="O44" t="s">
        <v>258</v>
      </c>
      <c r="P44">
        <v>6.9052222019763618E-3</v>
      </c>
      <c r="Q44" t="s">
        <v>154</v>
      </c>
      <c r="S44" t="s">
        <v>219</v>
      </c>
      <c r="T44" t="s">
        <v>258</v>
      </c>
      <c r="U44">
        <v>1.0023618118509901E-2</v>
      </c>
      <c r="V44" t="s">
        <v>154</v>
      </c>
      <c r="AC44" t="s">
        <v>19</v>
      </c>
      <c r="AD44" t="s">
        <v>258</v>
      </c>
      <c r="AE44">
        <v>6.0128450520670132E-3</v>
      </c>
      <c r="AK44">
        <v>2030</v>
      </c>
      <c r="AL44" t="s">
        <v>146</v>
      </c>
      <c r="AM44">
        <v>0.51593333333333335</v>
      </c>
      <c r="AN44" t="s">
        <v>250</v>
      </c>
    </row>
    <row r="45" spans="9:40" x14ac:dyDescent="0.45">
      <c r="I45" t="s">
        <v>166</v>
      </c>
      <c r="J45" t="s">
        <v>259</v>
      </c>
      <c r="K45">
        <v>2.454679360308585E-3</v>
      </c>
      <c r="L45" t="s">
        <v>154</v>
      </c>
      <c r="N45" t="s">
        <v>195</v>
      </c>
      <c r="O45" t="s">
        <v>259</v>
      </c>
      <c r="P45">
        <v>6.0250326913920561E-3</v>
      </c>
      <c r="Q45" t="s">
        <v>154</v>
      </c>
      <c r="S45" t="s">
        <v>219</v>
      </c>
      <c r="T45" t="s">
        <v>259</v>
      </c>
      <c r="U45">
        <v>9.4428764372636084E-3</v>
      </c>
      <c r="V45" t="s">
        <v>154</v>
      </c>
      <c r="AC45" t="s">
        <v>19</v>
      </c>
      <c r="AD45" t="s">
        <v>259</v>
      </c>
      <c r="AE45">
        <v>6.1160993231623214E-3</v>
      </c>
      <c r="AK45">
        <v>2030</v>
      </c>
      <c r="AL45" t="s">
        <v>148</v>
      </c>
      <c r="AM45">
        <v>0.47060000000000002</v>
      </c>
      <c r="AN45" t="s">
        <v>250</v>
      </c>
    </row>
    <row r="46" spans="9:40" x14ac:dyDescent="0.45">
      <c r="I46" t="s">
        <v>166</v>
      </c>
      <c r="J46" t="s">
        <v>260</v>
      </c>
      <c r="K46">
        <v>0</v>
      </c>
      <c r="L46" t="s">
        <v>154</v>
      </c>
      <c r="N46" t="s">
        <v>195</v>
      </c>
      <c r="O46" t="s">
        <v>260</v>
      </c>
      <c r="P46">
        <v>2.970522585342928E-2</v>
      </c>
      <c r="Q46" t="s">
        <v>154</v>
      </c>
      <c r="S46" t="s">
        <v>219</v>
      </c>
      <c r="T46" t="s">
        <v>260</v>
      </c>
      <c r="U46">
        <v>4.5303871917768419E-2</v>
      </c>
      <c r="V46" t="s">
        <v>154</v>
      </c>
      <c r="AC46" t="s">
        <v>19</v>
      </c>
      <c r="AD46" t="s">
        <v>260</v>
      </c>
      <c r="AE46">
        <v>2.9783694298195613E-2</v>
      </c>
      <c r="AK46">
        <v>2030</v>
      </c>
      <c r="AL46" t="s">
        <v>150</v>
      </c>
      <c r="AM46">
        <v>0.44289999999999996</v>
      </c>
      <c r="AN46" t="s">
        <v>250</v>
      </c>
    </row>
    <row r="47" spans="9:40" x14ac:dyDescent="0.45">
      <c r="I47" t="s">
        <v>166</v>
      </c>
      <c r="J47" t="s">
        <v>160</v>
      </c>
      <c r="K47">
        <v>0</v>
      </c>
      <c r="L47" t="s">
        <v>154</v>
      </c>
      <c r="N47" t="s">
        <v>195</v>
      </c>
      <c r="O47" t="s">
        <v>160</v>
      </c>
      <c r="P47">
        <v>3.8550938948544722E-2</v>
      </c>
      <c r="Q47" t="s">
        <v>154</v>
      </c>
      <c r="S47" t="s">
        <v>219</v>
      </c>
      <c r="T47" t="s">
        <v>160</v>
      </c>
      <c r="U47">
        <v>1.1784587596776173E-2</v>
      </c>
      <c r="V47" t="s">
        <v>154</v>
      </c>
      <c r="AC47" t="s">
        <v>19</v>
      </c>
      <c r="AD47" t="s">
        <v>160</v>
      </c>
      <c r="AE47">
        <v>2.1070734611874295E-2</v>
      </c>
      <c r="AK47">
        <v>2031</v>
      </c>
      <c r="AL47" t="s">
        <v>142</v>
      </c>
      <c r="AM47">
        <v>0.35183750000000003</v>
      </c>
      <c r="AN47" t="s">
        <v>250</v>
      </c>
    </row>
    <row r="48" spans="9:40" x14ac:dyDescent="0.45">
      <c r="I48" t="s">
        <v>166</v>
      </c>
      <c r="J48" t="s">
        <v>161</v>
      </c>
      <c r="K48">
        <v>8.6938850261171451E-3</v>
      </c>
      <c r="L48" t="s">
        <v>154</v>
      </c>
      <c r="N48" t="s">
        <v>195</v>
      </c>
      <c r="O48" t="s">
        <v>161</v>
      </c>
      <c r="P48">
        <v>8.4344170906920403E-3</v>
      </c>
      <c r="Q48" t="s">
        <v>154</v>
      </c>
      <c r="S48" t="s">
        <v>219</v>
      </c>
      <c r="T48" t="s">
        <v>161</v>
      </c>
      <c r="U48">
        <v>3.0538765256574955E-3</v>
      </c>
      <c r="V48" t="s">
        <v>154</v>
      </c>
      <c r="AC48" t="s">
        <v>19</v>
      </c>
      <c r="AD48" t="s">
        <v>161</v>
      </c>
      <c r="AE48">
        <v>6.1686148967665085E-3</v>
      </c>
      <c r="AK48">
        <v>2031</v>
      </c>
      <c r="AL48" t="s">
        <v>146</v>
      </c>
      <c r="AM48">
        <v>0.47960000000000003</v>
      </c>
      <c r="AN48" t="s">
        <v>250</v>
      </c>
    </row>
    <row r="49" spans="9:40" x14ac:dyDescent="0.45">
      <c r="I49" t="s">
        <v>166</v>
      </c>
      <c r="J49" t="s">
        <v>162</v>
      </c>
      <c r="K49">
        <v>5.7668546135356026E-2</v>
      </c>
      <c r="L49" t="s">
        <v>154</v>
      </c>
      <c r="N49" t="s">
        <v>195</v>
      </c>
      <c r="O49" t="s">
        <v>162</v>
      </c>
      <c r="P49">
        <v>5.2066250177404655E-2</v>
      </c>
      <c r="Q49" t="s">
        <v>154</v>
      </c>
      <c r="S49" t="s">
        <v>219</v>
      </c>
      <c r="T49" t="s">
        <v>162</v>
      </c>
      <c r="U49">
        <v>1.244092143419406E-2</v>
      </c>
      <c r="V49" t="s">
        <v>154</v>
      </c>
      <c r="AC49" t="s">
        <v>19</v>
      </c>
      <c r="AD49" t="s">
        <v>162</v>
      </c>
      <c r="AE49">
        <v>2.4961214036267831E-2</v>
      </c>
      <c r="AK49">
        <v>2031</v>
      </c>
      <c r="AL49" t="s">
        <v>148</v>
      </c>
      <c r="AM49">
        <v>0.42569999999999997</v>
      </c>
      <c r="AN49" t="s">
        <v>250</v>
      </c>
    </row>
    <row r="50" spans="9:40" x14ac:dyDescent="0.45">
      <c r="I50" t="s">
        <v>166</v>
      </c>
      <c r="J50" t="s">
        <v>261</v>
      </c>
      <c r="K50">
        <v>3.0980175229668823E-3</v>
      </c>
      <c r="L50" t="s">
        <v>154</v>
      </c>
      <c r="N50" t="s">
        <v>195</v>
      </c>
      <c r="O50" t="s">
        <v>261</v>
      </c>
      <c r="P50">
        <v>7.6654179414962819E-3</v>
      </c>
      <c r="Q50" t="s">
        <v>154</v>
      </c>
      <c r="S50" t="s">
        <v>219</v>
      </c>
      <c r="T50" t="s">
        <v>261</v>
      </c>
      <c r="U50">
        <v>1.6861931926611248E-3</v>
      </c>
      <c r="V50" t="s">
        <v>154</v>
      </c>
      <c r="AC50" t="s">
        <v>19</v>
      </c>
      <c r="AD50" t="s">
        <v>261</v>
      </c>
      <c r="AE50">
        <v>3.1219396829177213E-3</v>
      </c>
      <c r="AK50">
        <v>2031</v>
      </c>
      <c r="AL50" t="s">
        <v>150</v>
      </c>
      <c r="AM50">
        <v>0.40249999999999997</v>
      </c>
      <c r="AN50" t="s">
        <v>250</v>
      </c>
    </row>
    <row r="51" spans="9:40" x14ac:dyDescent="0.45">
      <c r="I51" t="s">
        <v>166</v>
      </c>
      <c r="J51" t="s">
        <v>262</v>
      </c>
      <c r="K51">
        <v>0</v>
      </c>
      <c r="L51" t="s">
        <v>154</v>
      </c>
      <c r="N51" t="s">
        <v>195</v>
      </c>
      <c r="O51" t="s">
        <v>262</v>
      </c>
      <c r="P51">
        <v>6.5529157342883119E-3</v>
      </c>
      <c r="Q51" t="s">
        <v>154</v>
      </c>
      <c r="S51" t="s">
        <v>219</v>
      </c>
      <c r="T51" t="s">
        <v>262</v>
      </c>
      <c r="U51">
        <v>1.5515594736151882E-3</v>
      </c>
      <c r="V51" t="s">
        <v>154</v>
      </c>
      <c r="AC51" t="s">
        <v>19</v>
      </c>
      <c r="AD51" t="s">
        <v>262</v>
      </c>
      <c r="AE51">
        <v>3.1725088256647758E-3</v>
      </c>
      <c r="AK51">
        <v>2032</v>
      </c>
      <c r="AL51" t="s">
        <v>142</v>
      </c>
      <c r="AM51">
        <v>0.31106250000000002</v>
      </c>
      <c r="AN51" t="s">
        <v>250</v>
      </c>
    </row>
    <row r="52" spans="9:40" x14ac:dyDescent="0.45">
      <c r="I52" t="s">
        <v>166</v>
      </c>
      <c r="J52" t="s">
        <v>263</v>
      </c>
      <c r="K52">
        <v>0</v>
      </c>
      <c r="L52" t="s">
        <v>154</v>
      </c>
      <c r="N52" t="s">
        <v>195</v>
      </c>
      <c r="O52" t="s">
        <v>263</v>
      </c>
      <c r="P52">
        <v>3.2557536343484773E-2</v>
      </c>
      <c r="Q52" t="s">
        <v>154</v>
      </c>
      <c r="S52" t="s">
        <v>219</v>
      </c>
      <c r="T52" t="s">
        <v>263</v>
      </c>
      <c r="U52">
        <v>7.1615426428778941E-3</v>
      </c>
      <c r="V52" t="s">
        <v>154</v>
      </c>
      <c r="AC52" t="s">
        <v>19</v>
      </c>
      <c r="AD52" t="s">
        <v>263</v>
      </c>
      <c r="AE52">
        <v>1.5479295615675496E-2</v>
      </c>
      <c r="AK52">
        <v>2032</v>
      </c>
      <c r="AL52" t="s">
        <v>146</v>
      </c>
      <c r="AM52">
        <v>0.39020000000000005</v>
      </c>
      <c r="AN52" t="s">
        <v>250</v>
      </c>
    </row>
    <row r="53" spans="9:40" x14ac:dyDescent="0.45">
      <c r="I53" t="s">
        <v>166</v>
      </c>
      <c r="J53" t="s">
        <v>163</v>
      </c>
      <c r="K53">
        <v>0</v>
      </c>
      <c r="L53" t="s">
        <v>154</v>
      </c>
      <c r="N53" t="s">
        <v>195</v>
      </c>
      <c r="O53" t="s">
        <v>163</v>
      </c>
      <c r="P53">
        <v>6.1183050174243726E-2</v>
      </c>
      <c r="Q53" t="s">
        <v>154</v>
      </c>
      <c r="S53" t="s">
        <v>219</v>
      </c>
      <c r="T53" t="s">
        <v>163</v>
      </c>
      <c r="U53">
        <v>2.9833182229631182E-2</v>
      </c>
      <c r="V53" t="s">
        <v>154</v>
      </c>
      <c r="AC53" t="s">
        <v>19</v>
      </c>
      <c r="AD53" t="s">
        <v>163</v>
      </c>
      <c r="AE53">
        <v>3.8253424549002629E-2</v>
      </c>
      <c r="AK53">
        <v>2032</v>
      </c>
      <c r="AL53" t="s">
        <v>148</v>
      </c>
      <c r="AM53">
        <v>0.39939999999999998</v>
      </c>
      <c r="AN53" t="s">
        <v>250</v>
      </c>
    </row>
    <row r="54" spans="9:40" x14ac:dyDescent="0.45">
      <c r="I54" t="s">
        <v>166</v>
      </c>
      <c r="J54" t="s">
        <v>164</v>
      </c>
      <c r="K54">
        <v>1.746065447081795E-2</v>
      </c>
      <c r="L54" t="s">
        <v>154</v>
      </c>
      <c r="N54" t="s">
        <v>195</v>
      </c>
      <c r="O54" t="s">
        <v>164</v>
      </c>
      <c r="P54">
        <v>1.5308831489428359E-2</v>
      </c>
      <c r="Q54" t="s">
        <v>154</v>
      </c>
      <c r="S54" t="s">
        <v>219</v>
      </c>
      <c r="T54" t="s">
        <v>164</v>
      </c>
      <c r="U54">
        <v>8.5219090206911981E-3</v>
      </c>
      <c r="V54" t="s">
        <v>154</v>
      </c>
      <c r="AC54" t="s">
        <v>19</v>
      </c>
      <c r="AD54" t="s">
        <v>164</v>
      </c>
      <c r="AE54">
        <v>1.1199565094839671E-2</v>
      </c>
      <c r="AK54">
        <v>2032</v>
      </c>
      <c r="AL54" t="s">
        <v>150</v>
      </c>
      <c r="AM54">
        <v>0.38865</v>
      </c>
      <c r="AN54" t="s">
        <v>250</v>
      </c>
    </row>
    <row r="55" spans="9:40" x14ac:dyDescent="0.45">
      <c r="I55" t="s">
        <v>166</v>
      </c>
      <c r="J55" t="s">
        <v>165</v>
      </c>
      <c r="K55">
        <v>0.11652677738706718</v>
      </c>
      <c r="L55" t="s">
        <v>154</v>
      </c>
      <c r="N55" t="s">
        <v>195</v>
      </c>
      <c r="O55" t="s">
        <v>165</v>
      </c>
      <c r="P55">
        <v>8.4523061922099282E-2</v>
      </c>
      <c r="Q55" t="s">
        <v>154</v>
      </c>
      <c r="S55" t="s">
        <v>219</v>
      </c>
      <c r="T55" t="s">
        <v>165</v>
      </c>
      <c r="U55">
        <v>3.1384776312292535E-2</v>
      </c>
      <c r="V55" t="s">
        <v>154</v>
      </c>
      <c r="AC55" t="s">
        <v>19</v>
      </c>
      <c r="AD55" t="s">
        <v>165</v>
      </c>
      <c r="AE55">
        <v>4.525611923286136E-2</v>
      </c>
      <c r="AK55">
        <v>2033</v>
      </c>
      <c r="AL55" t="s">
        <v>142</v>
      </c>
      <c r="AM55">
        <v>0.29919999999999997</v>
      </c>
      <c r="AN55" t="s">
        <v>250</v>
      </c>
    </row>
    <row r="56" spans="9:40" x14ac:dyDescent="0.45">
      <c r="I56" t="s">
        <v>166</v>
      </c>
      <c r="J56" t="s">
        <v>264</v>
      </c>
      <c r="K56">
        <v>6.9586254185734879E-3</v>
      </c>
      <c r="L56" t="s">
        <v>154</v>
      </c>
      <c r="N56" t="s">
        <v>195</v>
      </c>
      <c r="O56" t="s">
        <v>264</v>
      </c>
      <c r="P56">
        <v>1.2476566148158015E-2</v>
      </c>
      <c r="Q56" t="s">
        <v>154</v>
      </c>
      <c r="S56" t="s">
        <v>219</v>
      </c>
      <c r="T56" t="s">
        <v>264</v>
      </c>
      <c r="U56">
        <v>4.3494032525906428E-3</v>
      </c>
      <c r="V56" t="s">
        <v>154</v>
      </c>
      <c r="AC56" t="s">
        <v>19</v>
      </c>
      <c r="AD56" t="s">
        <v>264</v>
      </c>
      <c r="AE56">
        <v>5.6618960379765182E-3</v>
      </c>
      <c r="AK56">
        <v>2033</v>
      </c>
      <c r="AL56" t="s">
        <v>146</v>
      </c>
      <c r="AM56">
        <v>0.4893333333333334</v>
      </c>
      <c r="AN56" t="s">
        <v>250</v>
      </c>
    </row>
    <row r="57" spans="9:40" x14ac:dyDescent="0.45">
      <c r="I57" t="s">
        <v>166</v>
      </c>
      <c r="J57" t="s">
        <v>265</v>
      </c>
      <c r="K57">
        <v>3.9704799607249579E-5</v>
      </c>
      <c r="L57" t="s">
        <v>154</v>
      </c>
      <c r="N57" t="s">
        <v>195</v>
      </c>
      <c r="O57" t="s">
        <v>265</v>
      </c>
      <c r="P57">
        <v>1.0314799255849575E-2</v>
      </c>
      <c r="Q57" t="s">
        <v>154</v>
      </c>
      <c r="S57" t="s">
        <v>219</v>
      </c>
      <c r="T57" t="s">
        <v>265</v>
      </c>
      <c r="U57">
        <v>3.5074394497227558E-3</v>
      </c>
      <c r="V57" t="s">
        <v>154</v>
      </c>
      <c r="AC57" t="s">
        <v>19</v>
      </c>
      <c r="AD57" t="s">
        <v>265</v>
      </c>
      <c r="AE57">
        <v>5.7512141118727742E-3</v>
      </c>
      <c r="AK57">
        <v>2033</v>
      </c>
      <c r="AL57" t="s">
        <v>148</v>
      </c>
      <c r="AM57">
        <v>0.44020000000000004</v>
      </c>
      <c r="AN57" t="s">
        <v>250</v>
      </c>
    </row>
    <row r="58" spans="9:40" x14ac:dyDescent="0.45">
      <c r="I58" t="s">
        <v>166</v>
      </c>
      <c r="J58" t="s">
        <v>266</v>
      </c>
      <c r="K58">
        <v>0</v>
      </c>
      <c r="L58" t="s">
        <v>154</v>
      </c>
      <c r="N58" t="s">
        <v>195</v>
      </c>
      <c r="O58" t="s">
        <v>266</v>
      </c>
      <c r="P58">
        <v>4.8244230429028652E-2</v>
      </c>
      <c r="Q58" t="s">
        <v>154</v>
      </c>
      <c r="S58" t="s">
        <v>219</v>
      </c>
      <c r="T58" t="s">
        <v>266</v>
      </c>
      <c r="U58">
        <v>2.1625088161695966E-2</v>
      </c>
      <c r="V58" t="s">
        <v>154</v>
      </c>
      <c r="AC58" t="s">
        <v>19</v>
      </c>
      <c r="AD58" t="s">
        <v>266</v>
      </c>
      <c r="AE58">
        <v>2.808783047746596E-2</v>
      </c>
      <c r="AK58">
        <v>2033</v>
      </c>
      <c r="AL58" t="s">
        <v>150</v>
      </c>
      <c r="AM58">
        <v>0.36194999999999999</v>
      </c>
      <c r="AN58" t="s">
        <v>250</v>
      </c>
    </row>
    <row r="59" spans="9:40" x14ac:dyDescent="0.45">
      <c r="I59" t="s">
        <v>167</v>
      </c>
      <c r="J59" t="s">
        <v>153</v>
      </c>
      <c r="K59">
        <v>7.5007191460297702E-3</v>
      </c>
      <c r="L59" t="s">
        <v>154</v>
      </c>
      <c r="N59" t="s">
        <v>196</v>
      </c>
      <c r="O59" t="s">
        <v>153</v>
      </c>
      <c r="P59">
        <v>0.1322950088336973</v>
      </c>
      <c r="Q59" t="s">
        <v>154</v>
      </c>
      <c r="S59" t="s">
        <v>220</v>
      </c>
      <c r="T59" t="s">
        <v>153</v>
      </c>
      <c r="U59">
        <v>0.1828570422210376</v>
      </c>
      <c r="V59" t="s">
        <v>154</v>
      </c>
      <c r="AK59">
        <v>2034</v>
      </c>
      <c r="AL59" t="s">
        <v>142</v>
      </c>
      <c r="AM59">
        <v>0.34939999999999999</v>
      </c>
      <c r="AN59" t="s">
        <v>250</v>
      </c>
    </row>
    <row r="60" spans="9:40" x14ac:dyDescent="0.45">
      <c r="I60" t="s">
        <v>167</v>
      </c>
      <c r="J60" t="s">
        <v>155</v>
      </c>
      <c r="K60">
        <v>7.7979874272847194E-2</v>
      </c>
      <c r="L60" t="s">
        <v>154</v>
      </c>
      <c r="N60" t="s">
        <v>196</v>
      </c>
      <c r="O60" t="s">
        <v>155</v>
      </c>
      <c r="P60">
        <v>3.2905397646873315E-2</v>
      </c>
      <c r="Q60" t="s">
        <v>154</v>
      </c>
      <c r="S60" t="s">
        <v>220</v>
      </c>
      <c r="T60" t="s">
        <v>155</v>
      </c>
      <c r="U60">
        <v>4.8333921952840947E-2</v>
      </c>
      <c r="V60" t="s">
        <v>154</v>
      </c>
      <c r="AK60">
        <v>2034</v>
      </c>
      <c r="AL60" t="s">
        <v>146</v>
      </c>
      <c r="AM60">
        <v>0.44696666666666668</v>
      </c>
      <c r="AN60" t="s">
        <v>250</v>
      </c>
    </row>
    <row r="61" spans="9:40" x14ac:dyDescent="0.45">
      <c r="I61" t="s">
        <v>167</v>
      </c>
      <c r="J61" t="s">
        <v>156</v>
      </c>
      <c r="K61">
        <v>0.5263319737716502</v>
      </c>
      <c r="L61" t="s">
        <v>154</v>
      </c>
      <c r="N61" t="s">
        <v>196</v>
      </c>
      <c r="O61" t="s">
        <v>156</v>
      </c>
      <c r="P61">
        <v>0.19988718673291242</v>
      </c>
      <c r="Q61" t="s">
        <v>154</v>
      </c>
      <c r="S61" t="s">
        <v>220</v>
      </c>
      <c r="T61" t="s">
        <v>156</v>
      </c>
      <c r="U61">
        <v>0.20691326789784256</v>
      </c>
      <c r="V61" t="s">
        <v>154</v>
      </c>
      <c r="AK61">
        <v>2034</v>
      </c>
      <c r="AL61" t="s">
        <v>148</v>
      </c>
      <c r="AM61">
        <v>0.41254999999999997</v>
      </c>
      <c r="AN61" t="s">
        <v>250</v>
      </c>
    </row>
    <row r="62" spans="9:40" x14ac:dyDescent="0.45">
      <c r="I62" t="s">
        <v>167</v>
      </c>
      <c r="J62" t="s">
        <v>255</v>
      </c>
      <c r="K62">
        <v>3.3639726846766589E-2</v>
      </c>
      <c r="L62" t="s">
        <v>154</v>
      </c>
      <c r="N62" t="s">
        <v>196</v>
      </c>
      <c r="O62" t="s">
        <v>255</v>
      </c>
      <c r="P62">
        <v>2.4818324069823212E-2</v>
      </c>
      <c r="Q62" t="s">
        <v>154</v>
      </c>
      <c r="S62" t="s">
        <v>220</v>
      </c>
      <c r="T62" t="s">
        <v>255</v>
      </c>
      <c r="U62">
        <v>2.7230459485329463E-2</v>
      </c>
      <c r="V62" t="s">
        <v>154</v>
      </c>
      <c r="AK62">
        <v>2034</v>
      </c>
      <c r="AL62" t="s">
        <v>150</v>
      </c>
      <c r="AM62">
        <v>0.3755</v>
      </c>
      <c r="AN62" t="s">
        <v>250</v>
      </c>
    </row>
    <row r="63" spans="9:40" x14ac:dyDescent="0.45">
      <c r="I63" t="s">
        <v>167</v>
      </c>
      <c r="J63" t="s">
        <v>256</v>
      </c>
      <c r="K63">
        <v>1.9349353739164667E-2</v>
      </c>
      <c r="L63" t="s">
        <v>154</v>
      </c>
      <c r="N63" t="s">
        <v>196</v>
      </c>
      <c r="O63" t="s">
        <v>256</v>
      </c>
      <c r="P63">
        <v>1.7716809602036095E-2</v>
      </c>
      <c r="Q63" t="s">
        <v>154</v>
      </c>
      <c r="S63" t="s">
        <v>220</v>
      </c>
      <c r="T63" t="s">
        <v>256</v>
      </c>
      <c r="U63">
        <v>2.5251683919803043E-2</v>
      </c>
      <c r="V63" t="s">
        <v>154</v>
      </c>
      <c r="AK63">
        <v>2035</v>
      </c>
      <c r="AL63" t="s">
        <v>142</v>
      </c>
      <c r="AM63">
        <v>0.37425000000000003</v>
      </c>
      <c r="AN63" t="s">
        <v>250</v>
      </c>
    </row>
    <row r="64" spans="9:40" x14ac:dyDescent="0.45">
      <c r="I64" t="s">
        <v>167</v>
      </c>
      <c r="J64" t="s">
        <v>257</v>
      </c>
      <c r="K64">
        <v>0</v>
      </c>
      <c r="L64" t="s">
        <v>154</v>
      </c>
      <c r="N64" t="s">
        <v>196</v>
      </c>
      <c r="O64" t="s">
        <v>257</v>
      </c>
      <c r="P64">
        <v>0.10491983949663036</v>
      </c>
      <c r="Q64" t="s">
        <v>154</v>
      </c>
      <c r="S64" t="s">
        <v>220</v>
      </c>
      <c r="T64" t="s">
        <v>257</v>
      </c>
      <c r="U64">
        <v>0.13708441166651755</v>
      </c>
      <c r="V64" t="s">
        <v>154</v>
      </c>
      <c r="AK64">
        <v>2035</v>
      </c>
      <c r="AL64" t="s">
        <v>146</v>
      </c>
      <c r="AM64">
        <v>0.4584333333333333</v>
      </c>
      <c r="AN64" t="s">
        <v>250</v>
      </c>
    </row>
    <row r="65" spans="9:40" x14ac:dyDescent="0.45">
      <c r="I65" t="s">
        <v>167</v>
      </c>
      <c r="J65" t="s">
        <v>157</v>
      </c>
      <c r="K65">
        <v>0</v>
      </c>
      <c r="L65" t="s">
        <v>154</v>
      </c>
      <c r="N65" t="s">
        <v>196</v>
      </c>
      <c r="O65" t="s">
        <v>157</v>
      </c>
      <c r="P65">
        <v>3.14664814798606E-2</v>
      </c>
      <c r="Q65" t="s">
        <v>154</v>
      </c>
      <c r="S65" t="s">
        <v>220</v>
      </c>
      <c r="T65" t="s">
        <v>157</v>
      </c>
      <c r="U65">
        <v>6.8974510054380669E-2</v>
      </c>
      <c r="V65" t="s">
        <v>154</v>
      </c>
      <c r="AK65">
        <v>2035</v>
      </c>
      <c r="AL65" t="s">
        <v>148</v>
      </c>
      <c r="AM65">
        <v>0.45484999999999998</v>
      </c>
      <c r="AN65" t="s">
        <v>250</v>
      </c>
    </row>
    <row r="66" spans="9:40" x14ac:dyDescent="0.45">
      <c r="I66" t="s">
        <v>167</v>
      </c>
      <c r="J66" t="s">
        <v>158</v>
      </c>
      <c r="K66">
        <v>1.5597858266974443E-2</v>
      </c>
      <c r="L66" t="s">
        <v>154</v>
      </c>
      <c r="N66" t="s">
        <v>196</v>
      </c>
      <c r="O66" t="s">
        <v>158</v>
      </c>
      <c r="P66">
        <v>9.2864788962500767E-3</v>
      </c>
      <c r="Q66" t="s">
        <v>154</v>
      </c>
      <c r="S66" t="s">
        <v>220</v>
      </c>
      <c r="T66" t="s">
        <v>158</v>
      </c>
      <c r="U66">
        <v>2.007090765876763E-2</v>
      </c>
      <c r="V66" t="s">
        <v>154</v>
      </c>
      <c r="AK66">
        <v>2035</v>
      </c>
      <c r="AL66" t="s">
        <v>150</v>
      </c>
      <c r="AM66">
        <v>0.41420000000000001</v>
      </c>
      <c r="AN66" t="s">
        <v>250</v>
      </c>
    </row>
    <row r="67" spans="9:40" x14ac:dyDescent="0.45">
      <c r="I67" t="s">
        <v>167</v>
      </c>
      <c r="J67" t="s">
        <v>159</v>
      </c>
      <c r="K67">
        <v>0.11165222378352765</v>
      </c>
      <c r="L67" t="s">
        <v>154</v>
      </c>
      <c r="N67" t="s">
        <v>196</v>
      </c>
      <c r="O67" t="s">
        <v>159</v>
      </c>
      <c r="P67">
        <v>4.1978227303593581E-2</v>
      </c>
      <c r="Q67" t="s">
        <v>154</v>
      </c>
      <c r="S67" t="s">
        <v>220</v>
      </c>
      <c r="T67" t="s">
        <v>159</v>
      </c>
      <c r="U67">
        <v>8.3575973645162727E-2</v>
      </c>
      <c r="V67" t="s">
        <v>154</v>
      </c>
      <c r="AK67">
        <v>2036</v>
      </c>
      <c r="AL67" t="s">
        <v>142</v>
      </c>
      <c r="AM67">
        <v>0.308</v>
      </c>
      <c r="AN67" t="s">
        <v>250</v>
      </c>
    </row>
    <row r="68" spans="9:40" x14ac:dyDescent="0.45">
      <c r="I68" t="s">
        <v>167</v>
      </c>
      <c r="J68" t="s">
        <v>258</v>
      </c>
      <c r="K68">
        <v>5.5091839911248774E-3</v>
      </c>
      <c r="L68" t="s">
        <v>154</v>
      </c>
      <c r="N68" t="s">
        <v>196</v>
      </c>
      <c r="O68" t="s">
        <v>258</v>
      </c>
      <c r="P68">
        <v>5.3217052184440046E-3</v>
      </c>
      <c r="Q68" t="s">
        <v>154</v>
      </c>
      <c r="S68" t="s">
        <v>220</v>
      </c>
      <c r="T68" t="s">
        <v>258</v>
      </c>
      <c r="U68">
        <v>1.0352522610845172E-2</v>
      </c>
      <c r="V68" t="s">
        <v>154</v>
      </c>
      <c r="AK68">
        <v>2036</v>
      </c>
      <c r="AL68" t="s">
        <v>146</v>
      </c>
      <c r="AM68">
        <v>0.46866666666666673</v>
      </c>
      <c r="AN68" t="s">
        <v>250</v>
      </c>
    </row>
    <row r="69" spans="9:40" x14ac:dyDescent="0.45">
      <c r="I69" t="s">
        <v>167</v>
      </c>
      <c r="J69" t="s">
        <v>259</v>
      </c>
      <c r="K69">
        <v>2.1133010281601523E-3</v>
      </c>
      <c r="L69" t="s">
        <v>154</v>
      </c>
      <c r="N69" t="s">
        <v>196</v>
      </c>
      <c r="O69" t="s">
        <v>259</v>
      </c>
      <c r="P69">
        <v>5.100671068134474E-3</v>
      </c>
      <c r="Q69" t="s">
        <v>154</v>
      </c>
      <c r="S69" t="s">
        <v>220</v>
      </c>
      <c r="T69" t="s">
        <v>259</v>
      </c>
      <c r="U69">
        <v>9.9339501464088438E-3</v>
      </c>
      <c r="V69" t="s">
        <v>154</v>
      </c>
      <c r="AK69">
        <v>2036</v>
      </c>
      <c r="AL69" t="s">
        <v>148</v>
      </c>
      <c r="AM69">
        <v>0.36985000000000001</v>
      </c>
      <c r="AN69" t="s">
        <v>250</v>
      </c>
    </row>
    <row r="70" spans="9:40" x14ac:dyDescent="0.45">
      <c r="I70" t="s">
        <v>167</v>
      </c>
      <c r="J70" t="s">
        <v>260</v>
      </c>
      <c r="K70">
        <v>0</v>
      </c>
      <c r="L70" t="s">
        <v>154</v>
      </c>
      <c r="N70" t="s">
        <v>196</v>
      </c>
      <c r="O70" t="s">
        <v>260</v>
      </c>
      <c r="P70">
        <v>2.476062980858329E-2</v>
      </c>
      <c r="Q70" t="s">
        <v>154</v>
      </c>
      <c r="S70" t="s">
        <v>220</v>
      </c>
      <c r="T70" t="s">
        <v>260</v>
      </c>
      <c r="U70">
        <v>4.6919794473761677E-2</v>
      </c>
      <c r="V70" t="s">
        <v>154</v>
      </c>
      <c r="AK70">
        <v>2036</v>
      </c>
      <c r="AL70" t="s">
        <v>150</v>
      </c>
      <c r="AM70">
        <v>0.37519999999999998</v>
      </c>
      <c r="AN70" t="s">
        <v>250</v>
      </c>
    </row>
    <row r="71" spans="9:40" x14ac:dyDescent="0.45">
      <c r="I71" t="s">
        <v>167</v>
      </c>
      <c r="J71" t="s">
        <v>160</v>
      </c>
      <c r="K71">
        <v>0</v>
      </c>
      <c r="L71" t="s">
        <v>154</v>
      </c>
      <c r="N71" t="s">
        <v>196</v>
      </c>
      <c r="O71" t="s">
        <v>160</v>
      </c>
      <c r="P71">
        <v>3.7949709426048257E-2</v>
      </c>
      <c r="Q71" t="s">
        <v>154</v>
      </c>
      <c r="S71" t="s">
        <v>220</v>
      </c>
      <c r="T71" t="s">
        <v>160</v>
      </c>
      <c r="U71">
        <v>1.0357627179677783E-2</v>
      </c>
      <c r="V71" t="s">
        <v>154</v>
      </c>
      <c r="AK71">
        <v>2037</v>
      </c>
      <c r="AL71" t="s">
        <v>142</v>
      </c>
      <c r="AM71">
        <v>0.3515875</v>
      </c>
      <c r="AN71" t="s">
        <v>250</v>
      </c>
    </row>
    <row r="72" spans="9:40" x14ac:dyDescent="0.45">
      <c r="I72" t="s">
        <v>167</v>
      </c>
      <c r="J72" t="s">
        <v>161</v>
      </c>
      <c r="K72">
        <v>1.0752015646269718E-2</v>
      </c>
      <c r="L72" t="s">
        <v>154</v>
      </c>
      <c r="N72" t="s">
        <v>196</v>
      </c>
      <c r="O72" t="s">
        <v>161</v>
      </c>
      <c r="P72">
        <v>9.8625493049245457E-3</v>
      </c>
      <c r="Q72" t="s">
        <v>154</v>
      </c>
      <c r="S72" t="s">
        <v>220</v>
      </c>
      <c r="T72" t="s">
        <v>161</v>
      </c>
      <c r="U72">
        <v>3.2604389456530633E-3</v>
      </c>
      <c r="V72" t="s">
        <v>154</v>
      </c>
      <c r="AK72">
        <v>2037</v>
      </c>
      <c r="AL72" t="s">
        <v>146</v>
      </c>
      <c r="AM72">
        <v>0.45366666666666666</v>
      </c>
      <c r="AN72" t="s">
        <v>250</v>
      </c>
    </row>
    <row r="73" spans="9:40" x14ac:dyDescent="0.45">
      <c r="I73" t="s">
        <v>167</v>
      </c>
      <c r="J73" t="s">
        <v>162</v>
      </c>
      <c r="K73">
        <v>6.0626952691757149E-2</v>
      </c>
      <c r="L73" t="s">
        <v>154</v>
      </c>
      <c r="N73" t="s">
        <v>196</v>
      </c>
      <c r="O73" t="s">
        <v>162</v>
      </c>
      <c r="P73">
        <v>5.3415141990350232E-2</v>
      </c>
      <c r="Q73" t="s">
        <v>154</v>
      </c>
      <c r="S73" t="s">
        <v>220</v>
      </c>
      <c r="T73" t="s">
        <v>162</v>
      </c>
      <c r="U73">
        <v>1.428627452750828E-2</v>
      </c>
      <c r="V73" t="s">
        <v>154</v>
      </c>
      <c r="AK73">
        <v>2037</v>
      </c>
      <c r="AL73" t="s">
        <v>148</v>
      </c>
      <c r="AM73">
        <v>0.38470000000000004</v>
      </c>
      <c r="AN73" t="s">
        <v>250</v>
      </c>
    </row>
    <row r="74" spans="9:40" x14ac:dyDescent="0.45">
      <c r="I74" t="s">
        <v>167</v>
      </c>
      <c r="J74" t="s">
        <v>261</v>
      </c>
      <c r="K74">
        <v>3.1476055961934942E-3</v>
      </c>
      <c r="L74" t="s">
        <v>154</v>
      </c>
      <c r="N74" t="s">
        <v>196</v>
      </c>
      <c r="O74" t="s">
        <v>261</v>
      </c>
      <c r="P74">
        <v>6.6886757977374471E-3</v>
      </c>
      <c r="Q74" t="s">
        <v>154</v>
      </c>
      <c r="S74" t="s">
        <v>220</v>
      </c>
      <c r="T74" t="s">
        <v>261</v>
      </c>
      <c r="U74">
        <v>1.7082617390856045E-3</v>
      </c>
      <c r="V74" t="s">
        <v>154</v>
      </c>
      <c r="AK74">
        <v>2037</v>
      </c>
      <c r="AL74" t="s">
        <v>150</v>
      </c>
      <c r="AM74">
        <v>0.37204999999999999</v>
      </c>
      <c r="AN74" t="s">
        <v>250</v>
      </c>
    </row>
    <row r="75" spans="9:40" x14ac:dyDescent="0.45">
      <c r="I75" t="s">
        <v>167</v>
      </c>
      <c r="J75" t="s">
        <v>262</v>
      </c>
      <c r="K75">
        <v>0</v>
      </c>
      <c r="L75" t="s">
        <v>154</v>
      </c>
      <c r="N75" t="s">
        <v>196</v>
      </c>
      <c r="O75" t="s">
        <v>262</v>
      </c>
      <c r="P75">
        <v>5.3661991822978698E-3</v>
      </c>
      <c r="Q75" t="s">
        <v>154</v>
      </c>
      <c r="S75" t="s">
        <v>220</v>
      </c>
      <c r="T75" t="s">
        <v>262</v>
      </c>
      <c r="U75">
        <v>1.5121562216471479E-3</v>
      </c>
      <c r="V75" t="s">
        <v>154</v>
      </c>
      <c r="AK75">
        <v>2038</v>
      </c>
      <c r="AL75" t="s">
        <v>142</v>
      </c>
      <c r="AM75">
        <v>0.30561250000000001</v>
      </c>
      <c r="AN75" t="s">
        <v>250</v>
      </c>
    </row>
    <row r="76" spans="9:40" x14ac:dyDescent="0.45">
      <c r="I76" t="s">
        <v>167</v>
      </c>
      <c r="J76" t="s">
        <v>263</v>
      </c>
      <c r="K76">
        <v>0</v>
      </c>
      <c r="L76" t="s">
        <v>154</v>
      </c>
      <c r="N76" t="s">
        <v>196</v>
      </c>
      <c r="O76" t="s">
        <v>263</v>
      </c>
      <c r="P76">
        <v>2.7482427160588137E-2</v>
      </c>
      <c r="Q76" t="s">
        <v>154</v>
      </c>
      <c r="S76" t="s">
        <v>220</v>
      </c>
      <c r="T76" t="s">
        <v>263</v>
      </c>
      <c r="U76">
        <v>6.8920854261214411E-3</v>
      </c>
      <c r="V76" t="s">
        <v>154</v>
      </c>
      <c r="AK76">
        <v>2038</v>
      </c>
      <c r="AL76" t="s">
        <v>146</v>
      </c>
      <c r="AM76">
        <v>0.43409999999999999</v>
      </c>
      <c r="AN76" t="s">
        <v>250</v>
      </c>
    </row>
    <row r="77" spans="9:40" x14ac:dyDescent="0.45">
      <c r="I77" t="s">
        <v>167</v>
      </c>
      <c r="J77" t="s">
        <v>163</v>
      </c>
      <c r="K77">
        <v>0</v>
      </c>
      <c r="L77" t="s">
        <v>154</v>
      </c>
      <c r="N77" t="s">
        <v>196</v>
      </c>
      <c r="O77" t="s">
        <v>163</v>
      </c>
      <c r="P77">
        <v>6.3249659556896959E-2</v>
      </c>
      <c r="Q77" t="s">
        <v>154</v>
      </c>
      <c r="S77" t="s">
        <v>220</v>
      </c>
      <c r="T77" t="s">
        <v>163</v>
      </c>
      <c r="U77">
        <v>2.7738736976052423E-2</v>
      </c>
      <c r="V77" t="s">
        <v>154</v>
      </c>
      <c r="AK77">
        <v>2038</v>
      </c>
      <c r="AL77" t="s">
        <v>148</v>
      </c>
      <c r="AM77">
        <v>0.37544999999999995</v>
      </c>
      <c r="AN77" t="s">
        <v>250</v>
      </c>
    </row>
    <row r="78" spans="9:40" x14ac:dyDescent="0.45">
      <c r="I78" t="s">
        <v>167</v>
      </c>
      <c r="J78" t="s">
        <v>164</v>
      </c>
      <c r="K78">
        <v>1.7190743101067742E-2</v>
      </c>
      <c r="L78" t="s">
        <v>154</v>
      </c>
      <c r="N78" t="s">
        <v>196</v>
      </c>
      <c r="O78" t="s">
        <v>164</v>
      </c>
      <c r="P78">
        <v>1.6661474814650235E-2</v>
      </c>
      <c r="Q78" t="s">
        <v>154</v>
      </c>
      <c r="S78" t="s">
        <v>220</v>
      </c>
      <c r="T78" t="s">
        <v>164</v>
      </c>
      <c r="U78">
        <v>7.4254785899850106E-3</v>
      </c>
      <c r="V78" t="s">
        <v>154</v>
      </c>
      <c r="AK78">
        <v>2038</v>
      </c>
      <c r="AL78" t="s">
        <v>150</v>
      </c>
      <c r="AM78">
        <v>0.32055</v>
      </c>
      <c r="AN78" t="s">
        <v>250</v>
      </c>
    </row>
    <row r="79" spans="9:40" x14ac:dyDescent="0.45">
      <c r="I79" t="s">
        <v>167</v>
      </c>
      <c r="J79" t="s">
        <v>165</v>
      </c>
      <c r="K79">
        <v>0.10323914403290721</v>
      </c>
      <c r="L79" t="s">
        <v>154</v>
      </c>
      <c r="N79" t="s">
        <v>196</v>
      </c>
      <c r="O79" t="s">
        <v>165</v>
      </c>
      <c r="P79">
        <v>8.466517114810039E-2</v>
      </c>
      <c r="Q79" t="s">
        <v>154</v>
      </c>
      <c r="S79" t="s">
        <v>220</v>
      </c>
      <c r="T79" t="s">
        <v>165</v>
      </c>
      <c r="U79">
        <v>2.7994102644277531E-2</v>
      </c>
      <c r="V79" t="s">
        <v>154</v>
      </c>
      <c r="AK79">
        <v>2039</v>
      </c>
      <c r="AL79" t="s">
        <v>142</v>
      </c>
      <c r="AM79">
        <v>0.32023750000000001</v>
      </c>
      <c r="AN79" t="s">
        <v>250</v>
      </c>
    </row>
    <row r="80" spans="9:40" x14ac:dyDescent="0.45">
      <c r="I80" t="s">
        <v>167</v>
      </c>
      <c r="J80" t="s">
        <v>264</v>
      </c>
      <c r="K80">
        <v>5.3693240855612317E-3</v>
      </c>
      <c r="L80" t="s">
        <v>154</v>
      </c>
      <c r="N80" t="s">
        <v>196</v>
      </c>
      <c r="O80" t="s">
        <v>264</v>
      </c>
      <c r="P80">
        <v>1.0699348743813793E-2</v>
      </c>
      <c r="Q80" t="s">
        <v>154</v>
      </c>
      <c r="S80" t="s">
        <v>220</v>
      </c>
      <c r="T80" t="s">
        <v>264</v>
      </c>
      <c r="U80">
        <v>4.0661896636486772E-3</v>
      </c>
      <c r="V80" t="s">
        <v>154</v>
      </c>
      <c r="AK80">
        <v>2039</v>
      </c>
      <c r="AL80" t="s">
        <v>146</v>
      </c>
      <c r="AM80">
        <v>0.45563333333333333</v>
      </c>
      <c r="AN80" t="s">
        <v>250</v>
      </c>
    </row>
    <row r="81" spans="9:40" x14ac:dyDescent="0.45">
      <c r="I81" t="s">
        <v>167</v>
      </c>
      <c r="J81" t="s">
        <v>265</v>
      </c>
      <c r="K81">
        <v>0</v>
      </c>
      <c r="L81" t="s">
        <v>154</v>
      </c>
      <c r="N81" t="s">
        <v>196</v>
      </c>
      <c r="O81" t="s">
        <v>265</v>
      </c>
      <c r="P81">
        <v>7.3472501924237285E-3</v>
      </c>
      <c r="Q81" t="s">
        <v>154</v>
      </c>
      <c r="S81" t="s">
        <v>220</v>
      </c>
      <c r="T81" t="s">
        <v>265</v>
      </c>
      <c r="U81">
        <v>3.830590054907278E-3</v>
      </c>
      <c r="V81" t="s">
        <v>154</v>
      </c>
      <c r="AK81">
        <v>2039</v>
      </c>
      <c r="AL81" t="s">
        <v>148</v>
      </c>
      <c r="AM81">
        <v>0.48199999999999998</v>
      </c>
      <c r="AN81" t="s">
        <v>250</v>
      </c>
    </row>
    <row r="82" spans="9:40" x14ac:dyDescent="0.45">
      <c r="I82" t="s">
        <v>167</v>
      </c>
      <c r="J82" t="s">
        <v>266</v>
      </c>
      <c r="K82">
        <v>0</v>
      </c>
      <c r="L82" t="s">
        <v>154</v>
      </c>
      <c r="N82" t="s">
        <v>196</v>
      </c>
      <c r="O82" t="s">
        <v>266</v>
      </c>
      <c r="P82">
        <v>4.6155632525326923E-2</v>
      </c>
      <c r="Q82" t="s">
        <v>154</v>
      </c>
      <c r="S82" t="s">
        <v>220</v>
      </c>
      <c r="T82" t="s">
        <v>266</v>
      </c>
      <c r="U82">
        <v>2.3429612298732468E-2</v>
      </c>
      <c r="V82" t="s">
        <v>154</v>
      </c>
      <c r="AK82">
        <v>2039</v>
      </c>
      <c r="AL82" t="s">
        <v>150</v>
      </c>
      <c r="AM82">
        <v>0.44624999999999998</v>
      </c>
      <c r="AN82" t="s">
        <v>250</v>
      </c>
    </row>
    <row r="83" spans="9:40" x14ac:dyDescent="0.45">
      <c r="I83" t="s">
        <v>168</v>
      </c>
      <c r="J83" t="s">
        <v>153</v>
      </c>
      <c r="K83">
        <v>6.2632685271096908E-3</v>
      </c>
      <c r="L83" t="s">
        <v>154</v>
      </c>
      <c r="N83" t="s">
        <v>197</v>
      </c>
      <c r="O83" t="s">
        <v>153</v>
      </c>
      <c r="P83">
        <v>0.13840641133568293</v>
      </c>
      <c r="Q83" t="s">
        <v>154</v>
      </c>
      <c r="S83" t="s">
        <v>221</v>
      </c>
      <c r="T83" t="s">
        <v>153</v>
      </c>
      <c r="U83">
        <v>0.17560921343119568</v>
      </c>
      <c r="V83" t="s">
        <v>154</v>
      </c>
      <c r="AK83">
        <v>2040</v>
      </c>
      <c r="AL83" t="s">
        <v>142</v>
      </c>
      <c r="AM83">
        <v>0.32792499999999997</v>
      </c>
      <c r="AN83" t="s">
        <v>250</v>
      </c>
    </row>
    <row r="84" spans="9:40" x14ac:dyDescent="0.45">
      <c r="I84" t="s">
        <v>168</v>
      </c>
      <c r="J84" t="s">
        <v>155</v>
      </c>
      <c r="K84">
        <v>7.4273280560966437E-2</v>
      </c>
      <c r="L84" t="s">
        <v>154</v>
      </c>
      <c r="N84" t="s">
        <v>197</v>
      </c>
      <c r="O84" t="s">
        <v>155</v>
      </c>
      <c r="P84">
        <v>3.7442968488742977E-2</v>
      </c>
      <c r="Q84" t="s">
        <v>154</v>
      </c>
      <c r="S84" t="s">
        <v>221</v>
      </c>
      <c r="T84" t="s">
        <v>155</v>
      </c>
      <c r="U84">
        <v>5.0400096672238361E-2</v>
      </c>
      <c r="V84" t="s">
        <v>154</v>
      </c>
      <c r="AK84">
        <v>2040</v>
      </c>
      <c r="AL84" t="s">
        <v>146</v>
      </c>
      <c r="AM84">
        <v>0.4269</v>
      </c>
      <c r="AN84" t="s">
        <v>250</v>
      </c>
    </row>
    <row r="85" spans="9:40" x14ac:dyDescent="0.45">
      <c r="I85" t="s">
        <v>168</v>
      </c>
      <c r="J85" t="s">
        <v>156</v>
      </c>
      <c r="K85">
        <v>0.52217085653483197</v>
      </c>
      <c r="L85" t="s">
        <v>154</v>
      </c>
      <c r="N85" t="s">
        <v>197</v>
      </c>
      <c r="O85" t="s">
        <v>156</v>
      </c>
      <c r="P85">
        <v>0.2038124985673648</v>
      </c>
      <c r="Q85" t="s">
        <v>154</v>
      </c>
      <c r="S85" t="s">
        <v>221</v>
      </c>
      <c r="T85" t="s">
        <v>156</v>
      </c>
      <c r="U85">
        <v>0.20680166307220096</v>
      </c>
      <c r="V85" t="s">
        <v>154</v>
      </c>
      <c r="AK85">
        <v>2040</v>
      </c>
      <c r="AL85" t="s">
        <v>148</v>
      </c>
      <c r="AM85">
        <v>0.37085000000000001</v>
      </c>
      <c r="AN85" t="s">
        <v>250</v>
      </c>
    </row>
    <row r="86" spans="9:40" x14ac:dyDescent="0.45">
      <c r="I86" t="s">
        <v>168</v>
      </c>
      <c r="J86" t="s">
        <v>255</v>
      </c>
      <c r="K86">
        <v>3.3998913397499268E-2</v>
      </c>
      <c r="L86" t="s">
        <v>154</v>
      </c>
      <c r="N86" t="s">
        <v>197</v>
      </c>
      <c r="O86" t="s">
        <v>255</v>
      </c>
      <c r="P86">
        <v>2.6599407921404156E-2</v>
      </c>
      <c r="Q86" t="s">
        <v>154</v>
      </c>
      <c r="S86" t="s">
        <v>221</v>
      </c>
      <c r="T86" t="s">
        <v>255</v>
      </c>
      <c r="U86">
        <v>2.2338319271663108E-2</v>
      </c>
      <c r="V86" t="s">
        <v>154</v>
      </c>
      <c r="AK86">
        <v>2040</v>
      </c>
      <c r="AL86" t="s">
        <v>150</v>
      </c>
      <c r="AM86">
        <v>0.35099999999999998</v>
      </c>
      <c r="AN86" t="s">
        <v>250</v>
      </c>
    </row>
    <row r="87" spans="9:40" x14ac:dyDescent="0.45">
      <c r="I87" t="s">
        <v>168</v>
      </c>
      <c r="J87" t="s">
        <v>256</v>
      </c>
      <c r="K87">
        <v>1.9439120485262341E-2</v>
      </c>
      <c r="L87" t="s">
        <v>154</v>
      </c>
      <c r="N87" t="s">
        <v>197</v>
      </c>
      <c r="O87" t="s">
        <v>256</v>
      </c>
      <c r="P87">
        <v>2.0244263797284476E-2</v>
      </c>
      <c r="Q87" t="s">
        <v>154</v>
      </c>
      <c r="S87" t="s">
        <v>221</v>
      </c>
      <c r="T87" t="s">
        <v>256</v>
      </c>
      <c r="U87">
        <v>2.2740576825590029E-2</v>
      </c>
      <c r="V87" t="s">
        <v>154</v>
      </c>
      <c r="AK87">
        <v>2041</v>
      </c>
      <c r="AL87" t="s">
        <v>142</v>
      </c>
      <c r="AM87">
        <v>0.38823750000000001</v>
      </c>
      <c r="AN87" t="s">
        <v>250</v>
      </c>
    </row>
    <row r="88" spans="9:40" x14ac:dyDescent="0.45">
      <c r="I88" t="s">
        <v>168</v>
      </c>
      <c r="J88" t="s">
        <v>257</v>
      </c>
      <c r="K88">
        <v>0</v>
      </c>
      <c r="L88" t="s">
        <v>154</v>
      </c>
      <c r="N88" t="s">
        <v>197</v>
      </c>
      <c r="O88" t="s">
        <v>257</v>
      </c>
      <c r="P88">
        <v>0.11135034394829851</v>
      </c>
      <c r="Q88" t="s">
        <v>154</v>
      </c>
      <c r="S88" t="s">
        <v>221</v>
      </c>
      <c r="T88" t="s">
        <v>257</v>
      </c>
      <c r="U88">
        <v>0.1209998889809972</v>
      </c>
      <c r="V88" t="s">
        <v>154</v>
      </c>
      <c r="AK88">
        <v>2041</v>
      </c>
      <c r="AL88" t="s">
        <v>146</v>
      </c>
      <c r="AM88">
        <v>0.44720000000000004</v>
      </c>
      <c r="AN88" t="s">
        <v>250</v>
      </c>
    </row>
    <row r="89" spans="9:40" x14ac:dyDescent="0.45">
      <c r="I89" t="s">
        <v>168</v>
      </c>
      <c r="J89" t="s">
        <v>157</v>
      </c>
      <c r="K89">
        <v>0</v>
      </c>
      <c r="L89" t="s">
        <v>154</v>
      </c>
      <c r="N89" t="s">
        <v>197</v>
      </c>
      <c r="O89" t="s">
        <v>157</v>
      </c>
      <c r="P89">
        <v>2.8769445737596065E-2</v>
      </c>
      <c r="Q89" t="s">
        <v>154</v>
      </c>
      <c r="S89" t="s">
        <v>221</v>
      </c>
      <c r="T89" t="s">
        <v>157</v>
      </c>
      <c r="U89">
        <v>5.0911268786429466E-2</v>
      </c>
      <c r="V89" t="s">
        <v>154</v>
      </c>
      <c r="AK89">
        <v>2041</v>
      </c>
      <c r="AL89" t="s">
        <v>148</v>
      </c>
      <c r="AM89">
        <v>0.36014999999999997</v>
      </c>
      <c r="AN89" t="s">
        <v>250</v>
      </c>
    </row>
    <row r="90" spans="9:40" x14ac:dyDescent="0.45">
      <c r="I90" t="s">
        <v>168</v>
      </c>
      <c r="J90" t="s">
        <v>158</v>
      </c>
      <c r="K90">
        <v>1.6275550333475924E-2</v>
      </c>
      <c r="L90" t="s">
        <v>154</v>
      </c>
      <c r="N90" t="s">
        <v>197</v>
      </c>
      <c r="O90" t="s">
        <v>158</v>
      </c>
      <c r="P90">
        <v>7.7663497740009602E-3</v>
      </c>
      <c r="Q90" t="s">
        <v>154</v>
      </c>
      <c r="S90" t="s">
        <v>221</v>
      </c>
      <c r="T90" t="s">
        <v>158</v>
      </c>
      <c r="U90">
        <v>1.4043782455596921E-2</v>
      </c>
      <c r="V90" t="s">
        <v>154</v>
      </c>
      <c r="AK90">
        <v>2041</v>
      </c>
      <c r="AL90" t="s">
        <v>150</v>
      </c>
      <c r="AM90">
        <v>0.3805</v>
      </c>
      <c r="AN90" t="s">
        <v>250</v>
      </c>
    </row>
    <row r="91" spans="9:40" x14ac:dyDescent="0.45">
      <c r="I91" t="s">
        <v>168</v>
      </c>
      <c r="J91" t="s">
        <v>159</v>
      </c>
      <c r="K91">
        <v>0.1152235715712423</v>
      </c>
      <c r="L91" t="s">
        <v>154</v>
      </c>
      <c r="N91" t="s">
        <v>197</v>
      </c>
      <c r="O91" t="s">
        <v>159</v>
      </c>
      <c r="P91">
        <v>3.5833102289800613E-2</v>
      </c>
      <c r="Q91" t="s">
        <v>154</v>
      </c>
      <c r="S91" t="s">
        <v>221</v>
      </c>
      <c r="T91" t="s">
        <v>159</v>
      </c>
      <c r="U91">
        <v>5.9474186185023627E-2</v>
      </c>
      <c r="V91" t="s">
        <v>154</v>
      </c>
      <c r="AK91">
        <v>2042</v>
      </c>
      <c r="AL91" t="s">
        <v>142</v>
      </c>
      <c r="AM91">
        <v>0.36522499999999997</v>
      </c>
      <c r="AN91" t="s">
        <v>250</v>
      </c>
    </row>
    <row r="92" spans="9:40" x14ac:dyDescent="0.45">
      <c r="I92" t="s">
        <v>168</v>
      </c>
      <c r="J92" t="s">
        <v>258</v>
      </c>
      <c r="K92">
        <v>5.9505895469705496E-3</v>
      </c>
      <c r="L92" t="s">
        <v>154</v>
      </c>
      <c r="N92" t="s">
        <v>197</v>
      </c>
      <c r="O92" t="s">
        <v>258</v>
      </c>
      <c r="P92">
        <v>4.6633065500448784E-3</v>
      </c>
      <c r="Q92" t="s">
        <v>154</v>
      </c>
      <c r="S92" t="s">
        <v>221</v>
      </c>
      <c r="T92" t="s">
        <v>258</v>
      </c>
      <c r="U92">
        <v>6.6772955268228421E-3</v>
      </c>
      <c r="V92" t="s">
        <v>154</v>
      </c>
      <c r="AK92">
        <v>2042</v>
      </c>
      <c r="AL92" t="s">
        <v>146</v>
      </c>
      <c r="AM92">
        <v>0.45026666666666665</v>
      </c>
      <c r="AN92" t="s">
        <v>250</v>
      </c>
    </row>
    <row r="93" spans="9:40" x14ac:dyDescent="0.45">
      <c r="I93" t="s">
        <v>168</v>
      </c>
      <c r="J93" t="s">
        <v>259</v>
      </c>
      <c r="K93">
        <v>2.1451482653176506E-3</v>
      </c>
      <c r="L93" t="s">
        <v>154</v>
      </c>
      <c r="N93" t="s">
        <v>197</v>
      </c>
      <c r="O93" t="s">
        <v>259</v>
      </c>
      <c r="P93">
        <v>4.673052852584663E-3</v>
      </c>
      <c r="Q93" t="s">
        <v>154</v>
      </c>
      <c r="S93" t="s">
        <v>221</v>
      </c>
      <c r="T93" t="s">
        <v>259</v>
      </c>
      <c r="U93">
        <v>6.5338313749890454E-3</v>
      </c>
      <c r="V93" t="s">
        <v>154</v>
      </c>
      <c r="AK93">
        <v>2042</v>
      </c>
      <c r="AL93" t="s">
        <v>148</v>
      </c>
      <c r="AM93">
        <v>0.40900000000000003</v>
      </c>
      <c r="AN93" t="s">
        <v>250</v>
      </c>
    </row>
    <row r="94" spans="9:40" x14ac:dyDescent="0.45">
      <c r="I94" t="s">
        <v>168</v>
      </c>
      <c r="J94" t="s">
        <v>260</v>
      </c>
      <c r="K94">
        <v>0</v>
      </c>
      <c r="L94" t="s">
        <v>154</v>
      </c>
      <c r="N94" t="s">
        <v>197</v>
      </c>
      <c r="O94" t="s">
        <v>260</v>
      </c>
      <c r="P94">
        <v>2.4527145233393114E-2</v>
      </c>
      <c r="Q94" t="s">
        <v>154</v>
      </c>
      <c r="S94" t="s">
        <v>221</v>
      </c>
      <c r="T94" t="s">
        <v>260</v>
      </c>
      <c r="U94">
        <v>3.3571579901381841E-2</v>
      </c>
      <c r="V94" t="s">
        <v>154</v>
      </c>
      <c r="AK94">
        <v>2042</v>
      </c>
      <c r="AL94" t="s">
        <v>150</v>
      </c>
      <c r="AM94">
        <v>0.39624999999999999</v>
      </c>
      <c r="AN94" t="s">
        <v>250</v>
      </c>
    </row>
    <row r="95" spans="9:40" x14ac:dyDescent="0.45">
      <c r="I95" t="s">
        <v>168</v>
      </c>
      <c r="J95" t="s">
        <v>160</v>
      </c>
      <c r="K95">
        <v>0</v>
      </c>
      <c r="L95" t="s">
        <v>154</v>
      </c>
      <c r="N95" t="s">
        <v>197</v>
      </c>
      <c r="O95" t="s">
        <v>160</v>
      </c>
      <c r="P95">
        <v>3.9237587523824204E-2</v>
      </c>
      <c r="Q95" t="s">
        <v>154</v>
      </c>
      <c r="S95" t="s">
        <v>221</v>
      </c>
      <c r="T95" t="s">
        <v>160</v>
      </c>
      <c r="U95">
        <v>1.0892919497007594E-2</v>
      </c>
      <c r="V95" t="s">
        <v>154</v>
      </c>
      <c r="AK95">
        <v>2043</v>
      </c>
      <c r="AL95" t="s">
        <v>142</v>
      </c>
      <c r="AM95">
        <v>0.32688750000000005</v>
      </c>
      <c r="AN95" t="s">
        <v>250</v>
      </c>
    </row>
    <row r="96" spans="9:40" x14ac:dyDescent="0.45">
      <c r="I96" t="s">
        <v>168</v>
      </c>
      <c r="J96" t="s">
        <v>161</v>
      </c>
      <c r="K96">
        <v>1.0201842497181637E-2</v>
      </c>
      <c r="L96" t="s">
        <v>154</v>
      </c>
      <c r="N96" t="s">
        <v>197</v>
      </c>
      <c r="O96" t="s">
        <v>161</v>
      </c>
      <c r="P96">
        <v>1.0264559746121948E-2</v>
      </c>
      <c r="Q96" t="s">
        <v>154</v>
      </c>
      <c r="S96" t="s">
        <v>221</v>
      </c>
      <c r="T96" t="s">
        <v>161</v>
      </c>
      <c r="U96">
        <v>3.2329955273278847E-3</v>
      </c>
      <c r="V96" t="s">
        <v>154</v>
      </c>
      <c r="AK96">
        <v>2043</v>
      </c>
      <c r="AL96" t="s">
        <v>146</v>
      </c>
      <c r="AM96">
        <v>0.43559999999999999</v>
      </c>
      <c r="AN96" t="s">
        <v>250</v>
      </c>
    </row>
    <row r="97" spans="9:40" x14ac:dyDescent="0.45">
      <c r="I97" t="s">
        <v>168</v>
      </c>
      <c r="J97" t="s">
        <v>162</v>
      </c>
      <c r="K97">
        <v>6.1109852391383279E-2</v>
      </c>
      <c r="L97" t="s">
        <v>154</v>
      </c>
      <c r="N97" t="s">
        <v>197</v>
      </c>
      <c r="O97" t="s">
        <v>162</v>
      </c>
      <c r="P97">
        <v>5.1520126306819694E-2</v>
      </c>
      <c r="Q97" t="s">
        <v>154</v>
      </c>
      <c r="S97" t="s">
        <v>221</v>
      </c>
      <c r="T97" t="s">
        <v>162</v>
      </c>
      <c r="U97">
        <v>1.2109011072004001E-2</v>
      </c>
      <c r="V97" t="s">
        <v>154</v>
      </c>
      <c r="AK97">
        <v>2043</v>
      </c>
      <c r="AL97" t="s">
        <v>148</v>
      </c>
      <c r="AM97">
        <v>0.35085</v>
      </c>
      <c r="AN97" t="s">
        <v>250</v>
      </c>
    </row>
    <row r="98" spans="9:40" x14ac:dyDescent="0.45">
      <c r="I98" t="s">
        <v>168</v>
      </c>
      <c r="J98" t="s">
        <v>261</v>
      </c>
      <c r="K98">
        <v>3.1576952849554458E-3</v>
      </c>
      <c r="L98" t="s">
        <v>154</v>
      </c>
      <c r="N98" t="s">
        <v>197</v>
      </c>
      <c r="O98" t="s">
        <v>261</v>
      </c>
      <c r="P98">
        <v>6.6913889450143354E-3</v>
      </c>
      <c r="Q98" t="s">
        <v>154</v>
      </c>
      <c r="S98" t="s">
        <v>221</v>
      </c>
      <c r="T98" t="s">
        <v>261</v>
      </c>
      <c r="U98">
        <v>1.3410904463123183E-3</v>
      </c>
      <c r="V98" t="s">
        <v>154</v>
      </c>
      <c r="AK98">
        <v>2043</v>
      </c>
      <c r="AL98" t="s">
        <v>150</v>
      </c>
      <c r="AM98">
        <v>0.3755</v>
      </c>
      <c r="AN98" t="s">
        <v>250</v>
      </c>
    </row>
    <row r="99" spans="9:40" x14ac:dyDescent="0.45">
      <c r="I99" t="s">
        <v>168</v>
      </c>
      <c r="J99" t="s">
        <v>262</v>
      </c>
      <c r="K99">
        <v>0</v>
      </c>
      <c r="L99" t="s">
        <v>154</v>
      </c>
      <c r="N99" t="s">
        <v>197</v>
      </c>
      <c r="O99" t="s">
        <v>262</v>
      </c>
      <c r="P99">
        <v>5.5319527313787984E-3</v>
      </c>
      <c r="Q99" t="s">
        <v>154</v>
      </c>
      <c r="S99" t="s">
        <v>221</v>
      </c>
      <c r="T99" t="s">
        <v>262</v>
      </c>
      <c r="U99">
        <v>1.5076589013292149E-3</v>
      </c>
      <c r="V99" t="s">
        <v>154</v>
      </c>
      <c r="AK99">
        <v>2044</v>
      </c>
      <c r="AL99" t="s">
        <v>142</v>
      </c>
      <c r="AM99">
        <v>0.33727499999999999</v>
      </c>
      <c r="AN99" t="s">
        <v>250</v>
      </c>
    </row>
    <row r="100" spans="9:40" x14ac:dyDescent="0.45">
      <c r="I100" t="s">
        <v>168</v>
      </c>
      <c r="J100" t="s">
        <v>263</v>
      </c>
      <c r="K100">
        <v>0</v>
      </c>
      <c r="L100" t="s">
        <v>154</v>
      </c>
      <c r="N100" t="s">
        <v>197</v>
      </c>
      <c r="O100" t="s">
        <v>263</v>
      </c>
      <c r="P100">
        <v>3.0162394925085274E-2</v>
      </c>
      <c r="Q100" t="s">
        <v>154</v>
      </c>
      <c r="S100" t="s">
        <v>221</v>
      </c>
      <c r="T100" t="s">
        <v>263</v>
      </c>
      <c r="U100">
        <v>7.7771975450981606E-3</v>
      </c>
      <c r="V100" t="s">
        <v>154</v>
      </c>
      <c r="AK100">
        <v>2044</v>
      </c>
      <c r="AL100" t="s">
        <v>146</v>
      </c>
      <c r="AM100">
        <v>0.52049999999999996</v>
      </c>
      <c r="AN100" t="s">
        <v>250</v>
      </c>
    </row>
    <row r="101" spans="9:40" x14ac:dyDescent="0.45">
      <c r="I101" t="s">
        <v>168</v>
      </c>
      <c r="J101" t="s">
        <v>163</v>
      </c>
      <c r="K101">
        <v>0</v>
      </c>
      <c r="L101" t="s">
        <v>154</v>
      </c>
      <c r="N101" t="s">
        <v>197</v>
      </c>
      <c r="O101" t="s">
        <v>163</v>
      </c>
      <c r="P101">
        <v>6.0291271021488083E-2</v>
      </c>
      <c r="Q101" t="s">
        <v>154</v>
      </c>
      <c r="S101" t="s">
        <v>221</v>
      </c>
      <c r="T101" t="s">
        <v>163</v>
      </c>
      <c r="U101">
        <v>5.5471473007725688E-2</v>
      </c>
      <c r="V101" t="s">
        <v>154</v>
      </c>
      <c r="AK101">
        <v>2044</v>
      </c>
      <c r="AL101" t="s">
        <v>148</v>
      </c>
      <c r="AM101">
        <v>0.38995000000000002</v>
      </c>
      <c r="AN101" t="s">
        <v>250</v>
      </c>
    </row>
    <row r="102" spans="9:40" x14ac:dyDescent="0.45">
      <c r="I102" t="s">
        <v>168</v>
      </c>
      <c r="J102" t="s">
        <v>164</v>
      </c>
      <c r="K102">
        <v>1.6300284148096773E-2</v>
      </c>
      <c r="L102" t="s">
        <v>154</v>
      </c>
      <c r="N102" t="s">
        <v>197</v>
      </c>
      <c r="O102" t="s">
        <v>164</v>
      </c>
      <c r="P102">
        <v>1.5228751482237844E-2</v>
      </c>
      <c r="Q102" t="s">
        <v>154</v>
      </c>
      <c r="S102" t="s">
        <v>221</v>
      </c>
      <c r="T102" t="s">
        <v>164</v>
      </c>
      <c r="U102">
        <v>1.7230670258033119E-2</v>
      </c>
      <c r="V102" t="s">
        <v>154</v>
      </c>
      <c r="AK102">
        <v>2044</v>
      </c>
      <c r="AL102" t="s">
        <v>150</v>
      </c>
      <c r="AM102">
        <v>0.34870000000000001</v>
      </c>
      <c r="AN102" t="s">
        <v>250</v>
      </c>
    </row>
    <row r="103" spans="9:40" x14ac:dyDescent="0.45">
      <c r="I103" t="s">
        <v>168</v>
      </c>
      <c r="J103" t="s">
        <v>165</v>
      </c>
      <c r="K103">
        <v>0.10754367500544655</v>
      </c>
      <c r="L103" t="s">
        <v>154</v>
      </c>
      <c r="N103" t="s">
        <v>197</v>
      </c>
      <c r="O103" t="s">
        <v>165</v>
      </c>
      <c r="P103">
        <v>7.7249462788567425E-2</v>
      </c>
      <c r="Q103" t="s">
        <v>154</v>
      </c>
      <c r="S103" t="s">
        <v>221</v>
      </c>
      <c r="T103" t="s">
        <v>165</v>
      </c>
      <c r="U103">
        <v>6.289351484888614E-2</v>
      </c>
      <c r="V103" t="s">
        <v>154</v>
      </c>
      <c r="AK103">
        <v>2045</v>
      </c>
      <c r="AL103" t="s">
        <v>142</v>
      </c>
      <c r="AM103">
        <v>0.36561250000000001</v>
      </c>
      <c r="AN103" t="s">
        <v>250</v>
      </c>
    </row>
    <row r="104" spans="9:40" x14ac:dyDescent="0.45">
      <c r="I104" t="s">
        <v>168</v>
      </c>
      <c r="J104" t="s">
        <v>264</v>
      </c>
      <c r="K104">
        <v>5.9463514502615875E-3</v>
      </c>
      <c r="L104" t="s">
        <v>154</v>
      </c>
      <c r="N104" t="s">
        <v>197</v>
      </c>
      <c r="O104" t="s">
        <v>264</v>
      </c>
      <c r="P104">
        <v>1.0260588967480461E-2</v>
      </c>
      <c r="Q104" t="s">
        <v>154</v>
      </c>
      <c r="S104" t="s">
        <v>221</v>
      </c>
      <c r="T104" t="s">
        <v>264</v>
      </c>
      <c r="U104">
        <v>7.3991296603414872E-3</v>
      </c>
      <c r="V104" t="s">
        <v>154</v>
      </c>
      <c r="AK104">
        <v>2045</v>
      </c>
      <c r="AL104" t="s">
        <v>146</v>
      </c>
      <c r="AM104">
        <v>0.41030000000000005</v>
      </c>
      <c r="AN104" t="s">
        <v>250</v>
      </c>
    </row>
    <row r="105" spans="9:40" x14ac:dyDescent="0.45">
      <c r="I105" t="s">
        <v>168</v>
      </c>
      <c r="J105" t="s">
        <v>265</v>
      </c>
      <c r="K105">
        <v>0</v>
      </c>
      <c r="L105" t="s">
        <v>154</v>
      </c>
      <c r="N105" t="s">
        <v>197</v>
      </c>
      <c r="O105" t="s">
        <v>265</v>
      </c>
      <c r="P105">
        <v>6.6084559367724375E-3</v>
      </c>
      <c r="Q105" t="s">
        <v>154</v>
      </c>
      <c r="S105" t="s">
        <v>221</v>
      </c>
      <c r="T105" t="s">
        <v>265</v>
      </c>
      <c r="U105">
        <v>7.8705245900132764E-3</v>
      </c>
      <c r="V105" t="s">
        <v>154</v>
      </c>
      <c r="AK105">
        <v>2045</v>
      </c>
      <c r="AL105" t="s">
        <v>148</v>
      </c>
      <c r="AM105">
        <v>0.36745</v>
      </c>
      <c r="AN105" t="s">
        <v>250</v>
      </c>
    </row>
    <row r="106" spans="9:40" x14ac:dyDescent="0.45">
      <c r="I106" t="s">
        <v>168</v>
      </c>
      <c r="J106" t="s">
        <v>266</v>
      </c>
      <c r="K106">
        <v>0</v>
      </c>
      <c r="L106" t="s">
        <v>154</v>
      </c>
      <c r="N106" t="s">
        <v>197</v>
      </c>
      <c r="O106" t="s">
        <v>266</v>
      </c>
      <c r="P106">
        <v>4.286516312900749E-2</v>
      </c>
      <c r="Q106" t="s">
        <v>154</v>
      </c>
      <c r="S106" t="s">
        <v>221</v>
      </c>
      <c r="T106" t="s">
        <v>266</v>
      </c>
      <c r="U106">
        <v>4.2172112161796053E-2</v>
      </c>
      <c r="V106" t="s">
        <v>154</v>
      </c>
      <c r="AK106">
        <v>2045</v>
      </c>
      <c r="AL106" t="s">
        <v>150</v>
      </c>
      <c r="AM106">
        <v>0.38439999999999996</v>
      </c>
      <c r="AN106" t="s">
        <v>250</v>
      </c>
    </row>
    <row r="107" spans="9:40" x14ac:dyDescent="0.45">
      <c r="I107" t="s">
        <v>169</v>
      </c>
      <c r="J107" t="s">
        <v>153</v>
      </c>
      <c r="K107">
        <v>0</v>
      </c>
      <c r="L107" t="s">
        <v>154</v>
      </c>
      <c r="N107" t="s">
        <v>198</v>
      </c>
      <c r="O107" t="s">
        <v>153</v>
      </c>
      <c r="P107">
        <v>0.17173807409577627</v>
      </c>
      <c r="Q107" t="s">
        <v>154</v>
      </c>
      <c r="S107" t="s">
        <v>222</v>
      </c>
      <c r="T107" t="s">
        <v>153</v>
      </c>
      <c r="U107">
        <v>0.16995539750721014</v>
      </c>
      <c r="V107" t="s">
        <v>154</v>
      </c>
      <c r="AK107">
        <v>2046</v>
      </c>
      <c r="AL107" t="s">
        <v>142</v>
      </c>
      <c r="AM107">
        <v>0.33385000000000004</v>
      </c>
      <c r="AN107" t="s">
        <v>250</v>
      </c>
    </row>
    <row r="108" spans="9:40" x14ac:dyDescent="0.45">
      <c r="I108" t="s">
        <v>169</v>
      </c>
      <c r="J108" t="s">
        <v>155</v>
      </c>
      <c r="K108">
        <v>7.2685888109234736E-2</v>
      </c>
      <c r="L108" t="s">
        <v>154</v>
      </c>
      <c r="N108" t="s">
        <v>198</v>
      </c>
      <c r="O108" t="s">
        <v>155</v>
      </c>
      <c r="P108">
        <v>4.5347315332271883E-2</v>
      </c>
      <c r="Q108" t="s">
        <v>154</v>
      </c>
      <c r="S108" t="s">
        <v>222</v>
      </c>
      <c r="T108" t="s">
        <v>155</v>
      </c>
      <c r="U108">
        <v>5.1015858491762676E-2</v>
      </c>
      <c r="V108" t="s">
        <v>154</v>
      </c>
      <c r="AK108">
        <v>2046</v>
      </c>
      <c r="AL108" t="s">
        <v>146</v>
      </c>
      <c r="AM108">
        <v>0.47323333333333334</v>
      </c>
      <c r="AN108" t="s">
        <v>250</v>
      </c>
    </row>
    <row r="109" spans="9:40" x14ac:dyDescent="0.45">
      <c r="I109" t="s">
        <v>169</v>
      </c>
      <c r="J109" t="s">
        <v>156</v>
      </c>
      <c r="K109">
        <v>0.52893683766444244</v>
      </c>
      <c r="L109" t="s">
        <v>154</v>
      </c>
      <c r="N109" t="s">
        <v>198</v>
      </c>
      <c r="O109" t="s">
        <v>156</v>
      </c>
      <c r="P109">
        <v>0.22991387988969672</v>
      </c>
      <c r="Q109" t="s">
        <v>154</v>
      </c>
      <c r="S109" t="s">
        <v>222</v>
      </c>
      <c r="T109" t="s">
        <v>156</v>
      </c>
      <c r="U109">
        <v>0.20839903997520989</v>
      </c>
      <c r="V109" t="s">
        <v>154</v>
      </c>
      <c r="AK109">
        <v>2046</v>
      </c>
      <c r="AL109" t="s">
        <v>148</v>
      </c>
      <c r="AM109">
        <v>0.45960000000000001</v>
      </c>
      <c r="AN109" t="s">
        <v>250</v>
      </c>
    </row>
    <row r="110" spans="9:40" x14ac:dyDescent="0.45">
      <c r="I110" t="s">
        <v>169</v>
      </c>
      <c r="J110" t="s">
        <v>255</v>
      </c>
      <c r="K110">
        <v>3.4143627929834497E-2</v>
      </c>
      <c r="L110" t="s">
        <v>154</v>
      </c>
      <c r="N110" t="s">
        <v>198</v>
      </c>
      <c r="O110" t="s">
        <v>255</v>
      </c>
      <c r="P110">
        <v>2.9287406616988535E-2</v>
      </c>
      <c r="Q110" t="s">
        <v>154</v>
      </c>
      <c r="S110" t="s">
        <v>222</v>
      </c>
      <c r="T110" t="s">
        <v>255</v>
      </c>
      <c r="U110">
        <v>2.5032535255982861E-2</v>
      </c>
      <c r="V110" t="s">
        <v>154</v>
      </c>
      <c r="AK110">
        <v>2046</v>
      </c>
      <c r="AL110" t="s">
        <v>150</v>
      </c>
      <c r="AM110">
        <v>0.37404999999999999</v>
      </c>
      <c r="AN110" t="s">
        <v>250</v>
      </c>
    </row>
    <row r="111" spans="9:40" x14ac:dyDescent="0.45">
      <c r="I111" t="s">
        <v>169</v>
      </c>
      <c r="J111" t="s">
        <v>256</v>
      </c>
      <c r="K111">
        <v>1.982223151490874E-2</v>
      </c>
      <c r="L111" t="s">
        <v>154</v>
      </c>
      <c r="N111" t="s">
        <v>198</v>
      </c>
      <c r="O111" t="s">
        <v>256</v>
      </c>
      <c r="P111">
        <v>2.3720801246330893E-2</v>
      </c>
      <c r="Q111" t="s">
        <v>154</v>
      </c>
      <c r="S111" t="s">
        <v>222</v>
      </c>
      <c r="T111" t="s">
        <v>256</v>
      </c>
      <c r="U111">
        <v>2.1955230538866416E-2</v>
      </c>
      <c r="V111" t="s">
        <v>154</v>
      </c>
      <c r="AK111">
        <v>2047</v>
      </c>
      <c r="AL111" t="s">
        <v>142</v>
      </c>
      <c r="AM111">
        <v>0.35043749999999996</v>
      </c>
      <c r="AN111" t="s">
        <v>250</v>
      </c>
    </row>
    <row r="112" spans="9:40" x14ac:dyDescent="0.45">
      <c r="I112" t="s">
        <v>169</v>
      </c>
      <c r="J112" t="s">
        <v>257</v>
      </c>
      <c r="K112">
        <v>0</v>
      </c>
      <c r="L112" t="s">
        <v>154</v>
      </c>
      <c r="N112" t="s">
        <v>198</v>
      </c>
      <c r="O112" t="s">
        <v>257</v>
      </c>
      <c r="P112">
        <v>0.11842866310639086</v>
      </c>
      <c r="Q112" t="s">
        <v>154</v>
      </c>
      <c r="S112" t="s">
        <v>222</v>
      </c>
      <c r="T112" t="s">
        <v>257</v>
      </c>
      <c r="U112">
        <v>0.11245295889434989</v>
      </c>
      <c r="V112" t="s">
        <v>154</v>
      </c>
      <c r="AK112">
        <v>2047</v>
      </c>
      <c r="AL112" t="s">
        <v>146</v>
      </c>
      <c r="AM112">
        <v>0.42733333333333334</v>
      </c>
      <c r="AN112" t="s">
        <v>250</v>
      </c>
    </row>
    <row r="113" spans="9:40" x14ac:dyDescent="0.45">
      <c r="I113" t="s">
        <v>169</v>
      </c>
      <c r="J113" t="s">
        <v>157</v>
      </c>
      <c r="K113">
        <v>0</v>
      </c>
      <c r="L113" t="s">
        <v>154</v>
      </c>
      <c r="N113" t="s">
        <v>198</v>
      </c>
      <c r="O113" t="s">
        <v>157</v>
      </c>
      <c r="P113">
        <v>7.1676793035422806E-2</v>
      </c>
      <c r="Q113" t="s">
        <v>154</v>
      </c>
      <c r="S113" t="s">
        <v>222</v>
      </c>
      <c r="T113" t="s">
        <v>157</v>
      </c>
      <c r="U113">
        <v>5.0283369073684851E-2</v>
      </c>
      <c r="V113" t="s">
        <v>154</v>
      </c>
      <c r="AK113">
        <v>2047</v>
      </c>
      <c r="AL113" t="s">
        <v>148</v>
      </c>
      <c r="AM113">
        <v>0.34735000000000005</v>
      </c>
      <c r="AN113" t="s">
        <v>250</v>
      </c>
    </row>
    <row r="114" spans="9:40" x14ac:dyDescent="0.45">
      <c r="I114" t="s">
        <v>169</v>
      </c>
      <c r="J114" t="s">
        <v>158</v>
      </c>
      <c r="K114">
        <v>1.3621226122090865E-2</v>
      </c>
      <c r="L114" t="s">
        <v>154</v>
      </c>
      <c r="N114" t="s">
        <v>198</v>
      </c>
      <c r="O114" t="s">
        <v>158</v>
      </c>
      <c r="P114">
        <v>1.9369344332166898E-2</v>
      </c>
      <c r="Q114" t="s">
        <v>154</v>
      </c>
      <c r="S114" t="s">
        <v>222</v>
      </c>
      <c r="T114" t="s">
        <v>158</v>
      </c>
      <c r="U114">
        <v>1.4199503810074671E-2</v>
      </c>
      <c r="V114" t="s">
        <v>154</v>
      </c>
      <c r="AK114">
        <v>2047</v>
      </c>
      <c r="AL114" t="s">
        <v>150</v>
      </c>
      <c r="AM114">
        <v>0.33584999999999998</v>
      </c>
      <c r="AN114" t="s">
        <v>250</v>
      </c>
    </row>
    <row r="115" spans="9:40" x14ac:dyDescent="0.45">
      <c r="I115" t="s">
        <v>169</v>
      </c>
      <c r="J115" t="s">
        <v>159</v>
      </c>
      <c r="K115">
        <v>0.10837938149986419</v>
      </c>
      <c r="L115" t="s">
        <v>154</v>
      </c>
      <c r="N115" t="s">
        <v>198</v>
      </c>
      <c r="O115" t="s">
        <v>159</v>
      </c>
      <c r="P115">
        <v>9.0877166905124179E-2</v>
      </c>
      <c r="Q115" t="s">
        <v>154</v>
      </c>
      <c r="S115" t="s">
        <v>222</v>
      </c>
      <c r="T115" t="s">
        <v>159</v>
      </c>
      <c r="U115">
        <v>6.3465673131570574E-2</v>
      </c>
      <c r="V115" t="s">
        <v>154</v>
      </c>
      <c r="AK115">
        <v>2048</v>
      </c>
      <c r="AL115" t="s">
        <v>142</v>
      </c>
      <c r="AM115">
        <v>0.31357500000000005</v>
      </c>
      <c r="AN115" t="s">
        <v>250</v>
      </c>
    </row>
    <row r="116" spans="9:40" x14ac:dyDescent="0.45">
      <c r="I116" t="s">
        <v>169</v>
      </c>
      <c r="J116" t="s">
        <v>258</v>
      </c>
      <c r="K116">
        <v>5.3560193645478538E-3</v>
      </c>
      <c r="L116" t="s">
        <v>154</v>
      </c>
      <c r="N116" t="s">
        <v>198</v>
      </c>
      <c r="O116" t="s">
        <v>258</v>
      </c>
      <c r="P116">
        <v>1.1133057246107759E-2</v>
      </c>
      <c r="Q116" t="s">
        <v>154</v>
      </c>
      <c r="S116" t="s">
        <v>222</v>
      </c>
      <c r="T116" t="s">
        <v>258</v>
      </c>
      <c r="U116">
        <v>7.7844695915076307E-3</v>
      </c>
      <c r="V116" t="s">
        <v>154</v>
      </c>
      <c r="AK116">
        <v>2048</v>
      </c>
      <c r="AL116" t="s">
        <v>146</v>
      </c>
      <c r="AM116">
        <v>0.43990000000000001</v>
      </c>
      <c r="AN116" t="s">
        <v>250</v>
      </c>
    </row>
    <row r="117" spans="9:40" x14ac:dyDescent="0.45">
      <c r="I117" t="s">
        <v>169</v>
      </c>
      <c r="J117" t="s">
        <v>259</v>
      </c>
      <c r="K117">
        <v>2.2783688161054213E-3</v>
      </c>
      <c r="L117" t="s">
        <v>154</v>
      </c>
      <c r="N117" t="s">
        <v>198</v>
      </c>
      <c r="O117" t="s">
        <v>259</v>
      </c>
      <c r="P117">
        <v>9.9729020697354367E-3</v>
      </c>
      <c r="Q117" t="s">
        <v>154</v>
      </c>
      <c r="S117" t="s">
        <v>222</v>
      </c>
      <c r="T117" t="s">
        <v>259</v>
      </c>
      <c r="U117">
        <v>7.1481234779296752E-3</v>
      </c>
      <c r="V117" t="s">
        <v>154</v>
      </c>
      <c r="AK117">
        <v>2048</v>
      </c>
      <c r="AL117" t="s">
        <v>148</v>
      </c>
      <c r="AM117">
        <v>0.41400000000000003</v>
      </c>
      <c r="AN117" t="s">
        <v>250</v>
      </c>
    </row>
    <row r="118" spans="9:40" x14ac:dyDescent="0.45">
      <c r="I118" t="s">
        <v>169</v>
      </c>
      <c r="J118" t="s">
        <v>260</v>
      </c>
      <c r="K118">
        <v>0</v>
      </c>
      <c r="L118" t="s">
        <v>154</v>
      </c>
      <c r="N118" t="s">
        <v>198</v>
      </c>
      <c r="O118" t="s">
        <v>260</v>
      </c>
      <c r="P118">
        <v>4.6150864218445331E-2</v>
      </c>
      <c r="Q118" t="s">
        <v>154</v>
      </c>
      <c r="S118" t="s">
        <v>222</v>
      </c>
      <c r="T118" t="s">
        <v>260</v>
      </c>
      <c r="U118">
        <v>3.3802883417997247E-2</v>
      </c>
      <c r="V118" t="s">
        <v>154</v>
      </c>
      <c r="AK118">
        <v>2048</v>
      </c>
      <c r="AL118" t="s">
        <v>150</v>
      </c>
      <c r="AM118">
        <v>0.38064999999999999</v>
      </c>
      <c r="AN118" t="s">
        <v>250</v>
      </c>
    </row>
    <row r="119" spans="9:40" x14ac:dyDescent="0.45">
      <c r="I119" t="s">
        <v>169</v>
      </c>
      <c r="J119" t="s">
        <v>160</v>
      </c>
      <c r="K119">
        <v>0</v>
      </c>
      <c r="L119" t="s">
        <v>154</v>
      </c>
      <c r="N119" t="s">
        <v>198</v>
      </c>
      <c r="O119" t="s">
        <v>160</v>
      </c>
      <c r="P119">
        <v>1.1100577550409409E-2</v>
      </c>
      <c r="Q119" t="s">
        <v>154</v>
      </c>
      <c r="S119" t="s">
        <v>222</v>
      </c>
      <c r="T119" t="s">
        <v>160</v>
      </c>
      <c r="U119">
        <v>1.3185140077035641E-2</v>
      </c>
      <c r="V119" t="s">
        <v>154</v>
      </c>
      <c r="AK119">
        <v>2049</v>
      </c>
      <c r="AL119" t="s">
        <v>142</v>
      </c>
      <c r="AM119">
        <v>0.30232500000000001</v>
      </c>
      <c r="AN119" t="s">
        <v>250</v>
      </c>
    </row>
    <row r="120" spans="9:40" x14ac:dyDescent="0.45">
      <c r="I120" t="s">
        <v>169</v>
      </c>
      <c r="J120" t="s">
        <v>161</v>
      </c>
      <c r="K120">
        <v>9.542347536089563E-3</v>
      </c>
      <c r="L120" t="s">
        <v>154</v>
      </c>
      <c r="N120" t="s">
        <v>198</v>
      </c>
      <c r="O120" t="s">
        <v>161</v>
      </c>
      <c r="P120">
        <v>3.1696799009946165E-3</v>
      </c>
      <c r="Q120" t="s">
        <v>154</v>
      </c>
      <c r="S120" t="s">
        <v>222</v>
      </c>
      <c r="T120" t="s">
        <v>161</v>
      </c>
      <c r="U120">
        <v>3.4844590223729712E-3</v>
      </c>
      <c r="V120" t="s">
        <v>154</v>
      </c>
      <c r="AK120">
        <v>2049</v>
      </c>
      <c r="AL120" t="s">
        <v>146</v>
      </c>
      <c r="AM120">
        <v>0.36210000000000003</v>
      </c>
      <c r="AN120" t="s">
        <v>250</v>
      </c>
    </row>
    <row r="121" spans="9:40" x14ac:dyDescent="0.45">
      <c r="I121" t="s">
        <v>169</v>
      </c>
      <c r="J121" t="s">
        <v>162</v>
      </c>
      <c r="K121">
        <v>6.1074702500472665E-2</v>
      </c>
      <c r="L121" t="s">
        <v>154</v>
      </c>
      <c r="N121" t="s">
        <v>198</v>
      </c>
      <c r="O121" t="s">
        <v>162</v>
      </c>
      <c r="P121">
        <v>1.3440695121452233E-2</v>
      </c>
      <c r="Q121" t="s">
        <v>154</v>
      </c>
      <c r="S121" t="s">
        <v>222</v>
      </c>
      <c r="T121" t="s">
        <v>162</v>
      </c>
      <c r="U121">
        <v>1.6415208049970129E-2</v>
      </c>
      <c r="V121" t="s">
        <v>154</v>
      </c>
      <c r="AK121">
        <v>2049</v>
      </c>
      <c r="AL121" t="s">
        <v>148</v>
      </c>
      <c r="AM121">
        <v>0.37404999999999999</v>
      </c>
      <c r="AN121" t="s">
        <v>250</v>
      </c>
    </row>
    <row r="122" spans="9:40" x14ac:dyDescent="0.45">
      <c r="I122" t="s">
        <v>169</v>
      </c>
      <c r="J122" t="s">
        <v>261</v>
      </c>
      <c r="K122">
        <v>3.2801923261482381E-3</v>
      </c>
      <c r="L122" t="s">
        <v>154</v>
      </c>
      <c r="N122" t="s">
        <v>198</v>
      </c>
      <c r="O122" t="s">
        <v>261</v>
      </c>
      <c r="P122">
        <v>1.5941453787076229E-3</v>
      </c>
      <c r="Q122" t="s">
        <v>154</v>
      </c>
      <c r="S122" t="s">
        <v>222</v>
      </c>
      <c r="T122" t="s">
        <v>261</v>
      </c>
      <c r="U122">
        <v>1.9899755995864544E-3</v>
      </c>
      <c r="V122" t="s">
        <v>154</v>
      </c>
      <c r="AK122">
        <v>2049</v>
      </c>
      <c r="AL122" t="s">
        <v>150</v>
      </c>
      <c r="AM122">
        <v>0.32679999999999998</v>
      </c>
      <c r="AN122" t="s">
        <v>250</v>
      </c>
    </row>
    <row r="123" spans="9:40" x14ac:dyDescent="0.45">
      <c r="I123" t="s">
        <v>169</v>
      </c>
      <c r="J123" t="s">
        <v>262</v>
      </c>
      <c r="K123">
        <v>3.303622943602027E-8</v>
      </c>
      <c r="L123" t="s">
        <v>154</v>
      </c>
      <c r="N123" t="s">
        <v>198</v>
      </c>
      <c r="O123" t="s">
        <v>262</v>
      </c>
      <c r="P123">
        <v>1.3730863355928477E-3</v>
      </c>
      <c r="Q123" t="s">
        <v>154</v>
      </c>
      <c r="S123" t="s">
        <v>222</v>
      </c>
      <c r="T123" t="s">
        <v>262</v>
      </c>
      <c r="U123">
        <v>1.8244129464334846E-3</v>
      </c>
      <c r="V123" t="s">
        <v>154</v>
      </c>
      <c r="AK123">
        <v>2050</v>
      </c>
      <c r="AL123" t="s">
        <v>142</v>
      </c>
      <c r="AM123">
        <v>0.33196249999999999</v>
      </c>
      <c r="AN123" t="s">
        <v>250</v>
      </c>
    </row>
    <row r="124" spans="9:40" x14ac:dyDescent="0.45">
      <c r="I124" t="s">
        <v>169</v>
      </c>
      <c r="J124" t="s">
        <v>263</v>
      </c>
      <c r="K124">
        <v>0</v>
      </c>
      <c r="L124" t="s">
        <v>154</v>
      </c>
      <c r="N124" t="s">
        <v>198</v>
      </c>
      <c r="O124" t="s">
        <v>263</v>
      </c>
      <c r="P124">
        <v>6.5267211002656205E-3</v>
      </c>
      <c r="Q124" t="s">
        <v>154</v>
      </c>
      <c r="S124" t="s">
        <v>222</v>
      </c>
      <c r="T124" t="s">
        <v>263</v>
      </c>
      <c r="U124">
        <v>1.0264912787420311E-2</v>
      </c>
      <c r="V124" t="s">
        <v>154</v>
      </c>
      <c r="AK124">
        <v>2050</v>
      </c>
      <c r="AL124" t="s">
        <v>146</v>
      </c>
      <c r="AM124">
        <v>0.44819999999999999</v>
      </c>
      <c r="AN124" t="s">
        <v>250</v>
      </c>
    </row>
    <row r="125" spans="9:40" x14ac:dyDescent="0.45">
      <c r="I125" t="s">
        <v>169</v>
      </c>
      <c r="J125" t="s">
        <v>163</v>
      </c>
      <c r="K125">
        <v>0</v>
      </c>
      <c r="L125" t="s">
        <v>154</v>
      </c>
      <c r="N125" t="s">
        <v>198</v>
      </c>
      <c r="O125" t="s">
        <v>163</v>
      </c>
      <c r="P125">
        <v>2.7628856029426777E-2</v>
      </c>
      <c r="Q125" t="s">
        <v>154</v>
      </c>
      <c r="S125" t="s">
        <v>222</v>
      </c>
      <c r="T125" t="s">
        <v>163</v>
      </c>
      <c r="U125">
        <v>5.488342808524773E-2</v>
      </c>
      <c r="V125" t="s">
        <v>154</v>
      </c>
      <c r="AK125">
        <v>2050</v>
      </c>
      <c r="AL125" t="s">
        <v>148</v>
      </c>
      <c r="AM125">
        <v>0.41720000000000002</v>
      </c>
      <c r="AN125" t="s">
        <v>250</v>
      </c>
    </row>
    <row r="126" spans="9:40" x14ac:dyDescent="0.45">
      <c r="I126" t="s">
        <v>169</v>
      </c>
      <c r="J126" t="s">
        <v>164</v>
      </c>
      <c r="K126">
        <v>1.7006076505364835E-2</v>
      </c>
      <c r="L126" t="s">
        <v>154</v>
      </c>
      <c r="N126" t="s">
        <v>198</v>
      </c>
      <c r="O126" t="s">
        <v>164</v>
      </c>
      <c r="P126">
        <v>7.9888318081502985E-3</v>
      </c>
      <c r="Q126" t="s">
        <v>154</v>
      </c>
      <c r="S126" t="s">
        <v>222</v>
      </c>
      <c r="T126" t="s">
        <v>164</v>
      </c>
      <c r="U126">
        <v>1.5985168201467888E-2</v>
      </c>
      <c r="V126" t="s">
        <v>154</v>
      </c>
      <c r="AK126">
        <v>2050</v>
      </c>
      <c r="AL126" t="s">
        <v>150</v>
      </c>
      <c r="AM126">
        <v>0.33094999999999997</v>
      </c>
      <c r="AN126" t="s">
        <v>250</v>
      </c>
    </row>
    <row r="127" spans="9:40" x14ac:dyDescent="0.45">
      <c r="I127" t="s">
        <v>169</v>
      </c>
      <c r="J127" t="s">
        <v>165</v>
      </c>
      <c r="K127">
        <v>0.11664726639211706</v>
      </c>
      <c r="L127" t="s">
        <v>154</v>
      </c>
      <c r="N127" t="s">
        <v>198</v>
      </c>
      <c r="O127" t="s">
        <v>165</v>
      </c>
      <c r="P127">
        <v>3.2158149743751856E-2</v>
      </c>
      <c r="Q127" t="s">
        <v>154</v>
      </c>
      <c r="S127" t="s">
        <v>222</v>
      </c>
      <c r="T127" t="s">
        <v>165</v>
      </c>
      <c r="U127">
        <v>6.1712252549332325E-2</v>
      </c>
      <c r="V127" t="s">
        <v>154</v>
      </c>
    </row>
    <row r="128" spans="9:40" x14ac:dyDescent="0.45">
      <c r="I128" t="s">
        <v>169</v>
      </c>
      <c r="J128" t="s">
        <v>264</v>
      </c>
      <c r="K128">
        <v>7.0262954508291658E-3</v>
      </c>
      <c r="L128" t="s">
        <v>154</v>
      </c>
      <c r="N128" t="s">
        <v>198</v>
      </c>
      <c r="O128" t="s">
        <v>264</v>
      </c>
      <c r="P128">
        <v>4.3428639769605183E-3</v>
      </c>
      <c r="Q128" t="s">
        <v>154</v>
      </c>
      <c r="S128" t="s">
        <v>222</v>
      </c>
      <c r="T128" t="s">
        <v>264</v>
      </c>
      <c r="U128">
        <v>7.266643415668783E-3</v>
      </c>
      <c r="V128" t="s">
        <v>154</v>
      </c>
    </row>
    <row r="129" spans="9:22" x14ac:dyDescent="0.45">
      <c r="I129" t="s">
        <v>169</v>
      </c>
      <c r="J129" t="s">
        <v>265</v>
      </c>
      <c r="K129">
        <v>1.9950523172074439E-4</v>
      </c>
      <c r="L129" t="s">
        <v>154</v>
      </c>
      <c r="N129" t="s">
        <v>198</v>
      </c>
      <c r="O129" t="s">
        <v>265</v>
      </c>
      <c r="P129">
        <v>3.3922028823787902E-3</v>
      </c>
      <c r="Q129" t="s">
        <v>154</v>
      </c>
      <c r="S129" t="s">
        <v>222</v>
      </c>
      <c r="T129" t="s">
        <v>265</v>
      </c>
      <c r="U129">
        <v>6.831863783745654E-3</v>
      </c>
      <c r="V129" t="s">
        <v>154</v>
      </c>
    </row>
    <row r="130" spans="9:22" x14ac:dyDescent="0.45">
      <c r="I130" t="s">
        <v>169</v>
      </c>
      <c r="J130" t="s">
        <v>266</v>
      </c>
      <c r="K130">
        <v>0</v>
      </c>
      <c r="L130" t="s">
        <v>154</v>
      </c>
      <c r="N130" t="s">
        <v>198</v>
      </c>
      <c r="O130" t="s">
        <v>266</v>
      </c>
      <c r="P130">
        <v>1.9667922077452615E-2</v>
      </c>
      <c r="Q130" t="s">
        <v>154</v>
      </c>
      <c r="S130" t="s">
        <v>222</v>
      </c>
      <c r="T130" t="s">
        <v>266</v>
      </c>
      <c r="U130">
        <v>4.0661492315571597E-2</v>
      </c>
      <c r="V130" t="s">
        <v>154</v>
      </c>
    </row>
    <row r="131" spans="9:22" x14ac:dyDescent="0.45">
      <c r="I131" t="s">
        <v>170</v>
      </c>
      <c r="J131" t="s">
        <v>153</v>
      </c>
      <c r="K131">
        <v>1.985353865943507E-3</v>
      </c>
      <c r="L131" t="s">
        <v>154</v>
      </c>
      <c r="N131" t="s">
        <v>199</v>
      </c>
      <c r="O131" t="s">
        <v>153</v>
      </c>
      <c r="P131">
        <v>0.1922815925216001</v>
      </c>
      <c r="Q131" t="s">
        <v>154</v>
      </c>
      <c r="S131" t="s">
        <v>223</v>
      </c>
      <c r="T131" t="s">
        <v>153</v>
      </c>
      <c r="U131">
        <v>0.17376022179304826</v>
      </c>
      <c r="V131" t="s">
        <v>154</v>
      </c>
    </row>
    <row r="132" spans="9:22" x14ac:dyDescent="0.45">
      <c r="I132" t="s">
        <v>170</v>
      </c>
      <c r="J132" t="s">
        <v>155</v>
      </c>
      <c r="K132">
        <v>7.1088640081545501E-2</v>
      </c>
      <c r="L132" t="s">
        <v>154</v>
      </c>
      <c r="N132" t="s">
        <v>199</v>
      </c>
      <c r="O132" t="s">
        <v>155</v>
      </c>
      <c r="P132">
        <v>4.9459852056639789E-2</v>
      </c>
      <c r="Q132" t="s">
        <v>154</v>
      </c>
      <c r="S132" t="s">
        <v>223</v>
      </c>
      <c r="T132" t="s">
        <v>155</v>
      </c>
      <c r="U132">
        <v>5.1005457795804308E-2</v>
      </c>
      <c r="V132" t="s">
        <v>154</v>
      </c>
    </row>
    <row r="133" spans="9:22" x14ac:dyDescent="0.45">
      <c r="I133" t="s">
        <v>170</v>
      </c>
      <c r="J133" t="s">
        <v>156</v>
      </c>
      <c r="K133">
        <v>0.52683031288208915</v>
      </c>
      <c r="L133" t="s">
        <v>154</v>
      </c>
      <c r="N133" t="s">
        <v>199</v>
      </c>
      <c r="O133" t="s">
        <v>156</v>
      </c>
      <c r="P133">
        <v>0.23848023720203454</v>
      </c>
      <c r="Q133" t="s">
        <v>154</v>
      </c>
      <c r="S133" t="s">
        <v>223</v>
      </c>
      <c r="T133" t="s">
        <v>156</v>
      </c>
      <c r="U133">
        <v>0.21230958724473087</v>
      </c>
      <c r="V133" t="s">
        <v>154</v>
      </c>
    </row>
    <row r="134" spans="9:22" x14ac:dyDescent="0.45">
      <c r="I134" t="s">
        <v>170</v>
      </c>
      <c r="J134" t="s">
        <v>255</v>
      </c>
      <c r="K134">
        <v>3.5359514467151527E-2</v>
      </c>
      <c r="L134" t="s">
        <v>154</v>
      </c>
      <c r="N134" t="s">
        <v>199</v>
      </c>
      <c r="O134" t="s">
        <v>255</v>
      </c>
      <c r="P134">
        <v>2.7345659499463566E-2</v>
      </c>
      <c r="Q134" t="s">
        <v>154</v>
      </c>
      <c r="S134" t="s">
        <v>223</v>
      </c>
      <c r="T134" t="s">
        <v>255</v>
      </c>
      <c r="U134">
        <v>2.5006049234003604E-2</v>
      </c>
      <c r="V134" t="s">
        <v>154</v>
      </c>
    </row>
    <row r="135" spans="9:22" x14ac:dyDescent="0.45">
      <c r="I135" t="s">
        <v>170</v>
      </c>
      <c r="J135" t="s">
        <v>256</v>
      </c>
      <c r="K135">
        <v>1.9832207416791568E-2</v>
      </c>
      <c r="L135" t="s">
        <v>154</v>
      </c>
      <c r="N135" t="s">
        <v>199</v>
      </c>
      <c r="O135" t="s">
        <v>256</v>
      </c>
      <c r="P135">
        <v>2.0071414634559106E-2</v>
      </c>
      <c r="Q135" t="s">
        <v>154</v>
      </c>
      <c r="S135" t="s">
        <v>223</v>
      </c>
      <c r="T135" t="s">
        <v>256</v>
      </c>
      <c r="U135">
        <v>2.2496782948743091E-2</v>
      </c>
      <c r="V135" t="s">
        <v>154</v>
      </c>
    </row>
    <row r="136" spans="9:22" x14ac:dyDescent="0.45">
      <c r="I136" t="s">
        <v>170</v>
      </c>
      <c r="J136" t="s">
        <v>257</v>
      </c>
      <c r="K136">
        <v>0</v>
      </c>
      <c r="L136" t="s">
        <v>154</v>
      </c>
      <c r="N136" t="s">
        <v>199</v>
      </c>
      <c r="O136" t="s">
        <v>257</v>
      </c>
      <c r="P136">
        <v>0.10676029560868079</v>
      </c>
      <c r="Q136" t="s">
        <v>154</v>
      </c>
      <c r="S136" t="s">
        <v>223</v>
      </c>
      <c r="T136" t="s">
        <v>257</v>
      </c>
      <c r="U136">
        <v>0.11888894797027662</v>
      </c>
      <c r="V136" t="s">
        <v>154</v>
      </c>
    </row>
    <row r="137" spans="9:22" x14ac:dyDescent="0.45">
      <c r="I137" t="s">
        <v>170</v>
      </c>
      <c r="J137" t="s">
        <v>157</v>
      </c>
      <c r="K137">
        <v>0</v>
      </c>
      <c r="L137" t="s">
        <v>154</v>
      </c>
      <c r="N137" t="s">
        <v>199</v>
      </c>
      <c r="O137" t="s">
        <v>157</v>
      </c>
      <c r="P137">
        <v>4.0624791972794762E-2</v>
      </c>
      <c r="Q137" t="s">
        <v>154</v>
      </c>
      <c r="S137" t="s">
        <v>223</v>
      </c>
      <c r="T137" t="s">
        <v>157</v>
      </c>
      <c r="U137">
        <v>5.4302010240034629E-2</v>
      </c>
      <c r="V137" t="s">
        <v>154</v>
      </c>
    </row>
    <row r="138" spans="9:22" x14ac:dyDescent="0.45">
      <c r="I138" t="s">
        <v>170</v>
      </c>
      <c r="J138" t="s">
        <v>158</v>
      </c>
      <c r="K138">
        <v>1.4397163968194649E-2</v>
      </c>
      <c r="L138" t="s">
        <v>154</v>
      </c>
      <c r="N138" t="s">
        <v>199</v>
      </c>
      <c r="O138" t="s">
        <v>158</v>
      </c>
      <c r="P138">
        <v>9.6621579607144587E-3</v>
      </c>
      <c r="Q138" t="s">
        <v>154</v>
      </c>
      <c r="S138" t="s">
        <v>223</v>
      </c>
      <c r="T138" t="s">
        <v>158</v>
      </c>
      <c r="U138">
        <v>1.5035429553435325E-2</v>
      </c>
      <c r="V138" t="s">
        <v>154</v>
      </c>
    </row>
    <row r="139" spans="9:22" x14ac:dyDescent="0.45">
      <c r="I139" t="s">
        <v>170</v>
      </c>
      <c r="J139" t="s">
        <v>159</v>
      </c>
      <c r="K139">
        <v>0.11356525372213915</v>
      </c>
      <c r="L139" t="s">
        <v>154</v>
      </c>
      <c r="N139" t="s">
        <v>199</v>
      </c>
      <c r="O139" t="s">
        <v>159</v>
      </c>
      <c r="P139">
        <v>5.6175738426754405E-2</v>
      </c>
      <c r="Q139" t="s">
        <v>154</v>
      </c>
      <c r="S139" t="s">
        <v>223</v>
      </c>
      <c r="T139" t="s">
        <v>159</v>
      </c>
      <c r="U139">
        <v>6.657686549458533E-2</v>
      </c>
      <c r="V139" t="s">
        <v>154</v>
      </c>
    </row>
    <row r="140" spans="9:22" x14ac:dyDescent="0.45">
      <c r="I140" t="s">
        <v>170</v>
      </c>
      <c r="J140" t="s">
        <v>258</v>
      </c>
      <c r="K140">
        <v>5.9231432533777949E-3</v>
      </c>
      <c r="L140" t="s">
        <v>154</v>
      </c>
      <c r="N140" t="s">
        <v>199</v>
      </c>
      <c r="O140" t="s">
        <v>258</v>
      </c>
      <c r="P140">
        <v>6.7802805423170381E-3</v>
      </c>
      <c r="Q140" t="s">
        <v>154</v>
      </c>
      <c r="S140" t="s">
        <v>223</v>
      </c>
      <c r="T140" t="s">
        <v>258</v>
      </c>
      <c r="U140">
        <v>8.0327534985269768E-3</v>
      </c>
      <c r="V140" t="s">
        <v>154</v>
      </c>
    </row>
    <row r="141" spans="9:22" x14ac:dyDescent="0.45">
      <c r="I141" t="s">
        <v>170</v>
      </c>
      <c r="J141" t="s">
        <v>259</v>
      </c>
      <c r="K141">
        <v>2.2169995980328397E-3</v>
      </c>
      <c r="L141" t="s">
        <v>154</v>
      </c>
      <c r="N141" t="s">
        <v>199</v>
      </c>
      <c r="O141" t="s">
        <v>259</v>
      </c>
      <c r="P141">
        <v>5.3032849220345591E-3</v>
      </c>
      <c r="Q141" t="s">
        <v>154</v>
      </c>
      <c r="S141" t="s">
        <v>223</v>
      </c>
      <c r="T141" t="s">
        <v>259</v>
      </c>
      <c r="U141">
        <v>7.5195393519603771E-3</v>
      </c>
      <c r="V141" t="s">
        <v>154</v>
      </c>
    </row>
    <row r="142" spans="9:22" x14ac:dyDescent="0.45">
      <c r="I142" t="s">
        <v>170</v>
      </c>
      <c r="J142" t="s">
        <v>260</v>
      </c>
      <c r="K142">
        <v>0</v>
      </c>
      <c r="L142" t="s">
        <v>154</v>
      </c>
      <c r="N142" t="s">
        <v>199</v>
      </c>
      <c r="O142" t="s">
        <v>260</v>
      </c>
      <c r="P142">
        <v>2.5890813463058902E-2</v>
      </c>
      <c r="Q142" t="s">
        <v>154</v>
      </c>
      <c r="S142" t="s">
        <v>223</v>
      </c>
      <c r="T142" t="s">
        <v>260</v>
      </c>
      <c r="U142">
        <v>3.5985077937605976E-2</v>
      </c>
      <c r="V142" t="s">
        <v>154</v>
      </c>
    </row>
    <row r="143" spans="9:22" x14ac:dyDescent="0.45">
      <c r="I143" t="s">
        <v>170</v>
      </c>
      <c r="J143" t="s">
        <v>160</v>
      </c>
      <c r="K143">
        <v>0</v>
      </c>
      <c r="L143" t="s">
        <v>154</v>
      </c>
      <c r="N143" t="s">
        <v>199</v>
      </c>
      <c r="O143" t="s">
        <v>160</v>
      </c>
      <c r="P143">
        <v>1.5081012954778957E-2</v>
      </c>
      <c r="Q143" t="s">
        <v>154</v>
      </c>
      <c r="S143" t="s">
        <v>223</v>
      </c>
      <c r="T143" t="s">
        <v>160</v>
      </c>
      <c r="U143">
        <v>1.1646772737938356E-2</v>
      </c>
      <c r="V143" t="s">
        <v>154</v>
      </c>
    </row>
    <row r="144" spans="9:22" x14ac:dyDescent="0.45">
      <c r="I144" t="s">
        <v>170</v>
      </c>
      <c r="J144" t="s">
        <v>161</v>
      </c>
      <c r="K144">
        <v>9.3246035126182264E-3</v>
      </c>
      <c r="L144" t="s">
        <v>154</v>
      </c>
      <c r="N144" t="s">
        <v>199</v>
      </c>
      <c r="O144" t="s">
        <v>161</v>
      </c>
      <c r="P144">
        <v>4.1789477692913803E-3</v>
      </c>
      <c r="Q144" t="s">
        <v>154</v>
      </c>
      <c r="S144" t="s">
        <v>223</v>
      </c>
      <c r="T144" t="s">
        <v>161</v>
      </c>
      <c r="U144">
        <v>3.2135933456768294E-3</v>
      </c>
      <c r="V144" t="s">
        <v>154</v>
      </c>
    </row>
    <row r="145" spans="9:22" x14ac:dyDescent="0.45">
      <c r="I145" t="s">
        <v>170</v>
      </c>
      <c r="J145" t="s">
        <v>162</v>
      </c>
      <c r="K145">
        <v>6.2182207845120054E-2</v>
      </c>
      <c r="L145" t="s">
        <v>154</v>
      </c>
      <c r="N145" t="s">
        <v>199</v>
      </c>
      <c r="O145" t="s">
        <v>162</v>
      </c>
      <c r="P145">
        <v>2.1191951151831815E-2</v>
      </c>
      <c r="Q145" t="s">
        <v>154</v>
      </c>
      <c r="S145" t="s">
        <v>223</v>
      </c>
      <c r="T145" t="s">
        <v>162</v>
      </c>
      <c r="U145">
        <v>1.2286667248617582E-2</v>
      </c>
      <c r="V145" t="s">
        <v>154</v>
      </c>
    </row>
    <row r="146" spans="9:22" x14ac:dyDescent="0.45">
      <c r="I146" t="s">
        <v>170</v>
      </c>
      <c r="J146" t="s">
        <v>261</v>
      </c>
      <c r="K146">
        <v>3.5016201199200995E-3</v>
      </c>
      <c r="L146" t="s">
        <v>154</v>
      </c>
      <c r="N146" t="s">
        <v>199</v>
      </c>
      <c r="O146" t="s">
        <v>261</v>
      </c>
      <c r="P146">
        <v>2.3216564996583508E-3</v>
      </c>
      <c r="Q146" t="s">
        <v>154</v>
      </c>
      <c r="S146" t="s">
        <v>223</v>
      </c>
      <c r="T146" t="s">
        <v>261</v>
      </c>
      <c r="U146">
        <v>1.5676238452618512E-3</v>
      </c>
      <c r="V146" t="s">
        <v>154</v>
      </c>
    </row>
    <row r="147" spans="9:22" x14ac:dyDescent="0.45">
      <c r="I147" t="s">
        <v>170</v>
      </c>
      <c r="J147" t="s">
        <v>262</v>
      </c>
      <c r="K147">
        <v>0</v>
      </c>
      <c r="L147" t="s">
        <v>154</v>
      </c>
      <c r="N147" t="s">
        <v>199</v>
      </c>
      <c r="O147" t="s">
        <v>262</v>
      </c>
      <c r="P147">
        <v>1.7324632720432875E-3</v>
      </c>
      <c r="Q147" t="s">
        <v>154</v>
      </c>
      <c r="S147" t="s">
        <v>223</v>
      </c>
      <c r="T147" t="s">
        <v>262</v>
      </c>
      <c r="U147">
        <v>1.4260292616905957E-3</v>
      </c>
      <c r="V147" t="s">
        <v>154</v>
      </c>
    </row>
    <row r="148" spans="9:22" x14ac:dyDescent="0.45">
      <c r="I148" t="s">
        <v>170</v>
      </c>
      <c r="J148" t="s">
        <v>263</v>
      </c>
      <c r="K148">
        <v>0</v>
      </c>
      <c r="L148" t="s">
        <v>154</v>
      </c>
      <c r="N148" t="s">
        <v>199</v>
      </c>
      <c r="O148" t="s">
        <v>263</v>
      </c>
      <c r="P148">
        <v>8.3021256205237093E-3</v>
      </c>
      <c r="Q148" t="s">
        <v>154</v>
      </c>
      <c r="S148" t="s">
        <v>223</v>
      </c>
      <c r="T148" t="s">
        <v>263</v>
      </c>
      <c r="U148">
        <v>8.5071686817091777E-3</v>
      </c>
      <c r="V148" t="s">
        <v>154</v>
      </c>
    </row>
    <row r="149" spans="9:22" x14ac:dyDescent="0.45">
      <c r="I149" t="s">
        <v>170</v>
      </c>
      <c r="J149" t="s">
        <v>163</v>
      </c>
      <c r="K149">
        <v>0</v>
      </c>
      <c r="L149" t="s">
        <v>154</v>
      </c>
      <c r="N149" t="s">
        <v>199</v>
      </c>
      <c r="O149" t="s">
        <v>163</v>
      </c>
      <c r="P149">
        <v>5.3083787275914382E-2</v>
      </c>
      <c r="Q149" t="s">
        <v>154</v>
      </c>
      <c r="S149" t="s">
        <v>223</v>
      </c>
      <c r="T149" t="s">
        <v>163</v>
      </c>
      <c r="U149">
        <v>5.0215561194721502E-2</v>
      </c>
      <c r="V149" t="s">
        <v>154</v>
      </c>
    </row>
    <row r="150" spans="9:22" x14ac:dyDescent="0.45">
      <c r="I150" t="s">
        <v>170</v>
      </c>
      <c r="J150" t="s">
        <v>164</v>
      </c>
      <c r="K150">
        <v>1.6459611500925939E-2</v>
      </c>
      <c r="L150" t="s">
        <v>154</v>
      </c>
      <c r="N150" t="s">
        <v>199</v>
      </c>
      <c r="O150" t="s">
        <v>164</v>
      </c>
      <c r="P150">
        <v>1.3660655818270528E-2</v>
      </c>
      <c r="Q150" t="s">
        <v>154</v>
      </c>
      <c r="S150" t="s">
        <v>223</v>
      </c>
      <c r="T150" t="s">
        <v>164</v>
      </c>
      <c r="U150">
        <v>1.5118834208847709E-2</v>
      </c>
      <c r="V150" t="s">
        <v>154</v>
      </c>
    </row>
    <row r="151" spans="9:22" x14ac:dyDescent="0.45">
      <c r="I151" t="s">
        <v>170</v>
      </c>
      <c r="J151" t="s">
        <v>165</v>
      </c>
      <c r="K151">
        <v>0.11094199548537137</v>
      </c>
      <c r="L151" t="s">
        <v>154</v>
      </c>
      <c r="N151" t="s">
        <v>199</v>
      </c>
      <c r="O151" t="s">
        <v>165</v>
      </c>
      <c r="P151">
        <v>5.9046999749757773E-2</v>
      </c>
      <c r="Q151" t="s">
        <v>154</v>
      </c>
      <c r="S151" t="s">
        <v>223</v>
      </c>
      <c r="T151" t="s">
        <v>165</v>
      </c>
      <c r="U151">
        <v>5.4999624910035474E-2</v>
      </c>
      <c r="V151" t="s">
        <v>154</v>
      </c>
    </row>
    <row r="152" spans="9:22" x14ac:dyDescent="0.45">
      <c r="I152" t="s">
        <v>170</v>
      </c>
      <c r="J152" t="s">
        <v>264</v>
      </c>
      <c r="K152">
        <v>6.3913722807794945E-3</v>
      </c>
      <c r="L152" t="s">
        <v>154</v>
      </c>
      <c r="N152" t="s">
        <v>199</v>
      </c>
      <c r="O152" t="s">
        <v>264</v>
      </c>
      <c r="P152">
        <v>6.5234306675659723E-3</v>
      </c>
      <c r="Q152" t="s">
        <v>154</v>
      </c>
      <c r="S152" t="s">
        <v>223</v>
      </c>
      <c r="T152" t="s">
        <v>264</v>
      </c>
      <c r="U152">
        <v>6.3245475836277041E-3</v>
      </c>
      <c r="V152" t="s">
        <v>154</v>
      </c>
    </row>
    <row r="153" spans="9:22" x14ac:dyDescent="0.45">
      <c r="I153" t="s">
        <v>170</v>
      </c>
      <c r="J153" t="s">
        <v>265</v>
      </c>
      <c r="K153">
        <v>0</v>
      </c>
      <c r="L153" t="s">
        <v>154</v>
      </c>
      <c r="N153" t="s">
        <v>199</v>
      </c>
      <c r="O153" t="s">
        <v>265</v>
      </c>
      <c r="P153">
        <v>4.8234559984433965E-3</v>
      </c>
      <c r="Q153" t="s">
        <v>154</v>
      </c>
      <c r="S153" t="s">
        <v>223</v>
      </c>
      <c r="T153" t="s">
        <v>265</v>
      </c>
      <c r="U153">
        <v>6.139407693232817E-3</v>
      </c>
      <c r="V153" t="s">
        <v>154</v>
      </c>
    </row>
    <row r="154" spans="9:22" x14ac:dyDescent="0.45">
      <c r="I154" t="s">
        <v>170</v>
      </c>
      <c r="J154" t="s">
        <v>266</v>
      </c>
      <c r="K154">
        <v>0</v>
      </c>
      <c r="L154" t="s">
        <v>154</v>
      </c>
      <c r="N154" t="s">
        <v>199</v>
      </c>
      <c r="O154" t="s">
        <v>266</v>
      </c>
      <c r="P154">
        <v>3.1217394411265878E-2</v>
      </c>
      <c r="Q154" t="s">
        <v>154</v>
      </c>
      <c r="S154" t="s">
        <v>223</v>
      </c>
      <c r="T154" t="s">
        <v>266</v>
      </c>
      <c r="U154">
        <v>3.7635446225886923E-2</v>
      </c>
      <c r="V154" t="s">
        <v>154</v>
      </c>
    </row>
    <row r="155" spans="9:22" x14ac:dyDescent="0.45">
      <c r="I155" t="s">
        <v>171</v>
      </c>
      <c r="J155" t="s">
        <v>153</v>
      </c>
      <c r="K155">
        <v>0</v>
      </c>
      <c r="L155" t="s">
        <v>154</v>
      </c>
      <c r="N155" t="s">
        <v>200</v>
      </c>
      <c r="O155" t="s">
        <v>153</v>
      </c>
      <c r="P155">
        <v>0.1929977022459344</v>
      </c>
      <c r="Q155" t="s">
        <v>154</v>
      </c>
      <c r="S155" t="s">
        <v>224</v>
      </c>
      <c r="T155" t="s">
        <v>153</v>
      </c>
      <c r="U155">
        <v>0.1653401925349901</v>
      </c>
      <c r="V155" t="s">
        <v>154</v>
      </c>
    </row>
    <row r="156" spans="9:22" x14ac:dyDescent="0.45">
      <c r="I156" t="s">
        <v>171</v>
      </c>
      <c r="J156" t="s">
        <v>155</v>
      </c>
      <c r="K156">
        <v>6.0017979388181611E-2</v>
      </c>
      <c r="L156" t="s">
        <v>154</v>
      </c>
      <c r="N156" t="s">
        <v>200</v>
      </c>
      <c r="O156" t="s">
        <v>155</v>
      </c>
      <c r="P156">
        <v>5.2340187303836293E-2</v>
      </c>
      <c r="Q156" t="s">
        <v>154</v>
      </c>
      <c r="S156" t="s">
        <v>224</v>
      </c>
      <c r="T156" t="s">
        <v>155</v>
      </c>
      <c r="U156">
        <v>4.5120927404915488E-2</v>
      </c>
      <c r="V156" t="s">
        <v>154</v>
      </c>
    </row>
    <row r="157" spans="9:22" x14ac:dyDescent="0.45">
      <c r="I157" t="s">
        <v>171</v>
      </c>
      <c r="J157" t="s">
        <v>156</v>
      </c>
      <c r="K157">
        <v>0.52071323541250802</v>
      </c>
      <c r="L157" t="s">
        <v>154</v>
      </c>
      <c r="N157" t="s">
        <v>200</v>
      </c>
      <c r="O157" t="s">
        <v>156</v>
      </c>
      <c r="P157">
        <v>0.21142066435640178</v>
      </c>
      <c r="Q157" t="s">
        <v>154</v>
      </c>
      <c r="S157" t="s">
        <v>224</v>
      </c>
      <c r="T157" t="s">
        <v>156</v>
      </c>
      <c r="U157">
        <v>0.19674087871354581</v>
      </c>
      <c r="V157" t="s">
        <v>154</v>
      </c>
    </row>
    <row r="158" spans="9:22" x14ac:dyDescent="0.45">
      <c r="I158" t="s">
        <v>171</v>
      </c>
      <c r="J158" t="s">
        <v>255</v>
      </c>
      <c r="K158">
        <v>3.6959703969593749E-2</v>
      </c>
      <c r="L158" t="s">
        <v>154</v>
      </c>
      <c r="N158" t="s">
        <v>200</v>
      </c>
      <c r="O158" t="s">
        <v>255</v>
      </c>
      <c r="P158">
        <v>2.5159278628548346E-2</v>
      </c>
      <c r="Q158" t="s">
        <v>154</v>
      </c>
      <c r="S158" t="s">
        <v>224</v>
      </c>
      <c r="T158" t="s">
        <v>255</v>
      </c>
      <c r="U158">
        <v>2.2950611282645007E-2</v>
      </c>
      <c r="V158" t="s">
        <v>154</v>
      </c>
    </row>
    <row r="159" spans="9:22" x14ac:dyDescent="0.45">
      <c r="I159" t="s">
        <v>171</v>
      </c>
      <c r="J159" t="s">
        <v>256</v>
      </c>
      <c r="K159">
        <v>2.1072979855610775E-2</v>
      </c>
      <c r="L159" t="s">
        <v>154</v>
      </c>
      <c r="N159" t="s">
        <v>200</v>
      </c>
      <c r="O159" t="s">
        <v>256</v>
      </c>
      <c r="P159">
        <v>2.0286293709896819E-2</v>
      </c>
      <c r="Q159" t="s">
        <v>154</v>
      </c>
      <c r="S159" t="s">
        <v>224</v>
      </c>
      <c r="T159" t="s">
        <v>256</v>
      </c>
      <c r="U159">
        <v>1.8603669034386993E-2</v>
      </c>
      <c r="V159" t="s">
        <v>154</v>
      </c>
    </row>
    <row r="160" spans="9:22" x14ac:dyDescent="0.45">
      <c r="I160" t="s">
        <v>171</v>
      </c>
      <c r="J160" t="s">
        <v>257</v>
      </c>
      <c r="K160">
        <v>0</v>
      </c>
      <c r="L160" t="s">
        <v>154</v>
      </c>
      <c r="N160" t="s">
        <v>200</v>
      </c>
      <c r="O160" t="s">
        <v>257</v>
      </c>
      <c r="P160">
        <v>0.10812783313258144</v>
      </c>
      <c r="Q160" t="s">
        <v>154</v>
      </c>
      <c r="S160" t="s">
        <v>224</v>
      </c>
      <c r="T160" t="s">
        <v>257</v>
      </c>
      <c r="U160">
        <v>0.1009723126195393</v>
      </c>
      <c r="V160" t="s">
        <v>154</v>
      </c>
    </row>
    <row r="161" spans="9:22" x14ac:dyDescent="0.45">
      <c r="I161" t="s">
        <v>171</v>
      </c>
      <c r="J161" t="s">
        <v>157</v>
      </c>
      <c r="K161">
        <v>0</v>
      </c>
      <c r="L161" t="s">
        <v>154</v>
      </c>
      <c r="N161" t="s">
        <v>200</v>
      </c>
      <c r="O161" t="s">
        <v>157</v>
      </c>
      <c r="P161">
        <v>5.7113020041806954E-2</v>
      </c>
      <c r="Q161" t="s">
        <v>154</v>
      </c>
      <c r="S161" t="s">
        <v>224</v>
      </c>
      <c r="T161" t="s">
        <v>157</v>
      </c>
      <c r="U161">
        <v>6.469791498057921E-2</v>
      </c>
      <c r="V161" t="s">
        <v>154</v>
      </c>
    </row>
    <row r="162" spans="9:22" x14ac:dyDescent="0.45">
      <c r="I162" t="s">
        <v>171</v>
      </c>
      <c r="J162" t="s">
        <v>158</v>
      </c>
      <c r="K162">
        <v>1.4723604993411212E-2</v>
      </c>
      <c r="L162" t="s">
        <v>154</v>
      </c>
      <c r="N162" t="s">
        <v>200</v>
      </c>
      <c r="O162" t="s">
        <v>158</v>
      </c>
      <c r="P162">
        <v>1.4205942347084938E-2</v>
      </c>
      <c r="Q162" t="s">
        <v>154</v>
      </c>
      <c r="S162" t="s">
        <v>224</v>
      </c>
      <c r="T162" t="s">
        <v>158</v>
      </c>
      <c r="U162">
        <v>1.7178488313607979E-2</v>
      </c>
      <c r="V162" t="s">
        <v>154</v>
      </c>
    </row>
    <row r="163" spans="9:22" x14ac:dyDescent="0.45">
      <c r="I163" t="s">
        <v>171</v>
      </c>
      <c r="J163" t="s">
        <v>159</v>
      </c>
      <c r="K163">
        <v>0.11498429610308872</v>
      </c>
      <c r="L163" t="s">
        <v>154</v>
      </c>
      <c r="N163" t="s">
        <v>200</v>
      </c>
      <c r="O163" t="s">
        <v>159</v>
      </c>
      <c r="P163">
        <v>6.7222550771317655E-2</v>
      </c>
      <c r="Q163" t="s">
        <v>154</v>
      </c>
      <c r="S163" t="s">
        <v>224</v>
      </c>
      <c r="T163" t="s">
        <v>159</v>
      </c>
      <c r="U163">
        <v>7.8711079518079416E-2</v>
      </c>
      <c r="V163" t="s">
        <v>154</v>
      </c>
    </row>
    <row r="164" spans="9:22" x14ac:dyDescent="0.45">
      <c r="I164" t="s">
        <v>171</v>
      </c>
      <c r="J164" t="s">
        <v>258</v>
      </c>
      <c r="K164">
        <v>7.3416332989659624E-3</v>
      </c>
      <c r="L164" t="s">
        <v>154</v>
      </c>
      <c r="N164" t="s">
        <v>200</v>
      </c>
      <c r="O164" t="s">
        <v>258</v>
      </c>
      <c r="P164">
        <v>8.6159523753646036E-3</v>
      </c>
      <c r="Q164" t="s">
        <v>154</v>
      </c>
      <c r="S164" t="s">
        <v>224</v>
      </c>
      <c r="T164" t="s">
        <v>258</v>
      </c>
      <c r="U164">
        <v>9.6968949301817556E-3</v>
      </c>
      <c r="V164" t="s">
        <v>154</v>
      </c>
    </row>
    <row r="165" spans="9:22" x14ac:dyDescent="0.45">
      <c r="I165" t="s">
        <v>171</v>
      </c>
      <c r="J165" t="s">
        <v>259</v>
      </c>
      <c r="K165">
        <v>3.8610498291274812E-3</v>
      </c>
      <c r="L165" t="s">
        <v>154</v>
      </c>
      <c r="N165" t="s">
        <v>200</v>
      </c>
      <c r="O165" t="s">
        <v>259</v>
      </c>
      <c r="P165">
        <v>7.2412778759824619E-3</v>
      </c>
      <c r="Q165" t="s">
        <v>154</v>
      </c>
      <c r="S165" t="s">
        <v>224</v>
      </c>
      <c r="T165" t="s">
        <v>259</v>
      </c>
      <c r="U165">
        <v>8.600915982272252E-3</v>
      </c>
      <c r="V165" t="s">
        <v>154</v>
      </c>
    </row>
    <row r="166" spans="9:22" x14ac:dyDescent="0.45">
      <c r="I166" t="s">
        <v>171</v>
      </c>
      <c r="J166" t="s">
        <v>260</v>
      </c>
      <c r="K166">
        <v>0</v>
      </c>
      <c r="L166" t="s">
        <v>154</v>
      </c>
      <c r="N166" t="s">
        <v>200</v>
      </c>
      <c r="O166" t="s">
        <v>260</v>
      </c>
      <c r="P166">
        <v>3.7273469928758393E-2</v>
      </c>
      <c r="Q166" t="s">
        <v>154</v>
      </c>
      <c r="S166" t="s">
        <v>224</v>
      </c>
      <c r="T166" t="s">
        <v>260</v>
      </c>
      <c r="U166">
        <v>4.3017055647914006E-2</v>
      </c>
      <c r="V166" t="s">
        <v>154</v>
      </c>
    </row>
    <row r="167" spans="9:22" x14ac:dyDescent="0.45">
      <c r="I167" t="s">
        <v>171</v>
      </c>
      <c r="J167" t="s">
        <v>160</v>
      </c>
      <c r="K167">
        <v>0</v>
      </c>
      <c r="L167" t="s">
        <v>154</v>
      </c>
      <c r="N167" t="s">
        <v>200</v>
      </c>
      <c r="O167" t="s">
        <v>160</v>
      </c>
      <c r="P167">
        <v>1.4155290514744531E-2</v>
      </c>
      <c r="Q167" t="s">
        <v>154</v>
      </c>
      <c r="S167" t="s">
        <v>224</v>
      </c>
      <c r="T167" t="s">
        <v>160</v>
      </c>
      <c r="U167">
        <v>1.8560800216778327E-2</v>
      </c>
      <c r="V167" t="s">
        <v>154</v>
      </c>
    </row>
    <row r="168" spans="9:22" x14ac:dyDescent="0.45">
      <c r="I168" t="s">
        <v>171</v>
      </c>
      <c r="J168" t="s">
        <v>161</v>
      </c>
      <c r="K168">
        <v>8.7241616245746882E-3</v>
      </c>
      <c r="L168" t="s">
        <v>154</v>
      </c>
      <c r="N168" t="s">
        <v>200</v>
      </c>
      <c r="O168" t="s">
        <v>161</v>
      </c>
      <c r="P168">
        <v>5.3587848368364301E-3</v>
      </c>
      <c r="Q168" t="s">
        <v>154</v>
      </c>
      <c r="S168" t="s">
        <v>224</v>
      </c>
      <c r="T168" t="s">
        <v>161</v>
      </c>
      <c r="U168">
        <v>6.1678486694613475E-3</v>
      </c>
      <c r="V168" t="s">
        <v>154</v>
      </c>
    </row>
    <row r="169" spans="9:22" x14ac:dyDescent="0.45">
      <c r="I169" t="s">
        <v>171</v>
      </c>
      <c r="J169" t="s">
        <v>162</v>
      </c>
      <c r="K169">
        <v>6.2981184856843245E-2</v>
      </c>
      <c r="L169" t="s">
        <v>154</v>
      </c>
      <c r="N169" t="s">
        <v>200</v>
      </c>
      <c r="O169" t="s">
        <v>162</v>
      </c>
      <c r="P169">
        <v>2.1475485315250582E-2</v>
      </c>
      <c r="Q169" t="s">
        <v>154</v>
      </c>
      <c r="S169" t="s">
        <v>224</v>
      </c>
      <c r="T169" t="s">
        <v>162</v>
      </c>
      <c r="U169">
        <v>2.429887003827616E-2</v>
      </c>
      <c r="V169" t="s">
        <v>154</v>
      </c>
    </row>
    <row r="170" spans="9:22" x14ac:dyDescent="0.45">
      <c r="I170" t="s">
        <v>171</v>
      </c>
      <c r="J170" t="s">
        <v>261</v>
      </c>
      <c r="K170">
        <v>3.847968759188435E-3</v>
      </c>
      <c r="L170" t="s">
        <v>154</v>
      </c>
      <c r="N170" t="s">
        <v>200</v>
      </c>
      <c r="O170" t="s">
        <v>261</v>
      </c>
      <c r="P170">
        <v>1.9435259340450991E-3</v>
      </c>
      <c r="Q170" t="s">
        <v>154</v>
      </c>
      <c r="S170" t="s">
        <v>224</v>
      </c>
      <c r="T170" t="s">
        <v>261</v>
      </c>
      <c r="U170">
        <v>2.5417878322525479E-3</v>
      </c>
      <c r="V170" t="s">
        <v>154</v>
      </c>
    </row>
    <row r="171" spans="9:22" x14ac:dyDescent="0.45">
      <c r="I171" t="s">
        <v>171</v>
      </c>
      <c r="J171" t="s">
        <v>262</v>
      </c>
      <c r="K171">
        <v>4.096984733620142E-4</v>
      </c>
      <c r="L171" t="s">
        <v>154</v>
      </c>
      <c r="N171" t="s">
        <v>200</v>
      </c>
      <c r="O171" t="s">
        <v>262</v>
      </c>
      <c r="P171">
        <v>1.4408000249926463E-3</v>
      </c>
      <c r="Q171" t="s">
        <v>154</v>
      </c>
      <c r="S171" t="s">
        <v>224</v>
      </c>
      <c r="T171" t="s">
        <v>262</v>
      </c>
      <c r="U171">
        <v>1.9589000791775963E-3</v>
      </c>
      <c r="V171" t="s">
        <v>154</v>
      </c>
    </row>
    <row r="172" spans="9:22" x14ac:dyDescent="0.45">
      <c r="I172" t="s">
        <v>171</v>
      </c>
      <c r="J172" t="s">
        <v>263</v>
      </c>
      <c r="K172">
        <v>0</v>
      </c>
      <c r="L172" t="s">
        <v>154</v>
      </c>
      <c r="N172" t="s">
        <v>200</v>
      </c>
      <c r="O172" t="s">
        <v>263</v>
      </c>
      <c r="P172">
        <v>6.6485745888260313E-3</v>
      </c>
      <c r="Q172" t="s">
        <v>154</v>
      </c>
      <c r="S172" t="s">
        <v>224</v>
      </c>
      <c r="T172" t="s">
        <v>263</v>
      </c>
      <c r="U172">
        <v>1.0111698708474511E-2</v>
      </c>
      <c r="V172" t="s">
        <v>154</v>
      </c>
    </row>
    <row r="173" spans="9:22" x14ac:dyDescent="0.45">
      <c r="I173" t="s">
        <v>171</v>
      </c>
      <c r="J173" t="s">
        <v>163</v>
      </c>
      <c r="K173">
        <v>0</v>
      </c>
      <c r="L173" t="s">
        <v>154</v>
      </c>
      <c r="N173" t="s">
        <v>200</v>
      </c>
      <c r="O173" t="s">
        <v>163</v>
      </c>
      <c r="P173">
        <v>4.7792541415129015E-2</v>
      </c>
      <c r="Q173" t="s">
        <v>154</v>
      </c>
      <c r="S173" t="s">
        <v>224</v>
      </c>
      <c r="T173" t="s">
        <v>163</v>
      </c>
      <c r="U173">
        <v>5.2083539214277885E-2</v>
      </c>
      <c r="V173" t="s">
        <v>154</v>
      </c>
    </row>
    <row r="174" spans="9:22" x14ac:dyDescent="0.45">
      <c r="I174" t="s">
        <v>171</v>
      </c>
      <c r="J174" t="s">
        <v>164</v>
      </c>
      <c r="K174">
        <v>1.5844400726397114E-2</v>
      </c>
      <c r="L174" t="s">
        <v>154</v>
      </c>
      <c r="N174" t="s">
        <v>200</v>
      </c>
      <c r="O174" t="s">
        <v>164</v>
      </c>
      <c r="P174">
        <v>1.277613164616768E-2</v>
      </c>
      <c r="Q174" t="s">
        <v>154</v>
      </c>
      <c r="S174" t="s">
        <v>224</v>
      </c>
      <c r="T174" t="s">
        <v>164</v>
      </c>
      <c r="U174">
        <v>1.3532397342082256E-2</v>
      </c>
      <c r="V174" t="s">
        <v>154</v>
      </c>
    </row>
    <row r="175" spans="9:22" x14ac:dyDescent="0.45">
      <c r="I175" t="s">
        <v>171</v>
      </c>
      <c r="J175" t="s">
        <v>165</v>
      </c>
      <c r="K175">
        <v>0.11726301104257292</v>
      </c>
      <c r="L175" t="s">
        <v>154</v>
      </c>
      <c r="N175" t="s">
        <v>200</v>
      </c>
      <c r="O175" t="s">
        <v>165</v>
      </c>
      <c r="P175">
        <v>4.9996586715962382E-2</v>
      </c>
      <c r="Q175" t="s">
        <v>154</v>
      </c>
      <c r="S175" t="s">
        <v>224</v>
      </c>
      <c r="T175" t="s">
        <v>165</v>
      </c>
      <c r="U175">
        <v>5.5840008618247367E-2</v>
      </c>
      <c r="V175" t="s">
        <v>154</v>
      </c>
    </row>
    <row r="176" spans="9:22" x14ac:dyDescent="0.45">
      <c r="I176" t="s">
        <v>171</v>
      </c>
      <c r="J176" t="s">
        <v>264</v>
      </c>
      <c r="K176">
        <v>8.5731802182775121E-3</v>
      </c>
      <c r="L176" t="s">
        <v>154</v>
      </c>
      <c r="N176" t="s">
        <v>200</v>
      </c>
      <c r="O176" t="s">
        <v>264</v>
      </c>
      <c r="P176">
        <v>5.9799187266774897E-3</v>
      </c>
      <c r="Q176" t="s">
        <v>154</v>
      </c>
      <c r="S176" t="s">
        <v>224</v>
      </c>
      <c r="T176" t="s">
        <v>264</v>
      </c>
      <c r="U176">
        <v>5.8907572293811789E-3</v>
      </c>
      <c r="V176" t="s">
        <v>154</v>
      </c>
    </row>
    <row r="177" spans="9:22" x14ac:dyDescent="0.45">
      <c r="I177" t="s">
        <v>171</v>
      </c>
      <c r="J177" t="s">
        <v>265</v>
      </c>
      <c r="K177">
        <v>2.6819114482975301E-3</v>
      </c>
      <c r="L177" t="s">
        <v>154</v>
      </c>
      <c r="N177" t="s">
        <v>200</v>
      </c>
      <c r="O177" t="s">
        <v>265</v>
      </c>
      <c r="P177">
        <v>4.3976195193088296E-3</v>
      </c>
      <c r="Q177" t="s">
        <v>154</v>
      </c>
      <c r="S177" t="s">
        <v>224</v>
      </c>
      <c r="T177" t="s">
        <v>265</v>
      </c>
      <c r="U177">
        <v>4.7960535136192944E-3</v>
      </c>
      <c r="V177" t="s">
        <v>154</v>
      </c>
    </row>
    <row r="178" spans="9:22" x14ac:dyDescent="0.45">
      <c r="I178" t="s">
        <v>171</v>
      </c>
      <c r="J178" t="s">
        <v>266</v>
      </c>
      <c r="K178">
        <v>0</v>
      </c>
      <c r="L178" t="s">
        <v>154</v>
      </c>
      <c r="N178" t="s">
        <v>200</v>
      </c>
      <c r="O178" t="s">
        <v>266</v>
      </c>
      <c r="P178">
        <v>2.6030568044540955E-2</v>
      </c>
      <c r="Q178" t="s">
        <v>154</v>
      </c>
      <c r="S178" t="s">
        <v>224</v>
      </c>
      <c r="T178" t="s">
        <v>266</v>
      </c>
      <c r="U178">
        <v>3.2586397575313085E-2</v>
      </c>
      <c r="V178" t="s">
        <v>154</v>
      </c>
    </row>
    <row r="179" spans="9:22" x14ac:dyDescent="0.45">
      <c r="I179" t="s">
        <v>172</v>
      </c>
      <c r="J179" t="s">
        <v>153</v>
      </c>
      <c r="K179">
        <v>0</v>
      </c>
      <c r="L179" t="s">
        <v>154</v>
      </c>
      <c r="N179" t="s">
        <v>201</v>
      </c>
      <c r="O179" t="s">
        <v>153</v>
      </c>
      <c r="P179">
        <v>0.17821345751775769</v>
      </c>
      <c r="Q179" t="s">
        <v>154</v>
      </c>
      <c r="S179" t="s">
        <v>225</v>
      </c>
      <c r="T179" t="s">
        <v>153</v>
      </c>
      <c r="U179">
        <v>0.18932936862385111</v>
      </c>
      <c r="V179" t="s">
        <v>154</v>
      </c>
    </row>
    <row r="180" spans="9:22" x14ac:dyDescent="0.45">
      <c r="I180" t="s">
        <v>172</v>
      </c>
      <c r="J180" t="s">
        <v>155</v>
      </c>
      <c r="K180">
        <v>5.1218952791158748E-2</v>
      </c>
      <c r="L180" t="s">
        <v>154</v>
      </c>
      <c r="N180" t="s">
        <v>201</v>
      </c>
      <c r="O180" t="s">
        <v>155</v>
      </c>
      <c r="P180">
        <v>4.419009361274346E-2</v>
      </c>
      <c r="Q180" t="s">
        <v>154</v>
      </c>
      <c r="S180" t="s">
        <v>225</v>
      </c>
      <c r="T180" t="s">
        <v>155</v>
      </c>
      <c r="U180">
        <v>5.3504553144629957E-2</v>
      </c>
      <c r="V180" t="s">
        <v>154</v>
      </c>
    </row>
    <row r="181" spans="9:22" x14ac:dyDescent="0.45">
      <c r="I181" t="s">
        <v>172</v>
      </c>
      <c r="J181" t="s">
        <v>156</v>
      </c>
      <c r="K181">
        <v>0.52633916788356327</v>
      </c>
      <c r="L181" t="s">
        <v>154</v>
      </c>
      <c r="N181" t="s">
        <v>201</v>
      </c>
      <c r="O181" t="s">
        <v>156</v>
      </c>
      <c r="P181">
        <v>0.20102569707247339</v>
      </c>
      <c r="Q181" t="s">
        <v>154</v>
      </c>
      <c r="S181" t="s">
        <v>225</v>
      </c>
      <c r="T181" t="s">
        <v>156</v>
      </c>
      <c r="U181">
        <v>0.20936681900476048</v>
      </c>
      <c r="V181" t="s">
        <v>154</v>
      </c>
    </row>
    <row r="182" spans="9:22" x14ac:dyDescent="0.45">
      <c r="I182" t="s">
        <v>172</v>
      </c>
      <c r="J182" t="s">
        <v>255</v>
      </c>
      <c r="K182">
        <v>3.9172592008986769E-2</v>
      </c>
      <c r="L182" t="s">
        <v>154</v>
      </c>
      <c r="N182" t="s">
        <v>201</v>
      </c>
      <c r="O182" t="s">
        <v>255</v>
      </c>
      <c r="P182">
        <v>2.9265184774678158E-2</v>
      </c>
      <c r="Q182" t="s">
        <v>154</v>
      </c>
      <c r="S182" t="s">
        <v>225</v>
      </c>
      <c r="T182" t="s">
        <v>255</v>
      </c>
      <c r="U182">
        <v>2.4693540618054437E-2</v>
      </c>
      <c r="V182" t="s">
        <v>154</v>
      </c>
    </row>
    <row r="183" spans="9:22" x14ac:dyDescent="0.45">
      <c r="I183" t="s">
        <v>172</v>
      </c>
      <c r="J183" t="s">
        <v>256</v>
      </c>
      <c r="K183">
        <v>2.3658067770789871E-2</v>
      </c>
      <c r="L183" t="s">
        <v>154</v>
      </c>
      <c r="N183" t="s">
        <v>201</v>
      </c>
      <c r="O183" t="s">
        <v>256</v>
      </c>
      <c r="P183">
        <v>2.7616878567071099E-2</v>
      </c>
      <c r="Q183" t="s">
        <v>154</v>
      </c>
      <c r="S183" t="s">
        <v>225</v>
      </c>
      <c r="T183" t="s">
        <v>256</v>
      </c>
      <c r="U183">
        <v>1.9726993805395485E-2</v>
      </c>
      <c r="V183" t="s">
        <v>154</v>
      </c>
    </row>
    <row r="184" spans="9:22" x14ac:dyDescent="0.45">
      <c r="I184" t="s">
        <v>172</v>
      </c>
      <c r="J184" t="s">
        <v>257</v>
      </c>
      <c r="K184">
        <v>0</v>
      </c>
      <c r="L184" t="s">
        <v>154</v>
      </c>
      <c r="N184" t="s">
        <v>201</v>
      </c>
      <c r="O184" t="s">
        <v>257</v>
      </c>
      <c r="P184">
        <v>0.11871150264608565</v>
      </c>
      <c r="Q184" t="s">
        <v>154</v>
      </c>
      <c r="S184" t="s">
        <v>225</v>
      </c>
      <c r="T184" t="s">
        <v>257</v>
      </c>
      <c r="U184">
        <v>0.10531628576491242</v>
      </c>
      <c r="V184" t="s">
        <v>154</v>
      </c>
    </row>
    <row r="185" spans="9:22" x14ac:dyDescent="0.45">
      <c r="I185" t="s">
        <v>172</v>
      </c>
      <c r="J185" t="s">
        <v>157</v>
      </c>
      <c r="K185">
        <v>0</v>
      </c>
      <c r="L185" t="s">
        <v>154</v>
      </c>
      <c r="N185" t="s">
        <v>201</v>
      </c>
      <c r="O185" t="s">
        <v>157</v>
      </c>
      <c r="P185">
        <v>5.4261779606159355E-2</v>
      </c>
      <c r="Q185" t="s">
        <v>154</v>
      </c>
      <c r="S185" t="s">
        <v>225</v>
      </c>
      <c r="T185" t="s">
        <v>157</v>
      </c>
      <c r="U185">
        <v>5.7518891994677142E-2</v>
      </c>
      <c r="V185" t="s">
        <v>154</v>
      </c>
    </row>
    <row r="186" spans="9:22" x14ac:dyDescent="0.45">
      <c r="I186" t="s">
        <v>172</v>
      </c>
      <c r="J186" t="s">
        <v>158</v>
      </c>
      <c r="K186">
        <v>1.3155203525348845E-2</v>
      </c>
      <c r="L186" t="s">
        <v>154</v>
      </c>
      <c r="N186" t="s">
        <v>201</v>
      </c>
      <c r="O186" t="s">
        <v>158</v>
      </c>
      <c r="P186">
        <v>1.326626006857601E-2</v>
      </c>
      <c r="Q186" t="s">
        <v>154</v>
      </c>
      <c r="S186" t="s">
        <v>225</v>
      </c>
      <c r="T186" t="s">
        <v>158</v>
      </c>
      <c r="U186">
        <v>1.4366638676647069E-2</v>
      </c>
      <c r="V186" t="s">
        <v>154</v>
      </c>
    </row>
    <row r="187" spans="9:22" x14ac:dyDescent="0.45">
      <c r="I187" t="s">
        <v>172</v>
      </c>
      <c r="J187" t="s">
        <v>159</v>
      </c>
      <c r="K187">
        <v>0.12839415630276124</v>
      </c>
      <c r="L187" t="s">
        <v>154</v>
      </c>
      <c r="N187" t="s">
        <v>201</v>
      </c>
      <c r="O187" t="s">
        <v>159</v>
      </c>
      <c r="P187">
        <v>6.671982500203022E-2</v>
      </c>
      <c r="Q187" t="s">
        <v>154</v>
      </c>
      <c r="S187" t="s">
        <v>225</v>
      </c>
      <c r="T187" t="s">
        <v>159</v>
      </c>
      <c r="U187">
        <v>6.8426661825216256E-2</v>
      </c>
      <c r="V187" t="s">
        <v>154</v>
      </c>
    </row>
    <row r="188" spans="9:22" x14ac:dyDescent="0.45">
      <c r="I188" t="s">
        <v>172</v>
      </c>
      <c r="J188" t="s">
        <v>258</v>
      </c>
      <c r="K188">
        <v>8.0495059309448995E-3</v>
      </c>
      <c r="L188" t="s">
        <v>154</v>
      </c>
      <c r="N188" t="s">
        <v>201</v>
      </c>
      <c r="O188" t="s">
        <v>258</v>
      </c>
      <c r="P188">
        <v>8.6256903142427517E-3</v>
      </c>
      <c r="Q188" t="s">
        <v>154</v>
      </c>
      <c r="S188" t="s">
        <v>225</v>
      </c>
      <c r="T188" t="s">
        <v>258</v>
      </c>
      <c r="U188">
        <v>8.7024128714631842E-3</v>
      </c>
      <c r="V188" t="s">
        <v>154</v>
      </c>
    </row>
    <row r="189" spans="9:22" x14ac:dyDescent="0.45">
      <c r="I189" t="s">
        <v>172</v>
      </c>
      <c r="J189" t="s">
        <v>259</v>
      </c>
      <c r="K189">
        <v>4.5805947932531527E-3</v>
      </c>
      <c r="L189" t="s">
        <v>154</v>
      </c>
      <c r="N189" t="s">
        <v>201</v>
      </c>
      <c r="O189" t="s">
        <v>259</v>
      </c>
      <c r="P189">
        <v>7.2967699266218511E-3</v>
      </c>
      <c r="Q189" t="s">
        <v>154</v>
      </c>
      <c r="S189" t="s">
        <v>225</v>
      </c>
      <c r="T189" t="s">
        <v>259</v>
      </c>
      <c r="U189">
        <v>7.5314982895303955E-3</v>
      </c>
      <c r="V189" t="s">
        <v>154</v>
      </c>
    </row>
    <row r="190" spans="9:22" x14ac:dyDescent="0.45">
      <c r="I190" t="s">
        <v>172</v>
      </c>
      <c r="J190" t="s">
        <v>260</v>
      </c>
      <c r="K190">
        <v>0</v>
      </c>
      <c r="L190" t="s">
        <v>154</v>
      </c>
      <c r="N190" t="s">
        <v>201</v>
      </c>
      <c r="O190" t="s">
        <v>260</v>
      </c>
      <c r="P190">
        <v>3.8524042199703457E-2</v>
      </c>
      <c r="Q190" t="s">
        <v>154</v>
      </c>
      <c r="S190" t="s">
        <v>225</v>
      </c>
      <c r="T190" t="s">
        <v>260</v>
      </c>
      <c r="U190">
        <v>3.8224763907724911E-2</v>
      </c>
      <c r="V190" t="s">
        <v>154</v>
      </c>
    </row>
    <row r="191" spans="9:22" x14ac:dyDescent="0.45">
      <c r="I191" t="s">
        <v>172</v>
      </c>
      <c r="J191" t="s">
        <v>160</v>
      </c>
      <c r="K191">
        <v>0</v>
      </c>
      <c r="L191" t="s">
        <v>154</v>
      </c>
      <c r="N191" t="s">
        <v>201</v>
      </c>
      <c r="O191" t="s">
        <v>160</v>
      </c>
      <c r="P191">
        <v>2.3815381935509965E-2</v>
      </c>
      <c r="Q191" t="s">
        <v>154</v>
      </c>
      <c r="S191" t="s">
        <v>225</v>
      </c>
      <c r="T191" t="s">
        <v>160</v>
      </c>
      <c r="U191">
        <v>1.3392265094411215E-2</v>
      </c>
      <c r="V191" t="s">
        <v>154</v>
      </c>
    </row>
    <row r="192" spans="9:22" x14ac:dyDescent="0.45">
      <c r="I192" t="s">
        <v>172</v>
      </c>
      <c r="J192" t="s">
        <v>161</v>
      </c>
      <c r="K192">
        <v>7.9445911244913382E-3</v>
      </c>
      <c r="L192" t="s">
        <v>154</v>
      </c>
      <c r="N192" t="s">
        <v>201</v>
      </c>
      <c r="O192" t="s">
        <v>161</v>
      </c>
      <c r="P192">
        <v>5.4276069092769894E-3</v>
      </c>
      <c r="Q192" t="s">
        <v>154</v>
      </c>
      <c r="S192" t="s">
        <v>225</v>
      </c>
      <c r="T192" t="s">
        <v>161</v>
      </c>
      <c r="U192">
        <v>5.4446408251060162E-3</v>
      </c>
      <c r="V192" t="s">
        <v>154</v>
      </c>
    </row>
    <row r="193" spans="9:22" x14ac:dyDescent="0.45">
      <c r="I193" t="s">
        <v>172</v>
      </c>
      <c r="J193" t="s">
        <v>162</v>
      </c>
      <c r="K193">
        <v>6.280414332314338E-2</v>
      </c>
      <c r="L193" t="s">
        <v>154</v>
      </c>
      <c r="N193" t="s">
        <v>201</v>
      </c>
      <c r="O193" t="s">
        <v>162</v>
      </c>
      <c r="P193">
        <v>2.7013820871046233E-2</v>
      </c>
      <c r="Q193" t="s">
        <v>154</v>
      </c>
      <c r="S193" t="s">
        <v>225</v>
      </c>
      <c r="T193" t="s">
        <v>162</v>
      </c>
      <c r="U193">
        <v>2.2888812607467061E-2</v>
      </c>
      <c r="V193" t="s">
        <v>154</v>
      </c>
    </row>
    <row r="194" spans="9:22" x14ac:dyDescent="0.45">
      <c r="I194" t="s">
        <v>172</v>
      </c>
      <c r="J194" t="s">
        <v>261</v>
      </c>
      <c r="K194">
        <v>3.6663858406394837E-3</v>
      </c>
      <c r="L194" t="s">
        <v>154</v>
      </c>
      <c r="N194" t="s">
        <v>201</v>
      </c>
      <c r="O194" t="s">
        <v>261</v>
      </c>
      <c r="P194">
        <v>4.7471455740358427E-3</v>
      </c>
      <c r="Q194" t="s">
        <v>154</v>
      </c>
      <c r="S194" t="s">
        <v>225</v>
      </c>
      <c r="T194" t="s">
        <v>261</v>
      </c>
      <c r="U194">
        <v>2.0400873952569473E-3</v>
      </c>
      <c r="V194" t="s">
        <v>154</v>
      </c>
    </row>
    <row r="195" spans="9:22" x14ac:dyDescent="0.45">
      <c r="I195" t="s">
        <v>172</v>
      </c>
      <c r="J195" t="s">
        <v>262</v>
      </c>
      <c r="K195">
        <v>1.8987268417997444E-3</v>
      </c>
      <c r="L195" t="s">
        <v>154</v>
      </c>
      <c r="N195" t="s">
        <v>201</v>
      </c>
      <c r="O195" t="s">
        <v>262</v>
      </c>
      <c r="P195">
        <v>4.5063003306683915E-3</v>
      </c>
      <c r="Q195" t="s">
        <v>154</v>
      </c>
      <c r="S195" t="s">
        <v>225</v>
      </c>
      <c r="T195" t="s">
        <v>262</v>
      </c>
      <c r="U195">
        <v>1.3657325915396247E-3</v>
      </c>
      <c r="V195" t="s">
        <v>154</v>
      </c>
    </row>
    <row r="196" spans="9:22" x14ac:dyDescent="0.45">
      <c r="I196" t="s">
        <v>172</v>
      </c>
      <c r="J196" t="s">
        <v>263</v>
      </c>
      <c r="K196">
        <v>0</v>
      </c>
      <c r="L196" t="s">
        <v>154</v>
      </c>
      <c r="N196" t="s">
        <v>201</v>
      </c>
      <c r="O196" t="s">
        <v>263</v>
      </c>
      <c r="P196">
        <v>2.004320023228599E-2</v>
      </c>
      <c r="Q196" t="s">
        <v>154</v>
      </c>
      <c r="S196" t="s">
        <v>225</v>
      </c>
      <c r="T196" t="s">
        <v>263</v>
      </c>
      <c r="U196">
        <v>6.5103629133049564E-3</v>
      </c>
      <c r="V196" t="s">
        <v>154</v>
      </c>
    </row>
    <row r="197" spans="9:22" x14ac:dyDescent="0.45">
      <c r="I197" t="s">
        <v>172</v>
      </c>
      <c r="J197" t="s">
        <v>163</v>
      </c>
      <c r="K197">
        <v>0</v>
      </c>
      <c r="L197" t="s">
        <v>154</v>
      </c>
      <c r="N197" t="s">
        <v>201</v>
      </c>
      <c r="O197" t="s">
        <v>163</v>
      </c>
      <c r="P197">
        <v>3.3118392413352071E-2</v>
      </c>
      <c r="Q197" t="s">
        <v>154</v>
      </c>
      <c r="S197" t="s">
        <v>225</v>
      </c>
      <c r="T197" t="s">
        <v>163</v>
      </c>
      <c r="U197">
        <v>4.87430282518014E-2</v>
      </c>
      <c r="V197" t="s">
        <v>154</v>
      </c>
    </row>
    <row r="198" spans="9:22" x14ac:dyDescent="0.45">
      <c r="I198" t="s">
        <v>172</v>
      </c>
      <c r="J198" t="s">
        <v>164</v>
      </c>
      <c r="K198">
        <v>1.1284641951634524E-2</v>
      </c>
      <c r="L198" t="s">
        <v>154</v>
      </c>
      <c r="N198" t="s">
        <v>201</v>
      </c>
      <c r="O198" t="s">
        <v>164</v>
      </c>
      <c r="P198">
        <v>8.4980126039252233E-3</v>
      </c>
      <c r="Q198" t="s">
        <v>154</v>
      </c>
      <c r="S198" t="s">
        <v>225</v>
      </c>
      <c r="T198" t="s">
        <v>164</v>
      </c>
      <c r="U198">
        <v>1.350033250364947E-2</v>
      </c>
      <c r="V198" t="s">
        <v>154</v>
      </c>
    </row>
    <row r="199" spans="9:22" x14ac:dyDescent="0.45">
      <c r="I199" t="s">
        <v>172</v>
      </c>
      <c r="J199" t="s">
        <v>165</v>
      </c>
      <c r="K199">
        <v>0.10666888980622255</v>
      </c>
      <c r="L199" t="s">
        <v>154</v>
      </c>
      <c r="N199" t="s">
        <v>201</v>
      </c>
      <c r="O199" t="s">
        <v>165</v>
      </c>
      <c r="P199">
        <v>4.5048157156656325E-2</v>
      </c>
      <c r="Q199" t="s">
        <v>154</v>
      </c>
      <c r="S199" t="s">
        <v>225</v>
      </c>
      <c r="T199" t="s">
        <v>165</v>
      </c>
      <c r="U199">
        <v>5.2417684647576179E-2</v>
      </c>
      <c r="V199" t="s">
        <v>154</v>
      </c>
    </row>
    <row r="200" spans="9:22" x14ac:dyDescent="0.45">
      <c r="I200" t="s">
        <v>172</v>
      </c>
      <c r="J200" t="s">
        <v>264</v>
      </c>
      <c r="K200">
        <v>7.1354129854160116E-3</v>
      </c>
      <c r="L200" t="s">
        <v>154</v>
      </c>
      <c r="N200" t="s">
        <v>201</v>
      </c>
      <c r="O200" t="s">
        <v>264</v>
      </c>
      <c r="P200">
        <v>6.645236771939538E-3</v>
      </c>
      <c r="Q200" t="s">
        <v>154</v>
      </c>
      <c r="S200" t="s">
        <v>225</v>
      </c>
      <c r="T200" t="s">
        <v>264</v>
      </c>
      <c r="U200">
        <v>6.2919339361540514E-3</v>
      </c>
      <c r="V200" t="s">
        <v>154</v>
      </c>
    </row>
    <row r="201" spans="9:22" x14ac:dyDescent="0.45">
      <c r="I201" t="s">
        <v>172</v>
      </c>
      <c r="J201" t="s">
        <v>265</v>
      </c>
      <c r="K201">
        <v>4.028967119849701E-3</v>
      </c>
      <c r="L201" t="s">
        <v>154</v>
      </c>
      <c r="N201" t="s">
        <v>201</v>
      </c>
      <c r="O201" t="s">
        <v>265</v>
      </c>
      <c r="P201">
        <v>6.5044739470678046E-3</v>
      </c>
      <c r="Q201" t="s">
        <v>154</v>
      </c>
      <c r="S201" t="s">
        <v>225</v>
      </c>
      <c r="T201" t="s">
        <v>265</v>
      </c>
      <c r="U201">
        <v>4.3193258117321639E-3</v>
      </c>
      <c r="V201" t="s">
        <v>154</v>
      </c>
    </row>
    <row r="202" spans="9:22" x14ac:dyDescent="0.45">
      <c r="I202" t="s">
        <v>172</v>
      </c>
      <c r="J202" t="s">
        <v>266</v>
      </c>
      <c r="K202">
        <v>0</v>
      </c>
      <c r="L202" t="s">
        <v>154</v>
      </c>
      <c r="N202" t="s">
        <v>201</v>
      </c>
      <c r="O202" t="s">
        <v>266</v>
      </c>
      <c r="P202">
        <v>2.6915089946094151E-2</v>
      </c>
      <c r="Q202" t="s">
        <v>154</v>
      </c>
      <c r="S202" t="s">
        <v>225</v>
      </c>
      <c r="T202" t="s">
        <v>266</v>
      </c>
      <c r="U202">
        <v>2.6377364895139921E-2</v>
      </c>
      <c r="V202" t="s">
        <v>154</v>
      </c>
    </row>
    <row r="203" spans="9:22" x14ac:dyDescent="0.45">
      <c r="I203" t="s">
        <v>173</v>
      </c>
      <c r="J203" t="s">
        <v>153</v>
      </c>
      <c r="K203">
        <v>0</v>
      </c>
      <c r="L203" t="s">
        <v>154</v>
      </c>
      <c r="N203" t="s">
        <v>202</v>
      </c>
      <c r="O203" t="s">
        <v>153</v>
      </c>
      <c r="P203">
        <v>0.16426667005849743</v>
      </c>
      <c r="Q203" t="s">
        <v>154</v>
      </c>
      <c r="S203" t="s">
        <v>226</v>
      </c>
      <c r="T203" t="s">
        <v>153</v>
      </c>
      <c r="U203">
        <v>0.1756388567863558</v>
      </c>
      <c r="V203" t="s">
        <v>154</v>
      </c>
    </row>
    <row r="204" spans="9:22" x14ac:dyDescent="0.45">
      <c r="I204" t="s">
        <v>173</v>
      </c>
      <c r="J204" t="s">
        <v>155</v>
      </c>
      <c r="K204">
        <v>5.8173182777042885E-2</v>
      </c>
      <c r="L204" t="s">
        <v>154</v>
      </c>
      <c r="N204" t="s">
        <v>202</v>
      </c>
      <c r="O204" t="s">
        <v>155</v>
      </c>
      <c r="P204">
        <v>4.1346494522609564E-2</v>
      </c>
      <c r="Q204" t="s">
        <v>154</v>
      </c>
      <c r="S204" t="s">
        <v>226</v>
      </c>
      <c r="T204" t="s">
        <v>155</v>
      </c>
      <c r="U204">
        <v>5.0992696175204695E-2</v>
      </c>
      <c r="V204" t="s">
        <v>154</v>
      </c>
    </row>
    <row r="205" spans="9:22" x14ac:dyDescent="0.45">
      <c r="I205" t="s">
        <v>173</v>
      </c>
      <c r="J205" t="s">
        <v>156</v>
      </c>
      <c r="K205">
        <v>0.51395766048837654</v>
      </c>
      <c r="L205" t="s">
        <v>154</v>
      </c>
      <c r="N205" t="s">
        <v>202</v>
      </c>
      <c r="O205" t="s">
        <v>156</v>
      </c>
      <c r="P205">
        <v>0.20597781554492745</v>
      </c>
      <c r="Q205" t="s">
        <v>154</v>
      </c>
      <c r="S205" t="s">
        <v>226</v>
      </c>
      <c r="T205" t="s">
        <v>156</v>
      </c>
      <c r="U205">
        <v>0.21037865580002033</v>
      </c>
      <c r="V205" t="s">
        <v>154</v>
      </c>
    </row>
    <row r="206" spans="9:22" x14ac:dyDescent="0.45">
      <c r="I206" t="s">
        <v>173</v>
      </c>
      <c r="J206" t="s">
        <v>255</v>
      </c>
      <c r="K206">
        <v>4.118919695802653E-2</v>
      </c>
      <c r="L206" t="s">
        <v>154</v>
      </c>
      <c r="N206" t="s">
        <v>202</v>
      </c>
      <c r="O206" t="s">
        <v>255</v>
      </c>
      <c r="P206">
        <v>2.6704726408585504E-2</v>
      </c>
      <c r="Q206" t="s">
        <v>154</v>
      </c>
      <c r="S206" t="s">
        <v>226</v>
      </c>
      <c r="T206" t="s">
        <v>255</v>
      </c>
      <c r="U206">
        <v>2.6318596622621922E-2</v>
      </c>
      <c r="V206" t="s">
        <v>154</v>
      </c>
    </row>
    <row r="207" spans="9:22" x14ac:dyDescent="0.45">
      <c r="I207" t="s">
        <v>173</v>
      </c>
      <c r="J207" t="s">
        <v>256</v>
      </c>
      <c r="K207">
        <v>2.5283797698949308E-2</v>
      </c>
      <c r="L207" t="s">
        <v>154</v>
      </c>
      <c r="N207" t="s">
        <v>202</v>
      </c>
      <c r="O207" t="s">
        <v>256</v>
      </c>
      <c r="P207">
        <v>2.5262454590083847E-2</v>
      </c>
      <c r="Q207" t="s">
        <v>154</v>
      </c>
      <c r="S207" t="s">
        <v>226</v>
      </c>
      <c r="T207" t="s">
        <v>256</v>
      </c>
      <c r="U207">
        <v>2.1802035552306757E-2</v>
      </c>
      <c r="V207" t="s">
        <v>154</v>
      </c>
    </row>
    <row r="208" spans="9:22" x14ac:dyDescent="0.45">
      <c r="I208" t="s">
        <v>173</v>
      </c>
      <c r="J208" t="s">
        <v>257</v>
      </c>
      <c r="K208">
        <v>0</v>
      </c>
      <c r="L208" t="s">
        <v>154</v>
      </c>
      <c r="N208" t="s">
        <v>202</v>
      </c>
      <c r="O208" t="s">
        <v>257</v>
      </c>
      <c r="P208">
        <v>0.12053189111700227</v>
      </c>
      <c r="Q208" t="s">
        <v>154</v>
      </c>
      <c r="S208" t="s">
        <v>226</v>
      </c>
      <c r="T208" t="s">
        <v>257</v>
      </c>
      <c r="U208">
        <v>0.11133333245354564</v>
      </c>
      <c r="V208" t="s">
        <v>154</v>
      </c>
    </row>
    <row r="209" spans="9:22" x14ac:dyDescent="0.45">
      <c r="I209" t="s">
        <v>173</v>
      </c>
      <c r="J209" t="s">
        <v>157</v>
      </c>
      <c r="K209">
        <v>0</v>
      </c>
      <c r="L209" t="s">
        <v>154</v>
      </c>
      <c r="N209" t="s">
        <v>202</v>
      </c>
      <c r="O209" t="s">
        <v>157</v>
      </c>
      <c r="P209">
        <v>5.6777260280776808E-2</v>
      </c>
      <c r="Q209" t="s">
        <v>154</v>
      </c>
      <c r="S209" t="s">
        <v>226</v>
      </c>
      <c r="T209" t="s">
        <v>157</v>
      </c>
      <c r="U209">
        <v>6.1710055199724105E-2</v>
      </c>
      <c r="V209" t="s">
        <v>154</v>
      </c>
    </row>
    <row r="210" spans="9:22" x14ac:dyDescent="0.45">
      <c r="I210" t="s">
        <v>173</v>
      </c>
      <c r="J210" t="s">
        <v>158</v>
      </c>
      <c r="K210">
        <v>1.3767158806253715E-2</v>
      </c>
      <c r="L210" t="s">
        <v>154</v>
      </c>
      <c r="N210" t="s">
        <v>202</v>
      </c>
      <c r="O210" t="s">
        <v>158</v>
      </c>
      <c r="P210">
        <v>1.414060658029748E-2</v>
      </c>
      <c r="Q210" t="s">
        <v>154</v>
      </c>
      <c r="S210" t="s">
        <v>226</v>
      </c>
      <c r="T210" t="s">
        <v>158</v>
      </c>
      <c r="U210">
        <v>1.6250326468016631E-2</v>
      </c>
      <c r="V210" t="s">
        <v>154</v>
      </c>
    </row>
    <row r="211" spans="9:22" x14ac:dyDescent="0.45">
      <c r="I211" t="s">
        <v>173</v>
      </c>
      <c r="J211" t="s">
        <v>159</v>
      </c>
      <c r="K211">
        <v>0.11562012687591171</v>
      </c>
      <c r="L211" t="s">
        <v>154</v>
      </c>
      <c r="N211" t="s">
        <v>202</v>
      </c>
      <c r="O211" t="s">
        <v>159</v>
      </c>
      <c r="P211">
        <v>8.3906901332553685E-2</v>
      </c>
      <c r="Q211" t="s">
        <v>154</v>
      </c>
      <c r="S211" t="s">
        <v>226</v>
      </c>
      <c r="T211" t="s">
        <v>159</v>
      </c>
      <c r="U211">
        <v>7.4431100555025984E-2</v>
      </c>
      <c r="V211" t="s">
        <v>154</v>
      </c>
    </row>
    <row r="212" spans="9:22" x14ac:dyDescent="0.45">
      <c r="I212" t="s">
        <v>173</v>
      </c>
      <c r="J212" t="s">
        <v>258</v>
      </c>
      <c r="K212">
        <v>8.6575068551036204E-3</v>
      </c>
      <c r="L212" t="s">
        <v>154</v>
      </c>
      <c r="N212" t="s">
        <v>202</v>
      </c>
      <c r="O212" t="s">
        <v>258</v>
      </c>
      <c r="P212">
        <v>1.1444972338252164E-2</v>
      </c>
      <c r="Q212" t="s">
        <v>154</v>
      </c>
      <c r="S212" t="s">
        <v>226</v>
      </c>
      <c r="T212" t="s">
        <v>258</v>
      </c>
      <c r="U212">
        <v>9.36039812918079E-3</v>
      </c>
      <c r="V212" t="s">
        <v>154</v>
      </c>
    </row>
    <row r="213" spans="9:22" x14ac:dyDescent="0.45">
      <c r="I213" t="s">
        <v>173</v>
      </c>
      <c r="J213" t="s">
        <v>259</v>
      </c>
      <c r="K213">
        <v>5.2379874229123045E-3</v>
      </c>
      <c r="L213" t="s">
        <v>154</v>
      </c>
      <c r="N213" t="s">
        <v>202</v>
      </c>
      <c r="O213" t="s">
        <v>259</v>
      </c>
      <c r="P213">
        <v>1.1265414042412953E-2</v>
      </c>
      <c r="Q213" t="s">
        <v>154</v>
      </c>
      <c r="S213" t="s">
        <v>226</v>
      </c>
      <c r="T213" t="s">
        <v>259</v>
      </c>
      <c r="U213">
        <v>8.5520912317884664E-3</v>
      </c>
      <c r="V213" t="s">
        <v>154</v>
      </c>
    </row>
    <row r="214" spans="9:22" x14ac:dyDescent="0.45">
      <c r="I214" t="s">
        <v>173</v>
      </c>
      <c r="J214" t="s">
        <v>260</v>
      </c>
      <c r="K214">
        <v>0</v>
      </c>
      <c r="L214" t="s">
        <v>154</v>
      </c>
      <c r="N214" t="s">
        <v>202</v>
      </c>
      <c r="O214" t="s">
        <v>260</v>
      </c>
      <c r="P214">
        <v>4.5519675540364908E-2</v>
      </c>
      <c r="Q214" t="s">
        <v>154</v>
      </c>
      <c r="S214" t="s">
        <v>226</v>
      </c>
      <c r="T214" t="s">
        <v>260</v>
      </c>
      <c r="U214">
        <v>4.1057269934623969E-2</v>
      </c>
      <c r="V214" t="s">
        <v>154</v>
      </c>
    </row>
    <row r="215" spans="9:22" x14ac:dyDescent="0.45">
      <c r="I215" t="s">
        <v>173</v>
      </c>
      <c r="J215" t="s">
        <v>160</v>
      </c>
      <c r="K215">
        <v>0</v>
      </c>
      <c r="L215" t="s">
        <v>154</v>
      </c>
      <c r="N215" t="s">
        <v>202</v>
      </c>
      <c r="O215" t="s">
        <v>160</v>
      </c>
      <c r="P215">
        <v>1.5604447426025281E-2</v>
      </c>
      <c r="Q215" t="s">
        <v>154</v>
      </c>
      <c r="S215" t="s">
        <v>226</v>
      </c>
      <c r="T215" t="s">
        <v>160</v>
      </c>
      <c r="U215">
        <v>1.2128527238457115E-2</v>
      </c>
      <c r="V215" t="s">
        <v>154</v>
      </c>
    </row>
    <row r="216" spans="9:22" x14ac:dyDescent="0.45">
      <c r="I216" t="s">
        <v>173</v>
      </c>
      <c r="J216" t="s">
        <v>161</v>
      </c>
      <c r="K216">
        <v>8.4435023806882382E-3</v>
      </c>
      <c r="L216" t="s">
        <v>154</v>
      </c>
      <c r="N216" t="s">
        <v>202</v>
      </c>
      <c r="O216" t="s">
        <v>161</v>
      </c>
      <c r="P216">
        <v>3.3307533740461735E-3</v>
      </c>
      <c r="Q216" t="s">
        <v>154</v>
      </c>
      <c r="S216" t="s">
        <v>226</v>
      </c>
      <c r="T216" t="s">
        <v>161</v>
      </c>
      <c r="U216">
        <v>3.7841929769359679E-3</v>
      </c>
      <c r="V216" t="s">
        <v>154</v>
      </c>
    </row>
    <row r="217" spans="9:22" x14ac:dyDescent="0.45">
      <c r="I217" t="s">
        <v>173</v>
      </c>
      <c r="J217" t="s">
        <v>162</v>
      </c>
      <c r="K217">
        <v>6.2301330912525862E-2</v>
      </c>
      <c r="L217" t="s">
        <v>154</v>
      </c>
      <c r="N217" t="s">
        <v>202</v>
      </c>
      <c r="O217" t="s">
        <v>162</v>
      </c>
      <c r="P217">
        <v>2.2009063510590104E-2</v>
      </c>
      <c r="Q217" t="s">
        <v>154</v>
      </c>
      <c r="S217" t="s">
        <v>226</v>
      </c>
      <c r="T217" t="s">
        <v>162</v>
      </c>
      <c r="U217">
        <v>1.6076850561379519E-2</v>
      </c>
      <c r="V217" t="s">
        <v>154</v>
      </c>
    </row>
    <row r="218" spans="9:22" x14ac:dyDescent="0.45">
      <c r="I218" t="s">
        <v>173</v>
      </c>
      <c r="J218" t="s">
        <v>261</v>
      </c>
      <c r="K218">
        <v>4.28313118767809E-3</v>
      </c>
      <c r="L218" t="s">
        <v>154</v>
      </c>
      <c r="N218" t="s">
        <v>202</v>
      </c>
      <c r="O218" t="s">
        <v>261</v>
      </c>
      <c r="P218">
        <v>3.3774066556378239E-3</v>
      </c>
      <c r="Q218" t="s">
        <v>154</v>
      </c>
      <c r="S218" t="s">
        <v>226</v>
      </c>
      <c r="T218" t="s">
        <v>261</v>
      </c>
      <c r="U218">
        <v>1.9278398341720856E-3</v>
      </c>
      <c r="V218" t="s">
        <v>154</v>
      </c>
    </row>
    <row r="219" spans="9:22" x14ac:dyDescent="0.45">
      <c r="I219" t="s">
        <v>173</v>
      </c>
      <c r="J219" t="s">
        <v>262</v>
      </c>
      <c r="K219">
        <v>2.7155189622850612E-3</v>
      </c>
      <c r="L219" t="s">
        <v>154</v>
      </c>
      <c r="N219" t="s">
        <v>202</v>
      </c>
      <c r="O219" t="s">
        <v>262</v>
      </c>
      <c r="P219">
        <v>3.0108385291722846E-3</v>
      </c>
      <c r="Q219" t="s">
        <v>154</v>
      </c>
      <c r="S219" t="s">
        <v>226</v>
      </c>
      <c r="T219" t="s">
        <v>262</v>
      </c>
      <c r="U219">
        <v>1.48676351767287E-3</v>
      </c>
      <c r="V219" t="s">
        <v>154</v>
      </c>
    </row>
    <row r="220" spans="9:22" x14ac:dyDescent="0.45">
      <c r="I220" t="s">
        <v>173</v>
      </c>
      <c r="J220" t="s">
        <v>263</v>
      </c>
      <c r="K220">
        <v>0</v>
      </c>
      <c r="L220" t="s">
        <v>154</v>
      </c>
      <c r="N220" t="s">
        <v>202</v>
      </c>
      <c r="O220" t="s">
        <v>263</v>
      </c>
      <c r="P220">
        <v>1.3533438074045922E-2</v>
      </c>
      <c r="Q220" t="s">
        <v>154</v>
      </c>
      <c r="S220" t="s">
        <v>226</v>
      </c>
      <c r="T220" t="s">
        <v>263</v>
      </c>
      <c r="U220">
        <v>8.0621182835867566E-3</v>
      </c>
      <c r="V220" t="s">
        <v>154</v>
      </c>
    </row>
    <row r="221" spans="9:22" x14ac:dyDescent="0.45">
      <c r="I221" t="s">
        <v>173</v>
      </c>
      <c r="J221" t="s">
        <v>163</v>
      </c>
      <c r="K221">
        <v>0</v>
      </c>
      <c r="L221" t="s">
        <v>154</v>
      </c>
      <c r="N221" t="s">
        <v>202</v>
      </c>
      <c r="O221" t="s">
        <v>163</v>
      </c>
      <c r="P221">
        <v>3.927116766096217E-2</v>
      </c>
      <c r="Q221" t="s">
        <v>154</v>
      </c>
      <c r="S221" t="s">
        <v>226</v>
      </c>
      <c r="T221" t="s">
        <v>163</v>
      </c>
      <c r="U221">
        <v>4.5003764600625371E-2</v>
      </c>
      <c r="V221" t="s">
        <v>154</v>
      </c>
    </row>
    <row r="222" spans="9:22" x14ac:dyDescent="0.45">
      <c r="I222" t="s">
        <v>173</v>
      </c>
      <c r="J222" t="s">
        <v>164</v>
      </c>
      <c r="K222">
        <v>1.5133332733434151E-2</v>
      </c>
      <c r="L222" t="s">
        <v>154</v>
      </c>
      <c r="N222" t="s">
        <v>202</v>
      </c>
      <c r="O222" t="s">
        <v>164</v>
      </c>
      <c r="P222">
        <v>7.9372243510765963E-3</v>
      </c>
      <c r="Q222" t="s">
        <v>154</v>
      </c>
      <c r="S222" t="s">
        <v>226</v>
      </c>
      <c r="T222" t="s">
        <v>164</v>
      </c>
      <c r="U222">
        <v>1.3138112612037615E-2</v>
      </c>
      <c r="V222" t="s">
        <v>154</v>
      </c>
    </row>
    <row r="223" spans="9:22" x14ac:dyDescent="0.45">
      <c r="I223" t="s">
        <v>173</v>
      </c>
      <c r="J223" t="s">
        <v>165</v>
      </c>
      <c r="K223">
        <v>0.11173288106466332</v>
      </c>
      <c r="L223" t="s">
        <v>154</v>
      </c>
      <c r="N223" t="s">
        <v>202</v>
      </c>
      <c r="O223" t="s">
        <v>165</v>
      </c>
      <c r="P223">
        <v>4.4461618819999292E-2</v>
      </c>
      <c r="Q223" t="s">
        <v>154</v>
      </c>
      <c r="S223" t="s">
        <v>226</v>
      </c>
      <c r="T223" t="s">
        <v>165</v>
      </c>
      <c r="U223">
        <v>5.017527512092592E-2</v>
      </c>
      <c r="V223" t="s">
        <v>154</v>
      </c>
    </row>
    <row r="224" spans="9:22" x14ac:dyDescent="0.45">
      <c r="I224" t="s">
        <v>173</v>
      </c>
      <c r="J224" t="s">
        <v>264</v>
      </c>
      <c r="K224">
        <v>8.5406383292038965E-3</v>
      </c>
      <c r="L224" t="s">
        <v>154</v>
      </c>
      <c r="N224" t="s">
        <v>202</v>
      </c>
      <c r="O224" t="s">
        <v>264</v>
      </c>
      <c r="P224">
        <v>6.2886218461672633E-3</v>
      </c>
      <c r="Q224" t="s">
        <v>154</v>
      </c>
      <c r="S224" t="s">
        <v>226</v>
      </c>
      <c r="T224" t="s">
        <v>264</v>
      </c>
      <c r="U224">
        <v>5.9737183687430797E-3</v>
      </c>
      <c r="V224" t="s">
        <v>154</v>
      </c>
    </row>
    <row r="225" spans="9:22" x14ac:dyDescent="0.45">
      <c r="I225" t="s">
        <v>173</v>
      </c>
      <c r="J225" t="s">
        <v>265</v>
      </c>
      <c r="K225">
        <v>4.9630465469446584E-3</v>
      </c>
      <c r="L225" t="s">
        <v>154</v>
      </c>
      <c r="N225" t="s">
        <v>202</v>
      </c>
      <c r="O225" t="s">
        <v>265</v>
      </c>
      <c r="P225">
        <v>5.2212103085536353E-3</v>
      </c>
      <c r="Q225" t="s">
        <v>154</v>
      </c>
      <c r="S225" t="s">
        <v>226</v>
      </c>
      <c r="T225" t="s">
        <v>265</v>
      </c>
      <c r="U225">
        <v>4.7321492579336178E-3</v>
      </c>
      <c r="V225" t="s">
        <v>154</v>
      </c>
    </row>
    <row r="226" spans="9:22" x14ac:dyDescent="0.45">
      <c r="I226" t="s">
        <v>173</v>
      </c>
      <c r="J226" t="s">
        <v>266</v>
      </c>
      <c r="K226">
        <v>0</v>
      </c>
      <c r="L226" t="s">
        <v>154</v>
      </c>
      <c r="N226" t="s">
        <v>202</v>
      </c>
      <c r="O226" t="s">
        <v>266</v>
      </c>
      <c r="P226">
        <v>2.8809327087359216E-2</v>
      </c>
      <c r="Q226" t="s">
        <v>154</v>
      </c>
      <c r="S226" t="s">
        <v>226</v>
      </c>
      <c r="T226" t="s">
        <v>266</v>
      </c>
      <c r="U226">
        <v>2.9685272719114468E-2</v>
      </c>
      <c r="V226" t="s">
        <v>154</v>
      </c>
    </row>
    <row r="227" spans="9:22" x14ac:dyDescent="0.45">
      <c r="I227" t="s">
        <v>174</v>
      </c>
      <c r="J227" t="s">
        <v>153</v>
      </c>
      <c r="K227">
        <v>0</v>
      </c>
      <c r="L227" t="s">
        <v>154</v>
      </c>
      <c r="N227" t="s">
        <v>203</v>
      </c>
      <c r="O227" t="s">
        <v>153</v>
      </c>
      <c r="P227">
        <v>0.16992240564327035</v>
      </c>
      <c r="Q227" t="s">
        <v>154</v>
      </c>
      <c r="S227" t="s">
        <v>227</v>
      </c>
      <c r="T227" t="s">
        <v>153</v>
      </c>
      <c r="U227">
        <v>0.13924357044831689</v>
      </c>
      <c r="V227" t="s">
        <v>154</v>
      </c>
    </row>
    <row r="228" spans="9:22" x14ac:dyDescent="0.45">
      <c r="I228" t="s">
        <v>174</v>
      </c>
      <c r="J228" t="s">
        <v>155</v>
      </c>
      <c r="K228">
        <v>6.7744838102910682E-2</v>
      </c>
      <c r="L228" t="s">
        <v>154</v>
      </c>
      <c r="N228" t="s">
        <v>203</v>
      </c>
      <c r="O228" t="s">
        <v>155</v>
      </c>
      <c r="P228">
        <v>4.5375666769248223E-2</v>
      </c>
      <c r="Q228" t="s">
        <v>154</v>
      </c>
      <c r="S228" t="s">
        <v>227</v>
      </c>
      <c r="T228" t="s">
        <v>155</v>
      </c>
      <c r="U228">
        <v>3.4832881100757107E-2</v>
      </c>
      <c r="V228" t="s">
        <v>154</v>
      </c>
    </row>
    <row r="229" spans="9:22" x14ac:dyDescent="0.45">
      <c r="I229" t="s">
        <v>174</v>
      </c>
      <c r="J229" t="s">
        <v>156</v>
      </c>
      <c r="K229">
        <v>0.5281501145575066</v>
      </c>
      <c r="L229" t="s">
        <v>154</v>
      </c>
      <c r="N229" t="s">
        <v>203</v>
      </c>
      <c r="O229" t="s">
        <v>156</v>
      </c>
      <c r="P229">
        <v>0.20135288133042278</v>
      </c>
      <c r="Q229" t="s">
        <v>154</v>
      </c>
      <c r="S229" t="s">
        <v>227</v>
      </c>
      <c r="T229" t="s">
        <v>156</v>
      </c>
      <c r="U229">
        <v>0.16779651114931296</v>
      </c>
      <c r="V229" t="s">
        <v>154</v>
      </c>
    </row>
    <row r="230" spans="9:22" x14ac:dyDescent="0.45">
      <c r="I230" t="s">
        <v>174</v>
      </c>
      <c r="J230" t="s">
        <v>255</v>
      </c>
      <c r="K230">
        <v>2.9005278068484242E-2</v>
      </c>
      <c r="L230" t="s">
        <v>154</v>
      </c>
      <c r="N230" t="s">
        <v>203</v>
      </c>
      <c r="O230" t="s">
        <v>255</v>
      </c>
      <c r="P230">
        <v>3.1342160457151269E-2</v>
      </c>
      <c r="Q230" t="s">
        <v>154</v>
      </c>
      <c r="S230" t="s">
        <v>227</v>
      </c>
      <c r="T230" t="s">
        <v>255</v>
      </c>
      <c r="U230">
        <v>2.4093739366959421E-2</v>
      </c>
      <c r="V230" t="s">
        <v>154</v>
      </c>
    </row>
    <row r="231" spans="9:22" x14ac:dyDescent="0.45">
      <c r="I231" t="s">
        <v>174</v>
      </c>
      <c r="J231" t="s">
        <v>256</v>
      </c>
      <c r="K231">
        <v>1.5648501010654736E-2</v>
      </c>
      <c r="L231" t="s">
        <v>154</v>
      </c>
      <c r="N231" t="s">
        <v>203</v>
      </c>
      <c r="O231" t="s">
        <v>256</v>
      </c>
      <c r="P231">
        <v>3.0182695646474918E-2</v>
      </c>
      <c r="Q231" t="s">
        <v>154</v>
      </c>
      <c r="S231" t="s">
        <v>227</v>
      </c>
      <c r="T231" t="s">
        <v>256</v>
      </c>
      <c r="U231">
        <v>2.2609173367532039E-2</v>
      </c>
      <c r="V231" t="s">
        <v>154</v>
      </c>
    </row>
    <row r="232" spans="9:22" x14ac:dyDescent="0.45">
      <c r="I232" t="s">
        <v>174</v>
      </c>
      <c r="J232" t="s">
        <v>257</v>
      </c>
      <c r="K232">
        <v>0</v>
      </c>
      <c r="L232" t="s">
        <v>154</v>
      </c>
      <c r="N232" t="s">
        <v>203</v>
      </c>
      <c r="O232" t="s">
        <v>257</v>
      </c>
      <c r="P232">
        <v>0.15247126972357056</v>
      </c>
      <c r="Q232" t="s">
        <v>154</v>
      </c>
      <c r="S232" t="s">
        <v>227</v>
      </c>
      <c r="T232" t="s">
        <v>257</v>
      </c>
      <c r="U232">
        <v>0.11218333258826479</v>
      </c>
      <c r="V232" t="s">
        <v>154</v>
      </c>
    </row>
    <row r="233" spans="9:22" x14ac:dyDescent="0.45">
      <c r="I233" t="s">
        <v>174</v>
      </c>
      <c r="J233" t="s">
        <v>157</v>
      </c>
      <c r="K233">
        <v>0</v>
      </c>
      <c r="L233" t="s">
        <v>154</v>
      </c>
      <c r="N233" t="s">
        <v>203</v>
      </c>
      <c r="O233" t="s">
        <v>157</v>
      </c>
      <c r="P233">
        <v>5.3809722057761349E-2</v>
      </c>
      <c r="Q233" t="s">
        <v>154</v>
      </c>
      <c r="S233" t="s">
        <v>227</v>
      </c>
      <c r="T233" t="s">
        <v>157</v>
      </c>
      <c r="U233">
        <v>3.1098989921825172E-2</v>
      </c>
      <c r="V233" t="s">
        <v>154</v>
      </c>
    </row>
    <row r="234" spans="9:22" x14ac:dyDescent="0.45">
      <c r="I234" t="s">
        <v>174</v>
      </c>
      <c r="J234" t="s">
        <v>158</v>
      </c>
      <c r="K234">
        <v>1.5833171936184533E-2</v>
      </c>
      <c r="L234" t="s">
        <v>154</v>
      </c>
      <c r="N234" t="s">
        <v>203</v>
      </c>
      <c r="O234" t="s">
        <v>158</v>
      </c>
      <c r="P234">
        <v>1.2121763828076613E-2</v>
      </c>
      <c r="Q234" t="s">
        <v>154</v>
      </c>
      <c r="S234" t="s">
        <v>227</v>
      </c>
      <c r="T234" t="s">
        <v>158</v>
      </c>
      <c r="U234">
        <v>7.9361776984170716E-3</v>
      </c>
      <c r="V234" t="s">
        <v>154</v>
      </c>
    </row>
    <row r="235" spans="9:22" x14ac:dyDescent="0.45">
      <c r="I235" t="s">
        <v>174</v>
      </c>
      <c r="J235" t="s">
        <v>159</v>
      </c>
      <c r="K235">
        <v>0.11642787691410536</v>
      </c>
      <c r="L235" t="s">
        <v>154</v>
      </c>
      <c r="N235" t="s">
        <v>203</v>
      </c>
      <c r="O235" t="s">
        <v>159</v>
      </c>
      <c r="P235">
        <v>6.5875280373220907E-2</v>
      </c>
      <c r="Q235" t="s">
        <v>154</v>
      </c>
      <c r="S235" t="s">
        <v>227</v>
      </c>
      <c r="T235" t="s">
        <v>159</v>
      </c>
      <c r="U235">
        <v>3.8466677500634108E-2</v>
      </c>
      <c r="V235" t="s">
        <v>154</v>
      </c>
    </row>
    <row r="236" spans="9:22" x14ac:dyDescent="0.45">
      <c r="I236" t="s">
        <v>174</v>
      </c>
      <c r="J236" t="s">
        <v>258</v>
      </c>
      <c r="K236">
        <v>5.1464527561705924E-3</v>
      </c>
      <c r="L236" t="s">
        <v>154</v>
      </c>
      <c r="N236" t="s">
        <v>203</v>
      </c>
      <c r="O236" t="s">
        <v>258</v>
      </c>
      <c r="P236">
        <v>1.098928090798762E-2</v>
      </c>
      <c r="Q236" t="s">
        <v>154</v>
      </c>
      <c r="S236" t="s">
        <v>227</v>
      </c>
      <c r="T236" t="s">
        <v>258</v>
      </c>
      <c r="U236">
        <v>5.0187363346395203E-3</v>
      </c>
      <c r="V236" t="s">
        <v>154</v>
      </c>
    </row>
    <row r="237" spans="9:22" x14ac:dyDescent="0.45">
      <c r="I237" t="s">
        <v>174</v>
      </c>
      <c r="J237" t="s">
        <v>259</v>
      </c>
      <c r="K237">
        <v>2.0951603916675985E-3</v>
      </c>
      <c r="L237" t="s">
        <v>154</v>
      </c>
      <c r="N237" t="s">
        <v>203</v>
      </c>
      <c r="O237" t="s">
        <v>259</v>
      </c>
      <c r="P237">
        <v>1.103967226829251E-2</v>
      </c>
      <c r="Q237" t="s">
        <v>154</v>
      </c>
      <c r="S237" t="s">
        <v>227</v>
      </c>
      <c r="T237" t="s">
        <v>259</v>
      </c>
      <c r="U237">
        <v>4.5632581342438345E-3</v>
      </c>
      <c r="V237" t="s">
        <v>154</v>
      </c>
    </row>
    <row r="238" spans="9:22" x14ac:dyDescent="0.45">
      <c r="I238" t="s">
        <v>174</v>
      </c>
      <c r="J238" t="s">
        <v>260</v>
      </c>
      <c r="K238">
        <v>0</v>
      </c>
      <c r="L238" t="s">
        <v>154</v>
      </c>
      <c r="N238" t="s">
        <v>203</v>
      </c>
      <c r="O238" t="s">
        <v>260</v>
      </c>
      <c r="P238">
        <v>4.8043518421597591E-2</v>
      </c>
      <c r="Q238" t="s">
        <v>154</v>
      </c>
      <c r="S238" t="s">
        <v>227</v>
      </c>
      <c r="T238" t="s">
        <v>260</v>
      </c>
      <c r="U238">
        <v>2.3617734602859323E-2</v>
      </c>
      <c r="V238" t="s">
        <v>154</v>
      </c>
    </row>
    <row r="239" spans="9:22" x14ac:dyDescent="0.45">
      <c r="I239" t="s">
        <v>174</v>
      </c>
      <c r="J239" t="s">
        <v>160</v>
      </c>
      <c r="K239">
        <v>0</v>
      </c>
      <c r="L239" t="s">
        <v>154</v>
      </c>
      <c r="N239" t="s">
        <v>203</v>
      </c>
      <c r="O239" t="s">
        <v>160</v>
      </c>
      <c r="P239">
        <v>1.1592602435108311E-2</v>
      </c>
      <c r="Q239" t="s">
        <v>154</v>
      </c>
      <c r="S239" t="s">
        <v>227</v>
      </c>
      <c r="T239" t="s">
        <v>160</v>
      </c>
      <c r="U239">
        <v>4.0541751240583235E-2</v>
      </c>
      <c r="V239" t="s">
        <v>154</v>
      </c>
    </row>
    <row r="240" spans="9:22" x14ac:dyDescent="0.45">
      <c r="I240" t="s">
        <v>174</v>
      </c>
      <c r="J240" t="s">
        <v>161</v>
      </c>
      <c r="K240">
        <v>9.242337505740536E-3</v>
      </c>
      <c r="L240" t="s">
        <v>154</v>
      </c>
      <c r="N240" t="s">
        <v>203</v>
      </c>
      <c r="O240" t="s">
        <v>161</v>
      </c>
      <c r="P240">
        <v>3.3930162507565505E-3</v>
      </c>
      <c r="Q240" t="s">
        <v>154</v>
      </c>
      <c r="S240" t="s">
        <v>227</v>
      </c>
      <c r="T240" t="s">
        <v>161</v>
      </c>
      <c r="U240">
        <v>1.0250204923273044E-2</v>
      </c>
      <c r="V240" t="s">
        <v>154</v>
      </c>
    </row>
    <row r="241" spans="9:22" x14ac:dyDescent="0.45">
      <c r="I241" t="s">
        <v>174</v>
      </c>
      <c r="J241" t="s">
        <v>162</v>
      </c>
      <c r="K241">
        <v>5.9391204855648423E-2</v>
      </c>
      <c r="L241" t="s">
        <v>154</v>
      </c>
      <c r="N241" t="s">
        <v>203</v>
      </c>
      <c r="O241" t="s">
        <v>162</v>
      </c>
      <c r="P241">
        <v>1.3352524480815628E-2</v>
      </c>
      <c r="Q241" t="s">
        <v>154</v>
      </c>
      <c r="S241" t="s">
        <v>227</v>
      </c>
      <c r="T241" t="s">
        <v>162</v>
      </c>
      <c r="U241">
        <v>4.4736789547895554E-2</v>
      </c>
      <c r="V241" t="s">
        <v>154</v>
      </c>
    </row>
    <row r="242" spans="9:22" x14ac:dyDescent="0.45">
      <c r="I242" t="s">
        <v>174</v>
      </c>
      <c r="J242" t="s">
        <v>261</v>
      </c>
      <c r="K242">
        <v>2.4552786629606113E-3</v>
      </c>
      <c r="L242" t="s">
        <v>154</v>
      </c>
      <c r="N242" t="s">
        <v>203</v>
      </c>
      <c r="O242" t="s">
        <v>261</v>
      </c>
      <c r="P242">
        <v>2.1755925601443234E-3</v>
      </c>
      <c r="Q242" t="s">
        <v>154</v>
      </c>
      <c r="S242" t="s">
        <v>227</v>
      </c>
      <c r="T242" t="s">
        <v>261</v>
      </c>
      <c r="U242">
        <v>6.6932614241836707E-3</v>
      </c>
      <c r="V242" t="s">
        <v>154</v>
      </c>
    </row>
    <row r="243" spans="9:22" x14ac:dyDescent="0.45">
      <c r="I243" t="s">
        <v>174</v>
      </c>
      <c r="J243" t="s">
        <v>262</v>
      </c>
      <c r="K243">
        <v>0</v>
      </c>
      <c r="L243" t="s">
        <v>154</v>
      </c>
      <c r="N243" t="s">
        <v>203</v>
      </c>
      <c r="O243" t="s">
        <v>262</v>
      </c>
      <c r="P243">
        <v>2.1425473870202278E-3</v>
      </c>
      <c r="Q243" t="s">
        <v>154</v>
      </c>
      <c r="S243" t="s">
        <v>227</v>
      </c>
      <c r="T243" t="s">
        <v>262</v>
      </c>
      <c r="U243">
        <v>6.2643118907527778E-3</v>
      </c>
      <c r="V243" t="s">
        <v>154</v>
      </c>
    </row>
    <row r="244" spans="9:22" x14ac:dyDescent="0.45">
      <c r="I244" t="s">
        <v>174</v>
      </c>
      <c r="J244" t="s">
        <v>263</v>
      </c>
      <c r="K244">
        <v>0</v>
      </c>
      <c r="L244" t="s">
        <v>154</v>
      </c>
      <c r="N244" t="s">
        <v>203</v>
      </c>
      <c r="O244" t="s">
        <v>263</v>
      </c>
      <c r="P244">
        <v>8.882502807272397E-3</v>
      </c>
      <c r="Q244" t="s">
        <v>154</v>
      </c>
      <c r="S244" t="s">
        <v>227</v>
      </c>
      <c r="T244" t="s">
        <v>263</v>
      </c>
      <c r="U244">
        <v>3.1540127820848925E-2</v>
      </c>
      <c r="V244" t="s">
        <v>154</v>
      </c>
    </row>
    <row r="245" spans="9:22" x14ac:dyDescent="0.45">
      <c r="I245" t="s">
        <v>174</v>
      </c>
      <c r="J245" t="s">
        <v>163</v>
      </c>
      <c r="K245">
        <v>0</v>
      </c>
      <c r="L245" t="s">
        <v>154</v>
      </c>
      <c r="N245" t="s">
        <v>203</v>
      </c>
      <c r="O245" t="s">
        <v>163</v>
      </c>
      <c r="P245">
        <v>3.8263237695159408E-2</v>
      </c>
      <c r="Q245" t="s">
        <v>154</v>
      </c>
      <c r="S245" t="s">
        <v>227</v>
      </c>
      <c r="T245" t="s">
        <v>163</v>
      </c>
      <c r="U245">
        <v>6.8968024591982785E-2</v>
      </c>
      <c r="V245" t="s">
        <v>154</v>
      </c>
    </row>
    <row r="246" spans="9:22" x14ac:dyDescent="0.45">
      <c r="I246" t="s">
        <v>174</v>
      </c>
      <c r="J246" t="s">
        <v>164</v>
      </c>
      <c r="K246">
        <v>1.8313246781937839E-2</v>
      </c>
      <c r="L246" t="s">
        <v>154</v>
      </c>
      <c r="N246" t="s">
        <v>203</v>
      </c>
      <c r="O246" t="s">
        <v>164</v>
      </c>
      <c r="P246">
        <v>9.0861803412774535E-3</v>
      </c>
      <c r="Q246" t="s">
        <v>154</v>
      </c>
      <c r="S246" t="s">
        <v>227</v>
      </c>
      <c r="T246" t="s">
        <v>164</v>
      </c>
      <c r="U246">
        <v>1.8042456280226677E-2</v>
      </c>
      <c r="V246" t="s">
        <v>154</v>
      </c>
    </row>
    <row r="247" spans="9:22" x14ac:dyDescent="0.45">
      <c r="I247" t="s">
        <v>174</v>
      </c>
      <c r="J247" t="s">
        <v>165</v>
      </c>
      <c r="K247">
        <v>0.12308187057308628</v>
      </c>
      <c r="L247" t="s">
        <v>154</v>
      </c>
      <c r="N247" t="s">
        <v>203</v>
      </c>
      <c r="O247" t="s">
        <v>165</v>
      </c>
      <c r="P247">
        <v>3.7369471516877077E-2</v>
      </c>
      <c r="Q247" t="s">
        <v>154</v>
      </c>
      <c r="S247" t="s">
        <v>227</v>
      </c>
      <c r="T247" t="s">
        <v>165</v>
      </c>
      <c r="U247">
        <v>8.2716353873503456E-2</v>
      </c>
      <c r="V247" t="s">
        <v>154</v>
      </c>
    </row>
    <row r="248" spans="9:22" x14ac:dyDescent="0.45">
      <c r="I248" t="s">
        <v>174</v>
      </c>
      <c r="J248" t="s">
        <v>264</v>
      </c>
      <c r="K248">
        <v>6.6436566344456214E-3</v>
      </c>
      <c r="L248" t="s">
        <v>154</v>
      </c>
      <c r="N248" t="s">
        <v>203</v>
      </c>
      <c r="O248" t="s">
        <v>264</v>
      </c>
      <c r="P248">
        <v>5.3269777945886294E-3</v>
      </c>
      <c r="Q248" t="s">
        <v>154</v>
      </c>
      <c r="S248" t="s">
        <v>227</v>
      </c>
      <c r="T248" t="s">
        <v>264</v>
      </c>
      <c r="U248">
        <v>1.1812656450539138E-2</v>
      </c>
      <c r="V248" t="s">
        <v>154</v>
      </c>
    </row>
    <row r="249" spans="9:22" x14ac:dyDescent="0.45">
      <c r="I249" t="s">
        <v>174</v>
      </c>
      <c r="J249" t="s">
        <v>265</v>
      </c>
      <c r="K249">
        <v>8.2101124849565034E-4</v>
      </c>
      <c r="L249" t="s">
        <v>154</v>
      </c>
      <c r="N249" t="s">
        <v>203</v>
      </c>
      <c r="O249" t="s">
        <v>265</v>
      </c>
      <c r="P249">
        <v>4.9890061625573676E-3</v>
      </c>
      <c r="Q249" t="s">
        <v>154</v>
      </c>
      <c r="S249" t="s">
        <v>227</v>
      </c>
      <c r="T249" t="s">
        <v>265</v>
      </c>
      <c r="U249">
        <v>1.1231199529906076E-2</v>
      </c>
      <c r="V249" t="s">
        <v>154</v>
      </c>
    </row>
    <row r="250" spans="9:22" x14ac:dyDescent="0.45">
      <c r="I250" t="s">
        <v>174</v>
      </c>
      <c r="J250" t="s">
        <v>266</v>
      </c>
      <c r="K250">
        <v>0</v>
      </c>
      <c r="L250" t="s">
        <v>154</v>
      </c>
      <c r="N250" t="s">
        <v>203</v>
      </c>
      <c r="O250" t="s">
        <v>266</v>
      </c>
      <c r="P250">
        <v>3.0900023141345066E-2</v>
      </c>
      <c r="Q250" t="s">
        <v>154</v>
      </c>
      <c r="S250" t="s">
        <v>227</v>
      </c>
      <c r="T250" t="s">
        <v>266</v>
      </c>
      <c r="U250">
        <v>5.5742080212544079E-2</v>
      </c>
      <c r="V250" t="s">
        <v>154</v>
      </c>
    </row>
    <row r="251" spans="9:22" x14ac:dyDescent="0.45">
      <c r="I251" t="s">
        <v>175</v>
      </c>
      <c r="J251" t="s">
        <v>153</v>
      </c>
      <c r="K251">
        <v>2.8545792194167854E-3</v>
      </c>
      <c r="L251" t="s">
        <v>154</v>
      </c>
      <c r="N251" t="s">
        <v>204</v>
      </c>
      <c r="O251" t="s">
        <v>153</v>
      </c>
      <c r="P251">
        <v>0.17962503841909758</v>
      </c>
      <c r="Q251" t="s">
        <v>154</v>
      </c>
      <c r="S251" t="s">
        <v>228</v>
      </c>
      <c r="T251" t="s">
        <v>153</v>
      </c>
      <c r="U251">
        <v>0.17295076658679537</v>
      </c>
      <c r="V251" t="s">
        <v>154</v>
      </c>
    </row>
    <row r="252" spans="9:22" x14ac:dyDescent="0.45">
      <c r="I252" t="s">
        <v>175</v>
      </c>
      <c r="J252" t="s">
        <v>155</v>
      </c>
      <c r="K252">
        <v>7.432234146908237E-2</v>
      </c>
      <c r="L252" t="s">
        <v>154</v>
      </c>
      <c r="N252" t="s">
        <v>204</v>
      </c>
      <c r="O252" t="s">
        <v>155</v>
      </c>
      <c r="P252">
        <v>5.208377804569328E-2</v>
      </c>
      <c r="Q252" t="s">
        <v>154</v>
      </c>
      <c r="S252" t="s">
        <v>228</v>
      </c>
      <c r="T252" t="s">
        <v>155</v>
      </c>
      <c r="U252">
        <v>4.5574384347603275E-2</v>
      </c>
      <c r="V252" t="s">
        <v>154</v>
      </c>
    </row>
    <row r="253" spans="9:22" x14ac:dyDescent="0.45">
      <c r="I253" t="s">
        <v>175</v>
      </c>
      <c r="J253" t="s">
        <v>156</v>
      </c>
      <c r="K253">
        <v>0.5098017516257658</v>
      </c>
      <c r="L253" t="s">
        <v>154</v>
      </c>
      <c r="N253" t="s">
        <v>204</v>
      </c>
      <c r="O253" t="s">
        <v>156</v>
      </c>
      <c r="P253">
        <v>0.22325651131432922</v>
      </c>
      <c r="Q253" t="s">
        <v>154</v>
      </c>
      <c r="S253" t="s">
        <v>228</v>
      </c>
      <c r="T253" t="s">
        <v>156</v>
      </c>
      <c r="U253">
        <v>0.18229694505703989</v>
      </c>
      <c r="V253" t="s">
        <v>154</v>
      </c>
    </row>
    <row r="254" spans="9:22" x14ac:dyDescent="0.45">
      <c r="I254" t="s">
        <v>175</v>
      </c>
      <c r="J254" t="s">
        <v>255</v>
      </c>
      <c r="K254">
        <v>2.9189090532432231E-2</v>
      </c>
      <c r="L254" t="s">
        <v>154</v>
      </c>
      <c r="N254" t="s">
        <v>204</v>
      </c>
      <c r="O254" t="s">
        <v>255</v>
      </c>
      <c r="P254">
        <v>2.4624938174459376E-2</v>
      </c>
      <c r="Q254" t="s">
        <v>154</v>
      </c>
      <c r="S254" t="s">
        <v>228</v>
      </c>
      <c r="T254" t="s">
        <v>255</v>
      </c>
      <c r="U254">
        <v>2.1361664489482891E-2</v>
      </c>
      <c r="V254" t="s">
        <v>154</v>
      </c>
    </row>
    <row r="255" spans="9:22" x14ac:dyDescent="0.45">
      <c r="I255" t="s">
        <v>175</v>
      </c>
      <c r="J255" t="s">
        <v>256</v>
      </c>
      <c r="K255">
        <v>1.7780820058986527E-2</v>
      </c>
      <c r="L255" t="s">
        <v>154</v>
      </c>
      <c r="N255" t="s">
        <v>204</v>
      </c>
      <c r="O255" t="s">
        <v>256</v>
      </c>
      <c r="P255">
        <v>2.2677221580203376E-2</v>
      </c>
      <c r="Q255" t="s">
        <v>154</v>
      </c>
      <c r="S255" t="s">
        <v>228</v>
      </c>
      <c r="T255" t="s">
        <v>256</v>
      </c>
      <c r="U255">
        <v>2.0090765567776298E-2</v>
      </c>
      <c r="V255" t="s">
        <v>154</v>
      </c>
    </row>
    <row r="256" spans="9:22" x14ac:dyDescent="0.45">
      <c r="I256" t="s">
        <v>175</v>
      </c>
      <c r="J256" t="s">
        <v>257</v>
      </c>
      <c r="K256">
        <v>0</v>
      </c>
      <c r="L256" t="s">
        <v>154</v>
      </c>
      <c r="N256" t="s">
        <v>204</v>
      </c>
      <c r="O256" t="s">
        <v>257</v>
      </c>
      <c r="P256">
        <v>0.12548967824846202</v>
      </c>
      <c r="Q256" t="s">
        <v>154</v>
      </c>
      <c r="S256" t="s">
        <v>228</v>
      </c>
      <c r="T256" t="s">
        <v>257</v>
      </c>
      <c r="U256">
        <v>0.1165229173282193</v>
      </c>
      <c r="V256" t="s">
        <v>154</v>
      </c>
    </row>
    <row r="257" spans="9:22" x14ac:dyDescent="0.45">
      <c r="I257" t="s">
        <v>175</v>
      </c>
      <c r="J257" t="s">
        <v>157</v>
      </c>
      <c r="K257">
        <v>1.6466171826046665E-4</v>
      </c>
      <c r="L257" t="s">
        <v>154</v>
      </c>
      <c r="N257" t="s">
        <v>204</v>
      </c>
      <c r="O257" t="s">
        <v>157</v>
      </c>
      <c r="P257">
        <v>4.1769624956521124E-2</v>
      </c>
      <c r="Q257" t="s">
        <v>154</v>
      </c>
      <c r="S257" t="s">
        <v>228</v>
      </c>
      <c r="T257" t="s">
        <v>157</v>
      </c>
      <c r="U257">
        <v>4.5799345470368812E-2</v>
      </c>
      <c r="V257" t="s">
        <v>154</v>
      </c>
    </row>
    <row r="258" spans="9:22" x14ac:dyDescent="0.45">
      <c r="I258" t="s">
        <v>175</v>
      </c>
      <c r="J258" t="s">
        <v>158</v>
      </c>
      <c r="K258">
        <v>1.8521859230422676E-2</v>
      </c>
      <c r="L258" t="s">
        <v>154</v>
      </c>
      <c r="N258" t="s">
        <v>204</v>
      </c>
      <c r="O258" t="s">
        <v>158</v>
      </c>
      <c r="P258">
        <v>1.1718796836527519E-2</v>
      </c>
      <c r="Q258" t="s">
        <v>154</v>
      </c>
      <c r="S258" t="s">
        <v>228</v>
      </c>
      <c r="T258" t="s">
        <v>158</v>
      </c>
      <c r="U258">
        <v>1.2368201290118801E-2</v>
      </c>
      <c r="V258" t="s">
        <v>154</v>
      </c>
    </row>
    <row r="259" spans="9:22" x14ac:dyDescent="0.45">
      <c r="I259" t="s">
        <v>175</v>
      </c>
      <c r="J259" t="s">
        <v>159</v>
      </c>
      <c r="K259">
        <v>0.12264847180954253</v>
      </c>
      <c r="L259" t="s">
        <v>154</v>
      </c>
      <c r="N259" t="s">
        <v>204</v>
      </c>
      <c r="O259" t="s">
        <v>159</v>
      </c>
      <c r="P259">
        <v>6.5746283870312908E-2</v>
      </c>
      <c r="Q259" t="s">
        <v>154</v>
      </c>
      <c r="S259" t="s">
        <v>228</v>
      </c>
      <c r="T259" t="s">
        <v>159</v>
      </c>
      <c r="U259">
        <v>5.0721145646601642E-2</v>
      </c>
      <c r="V259" t="s">
        <v>154</v>
      </c>
    </row>
    <row r="260" spans="9:22" x14ac:dyDescent="0.45">
      <c r="I260" t="s">
        <v>175</v>
      </c>
      <c r="J260" t="s">
        <v>258</v>
      </c>
      <c r="K260">
        <v>6.5039707381525161E-3</v>
      </c>
      <c r="L260" t="s">
        <v>154</v>
      </c>
      <c r="N260" t="s">
        <v>204</v>
      </c>
      <c r="O260" t="s">
        <v>258</v>
      </c>
      <c r="P260">
        <v>7.2111303302942811E-3</v>
      </c>
      <c r="Q260" t="s">
        <v>154</v>
      </c>
      <c r="S260" t="s">
        <v>228</v>
      </c>
      <c r="T260" t="s">
        <v>258</v>
      </c>
      <c r="U260">
        <v>6.1717725204788673E-3</v>
      </c>
      <c r="V260" t="s">
        <v>154</v>
      </c>
    </row>
    <row r="261" spans="9:22" x14ac:dyDescent="0.45">
      <c r="I261" t="s">
        <v>175</v>
      </c>
      <c r="J261" t="s">
        <v>259</v>
      </c>
      <c r="K261">
        <v>2.0676671588764229E-3</v>
      </c>
      <c r="L261" t="s">
        <v>154</v>
      </c>
      <c r="N261" t="s">
        <v>204</v>
      </c>
      <c r="O261" t="s">
        <v>259</v>
      </c>
      <c r="P261">
        <v>6.5041759940395148E-3</v>
      </c>
      <c r="Q261" t="s">
        <v>154</v>
      </c>
      <c r="S261" t="s">
        <v>228</v>
      </c>
      <c r="T261" t="s">
        <v>259</v>
      </c>
      <c r="U261">
        <v>5.3054954213141419E-3</v>
      </c>
      <c r="V261" t="s">
        <v>154</v>
      </c>
    </row>
    <row r="262" spans="9:22" x14ac:dyDescent="0.45">
      <c r="I262" t="s">
        <v>175</v>
      </c>
      <c r="J262" t="s">
        <v>260</v>
      </c>
      <c r="K262">
        <v>0</v>
      </c>
      <c r="L262" t="s">
        <v>154</v>
      </c>
      <c r="N262" t="s">
        <v>204</v>
      </c>
      <c r="O262" t="s">
        <v>260</v>
      </c>
      <c r="P262">
        <v>3.0080224757191586E-2</v>
      </c>
      <c r="Q262" t="s">
        <v>154</v>
      </c>
      <c r="S262" t="s">
        <v>228</v>
      </c>
      <c r="T262" t="s">
        <v>260</v>
      </c>
      <c r="U262">
        <v>2.8389877364528762E-2</v>
      </c>
      <c r="V262" t="s">
        <v>154</v>
      </c>
    </row>
    <row r="263" spans="9:22" x14ac:dyDescent="0.45">
      <c r="I263" t="s">
        <v>175</v>
      </c>
      <c r="J263" t="s">
        <v>160</v>
      </c>
      <c r="K263">
        <v>3.432682579498688E-4</v>
      </c>
      <c r="L263" t="s">
        <v>154</v>
      </c>
      <c r="N263" t="s">
        <v>204</v>
      </c>
      <c r="O263" t="s">
        <v>160</v>
      </c>
      <c r="P263">
        <v>1.0918802871853319E-2</v>
      </c>
      <c r="Q263" t="s">
        <v>154</v>
      </c>
      <c r="S263" t="s">
        <v>228</v>
      </c>
      <c r="T263" t="s">
        <v>160</v>
      </c>
      <c r="U263">
        <v>2.3147928045002989E-2</v>
      </c>
      <c r="V263" t="s">
        <v>154</v>
      </c>
    </row>
    <row r="264" spans="9:22" x14ac:dyDescent="0.45">
      <c r="I264" t="s">
        <v>175</v>
      </c>
      <c r="J264" t="s">
        <v>161</v>
      </c>
      <c r="K264">
        <v>1.0064619949394185E-2</v>
      </c>
      <c r="L264" t="s">
        <v>154</v>
      </c>
      <c r="N264" t="s">
        <v>204</v>
      </c>
      <c r="O264" t="s">
        <v>161</v>
      </c>
      <c r="P264">
        <v>3.9153263272094351E-3</v>
      </c>
      <c r="Q264" t="s">
        <v>154</v>
      </c>
      <c r="S264" t="s">
        <v>228</v>
      </c>
      <c r="T264" t="s">
        <v>161</v>
      </c>
      <c r="U264">
        <v>5.9519189071272202E-3</v>
      </c>
      <c r="V264" t="s">
        <v>154</v>
      </c>
    </row>
    <row r="265" spans="9:22" x14ac:dyDescent="0.45">
      <c r="I265" t="s">
        <v>175</v>
      </c>
      <c r="J265" t="s">
        <v>162</v>
      </c>
      <c r="K265">
        <v>6.1051684733404055E-2</v>
      </c>
      <c r="L265" t="s">
        <v>154</v>
      </c>
      <c r="N265" t="s">
        <v>204</v>
      </c>
      <c r="O265" t="s">
        <v>162</v>
      </c>
      <c r="P265">
        <v>1.9957172513484205E-2</v>
      </c>
      <c r="Q265" t="s">
        <v>154</v>
      </c>
      <c r="S265" t="s">
        <v>228</v>
      </c>
      <c r="T265" t="s">
        <v>162</v>
      </c>
      <c r="U265">
        <v>2.3115229123041914E-2</v>
      </c>
      <c r="V265" t="s">
        <v>154</v>
      </c>
    </row>
    <row r="266" spans="9:22" x14ac:dyDescent="0.45">
      <c r="I266" t="s">
        <v>175</v>
      </c>
      <c r="J266" t="s">
        <v>261</v>
      </c>
      <c r="K266">
        <v>3.0790548207469278E-3</v>
      </c>
      <c r="L266" t="s">
        <v>154</v>
      </c>
      <c r="N266" t="s">
        <v>204</v>
      </c>
      <c r="O266" t="s">
        <v>261</v>
      </c>
      <c r="P266">
        <v>2.5409225549752391E-3</v>
      </c>
      <c r="Q266" t="s">
        <v>154</v>
      </c>
      <c r="S266" t="s">
        <v>228</v>
      </c>
      <c r="T266" t="s">
        <v>261</v>
      </c>
      <c r="U266">
        <v>3.1761781648473328E-3</v>
      </c>
      <c r="V266" t="s">
        <v>154</v>
      </c>
    </row>
    <row r="267" spans="9:22" x14ac:dyDescent="0.45">
      <c r="I267" t="s">
        <v>175</v>
      </c>
      <c r="J267" t="s">
        <v>262</v>
      </c>
      <c r="K267">
        <v>0</v>
      </c>
      <c r="L267" t="s">
        <v>154</v>
      </c>
      <c r="N267" t="s">
        <v>204</v>
      </c>
      <c r="O267" t="s">
        <v>262</v>
      </c>
      <c r="P267">
        <v>2.2331410022645615E-3</v>
      </c>
      <c r="Q267" t="s">
        <v>154</v>
      </c>
      <c r="S267" t="s">
        <v>228</v>
      </c>
      <c r="T267" t="s">
        <v>262</v>
      </c>
      <c r="U267">
        <v>2.8781935506221558E-3</v>
      </c>
      <c r="V267" t="s">
        <v>154</v>
      </c>
    </row>
    <row r="268" spans="9:22" x14ac:dyDescent="0.45">
      <c r="I268" t="s">
        <v>175</v>
      </c>
      <c r="J268" t="s">
        <v>263</v>
      </c>
      <c r="K268">
        <v>0</v>
      </c>
      <c r="L268" t="s">
        <v>154</v>
      </c>
      <c r="N268" t="s">
        <v>204</v>
      </c>
      <c r="O268" t="s">
        <v>263</v>
      </c>
      <c r="P268">
        <v>9.2138398628241625E-3</v>
      </c>
      <c r="Q268" t="s">
        <v>154</v>
      </c>
      <c r="S268" t="s">
        <v>228</v>
      </c>
      <c r="T268" t="s">
        <v>263</v>
      </c>
      <c r="U268">
        <v>1.6642367076291891E-2</v>
      </c>
      <c r="V268" t="s">
        <v>154</v>
      </c>
    </row>
    <row r="269" spans="9:22" x14ac:dyDescent="0.45">
      <c r="I269" t="s">
        <v>175</v>
      </c>
      <c r="J269" t="s">
        <v>163</v>
      </c>
      <c r="K269">
        <v>0</v>
      </c>
      <c r="L269" t="s">
        <v>154</v>
      </c>
      <c r="N269" t="s">
        <v>204</v>
      </c>
      <c r="O269" t="s">
        <v>163</v>
      </c>
      <c r="P269">
        <v>4.7389452063366866E-2</v>
      </c>
      <c r="Q269" t="s">
        <v>154</v>
      </c>
      <c r="S269" t="s">
        <v>228</v>
      </c>
      <c r="T269" t="s">
        <v>163</v>
      </c>
      <c r="U269">
        <v>6.2672788005341762E-2</v>
      </c>
      <c r="V269" t="s">
        <v>154</v>
      </c>
    </row>
    <row r="270" spans="9:22" x14ac:dyDescent="0.45">
      <c r="I270" t="s">
        <v>175</v>
      </c>
      <c r="J270" t="s">
        <v>164</v>
      </c>
      <c r="K270">
        <v>2.0200877797871643E-2</v>
      </c>
      <c r="L270" t="s">
        <v>154</v>
      </c>
      <c r="N270" t="s">
        <v>204</v>
      </c>
      <c r="O270" t="s">
        <v>164</v>
      </c>
      <c r="P270">
        <v>1.2986476271437123E-2</v>
      </c>
      <c r="Q270" t="s">
        <v>154</v>
      </c>
      <c r="S270" t="s">
        <v>228</v>
      </c>
      <c r="T270" t="s">
        <v>164</v>
      </c>
      <c r="U270">
        <v>1.7186315175840551E-2</v>
      </c>
      <c r="V270" t="s">
        <v>154</v>
      </c>
    </row>
    <row r="271" spans="9:22" x14ac:dyDescent="0.45">
      <c r="I271" t="s">
        <v>175</v>
      </c>
      <c r="J271" t="s">
        <v>165</v>
      </c>
      <c r="K271">
        <v>0.11453117763216314</v>
      </c>
      <c r="L271" t="s">
        <v>154</v>
      </c>
      <c r="N271" t="s">
        <v>204</v>
      </c>
      <c r="O271" t="s">
        <v>165</v>
      </c>
      <c r="P271">
        <v>5.5867813133125908E-2</v>
      </c>
      <c r="Q271" t="s">
        <v>154</v>
      </c>
      <c r="S271" t="s">
        <v>228</v>
      </c>
      <c r="T271" t="s">
        <v>165</v>
      </c>
      <c r="U271">
        <v>6.954335664888868E-2</v>
      </c>
      <c r="V271" t="s">
        <v>154</v>
      </c>
    </row>
    <row r="272" spans="9:22" x14ac:dyDescent="0.45">
      <c r="I272" t="s">
        <v>175</v>
      </c>
      <c r="J272" t="s">
        <v>264</v>
      </c>
      <c r="K272">
        <v>6.8739930956494858E-3</v>
      </c>
      <c r="L272" t="s">
        <v>154</v>
      </c>
      <c r="N272" t="s">
        <v>204</v>
      </c>
      <c r="O272" t="s">
        <v>264</v>
      </c>
      <c r="P272">
        <v>6.6070733471304951E-3</v>
      </c>
      <c r="Q272" t="s">
        <v>154</v>
      </c>
      <c r="S272" t="s">
        <v>228</v>
      </c>
      <c r="T272" t="s">
        <v>264</v>
      </c>
      <c r="U272">
        <v>8.5512464786997363E-3</v>
      </c>
      <c r="V272" t="s">
        <v>154</v>
      </c>
    </row>
    <row r="273" spans="9:22" x14ac:dyDescent="0.45">
      <c r="I273" t="s">
        <v>175</v>
      </c>
      <c r="J273" t="s">
        <v>265</v>
      </c>
      <c r="K273">
        <v>1.1015188294375806E-7</v>
      </c>
      <c r="L273" t="s">
        <v>154</v>
      </c>
      <c r="N273" t="s">
        <v>204</v>
      </c>
      <c r="O273" t="s">
        <v>265</v>
      </c>
      <c r="P273">
        <v>5.5146727381728197E-3</v>
      </c>
      <c r="Q273" t="s">
        <v>154</v>
      </c>
      <c r="S273" t="s">
        <v>228</v>
      </c>
      <c r="T273" t="s">
        <v>265</v>
      </c>
      <c r="U273">
        <v>8.6456084584961117E-3</v>
      </c>
      <c r="V273" t="s">
        <v>154</v>
      </c>
    </row>
    <row r="274" spans="9:22" x14ac:dyDescent="0.45">
      <c r="I274" t="s">
        <v>175</v>
      </c>
      <c r="J274" t="s">
        <v>266</v>
      </c>
      <c r="K274">
        <v>0</v>
      </c>
      <c r="L274" t="s">
        <v>154</v>
      </c>
      <c r="N274" t="s">
        <v>204</v>
      </c>
      <c r="O274" t="s">
        <v>266</v>
      </c>
      <c r="P274">
        <v>3.2067904787026064E-2</v>
      </c>
      <c r="Q274" t="s">
        <v>154</v>
      </c>
      <c r="S274" t="s">
        <v>228</v>
      </c>
      <c r="T274" t="s">
        <v>266</v>
      </c>
      <c r="U274">
        <v>5.0935589275470081E-2</v>
      </c>
      <c r="V274" t="s">
        <v>154</v>
      </c>
    </row>
    <row r="275" spans="9:22" x14ac:dyDescent="0.45">
      <c r="I275" t="s">
        <v>176</v>
      </c>
      <c r="J275" t="s">
        <v>153</v>
      </c>
      <c r="K275">
        <v>2.1987519979182611E-4</v>
      </c>
      <c r="L275" t="s">
        <v>154</v>
      </c>
      <c r="N275" t="s">
        <v>205</v>
      </c>
      <c r="O275" t="s">
        <v>153</v>
      </c>
      <c r="P275">
        <v>0.17786618047072489</v>
      </c>
      <c r="Q275" t="s">
        <v>154</v>
      </c>
      <c r="S275" t="s">
        <v>229</v>
      </c>
      <c r="T275" t="s">
        <v>153</v>
      </c>
      <c r="U275">
        <v>0.16326532085156129</v>
      </c>
      <c r="V275" t="s">
        <v>154</v>
      </c>
    </row>
    <row r="276" spans="9:22" x14ac:dyDescent="0.45">
      <c r="I276" t="s">
        <v>176</v>
      </c>
      <c r="J276" t="s">
        <v>155</v>
      </c>
      <c r="K276">
        <v>7.9406789924040905E-2</v>
      </c>
      <c r="L276" t="s">
        <v>154</v>
      </c>
      <c r="N276" t="s">
        <v>205</v>
      </c>
      <c r="O276" t="s">
        <v>155</v>
      </c>
      <c r="P276">
        <v>4.8143601097485049E-2</v>
      </c>
      <c r="Q276" t="s">
        <v>154</v>
      </c>
      <c r="S276" t="s">
        <v>229</v>
      </c>
      <c r="T276" t="s">
        <v>155</v>
      </c>
      <c r="U276">
        <v>4.2229616697483617E-2</v>
      </c>
      <c r="V276" t="s">
        <v>154</v>
      </c>
    </row>
    <row r="277" spans="9:22" x14ac:dyDescent="0.45">
      <c r="I277" t="s">
        <v>176</v>
      </c>
      <c r="J277" t="s">
        <v>156</v>
      </c>
      <c r="K277">
        <v>0.51860456400850574</v>
      </c>
      <c r="L277" t="s">
        <v>154</v>
      </c>
      <c r="N277" t="s">
        <v>205</v>
      </c>
      <c r="O277" t="s">
        <v>156</v>
      </c>
      <c r="P277">
        <v>0.23723302260262261</v>
      </c>
      <c r="Q277" t="s">
        <v>154</v>
      </c>
      <c r="S277" t="s">
        <v>229</v>
      </c>
      <c r="T277" t="s">
        <v>156</v>
      </c>
      <c r="U277">
        <v>0.17832232373622076</v>
      </c>
      <c r="V277" t="s">
        <v>154</v>
      </c>
    </row>
    <row r="278" spans="9:22" x14ac:dyDescent="0.45">
      <c r="I278" t="s">
        <v>176</v>
      </c>
      <c r="J278" t="s">
        <v>255</v>
      </c>
      <c r="K278">
        <v>2.4639854519869362E-2</v>
      </c>
      <c r="L278" t="s">
        <v>154</v>
      </c>
      <c r="N278" t="s">
        <v>205</v>
      </c>
      <c r="O278" t="s">
        <v>255</v>
      </c>
      <c r="P278">
        <v>2.9118612288696583E-2</v>
      </c>
      <c r="Q278" t="s">
        <v>154</v>
      </c>
      <c r="S278" t="s">
        <v>229</v>
      </c>
      <c r="T278" t="s">
        <v>255</v>
      </c>
      <c r="U278">
        <v>2.2719712787182034E-2</v>
      </c>
      <c r="V278" t="s">
        <v>154</v>
      </c>
    </row>
    <row r="279" spans="9:22" x14ac:dyDescent="0.45">
      <c r="I279" t="s">
        <v>176</v>
      </c>
      <c r="J279" t="s">
        <v>256</v>
      </c>
      <c r="K279">
        <v>1.4136174758615706E-2</v>
      </c>
      <c r="L279" t="s">
        <v>154</v>
      </c>
      <c r="N279" t="s">
        <v>205</v>
      </c>
      <c r="O279" t="s">
        <v>256</v>
      </c>
      <c r="P279">
        <v>2.65791670548138E-2</v>
      </c>
      <c r="Q279" t="s">
        <v>154</v>
      </c>
      <c r="S279" t="s">
        <v>229</v>
      </c>
      <c r="T279" t="s">
        <v>256</v>
      </c>
      <c r="U279">
        <v>2.0682013833721664E-2</v>
      </c>
      <c r="V279" t="s">
        <v>154</v>
      </c>
    </row>
    <row r="280" spans="9:22" x14ac:dyDescent="0.45">
      <c r="I280" t="s">
        <v>176</v>
      </c>
      <c r="J280" t="s">
        <v>257</v>
      </c>
      <c r="K280">
        <v>0</v>
      </c>
      <c r="L280" t="s">
        <v>154</v>
      </c>
      <c r="N280" t="s">
        <v>205</v>
      </c>
      <c r="O280" t="s">
        <v>257</v>
      </c>
      <c r="P280">
        <v>0.12940659922957207</v>
      </c>
      <c r="Q280" t="s">
        <v>154</v>
      </c>
      <c r="S280" t="s">
        <v>229</v>
      </c>
      <c r="T280" t="s">
        <v>257</v>
      </c>
      <c r="U280">
        <v>0.11740598603723626</v>
      </c>
      <c r="V280" t="s">
        <v>154</v>
      </c>
    </row>
    <row r="281" spans="9:22" x14ac:dyDescent="0.45">
      <c r="I281" t="s">
        <v>176</v>
      </c>
      <c r="J281" t="s">
        <v>157</v>
      </c>
      <c r="K281">
        <v>0</v>
      </c>
      <c r="L281" t="s">
        <v>154</v>
      </c>
      <c r="N281" t="s">
        <v>205</v>
      </c>
      <c r="O281" t="s">
        <v>157</v>
      </c>
      <c r="P281">
        <v>3.6112078633386023E-2</v>
      </c>
      <c r="Q281" t="s">
        <v>154</v>
      </c>
      <c r="S281" t="s">
        <v>229</v>
      </c>
      <c r="T281" t="s">
        <v>157</v>
      </c>
      <c r="U281">
        <v>4.147452756046744E-2</v>
      </c>
      <c r="V281" t="s">
        <v>154</v>
      </c>
    </row>
    <row r="282" spans="9:22" x14ac:dyDescent="0.45">
      <c r="I282" t="s">
        <v>176</v>
      </c>
      <c r="J282" t="s">
        <v>158</v>
      </c>
      <c r="K282">
        <v>1.7968806321798394E-2</v>
      </c>
      <c r="L282" t="s">
        <v>154</v>
      </c>
      <c r="N282" t="s">
        <v>205</v>
      </c>
      <c r="O282" t="s">
        <v>158</v>
      </c>
      <c r="P282">
        <v>1.007997457650087E-2</v>
      </c>
      <c r="Q282" t="s">
        <v>154</v>
      </c>
      <c r="S282" t="s">
        <v>229</v>
      </c>
      <c r="T282" t="s">
        <v>158</v>
      </c>
      <c r="U282">
        <v>1.2193845617717754E-2</v>
      </c>
      <c r="V282" t="s">
        <v>154</v>
      </c>
    </row>
    <row r="283" spans="9:22" x14ac:dyDescent="0.45">
      <c r="I283" t="s">
        <v>176</v>
      </c>
      <c r="J283" t="s">
        <v>159</v>
      </c>
      <c r="K283">
        <v>0.11888450528159984</v>
      </c>
      <c r="L283" t="s">
        <v>154</v>
      </c>
      <c r="N283" t="s">
        <v>205</v>
      </c>
      <c r="O283" t="s">
        <v>159</v>
      </c>
      <c r="P283">
        <v>6.2163006765838538E-2</v>
      </c>
      <c r="Q283" t="s">
        <v>154</v>
      </c>
      <c r="S283" t="s">
        <v>229</v>
      </c>
      <c r="T283" t="s">
        <v>159</v>
      </c>
      <c r="U283">
        <v>4.6393263931665228E-2</v>
      </c>
      <c r="V283" t="s">
        <v>154</v>
      </c>
    </row>
    <row r="284" spans="9:22" x14ac:dyDescent="0.45">
      <c r="I284" t="s">
        <v>176</v>
      </c>
      <c r="J284" t="s">
        <v>258</v>
      </c>
      <c r="K284">
        <v>5.5234928782128424E-3</v>
      </c>
      <c r="L284" t="s">
        <v>154</v>
      </c>
      <c r="N284" t="s">
        <v>205</v>
      </c>
      <c r="O284" t="s">
        <v>258</v>
      </c>
      <c r="P284">
        <v>7.6662618275570391E-3</v>
      </c>
      <c r="Q284" t="s">
        <v>154</v>
      </c>
      <c r="S284" t="s">
        <v>229</v>
      </c>
      <c r="T284" t="s">
        <v>258</v>
      </c>
      <c r="U284">
        <v>5.8032484674138494E-3</v>
      </c>
      <c r="V284" t="s">
        <v>154</v>
      </c>
    </row>
    <row r="285" spans="9:22" x14ac:dyDescent="0.45">
      <c r="I285" t="s">
        <v>176</v>
      </c>
      <c r="J285" t="s">
        <v>259</v>
      </c>
      <c r="K285">
        <v>2.1465096395795677E-3</v>
      </c>
      <c r="L285" t="s">
        <v>154</v>
      </c>
      <c r="N285" t="s">
        <v>205</v>
      </c>
      <c r="O285" t="s">
        <v>259</v>
      </c>
      <c r="P285">
        <v>6.7588815275374057E-3</v>
      </c>
      <c r="Q285" t="s">
        <v>154</v>
      </c>
      <c r="S285" t="s">
        <v>229</v>
      </c>
      <c r="T285" t="s">
        <v>259</v>
      </c>
      <c r="U285">
        <v>5.7305367686270384E-3</v>
      </c>
      <c r="V285" t="s">
        <v>154</v>
      </c>
    </row>
    <row r="286" spans="9:22" x14ac:dyDescent="0.45">
      <c r="I286" t="s">
        <v>176</v>
      </c>
      <c r="J286" t="s">
        <v>260</v>
      </c>
      <c r="K286">
        <v>0</v>
      </c>
      <c r="L286" t="s">
        <v>154</v>
      </c>
      <c r="N286" t="s">
        <v>205</v>
      </c>
      <c r="O286" t="s">
        <v>260</v>
      </c>
      <c r="P286">
        <v>2.5538949986029503E-2</v>
      </c>
      <c r="Q286" t="s">
        <v>154</v>
      </c>
      <c r="S286" t="s">
        <v>229</v>
      </c>
      <c r="T286" t="s">
        <v>260</v>
      </c>
      <c r="U286">
        <v>3.0575318827902709E-2</v>
      </c>
      <c r="V286" t="s">
        <v>154</v>
      </c>
    </row>
    <row r="287" spans="9:22" x14ac:dyDescent="0.45">
      <c r="I287" t="s">
        <v>176</v>
      </c>
      <c r="J287" t="s">
        <v>160</v>
      </c>
      <c r="K287">
        <v>0</v>
      </c>
      <c r="L287" t="s">
        <v>154</v>
      </c>
      <c r="N287" t="s">
        <v>205</v>
      </c>
      <c r="O287" t="s">
        <v>160</v>
      </c>
      <c r="P287">
        <v>1.3127791208155586E-2</v>
      </c>
      <c r="Q287" t="s">
        <v>154</v>
      </c>
      <c r="S287" t="s">
        <v>229</v>
      </c>
      <c r="T287" t="s">
        <v>160</v>
      </c>
      <c r="U287">
        <v>3.3787137067156282E-2</v>
      </c>
      <c r="V287" t="s">
        <v>154</v>
      </c>
    </row>
    <row r="288" spans="9:22" x14ac:dyDescent="0.45">
      <c r="I288" t="s">
        <v>176</v>
      </c>
      <c r="J288" t="s">
        <v>161</v>
      </c>
      <c r="K288">
        <v>9.5496259297321497E-3</v>
      </c>
      <c r="L288" t="s">
        <v>154</v>
      </c>
      <c r="N288" t="s">
        <v>205</v>
      </c>
      <c r="O288" t="s">
        <v>161</v>
      </c>
      <c r="P288">
        <v>4.3719325704144373E-3</v>
      </c>
      <c r="Q288" t="s">
        <v>154</v>
      </c>
      <c r="S288" t="s">
        <v>229</v>
      </c>
      <c r="T288" t="s">
        <v>161</v>
      </c>
      <c r="U288">
        <v>9.3858459464714761E-3</v>
      </c>
      <c r="V288" t="s">
        <v>154</v>
      </c>
    </row>
    <row r="289" spans="9:22" x14ac:dyDescent="0.45">
      <c r="I289" t="s">
        <v>176</v>
      </c>
      <c r="J289" t="s">
        <v>162</v>
      </c>
      <c r="K289">
        <v>5.7755491981101977E-2</v>
      </c>
      <c r="L289" t="s">
        <v>154</v>
      </c>
      <c r="N289" t="s">
        <v>205</v>
      </c>
      <c r="O289" t="s">
        <v>162</v>
      </c>
      <c r="P289">
        <v>2.1586324863511853E-2</v>
      </c>
      <c r="Q289" t="s">
        <v>154</v>
      </c>
      <c r="S289" t="s">
        <v>229</v>
      </c>
      <c r="T289" t="s">
        <v>162</v>
      </c>
      <c r="U289">
        <v>3.7631817405342459E-2</v>
      </c>
      <c r="V289" t="s">
        <v>154</v>
      </c>
    </row>
    <row r="290" spans="9:22" x14ac:dyDescent="0.45">
      <c r="I290" t="s">
        <v>176</v>
      </c>
      <c r="J290" t="s">
        <v>261</v>
      </c>
      <c r="K290">
        <v>2.0927472795595247E-3</v>
      </c>
      <c r="L290" t="s">
        <v>154</v>
      </c>
      <c r="N290" t="s">
        <v>205</v>
      </c>
      <c r="O290" t="s">
        <v>261</v>
      </c>
      <c r="P290">
        <v>2.4893144159690377E-3</v>
      </c>
      <c r="Q290" t="s">
        <v>154</v>
      </c>
      <c r="S290" t="s">
        <v>229</v>
      </c>
      <c r="T290" t="s">
        <v>261</v>
      </c>
      <c r="U290">
        <v>4.7830156443287699E-3</v>
      </c>
      <c r="V290" t="s">
        <v>154</v>
      </c>
    </row>
    <row r="291" spans="9:22" x14ac:dyDescent="0.45">
      <c r="I291" t="s">
        <v>176</v>
      </c>
      <c r="J291" t="s">
        <v>262</v>
      </c>
      <c r="K291">
        <v>0</v>
      </c>
      <c r="L291" t="s">
        <v>154</v>
      </c>
      <c r="N291" t="s">
        <v>205</v>
      </c>
      <c r="O291" t="s">
        <v>262</v>
      </c>
      <c r="P291">
        <v>2.1141530502935294E-3</v>
      </c>
      <c r="Q291" t="s">
        <v>154</v>
      </c>
      <c r="S291" t="s">
        <v>229</v>
      </c>
      <c r="T291" t="s">
        <v>262</v>
      </c>
      <c r="U291">
        <v>4.4699042011981348E-3</v>
      </c>
      <c r="V291" t="s">
        <v>154</v>
      </c>
    </row>
    <row r="292" spans="9:22" x14ac:dyDescent="0.45">
      <c r="I292" t="s">
        <v>176</v>
      </c>
      <c r="J292" t="s">
        <v>263</v>
      </c>
      <c r="K292">
        <v>0</v>
      </c>
      <c r="L292" t="s">
        <v>154</v>
      </c>
      <c r="N292" t="s">
        <v>205</v>
      </c>
      <c r="O292" t="s">
        <v>263</v>
      </c>
      <c r="P292">
        <v>9.757542698619507E-3</v>
      </c>
      <c r="Q292" t="s">
        <v>154</v>
      </c>
      <c r="S292" t="s">
        <v>229</v>
      </c>
      <c r="T292" t="s">
        <v>263</v>
      </c>
      <c r="U292">
        <v>2.419119591091775E-2</v>
      </c>
      <c r="V292" t="s">
        <v>154</v>
      </c>
    </row>
    <row r="293" spans="9:22" x14ac:dyDescent="0.45">
      <c r="I293" t="s">
        <v>176</v>
      </c>
      <c r="J293" t="s">
        <v>163</v>
      </c>
      <c r="K293">
        <v>0</v>
      </c>
      <c r="L293" t="s">
        <v>154</v>
      </c>
      <c r="N293" t="s">
        <v>205</v>
      </c>
      <c r="O293" t="s">
        <v>163</v>
      </c>
      <c r="P293">
        <v>4.0925605325492623E-2</v>
      </c>
      <c r="Q293" t="s">
        <v>154</v>
      </c>
      <c r="S293" t="s">
        <v>229</v>
      </c>
      <c r="T293" t="s">
        <v>163</v>
      </c>
      <c r="U293">
        <v>6.0058300489856192E-2</v>
      </c>
      <c r="V293" t="s">
        <v>154</v>
      </c>
    </row>
    <row r="294" spans="9:22" x14ac:dyDescent="0.45">
      <c r="I294" t="s">
        <v>176</v>
      </c>
      <c r="J294" t="s">
        <v>164</v>
      </c>
      <c r="K294">
        <v>2.2016518485201649E-2</v>
      </c>
      <c r="L294" t="s">
        <v>154</v>
      </c>
      <c r="N294" t="s">
        <v>205</v>
      </c>
      <c r="O294" t="s">
        <v>164</v>
      </c>
      <c r="P294">
        <v>1.1504583144980644E-2</v>
      </c>
      <c r="Q294" t="s">
        <v>154</v>
      </c>
      <c r="S294" t="s">
        <v>229</v>
      </c>
      <c r="T294" t="s">
        <v>164</v>
      </c>
      <c r="U294">
        <v>1.6281230619398748E-2</v>
      </c>
      <c r="V294" t="s">
        <v>154</v>
      </c>
    </row>
    <row r="295" spans="9:22" x14ac:dyDescent="0.45">
      <c r="I295" t="s">
        <v>176</v>
      </c>
      <c r="J295" t="s">
        <v>165</v>
      </c>
      <c r="K295">
        <v>0.120585023359035</v>
      </c>
      <c r="L295" t="s">
        <v>154</v>
      </c>
      <c r="N295" t="s">
        <v>205</v>
      </c>
      <c r="O295" t="s">
        <v>165</v>
      </c>
      <c r="P295">
        <v>5.6720979131601172E-2</v>
      </c>
      <c r="Q295" t="s">
        <v>154</v>
      </c>
      <c r="S295" t="s">
        <v>229</v>
      </c>
      <c r="T295" t="s">
        <v>165</v>
      </c>
      <c r="U295">
        <v>6.4210799253693274E-2</v>
      </c>
      <c r="V295" t="s">
        <v>154</v>
      </c>
    </row>
    <row r="296" spans="9:22" x14ac:dyDescent="0.45">
      <c r="I296" t="s">
        <v>176</v>
      </c>
      <c r="J296" t="s">
        <v>264</v>
      </c>
      <c r="K296">
        <v>6.4448326139452767E-3</v>
      </c>
      <c r="L296" t="s">
        <v>154</v>
      </c>
      <c r="N296" t="s">
        <v>205</v>
      </c>
      <c r="O296" t="s">
        <v>264</v>
      </c>
      <c r="P296">
        <v>7.0241535229087285E-3</v>
      </c>
      <c r="Q296" t="s">
        <v>154</v>
      </c>
      <c r="S296" t="s">
        <v>229</v>
      </c>
      <c r="T296" t="s">
        <v>264</v>
      </c>
      <c r="U296">
        <v>8.2256310942723492E-3</v>
      </c>
      <c r="V296" t="s">
        <v>154</v>
      </c>
    </row>
    <row r="297" spans="9:22" x14ac:dyDescent="0.45">
      <c r="I297" t="s">
        <v>176</v>
      </c>
      <c r="J297" t="s">
        <v>265</v>
      </c>
      <c r="K297">
        <v>2.5187819409986283E-5</v>
      </c>
      <c r="L297" t="s">
        <v>154</v>
      </c>
      <c r="N297" t="s">
        <v>205</v>
      </c>
      <c r="O297" t="s">
        <v>265</v>
      </c>
      <c r="P297">
        <v>5.7851242656625458E-3</v>
      </c>
      <c r="Q297" t="s">
        <v>154</v>
      </c>
      <c r="S297" t="s">
        <v>229</v>
      </c>
      <c r="T297" t="s">
        <v>265</v>
      </c>
      <c r="U297">
        <v>7.7904121117316561E-3</v>
      </c>
      <c r="V297" t="s">
        <v>154</v>
      </c>
    </row>
    <row r="298" spans="9:22" x14ac:dyDescent="0.45">
      <c r="I298" t="s">
        <v>176</v>
      </c>
      <c r="J298" t="s">
        <v>266</v>
      </c>
      <c r="K298">
        <v>0</v>
      </c>
      <c r="L298" t="s">
        <v>154</v>
      </c>
      <c r="N298" t="s">
        <v>205</v>
      </c>
      <c r="O298" t="s">
        <v>266</v>
      </c>
      <c r="P298">
        <v>2.7926159741629607E-2</v>
      </c>
      <c r="Q298" t="s">
        <v>154</v>
      </c>
      <c r="S298" t="s">
        <v>229</v>
      </c>
      <c r="T298" t="s">
        <v>266</v>
      </c>
      <c r="U298">
        <v>4.2388995138433208E-2</v>
      </c>
      <c r="V298" t="s">
        <v>154</v>
      </c>
    </row>
    <row r="299" spans="9:22" x14ac:dyDescent="0.45">
      <c r="I299" t="s">
        <v>177</v>
      </c>
      <c r="J299" t="s">
        <v>153</v>
      </c>
      <c r="K299">
        <v>6.3243921708965338E-3</v>
      </c>
      <c r="L299" t="s">
        <v>154</v>
      </c>
      <c r="N299" t="s">
        <v>206</v>
      </c>
      <c r="O299" t="s">
        <v>153</v>
      </c>
      <c r="P299">
        <v>0.14923234219481044</v>
      </c>
      <c r="Q299" t="s">
        <v>154</v>
      </c>
      <c r="S299" t="s">
        <v>230</v>
      </c>
      <c r="T299" t="s">
        <v>153</v>
      </c>
      <c r="U299">
        <v>0.14394731671731348</v>
      </c>
      <c r="V299" t="s">
        <v>154</v>
      </c>
    </row>
    <row r="300" spans="9:22" x14ac:dyDescent="0.45">
      <c r="I300" t="s">
        <v>177</v>
      </c>
      <c r="J300" t="s">
        <v>155</v>
      </c>
      <c r="K300">
        <v>7.2340298051620622E-2</v>
      </c>
      <c r="L300" t="s">
        <v>154</v>
      </c>
      <c r="N300" t="s">
        <v>206</v>
      </c>
      <c r="O300" t="s">
        <v>155</v>
      </c>
      <c r="P300">
        <v>4.2582069399179918E-2</v>
      </c>
      <c r="Q300" t="s">
        <v>154</v>
      </c>
      <c r="S300" t="s">
        <v>230</v>
      </c>
      <c r="T300" t="s">
        <v>155</v>
      </c>
      <c r="U300">
        <v>3.5968562231673738E-2</v>
      </c>
      <c r="V300" t="s">
        <v>154</v>
      </c>
    </row>
    <row r="301" spans="9:22" x14ac:dyDescent="0.45">
      <c r="I301" t="s">
        <v>177</v>
      </c>
      <c r="J301" t="s">
        <v>156</v>
      </c>
      <c r="K301">
        <v>0.51096902680116218</v>
      </c>
      <c r="L301" t="s">
        <v>154</v>
      </c>
      <c r="N301" t="s">
        <v>206</v>
      </c>
      <c r="O301" t="s">
        <v>156</v>
      </c>
      <c r="P301">
        <v>0.26210151849683783</v>
      </c>
      <c r="Q301" t="s">
        <v>154</v>
      </c>
      <c r="S301" t="s">
        <v>230</v>
      </c>
      <c r="T301" t="s">
        <v>156</v>
      </c>
      <c r="U301">
        <v>0.17552710125724988</v>
      </c>
      <c r="V301" t="s">
        <v>154</v>
      </c>
    </row>
    <row r="302" spans="9:22" x14ac:dyDescent="0.45">
      <c r="I302" t="s">
        <v>177</v>
      </c>
      <c r="J302" t="s">
        <v>255</v>
      </c>
      <c r="K302">
        <v>2.8990341432226261E-2</v>
      </c>
      <c r="L302" t="s">
        <v>154</v>
      </c>
      <c r="N302" t="s">
        <v>206</v>
      </c>
      <c r="O302" t="s">
        <v>255</v>
      </c>
      <c r="P302">
        <v>2.957950386331145E-2</v>
      </c>
      <c r="Q302" t="s">
        <v>154</v>
      </c>
      <c r="S302" t="s">
        <v>230</v>
      </c>
      <c r="T302" t="s">
        <v>255</v>
      </c>
      <c r="U302">
        <v>2.4939380264038854E-2</v>
      </c>
      <c r="V302" t="s">
        <v>154</v>
      </c>
    </row>
    <row r="303" spans="9:22" x14ac:dyDescent="0.45">
      <c r="I303" t="s">
        <v>177</v>
      </c>
      <c r="J303" t="s">
        <v>256</v>
      </c>
      <c r="K303">
        <v>1.7240299407119714E-2</v>
      </c>
      <c r="L303" t="s">
        <v>154</v>
      </c>
      <c r="N303" t="s">
        <v>206</v>
      </c>
      <c r="O303" t="s">
        <v>256</v>
      </c>
      <c r="P303">
        <v>2.4207111878227036E-2</v>
      </c>
      <c r="Q303" t="s">
        <v>154</v>
      </c>
      <c r="S303" t="s">
        <v>230</v>
      </c>
      <c r="T303" t="s">
        <v>256</v>
      </c>
      <c r="U303">
        <v>2.3051308852687951E-2</v>
      </c>
      <c r="V303" t="s">
        <v>154</v>
      </c>
    </row>
    <row r="304" spans="9:22" x14ac:dyDescent="0.45">
      <c r="I304" t="s">
        <v>177</v>
      </c>
      <c r="J304" t="s">
        <v>257</v>
      </c>
      <c r="K304">
        <v>0</v>
      </c>
      <c r="L304" t="s">
        <v>154</v>
      </c>
      <c r="N304" t="s">
        <v>206</v>
      </c>
      <c r="O304" t="s">
        <v>257</v>
      </c>
      <c r="P304">
        <v>0.12419581888244585</v>
      </c>
      <c r="Q304" t="s">
        <v>154</v>
      </c>
      <c r="S304" t="s">
        <v>230</v>
      </c>
      <c r="T304" t="s">
        <v>257</v>
      </c>
      <c r="U304">
        <v>0.11509293284163837</v>
      </c>
      <c r="V304" t="s">
        <v>154</v>
      </c>
    </row>
    <row r="305" spans="9:22" x14ac:dyDescent="0.45">
      <c r="I305" t="s">
        <v>177</v>
      </c>
      <c r="J305" t="s">
        <v>157</v>
      </c>
      <c r="K305">
        <v>3.0473255256510939E-4</v>
      </c>
      <c r="L305" t="s">
        <v>154</v>
      </c>
      <c r="N305" t="s">
        <v>206</v>
      </c>
      <c r="O305" t="s">
        <v>157</v>
      </c>
      <c r="P305">
        <v>4.3863347475371003E-2</v>
      </c>
      <c r="Q305" t="s">
        <v>154</v>
      </c>
      <c r="S305" t="s">
        <v>230</v>
      </c>
      <c r="T305" t="s">
        <v>157</v>
      </c>
      <c r="U305">
        <v>2.9683125713377348E-2</v>
      </c>
      <c r="V305" t="s">
        <v>154</v>
      </c>
    </row>
    <row r="306" spans="9:22" x14ac:dyDescent="0.45">
      <c r="I306" t="s">
        <v>177</v>
      </c>
      <c r="J306" t="s">
        <v>158</v>
      </c>
      <c r="K306">
        <v>2.0438289244470886E-2</v>
      </c>
      <c r="L306" t="s">
        <v>154</v>
      </c>
      <c r="N306" t="s">
        <v>206</v>
      </c>
      <c r="O306" t="s">
        <v>158</v>
      </c>
      <c r="P306">
        <v>1.2264759628573858E-2</v>
      </c>
      <c r="Q306" t="s">
        <v>154</v>
      </c>
      <c r="S306" t="s">
        <v>230</v>
      </c>
      <c r="T306" t="s">
        <v>158</v>
      </c>
      <c r="U306">
        <v>7.5137212966187071E-3</v>
      </c>
      <c r="V306" t="s">
        <v>154</v>
      </c>
    </row>
    <row r="307" spans="9:22" x14ac:dyDescent="0.45">
      <c r="I307" t="s">
        <v>177</v>
      </c>
      <c r="J307" t="s">
        <v>159</v>
      </c>
      <c r="K307">
        <v>0.12847896320866961</v>
      </c>
      <c r="L307" t="s">
        <v>154</v>
      </c>
      <c r="N307" t="s">
        <v>206</v>
      </c>
      <c r="O307" t="s">
        <v>159</v>
      </c>
      <c r="P307">
        <v>7.5480018882279815E-2</v>
      </c>
      <c r="Q307" t="s">
        <v>154</v>
      </c>
      <c r="S307" t="s">
        <v>230</v>
      </c>
      <c r="T307" t="s">
        <v>159</v>
      </c>
      <c r="U307">
        <v>3.7485525372806992E-2</v>
      </c>
      <c r="V307" t="s">
        <v>154</v>
      </c>
    </row>
    <row r="308" spans="9:22" x14ac:dyDescent="0.45">
      <c r="I308" t="s">
        <v>177</v>
      </c>
      <c r="J308" t="s">
        <v>258</v>
      </c>
      <c r="K308">
        <v>5.9549409995007137E-3</v>
      </c>
      <c r="L308" t="s">
        <v>154</v>
      </c>
      <c r="N308" t="s">
        <v>206</v>
      </c>
      <c r="O308" t="s">
        <v>258</v>
      </c>
      <c r="P308">
        <v>6.5595057622701378E-3</v>
      </c>
      <c r="Q308" t="s">
        <v>154</v>
      </c>
      <c r="S308" t="s">
        <v>230</v>
      </c>
      <c r="T308" t="s">
        <v>258</v>
      </c>
      <c r="U308">
        <v>4.9864336367410446E-3</v>
      </c>
      <c r="V308" t="s">
        <v>154</v>
      </c>
    </row>
    <row r="309" spans="9:22" x14ac:dyDescent="0.45">
      <c r="I309" t="s">
        <v>177</v>
      </c>
      <c r="J309" t="s">
        <v>259</v>
      </c>
      <c r="K309">
        <v>1.7436662858925031E-3</v>
      </c>
      <c r="L309" t="s">
        <v>154</v>
      </c>
      <c r="N309" t="s">
        <v>206</v>
      </c>
      <c r="O309" t="s">
        <v>259</v>
      </c>
      <c r="P309">
        <v>5.8560822120076244E-3</v>
      </c>
      <c r="Q309" t="s">
        <v>154</v>
      </c>
      <c r="S309" t="s">
        <v>230</v>
      </c>
      <c r="T309" t="s">
        <v>259</v>
      </c>
      <c r="U309">
        <v>4.7979162918026985E-3</v>
      </c>
      <c r="V309" t="s">
        <v>154</v>
      </c>
    </row>
    <row r="310" spans="9:22" x14ac:dyDescent="0.45">
      <c r="I310" t="s">
        <v>177</v>
      </c>
      <c r="J310" t="s">
        <v>260</v>
      </c>
      <c r="K310">
        <v>0</v>
      </c>
      <c r="L310" t="s">
        <v>154</v>
      </c>
      <c r="N310" t="s">
        <v>206</v>
      </c>
      <c r="O310" t="s">
        <v>260</v>
      </c>
      <c r="P310">
        <v>2.7694090651670146E-2</v>
      </c>
      <c r="Q310" t="s">
        <v>154</v>
      </c>
      <c r="S310" t="s">
        <v>230</v>
      </c>
      <c r="T310" t="s">
        <v>260</v>
      </c>
      <c r="U310">
        <v>2.4641569631651147E-2</v>
      </c>
      <c r="V310" t="s">
        <v>154</v>
      </c>
    </row>
    <row r="311" spans="9:22" x14ac:dyDescent="0.45">
      <c r="I311" t="s">
        <v>177</v>
      </c>
      <c r="J311" t="s">
        <v>160</v>
      </c>
      <c r="K311">
        <v>3.7282297719562279E-4</v>
      </c>
      <c r="L311" t="s">
        <v>154</v>
      </c>
      <c r="N311" t="s">
        <v>206</v>
      </c>
      <c r="O311" t="s">
        <v>160</v>
      </c>
      <c r="P311">
        <v>1.5845135728389477E-2</v>
      </c>
      <c r="Q311" t="s">
        <v>154</v>
      </c>
      <c r="S311" t="s">
        <v>230</v>
      </c>
      <c r="T311" t="s">
        <v>160</v>
      </c>
      <c r="U311">
        <v>3.6052291718174492E-2</v>
      </c>
      <c r="V311" t="s">
        <v>154</v>
      </c>
    </row>
    <row r="312" spans="9:22" x14ac:dyDescent="0.45">
      <c r="I312" t="s">
        <v>177</v>
      </c>
      <c r="J312" t="s">
        <v>161</v>
      </c>
      <c r="K312">
        <v>1.0976999920650871E-2</v>
      </c>
      <c r="L312" t="s">
        <v>154</v>
      </c>
      <c r="N312" t="s">
        <v>206</v>
      </c>
      <c r="O312" t="s">
        <v>161</v>
      </c>
      <c r="P312">
        <v>4.9488406451400355E-3</v>
      </c>
      <c r="Q312" t="s">
        <v>154</v>
      </c>
      <c r="S312" t="s">
        <v>230</v>
      </c>
      <c r="T312" t="s">
        <v>161</v>
      </c>
      <c r="U312">
        <v>9.4317288549679891E-3</v>
      </c>
      <c r="V312" t="s">
        <v>154</v>
      </c>
    </row>
    <row r="313" spans="9:22" x14ac:dyDescent="0.45">
      <c r="I313" t="s">
        <v>177</v>
      </c>
      <c r="J313" t="s">
        <v>162</v>
      </c>
      <c r="K313">
        <v>6.0456263654115383E-2</v>
      </c>
      <c r="L313" t="s">
        <v>154</v>
      </c>
      <c r="N313" t="s">
        <v>206</v>
      </c>
      <c r="O313" t="s">
        <v>162</v>
      </c>
      <c r="P313">
        <v>2.8165238937476054E-2</v>
      </c>
      <c r="Q313" t="s">
        <v>154</v>
      </c>
      <c r="S313" t="s">
        <v>230</v>
      </c>
      <c r="T313" t="s">
        <v>162</v>
      </c>
      <c r="U313">
        <v>4.487921139050953E-2</v>
      </c>
      <c r="V313" t="s">
        <v>154</v>
      </c>
    </row>
    <row r="314" spans="9:22" x14ac:dyDescent="0.45">
      <c r="I314" t="s">
        <v>177</v>
      </c>
      <c r="J314" t="s">
        <v>261</v>
      </c>
      <c r="K314">
        <v>2.6518466720072747E-3</v>
      </c>
      <c r="L314" t="s">
        <v>154</v>
      </c>
      <c r="N314" t="s">
        <v>206</v>
      </c>
      <c r="O314" t="s">
        <v>261</v>
      </c>
      <c r="P314">
        <v>3.2728284490923321E-3</v>
      </c>
      <c r="Q314" t="s">
        <v>154</v>
      </c>
      <c r="S314" t="s">
        <v>230</v>
      </c>
      <c r="T314" t="s">
        <v>261</v>
      </c>
      <c r="U314">
        <v>6.1102099314496302E-3</v>
      </c>
      <c r="V314" t="s">
        <v>154</v>
      </c>
    </row>
    <row r="315" spans="9:22" x14ac:dyDescent="0.45">
      <c r="I315" t="s">
        <v>177</v>
      </c>
      <c r="J315" t="s">
        <v>262</v>
      </c>
      <c r="K315">
        <v>0</v>
      </c>
      <c r="L315" t="s">
        <v>154</v>
      </c>
      <c r="N315" t="s">
        <v>206</v>
      </c>
      <c r="O315" t="s">
        <v>262</v>
      </c>
      <c r="P315">
        <v>2.102730233179076E-3</v>
      </c>
      <c r="Q315" t="s">
        <v>154</v>
      </c>
      <c r="S315" t="s">
        <v>230</v>
      </c>
      <c r="T315" t="s">
        <v>262</v>
      </c>
      <c r="U315">
        <v>5.547150047187482E-3</v>
      </c>
      <c r="V315" t="s">
        <v>154</v>
      </c>
    </row>
    <row r="316" spans="9:22" x14ac:dyDescent="0.45">
      <c r="I316" t="s">
        <v>177</v>
      </c>
      <c r="J316" t="s">
        <v>263</v>
      </c>
      <c r="K316">
        <v>0</v>
      </c>
      <c r="L316" t="s">
        <v>154</v>
      </c>
      <c r="N316" t="s">
        <v>206</v>
      </c>
      <c r="O316" t="s">
        <v>263</v>
      </c>
      <c r="P316">
        <v>1.1253293251755751E-2</v>
      </c>
      <c r="Q316" t="s">
        <v>154</v>
      </c>
      <c r="S316" t="s">
        <v>230</v>
      </c>
      <c r="T316" t="s">
        <v>263</v>
      </c>
      <c r="U316">
        <v>2.7693997835551563E-2</v>
      </c>
      <c r="V316" t="s">
        <v>154</v>
      </c>
    </row>
    <row r="317" spans="9:22" x14ac:dyDescent="0.45">
      <c r="I317" t="s">
        <v>177</v>
      </c>
      <c r="J317" t="s">
        <v>163</v>
      </c>
      <c r="K317">
        <v>0</v>
      </c>
      <c r="L317" t="s">
        <v>154</v>
      </c>
      <c r="N317" t="s">
        <v>206</v>
      </c>
      <c r="O317" t="s">
        <v>163</v>
      </c>
      <c r="P317">
        <v>3.1968489845235704E-2</v>
      </c>
      <c r="Q317" t="s">
        <v>154</v>
      </c>
      <c r="S317" t="s">
        <v>230</v>
      </c>
      <c r="T317" t="s">
        <v>163</v>
      </c>
      <c r="U317">
        <v>6.9327731123811839E-2</v>
      </c>
      <c r="V317" t="s">
        <v>154</v>
      </c>
    </row>
    <row r="318" spans="9:22" x14ac:dyDescent="0.45">
      <c r="I318" t="s">
        <v>177</v>
      </c>
      <c r="J318" t="s">
        <v>164</v>
      </c>
      <c r="K318">
        <v>1.6795514756109471E-2</v>
      </c>
      <c r="L318" t="s">
        <v>154</v>
      </c>
      <c r="N318" t="s">
        <v>206</v>
      </c>
      <c r="O318" t="s">
        <v>164</v>
      </c>
      <c r="P318">
        <v>8.7283608277876051E-3</v>
      </c>
      <c r="Q318" t="s">
        <v>154</v>
      </c>
      <c r="S318" t="s">
        <v>230</v>
      </c>
      <c r="T318" t="s">
        <v>164</v>
      </c>
      <c r="U318">
        <v>1.8501884972407717E-2</v>
      </c>
      <c r="V318" t="s">
        <v>154</v>
      </c>
    </row>
    <row r="319" spans="9:22" x14ac:dyDescent="0.45">
      <c r="I319" t="s">
        <v>177</v>
      </c>
      <c r="J319" t="s">
        <v>165</v>
      </c>
      <c r="K319">
        <v>0.10977586720923591</v>
      </c>
      <c r="L319" t="s">
        <v>154</v>
      </c>
      <c r="N319" t="s">
        <v>206</v>
      </c>
      <c r="O319" t="s">
        <v>165</v>
      </c>
      <c r="P319">
        <v>5.3665638809066003E-2</v>
      </c>
      <c r="Q319" t="s">
        <v>154</v>
      </c>
      <c r="S319" t="s">
        <v>230</v>
      </c>
      <c r="T319" t="s">
        <v>165</v>
      </c>
      <c r="U319">
        <v>8.211731743601014E-2</v>
      </c>
      <c r="V319" t="s">
        <v>154</v>
      </c>
    </row>
    <row r="320" spans="9:22" x14ac:dyDescent="0.45">
      <c r="I320" t="s">
        <v>177</v>
      </c>
      <c r="J320" t="s">
        <v>264</v>
      </c>
      <c r="K320">
        <v>6.1857346565639942E-3</v>
      </c>
      <c r="L320" t="s">
        <v>154</v>
      </c>
      <c r="N320" t="s">
        <v>206</v>
      </c>
      <c r="O320" t="s">
        <v>264</v>
      </c>
      <c r="P320">
        <v>6.487192373161651E-3</v>
      </c>
      <c r="Q320" t="s">
        <v>154</v>
      </c>
      <c r="S320" t="s">
        <v>230</v>
      </c>
      <c r="T320" t="s">
        <v>264</v>
      </c>
      <c r="U320">
        <v>1.0984097504685798E-2</v>
      </c>
      <c r="V320" t="s">
        <v>154</v>
      </c>
    </row>
    <row r="321" spans="9:22" x14ac:dyDescent="0.45">
      <c r="I321" t="s">
        <v>177</v>
      </c>
      <c r="J321" t="s">
        <v>265</v>
      </c>
      <c r="K321">
        <v>0</v>
      </c>
      <c r="L321" t="s">
        <v>154</v>
      </c>
      <c r="N321" t="s">
        <v>206</v>
      </c>
      <c r="O321" t="s">
        <v>265</v>
      </c>
      <c r="P321">
        <v>4.7289305798025091E-3</v>
      </c>
      <c r="Q321" t="s">
        <v>154</v>
      </c>
      <c r="S321" t="s">
        <v>230</v>
      </c>
      <c r="T321" t="s">
        <v>265</v>
      </c>
      <c r="U321">
        <v>1.0170251150504185E-2</v>
      </c>
      <c r="V321" t="s">
        <v>154</v>
      </c>
    </row>
    <row r="322" spans="9:22" x14ac:dyDescent="0.45">
      <c r="I322" t="s">
        <v>177</v>
      </c>
      <c r="J322" t="s">
        <v>266</v>
      </c>
      <c r="K322">
        <v>0</v>
      </c>
      <c r="L322" t="s">
        <v>154</v>
      </c>
      <c r="N322" t="s">
        <v>206</v>
      </c>
      <c r="O322" t="s">
        <v>266</v>
      </c>
      <c r="P322">
        <v>2.5217150992930822E-2</v>
      </c>
      <c r="Q322" t="s">
        <v>154</v>
      </c>
      <c r="S322" t="s">
        <v>230</v>
      </c>
      <c r="T322" t="s">
        <v>266</v>
      </c>
      <c r="U322">
        <v>5.1549233927139317E-2</v>
      </c>
      <c r="V322" t="s">
        <v>154</v>
      </c>
    </row>
    <row r="323" spans="9:22" x14ac:dyDescent="0.45">
      <c r="I323" t="s">
        <v>178</v>
      </c>
      <c r="J323" t="s">
        <v>153</v>
      </c>
      <c r="K323">
        <v>2.5126713502618297E-3</v>
      </c>
      <c r="L323" t="s">
        <v>154</v>
      </c>
      <c r="N323" t="s">
        <v>207</v>
      </c>
      <c r="O323" t="s">
        <v>153</v>
      </c>
      <c r="P323">
        <v>0.17647944139251392</v>
      </c>
      <c r="Q323" t="s">
        <v>154</v>
      </c>
      <c r="S323" t="s">
        <v>231</v>
      </c>
      <c r="T323" t="s">
        <v>153</v>
      </c>
      <c r="U323">
        <v>0.16238858373148804</v>
      </c>
      <c r="V323" t="s">
        <v>154</v>
      </c>
    </row>
    <row r="324" spans="9:22" x14ac:dyDescent="0.45">
      <c r="I324" t="s">
        <v>178</v>
      </c>
      <c r="J324" t="s">
        <v>155</v>
      </c>
      <c r="K324">
        <v>7.873135617801251E-2</v>
      </c>
      <c r="L324" t="s">
        <v>154</v>
      </c>
      <c r="N324" t="s">
        <v>207</v>
      </c>
      <c r="O324" t="s">
        <v>155</v>
      </c>
      <c r="P324">
        <v>5.0330266672934734E-2</v>
      </c>
      <c r="Q324" t="s">
        <v>154</v>
      </c>
      <c r="S324" t="s">
        <v>231</v>
      </c>
      <c r="T324" t="s">
        <v>155</v>
      </c>
      <c r="U324">
        <v>3.9581726003518711E-2</v>
      </c>
      <c r="V324" t="s">
        <v>154</v>
      </c>
    </row>
    <row r="325" spans="9:22" x14ac:dyDescent="0.45">
      <c r="I325" t="s">
        <v>178</v>
      </c>
      <c r="J325" t="s">
        <v>156</v>
      </c>
      <c r="K325">
        <v>0.51532756929648171</v>
      </c>
      <c r="L325" t="s">
        <v>154</v>
      </c>
      <c r="N325" t="s">
        <v>207</v>
      </c>
      <c r="O325" t="s">
        <v>156</v>
      </c>
      <c r="P325">
        <v>0.21934846728806534</v>
      </c>
      <c r="Q325" t="s">
        <v>154</v>
      </c>
      <c r="S325" t="s">
        <v>231</v>
      </c>
      <c r="T325" t="s">
        <v>156</v>
      </c>
      <c r="U325">
        <v>0.18718890538406571</v>
      </c>
      <c r="V325" t="s">
        <v>154</v>
      </c>
    </row>
    <row r="326" spans="9:22" x14ac:dyDescent="0.45">
      <c r="I326" t="s">
        <v>178</v>
      </c>
      <c r="J326" t="s">
        <v>255</v>
      </c>
      <c r="K326">
        <v>2.5555472240029457E-2</v>
      </c>
      <c r="L326" t="s">
        <v>154</v>
      </c>
      <c r="N326" t="s">
        <v>207</v>
      </c>
      <c r="O326" t="s">
        <v>255</v>
      </c>
      <c r="P326">
        <v>2.7704057833592248E-2</v>
      </c>
      <c r="Q326" t="s">
        <v>154</v>
      </c>
      <c r="S326" t="s">
        <v>231</v>
      </c>
      <c r="T326" t="s">
        <v>255</v>
      </c>
      <c r="U326">
        <v>2.6562158166467124E-2</v>
      </c>
      <c r="V326" t="s">
        <v>154</v>
      </c>
    </row>
    <row r="327" spans="9:22" x14ac:dyDescent="0.45">
      <c r="I327" t="s">
        <v>178</v>
      </c>
      <c r="J327" t="s">
        <v>256</v>
      </c>
      <c r="K327">
        <v>1.4379435880442945E-2</v>
      </c>
      <c r="L327" t="s">
        <v>154</v>
      </c>
      <c r="N327" t="s">
        <v>207</v>
      </c>
      <c r="O327" t="s">
        <v>256</v>
      </c>
      <c r="P327">
        <v>2.4609680594247587E-2</v>
      </c>
      <c r="Q327" t="s">
        <v>154</v>
      </c>
      <c r="S327" t="s">
        <v>231</v>
      </c>
      <c r="T327" t="s">
        <v>256</v>
      </c>
      <c r="U327">
        <v>2.3328367803727056E-2</v>
      </c>
      <c r="V327" t="s">
        <v>154</v>
      </c>
    </row>
    <row r="328" spans="9:22" x14ac:dyDescent="0.45">
      <c r="I328" t="s">
        <v>178</v>
      </c>
      <c r="J328" t="s">
        <v>257</v>
      </c>
      <c r="K328">
        <v>0</v>
      </c>
      <c r="L328" t="s">
        <v>154</v>
      </c>
      <c r="N328" t="s">
        <v>207</v>
      </c>
      <c r="O328" t="s">
        <v>257</v>
      </c>
      <c r="P328">
        <v>0.13737899005093174</v>
      </c>
      <c r="Q328" t="s">
        <v>154</v>
      </c>
      <c r="S328" t="s">
        <v>231</v>
      </c>
      <c r="T328" t="s">
        <v>257</v>
      </c>
      <c r="U328">
        <v>0.12878670411600315</v>
      </c>
      <c r="V328" t="s">
        <v>154</v>
      </c>
    </row>
    <row r="329" spans="9:22" x14ac:dyDescent="0.45">
      <c r="I329" t="s">
        <v>178</v>
      </c>
      <c r="J329" t="s">
        <v>157</v>
      </c>
      <c r="K329">
        <v>0</v>
      </c>
      <c r="L329" t="s">
        <v>154</v>
      </c>
      <c r="N329" t="s">
        <v>207</v>
      </c>
      <c r="O329" t="s">
        <v>157</v>
      </c>
      <c r="P329">
        <v>4.7128875756071248E-2</v>
      </c>
      <c r="Q329" t="s">
        <v>154</v>
      </c>
      <c r="S329" t="s">
        <v>231</v>
      </c>
      <c r="T329" t="s">
        <v>157</v>
      </c>
      <c r="U329">
        <v>2.7028607229656644E-2</v>
      </c>
      <c r="V329" t="s">
        <v>154</v>
      </c>
    </row>
    <row r="330" spans="9:22" x14ac:dyDescent="0.45">
      <c r="I330" t="s">
        <v>178</v>
      </c>
      <c r="J330" t="s">
        <v>158</v>
      </c>
      <c r="K330">
        <v>1.9492328866313191E-2</v>
      </c>
      <c r="L330" t="s">
        <v>154</v>
      </c>
      <c r="N330" t="s">
        <v>207</v>
      </c>
      <c r="O330" t="s">
        <v>158</v>
      </c>
      <c r="P330">
        <v>1.2452952590431495E-2</v>
      </c>
      <c r="Q330" t="s">
        <v>154</v>
      </c>
      <c r="S330" t="s">
        <v>231</v>
      </c>
      <c r="T330" t="s">
        <v>158</v>
      </c>
      <c r="U330">
        <v>7.5492779019997406E-3</v>
      </c>
      <c r="V330" t="s">
        <v>154</v>
      </c>
    </row>
    <row r="331" spans="9:22" x14ac:dyDescent="0.45">
      <c r="I331" t="s">
        <v>178</v>
      </c>
      <c r="J331" t="s">
        <v>159</v>
      </c>
      <c r="K331">
        <v>0.12258180583359525</v>
      </c>
      <c r="L331" t="s">
        <v>154</v>
      </c>
      <c r="N331" t="s">
        <v>207</v>
      </c>
      <c r="O331" t="s">
        <v>159</v>
      </c>
      <c r="P331">
        <v>5.7518195125883118E-2</v>
      </c>
      <c r="Q331" t="s">
        <v>154</v>
      </c>
      <c r="S331" t="s">
        <v>231</v>
      </c>
      <c r="T331" t="s">
        <v>159</v>
      </c>
      <c r="U331">
        <v>3.331992225136949E-2</v>
      </c>
      <c r="V331" t="s">
        <v>154</v>
      </c>
    </row>
    <row r="332" spans="9:22" x14ac:dyDescent="0.45">
      <c r="I332" t="s">
        <v>178</v>
      </c>
      <c r="J332" t="s">
        <v>258</v>
      </c>
      <c r="K332">
        <v>5.2251600247546224E-3</v>
      </c>
      <c r="L332" t="s">
        <v>154</v>
      </c>
      <c r="N332" t="s">
        <v>207</v>
      </c>
      <c r="O332" t="s">
        <v>258</v>
      </c>
      <c r="P332">
        <v>6.5919610571154074E-3</v>
      </c>
      <c r="Q332" t="s">
        <v>154</v>
      </c>
      <c r="S332" t="s">
        <v>231</v>
      </c>
      <c r="T332" t="s">
        <v>258</v>
      </c>
      <c r="U332">
        <v>4.5866776764137236E-3</v>
      </c>
      <c r="V332" t="s">
        <v>154</v>
      </c>
    </row>
    <row r="333" spans="9:22" x14ac:dyDescent="0.45">
      <c r="I333" t="s">
        <v>178</v>
      </c>
      <c r="J333" t="s">
        <v>259</v>
      </c>
      <c r="K333">
        <v>1.732862344492868E-3</v>
      </c>
      <c r="L333" t="s">
        <v>154</v>
      </c>
      <c r="N333" t="s">
        <v>207</v>
      </c>
      <c r="O333" t="s">
        <v>259</v>
      </c>
      <c r="P333">
        <v>6.3819322658446613E-3</v>
      </c>
      <c r="Q333" t="s">
        <v>154</v>
      </c>
      <c r="S333" t="s">
        <v>231</v>
      </c>
      <c r="T333" t="s">
        <v>259</v>
      </c>
      <c r="U333">
        <v>4.4124931884401246E-3</v>
      </c>
      <c r="V333" t="s">
        <v>154</v>
      </c>
    </row>
    <row r="334" spans="9:22" x14ac:dyDescent="0.45">
      <c r="I334" t="s">
        <v>178</v>
      </c>
      <c r="J334" t="s">
        <v>260</v>
      </c>
      <c r="K334">
        <v>0</v>
      </c>
      <c r="L334" t="s">
        <v>154</v>
      </c>
      <c r="N334" t="s">
        <v>207</v>
      </c>
      <c r="O334" t="s">
        <v>260</v>
      </c>
      <c r="P334">
        <v>2.9424736682514011E-2</v>
      </c>
      <c r="Q334" t="s">
        <v>154</v>
      </c>
      <c r="S334" t="s">
        <v>231</v>
      </c>
      <c r="T334" t="s">
        <v>260</v>
      </c>
      <c r="U334">
        <v>2.189125924749424E-2</v>
      </c>
      <c r="V334" t="s">
        <v>154</v>
      </c>
    </row>
    <row r="335" spans="9:22" x14ac:dyDescent="0.45">
      <c r="I335" t="s">
        <v>178</v>
      </c>
      <c r="J335" t="s">
        <v>160</v>
      </c>
      <c r="K335">
        <v>0</v>
      </c>
      <c r="L335" t="s">
        <v>154</v>
      </c>
      <c r="N335" t="s">
        <v>207</v>
      </c>
      <c r="O335" t="s">
        <v>160</v>
      </c>
      <c r="P335">
        <v>1.9522730697715273E-2</v>
      </c>
      <c r="Q335" t="s">
        <v>154</v>
      </c>
      <c r="S335" t="s">
        <v>231</v>
      </c>
      <c r="T335" t="s">
        <v>160</v>
      </c>
      <c r="U335">
        <v>3.3020738570847218E-2</v>
      </c>
      <c r="V335" t="s">
        <v>154</v>
      </c>
    </row>
    <row r="336" spans="9:22" x14ac:dyDescent="0.45">
      <c r="I336" t="s">
        <v>178</v>
      </c>
      <c r="J336" t="s">
        <v>161</v>
      </c>
      <c r="K336">
        <v>1.0086801245986064E-2</v>
      </c>
      <c r="L336" t="s">
        <v>154</v>
      </c>
      <c r="N336" t="s">
        <v>207</v>
      </c>
      <c r="O336" t="s">
        <v>161</v>
      </c>
      <c r="P336">
        <v>5.7852842927265079E-3</v>
      </c>
      <c r="Q336" t="s">
        <v>154</v>
      </c>
      <c r="S336" t="s">
        <v>231</v>
      </c>
      <c r="T336" t="s">
        <v>161</v>
      </c>
      <c r="U336">
        <v>8.8043911963811092E-3</v>
      </c>
      <c r="V336" t="s">
        <v>154</v>
      </c>
    </row>
    <row r="337" spans="9:22" x14ac:dyDescent="0.45">
      <c r="I337" t="s">
        <v>178</v>
      </c>
      <c r="J337" t="s">
        <v>162</v>
      </c>
      <c r="K337">
        <v>5.5922998294319223E-2</v>
      </c>
      <c r="L337" t="s">
        <v>154</v>
      </c>
      <c r="N337" t="s">
        <v>207</v>
      </c>
      <c r="O337" t="s">
        <v>162</v>
      </c>
      <c r="P337">
        <v>2.66088739306179E-2</v>
      </c>
      <c r="Q337" t="s">
        <v>154</v>
      </c>
      <c r="S337" t="s">
        <v>231</v>
      </c>
      <c r="T337" t="s">
        <v>162</v>
      </c>
      <c r="U337">
        <v>3.924199488177646E-2</v>
      </c>
      <c r="V337" t="s">
        <v>154</v>
      </c>
    </row>
    <row r="338" spans="9:22" x14ac:dyDescent="0.45">
      <c r="I338" t="s">
        <v>178</v>
      </c>
      <c r="J338" t="s">
        <v>261</v>
      </c>
      <c r="K338">
        <v>2.1283846301575794E-3</v>
      </c>
      <c r="L338" t="s">
        <v>154</v>
      </c>
      <c r="N338" t="s">
        <v>207</v>
      </c>
      <c r="O338" t="s">
        <v>261</v>
      </c>
      <c r="P338">
        <v>3.6484465397948916E-3</v>
      </c>
      <c r="Q338" t="s">
        <v>154</v>
      </c>
      <c r="S338" t="s">
        <v>231</v>
      </c>
      <c r="T338" t="s">
        <v>261</v>
      </c>
      <c r="U338">
        <v>5.1202519952377994E-3</v>
      </c>
      <c r="V338" t="s">
        <v>154</v>
      </c>
    </row>
    <row r="339" spans="9:22" x14ac:dyDescent="0.45">
      <c r="I339" t="s">
        <v>178</v>
      </c>
      <c r="J339" t="s">
        <v>262</v>
      </c>
      <c r="K339">
        <v>0</v>
      </c>
      <c r="L339" t="s">
        <v>154</v>
      </c>
      <c r="N339" t="s">
        <v>207</v>
      </c>
      <c r="O339" t="s">
        <v>262</v>
      </c>
      <c r="P339">
        <v>3.1972090078231643E-3</v>
      </c>
      <c r="Q339" t="s">
        <v>154</v>
      </c>
      <c r="S339" t="s">
        <v>231</v>
      </c>
      <c r="T339" t="s">
        <v>262</v>
      </c>
      <c r="U339">
        <v>4.3719496239131616E-3</v>
      </c>
      <c r="V339" t="s">
        <v>154</v>
      </c>
    </row>
    <row r="340" spans="9:22" x14ac:dyDescent="0.45">
      <c r="I340" t="s">
        <v>178</v>
      </c>
      <c r="J340" t="s">
        <v>263</v>
      </c>
      <c r="K340">
        <v>0</v>
      </c>
      <c r="L340" t="s">
        <v>154</v>
      </c>
      <c r="N340" t="s">
        <v>207</v>
      </c>
      <c r="O340" t="s">
        <v>263</v>
      </c>
      <c r="P340">
        <v>1.6118065952793512E-2</v>
      </c>
      <c r="Q340" t="s">
        <v>154</v>
      </c>
      <c r="S340" t="s">
        <v>231</v>
      </c>
      <c r="T340" t="s">
        <v>263</v>
      </c>
      <c r="U340">
        <v>2.4126505302475142E-2</v>
      </c>
      <c r="V340" t="s">
        <v>154</v>
      </c>
    </row>
    <row r="341" spans="9:22" x14ac:dyDescent="0.45">
      <c r="I341" t="s">
        <v>178</v>
      </c>
      <c r="J341" t="s">
        <v>163</v>
      </c>
      <c r="K341">
        <v>0</v>
      </c>
      <c r="L341" t="s">
        <v>154</v>
      </c>
      <c r="N341" t="s">
        <v>207</v>
      </c>
      <c r="O341" t="s">
        <v>163</v>
      </c>
      <c r="P341">
        <v>3.6220234791320881E-2</v>
      </c>
      <c r="Q341" t="s">
        <v>154</v>
      </c>
      <c r="S341" t="s">
        <v>231</v>
      </c>
      <c r="T341" t="s">
        <v>163</v>
      </c>
      <c r="U341">
        <v>6.3984612962249096E-2</v>
      </c>
      <c r="V341" t="s">
        <v>154</v>
      </c>
    </row>
    <row r="342" spans="9:22" x14ac:dyDescent="0.45">
      <c r="I342" t="s">
        <v>178</v>
      </c>
      <c r="J342" t="s">
        <v>164</v>
      </c>
      <c r="K342">
        <v>2.0869139862774101E-2</v>
      </c>
      <c r="L342" t="s">
        <v>154</v>
      </c>
      <c r="N342" t="s">
        <v>207</v>
      </c>
      <c r="O342" t="s">
        <v>164</v>
      </c>
      <c r="P342">
        <v>1.0139805808270383E-2</v>
      </c>
      <c r="Q342" t="s">
        <v>154</v>
      </c>
      <c r="S342" t="s">
        <v>231</v>
      </c>
      <c r="T342" t="s">
        <v>164</v>
      </c>
      <c r="U342">
        <v>1.7058950696783065E-2</v>
      </c>
      <c r="V342" t="s">
        <v>154</v>
      </c>
    </row>
    <row r="343" spans="9:22" x14ac:dyDescent="0.45">
      <c r="I343" t="s">
        <v>178</v>
      </c>
      <c r="J343" t="s">
        <v>165</v>
      </c>
      <c r="K343">
        <v>0.1192184041611027</v>
      </c>
      <c r="L343" t="s">
        <v>154</v>
      </c>
      <c r="N343" t="s">
        <v>207</v>
      </c>
      <c r="O343" t="s">
        <v>165</v>
      </c>
      <c r="P343">
        <v>4.4892143237408498E-2</v>
      </c>
      <c r="Q343" t="s">
        <v>154</v>
      </c>
      <c r="S343" t="s">
        <v>231</v>
      </c>
      <c r="T343" t="s">
        <v>165</v>
      </c>
      <c r="U343">
        <v>7.4649372797268812E-2</v>
      </c>
      <c r="V343" t="s">
        <v>154</v>
      </c>
    </row>
    <row r="344" spans="9:22" x14ac:dyDescent="0.45">
      <c r="I344" t="s">
        <v>178</v>
      </c>
      <c r="J344" t="s">
        <v>264</v>
      </c>
      <c r="K344">
        <v>6.2356097912793715E-3</v>
      </c>
      <c r="L344" t="s">
        <v>154</v>
      </c>
      <c r="N344" t="s">
        <v>207</v>
      </c>
      <c r="O344" t="s">
        <v>264</v>
      </c>
      <c r="P344">
        <v>5.8119515089670301E-3</v>
      </c>
      <c r="Q344" t="s">
        <v>154</v>
      </c>
      <c r="S344" t="s">
        <v>231</v>
      </c>
      <c r="T344" t="s">
        <v>264</v>
      </c>
      <c r="U344">
        <v>9.6703683579768239E-3</v>
      </c>
      <c r="V344" t="s">
        <v>154</v>
      </c>
    </row>
    <row r="345" spans="9:22" x14ac:dyDescent="0.45">
      <c r="I345" t="s">
        <v>178</v>
      </c>
      <c r="J345" t="s">
        <v>265</v>
      </c>
      <c r="K345">
        <v>0</v>
      </c>
      <c r="L345" t="s">
        <v>154</v>
      </c>
      <c r="N345" t="s">
        <v>207</v>
      </c>
      <c r="O345" t="s">
        <v>265</v>
      </c>
      <c r="P345">
        <v>4.5592486034991327E-3</v>
      </c>
      <c r="Q345" t="s">
        <v>154</v>
      </c>
      <c r="S345" t="s">
        <v>231</v>
      </c>
      <c r="T345" t="s">
        <v>265</v>
      </c>
      <c r="U345">
        <v>8.0759667847604497E-3</v>
      </c>
      <c r="V345" t="s">
        <v>154</v>
      </c>
    </row>
    <row r="346" spans="9:22" x14ac:dyDescent="0.45">
      <c r="I346" t="s">
        <v>178</v>
      </c>
      <c r="J346" t="s">
        <v>266</v>
      </c>
      <c r="K346">
        <v>0</v>
      </c>
      <c r="L346" t="s">
        <v>154</v>
      </c>
      <c r="N346" t="s">
        <v>207</v>
      </c>
      <c r="O346" t="s">
        <v>266</v>
      </c>
      <c r="P346">
        <v>2.8146448318920502E-2</v>
      </c>
      <c r="Q346" t="s">
        <v>154</v>
      </c>
      <c r="S346" t="s">
        <v>231</v>
      </c>
      <c r="T346" t="s">
        <v>266</v>
      </c>
      <c r="U346">
        <v>4.5250214129685794E-2</v>
      </c>
      <c r="V346" t="s">
        <v>154</v>
      </c>
    </row>
    <row r="347" spans="9:22" x14ac:dyDescent="0.45">
      <c r="I347" t="s">
        <v>179</v>
      </c>
      <c r="J347" t="s">
        <v>153</v>
      </c>
      <c r="K347">
        <v>2.5622470437107782E-3</v>
      </c>
      <c r="L347" t="s">
        <v>154</v>
      </c>
      <c r="N347" t="s">
        <v>208</v>
      </c>
      <c r="O347" t="s">
        <v>153</v>
      </c>
      <c r="P347">
        <v>0.14600578450425247</v>
      </c>
      <c r="Q347" t="s">
        <v>154</v>
      </c>
      <c r="S347" t="s">
        <v>232</v>
      </c>
      <c r="T347" t="s">
        <v>153</v>
      </c>
      <c r="U347">
        <v>0.16105257945714813</v>
      </c>
      <c r="V347" t="s">
        <v>154</v>
      </c>
    </row>
    <row r="348" spans="9:22" x14ac:dyDescent="0.45">
      <c r="I348" t="s">
        <v>179</v>
      </c>
      <c r="J348" t="s">
        <v>155</v>
      </c>
      <c r="K348">
        <v>6.6008823878643999E-2</v>
      </c>
      <c r="L348" t="s">
        <v>154</v>
      </c>
      <c r="N348" t="s">
        <v>208</v>
      </c>
      <c r="O348" t="s">
        <v>155</v>
      </c>
      <c r="P348">
        <v>3.6122127015890543E-2</v>
      </c>
      <c r="Q348" t="s">
        <v>154</v>
      </c>
      <c r="S348" t="s">
        <v>232</v>
      </c>
      <c r="T348" t="s">
        <v>155</v>
      </c>
      <c r="U348">
        <v>4.5481411344762274E-2</v>
      </c>
      <c r="V348" t="s">
        <v>154</v>
      </c>
    </row>
    <row r="349" spans="9:22" x14ac:dyDescent="0.45">
      <c r="I349" t="s">
        <v>179</v>
      </c>
      <c r="J349" t="s">
        <v>156</v>
      </c>
      <c r="K349">
        <v>0.58415231564757508</v>
      </c>
      <c r="L349" t="s">
        <v>154</v>
      </c>
      <c r="N349" t="s">
        <v>208</v>
      </c>
      <c r="O349" t="s">
        <v>156</v>
      </c>
      <c r="P349">
        <v>0.27219492478653068</v>
      </c>
      <c r="Q349" t="s">
        <v>154</v>
      </c>
      <c r="S349" t="s">
        <v>232</v>
      </c>
      <c r="T349" t="s">
        <v>156</v>
      </c>
      <c r="U349">
        <v>0.19821795547191901</v>
      </c>
      <c r="V349" t="s">
        <v>154</v>
      </c>
    </row>
    <row r="350" spans="9:22" x14ac:dyDescent="0.45">
      <c r="I350" t="s">
        <v>179</v>
      </c>
      <c r="J350" t="s">
        <v>255</v>
      </c>
      <c r="K350">
        <v>3.4245806087265997E-2</v>
      </c>
      <c r="L350" t="s">
        <v>154</v>
      </c>
      <c r="N350" t="s">
        <v>208</v>
      </c>
      <c r="O350" t="s">
        <v>255</v>
      </c>
      <c r="P350">
        <v>3.4074265079668944E-2</v>
      </c>
      <c r="Q350" t="s">
        <v>154</v>
      </c>
      <c r="S350" t="s">
        <v>232</v>
      </c>
      <c r="T350" t="s">
        <v>255</v>
      </c>
      <c r="U350">
        <v>2.6343639125179737E-2</v>
      </c>
      <c r="V350" t="s">
        <v>154</v>
      </c>
    </row>
    <row r="351" spans="9:22" x14ac:dyDescent="0.45">
      <c r="I351" t="s">
        <v>179</v>
      </c>
      <c r="J351" t="s">
        <v>256</v>
      </c>
      <c r="K351">
        <v>1.8489967860125387E-2</v>
      </c>
      <c r="L351" t="s">
        <v>154</v>
      </c>
      <c r="N351" t="s">
        <v>208</v>
      </c>
      <c r="O351" t="s">
        <v>256</v>
      </c>
      <c r="P351">
        <v>2.4294735135350461E-2</v>
      </c>
      <c r="Q351" t="s">
        <v>154</v>
      </c>
      <c r="S351" t="s">
        <v>232</v>
      </c>
      <c r="T351" t="s">
        <v>256</v>
      </c>
      <c r="U351">
        <v>2.2944196339562083E-2</v>
      </c>
      <c r="V351" t="s">
        <v>154</v>
      </c>
    </row>
    <row r="352" spans="9:22" x14ac:dyDescent="0.45">
      <c r="I352" t="s">
        <v>179</v>
      </c>
      <c r="J352" t="s">
        <v>257</v>
      </c>
      <c r="K352">
        <v>0</v>
      </c>
      <c r="L352" t="s">
        <v>154</v>
      </c>
      <c r="N352" t="s">
        <v>208</v>
      </c>
      <c r="O352" t="s">
        <v>257</v>
      </c>
      <c r="P352">
        <v>0.11491907800231836</v>
      </c>
      <c r="Q352" t="s">
        <v>154</v>
      </c>
      <c r="S352" t="s">
        <v>232</v>
      </c>
      <c r="T352" t="s">
        <v>257</v>
      </c>
      <c r="U352">
        <v>0.12766752555272082</v>
      </c>
      <c r="V352" t="s">
        <v>154</v>
      </c>
    </row>
    <row r="353" spans="9:22" x14ac:dyDescent="0.45">
      <c r="I353" t="s">
        <v>179</v>
      </c>
      <c r="J353" t="s">
        <v>157</v>
      </c>
      <c r="K353">
        <v>0</v>
      </c>
      <c r="L353" t="s">
        <v>154</v>
      </c>
      <c r="N353" t="s">
        <v>208</v>
      </c>
      <c r="O353" t="s">
        <v>157</v>
      </c>
      <c r="P353">
        <v>2.7607169062520791E-2</v>
      </c>
      <c r="Q353" t="s">
        <v>154</v>
      </c>
      <c r="S353" t="s">
        <v>232</v>
      </c>
      <c r="T353" t="s">
        <v>157</v>
      </c>
      <c r="U353">
        <v>2.4551428254345656E-2</v>
      </c>
      <c r="V353" t="s">
        <v>154</v>
      </c>
    </row>
    <row r="354" spans="9:22" x14ac:dyDescent="0.45">
      <c r="I354" t="s">
        <v>179</v>
      </c>
      <c r="J354" t="s">
        <v>158</v>
      </c>
      <c r="K354">
        <v>1.3983512970391012E-2</v>
      </c>
      <c r="L354" t="s">
        <v>154</v>
      </c>
      <c r="N354" t="s">
        <v>208</v>
      </c>
      <c r="O354" t="s">
        <v>158</v>
      </c>
      <c r="P354">
        <v>7.3739186396932907E-3</v>
      </c>
      <c r="Q354" t="s">
        <v>154</v>
      </c>
      <c r="S354" t="s">
        <v>232</v>
      </c>
      <c r="T354" t="s">
        <v>158</v>
      </c>
      <c r="U354">
        <v>6.3557713724427213E-3</v>
      </c>
      <c r="V354" t="s">
        <v>154</v>
      </c>
    </row>
    <row r="355" spans="9:22" x14ac:dyDescent="0.45">
      <c r="I355" t="s">
        <v>179</v>
      </c>
      <c r="J355" t="s">
        <v>159</v>
      </c>
      <c r="K355">
        <v>0.11504730262214784</v>
      </c>
      <c r="L355" t="s">
        <v>154</v>
      </c>
      <c r="N355" t="s">
        <v>208</v>
      </c>
      <c r="O355" t="s">
        <v>159</v>
      </c>
      <c r="P355">
        <v>4.4594621993460197E-2</v>
      </c>
      <c r="Q355" t="s">
        <v>154</v>
      </c>
      <c r="S355" t="s">
        <v>232</v>
      </c>
      <c r="T355" t="s">
        <v>159</v>
      </c>
      <c r="U355">
        <v>2.6489402082926505E-2</v>
      </c>
      <c r="V355" t="s">
        <v>154</v>
      </c>
    </row>
    <row r="356" spans="9:22" x14ac:dyDescent="0.45">
      <c r="I356" t="s">
        <v>179</v>
      </c>
      <c r="J356" t="s">
        <v>258</v>
      </c>
      <c r="K356">
        <v>5.4461602447646662E-3</v>
      </c>
      <c r="L356" t="s">
        <v>154</v>
      </c>
      <c r="N356" t="s">
        <v>208</v>
      </c>
      <c r="O356" t="s">
        <v>258</v>
      </c>
      <c r="P356">
        <v>6.1598078839312327E-3</v>
      </c>
      <c r="Q356" t="s">
        <v>154</v>
      </c>
      <c r="S356" t="s">
        <v>232</v>
      </c>
      <c r="T356" t="s">
        <v>258</v>
      </c>
      <c r="U356">
        <v>3.6204790655234775E-3</v>
      </c>
      <c r="V356" t="s">
        <v>154</v>
      </c>
    </row>
    <row r="357" spans="9:22" x14ac:dyDescent="0.45">
      <c r="I357" t="s">
        <v>179</v>
      </c>
      <c r="J357" t="s">
        <v>259</v>
      </c>
      <c r="K357">
        <v>2.7157428175214734E-3</v>
      </c>
      <c r="L357" t="s">
        <v>154</v>
      </c>
      <c r="N357" t="s">
        <v>208</v>
      </c>
      <c r="O357" t="s">
        <v>259</v>
      </c>
      <c r="P357">
        <v>5.1008751882285451E-3</v>
      </c>
      <c r="Q357" t="s">
        <v>154</v>
      </c>
      <c r="S357" t="s">
        <v>232</v>
      </c>
      <c r="T357" t="s">
        <v>259</v>
      </c>
      <c r="U357">
        <v>3.8027423081857395E-3</v>
      </c>
      <c r="V357" t="s">
        <v>154</v>
      </c>
    </row>
    <row r="358" spans="9:22" x14ac:dyDescent="0.45">
      <c r="I358" t="s">
        <v>179</v>
      </c>
      <c r="J358" t="s">
        <v>260</v>
      </c>
      <c r="K358">
        <v>0</v>
      </c>
      <c r="L358" t="s">
        <v>154</v>
      </c>
      <c r="N358" t="s">
        <v>208</v>
      </c>
      <c r="O358" t="s">
        <v>260</v>
      </c>
      <c r="P358">
        <v>2.2447026844747222E-2</v>
      </c>
      <c r="Q358" t="s">
        <v>154</v>
      </c>
      <c r="S358" t="s">
        <v>232</v>
      </c>
      <c r="T358" t="s">
        <v>260</v>
      </c>
      <c r="U358">
        <v>1.8893228724994795E-2</v>
      </c>
      <c r="V358" t="s">
        <v>154</v>
      </c>
    </row>
    <row r="359" spans="9:22" x14ac:dyDescent="0.45">
      <c r="I359" t="s">
        <v>179</v>
      </c>
      <c r="J359" t="s">
        <v>160</v>
      </c>
      <c r="K359">
        <v>0</v>
      </c>
      <c r="L359" t="s">
        <v>154</v>
      </c>
      <c r="N359" t="s">
        <v>208</v>
      </c>
      <c r="O359" t="s">
        <v>160</v>
      </c>
      <c r="P359">
        <v>2.3397932281132235E-2</v>
      </c>
      <c r="Q359" t="s">
        <v>154</v>
      </c>
      <c r="S359" t="s">
        <v>232</v>
      </c>
      <c r="T359" t="s">
        <v>160</v>
      </c>
      <c r="U359">
        <v>3.7502459916339659E-2</v>
      </c>
      <c r="V359" t="s">
        <v>154</v>
      </c>
    </row>
    <row r="360" spans="9:22" x14ac:dyDescent="0.45">
      <c r="I360" t="s">
        <v>179</v>
      </c>
      <c r="J360" t="s">
        <v>161</v>
      </c>
      <c r="K360">
        <v>7.538052333724456E-3</v>
      </c>
      <c r="L360" t="s">
        <v>154</v>
      </c>
      <c r="N360" t="s">
        <v>208</v>
      </c>
      <c r="O360" t="s">
        <v>161</v>
      </c>
      <c r="P360">
        <v>6.2598595586786463E-3</v>
      </c>
      <c r="Q360" t="s">
        <v>154</v>
      </c>
      <c r="S360" t="s">
        <v>232</v>
      </c>
      <c r="T360" t="s">
        <v>161</v>
      </c>
      <c r="U360">
        <v>1.0900752537423064E-2</v>
      </c>
      <c r="V360" t="s">
        <v>154</v>
      </c>
    </row>
    <row r="361" spans="9:22" x14ac:dyDescent="0.45">
      <c r="I361" t="s">
        <v>179</v>
      </c>
      <c r="J361" t="s">
        <v>162</v>
      </c>
      <c r="K361">
        <v>5.9675435810369715E-2</v>
      </c>
      <c r="L361" t="s">
        <v>154</v>
      </c>
      <c r="N361" t="s">
        <v>208</v>
      </c>
      <c r="O361" t="s">
        <v>162</v>
      </c>
      <c r="P361">
        <v>4.0472088057950266E-2</v>
      </c>
      <c r="Q361" t="s">
        <v>154</v>
      </c>
      <c r="S361" t="s">
        <v>232</v>
      </c>
      <c r="T361" t="s">
        <v>162</v>
      </c>
      <c r="U361">
        <v>4.2219536392674291E-2</v>
      </c>
      <c r="V361" t="s">
        <v>154</v>
      </c>
    </row>
    <row r="362" spans="9:22" x14ac:dyDescent="0.45">
      <c r="I362" t="s">
        <v>179</v>
      </c>
      <c r="J362" t="s">
        <v>261</v>
      </c>
      <c r="K362">
        <v>3.444821063100208E-3</v>
      </c>
      <c r="L362" t="s">
        <v>154</v>
      </c>
      <c r="N362" t="s">
        <v>208</v>
      </c>
      <c r="O362" t="s">
        <v>261</v>
      </c>
      <c r="P362">
        <v>4.5189087825784052E-3</v>
      </c>
      <c r="Q362" t="s">
        <v>154</v>
      </c>
      <c r="S362" t="s">
        <v>232</v>
      </c>
      <c r="T362" t="s">
        <v>261</v>
      </c>
      <c r="U362">
        <v>5.2570634344077495E-3</v>
      </c>
      <c r="V362" t="s">
        <v>154</v>
      </c>
    </row>
    <row r="363" spans="9:22" x14ac:dyDescent="0.45">
      <c r="I363" t="s">
        <v>179</v>
      </c>
      <c r="J363" t="s">
        <v>262</v>
      </c>
      <c r="K363">
        <v>0</v>
      </c>
      <c r="L363" t="s">
        <v>154</v>
      </c>
      <c r="N363" t="s">
        <v>208</v>
      </c>
      <c r="O363" t="s">
        <v>262</v>
      </c>
      <c r="P363">
        <v>3.1517690008229546E-3</v>
      </c>
      <c r="Q363" t="s">
        <v>154</v>
      </c>
      <c r="S363" t="s">
        <v>232</v>
      </c>
      <c r="T363" t="s">
        <v>262</v>
      </c>
      <c r="U363">
        <v>4.6820296558954594E-3</v>
      </c>
      <c r="V363" t="s">
        <v>154</v>
      </c>
    </row>
    <row r="364" spans="9:22" x14ac:dyDescent="0.45">
      <c r="I364" t="s">
        <v>179</v>
      </c>
      <c r="J364" t="s">
        <v>263</v>
      </c>
      <c r="K364">
        <v>0</v>
      </c>
      <c r="L364" t="s">
        <v>154</v>
      </c>
      <c r="N364" t="s">
        <v>208</v>
      </c>
      <c r="O364" t="s">
        <v>263</v>
      </c>
      <c r="P364">
        <v>1.5712714626562364E-2</v>
      </c>
      <c r="Q364" t="s">
        <v>154</v>
      </c>
      <c r="S364" t="s">
        <v>232</v>
      </c>
      <c r="T364" t="s">
        <v>263</v>
      </c>
      <c r="U364">
        <v>2.8388943685893061E-2</v>
      </c>
      <c r="V364" t="s">
        <v>154</v>
      </c>
    </row>
    <row r="365" spans="9:22" x14ac:dyDescent="0.45">
      <c r="I365" t="s">
        <v>179</v>
      </c>
      <c r="J365" t="s">
        <v>163</v>
      </c>
      <c r="K365">
        <v>0</v>
      </c>
      <c r="L365" t="s">
        <v>154</v>
      </c>
      <c r="N365" t="s">
        <v>208</v>
      </c>
      <c r="O365" t="s">
        <v>163</v>
      </c>
      <c r="P365">
        <v>4.318348899925982E-2</v>
      </c>
      <c r="Q365" t="s">
        <v>154</v>
      </c>
      <c r="S365" t="s">
        <v>232</v>
      </c>
      <c r="T365" t="s">
        <v>163</v>
      </c>
      <c r="U365">
        <v>6.0002844945555384E-2</v>
      </c>
      <c r="V365" t="s">
        <v>154</v>
      </c>
    </row>
    <row r="366" spans="9:22" x14ac:dyDescent="0.45">
      <c r="I366" t="s">
        <v>179</v>
      </c>
      <c r="J366" t="s">
        <v>164</v>
      </c>
      <c r="K366">
        <v>6.3366352612234198E-3</v>
      </c>
      <c r="L366" t="s">
        <v>154</v>
      </c>
      <c r="N366" t="s">
        <v>208</v>
      </c>
      <c r="O366" t="s">
        <v>164</v>
      </c>
      <c r="P366">
        <v>9.28444657899926E-3</v>
      </c>
      <c r="Q366" t="s">
        <v>154</v>
      </c>
      <c r="S366" t="s">
        <v>232</v>
      </c>
      <c r="T366" t="s">
        <v>164</v>
      </c>
      <c r="U366">
        <v>1.6005770771198614E-2</v>
      </c>
      <c r="V366" t="s">
        <v>154</v>
      </c>
    </row>
    <row r="367" spans="9:22" x14ac:dyDescent="0.45">
      <c r="I367" t="s">
        <v>179</v>
      </c>
      <c r="J367" t="s">
        <v>165</v>
      </c>
      <c r="K367">
        <v>7.6750671035807877E-2</v>
      </c>
      <c r="L367" t="s">
        <v>154</v>
      </c>
      <c r="N367" t="s">
        <v>208</v>
      </c>
      <c r="O367" t="s">
        <v>165</v>
      </c>
      <c r="P367">
        <v>7.6038562280957886E-2</v>
      </c>
      <c r="Q367" t="s">
        <v>154</v>
      </c>
      <c r="S367" t="s">
        <v>232</v>
      </c>
      <c r="T367" t="s">
        <v>165</v>
      </c>
      <c r="U367">
        <v>7.0353724386573682E-2</v>
      </c>
      <c r="V367" t="s">
        <v>154</v>
      </c>
    </row>
    <row r="368" spans="9:22" x14ac:dyDescent="0.45">
      <c r="I368" t="s">
        <v>179</v>
      </c>
      <c r="J368" t="s">
        <v>264</v>
      </c>
      <c r="K368">
        <v>3.6025053236258984E-3</v>
      </c>
      <c r="L368" t="s">
        <v>154</v>
      </c>
      <c r="N368" t="s">
        <v>208</v>
      </c>
      <c r="O368" t="s">
        <v>264</v>
      </c>
      <c r="P368">
        <v>9.0858876508080923E-3</v>
      </c>
      <c r="Q368" t="s">
        <v>154</v>
      </c>
      <c r="S368" t="s">
        <v>232</v>
      </c>
      <c r="T368" t="s">
        <v>264</v>
      </c>
      <c r="U368">
        <v>9.5430219437748591E-3</v>
      </c>
      <c r="V368" t="s">
        <v>154</v>
      </c>
    </row>
    <row r="369" spans="9:22" x14ac:dyDescent="0.45">
      <c r="I369" t="s">
        <v>179</v>
      </c>
      <c r="J369" t="s">
        <v>265</v>
      </c>
      <c r="K369">
        <v>0</v>
      </c>
      <c r="L369" t="s">
        <v>154</v>
      </c>
      <c r="N369" t="s">
        <v>208</v>
      </c>
      <c r="O369" t="s">
        <v>265</v>
      </c>
      <c r="P369">
        <v>4.013462429191969E-3</v>
      </c>
      <c r="Q369" t="s">
        <v>154</v>
      </c>
      <c r="S369" t="s">
        <v>232</v>
      </c>
      <c r="T369" t="s">
        <v>265</v>
      </c>
      <c r="U369">
        <v>7.0565413302583011E-3</v>
      </c>
      <c r="V369" t="s">
        <v>154</v>
      </c>
    </row>
    <row r="370" spans="9:22" x14ac:dyDescent="0.45">
      <c r="I370" t="s">
        <v>179</v>
      </c>
      <c r="J370" t="s">
        <v>266</v>
      </c>
      <c r="K370">
        <v>0</v>
      </c>
      <c r="L370" t="s">
        <v>154</v>
      </c>
      <c r="N370" t="s">
        <v>208</v>
      </c>
      <c r="O370" t="s">
        <v>266</v>
      </c>
      <c r="P370">
        <v>2.3986545616467552E-2</v>
      </c>
      <c r="Q370" t="s">
        <v>154</v>
      </c>
      <c r="S370" t="s">
        <v>232</v>
      </c>
      <c r="T370" t="s">
        <v>266</v>
      </c>
      <c r="U370">
        <v>4.2666951900294306E-2</v>
      </c>
      <c r="V370" t="s">
        <v>154</v>
      </c>
    </row>
    <row r="371" spans="9:22" x14ac:dyDescent="0.45">
      <c r="I371" t="s">
        <v>180</v>
      </c>
      <c r="J371" t="s">
        <v>153</v>
      </c>
      <c r="K371">
        <v>4.5298696537576736E-3</v>
      </c>
      <c r="L371" t="s">
        <v>154</v>
      </c>
      <c r="N371" t="s">
        <v>209</v>
      </c>
      <c r="O371" t="s">
        <v>153</v>
      </c>
      <c r="P371">
        <v>0.14977315693173623</v>
      </c>
      <c r="Q371" t="s">
        <v>154</v>
      </c>
      <c r="S371" t="s">
        <v>233</v>
      </c>
      <c r="T371" t="s">
        <v>153</v>
      </c>
      <c r="U371">
        <v>0.1746845084856124</v>
      </c>
      <c r="V371" t="s">
        <v>154</v>
      </c>
    </row>
    <row r="372" spans="9:22" x14ac:dyDescent="0.45">
      <c r="I372" t="s">
        <v>180</v>
      </c>
      <c r="J372" t="s">
        <v>155</v>
      </c>
      <c r="K372">
        <v>7.1518486300272605E-2</v>
      </c>
      <c r="L372" t="s">
        <v>154</v>
      </c>
      <c r="N372" t="s">
        <v>209</v>
      </c>
      <c r="O372" t="s">
        <v>155</v>
      </c>
      <c r="P372">
        <v>4.469624724288139E-2</v>
      </c>
      <c r="Q372" t="s">
        <v>154</v>
      </c>
      <c r="S372" t="s">
        <v>233</v>
      </c>
      <c r="T372" t="s">
        <v>155</v>
      </c>
      <c r="U372">
        <v>4.9532470632801584E-2</v>
      </c>
      <c r="V372" t="s">
        <v>154</v>
      </c>
    </row>
    <row r="373" spans="9:22" x14ac:dyDescent="0.45">
      <c r="I373" t="s">
        <v>180</v>
      </c>
      <c r="J373" t="s">
        <v>156</v>
      </c>
      <c r="K373">
        <v>0.57722729481917479</v>
      </c>
      <c r="L373" t="s">
        <v>154</v>
      </c>
      <c r="N373" t="s">
        <v>209</v>
      </c>
      <c r="O373" t="s">
        <v>156</v>
      </c>
      <c r="P373">
        <v>0.23089656329000025</v>
      </c>
      <c r="Q373" t="s">
        <v>154</v>
      </c>
      <c r="S373" t="s">
        <v>233</v>
      </c>
      <c r="T373" t="s">
        <v>156</v>
      </c>
      <c r="U373">
        <v>0.19418689074128587</v>
      </c>
      <c r="V373" t="s">
        <v>154</v>
      </c>
    </row>
    <row r="374" spans="9:22" x14ac:dyDescent="0.45">
      <c r="I374" t="s">
        <v>180</v>
      </c>
      <c r="J374" t="s">
        <v>255</v>
      </c>
      <c r="K374">
        <v>3.6743639956847755E-2</v>
      </c>
      <c r="L374" t="s">
        <v>154</v>
      </c>
      <c r="N374" t="s">
        <v>209</v>
      </c>
      <c r="O374" t="s">
        <v>255</v>
      </c>
      <c r="P374">
        <v>2.6819253103879118E-2</v>
      </c>
      <c r="Q374" t="s">
        <v>154</v>
      </c>
      <c r="S374" t="s">
        <v>233</v>
      </c>
      <c r="T374" t="s">
        <v>255</v>
      </c>
      <c r="U374">
        <v>2.4228123183194301E-2</v>
      </c>
      <c r="V374" t="s">
        <v>154</v>
      </c>
    </row>
    <row r="375" spans="9:22" x14ac:dyDescent="0.45">
      <c r="I375" t="s">
        <v>180</v>
      </c>
      <c r="J375" t="s">
        <v>256</v>
      </c>
      <c r="K375">
        <v>2.0046424825295558E-2</v>
      </c>
      <c r="L375" t="s">
        <v>154</v>
      </c>
      <c r="N375" t="s">
        <v>209</v>
      </c>
      <c r="O375" t="s">
        <v>256</v>
      </c>
      <c r="P375">
        <v>2.4008829764759963E-2</v>
      </c>
      <c r="Q375" t="s">
        <v>154</v>
      </c>
      <c r="S375" t="s">
        <v>233</v>
      </c>
      <c r="T375" t="s">
        <v>256</v>
      </c>
      <c r="U375">
        <v>2.1267269140417603E-2</v>
      </c>
      <c r="V375" t="s">
        <v>154</v>
      </c>
    </row>
    <row r="376" spans="9:22" x14ac:dyDescent="0.45">
      <c r="I376" t="s">
        <v>180</v>
      </c>
      <c r="J376" t="s">
        <v>257</v>
      </c>
      <c r="K376">
        <v>0</v>
      </c>
      <c r="L376" t="s">
        <v>154</v>
      </c>
      <c r="N376" t="s">
        <v>209</v>
      </c>
      <c r="O376" t="s">
        <v>257</v>
      </c>
      <c r="P376">
        <v>0.12490120362742657</v>
      </c>
      <c r="Q376" t="s">
        <v>154</v>
      </c>
      <c r="S376" t="s">
        <v>233</v>
      </c>
      <c r="T376" t="s">
        <v>257</v>
      </c>
      <c r="U376">
        <v>0.12840829683962332</v>
      </c>
      <c r="V376" t="s">
        <v>154</v>
      </c>
    </row>
    <row r="377" spans="9:22" x14ac:dyDescent="0.45">
      <c r="I377" t="s">
        <v>180</v>
      </c>
      <c r="J377" t="s">
        <v>157</v>
      </c>
      <c r="K377">
        <v>0</v>
      </c>
      <c r="L377" t="s">
        <v>154</v>
      </c>
      <c r="N377" t="s">
        <v>209</v>
      </c>
      <c r="O377" t="s">
        <v>157</v>
      </c>
      <c r="P377">
        <v>3.7820212265310398E-2</v>
      </c>
      <c r="Q377" t="s">
        <v>154</v>
      </c>
      <c r="S377" t="s">
        <v>233</v>
      </c>
      <c r="T377" t="s">
        <v>157</v>
      </c>
      <c r="U377">
        <v>3.3795980133452988E-2</v>
      </c>
      <c r="V377" t="s">
        <v>154</v>
      </c>
    </row>
    <row r="378" spans="9:22" x14ac:dyDescent="0.45">
      <c r="I378" t="s">
        <v>180</v>
      </c>
      <c r="J378" t="s">
        <v>158</v>
      </c>
      <c r="K378">
        <v>1.5226462007881691E-2</v>
      </c>
      <c r="L378" t="s">
        <v>154</v>
      </c>
      <c r="N378" t="s">
        <v>209</v>
      </c>
      <c r="O378" t="s">
        <v>158</v>
      </c>
      <c r="P378">
        <v>1.0261640336811696E-2</v>
      </c>
      <c r="Q378" t="s">
        <v>154</v>
      </c>
      <c r="S378" t="s">
        <v>233</v>
      </c>
      <c r="T378" t="s">
        <v>158</v>
      </c>
      <c r="U378">
        <v>9.001815888247347E-3</v>
      </c>
      <c r="V378" t="s">
        <v>154</v>
      </c>
    </row>
    <row r="379" spans="9:22" x14ac:dyDescent="0.45">
      <c r="I379" t="s">
        <v>180</v>
      </c>
      <c r="J379" t="s">
        <v>159</v>
      </c>
      <c r="K379">
        <v>0.11862300164109593</v>
      </c>
      <c r="L379" t="s">
        <v>154</v>
      </c>
      <c r="N379" t="s">
        <v>209</v>
      </c>
      <c r="O379" t="s">
        <v>159</v>
      </c>
      <c r="P379">
        <v>4.5815776198011297E-2</v>
      </c>
      <c r="Q379" t="s">
        <v>154</v>
      </c>
      <c r="S379" t="s">
        <v>233</v>
      </c>
      <c r="T379" t="s">
        <v>159</v>
      </c>
      <c r="U379">
        <v>3.6182626610269358E-2</v>
      </c>
      <c r="V379" t="s">
        <v>154</v>
      </c>
    </row>
    <row r="380" spans="9:22" x14ac:dyDescent="0.45">
      <c r="I380" t="s">
        <v>180</v>
      </c>
      <c r="J380" t="s">
        <v>258</v>
      </c>
      <c r="K380">
        <v>6.2244382222525338E-3</v>
      </c>
      <c r="L380" t="s">
        <v>154</v>
      </c>
      <c r="N380" t="s">
        <v>209</v>
      </c>
      <c r="O380" t="s">
        <v>258</v>
      </c>
      <c r="P380">
        <v>5.0986477677095821E-3</v>
      </c>
      <c r="Q380" t="s">
        <v>154</v>
      </c>
      <c r="S380" t="s">
        <v>233</v>
      </c>
      <c r="T380" t="s">
        <v>258</v>
      </c>
      <c r="U380">
        <v>4.1647248385797211E-3</v>
      </c>
      <c r="V380" t="s">
        <v>154</v>
      </c>
    </row>
    <row r="381" spans="9:22" x14ac:dyDescent="0.45">
      <c r="I381" t="s">
        <v>180</v>
      </c>
      <c r="J381" t="s">
        <v>259</v>
      </c>
      <c r="K381">
        <v>2.8621603187163323E-3</v>
      </c>
      <c r="L381" t="s">
        <v>154</v>
      </c>
      <c r="N381" t="s">
        <v>209</v>
      </c>
      <c r="O381" t="s">
        <v>259</v>
      </c>
      <c r="P381">
        <v>5.1976128782936296E-3</v>
      </c>
      <c r="Q381" t="s">
        <v>154</v>
      </c>
      <c r="S381" t="s">
        <v>233</v>
      </c>
      <c r="T381" t="s">
        <v>259</v>
      </c>
      <c r="U381">
        <v>4.3038470603865087E-3</v>
      </c>
      <c r="V381" t="s">
        <v>154</v>
      </c>
    </row>
    <row r="382" spans="9:22" x14ac:dyDescent="0.45">
      <c r="I382" t="s">
        <v>180</v>
      </c>
      <c r="J382" t="s">
        <v>260</v>
      </c>
      <c r="K382">
        <v>0</v>
      </c>
      <c r="L382" t="s">
        <v>154</v>
      </c>
      <c r="N382" t="s">
        <v>209</v>
      </c>
      <c r="O382" t="s">
        <v>260</v>
      </c>
      <c r="P382">
        <v>2.6613160225267909E-2</v>
      </c>
      <c r="Q382" t="s">
        <v>154</v>
      </c>
      <c r="S382" t="s">
        <v>233</v>
      </c>
      <c r="T382" t="s">
        <v>260</v>
      </c>
      <c r="U382">
        <v>2.2694846629471903E-2</v>
      </c>
      <c r="V382" t="s">
        <v>154</v>
      </c>
    </row>
    <row r="383" spans="9:22" x14ac:dyDescent="0.45">
      <c r="I383" t="s">
        <v>180</v>
      </c>
      <c r="J383" t="s">
        <v>160</v>
      </c>
      <c r="K383">
        <v>0</v>
      </c>
      <c r="L383" t="s">
        <v>154</v>
      </c>
      <c r="N383" t="s">
        <v>209</v>
      </c>
      <c r="O383" t="s">
        <v>160</v>
      </c>
      <c r="P383">
        <v>3.040741428712998E-2</v>
      </c>
      <c r="Q383" t="s">
        <v>154</v>
      </c>
      <c r="S383" t="s">
        <v>233</v>
      </c>
      <c r="T383" t="s">
        <v>160</v>
      </c>
      <c r="U383">
        <v>3.3673363882087991E-2</v>
      </c>
      <c r="V383" t="s">
        <v>154</v>
      </c>
    </row>
    <row r="384" spans="9:22" x14ac:dyDescent="0.45">
      <c r="I384" t="s">
        <v>180</v>
      </c>
      <c r="J384" t="s">
        <v>161</v>
      </c>
      <c r="K384">
        <v>7.7501169359915417E-3</v>
      </c>
      <c r="L384" t="s">
        <v>154</v>
      </c>
      <c r="N384" t="s">
        <v>209</v>
      </c>
      <c r="O384" t="s">
        <v>161</v>
      </c>
      <c r="P384">
        <v>9.2115294805985674E-3</v>
      </c>
      <c r="Q384" t="s">
        <v>154</v>
      </c>
      <c r="S384" t="s">
        <v>233</v>
      </c>
      <c r="T384" t="s">
        <v>161</v>
      </c>
      <c r="U384">
        <v>1.0262967167243861E-2</v>
      </c>
      <c r="V384" t="s">
        <v>154</v>
      </c>
    </row>
    <row r="385" spans="9:22" x14ac:dyDescent="0.45">
      <c r="I385" t="s">
        <v>180</v>
      </c>
      <c r="J385" t="s">
        <v>162</v>
      </c>
      <c r="K385">
        <v>5.8599589427685915E-2</v>
      </c>
      <c r="L385" t="s">
        <v>154</v>
      </c>
      <c r="N385" t="s">
        <v>209</v>
      </c>
      <c r="O385" t="s">
        <v>162</v>
      </c>
      <c r="P385">
        <v>4.2986319429054572E-2</v>
      </c>
      <c r="Q385" t="s">
        <v>154</v>
      </c>
      <c r="S385" t="s">
        <v>233</v>
      </c>
      <c r="T385" t="s">
        <v>162</v>
      </c>
      <c r="U385">
        <v>3.8248633591192897E-2</v>
      </c>
      <c r="V385" t="s">
        <v>154</v>
      </c>
    </row>
    <row r="386" spans="9:22" x14ac:dyDescent="0.45">
      <c r="I386" t="s">
        <v>180</v>
      </c>
      <c r="J386" t="s">
        <v>261</v>
      </c>
      <c r="K386">
        <v>3.7595984489388872E-3</v>
      </c>
      <c r="L386" t="s">
        <v>154</v>
      </c>
      <c r="N386" t="s">
        <v>209</v>
      </c>
      <c r="O386" t="s">
        <v>261</v>
      </c>
      <c r="P386">
        <v>5.1623702058484818E-3</v>
      </c>
      <c r="Q386" t="s">
        <v>154</v>
      </c>
      <c r="S386" t="s">
        <v>233</v>
      </c>
      <c r="T386" t="s">
        <v>261</v>
      </c>
      <c r="U386">
        <v>4.8787732007679191E-3</v>
      </c>
      <c r="V386" t="s">
        <v>154</v>
      </c>
    </row>
    <row r="387" spans="9:22" x14ac:dyDescent="0.45">
      <c r="I387" t="s">
        <v>180</v>
      </c>
      <c r="J387" t="s">
        <v>262</v>
      </c>
      <c r="K387">
        <v>0</v>
      </c>
      <c r="L387" t="s">
        <v>154</v>
      </c>
      <c r="N387" t="s">
        <v>209</v>
      </c>
      <c r="O387" t="s">
        <v>262</v>
      </c>
      <c r="P387">
        <v>4.7079563588112473E-3</v>
      </c>
      <c r="Q387" t="s">
        <v>154</v>
      </c>
      <c r="S387" t="s">
        <v>233</v>
      </c>
      <c r="T387" t="s">
        <v>262</v>
      </c>
      <c r="U387">
        <v>4.4870199832511993E-3</v>
      </c>
      <c r="V387" t="s">
        <v>154</v>
      </c>
    </row>
    <row r="388" spans="9:22" x14ac:dyDescent="0.45">
      <c r="I388" t="s">
        <v>180</v>
      </c>
      <c r="J388" t="s">
        <v>263</v>
      </c>
      <c r="K388">
        <v>0</v>
      </c>
      <c r="L388" t="s">
        <v>154</v>
      </c>
      <c r="N388" t="s">
        <v>209</v>
      </c>
      <c r="O388" t="s">
        <v>263</v>
      </c>
      <c r="P388">
        <v>2.3752261960052198E-2</v>
      </c>
      <c r="Q388" t="s">
        <v>154</v>
      </c>
      <c r="S388" t="s">
        <v>233</v>
      </c>
      <c r="T388" t="s">
        <v>263</v>
      </c>
      <c r="U388">
        <v>2.5905238728868261E-2</v>
      </c>
      <c r="V388" t="s">
        <v>154</v>
      </c>
    </row>
    <row r="389" spans="9:22" x14ac:dyDescent="0.45">
      <c r="I389" t="s">
        <v>180</v>
      </c>
      <c r="J389" t="s">
        <v>163</v>
      </c>
      <c r="K389">
        <v>0</v>
      </c>
      <c r="L389" t="s">
        <v>154</v>
      </c>
      <c r="N389" t="s">
        <v>209</v>
      </c>
      <c r="O389" t="s">
        <v>163</v>
      </c>
      <c r="P389">
        <v>4.0528383384255899E-2</v>
      </c>
      <c r="Q389" t="s">
        <v>154</v>
      </c>
      <c r="S389" t="s">
        <v>233</v>
      </c>
      <c r="T389" t="s">
        <v>163</v>
      </c>
      <c r="U389">
        <v>5.3587771802798292E-2</v>
      </c>
      <c r="V389" t="s">
        <v>154</v>
      </c>
    </row>
    <row r="390" spans="9:22" x14ac:dyDescent="0.45">
      <c r="I390" t="s">
        <v>180</v>
      </c>
      <c r="J390" t="s">
        <v>164</v>
      </c>
      <c r="K390">
        <v>6.4807004562952054E-3</v>
      </c>
      <c r="L390" t="s">
        <v>154</v>
      </c>
      <c r="N390" t="s">
        <v>209</v>
      </c>
      <c r="O390" t="s">
        <v>164</v>
      </c>
      <c r="P390">
        <v>1.1670764135762299E-2</v>
      </c>
      <c r="Q390" t="s">
        <v>154</v>
      </c>
      <c r="S390" t="s">
        <v>233</v>
      </c>
      <c r="T390" t="s">
        <v>164</v>
      </c>
      <c r="U390">
        <v>1.4862190111854749E-2</v>
      </c>
      <c r="V390" t="s">
        <v>154</v>
      </c>
    </row>
    <row r="391" spans="9:22" x14ac:dyDescent="0.45">
      <c r="I391" t="s">
        <v>180</v>
      </c>
      <c r="J391" t="s">
        <v>165</v>
      </c>
      <c r="K391">
        <v>6.7305982904852152E-2</v>
      </c>
      <c r="L391" t="s">
        <v>154</v>
      </c>
      <c r="N391" t="s">
        <v>209</v>
      </c>
      <c r="O391" t="s">
        <v>165</v>
      </c>
      <c r="P391">
        <v>5.4821958994118014E-2</v>
      </c>
      <c r="Q391" t="s">
        <v>154</v>
      </c>
      <c r="S391" t="s">
        <v>233</v>
      </c>
      <c r="T391" t="s">
        <v>165</v>
      </c>
      <c r="U391">
        <v>5.8002188618585207E-2</v>
      </c>
      <c r="V391" t="s">
        <v>154</v>
      </c>
    </row>
    <row r="392" spans="9:22" x14ac:dyDescent="0.45">
      <c r="I392" t="s">
        <v>180</v>
      </c>
      <c r="J392" t="s">
        <v>264</v>
      </c>
      <c r="K392">
        <v>3.1022340809427973E-3</v>
      </c>
      <c r="L392" t="s">
        <v>154</v>
      </c>
      <c r="N392" t="s">
        <v>209</v>
      </c>
      <c r="O392" t="s">
        <v>264</v>
      </c>
      <c r="P392">
        <v>7.0674715124521793E-3</v>
      </c>
      <c r="Q392" t="s">
        <v>154</v>
      </c>
      <c r="S392" t="s">
        <v>233</v>
      </c>
      <c r="T392" t="s">
        <v>264</v>
      </c>
      <c r="U392">
        <v>7.6253210237321725E-3</v>
      </c>
      <c r="V392" t="s">
        <v>154</v>
      </c>
    </row>
    <row r="393" spans="9:22" x14ac:dyDescent="0.45">
      <c r="I393" t="s">
        <v>180</v>
      </c>
      <c r="J393" t="s">
        <v>265</v>
      </c>
      <c r="K393">
        <v>0</v>
      </c>
      <c r="L393" t="s">
        <v>154</v>
      </c>
      <c r="N393" t="s">
        <v>209</v>
      </c>
      <c r="O393" t="s">
        <v>265</v>
      </c>
      <c r="P393">
        <v>5.8915061629585758E-3</v>
      </c>
      <c r="Q393" t="s">
        <v>154</v>
      </c>
      <c r="S393" t="s">
        <v>233</v>
      </c>
      <c r="T393" t="s">
        <v>265</v>
      </c>
      <c r="U393">
        <v>6.1870413420853174E-3</v>
      </c>
      <c r="V393" t="s">
        <v>154</v>
      </c>
    </row>
    <row r="394" spans="9:22" x14ac:dyDescent="0.45">
      <c r="I394" t="s">
        <v>180</v>
      </c>
      <c r="J394" t="s">
        <v>266</v>
      </c>
      <c r="K394">
        <v>0</v>
      </c>
      <c r="L394" t="s">
        <v>154</v>
      </c>
      <c r="N394" t="s">
        <v>209</v>
      </c>
      <c r="O394" t="s">
        <v>266</v>
      </c>
      <c r="P394">
        <v>3.1889760456868893E-2</v>
      </c>
      <c r="Q394" t="s">
        <v>154</v>
      </c>
      <c r="S394" t="s">
        <v>233</v>
      </c>
      <c r="T394" t="s">
        <v>266</v>
      </c>
      <c r="U394">
        <v>3.9828090364185782E-2</v>
      </c>
      <c r="V394" t="s">
        <v>154</v>
      </c>
    </row>
    <row r="395" spans="9:22" x14ac:dyDescent="0.45">
      <c r="I395" t="s">
        <v>181</v>
      </c>
      <c r="J395" t="s">
        <v>153</v>
      </c>
      <c r="K395">
        <v>2.4848437026649822E-3</v>
      </c>
      <c r="L395" t="s">
        <v>154</v>
      </c>
      <c r="N395" t="s">
        <v>210</v>
      </c>
      <c r="O395" t="s">
        <v>153</v>
      </c>
      <c r="P395">
        <v>0.16190578688403878</v>
      </c>
      <c r="Q395" t="s">
        <v>154</v>
      </c>
      <c r="S395" t="s">
        <v>234</v>
      </c>
      <c r="T395" t="s">
        <v>153</v>
      </c>
      <c r="U395">
        <v>0.17997731892161453</v>
      </c>
      <c r="V395" t="s">
        <v>154</v>
      </c>
    </row>
    <row r="396" spans="9:22" x14ac:dyDescent="0.45">
      <c r="I396" t="s">
        <v>181</v>
      </c>
      <c r="J396" t="s">
        <v>155</v>
      </c>
      <c r="K396">
        <v>6.6976019883748461E-2</v>
      </c>
      <c r="L396" t="s">
        <v>154</v>
      </c>
      <c r="N396" t="s">
        <v>210</v>
      </c>
      <c r="O396" t="s">
        <v>155</v>
      </c>
      <c r="P396">
        <v>4.5851154209465644E-2</v>
      </c>
      <c r="Q396" t="s">
        <v>154</v>
      </c>
      <c r="S396" t="s">
        <v>234</v>
      </c>
      <c r="T396" t="s">
        <v>155</v>
      </c>
      <c r="U396">
        <v>5.0428561029846282E-2</v>
      </c>
      <c r="V396" t="s">
        <v>154</v>
      </c>
    </row>
    <row r="397" spans="9:22" x14ac:dyDescent="0.45">
      <c r="I397" t="s">
        <v>181</v>
      </c>
      <c r="J397" t="s">
        <v>156</v>
      </c>
      <c r="K397">
        <v>0.56675862442540648</v>
      </c>
      <c r="L397" t="s">
        <v>154</v>
      </c>
      <c r="N397" t="s">
        <v>210</v>
      </c>
      <c r="O397" t="s">
        <v>156</v>
      </c>
      <c r="P397">
        <v>0.21207341670856436</v>
      </c>
      <c r="Q397" t="s">
        <v>154</v>
      </c>
      <c r="S397" t="s">
        <v>234</v>
      </c>
      <c r="T397" t="s">
        <v>156</v>
      </c>
      <c r="U397">
        <v>0.19187342616029143</v>
      </c>
      <c r="V397" t="s">
        <v>154</v>
      </c>
    </row>
    <row r="398" spans="9:22" x14ac:dyDescent="0.45">
      <c r="I398" t="s">
        <v>181</v>
      </c>
      <c r="J398" t="s">
        <v>255</v>
      </c>
      <c r="K398">
        <v>3.7187202976281787E-2</v>
      </c>
      <c r="L398" t="s">
        <v>154</v>
      </c>
      <c r="N398" t="s">
        <v>210</v>
      </c>
      <c r="O398" t="s">
        <v>255</v>
      </c>
      <c r="P398">
        <v>2.7212819024596949E-2</v>
      </c>
      <c r="Q398" t="s">
        <v>154</v>
      </c>
      <c r="S398" t="s">
        <v>234</v>
      </c>
      <c r="T398" t="s">
        <v>255</v>
      </c>
      <c r="U398">
        <v>2.410148261436228E-2</v>
      </c>
      <c r="V398" t="s">
        <v>154</v>
      </c>
    </row>
    <row r="399" spans="9:22" x14ac:dyDescent="0.45">
      <c r="I399" t="s">
        <v>181</v>
      </c>
      <c r="J399" t="s">
        <v>256</v>
      </c>
      <c r="K399">
        <v>2.0872591525577123E-2</v>
      </c>
      <c r="L399" t="s">
        <v>154</v>
      </c>
      <c r="N399" t="s">
        <v>210</v>
      </c>
      <c r="O399" t="s">
        <v>256</v>
      </c>
      <c r="P399">
        <v>2.3876814181209852E-2</v>
      </c>
      <c r="Q399" t="s">
        <v>154</v>
      </c>
      <c r="S399" t="s">
        <v>234</v>
      </c>
      <c r="T399" t="s">
        <v>256</v>
      </c>
      <c r="U399">
        <v>2.3078329037190912E-2</v>
      </c>
      <c r="V399" t="s">
        <v>154</v>
      </c>
    </row>
    <row r="400" spans="9:22" x14ac:dyDescent="0.45">
      <c r="I400" t="s">
        <v>181</v>
      </c>
      <c r="J400" t="s">
        <v>257</v>
      </c>
      <c r="K400">
        <v>6.273225775059945E-5</v>
      </c>
      <c r="L400" t="s">
        <v>154</v>
      </c>
      <c r="N400" t="s">
        <v>210</v>
      </c>
      <c r="O400" t="s">
        <v>257</v>
      </c>
      <c r="P400">
        <v>0.12882414038827802</v>
      </c>
      <c r="Q400" t="s">
        <v>154</v>
      </c>
      <c r="S400" t="s">
        <v>234</v>
      </c>
      <c r="T400" t="s">
        <v>257</v>
      </c>
      <c r="U400">
        <v>0.13591747834437992</v>
      </c>
      <c r="V400" t="s">
        <v>154</v>
      </c>
    </row>
    <row r="401" spans="9:22" x14ac:dyDescent="0.45">
      <c r="I401" t="s">
        <v>181</v>
      </c>
      <c r="J401" t="s">
        <v>157</v>
      </c>
      <c r="K401">
        <v>0</v>
      </c>
      <c r="L401" t="s">
        <v>154</v>
      </c>
      <c r="N401" t="s">
        <v>210</v>
      </c>
      <c r="O401" t="s">
        <v>157</v>
      </c>
      <c r="P401">
        <v>2.5485789735293016E-2</v>
      </c>
      <c r="Q401" t="s">
        <v>154</v>
      </c>
      <c r="S401" t="s">
        <v>234</v>
      </c>
      <c r="T401" t="s">
        <v>157</v>
      </c>
      <c r="U401">
        <v>4.9380173610619048E-2</v>
      </c>
      <c r="V401" t="s">
        <v>154</v>
      </c>
    </row>
    <row r="402" spans="9:22" x14ac:dyDescent="0.45">
      <c r="I402" t="s">
        <v>181</v>
      </c>
      <c r="J402" t="s">
        <v>158</v>
      </c>
      <c r="K402">
        <v>1.3508008487758851E-2</v>
      </c>
      <c r="L402" t="s">
        <v>154</v>
      </c>
      <c r="N402" t="s">
        <v>210</v>
      </c>
      <c r="O402" t="s">
        <v>158</v>
      </c>
      <c r="P402">
        <v>6.7997133606015727E-3</v>
      </c>
      <c r="Q402" t="s">
        <v>154</v>
      </c>
      <c r="S402" t="s">
        <v>234</v>
      </c>
      <c r="T402" t="s">
        <v>158</v>
      </c>
      <c r="U402">
        <v>1.3181546040643533E-2</v>
      </c>
      <c r="V402" t="s">
        <v>154</v>
      </c>
    </row>
    <row r="403" spans="9:22" x14ac:dyDescent="0.45">
      <c r="I403" t="s">
        <v>181</v>
      </c>
      <c r="J403" t="s">
        <v>159</v>
      </c>
      <c r="K403">
        <v>0.10782124454000251</v>
      </c>
      <c r="L403" t="s">
        <v>154</v>
      </c>
      <c r="N403" t="s">
        <v>210</v>
      </c>
      <c r="O403" t="s">
        <v>159</v>
      </c>
      <c r="P403">
        <v>3.0823368305551033E-2</v>
      </c>
      <c r="Q403" t="s">
        <v>154</v>
      </c>
      <c r="S403" t="s">
        <v>234</v>
      </c>
      <c r="T403" t="s">
        <v>159</v>
      </c>
      <c r="U403">
        <v>5.3766210299382146E-2</v>
      </c>
      <c r="V403" t="s">
        <v>154</v>
      </c>
    </row>
    <row r="404" spans="9:22" x14ac:dyDescent="0.45">
      <c r="I404" t="s">
        <v>181</v>
      </c>
      <c r="J404" t="s">
        <v>258</v>
      </c>
      <c r="K404">
        <v>5.8201511348750712E-3</v>
      </c>
      <c r="L404" t="s">
        <v>154</v>
      </c>
      <c r="N404" t="s">
        <v>210</v>
      </c>
      <c r="O404" t="s">
        <v>258</v>
      </c>
      <c r="P404">
        <v>3.8662949234415009E-3</v>
      </c>
      <c r="Q404" t="s">
        <v>154</v>
      </c>
      <c r="S404" t="s">
        <v>234</v>
      </c>
      <c r="T404" t="s">
        <v>258</v>
      </c>
      <c r="U404">
        <v>6.8798700525628722E-3</v>
      </c>
      <c r="V404" t="s">
        <v>154</v>
      </c>
    </row>
    <row r="405" spans="9:22" x14ac:dyDescent="0.45">
      <c r="I405" t="s">
        <v>181</v>
      </c>
      <c r="J405" t="s">
        <v>259</v>
      </c>
      <c r="K405">
        <v>3.0656441130121562E-3</v>
      </c>
      <c r="L405" t="s">
        <v>154</v>
      </c>
      <c r="N405" t="s">
        <v>210</v>
      </c>
      <c r="O405" t="s">
        <v>259</v>
      </c>
      <c r="P405">
        <v>4.0055111081023966E-3</v>
      </c>
      <c r="Q405" t="s">
        <v>154</v>
      </c>
      <c r="S405" t="s">
        <v>234</v>
      </c>
      <c r="T405" t="s">
        <v>259</v>
      </c>
      <c r="U405">
        <v>7.0118309068538543E-3</v>
      </c>
      <c r="V405" t="s">
        <v>154</v>
      </c>
    </row>
    <row r="406" spans="9:22" x14ac:dyDescent="0.45">
      <c r="I406" t="s">
        <v>181</v>
      </c>
      <c r="J406" t="s">
        <v>260</v>
      </c>
      <c r="K406">
        <v>0</v>
      </c>
      <c r="L406" t="s">
        <v>154</v>
      </c>
      <c r="N406" t="s">
        <v>210</v>
      </c>
      <c r="O406" t="s">
        <v>260</v>
      </c>
      <c r="P406">
        <v>1.9158172360804013E-2</v>
      </c>
      <c r="Q406" t="s">
        <v>154</v>
      </c>
      <c r="S406" t="s">
        <v>234</v>
      </c>
      <c r="T406" t="s">
        <v>260</v>
      </c>
      <c r="U406">
        <v>3.4333858201579526E-2</v>
      </c>
      <c r="V406" t="s">
        <v>154</v>
      </c>
    </row>
    <row r="407" spans="9:22" x14ac:dyDescent="0.45">
      <c r="I407" t="s">
        <v>181</v>
      </c>
      <c r="J407" t="s">
        <v>160</v>
      </c>
      <c r="K407">
        <v>0</v>
      </c>
      <c r="L407" t="s">
        <v>154</v>
      </c>
      <c r="N407" t="s">
        <v>210</v>
      </c>
      <c r="O407" t="s">
        <v>160</v>
      </c>
      <c r="P407">
        <v>3.3861022958635474E-2</v>
      </c>
      <c r="Q407" t="s">
        <v>154</v>
      </c>
      <c r="S407" t="s">
        <v>234</v>
      </c>
      <c r="T407" t="s">
        <v>160</v>
      </c>
      <c r="U407">
        <v>2.3490491706869485E-2</v>
      </c>
      <c r="V407" t="s">
        <v>154</v>
      </c>
    </row>
    <row r="408" spans="9:22" x14ac:dyDescent="0.45">
      <c r="I408" t="s">
        <v>181</v>
      </c>
      <c r="J408" t="s">
        <v>161</v>
      </c>
      <c r="K408">
        <v>8.328568021999213E-3</v>
      </c>
      <c r="L408" t="s">
        <v>154</v>
      </c>
      <c r="N408" t="s">
        <v>210</v>
      </c>
      <c r="O408" t="s">
        <v>161</v>
      </c>
      <c r="P408">
        <v>1.0120894994533707E-2</v>
      </c>
      <c r="Q408" t="s">
        <v>154</v>
      </c>
      <c r="S408" t="s">
        <v>234</v>
      </c>
      <c r="T408" t="s">
        <v>161</v>
      </c>
      <c r="U408">
        <v>6.5904059675288371E-3</v>
      </c>
      <c r="V408" t="s">
        <v>154</v>
      </c>
    </row>
    <row r="409" spans="9:22" x14ac:dyDescent="0.45">
      <c r="I409" t="s">
        <v>181</v>
      </c>
      <c r="J409" t="s">
        <v>162</v>
      </c>
      <c r="K409">
        <v>6.194621088481532E-2</v>
      </c>
      <c r="L409" t="s">
        <v>154</v>
      </c>
      <c r="N409" t="s">
        <v>210</v>
      </c>
      <c r="O409" t="s">
        <v>162</v>
      </c>
      <c r="P409">
        <v>4.2328644359565674E-2</v>
      </c>
      <c r="Q409" t="s">
        <v>154</v>
      </c>
      <c r="S409" t="s">
        <v>234</v>
      </c>
      <c r="T409" t="s">
        <v>162</v>
      </c>
      <c r="U409">
        <v>2.5729914924525546E-2</v>
      </c>
      <c r="V409" t="s">
        <v>154</v>
      </c>
    </row>
    <row r="410" spans="9:22" x14ac:dyDescent="0.45">
      <c r="I410" t="s">
        <v>181</v>
      </c>
      <c r="J410" t="s">
        <v>261</v>
      </c>
      <c r="K410">
        <v>4.0240846932461955E-3</v>
      </c>
      <c r="L410" t="s">
        <v>154</v>
      </c>
      <c r="N410" t="s">
        <v>210</v>
      </c>
      <c r="O410" t="s">
        <v>261</v>
      </c>
      <c r="P410">
        <v>5.1571632912530089E-3</v>
      </c>
      <c r="Q410" t="s">
        <v>154</v>
      </c>
      <c r="S410" t="s">
        <v>234</v>
      </c>
      <c r="T410" t="s">
        <v>261</v>
      </c>
      <c r="U410">
        <v>3.5388545332234512E-3</v>
      </c>
      <c r="V410" t="s">
        <v>154</v>
      </c>
    </row>
    <row r="411" spans="9:22" x14ac:dyDescent="0.45">
      <c r="I411" t="s">
        <v>181</v>
      </c>
      <c r="J411" t="s">
        <v>262</v>
      </c>
      <c r="K411">
        <v>0</v>
      </c>
      <c r="L411" t="s">
        <v>154</v>
      </c>
      <c r="N411" t="s">
        <v>210</v>
      </c>
      <c r="O411" t="s">
        <v>262</v>
      </c>
      <c r="P411">
        <v>4.5431840526073131E-3</v>
      </c>
      <c r="Q411" t="s">
        <v>154</v>
      </c>
      <c r="S411" t="s">
        <v>234</v>
      </c>
      <c r="T411" t="s">
        <v>262</v>
      </c>
      <c r="U411">
        <v>3.3521252453866807E-3</v>
      </c>
      <c r="V411" t="s">
        <v>154</v>
      </c>
    </row>
    <row r="412" spans="9:22" x14ac:dyDescent="0.45">
      <c r="I412" t="s">
        <v>181</v>
      </c>
      <c r="J412" t="s">
        <v>263</v>
      </c>
      <c r="K412">
        <v>0</v>
      </c>
      <c r="L412" t="s">
        <v>154</v>
      </c>
      <c r="N412" t="s">
        <v>210</v>
      </c>
      <c r="O412" t="s">
        <v>263</v>
      </c>
      <c r="P412">
        <v>2.5288400639798845E-2</v>
      </c>
      <c r="Q412" t="s">
        <v>154</v>
      </c>
      <c r="S412" t="s">
        <v>234</v>
      </c>
      <c r="T412" t="s">
        <v>263</v>
      </c>
      <c r="U412">
        <v>1.9223583879860721E-2</v>
      </c>
      <c r="V412" t="s">
        <v>154</v>
      </c>
    </row>
    <row r="413" spans="9:22" x14ac:dyDescent="0.45">
      <c r="I413" t="s">
        <v>181</v>
      </c>
      <c r="J413" t="s">
        <v>163</v>
      </c>
      <c r="K413">
        <v>0</v>
      </c>
      <c r="L413" t="s">
        <v>154</v>
      </c>
      <c r="N413" t="s">
        <v>210</v>
      </c>
      <c r="O413" t="s">
        <v>163</v>
      </c>
      <c r="P413">
        <v>5.3952242408622182E-2</v>
      </c>
      <c r="Q413" t="s">
        <v>154</v>
      </c>
      <c r="S413" t="s">
        <v>234</v>
      </c>
      <c r="T413" t="s">
        <v>163</v>
      </c>
      <c r="U413">
        <v>4.5230385450296638E-2</v>
      </c>
      <c r="V413" t="s">
        <v>154</v>
      </c>
    </row>
    <row r="414" spans="9:22" x14ac:dyDescent="0.45">
      <c r="I414" t="s">
        <v>181</v>
      </c>
      <c r="J414" t="s">
        <v>164</v>
      </c>
      <c r="K414">
        <v>8.1640822252193254E-3</v>
      </c>
      <c r="L414" t="s">
        <v>154</v>
      </c>
      <c r="N414" t="s">
        <v>210</v>
      </c>
      <c r="O414" t="s">
        <v>164</v>
      </c>
      <c r="P414">
        <v>1.4710832778106664E-2</v>
      </c>
      <c r="Q414" t="s">
        <v>154</v>
      </c>
      <c r="S414" t="s">
        <v>234</v>
      </c>
      <c r="T414" t="s">
        <v>164</v>
      </c>
      <c r="U414">
        <v>1.2455651001337269E-2</v>
      </c>
      <c r="V414" t="s">
        <v>154</v>
      </c>
    </row>
    <row r="415" spans="9:22" x14ac:dyDescent="0.45">
      <c r="I415" t="s">
        <v>181</v>
      </c>
      <c r="J415" t="s">
        <v>165</v>
      </c>
      <c r="K415">
        <v>8.7797529709959382E-2</v>
      </c>
      <c r="L415" t="s">
        <v>154</v>
      </c>
      <c r="N415" t="s">
        <v>210</v>
      </c>
      <c r="O415" t="s">
        <v>165</v>
      </c>
      <c r="P415">
        <v>6.5891217207444452E-2</v>
      </c>
      <c r="Q415" t="s">
        <v>154</v>
      </c>
      <c r="S415" t="s">
        <v>234</v>
      </c>
      <c r="T415" t="s">
        <v>165</v>
      </c>
      <c r="U415">
        <v>4.5255748704031332E-2</v>
      </c>
      <c r="V415" t="s">
        <v>154</v>
      </c>
    </row>
    <row r="416" spans="9:22" x14ac:dyDescent="0.45">
      <c r="I416" t="s">
        <v>181</v>
      </c>
      <c r="J416" t="s">
        <v>264</v>
      </c>
      <c r="K416">
        <v>5.1824614176829891E-3</v>
      </c>
      <c r="L416" t="s">
        <v>154</v>
      </c>
      <c r="N416" t="s">
        <v>210</v>
      </c>
      <c r="O416" t="s">
        <v>264</v>
      </c>
      <c r="P416">
        <v>8.6894552774880035E-3</v>
      </c>
      <c r="Q416" t="s">
        <v>154</v>
      </c>
      <c r="S416" t="s">
        <v>234</v>
      </c>
      <c r="T416" t="s">
        <v>264</v>
      </c>
      <c r="U416">
        <v>6.0487459379207414E-3</v>
      </c>
      <c r="V416" t="s">
        <v>154</v>
      </c>
    </row>
    <row r="417" spans="9:22" x14ac:dyDescent="0.45">
      <c r="I417" t="s">
        <v>181</v>
      </c>
      <c r="J417" t="s">
        <v>265</v>
      </c>
      <c r="K417">
        <v>0</v>
      </c>
      <c r="L417" t="s">
        <v>154</v>
      </c>
      <c r="N417" t="s">
        <v>210</v>
      </c>
      <c r="O417" t="s">
        <v>265</v>
      </c>
      <c r="P417">
        <v>6.6145794352401163E-3</v>
      </c>
      <c r="Q417" t="s">
        <v>154</v>
      </c>
      <c r="S417" t="s">
        <v>234</v>
      </c>
      <c r="T417" t="s">
        <v>265</v>
      </c>
      <c r="U417">
        <v>5.3416978400421481E-3</v>
      </c>
      <c r="V417" t="s">
        <v>154</v>
      </c>
    </row>
    <row r="418" spans="9:22" x14ac:dyDescent="0.45">
      <c r="I418" t="s">
        <v>181</v>
      </c>
      <c r="J418" t="s">
        <v>266</v>
      </c>
      <c r="K418">
        <v>0</v>
      </c>
      <c r="L418" t="s">
        <v>154</v>
      </c>
      <c r="N418" t="s">
        <v>210</v>
      </c>
      <c r="O418" t="s">
        <v>266</v>
      </c>
      <c r="P418">
        <v>3.895938140675774E-2</v>
      </c>
      <c r="Q418" t="s">
        <v>154</v>
      </c>
      <c r="S418" t="s">
        <v>234</v>
      </c>
      <c r="T418" t="s">
        <v>266</v>
      </c>
      <c r="U418">
        <v>3.3812309589655157E-2</v>
      </c>
      <c r="V418" t="s">
        <v>154</v>
      </c>
    </row>
    <row r="419" spans="9:22" x14ac:dyDescent="0.45">
      <c r="I419" t="s">
        <v>182</v>
      </c>
      <c r="J419" t="s">
        <v>153</v>
      </c>
      <c r="K419">
        <v>5.9651520653698732E-3</v>
      </c>
      <c r="L419" t="s">
        <v>154</v>
      </c>
      <c r="N419" t="s">
        <v>211</v>
      </c>
      <c r="O419" t="s">
        <v>153</v>
      </c>
      <c r="P419">
        <v>0.17219152774199653</v>
      </c>
      <c r="Q419" t="s">
        <v>154</v>
      </c>
      <c r="S419" t="s">
        <v>235</v>
      </c>
      <c r="T419" t="s">
        <v>153</v>
      </c>
      <c r="U419">
        <v>0.17480718498931475</v>
      </c>
      <c r="V419" t="s">
        <v>154</v>
      </c>
    </row>
    <row r="420" spans="9:22" x14ac:dyDescent="0.45">
      <c r="I420" t="s">
        <v>182</v>
      </c>
      <c r="J420" t="s">
        <v>155</v>
      </c>
      <c r="K420">
        <v>6.3908727255197265E-2</v>
      </c>
      <c r="L420" t="s">
        <v>154</v>
      </c>
      <c r="N420" t="s">
        <v>211</v>
      </c>
      <c r="O420" t="s">
        <v>155</v>
      </c>
      <c r="P420">
        <v>4.9115798695078892E-2</v>
      </c>
      <c r="Q420" t="s">
        <v>154</v>
      </c>
      <c r="S420" t="s">
        <v>235</v>
      </c>
      <c r="T420" t="s">
        <v>155</v>
      </c>
      <c r="U420">
        <v>4.6254250825332049E-2</v>
      </c>
      <c r="V420" t="s">
        <v>154</v>
      </c>
    </row>
    <row r="421" spans="9:22" x14ac:dyDescent="0.45">
      <c r="I421" t="s">
        <v>182</v>
      </c>
      <c r="J421" t="s">
        <v>156</v>
      </c>
      <c r="K421">
        <v>0.55272937341868578</v>
      </c>
      <c r="L421" t="s">
        <v>154</v>
      </c>
      <c r="N421" t="s">
        <v>211</v>
      </c>
      <c r="O421" t="s">
        <v>156</v>
      </c>
      <c r="P421">
        <v>0.20916882209789983</v>
      </c>
      <c r="Q421" t="s">
        <v>154</v>
      </c>
      <c r="S421" t="s">
        <v>235</v>
      </c>
      <c r="T421" t="s">
        <v>156</v>
      </c>
      <c r="U421">
        <v>0.19424973308603649</v>
      </c>
      <c r="V421" t="s">
        <v>154</v>
      </c>
    </row>
    <row r="422" spans="9:22" x14ac:dyDescent="0.45">
      <c r="I422" t="s">
        <v>182</v>
      </c>
      <c r="J422" t="s">
        <v>255</v>
      </c>
      <c r="K422">
        <v>4.2351843867982672E-2</v>
      </c>
      <c r="L422" t="s">
        <v>154</v>
      </c>
      <c r="N422" t="s">
        <v>211</v>
      </c>
      <c r="O422" t="s">
        <v>255</v>
      </c>
      <c r="P422">
        <v>2.5374961829150146E-2</v>
      </c>
      <c r="Q422" t="s">
        <v>154</v>
      </c>
      <c r="S422" t="s">
        <v>235</v>
      </c>
      <c r="T422" t="s">
        <v>255</v>
      </c>
      <c r="U422">
        <v>2.8166641922613485E-2</v>
      </c>
      <c r="V422" t="s">
        <v>154</v>
      </c>
    </row>
    <row r="423" spans="9:22" x14ac:dyDescent="0.45">
      <c r="I423" t="s">
        <v>182</v>
      </c>
      <c r="J423" t="s">
        <v>256</v>
      </c>
      <c r="K423">
        <v>2.4012395574125645E-2</v>
      </c>
      <c r="L423" t="s">
        <v>154</v>
      </c>
      <c r="N423" t="s">
        <v>211</v>
      </c>
      <c r="O423" t="s">
        <v>256</v>
      </c>
      <c r="P423">
        <v>2.3775661556703711E-2</v>
      </c>
      <c r="Q423" t="s">
        <v>154</v>
      </c>
      <c r="S423" t="s">
        <v>235</v>
      </c>
      <c r="T423" t="s">
        <v>256</v>
      </c>
      <c r="U423">
        <v>2.8136701217177051E-2</v>
      </c>
      <c r="V423" t="s">
        <v>154</v>
      </c>
    </row>
    <row r="424" spans="9:22" x14ac:dyDescent="0.45">
      <c r="I424" t="s">
        <v>182</v>
      </c>
      <c r="J424" t="s">
        <v>257</v>
      </c>
      <c r="K424">
        <v>4.5799695098755456E-4</v>
      </c>
      <c r="L424" t="s">
        <v>154</v>
      </c>
      <c r="N424" t="s">
        <v>211</v>
      </c>
      <c r="O424" t="s">
        <v>257</v>
      </c>
      <c r="P424">
        <v>0.13551726920404528</v>
      </c>
      <c r="Q424" t="s">
        <v>154</v>
      </c>
      <c r="S424" t="s">
        <v>235</v>
      </c>
      <c r="T424" t="s">
        <v>257</v>
      </c>
      <c r="U424">
        <v>0.14920628539030908</v>
      </c>
      <c r="V424" t="s">
        <v>154</v>
      </c>
    </row>
    <row r="425" spans="9:22" x14ac:dyDescent="0.45">
      <c r="I425" t="s">
        <v>182</v>
      </c>
      <c r="J425" t="s">
        <v>157</v>
      </c>
      <c r="K425">
        <v>0</v>
      </c>
      <c r="L425" t="s">
        <v>154</v>
      </c>
      <c r="N425" t="s">
        <v>211</v>
      </c>
      <c r="O425" t="s">
        <v>157</v>
      </c>
      <c r="P425">
        <v>4.813340883540819E-2</v>
      </c>
      <c r="Q425" t="s">
        <v>154</v>
      </c>
      <c r="S425" t="s">
        <v>235</v>
      </c>
      <c r="T425" t="s">
        <v>157</v>
      </c>
      <c r="U425">
        <v>6.3989564609056304E-2</v>
      </c>
      <c r="V425" t="s">
        <v>154</v>
      </c>
    </row>
    <row r="426" spans="9:22" x14ac:dyDescent="0.45">
      <c r="I426" t="s">
        <v>182</v>
      </c>
      <c r="J426" t="s">
        <v>158</v>
      </c>
      <c r="K426">
        <v>1.707517546611417E-2</v>
      </c>
      <c r="L426" t="s">
        <v>154</v>
      </c>
      <c r="N426" t="s">
        <v>211</v>
      </c>
      <c r="O426" t="s">
        <v>158</v>
      </c>
      <c r="P426">
        <v>1.2812285750643767E-2</v>
      </c>
      <c r="Q426" t="s">
        <v>154</v>
      </c>
      <c r="S426" t="s">
        <v>235</v>
      </c>
      <c r="T426" t="s">
        <v>158</v>
      </c>
      <c r="U426">
        <v>1.5378196201066979E-2</v>
      </c>
      <c r="V426" t="s">
        <v>154</v>
      </c>
    </row>
    <row r="427" spans="9:22" x14ac:dyDescent="0.45">
      <c r="I427" t="s">
        <v>182</v>
      </c>
      <c r="J427" t="s">
        <v>159</v>
      </c>
      <c r="K427">
        <v>0.12466782867163936</v>
      </c>
      <c r="L427" t="s">
        <v>154</v>
      </c>
      <c r="N427" t="s">
        <v>211</v>
      </c>
      <c r="O427" t="s">
        <v>159</v>
      </c>
      <c r="P427">
        <v>5.3931867839485788E-2</v>
      </c>
      <c r="Q427" t="s">
        <v>154</v>
      </c>
      <c r="S427" t="s">
        <v>235</v>
      </c>
      <c r="T427" t="s">
        <v>159</v>
      </c>
      <c r="U427">
        <v>7.1615135560344628E-2</v>
      </c>
      <c r="V427" t="s">
        <v>154</v>
      </c>
    </row>
    <row r="428" spans="9:22" x14ac:dyDescent="0.45">
      <c r="I428" t="s">
        <v>182</v>
      </c>
      <c r="J428" t="s">
        <v>258</v>
      </c>
      <c r="K428">
        <v>9.0135475491690282E-3</v>
      </c>
      <c r="L428" t="s">
        <v>154</v>
      </c>
      <c r="N428" t="s">
        <v>211</v>
      </c>
      <c r="O428" t="s">
        <v>258</v>
      </c>
      <c r="P428">
        <v>6.1210964482268015E-3</v>
      </c>
      <c r="Q428" t="s">
        <v>154</v>
      </c>
      <c r="S428" t="s">
        <v>235</v>
      </c>
      <c r="T428" t="s">
        <v>258</v>
      </c>
      <c r="U428">
        <v>1.0718013786588893E-2</v>
      </c>
      <c r="V428" t="s">
        <v>154</v>
      </c>
    </row>
    <row r="429" spans="9:22" x14ac:dyDescent="0.45">
      <c r="I429" t="s">
        <v>182</v>
      </c>
      <c r="J429" t="s">
        <v>259</v>
      </c>
      <c r="K429">
        <v>3.9758180718228809E-3</v>
      </c>
      <c r="L429" t="s">
        <v>154</v>
      </c>
      <c r="N429" t="s">
        <v>211</v>
      </c>
      <c r="O429" t="s">
        <v>259</v>
      </c>
      <c r="P429">
        <v>6.2083582395188125E-3</v>
      </c>
      <c r="Q429" t="s">
        <v>154</v>
      </c>
      <c r="S429" t="s">
        <v>235</v>
      </c>
      <c r="T429" t="s">
        <v>259</v>
      </c>
      <c r="U429">
        <v>1.1126012387367108E-2</v>
      </c>
      <c r="V429" t="s">
        <v>154</v>
      </c>
    </row>
    <row r="430" spans="9:22" x14ac:dyDescent="0.45">
      <c r="I430" t="s">
        <v>182</v>
      </c>
      <c r="J430" t="s">
        <v>260</v>
      </c>
      <c r="K430">
        <v>0</v>
      </c>
      <c r="L430" t="s">
        <v>154</v>
      </c>
      <c r="N430" t="s">
        <v>211</v>
      </c>
      <c r="O430" t="s">
        <v>260</v>
      </c>
      <c r="P430">
        <v>3.1310848133040657E-2</v>
      </c>
      <c r="Q430" t="s">
        <v>154</v>
      </c>
      <c r="S430" t="s">
        <v>235</v>
      </c>
      <c r="T430" t="s">
        <v>260</v>
      </c>
      <c r="U430">
        <v>5.1447107636286564E-2</v>
      </c>
      <c r="V430" t="s">
        <v>154</v>
      </c>
    </row>
    <row r="431" spans="9:22" x14ac:dyDescent="0.45">
      <c r="I431" t="s">
        <v>182</v>
      </c>
      <c r="J431" t="s">
        <v>160</v>
      </c>
      <c r="K431">
        <v>0</v>
      </c>
      <c r="L431" t="s">
        <v>154</v>
      </c>
      <c r="N431" t="s">
        <v>211</v>
      </c>
      <c r="O431" t="s">
        <v>160</v>
      </c>
      <c r="P431">
        <v>2.2302876665154132E-2</v>
      </c>
      <c r="Q431" t="s">
        <v>154</v>
      </c>
      <c r="S431" t="s">
        <v>235</v>
      </c>
      <c r="T431" t="s">
        <v>160</v>
      </c>
      <c r="U431">
        <v>1.141335112617416E-2</v>
      </c>
      <c r="V431" t="s">
        <v>154</v>
      </c>
    </row>
    <row r="432" spans="9:22" x14ac:dyDescent="0.45">
      <c r="I432" t="s">
        <v>182</v>
      </c>
      <c r="J432" t="s">
        <v>161</v>
      </c>
      <c r="K432">
        <v>9.1315752864200069E-3</v>
      </c>
      <c r="L432" t="s">
        <v>154</v>
      </c>
      <c r="N432" t="s">
        <v>211</v>
      </c>
      <c r="O432" t="s">
        <v>161</v>
      </c>
      <c r="P432">
        <v>6.1717804970448974E-3</v>
      </c>
      <c r="Q432" t="s">
        <v>154</v>
      </c>
      <c r="S432" t="s">
        <v>235</v>
      </c>
      <c r="T432" t="s">
        <v>161</v>
      </c>
      <c r="U432">
        <v>2.862415193086127E-3</v>
      </c>
      <c r="V432" t="s">
        <v>154</v>
      </c>
    </row>
    <row r="433" spans="9:22" x14ac:dyDescent="0.45">
      <c r="I433" t="s">
        <v>182</v>
      </c>
      <c r="J433" t="s">
        <v>162</v>
      </c>
      <c r="K433">
        <v>6.6404438552763151E-2</v>
      </c>
      <c r="L433" t="s">
        <v>154</v>
      </c>
      <c r="N433" t="s">
        <v>211</v>
      </c>
      <c r="O433" t="s">
        <v>162</v>
      </c>
      <c r="P433">
        <v>2.8813597584844274E-2</v>
      </c>
      <c r="Q433" t="s">
        <v>154</v>
      </c>
      <c r="S433" t="s">
        <v>235</v>
      </c>
      <c r="T433" t="s">
        <v>162</v>
      </c>
      <c r="U433">
        <v>1.2017730605841187E-2</v>
      </c>
      <c r="V433" t="s">
        <v>154</v>
      </c>
    </row>
    <row r="434" spans="9:22" x14ac:dyDescent="0.45">
      <c r="I434" t="s">
        <v>182</v>
      </c>
      <c r="J434" t="s">
        <v>261</v>
      </c>
      <c r="K434">
        <v>4.3234642823572833E-3</v>
      </c>
      <c r="L434" t="s">
        <v>154</v>
      </c>
      <c r="N434" t="s">
        <v>211</v>
      </c>
      <c r="O434" t="s">
        <v>261</v>
      </c>
      <c r="P434">
        <v>3.9165531618682451E-3</v>
      </c>
      <c r="Q434" t="s">
        <v>154</v>
      </c>
      <c r="S434" t="s">
        <v>235</v>
      </c>
      <c r="T434" t="s">
        <v>261</v>
      </c>
      <c r="U434">
        <v>1.9472934127279875E-3</v>
      </c>
      <c r="V434" t="s">
        <v>154</v>
      </c>
    </row>
    <row r="435" spans="9:22" x14ac:dyDescent="0.45">
      <c r="I435" t="s">
        <v>182</v>
      </c>
      <c r="J435" t="s">
        <v>262</v>
      </c>
      <c r="K435">
        <v>0</v>
      </c>
      <c r="L435" t="s">
        <v>154</v>
      </c>
      <c r="N435" t="s">
        <v>211</v>
      </c>
      <c r="O435" t="s">
        <v>262</v>
      </c>
      <c r="P435">
        <v>3.5265339052508969E-3</v>
      </c>
      <c r="Q435" t="s">
        <v>154</v>
      </c>
      <c r="S435" t="s">
        <v>235</v>
      </c>
      <c r="T435" t="s">
        <v>262</v>
      </c>
      <c r="U435">
        <v>1.9913551686287778E-3</v>
      </c>
      <c r="V435" t="s">
        <v>154</v>
      </c>
    </row>
    <row r="436" spans="9:22" x14ac:dyDescent="0.45">
      <c r="I436" t="s">
        <v>182</v>
      </c>
      <c r="J436" t="s">
        <v>263</v>
      </c>
      <c r="K436">
        <v>0</v>
      </c>
      <c r="L436" t="s">
        <v>154</v>
      </c>
      <c r="N436" t="s">
        <v>211</v>
      </c>
      <c r="O436" t="s">
        <v>263</v>
      </c>
      <c r="P436">
        <v>1.9158576506203298E-2</v>
      </c>
      <c r="Q436" t="s">
        <v>154</v>
      </c>
      <c r="S436" t="s">
        <v>235</v>
      </c>
      <c r="T436" t="s">
        <v>263</v>
      </c>
      <c r="U436">
        <v>9.8129211383040111E-3</v>
      </c>
      <c r="V436" t="s">
        <v>154</v>
      </c>
    </row>
    <row r="437" spans="9:22" x14ac:dyDescent="0.45">
      <c r="I437" t="s">
        <v>182</v>
      </c>
      <c r="J437" t="s">
        <v>163</v>
      </c>
      <c r="K437">
        <v>0</v>
      </c>
      <c r="L437" t="s">
        <v>154</v>
      </c>
      <c r="N437" t="s">
        <v>211</v>
      </c>
      <c r="O437" t="s">
        <v>163</v>
      </c>
      <c r="P437">
        <v>4.0665394290123599E-2</v>
      </c>
      <c r="Q437" t="s">
        <v>154</v>
      </c>
      <c r="S437" t="s">
        <v>235</v>
      </c>
      <c r="T437" t="s">
        <v>163</v>
      </c>
      <c r="U437">
        <v>3.5363660415264925E-2</v>
      </c>
      <c r="V437" t="s">
        <v>154</v>
      </c>
    </row>
    <row r="438" spans="9:22" x14ac:dyDescent="0.45">
      <c r="I438" t="s">
        <v>182</v>
      </c>
      <c r="J438" t="s">
        <v>164</v>
      </c>
      <c r="K438">
        <v>6.10721307614134E-3</v>
      </c>
      <c r="L438" t="s">
        <v>154</v>
      </c>
      <c r="N438" t="s">
        <v>211</v>
      </c>
      <c r="O438" t="s">
        <v>164</v>
      </c>
      <c r="P438">
        <v>1.1369196177603852E-2</v>
      </c>
      <c r="Q438" t="s">
        <v>154</v>
      </c>
      <c r="S438" t="s">
        <v>235</v>
      </c>
      <c r="T438" t="s">
        <v>164</v>
      </c>
      <c r="U438">
        <v>8.9001769665848305E-3</v>
      </c>
      <c r="V438" t="s">
        <v>154</v>
      </c>
    </row>
    <row r="439" spans="9:22" x14ac:dyDescent="0.45">
      <c r="I439" t="s">
        <v>182</v>
      </c>
      <c r="J439" t="s">
        <v>165</v>
      </c>
      <c r="K439">
        <v>6.6832255733196552E-2</v>
      </c>
      <c r="L439" t="s">
        <v>154</v>
      </c>
      <c r="N439" t="s">
        <v>211</v>
      </c>
      <c r="O439" t="s">
        <v>165</v>
      </c>
      <c r="P439">
        <v>4.7120449284241243E-2</v>
      </c>
      <c r="Q439" t="s">
        <v>154</v>
      </c>
      <c r="S439" t="s">
        <v>235</v>
      </c>
      <c r="T439" t="s">
        <v>165</v>
      </c>
      <c r="U439">
        <v>3.4235399992025121E-2</v>
      </c>
      <c r="V439" t="s">
        <v>154</v>
      </c>
    </row>
    <row r="440" spans="9:22" x14ac:dyDescent="0.45">
      <c r="I440" t="s">
        <v>182</v>
      </c>
      <c r="J440" t="s">
        <v>264</v>
      </c>
      <c r="K440">
        <v>3.0431941780247372E-3</v>
      </c>
      <c r="L440" t="s">
        <v>154</v>
      </c>
      <c r="N440" t="s">
        <v>211</v>
      </c>
      <c r="O440" t="s">
        <v>264</v>
      </c>
      <c r="P440">
        <v>5.9898448148177222E-3</v>
      </c>
      <c r="Q440" t="s">
        <v>154</v>
      </c>
      <c r="S440" t="s">
        <v>235</v>
      </c>
      <c r="T440" t="s">
        <v>264</v>
      </c>
      <c r="U440">
        <v>4.4826010960199274E-3</v>
      </c>
      <c r="V440" t="s">
        <v>154</v>
      </c>
    </row>
    <row r="441" spans="9:22" x14ac:dyDescent="0.45">
      <c r="I441" t="s">
        <v>182</v>
      </c>
      <c r="J441" t="s">
        <v>265</v>
      </c>
      <c r="K441">
        <v>0</v>
      </c>
      <c r="L441" t="s">
        <v>154</v>
      </c>
      <c r="N441" t="s">
        <v>211</v>
      </c>
      <c r="O441" t="s">
        <v>265</v>
      </c>
      <c r="P441">
        <v>5.1528239579290425E-3</v>
      </c>
      <c r="Q441" t="s">
        <v>154</v>
      </c>
      <c r="S441" t="s">
        <v>235</v>
      </c>
      <c r="T441" t="s">
        <v>265</v>
      </c>
      <c r="U441">
        <v>4.3319580822669965E-3</v>
      </c>
      <c r="V441" t="s">
        <v>154</v>
      </c>
    </row>
    <row r="442" spans="9:22" x14ac:dyDescent="0.45">
      <c r="I442" t="s">
        <v>182</v>
      </c>
      <c r="J442" t="s">
        <v>266</v>
      </c>
      <c r="K442">
        <v>0</v>
      </c>
      <c r="L442" t="s">
        <v>154</v>
      </c>
      <c r="N442" t="s">
        <v>211</v>
      </c>
      <c r="O442" t="s">
        <v>266</v>
      </c>
      <c r="P442">
        <v>3.2150466783719675E-2</v>
      </c>
      <c r="Q442" t="s">
        <v>154</v>
      </c>
      <c r="S442" t="s">
        <v>235</v>
      </c>
      <c r="T442" t="s">
        <v>266</v>
      </c>
      <c r="U442">
        <v>2.7546309191578314E-2</v>
      </c>
      <c r="V442" t="s">
        <v>154</v>
      </c>
    </row>
    <row r="443" spans="9:22" x14ac:dyDescent="0.45">
      <c r="I443" t="s">
        <v>183</v>
      </c>
      <c r="J443" t="s">
        <v>153</v>
      </c>
      <c r="K443">
        <v>5.5324663338914967E-3</v>
      </c>
      <c r="L443" t="s">
        <v>154</v>
      </c>
      <c r="N443" t="s">
        <v>212</v>
      </c>
      <c r="O443" t="s">
        <v>153</v>
      </c>
      <c r="P443">
        <v>0.17658356761443772</v>
      </c>
      <c r="Q443" t="s">
        <v>154</v>
      </c>
      <c r="S443" t="s">
        <v>236</v>
      </c>
      <c r="T443" t="s">
        <v>153</v>
      </c>
      <c r="U443">
        <v>0.1797946701610762</v>
      </c>
      <c r="V443" t="s">
        <v>154</v>
      </c>
    </row>
    <row r="444" spans="9:22" x14ac:dyDescent="0.45">
      <c r="I444" t="s">
        <v>183</v>
      </c>
      <c r="J444" t="s">
        <v>155</v>
      </c>
      <c r="K444">
        <v>7.2981199694500232E-2</v>
      </c>
      <c r="L444" t="s">
        <v>154</v>
      </c>
      <c r="N444" t="s">
        <v>212</v>
      </c>
      <c r="O444" t="s">
        <v>155</v>
      </c>
      <c r="P444">
        <v>4.8444752967675822E-2</v>
      </c>
      <c r="Q444" t="s">
        <v>154</v>
      </c>
      <c r="S444" t="s">
        <v>236</v>
      </c>
      <c r="T444" t="s">
        <v>155</v>
      </c>
      <c r="U444">
        <v>5.1389989205929583E-2</v>
      </c>
      <c r="V444" t="s">
        <v>154</v>
      </c>
    </row>
    <row r="445" spans="9:22" x14ac:dyDescent="0.45">
      <c r="I445" t="s">
        <v>183</v>
      </c>
      <c r="J445" t="s">
        <v>156</v>
      </c>
      <c r="K445">
        <v>0.57710114756835285</v>
      </c>
      <c r="L445" t="s">
        <v>154</v>
      </c>
      <c r="N445" t="s">
        <v>212</v>
      </c>
      <c r="O445" t="s">
        <v>156</v>
      </c>
      <c r="P445">
        <v>0.21319236200737904</v>
      </c>
      <c r="Q445" t="s">
        <v>154</v>
      </c>
      <c r="S445" t="s">
        <v>236</v>
      </c>
      <c r="T445" t="s">
        <v>156</v>
      </c>
      <c r="U445">
        <v>0.2010891804817139</v>
      </c>
      <c r="V445" t="s">
        <v>154</v>
      </c>
    </row>
    <row r="446" spans="9:22" x14ac:dyDescent="0.45">
      <c r="I446" t="s">
        <v>183</v>
      </c>
      <c r="J446" t="s">
        <v>255</v>
      </c>
      <c r="K446">
        <v>3.7882974279893969E-2</v>
      </c>
      <c r="L446" t="s">
        <v>154</v>
      </c>
      <c r="N446" t="s">
        <v>212</v>
      </c>
      <c r="O446" t="s">
        <v>255</v>
      </c>
      <c r="P446">
        <v>2.5953523391384282E-2</v>
      </c>
      <c r="Q446" t="s">
        <v>154</v>
      </c>
      <c r="S446" t="s">
        <v>236</v>
      </c>
      <c r="T446" t="s">
        <v>255</v>
      </c>
      <c r="U446">
        <v>2.5667445091937118E-2</v>
      </c>
      <c r="V446" t="s">
        <v>154</v>
      </c>
    </row>
    <row r="447" spans="9:22" x14ac:dyDescent="0.45">
      <c r="I447" t="s">
        <v>183</v>
      </c>
      <c r="J447" t="s">
        <v>256</v>
      </c>
      <c r="K447">
        <v>2.0820747073895106E-2</v>
      </c>
      <c r="L447" t="s">
        <v>154</v>
      </c>
      <c r="N447" t="s">
        <v>212</v>
      </c>
      <c r="O447" t="s">
        <v>256</v>
      </c>
      <c r="P447">
        <v>2.3221925309632959E-2</v>
      </c>
      <c r="Q447" t="s">
        <v>154</v>
      </c>
      <c r="S447" t="s">
        <v>236</v>
      </c>
      <c r="T447" t="s">
        <v>256</v>
      </c>
      <c r="U447">
        <v>2.3090992148190239E-2</v>
      </c>
      <c r="V447" t="s">
        <v>154</v>
      </c>
    </row>
    <row r="448" spans="9:22" x14ac:dyDescent="0.45">
      <c r="I448" t="s">
        <v>183</v>
      </c>
      <c r="J448" t="s">
        <v>257</v>
      </c>
      <c r="K448">
        <v>3.1499117353136961E-6</v>
      </c>
      <c r="L448" t="s">
        <v>154</v>
      </c>
      <c r="N448" t="s">
        <v>212</v>
      </c>
      <c r="O448" t="s">
        <v>257</v>
      </c>
      <c r="P448">
        <v>0.11919757016595847</v>
      </c>
      <c r="Q448" t="s">
        <v>154</v>
      </c>
      <c r="S448" t="s">
        <v>236</v>
      </c>
      <c r="T448" t="s">
        <v>257</v>
      </c>
      <c r="U448">
        <v>0.13427263029397377</v>
      </c>
      <c r="V448" t="s">
        <v>154</v>
      </c>
    </row>
    <row r="449" spans="9:22" x14ac:dyDescent="0.45">
      <c r="I449" t="s">
        <v>183</v>
      </c>
      <c r="J449" t="s">
        <v>157</v>
      </c>
      <c r="K449">
        <v>0</v>
      </c>
      <c r="L449" t="s">
        <v>154</v>
      </c>
      <c r="N449" t="s">
        <v>212</v>
      </c>
      <c r="O449" t="s">
        <v>157</v>
      </c>
      <c r="P449">
        <v>3.650337829939606E-2</v>
      </c>
      <c r="Q449" t="s">
        <v>154</v>
      </c>
      <c r="S449" t="s">
        <v>236</v>
      </c>
      <c r="T449" t="s">
        <v>157</v>
      </c>
      <c r="U449">
        <v>6.0117251645017591E-2</v>
      </c>
      <c r="V449" t="s">
        <v>154</v>
      </c>
    </row>
    <row r="450" spans="9:22" x14ac:dyDescent="0.45">
      <c r="I450" t="s">
        <v>183</v>
      </c>
      <c r="J450" t="s">
        <v>158</v>
      </c>
      <c r="K450">
        <v>1.4671262912076372E-2</v>
      </c>
      <c r="L450" t="s">
        <v>154</v>
      </c>
      <c r="N450" t="s">
        <v>212</v>
      </c>
      <c r="O450" t="s">
        <v>158</v>
      </c>
      <c r="P450">
        <v>9.8381209639638138E-3</v>
      </c>
      <c r="Q450" t="s">
        <v>154</v>
      </c>
      <c r="S450" t="s">
        <v>236</v>
      </c>
      <c r="T450" t="s">
        <v>158</v>
      </c>
      <c r="U450">
        <v>1.5942470164822063E-2</v>
      </c>
      <c r="V450" t="s">
        <v>154</v>
      </c>
    </row>
    <row r="451" spans="9:22" x14ac:dyDescent="0.45">
      <c r="I451" t="s">
        <v>183</v>
      </c>
      <c r="J451" t="s">
        <v>159</v>
      </c>
      <c r="K451">
        <v>0.11520456975053842</v>
      </c>
      <c r="L451" t="s">
        <v>154</v>
      </c>
      <c r="N451" t="s">
        <v>212</v>
      </c>
      <c r="O451" t="s">
        <v>159</v>
      </c>
      <c r="P451">
        <v>4.8965450385949599E-2</v>
      </c>
      <c r="Q451" t="s">
        <v>154</v>
      </c>
      <c r="S451" t="s">
        <v>236</v>
      </c>
      <c r="T451" t="s">
        <v>159</v>
      </c>
      <c r="U451">
        <v>6.5537691638457796E-2</v>
      </c>
      <c r="V451" t="s">
        <v>154</v>
      </c>
    </row>
    <row r="452" spans="9:22" x14ac:dyDescent="0.45">
      <c r="I452" t="s">
        <v>183</v>
      </c>
      <c r="J452" t="s">
        <v>258</v>
      </c>
      <c r="K452">
        <v>6.7967951195342623E-3</v>
      </c>
      <c r="L452" t="s">
        <v>154</v>
      </c>
      <c r="N452" t="s">
        <v>212</v>
      </c>
      <c r="O452" t="s">
        <v>258</v>
      </c>
      <c r="P452">
        <v>6.3285498690374802E-3</v>
      </c>
      <c r="Q452" t="s">
        <v>154</v>
      </c>
      <c r="S452" t="s">
        <v>236</v>
      </c>
      <c r="T452" t="s">
        <v>258</v>
      </c>
      <c r="U452">
        <v>7.8574637396358425E-3</v>
      </c>
      <c r="V452" t="s">
        <v>154</v>
      </c>
    </row>
    <row r="453" spans="9:22" x14ac:dyDescent="0.45">
      <c r="I453" t="s">
        <v>183</v>
      </c>
      <c r="J453" t="s">
        <v>259</v>
      </c>
      <c r="K453">
        <v>3.3246701564185249E-3</v>
      </c>
      <c r="L453" t="s">
        <v>154</v>
      </c>
      <c r="N453" t="s">
        <v>212</v>
      </c>
      <c r="O453" t="s">
        <v>259</v>
      </c>
      <c r="P453">
        <v>5.5442414234451566E-3</v>
      </c>
      <c r="Q453" t="s">
        <v>154</v>
      </c>
      <c r="S453" t="s">
        <v>236</v>
      </c>
      <c r="T453" t="s">
        <v>259</v>
      </c>
      <c r="U453">
        <v>7.8709690953278569E-3</v>
      </c>
      <c r="V453" t="s">
        <v>154</v>
      </c>
    </row>
    <row r="454" spans="9:22" x14ac:dyDescent="0.45">
      <c r="I454" t="s">
        <v>183</v>
      </c>
      <c r="J454" t="s">
        <v>260</v>
      </c>
      <c r="K454">
        <v>0</v>
      </c>
      <c r="L454" t="s">
        <v>154</v>
      </c>
      <c r="N454" t="s">
        <v>212</v>
      </c>
      <c r="O454" t="s">
        <v>260</v>
      </c>
      <c r="P454">
        <v>2.6279884005571037E-2</v>
      </c>
      <c r="Q454" t="s">
        <v>154</v>
      </c>
      <c r="S454" t="s">
        <v>236</v>
      </c>
      <c r="T454" t="s">
        <v>260</v>
      </c>
      <c r="U454">
        <v>3.7684089936126097E-2</v>
      </c>
      <c r="V454" t="s">
        <v>154</v>
      </c>
    </row>
    <row r="455" spans="9:22" x14ac:dyDescent="0.45">
      <c r="I455" t="s">
        <v>183</v>
      </c>
      <c r="J455" t="s">
        <v>160</v>
      </c>
      <c r="K455">
        <v>0</v>
      </c>
      <c r="L455" t="s">
        <v>154</v>
      </c>
      <c r="N455" t="s">
        <v>212</v>
      </c>
      <c r="O455" t="s">
        <v>160</v>
      </c>
      <c r="P455">
        <v>2.4805369440299534E-2</v>
      </c>
      <c r="Q455" t="s">
        <v>154</v>
      </c>
      <c r="S455" t="s">
        <v>236</v>
      </c>
      <c r="T455" t="s">
        <v>160</v>
      </c>
      <c r="U455">
        <v>1.96696173038153E-2</v>
      </c>
      <c r="V455" t="s">
        <v>154</v>
      </c>
    </row>
    <row r="456" spans="9:22" x14ac:dyDescent="0.45">
      <c r="I456" t="s">
        <v>183</v>
      </c>
      <c r="J456" t="s">
        <v>161</v>
      </c>
      <c r="K456">
        <v>7.9833259830340737E-3</v>
      </c>
      <c r="L456" t="s">
        <v>154</v>
      </c>
      <c r="N456" t="s">
        <v>212</v>
      </c>
      <c r="O456" t="s">
        <v>161</v>
      </c>
      <c r="P456">
        <v>6.8894568315216054E-3</v>
      </c>
      <c r="Q456" t="s">
        <v>154</v>
      </c>
      <c r="S456" t="s">
        <v>236</v>
      </c>
      <c r="T456" t="s">
        <v>161</v>
      </c>
      <c r="U456">
        <v>5.9631627321578692E-3</v>
      </c>
      <c r="V456" t="s">
        <v>154</v>
      </c>
    </row>
    <row r="457" spans="9:22" x14ac:dyDescent="0.45">
      <c r="I457" t="s">
        <v>183</v>
      </c>
      <c r="J457" t="s">
        <v>162</v>
      </c>
      <c r="K457">
        <v>6.0111450029170233E-2</v>
      </c>
      <c r="L457" t="s">
        <v>154</v>
      </c>
      <c r="N457" t="s">
        <v>212</v>
      </c>
      <c r="O457" t="s">
        <v>162</v>
      </c>
      <c r="P457">
        <v>2.8732743682589202E-2</v>
      </c>
      <c r="Q457" t="s">
        <v>154</v>
      </c>
      <c r="S457" t="s">
        <v>236</v>
      </c>
      <c r="T457" t="s">
        <v>162</v>
      </c>
      <c r="U457">
        <v>2.5832549967046842E-2</v>
      </c>
      <c r="V457" t="s">
        <v>154</v>
      </c>
    </row>
    <row r="458" spans="9:22" x14ac:dyDescent="0.45">
      <c r="I458" t="s">
        <v>183</v>
      </c>
      <c r="J458" t="s">
        <v>261</v>
      </c>
      <c r="K458">
        <v>3.8505626283577544E-3</v>
      </c>
      <c r="L458" t="s">
        <v>154</v>
      </c>
      <c r="N458" t="s">
        <v>212</v>
      </c>
      <c r="O458" t="s">
        <v>261</v>
      </c>
      <c r="P458">
        <v>3.3669641544309603E-3</v>
      </c>
      <c r="Q458" t="s">
        <v>154</v>
      </c>
      <c r="S458" t="s">
        <v>236</v>
      </c>
      <c r="T458" t="s">
        <v>261</v>
      </c>
      <c r="U458">
        <v>3.4726952082505674E-3</v>
      </c>
      <c r="V458" t="s">
        <v>154</v>
      </c>
    </row>
    <row r="459" spans="9:22" x14ac:dyDescent="0.45">
      <c r="I459" t="s">
        <v>183</v>
      </c>
      <c r="J459" t="s">
        <v>262</v>
      </c>
      <c r="K459">
        <v>0</v>
      </c>
      <c r="L459" t="s">
        <v>154</v>
      </c>
      <c r="N459" t="s">
        <v>212</v>
      </c>
      <c r="O459" t="s">
        <v>262</v>
      </c>
      <c r="P459">
        <v>2.9852054989075428E-3</v>
      </c>
      <c r="Q459" t="s">
        <v>154</v>
      </c>
      <c r="S459" t="s">
        <v>236</v>
      </c>
      <c r="T459" t="s">
        <v>262</v>
      </c>
      <c r="U459">
        <v>3.2244270410074554E-3</v>
      </c>
      <c r="V459" t="s">
        <v>154</v>
      </c>
    </row>
    <row r="460" spans="9:22" x14ac:dyDescent="0.45">
      <c r="I460" t="s">
        <v>183</v>
      </c>
      <c r="J460" t="s">
        <v>263</v>
      </c>
      <c r="K460">
        <v>0</v>
      </c>
      <c r="L460" t="s">
        <v>154</v>
      </c>
      <c r="N460" t="s">
        <v>212</v>
      </c>
      <c r="O460" t="s">
        <v>263</v>
      </c>
      <c r="P460">
        <v>1.6085820945989288E-2</v>
      </c>
      <c r="Q460" t="s">
        <v>154</v>
      </c>
      <c r="S460" t="s">
        <v>236</v>
      </c>
      <c r="T460" t="s">
        <v>263</v>
      </c>
      <c r="U460">
        <v>1.6018434772176675E-2</v>
      </c>
      <c r="V460" t="s">
        <v>154</v>
      </c>
    </row>
    <row r="461" spans="9:22" x14ac:dyDescent="0.45">
      <c r="I461" t="s">
        <v>183</v>
      </c>
      <c r="J461" t="s">
        <v>163</v>
      </c>
      <c r="K461">
        <v>0</v>
      </c>
      <c r="L461" t="s">
        <v>154</v>
      </c>
      <c r="N461" t="s">
        <v>212</v>
      </c>
      <c r="O461" t="s">
        <v>163</v>
      </c>
      <c r="P461">
        <v>5.3060274598212852E-2</v>
      </c>
      <c r="Q461" t="s">
        <v>154</v>
      </c>
      <c r="S461" t="s">
        <v>236</v>
      </c>
      <c r="T461" t="s">
        <v>163</v>
      </c>
      <c r="U461">
        <v>3.3621180113257182E-2</v>
      </c>
      <c r="V461" t="s">
        <v>154</v>
      </c>
    </row>
    <row r="462" spans="9:22" x14ac:dyDescent="0.45">
      <c r="I462" t="s">
        <v>183</v>
      </c>
      <c r="J462" t="s">
        <v>164</v>
      </c>
      <c r="K462">
        <v>6.1112309744912538E-3</v>
      </c>
      <c r="L462" t="s">
        <v>154</v>
      </c>
      <c r="N462" t="s">
        <v>212</v>
      </c>
      <c r="O462" t="s">
        <v>164</v>
      </c>
      <c r="P462">
        <v>1.4093423216464116E-2</v>
      </c>
      <c r="Q462" t="s">
        <v>154</v>
      </c>
      <c r="S462" t="s">
        <v>236</v>
      </c>
      <c r="T462" t="s">
        <v>164</v>
      </c>
      <c r="U462">
        <v>9.6770420162239634E-3</v>
      </c>
      <c r="V462" t="s">
        <v>154</v>
      </c>
    </row>
    <row r="463" spans="9:22" x14ac:dyDescent="0.45">
      <c r="I463" t="s">
        <v>183</v>
      </c>
      <c r="J463" t="s">
        <v>165</v>
      </c>
      <c r="K463">
        <v>6.4633279316923059E-2</v>
      </c>
      <c r="L463" t="s">
        <v>154</v>
      </c>
      <c r="N463" t="s">
        <v>212</v>
      </c>
      <c r="O463" t="s">
        <v>165</v>
      </c>
      <c r="P463">
        <v>6.116123228930171E-2</v>
      </c>
      <c r="Q463" t="s">
        <v>154</v>
      </c>
      <c r="S463" t="s">
        <v>236</v>
      </c>
      <c r="T463" t="s">
        <v>165</v>
      </c>
      <c r="U463">
        <v>3.7945108905853078E-2</v>
      </c>
      <c r="V463" t="s">
        <v>154</v>
      </c>
    </row>
    <row r="464" spans="9:22" x14ac:dyDescent="0.45">
      <c r="I464" t="s">
        <v>183</v>
      </c>
      <c r="J464" t="s">
        <v>264</v>
      </c>
      <c r="K464">
        <v>2.9911682671851774E-3</v>
      </c>
      <c r="L464" t="s">
        <v>154</v>
      </c>
      <c r="N464" t="s">
        <v>212</v>
      </c>
      <c r="O464" t="s">
        <v>264</v>
      </c>
      <c r="P464">
        <v>7.6882889685515208E-3</v>
      </c>
      <c r="Q464" t="s">
        <v>154</v>
      </c>
      <c r="S464" t="s">
        <v>236</v>
      </c>
      <c r="T464" t="s">
        <v>264</v>
      </c>
      <c r="U464">
        <v>4.8743437115937541E-3</v>
      </c>
      <c r="V464" t="s">
        <v>154</v>
      </c>
    </row>
    <row r="465" spans="9:22" x14ac:dyDescent="0.45">
      <c r="I465" t="s">
        <v>183</v>
      </c>
      <c r="J465" t="s">
        <v>265</v>
      </c>
      <c r="K465">
        <v>0</v>
      </c>
      <c r="L465" t="s">
        <v>154</v>
      </c>
      <c r="N465" t="s">
        <v>212</v>
      </c>
      <c r="O465" t="s">
        <v>265</v>
      </c>
      <c r="P465">
        <v>6.4096343232382747E-3</v>
      </c>
      <c r="Q465" t="s">
        <v>154</v>
      </c>
      <c r="S465" t="s">
        <v>236</v>
      </c>
      <c r="T465" t="s">
        <v>265</v>
      </c>
      <c r="U465">
        <v>4.0133889079716914E-3</v>
      </c>
      <c r="V465" t="s">
        <v>154</v>
      </c>
    </row>
    <row r="466" spans="9:22" x14ac:dyDescent="0.45">
      <c r="I466" t="s">
        <v>183</v>
      </c>
      <c r="J466" t="s">
        <v>266</v>
      </c>
      <c r="K466">
        <v>0</v>
      </c>
      <c r="L466" t="s">
        <v>154</v>
      </c>
      <c r="N466" t="s">
        <v>212</v>
      </c>
      <c r="O466" t="s">
        <v>266</v>
      </c>
      <c r="P466">
        <v>3.4668259646664902E-2</v>
      </c>
      <c r="Q466" t="s">
        <v>154</v>
      </c>
      <c r="S466" t="s">
        <v>236</v>
      </c>
      <c r="T466" t="s">
        <v>266</v>
      </c>
      <c r="U466">
        <v>2.5373205718436171E-2</v>
      </c>
      <c r="V466" t="s">
        <v>154</v>
      </c>
    </row>
    <row r="467" spans="9:22" x14ac:dyDescent="0.45">
      <c r="I467" t="s">
        <v>184</v>
      </c>
      <c r="J467" t="s">
        <v>153</v>
      </c>
      <c r="K467">
        <v>0</v>
      </c>
      <c r="L467" t="s">
        <v>154</v>
      </c>
      <c r="N467" t="s">
        <v>213</v>
      </c>
      <c r="O467" t="s">
        <v>153</v>
      </c>
      <c r="P467">
        <v>0.19627507243791634</v>
      </c>
      <c r="Q467" t="s">
        <v>154</v>
      </c>
      <c r="S467" t="s">
        <v>237</v>
      </c>
      <c r="T467" t="s">
        <v>153</v>
      </c>
      <c r="U467">
        <v>0.18984545548551951</v>
      </c>
      <c r="V467" t="s">
        <v>154</v>
      </c>
    </row>
    <row r="468" spans="9:22" x14ac:dyDescent="0.45">
      <c r="I468" t="s">
        <v>184</v>
      </c>
      <c r="J468" t="s">
        <v>155</v>
      </c>
      <c r="K468">
        <v>5.6132014664958978E-2</v>
      </c>
      <c r="L468" t="s">
        <v>154</v>
      </c>
      <c r="N468" t="s">
        <v>213</v>
      </c>
      <c r="O468" t="s">
        <v>155</v>
      </c>
      <c r="P468">
        <v>5.3435617924914858E-2</v>
      </c>
      <c r="Q468" t="s">
        <v>154</v>
      </c>
      <c r="S468" t="s">
        <v>237</v>
      </c>
      <c r="T468" t="s">
        <v>155</v>
      </c>
      <c r="U468">
        <v>4.9783115651152052E-2</v>
      </c>
      <c r="V468" t="s">
        <v>154</v>
      </c>
    </row>
    <row r="469" spans="9:22" x14ac:dyDescent="0.45">
      <c r="I469" t="s">
        <v>184</v>
      </c>
      <c r="J469" t="s">
        <v>156</v>
      </c>
      <c r="K469">
        <v>0.53276864763903609</v>
      </c>
      <c r="L469" t="s">
        <v>154</v>
      </c>
      <c r="N469" t="s">
        <v>213</v>
      </c>
      <c r="O469" t="s">
        <v>156</v>
      </c>
      <c r="P469">
        <v>0.21318155202575037</v>
      </c>
      <c r="Q469" t="s">
        <v>154</v>
      </c>
      <c r="S469" t="s">
        <v>237</v>
      </c>
      <c r="T469" t="s">
        <v>156</v>
      </c>
      <c r="U469">
        <v>0.20771645282528473</v>
      </c>
      <c r="V469" t="s">
        <v>154</v>
      </c>
    </row>
    <row r="470" spans="9:22" x14ac:dyDescent="0.45">
      <c r="I470" t="s">
        <v>184</v>
      </c>
      <c r="J470" t="s">
        <v>255</v>
      </c>
      <c r="K470">
        <v>4.245320936415866E-2</v>
      </c>
      <c r="L470" t="s">
        <v>154</v>
      </c>
      <c r="N470" t="s">
        <v>213</v>
      </c>
      <c r="O470" t="s">
        <v>255</v>
      </c>
      <c r="P470">
        <v>2.8893221183896679E-2</v>
      </c>
      <c r="Q470" t="s">
        <v>154</v>
      </c>
      <c r="S470" t="s">
        <v>237</v>
      </c>
      <c r="T470" t="s">
        <v>255</v>
      </c>
      <c r="U470">
        <v>2.6215061447192458E-2</v>
      </c>
      <c r="V470" t="s">
        <v>154</v>
      </c>
    </row>
    <row r="471" spans="9:22" x14ac:dyDescent="0.45">
      <c r="I471" t="s">
        <v>184</v>
      </c>
      <c r="J471" t="s">
        <v>256</v>
      </c>
      <c r="K471">
        <v>2.6725763375593247E-2</v>
      </c>
      <c r="L471" t="s">
        <v>154</v>
      </c>
      <c r="N471" t="s">
        <v>213</v>
      </c>
      <c r="O471" t="s">
        <v>256</v>
      </c>
      <c r="P471">
        <v>2.619032879768279E-2</v>
      </c>
      <c r="Q471" t="s">
        <v>154</v>
      </c>
      <c r="S471" t="s">
        <v>237</v>
      </c>
      <c r="T471" t="s">
        <v>256</v>
      </c>
      <c r="U471">
        <v>2.3968512260639903E-2</v>
      </c>
      <c r="V471" t="s">
        <v>154</v>
      </c>
    </row>
    <row r="472" spans="9:22" x14ac:dyDescent="0.45">
      <c r="I472" t="s">
        <v>184</v>
      </c>
      <c r="J472" t="s">
        <v>257</v>
      </c>
      <c r="K472">
        <v>0</v>
      </c>
      <c r="L472" t="s">
        <v>154</v>
      </c>
      <c r="N472" t="s">
        <v>213</v>
      </c>
      <c r="O472" t="s">
        <v>257</v>
      </c>
      <c r="P472">
        <v>0.14289431037580705</v>
      </c>
      <c r="Q472" t="s">
        <v>154</v>
      </c>
      <c r="S472" t="s">
        <v>237</v>
      </c>
      <c r="T472" t="s">
        <v>257</v>
      </c>
      <c r="U472">
        <v>0.12652346200480899</v>
      </c>
      <c r="V472" t="s">
        <v>154</v>
      </c>
    </row>
    <row r="473" spans="9:22" x14ac:dyDescent="0.45">
      <c r="I473" t="s">
        <v>184</v>
      </c>
      <c r="J473" t="s">
        <v>157</v>
      </c>
      <c r="K473">
        <v>0</v>
      </c>
      <c r="L473" t="s">
        <v>154</v>
      </c>
      <c r="N473" t="s">
        <v>213</v>
      </c>
      <c r="O473" t="s">
        <v>157</v>
      </c>
      <c r="P473">
        <v>6.0718688557836423E-2</v>
      </c>
      <c r="Q473" t="s">
        <v>154</v>
      </c>
      <c r="S473" t="s">
        <v>237</v>
      </c>
      <c r="T473" t="s">
        <v>157</v>
      </c>
      <c r="U473">
        <v>3.6470749438560678E-2</v>
      </c>
      <c r="V473" t="s">
        <v>154</v>
      </c>
    </row>
    <row r="474" spans="9:22" x14ac:dyDescent="0.45">
      <c r="I474" t="s">
        <v>184</v>
      </c>
      <c r="J474" t="s">
        <v>158</v>
      </c>
      <c r="K474">
        <v>1.2669387240980465E-2</v>
      </c>
      <c r="L474" t="s">
        <v>154</v>
      </c>
      <c r="N474" t="s">
        <v>213</v>
      </c>
      <c r="O474" t="s">
        <v>158</v>
      </c>
      <c r="P474">
        <v>1.5251171373994102E-2</v>
      </c>
      <c r="Q474" t="s">
        <v>154</v>
      </c>
      <c r="S474" t="s">
        <v>237</v>
      </c>
      <c r="T474" t="s">
        <v>158</v>
      </c>
      <c r="U474">
        <v>9.6563323863426784E-3</v>
      </c>
      <c r="V474" t="s">
        <v>154</v>
      </c>
    </row>
    <row r="475" spans="9:22" x14ac:dyDescent="0.45">
      <c r="I475" t="s">
        <v>184</v>
      </c>
      <c r="J475" t="s">
        <v>159</v>
      </c>
      <c r="K475">
        <v>0.11250437146088221</v>
      </c>
      <c r="L475" t="s">
        <v>154</v>
      </c>
      <c r="N475" t="s">
        <v>213</v>
      </c>
      <c r="O475" t="s">
        <v>159</v>
      </c>
      <c r="P475">
        <v>5.2702354472733255E-2</v>
      </c>
      <c r="Q475" t="s">
        <v>154</v>
      </c>
      <c r="S475" t="s">
        <v>237</v>
      </c>
      <c r="T475" t="s">
        <v>159</v>
      </c>
      <c r="U475">
        <v>4.6930592373504776E-2</v>
      </c>
      <c r="V475" t="s">
        <v>154</v>
      </c>
    </row>
    <row r="476" spans="9:22" x14ac:dyDescent="0.45">
      <c r="I476" t="s">
        <v>184</v>
      </c>
      <c r="J476" t="s">
        <v>258</v>
      </c>
      <c r="K476">
        <v>7.2629160129176352E-3</v>
      </c>
      <c r="L476" t="s">
        <v>154</v>
      </c>
      <c r="N476" t="s">
        <v>213</v>
      </c>
      <c r="O476" t="s">
        <v>258</v>
      </c>
      <c r="P476">
        <v>6.4791602877463028E-3</v>
      </c>
      <c r="Q476" t="s">
        <v>154</v>
      </c>
      <c r="S476" t="s">
        <v>237</v>
      </c>
      <c r="T476" t="s">
        <v>258</v>
      </c>
      <c r="U476">
        <v>5.5981778625270821E-3</v>
      </c>
      <c r="V476" t="s">
        <v>154</v>
      </c>
    </row>
    <row r="477" spans="9:22" x14ac:dyDescent="0.45">
      <c r="I477" t="s">
        <v>184</v>
      </c>
      <c r="J477" t="s">
        <v>259</v>
      </c>
      <c r="K477">
        <v>4.0481594472854422E-3</v>
      </c>
      <c r="L477" t="s">
        <v>154</v>
      </c>
      <c r="N477" t="s">
        <v>213</v>
      </c>
      <c r="O477" t="s">
        <v>259</v>
      </c>
      <c r="P477">
        <v>6.7676479700273179E-3</v>
      </c>
      <c r="Q477" t="s">
        <v>154</v>
      </c>
      <c r="S477" t="s">
        <v>237</v>
      </c>
      <c r="T477" t="s">
        <v>259</v>
      </c>
      <c r="U477">
        <v>4.5960509602972037E-3</v>
      </c>
      <c r="V477" t="s">
        <v>154</v>
      </c>
    </row>
    <row r="478" spans="9:22" x14ac:dyDescent="0.45">
      <c r="I478" t="s">
        <v>184</v>
      </c>
      <c r="J478" t="s">
        <v>260</v>
      </c>
      <c r="K478">
        <v>0</v>
      </c>
      <c r="L478" t="s">
        <v>154</v>
      </c>
      <c r="N478" t="s">
        <v>213</v>
      </c>
      <c r="O478" t="s">
        <v>260</v>
      </c>
      <c r="P478">
        <v>3.9562818985640902E-2</v>
      </c>
      <c r="Q478" t="s">
        <v>154</v>
      </c>
      <c r="S478" t="s">
        <v>237</v>
      </c>
      <c r="T478" t="s">
        <v>260</v>
      </c>
      <c r="U478">
        <v>2.2430965835244218E-2</v>
      </c>
      <c r="V478" t="s">
        <v>154</v>
      </c>
    </row>
    <row r="479" spans="9:22" x14ac:dyDescent="0.45">
      <c r="I479" t="s">
        <v>184</v>
      </c>
      <c r="J479" t="s">
        <v>160</v>
      </c>
      <c r="K479">
        <v>0</v>
      </c>
      <c r="L479" t="s">
        <v>154</v>
      </c>
      <c r="N479" t="s">
        <v>213</v>
      </c>
      <c r="O479" t="s">
        <v>160</v>
      </c>
      <c r="P479">
        <v>2.3015128254955063E-2</v>
      </c>
      <c r="Q479" t="s">
        <v>154</v>
      </c>
      <c r="S479" t="s">
        <v>237</v>
      </c>
      <c r="T479" t="s">
        <v>160</v>
      </c>
      <c r="U479">
        <v>2.4960118836613233E-2</v>
      </c>
      <c r="V479" t="s">
        <v>154</v>
      </c>
    </row>
    <row r="480" spans="9:22" x14ac:dyDescent="0.45">
      <c r="I480" t="s">
        <v>184</v>
      </c>
      <c r="J480" t="s">
        <v>161</v>
      </c>
      <c r="K480">
        <v>8.2740802488027784E-3</v>
      </c>
      <c r="L480" t="s">
        <v>154</v>
      </c>
      <c r="N480" t="s">
        <v>213</v>
      </c>
      <c r="O480" t="s">
        <v>161</v>
      </c>
      <c r="P480">
        <v>4.9702300424460735E-3</v>
      </c>
      <c r="Q480" t="s">
        <v>154</v>
      </c>
      <c r="S480" t="s">
        <v>237</v>
      </c>
      <c r="T480" t="s">
        <v>161</v>
      </c>
      <c r="U480">
        <v>6.55155772144843E-3</v>
      </c>
      <c r="V480" t="s">
        <v>154</v>
      </c>
    </row>
    <row r="481" spans="9:22" x14ac:dyDescent="0.45">
      <c r="I481" t="s">
        <v>184</v>
      </c>
      <c r="J481" t="s">
        <v>162</v>
      </c>
      <c r="K481">
        <v>5.9320145594129382E-2</v>
      </c>
      <c r="L481" t="s">
        <v>154</v>
      </c>
      <c r="N481" t="s">
        <v>213</v>
      </c>
      <c r="O481" t="s">
        <v>162</v>
      </c>
      <c r="P481">
        <v>2.1749803744738047E-2</v>
      </c>
      <c r="Q481" t="s">
        <v>154</v>
      </c>
      <c r="S481" t="s">
        <v>237</v>
      </c>
      <c r="T481" t="s">
        <v>162</v>
      </c>
      <c r="U481">
        <v>2.3942478172186418E-2</v>
      </c>
      <c r="V481" t="s">
        <v>154</v>
      </c>
    </row>
    <row r="482" spans="9:22" x14ac:dyDescent="0.45">
      <c r="I482" t="s">
        <v>184</v>
      </c>
      <c r="J482" t="s">
        <v>261</v>
      </c>
      <c r="K482">
        <v>3.658902566793664E-3</v>
      </c>
      <c r="L482" t="s">
        <v>154</v>
      </c>
      <c r="N482" t="s">
        <v>213</v>
      </c>
      <c r="O482" t="s">
        <v>261</v>
      </c>
      <c r="P482">
        <v>3.1036651990078534E-3</v>
      </c>
      <c r="Q482" t="s">
        <v>154</v>
      </c>
      <c r="S482" t="s">
        <v>237</v>
      </c>
      <c r="T482" t="s">
        <v>261</v>
      </c>
      <c r="U482">
        <v>2.912609374993672E-3</v>
      </c>
      <c r="V482" t="s">
        <v>154</v>
      </c>
    </row>
    <row r="483" spans="9:22" x14ac:dyDescent="0.45">
      <c r="I483" t="s">
        <v>184</v>
      </c>
      <c r="J483" t="s">
        <v>262</v>
      </c>
      <c r="K483">
        <v>2.3182179585663717E-3</v>
      </c>
      <c r="L483" t="s">
        <v>154</v>
      </c>
      <c r="N483" t="s">
        <v>213</v>
      </c>
      <c r="O483" t="s">
        <v>262</v>
      </c>
      <c r="P483">
        <v>3.3042149965246265E-3</v>
      </c>
      <c r="Q483" t="s">
        <v>154</v>
      </c>
      <c r="S483" t="s">
        <v>237</v>
      </c>
      <c r="T483" t="s">
        <v>262</v>
      </c>
      <c r="U483">
        <v>2.6256105471128789E-3</v>
      </c>
      <c r="V483" t="s">
        <v>154</v>
      </c>
    </row>
    <row r="484" spans="9:22" x14ac:dyDescent="0.45">
      <c r="I484" t="s">
        <v>184</v>
      </c>
      <c r="J484" t="s">
        <v>263</v>
      </c>
      <c r="K484">
        <v>0</v>
      </c>
      <c r="L484" t="s">
        <v>154</v>
      </c>
      <c r="N484" t="s">
        <v>213</v>
      </c>
      <c r="O484" t="s">
        <v>263</v>
      </c>
      <c r="P484">
        <v>1.8121480043281603E-2</v>
      </c>
      <c r="Q484" t="s">
        <v>154</v>
      </c>
      <c r="S484" t="s">
        <v>237</v>
      </c>
      <c r="T484" t="s">
        <v>263</v>
      </c>
      <c r="U484">
        <v>1.6310972621830584E-2</v>
      </c>
      <c r="V484" t="s">
        <v>154</v>
      </c>
    </row>
    <row r="485" spans="9:22" x14ac:dyDescent="0.45">
      <c r="I485" t="s">
        <v>184</v>
      </c>
      <c r="J485" t="s">
        <v>163</v>
      </c>
      <c r="K485">
        <v>0</v>
      </c>
      <c r="L485" t="s">
        <v>154</v>
      </c>
      <c r="N485" t="s">
        <v>213</v>
      </c>
      <c r="O485" t="s">
        <v>163</v>
      </c>
      <c r="P485">
        <v>2.5309688013530077E-2</v>
      </c>
      <c r="Q485" t="s">
        <v>154</v>
      </c>
      <c r="S485" t="s">
        <v>237</v>
      </c>
      <c r="T485" t="s">
        <v>163</v>
      </c>
      <c r="U485">
        <v>5.3175889213716417E-2</v>
      </c>
      <c r="V485" t="s">
        <v>154</v>
      </c>
    </row>
    <row r="486" spans="9:22" x14ac:dyDescent="0.45">
      <c r="I486" t="s">
        <v>184</v>
      </c>
      <c r="J486" t="s">
        <v>164</v>
      </c>
      <c r="K486">
        <v>1.3628219676509288E-2</v>
      </c>
      <c r="L486" t="s">
        <v>154</v>
      </c>
      <c r="N486" t="s">
        <v>213</v>
      </c>
      <c r="O486" t="s">
        <v>164</v>
      </c>
      <c r="P486">
        <v>6.7582962868172735E-3</v>
      </c>
      <c r="Q486" t="s">
        <v>154</v>
      </c>
      <c r="S486" t="s">
        <v>237</v>
      </c>
      <c r="T486" t="s">
        <v>164</v>
      </c>
      <c r="U486">
        <v>1.3734031856167828E-2</v>
      </c>
      <c r="V486" t="s">
        <v>154</v>
      </c>
    </row>
    <row r="487" spans="9:22" x14ac:dyDescent="0.45">
      <c r="I487" t="s">
        <v>184</v>
      </c>
      <c r="J487" t="s">
        <v>165</v>
      </c>
      <c r="K487">
        <v>0.10683107133819561</v>
      </c>
      <c r="L487" t="s">
        <v>154</v>
      </c>
      <c r="N487" t="s">
        <v>213</v>
      </c>
      <c r="O487" t="s">
        <v>165</v>
      </c>
      <c r="P487">
        <v>2.3704069769324963E-2</v>
      </c>
      <c r="Q487" t="s">
        <v>154</v>
      </c>
      <c r="S487" t="s">
        <v>237</v>
      </c>
      <c r="T487" t="s">
        <v>165</v>
      </c>
      <c r="U487">
        <v>5.5368971302343598E-2</v>
      </c>
      <c r="V487" t="s">
        <v>154</v>
      </c>
    </row>
    <row r="488" spans="9:22" x14ac:dyDescent="0.45">
      <c r="I488" t="s">
        <v>184</v>
      </c>
      <c r="J488" t="s">
        <v>264</v>
      </c>
      <c r="K488">
        <v>7.2894297041153841E-3</v>
      </c>
      <c r="L488" t="s">
        <v>154</v>
      </c>
      <c r="N488" t="s">
        <v>213</v>
      </c>
      <c r="O488" t="s">
        <v>264</v>
      </c>
      <c r="P488">
        <v>4.0707616901408976E-3</v>
      </c>
      <c r="Q488" t="s">
        <v>154</v>
      </c>
      <c r="S488" t="s">
        <v>237</v>
      </c>
      <c r="T488" t="s">
        <v>264</v>
      </c>
      <c r="U488">
        <v>6.9398746113589387E-3</v>
      </c>
      <c r="V488" t="s">
        <v>154</v>
      </c>
    </row>
    <row r="489" spans="9:22" x14ac:dyDescent="0.45">
      <c r="I489" t="s">
        <v>184</v>
      </c>
      <c r="J489" t="s">
        <v>265</v>
      </c>
      <c r="K489">
        <v>4.1154637070748793E-3</v>
      </c>
      <c r="L489" t="s">
        <v>154</v>
      </c>
      <c r="N489" t="s">
        <v>213</v>
      </c>
      <c r="O489" t="s">
        <v>265</v>
      </c>
      <c r="P489">
        <v>3.27482640908158E-3</v>
      </c>
      <c r="Q489" t="s">
        <v>154</v>
      </c>
      <c r="S489" t="s">
        <v>237</v>
      </c>
      <c r="T489" t="s">
        <v>265</v>
      </c>
      <c r="U489">
        <v>6.0523364395996086E-3</v>
      </c>
      <c r="V489" t="s">
        <v>154</v>
      </c>
    </row>
    <row r="490" spans="9:22" x14ac:dyDescent="0.45">
      <c r="I490" t="s">
        <v>184</v>
      </c>
      <c r="J490" t="s">
        <v>266</v>
      </c>
      <c r="K490">
        <v>0</v>
      </c>
      <c r="L490" t="s">
        <v>154</v>
      </c>
      <c r="N490" t="s">
        <v>213</v>
      </c>
      <c r="O490" t="s">
        <v>266</v>
      </c>
      <c r="P490">
        <v>2.0265891156207787E-2</v>
      </c>
      <c r="Q490" t="s">
        <v>154</v>
      </c>
      <c r="S490" t="s">
        <v>237</v>
      </c>
      <c r="T490" t="s">
        <v>266</v>
      </c>
      <c r="U490">
        <v>3.7690620771552857E-2</v>
      </c>
      <c r="V490" t="s">
        <v>154</v>
      </c>
    </row>
    <row r="491" spans="9:22" x14ac:dyDescent="0.45">
      <c r="I491" t="s">
        <v>185</v>
      </c>
      <c r="J491" t="s">
        <v>153</v>
      </c>
      <c r="K491">
        <v>0</v>
      </c>
      <c r="L491" t="s">
        <v>154</v>
      </c>
      <c r="N491" t="s">
        <v>214</v>
      </c>
      <c r="O491" t="s">
        <v>153</v>
      </c>
      <c r="P491">
        <v>0.18851911350908396</v>
      </c>
      <c r="Q491" t="s">
        <v>154</v>
      </c>
      <c r="S491" t="s">
        <v>238</v>
      </c>
      <c r="T491" t="s">
        <v>153</v>
      </c>
      <c r="U491">
        <v>0.18714854829427793</v>
      </c>
      <c r="V491" t="s">
        <v>154</v>
      </c>
    </row>
    <row r="492" spans="9:22" x14ac:dyDescent="0.45">
      <c r="I492" t="s">
        <v>185</v>
      </c>
      <c r="J492" t="s">
        <v>155</v>
      </c>
      <c r="K492">
        <v>6.4871012861782151E-2</v>
      </c>
      <c r="L492" t="s">
        <v>154</v>
      </c>
      <c r="N492" t="s">
        <v>214</v>
      </c>
      <c r="O492" t="s">
        <v>155</v>
      </c>
      <c r="P492">
        <v>5.3783539185989999E-2</v>
      </c>
      <c r="Q492" t="s">
        <v>154</v>
      </c>
      <c r="S492" t="s">
        <v>238</v>
      </c>
      <c r="T492" t="s">
        <v>155</v>
      </c>
      <c r="U492">
        <v>5.0466150737459185E-2</v>
      </c>
      <c r="V492" t="s">
        <v>154</v>
      </c>
    </row>
    <row r="493" spans="9:22" x14ac:dyDescent="0.45">
      <c r="I493" t="s">
        <v>185</v>
      </c>
      <c r="J493" t="s">
        <v>156</v>
      </c>
      <c r="K493">
        <v>0.5378456205572566</v>
      </c>
      <c r="L493" t="s">
        <v>154</v>
      </c>
      <c r="N493" t="s">
        <v>214</v>
      </c>
      <c r="O493" t="s">
        <v>156</v>
      </c>
      <c r="P493">
        <v>0.25392003240052535</v>
      </c>
      <c r="Q493" t="s">
        <v>154</v>
      </c>
      <c r="S493" t="s">
        <v>238</v>
      </c>
      <c r="T493" t="s">
        <v>156</v>
      </c>
      <c r="U493">
        <v>0.20549379631962905</v>
      </c>
      <c r="V493" t="s">
        <v>154</v>
      </c>
    </row>
    <row r="494" spans="9:22" x14ac:dyDescent="0.45">
      <c r="I494" t="s">
        <v>185</v>
      </c>
      <c r="J494" t="s">
        <v>255</v>
      </c>
      <c r="K494">
        <v>4.0123992516483721E-2</v>
      </c>
      <c r="L494" t="s">
        <v>154</v>
      </c>
      <c r="N494" t="s">
        <v>214</v>
      </c>
      <c r="O494" t="s">
        <v>255</v>
      </c>
      <c r="P494">
        <v>2.7891399329416481E-2</v>
      </c>
      <c r="Q494" t="s">
        <v>154</v>
      </c>
      <c r="S494" t="s">
        <v>238</v>
      </c>
      <c r="T494" t="s">
        <v>255</v>
      </c>
      <c r="U494">
        <v>2.5632386755158242E-2</v>
      </c>
      <c r="V494" t="s">
        <v>154</v>
      </c>
    </row>
    <row r="495" spans="9:22" x14ac:dyDescent="0.45">
      <c r="I495" t="s">
        <v>185</v>
      </c>
      <c r="J495" t="s">
        <v>256</v>
      </c>
      <c r="K495">
        <v>2.3577193629146311E-2</v>
      </c>
      <c r="L495" t="s">
        <v>154</v>
      </c>
      <c r="N495" t="s">
        <v>214</v>
      </c>
      <c r="O495" t="s">
        <v>256</v>
      </c>
      <c r="P495">
        <v>2.5783309142582429E-2</v>
      </c>
      <c r="Q495" t="s">
        <v>154</v>
      </c>
      <c r="S495" t="s">
        <v>238</v>
      </c>
      <c r="T495" t="s">
        <v>256</v>
      </c>
      <c r="U495">
        <v>2.3475700187479156E-2</v>
      </c>
      <c r="V495" t="s">
        <v>154</v>
      </c>
    </row>
    <row r="496" spans="9:22" x14ac:dyDescent="0.45">
      <c r="I496" t="s">
        <v>185</v>
      </c>
      <c r="J496" t="s">
        <v>257</v>
      </c>
      <c r="K496">
        <v>0</v>
      </c>
      <c r="L496" t="s">
        <v>154</v>
      </c>
      <c r="N496" t="s">
        <v>214</v>
      </c>
      <c r="O496" t="s">
        <v>257</v>
      </c>
      <c r="P496">
        <v>0.1214726456991278</v>
      </c>
      <c r="Q496" t="s">
        <v>154</v>
      </c>
      <c r="S496" t="s">
        <v>238</v>
      </c>
      <c r="T496" t="s">
        <v>257</v>
      </c>
      <c r="U496">
        <v>0.12226684312650812</v>
      </c>
      <c r="V496" t="s">
        <v>154</v>
      </c>
    </row>
    <row r="497" spans="9:22" x14ac:dyDescent="0.45">
      <c r="I497" t="s">
        <v>185</v>
      </c>
      <c r="J497" t="s">
        <v>157</v>
      </c>
      <c r="K497">
        <v>0</v>
      </c>
      <c r="L497" t="s">
        <v>154</v>
      </c>
      <c r="N497" t="s">
        <v>214</v>
      </c>
      <c r="O497" t="s">
        <v>157</v>
      </c>
      <c r="P497">
        <v>3.9954183063367607E-2</v>
      </c>
      <c r="Q497" t="s">
        <v>154</v>
      </c>
      <c r="S497" t="s">
        <v>238</v>
      </c>
      <c r="T497" t="s">
        <v>157</v>
      </c>
      <c r="U497">
        <v>3.1000819018143642E-2</v>
      </c>
      <c r="V497" t="s">
        <v>154</v>
      </c>
    </row>
    <row r="498" spans="9:22" x14ac:dyDescent="0.45">
      <c r="I498" t="s">
        <v>185</v>
      </c>
      <c r="J498" t="s">
        <v>158</v>
      </c>
      <c r="K498">
        <v>1.1209127717752305E-2</v>
      </c>
      <c r="L498" t="s">
        <v>154</v>
      </c>
      <c r="N498" t="s">
        <v>214</v>
      </c>
      <c r="O498" t="s">
        <v>158</v>
      </c>
      <c r="P498">
        <v>1.1336444904620914E-2</v>
      </c>
      <c r="Q498" t="s">
        <v>154</v>
      </c>
      <c r="S498" t="s">
        <v>238</v>
      </c>
      <c r="T498" t="s">
        <v>158</v>
      </c>
      <c r="U498">
        <v>8.1616616497810334E-3</v>
      </c>
      <c r="V498" t="s">
        <v>154</v>
      </c>
    </row>
    <row r="499" spans="9:22" x14ac:dyDescent="0.45">
      <c r="I499" t="s">
        <v>185</v>
      </c>
      <c r="J499" t="s">
        <v>159</v>
      </c>
      <c r="K499">
        <v>0.10014649883101932</v>
      </c>
      <c r="L499" t="s">
        <v>154</v>
      </c>
      <c r="N499" t="s">
        <v>214</v>
      </c>
      <c r="O499" t="s">
        <v>159</v>
      </c>
      <c r="P499">
        <v>7.512059973774278E-2</v>
      </c>
      <c r="Q499" t="s">
        <v>154</v>
      </c>
      <c r="S499" t="s">
        <v>238</v>
      </c>
      <c r="T499" t="s">
        <v>159</v>
      </c>
      <c r="U499">
        <v>3.7114437644577489E-2</v>
      </c>
      <c r="V499" t="s">
        <v>154</v>
      </c>
    </row>
    <row r="500" spans="9:22" x14ac:dyDescent="0.45">
      <c r="I500" t="s">
        <v>185</v>
      </c>
      <c r="J500" t="s">
        <v>258</v>
      </c>
      <c r="K500">
        <v>5.1942851764224026E-3</v>
      </c>
      <c r="L500" t="s">
        <v>154</v>
      </c>
      <c r="N500" t="s">
        <v>214</v>
      </c>
      <c r="O500" t="s">
        <v>258</v>
      </c>
      <c r="P500">
        <v>7.9070853324915615E-3</v>
      </c>
      <c r="Q500" t="s">
        <v>154</v>
      </c>
      <c r="S500" t="s">
        <v>238</v>
      </c>
      <c r="T500" t="s">
        <v>258</v>
      </c>
      <c r="U500">
        <v>4.6768164703196221E-3</v>
      </c>
      <c r="V500" t="s">
        <v>154</v>
      </c>
    </row>
    <row r="501" spans="9:22" x14ac:dyDescent="0.45">
      <c r="I501" t="s">
        <v>185</v>
      </c>
      <c r="J501" t="s">
        <v>259</v>
      </c>
      <c r="K501">
        <v>2.5294433267343181E-3</v>
      </c>
      <c r="L501" t="s">
        <v>154</v>
      </c>
      <c r="N501" t="s">
        <v>214</v>
      </c>
      <c r="O501" t="s">
        <v>259</v>
      </c>
      <c r="P501">
        <v>6.1871096673264611E-3</v>
      </c>
      <c r="Q501" t="s">
        <v>154</v>
      </c>
      <c r="S501" t="s">
        <v>238</v>
      </c>
      <c r="T501" t="s">
        <v>259</v>
      </c>
      <c r="U501">
        <v>3.8976411923518002E-3</v>
      </c>
      <c r="V501" t="s">
        <v>154</v>
      </c>
    </row>
    <row r="502" spans="9:22" x14ac:dyDescent="0.45">
      <c r="I502" t="s">
        <v>185</v>
      </c>
      <c r="J502" t="s">
        <v>260</v>
      </c>
      <c r="K502">
        <v>0</v>
      </c>
      <c r="L502" t="s">
        <v>154</v>
      </c>
      <c r="N502" t="s">
        <v>214</v>
      </c>
      <c r="O502" t="s">
        <v>260</v>
      </c>
      <c r="P502">
        <v>2.4035794827414629E-2</v>
      </c>
      <c r="Q502" t="s">
        <v>154</v>
      </c>
      <c r="S502" t="s">
        <v>238</v>
      </c>
      <c r="T502" t="s">
        <v>260</v>
      </c>
      <c r="U502">
        <v>2.0336695457505702E-2</v>
      </c>
      <c r="V502" t="s">
        <v>154</v>
      </c>
    </row>
    <row r="503" spans="9:22" x14ac:dyDescent="0.45">
      <c r="I503" t="s">
        <v>185</v>
      </c>
      <c r="J503" t="s">
        <v>160</v>
      </c>
      <c r="K503">
        <v>0</v>
      </c>
      <c r="L503" t="s">
        <v>154</v>
      </c>
      <c r="N503" t="s">
        <v>214</v>
      </c>
      <c r="O503" t="s">
        <v>160</v>
      </c>
      <c r="P503">
        <v>1.4584157698156497E-2</v>
      </c>
      <c r="Q503" t="s">
        <v>154</v>
      </c>
      <c r="S503" t="s">
        <v>238</v>
      </c>
      <c r="T503" t="s">
        <v>160</v>
      </c>
      <c r="U503">
        <v>2.3467759529251713E-2</v>
      </c>
      <c r="V503" t="s">
        <v>154</v>
      </c>
    </row>
    <row r="504" spans="9:22" x14ac:dyDescent="0.45">
      <c r="I504" t="s">
        <v>185</v>
      </c>
      <c r="J504" t="s">
        <v>161</v>
      </c>
      <c r="K504">
        <v>9.5092638024064854E-3</v>
      </c>
      <c r="L504" t="s">
        <v>154</v>
      </c>
      <c r="N504" t="s">
        <v>214</v>
      </c>
      <c r="O504" t="s">
        <v>161</v>
      </c>
      <c r="P504">
        <v>3.5898068172014628E-3</v>
      </c>
      <c r="Q504" t="s">
        <v>154</v>
      </c>
      <c r="S504" t="s">
        <v>238</v>
      </c>
      <c r="T504" t="s">
        <v>161</v>
      </c>
      <c r="U504">
        <v>7.178820323410974E-3</v>
      </c>
      <c r="V504" t="s">
        <v>154</v>
      </c>
    </row>
    <row r="505" spans="9:22" x14ac:dyDescent="0.45">
      <c r="I505" t="s">
        <v>185</v>
      </c>
      <c r="J505" t="s">
        <v>162</v>
      </c>
      <c r="K505">
        <v>6.5250708831389503E-2</v>
      </c>
      <c r="L505" t="s">
        <v>154</v>
      </c>
      <c r="N505" t="s">
        <v>214</v>
      </c>
      <c r="O505" t="s">
        <v>162</v>
      </c>
      <c r="P505">
        <v>2.0300981021681385E-2</v>
      </c>
      <c r="Q505" t="s">
        <v>154</v>
      </c>
      <c r="S505" t="s">
        <v>238</v>
      </c>
      <c r="T505" t="s">
        <v>162</v>
      </c>
      <c r="U505">
        <v>2.6454433967140534E-2</v>
      </c>
      <c r="V505" t="s">
        <v>154</v>
      </c>
    </row>
    <row r="506" spans="9:22" x14ac:dyDescent="0.45">
      <c r="I506" t="s">
        <v>185</v>
      </c>
      <c r="J506" t="s">
        <v>261</v>
      </c>
      <c r="K506">
        <v>4.0526325088715209E-3</v>
      </c>
      <c r="L506" t="s">
        <v>154</v>
      </c>
      <c r="N506" t="s">
        <v>214</v>
      </c>
      <c r="O506" t="s">
        <v>261</v>
      </c>
      <c r="P506">
        <v>2.4831412270093938E-3</v>
      </c>
      <c r="Q506" t="s">
        <v>154</v>
      </c>
      <c r="S506" t="s">
        <v>238</v>
      </c>
      <c r="T506" t="s">
        <v>261</v>
      </c>
      <c r="U506">
        <v>2.9206001502680217E-3</v>
      </c>
      <c r="V506" t="s">
        <v>154</v>
      </c>
    </row>
    <row r="507" spans="9:22" x14ac:dyDescent="0.45">
      <c r="I507" t="s">
        <v>185</v>
      </c>
      <c r="J507" t="s">
        <v>262</v>
      </c>
      <c r="K507">
        <v>4.3043401056535476E-5</v>
      </c>
      <c r="L507" t="s">
        <v>154</v>
      </c>
      <c r="N507" t="s">
        <v>214</v>
      </c>
      <c r="O507" t="s">
        <v>262</v>
      </c>
      <c r="P507">
        <v>2.1519131215273907E-3</v>
      </c>
      <c r="Q507" t="s">
        <v>154</v>
      </c>
      <c r="S507" t="s">
        <v>238</v>
      </c>
      <c r="T507" t="s">
        <v>262</v>
      </c>
      <c r="U507">
        <v>2.5627978480537929E-3</v>
      </c>
      <c r="V507" t="s">
        <v>154</v>
      </c>
    </row>
    <row r="508" spans="9:22" x14ac:dyDescent="0.45">
      <c r="I508" t="s">
        <v>185</v>
      </c>
      <c r="J508" t="s">
        <v>263</v>
      </c>
      <c r="K508">
        <v>0</v>
      </c>
      <c r="L508" t="s">
        <v>154</v>
      </c>
      <c r="N508" t="s">
        <v>214</v>
      </c>
      <c r="O508" t="s">
        <v>263</v>
      </c>
      <c r="P508">
        <v>1.1098517603741554E-2</v>
      </c>
      <c r="Q508" t="s">
        <v>154</v>
      </c>
      <c r="S508" t="s">
        <v>238</v>
      </c>
      <c r="T508" t="s">
        <v>263</v>
      </c>
      <c r="U508">
        <v>1.3969711678202134E-2</v>
      </c>
      <c r="V508" t="s">
        <v>154</v>
      </c>
    </row>
    <row r="509" spans="9:22" x14ac:dyDescent="0.45">
      <c r="I509" t="s">
        <v>185</v>
      </c>
      <c r="J509" t="s">
        <v>163</v>
      </c>
      <c r="K509">
        <v>0</v>
      </c>
      <c r="L509" t="s">
        <v>154</v>
      </c>
      <c r="N509" t="s">
        <v>214</v>
      </c>
      <c r="O509" t="s">
        <v>163</v>
      </c>
      <c r="P509">
        <v>3.572999919607852E-2</v>
      </c>
      <c r="Q509" t="s">
        <v>154</v>
      </c>
      <c r="S509" t="s">
        <v>238</v>
      </c>
      <c r="T509" t="s">
        <v>163</v>
      </c>
      <c r="U509">
        <v>6.1391228013158057E-2</v>
      </c>
      <c r="V509" t="s">
        <v>154</v>
      </c>
    </row>
    <row r="510" spans="9:22" x14ac:dyDescent="0.45">
      <c r="I510" t="s">
        <v>185</v>
      </c>
      <c r="J510" t="s">
        <v>164</v>
      </c>
      <c r="K510">
        <v>1.4444901596532781E-2</v>
      </c>
      <c r="L510" t="s">
        <v>154</v>
      </c>
      <c r="N510" t="s">
        <v>214</v>
      </c>
      <c r="O510" t="s">
        <v>164</v>
      </c>
      <c r="P510">
        <v>1.0136135130088113E-2</v>
      </c>
      <c r="Q510" t="s">
        <v>154</v>
      </c>
      <c r="S510" t="s">
        <v>238</v>
      </c>
      <c r="T510" t="s">
        <v>164</v>
      </c>
      <c r="U510">
        <v>1.6568504674879986E-2</v>
      </c>
      <c r="V510" t="s">
        <v>154</v>
      </c>
    </row>
    <row r="511" spans="9:22" x14ac:dyDescent="0.45">
      <c r="I511" t="s">
        <v>185</v>
      </c>
      <c r="J511" t="s">
        <v>165</v>
      </c>
      <c r="K511">
        <v>0.11278311024354908</v>
      </c>
      <c r="L511" t="s">
        <v>154</v>
      </c>
      <c r="N511" t="s">
        <v>214</v>
      </c>
      <c r="O511" t="s">
        <v>165</v>
      </c>
      <c r="P511">
        <v>3.6688039983800685E-2</v>
      </c>
      <c r="Q511" t="s">
        <v>154</v>
      </c>
      <c r="S511" t="s">
        <v>238</v>
      </c>
      <c r="T511" t="s">
        <v>165</v>
      </c>
      <c r="U511">
        <v>6.7366193728561452E-2</v>
      </c>
      <c r="V511" t="s">
        <v>154</v>
      </c>
    </row>
    <row r="512" spans="9:22" x14ac:dyDescent="0.45">
      <c r="I512" t="s">
        <v>185</v>
      </c>
      <c r="J512" t="s">
        <v>264</v>
      </c>
      <c r="K512">
        <v>7.8033796094848402E-3</v>
      </c>
      <c r="L512" t="s">
        <v>154</v>
      </c>
      <c r="N512" t="s">
        <v>214</v>
      </c>
      <c r="O512" t="s">
        <v>264</v>
      </c>
      <c r="P512">
        <v>3.9447261073114687E-3</v>
      </c>
      <c r="Q512" t="s">
        <v>154</v>
      </c>
      <c r="S512" t="s">
        <v>238</v>
      </c>
      <c r="T512" t="s">
        <v>264</v>
      </c>
      <c r="U512">
        <v>8.7201600142438208E-3</v>
      </c>
      <c r="V512" t="s">
        <v>154</v>
      </c>
    </row>
    <row r="513" spans="9:22" x14ac:dyDescent="0.45">
      <c r="I513" t="s">
        <v>185</v>
      </c>
      <c r="J513" t="s">
        <v>265</v>
      </c>
      <c r="K513">
        <v>6.1578539011110129E-4</v>
      </c>
      <c r="L513" t="s">
        <v>154</v>
      </c>
      <c r="N513" t="s">
        <v>214</v>
      </c>
      <c r="O513" t="s">
        <v>265</v>
      </c>
      <c r="P513">
        <v>3.6764628747902243E-3</v>
      </c>
      <c r="Q513" t="s">
        <v>154</v>
      </c>
      <c r="S513" t="s">
        <v>238</v>
      </c>
      <c r="T513" t="s">
        <v>265</v>
      </c>
      <c r="U513">
        <v>7.8253577016437394E-3</v>
      </c>
      <c r="V513" t="s">
        <v>154</v>
      </c>
    </row>
    <row r="514" spans="9:22" x14ac:dyDescent="0.45">
      <c r="I514" t="s">
        <v>185</v>
      </c>
      <c r="J514" t="s">
        <v>266</v>
      </c>
      <c r="K514">
        <v>0</v>
      </c>
      <c r="L514" t="s">
        <v>154</v>
      </c>
      <c r="N514" t="s">
        <v>214</v>
      </c>
      <c r="O514" t="s">
        <v>266</v>
      </c>
      <c r="P514">
        <v>1.9704862418927205E-2</v>
      </c>
      <c r="Q514" t="s">
        <v>154</v>
      </c>
      <c r="S514" t="s">
        <v>238</v>
      </c>
      <c r="T514" t="s">
        <v>266</v>
      </c>
      <c r="U514">
        <v>4.1902935517995482E-2</v>
      </c>
      <c r="V514" t="s">
        <v>154</v>
      </c>
    </row>
    <row r="515" spans="9:22" x14ac:dyDescent="0.45">
      <c r="I515" t="s">
        <v>186</v>
      </c>
      <c r="J515" t="s">
        <v>153</v>
      </c>
      <c r="K515">
        <v>0</v>
      </c>
      <c r="L515" t="s">
        <v>154</v>
      </c>
      <c r="N515" t="s">
        <v>215</v>
      </c>
      <c r="O515" t="s">
        <v>153</v>
      </c>
      <c r="P515">
        <v>0.19380372169806839</v>
      </c>
      <c r="Q515" t="s">
        <v>154</v>
      </c>
      <c r="S515" t="s">
        <v>239</v>
      </c>
      <c r="T515" t="s">
        <v>153</v>
      </c>
      <c r="U515">
        <v>0.18830599492075867</v>
      </c>
      <c r="V515" t="s">
        <v>154</v>
      </c>
    </row>
    <row r="516" spans="9:22" x14ac:dyDescent="0.45">
      <c r="I516" t="s">
        <v>186</v>
      </c>
      <c r="J516" t="s">
        <v>155</v>
      </c>
      <c r="K516">
        <v>6.0146640580898261E-2</v>
      </c>
      <c r="L516" t="s">
        <v>154</v>
      </c>
      <c r="N516" t="s">
        <v>215</v>
      </c>
      <c r="O516" t="s">
        <v>155</v>
      </c>
      <c r="P516">
        <v>4.9472365136931068E-2</v>
      </c>
      <c r="Q516" t="s">
        <v>154</v>
      </c>
      <c r="S516" t="s">
        <v>239</v>
      </c>
      <c r="T516" t="s">
        <v>155</v>
      </c>
      <c r="U516">
        <v>5.1671789293075227E-2</v>
      </c>
      <c r="V516" t="s">
        <v>154</v>
      </c>
    </row>
    <row r="517" spans="9:22" x14ac:dyDescent="0.45">
      <c r="I517" t="s">
        <v>186</v>
      </c>
      <c r="J517" t="s">
        <v>156</v>
      </c>
      <c r="K517">
        <v>0.53192806840220574</v>
      </c>
      <c r="L517" t="s">
        <v>154</v>
      </c>
      <c r="N517" t="s">
        <v>215</v>
      </c>
      <c r="O517" t="s">
        <v>156</v>
      </c>
      <c r="P517">
        <v>0.21288559179707245</v>
      </c>
      <c r="Q517" t="s">
        <v>154</v>
      </c>
      <c r="S517" t="s">
        <v>239</v>
      </c>
      <c r="T517" t="s">
        <v>156</v>
      </c>
      <c r="U517">
        <v>0.20971492575168191</v>
      </c>
      <c r="V517" t="s">
        <v>154</v>
      </c>
    </row>
    <row r="518" spans="9:22" x14ac:dyDescent="0.45">
      <c r="I518" t="s">
        <v>186</v>
      </c>
      <c r="J518" t="s">
        <v>255</v>
      </c>
      <c r="K518">
        <v>4.2910835378324984E-2</v>
      </c>
      <c r="L518" t="s">
        <v>154</v>
      </c>
      <c r="N518" t="s">
        <v>215</v>
      </c>
      <c r="O518" t="s">
        <v>255</v>
      </c>
      <c r="P518">
        <v>2.9217317892479222E-2</v>
      </c>
      <c r="Q518" t="s">
        <v>154</v>
      </c>
      <c r="S518" t="s">
        <v>239</v>
      </c>
      <c r="T518" t="s">
        <v>255</v>
      </c>
      <c r="U518">
        <v>2.6701845885881963E-2</v>
      </c>
      <c r="V518" t="s">
        <v>154</v>
      </c>
    </row>
    <row r="519" spans="9:22" x14ac:dyDescent="0.45">
      <c r="I519" t="s">
        <v>186</v>
      </c>
      <c r="J519" t="s">
        <v>256</v>
      </c>
      <c r="K519">
        <v>2.6081256009667507E-2</v>
      </c>
      <c r="L519" t="s">
        <v>154</v>
      </c>
      <c r="N519" t="s">
        <v>215</v>
      </c>
      <c r="O519" t="s">
        <v>256</v>
      </c>
      <c r="P519">
        <v>2.611136633513899E-2</v>
      </c>
      <c r="Q519" t="s">
        <v>154</v>
      </c>
      <c r="S519" t="s">
        <v>239</v>
      </c>
      <c r="T519" t="s">
        <v>256</v>
      </c>
      <c r="U519">
        <v>2.3192663203342803E-2</v>
      </c>
      <c r="V519" t="s">
        <v>154</v>
      </c>
    </row>
    <row r="520" spans="9:22" x14ac:dyDescent="0.45">
      <c r="I520" t="s">
        <v>186</v>
      </c>
      <c r="J520" t="s">
        <v>257</v>
      </c>
      <c r="K520">
        <v>0</v>
      </c>
      <c r="L520" t="s">
        <v>154</v>
      </c>
      <c r="N520" t="s">
        <v>215</v>
      </c>
      <c r="O520" t="s">
        <v>257</v>
      </c>
      <c r="P520">
        <v>0.13592225623985568</v>
      </c>
      <c r="Q520" t="s">
        <v>154</v>
      </c>
      <c r="S520" t="s">
        <v>239</v>
      </c>
      <c r="T520" t="s">
        <v>257</v>
      </c>
      <c r="U520">
        <v>0.12007333505708435</v>
      </c>
      <c r="V520" t="s">
        <v>154</v>
      </c>
    </row>
    <row r="521" spans="9:22" x14ac:dyDescent="0.45">
      <c r="I521" t="s">
        <v>186</v>
      </c>
      <c r="J521" t="s">
        <v>157</v>
      </c>
      <c r="K521">
        <v>0</v>
      </c>
      <c r="L521" t="s">
        <v>154</v>
      </c>
      <c r="N521" t="s">
        <v>215</v>
      </c>
      <c r="O521" t="s">
        <v>157</v>
      </c>
      <c r="P521">
        <v>6.3223287231571126E-2</v>
      </c>
      <c r="Q521" t="s">
        <v>154</v>
      </c>
      <c r="S521" t="s">
        <v>239</v>
      </c>
      <c r="T521" t="s">
        <v>157</v>
      </c>
      <c r="U521">
        <v>3.5910600893867474E-2</v>
      </c>
      <c r="V521" t="s">
        <v>154</v>
      </c>
    </row>
    <row r="522" spans="9:22" x14ac:dyDescent="0.45">
      <c r="I522" t="s">
        <v>186</v>
      </c>
      <c r="J522" t="s">
        <v>158</v>
      </c>
      <c r="K522">
        <v>1.1662479588579215E-2</v>
      </c>
      <c r="L522" t="s">
        <v>154</v>
      </c>
      <c r="N522" t="s">
        <v>215</v>
      </c>
      <c r="O522" t="s">
        <v>158</v>
      </c>
      <c r="P522">
        <v>1.9572697452383377E-2</v>
      </c>
      <c r="Q522" t="s">
        <v>154</v>
      </c>
      <c r="S522" t="s">
        <v>239</v>
      </c>
      <c r="T522" t="s">
        <v>158</v>
      </c>
      <c r="U522">
        <v>9.8461767302568115E-3</v>
      </c>
      <c r="V522" t="s">
        <v>154</v>
      </c>
    </row>
    <row r="523" spans="9:22" x14ac:dyDescent="0.45">
      <c r="I523" t="s">
        <v>186</v>
      </c>
      <c r="J523" t="s">
        <v>159</v>
      </c>
      <c r="K523">
        <v>0.10668588797649597</v>
      </c>
      <c r="L523" t="s">
        <v>154</v>
      </c>
      <c r="N523" t="s">
        <v>215</v>
      </c>
      <c r="O523" t="s">
        <v>159</v>
      </c>
      <c r="P523">
        <v>9.7351395425342463E-2</v>
      </c>
      <c r="Q523" t="s">
        <v>154</v>
      </c>
      <c r="S523" t="s">
        <v>239</v>
      </c>
      <c r="T523" t="s">
        <v>159</v>
      </c>
      <c r="U523">
        <v>4.8747293753027783E-2</v>
      </c>
      <c r="V523" t="s">
        <v>154</v>
      </c>
    </row>
    <row r="524" spans="9:22" x14ac:dyDescent="0.45">
      <c r="I524" t="s">
        <v>186</v>
      </c>
      <c r="J524" t="s">
        <v>258</v>
      </c>
      <c r="K524">
        <v>5.9782617289429732E-3</v>
      </c>
      <c r="L524" t="s">
        <v>154</v>
      </c>
      <c r="N524" t="s">
        <v>215</v>
      </c>
      <c r="O524" t="s">
        <v>258</v>
      </c>
      <c r="P524">
        <v>1.0180046593710449E-2</v>
      </c>
      <c r="Q524" t="s">
        <v>154</v>
      </c>
      <c r="S524" t="s">
        <v>239</v>
      </c>
      <c r="T524" t="s">
        <v>258</v>
      </c>
      <c r="U524">
        <v>6.5214218932985544E-3</v>
      </c>
      <c r="V524" t="s">
        <v>154</v>
      </c>
    </row>
    <row r="525" spans="9:22" x14ac:dyDescent="0.45">
      <c r="I525" t="s">
        <v>186</v>
      </c>
      <c r="J525" t="s">
        <v>259</v>
      </c>
      <c r="K525">
        <v>3.1741357688169778E-3</v>
      </c>
      <c r="L525" t="s">
        <v>154</v>
      </c>
      <c r="N525" t="s">
        <v>215</v>
      </c>
      <c r="O525" t="s">
        <v>259</v>
      </c>
      <c r="P525">
        <v>8.6232149681179527E-3</v>
      </c>
      <c r="Q525" t="s">
        <v>154</v>
      </c>
      <c r="S525" t="s">
        <v>239</v>
      </c>
      <c r="T525" t="s">
        <v>259</v>
      </c>
      <c r="U525">
        <v>4.8464360100977568E-3</v>
      </c>
      <c r="V525" t="s">
        <v>154</v>
      </c>
    </row>
    <row r="526" spans="9:22" x14ac:dyDescent="0.45">
      <c r="I526" t="s">
        <v>186</v>
      </c>
      <c r="J526" t="s">
        <v>260</v>
      </c>
      <c r="K526">
        <v>0</v>
      </c>
      <c r="L526" t="s">
        <v>154</v>
      </c>
      <c r="N526" t="s">
        <v>215</v>
      </c>
      <c r="O526" t="s">
        <v>260</v>
      </c>
      <c r="P526">
        <v>3.4215593538476807E-2</v>
      </c>
      <c r="Q526" t="s">
        <v>154</v>
      </c>
      <c r="S526" t="s">
        <v>239</v>
      </c>
      <c r="T526" t="s">
        <v>260</v>
      </c>
      <c r="U526">
        <v>2.5405514591849157E-2</v>
      </c>
      <c r="V526" t="s">
        <v>154</v>
      </c>
    </row>
    <row r="527" spans="9:22" x14ac:dyDescent="0.45">
      <c r="I527" t="s">
        <v>186</v>
      </c>
      <c r="J527" t="s">
        <v>160</v>
      </c>
      <c r="K527">
        <v>0</v>
      </c>
      <c r="L527" t="s">
        <v>154</v>
      </c>
      <c r="N527" t="s">
        <v>215</v>
      </c>
      <c r="O527" t="s">
        <v>160</v>
      </c>
      <c r="P527">
        <v>2.475868456044485E-2</v>
      </c>
      <c r="Q527" t="s">
        <v>154</v>
      </c>
      <c r="S527" t="s">
        <v>239</v>
      </c>
      <c r="T527" t="s">
        <v>160</v>
      </c>
      <c r="U527">
        <v>2.4635288241053308E-2</v>
      </c>
      <c r="V527" t="s">
        <v>154</v>
      </c>
    </row>
    <row r="528" spans="9:22" x14ac:dyDescent="0.45">
      <c r="I528" t="s">
        <v>186</v>
      </c>
      <c r="J528" t="s">
        <v>161</v>
      </c>
      <c r="K528">
        <v>9.1607929094990777E-3</v>
      </c>
      <c r="L528" t="s">
        <v>154</v>
      </c>
      <c r="N528" t="s">
        <v>215</v>
      </c>
      <c r="O528" t="s">
        <v>161</v>
      </c>
      <c r="P528">
        <v>5.8055315300554952E-3</v>
      </c>
      <c r="Q528" t="s">
        <v>154</v>
      </c>
      <c r="S528" t="s">
        <v>239</v>
      </c>
      <c r="T528" t="s">
        <v>161</v>
      </c>
      <c r="U528">
        <v>6.4883224602302475E-3</v>
      </c>
      <c r="V528" t="s">
        <v>154</v>
      </c>
    </row>
    <row r="529" spans="9:22" x14ac:dyDescent="0.45">
      <c r="I529" t="s">
        <v>186</v>
      </c>
      <c r="J529" t="s">
        <v>162</v>
      </c>
      <c r="K529">
        <v>6.2571993998914124E-2</v>
      </c>
      <c r="L529" t="s">
        <v>154</v>
      </c>
      <c r="N529" t="s">
        <v>215</v>
      </c>
      <c r="O529" t="s">
        <v>162</v>
      </c>
      <c r="P529">
        <v>2.830416649801757E-2</v>
      </c>
      <c r="Q529" t="s">
        <v>154</v>
      </c>
      <c r="S529" t="s">
        <v>239</v>
      </c>
      <c r="T529" t="s">
        <v>162</v>
      </c>
      <c r="U529">
        <v>2.8546638276056063E-2</v>
      </c>
      <c r="V529" t="s">
        <v>154</v>
      </c>
    </row>
    <row r="530" spans="9:22" x14ac:dyDescent="0.45">
      <c r="I530" t="s">
        <v>186</v>
      </c>
      <c r="J530" t="s">
        <v>261</v>
      </c>
      <c r="K530">
        <v>4.2824269579903275E-3</v>
      </c>
      <c r="L530" t="s">
        <v>154</v>
      </c>
      <c r="N530" t="s">
        <v>215</v>
      </c>
      <c r="O530" t="s">
        <v>261</v>
      </c>
      <c r="P530">
        <v>4.6933344594558982E-3</v>
      </c>
      <c r="Q530" t="s">
        <v>154</v>
      </c>
      <c r="S530" t="s">
        <v>239</v>
      </c>
      <c r="T530" t="s">
        <v>261</v>
      </c>
      <c r="U530">
        <v>3.886962050830502E-3</v>
      </c>
      <c r="V530" t="s">
        <v>154</v>
      </c>
    </row>
    <row r="531" spans="9:22" x14ac:dyDescent="0.45">
      <c r="I531" t="s">
        <v>186</v>
      </c>
      <c r="J531" t="s">
        <v>262</v>
      </c>
      <c r="K531">
        <v>1.9623304064177415E-3</v>
      </c>
      <c r="L531" t="s">
        <v>154</v>
      </c>
      <c r="N531" t="s">
        <v>215</v>
      </c>
      <c r="O531" t="s">
        <v>262</v>
      </c>
      <c r="P531">
        <v>4.5721769384906522E-3</v>
      </c>
      <c r="Q531" t="s">
        <v>154</v>
      </c>
      <c r="S531" t="s">
        <v>239</v>
      </c>
      <c r="T531" t="s">
        <v>262</v>
      </c>
      <c r="U531">
        <v>2.8780680966665898E-3</v>
      </c>
      <c r="V531" t="s">
        <v>154</v>
      </c>
    </row>
    <row r="532" spans="9:22" x14ac:dyDescent="0.45">
      <c r="I532" t="s">
        <v>186</v>
      </c>
      <c r="J532" t="s">
        <v>263</v>
      </c>
      <c r="K532">
        <v>0</v>
      </c>
      <c r="L532" t="s">
        <v>154</v>
      </c>
      <c r="N532" t="s">
        <v>215</v>
      </c>
      <c r="O532" t="s">
        <v>263</v>
      </c>
      <c r="P532">
        <v>1.71865237246706E-2</v>
      </c>
      <c r="Q532" t="s">
        <v>154</v>
      </c>
      <c r="S532" t="s">
        <v>239</v>
      </c>
      <c r="T532" t="s">
        <v>263</v>
      </c>
      <c r="U532">
        <v>1.4599832880737773E-2</v>
      </c>
      <c r="V532" t="s">
        <v>154</v>
      </c>
    </row>
    <row r="533" spans="9:22" x14ac:dyDescent="0.45">
      <c r="I533" t="s">
        <v>186</v>
      </c>
      <c r="J533" t="s">
        <v>163</v>
      </c>
      <c r="K533">
        <v>0</v>
      </c>
      <c r="L533" t="s">
        <v>154</v>
      </c>
      <c r="N533" t="s">
        <v>215</v>
      </c>
      <c r="O533" t="s">
        <v>163</v>
      </c>
      <c r="P533">
        <v>1.1684111352566327E-2</v>
      </c>
      <c r="Q533" t="s">
        <v>154</v>
      </c>
      <c r="S533" t="s">
        <v>239</v>
      </c>
      <c r="T533" t="s">
        <v>163</v>
      </c>
      <c r="U533">
        <v>5.3900957046757333E-2</v>
      </c>
      <c r="V533" t="s">
        <v>154</v>
      </c>
    </row>
    <row r="534" spans="9:22" x14ac:dyDescent="0.45">
      <c r="I534" t="s">
        <v>186</v>
      </c>
      <c r="J534" t="s">
        <v>164</v>
      </c>
      <c r="K534">
        <v>1.3342759783438324E-2</v>
      </c>
      <c r="L534" t="s">
        <v>154</v>
      </c>
      <c r="N534" t="s">
        <v>215</v>
      </c>
      <c r="O534" t="s">
        <v>164</v>
      </c>
      <c r="P534">
        <v>2.8433787786028733E-3</v>
      </c>
      <c r="Q534" t="s">
        <v>154</v>
      </c>
      <c r="S534" t="s">
        <v>239</v>
      </c>
      <c r="T534" t="s">
        <v>164</v>
      </c>
      <c r="U534">
        <v>1.3489698633836426E-2</v>
      </c>
      <c r="V534" t="s">
        <v>154</v>
      </c>
    </row>
    <row r="535" spans="9:22" x14ac:dyDescent="0.45">
      <c r="I535" t="s">
        <v>186</v>
      </c>
      <c r="J535" t="s">
        <v>165</v>
      </c>
      <c r="K535">
        <v>0.10948518824159324</v>
      </c>
      <c r="L535" t="s">
        <v>154</v>
      </c>
      <c r="N535" t="s">
        <v>215</v>
      </c>
      <c r="O535" t="s">
        <v>165</v>
      </c>
      <c r="P535">
        <v>9.8700062429662797E-3</v>
      </c>
      <c r="Q535" t="s">
        <v>154</v>
      </c>
      <c r="S535" t="s">
        <v>239</v>
      </c>
      <c r="T535" t="s">
        <v>165</v>
      </c>
      <c r="U535">
        <v>6.0253010404206345E-2</v>
      </c>
      <c r="V535" t="s">
        <v>154</v>
      </c>
    </row>
    <row r="536" spans="9:22" x14ac:dyDescent="0.45">
      <c r="I536" t="s">
        <v>186</v>
      </c>
      <c r="J536" t="s">
        <v>264</v>
      </c>
      <c r="K536">
        <v>8.1789204299862854E-3</v>
      </c>
      <c r="L536" t="s">
        <v>154</v>
      </c>
      <c r="N536" t="s">
        <v>215</v>
      </c>
      <c r="O536" t="s">
        <v>264</v>
      </c>
      <c r="P536">
        <v>9.4857254548874896E-4</v>
      </c>
      <c r="Q536" t="s">
        <v>154</v>
      </c>
      <c r="S536" t="s">
        <v>239</v>
      </c>
      <c r="T536" t="s">
        <v>264</v>
      </c>
      <c r="U536">
        <v>8.3966130185087456E-3</v>
      </c>
      <c r="V536" t="s">
        <v>154</v>
      </c>
    </row>
    <row r="537" spans="9:22" x14ac:dyDescent="0.45">
      <c r="I537" t="s">
        <v>186</v>
      </c>
      <c r="J537" t="s">
        <v>265</v>
      </c>
      <c r="K537">
        <v>2.4480218382272093E-3</v>
      </c>
      <c r="L537" t="s">
        <v>154</v>
      </c>
      <c r="N537" t="s">
        <v>215</v>
      </c>
      <c r="O537" t="s">
        <v>265</v>
      </c>
      <c r="P537">
        <v>1.0564603402289981E-3</v>
      </c>
      <c r="Q537" t="s">
        <v>154</v>
      </c>
      <c r="S537" t="s">
        <v>239</v>
      </c>
      <c r="T537" t="s">
        <v>265</v>
      </c>
      <c r="U537">
        <v>4.7631446827556649E-3</v>
      </c>
      <c r="V537" t="s">
        <v>154</v>
      </c>
    </row>
    <row r="538" spans="9:22" x14ac:dyDescent="0.45">
      <c r="I538" t="s">
        <v>186</v>
      </c>
      <c r="J538" t="s">
        <v>266</v>
      </c>
      <c r="K538">
        <v>0</v>
      </c>
      <c r="L538" t="s">
        <v>154</v>
      </c>
      <c r="N538" t="s">
        <v>215</v>
      </c>
      <c r="O538" t="s">
        <v>266</v>
      </c>
      <c r="P538">
        <v>7.6981987198655351E-3</v>
      </c>
      <c r="Q538" t="s">
        <v>154</v>
      </c>
      <c r="S538" t="s">
        <v>239</v>
      </c>
      <c r="T538" t="s">
        <v>266</v>
      </c>
      <c r="U538">
        <v>2.7223466224142203E-2</v>
      </c>
      <c r="V538" t="s">
        <v>154</v>
      </c>
    </row>
    <row r="539" spans="9:22" x14ac:dyDescent="0.45">
      <c r="I539" t="s">
        <v>187</v>
      </c>
      <c r="J539" t="s">
        <v>153</v>
      </c>
      <c r="K539">
        <v>0</v>
      </c>
      <c r="L539" t="s">
        <v>154</v>
      </c>
      <c r="N539" t="s">
        <v>216</v>
      </c>
      <c r="O539" t="s">
        <v>153</v>
      </c>
      <c r="P539">
        <v>0.17614380543331659</v>
      </c>
      <c r="Q539" t="s">
        <v>154</v>
      </c>
      <c r="S539" t="s">
        <v>240</v>
      </c>
      <c r="T539" t="s">
        <v>153</v>
      </c>
      <c r="U539">
        <v>0.17415381437375835</v>
      </c>
      <c r="V539" t="s">
        <v>154</v>
      </c>
    </row>
    <row r="540" spans="9:22" x14ac:dyDescent="0.45">
      <c r="I540" t="s">
        <v>187</v>
      </c>
      <c r="J540" t="s">
        <v>155</v>
      </c>
      <c r="K540">
        <v>6.7011411559956366E-2</v>
      </c>
      <c r="L540" t="s">
        <v>154</v>
      </c>
      <c r="N540" t="s">
        <v>216</v>
      </c>
      <c r="O540" t="s">
        <v>155</v>
      </c>
      <c r="P540">
        <v>5.5099030975627405E-2</v>
      </c>
      <c r="Q540" t="s">
        <v>154</v>
      </c>
      <c r="S540" t="s">
        <v>240</v>
      </c>
      <c r="T540" t="s">
        <v>155</v>
      </c>
      <c r="U540">
        <v>4.8164919423278031E-2</v>
      </c>
      <c r="V540" t="s">
        <v>154</v>
      </c>
    </row>
    <row r="541" spans="9:22" x14ac:dyDescent="0.45">
      <c r="I541" t="s">
        <v>187</v>
      </c>
      <c r="J541" t="s">
        <v>156</v>
      </c>
      <c r="K541">
        <v>0.54469228288918836</v>
      </c>
      <c r="L541" t="s">
        <v>154</v>
      </c>
      <c r="N541" t="s">
        <v>216</v>
      </c>
      <c r="O541" t="s">
        <v>156</v>
      </c>
      <c r="P541">
        <v>0.24718640852142632</v>
      </c>
      <c r="Q541" t="s">
        <v>154</v>
      </c>
      <c r="S541" t="s">
        <v>240</v>
      </c>
      <c r="T541" t="s">
        <v>156</v>
      </c>
      <c r="U541">
        <v>0.19072079138180528</v>
      </c>
      <c r="V541" t="s">
        <v>154</v>
      </c>
    </row>
    <row r="542" spans="9:22" x14ac:dyDescent="0.45">
      <c r="I542" t="s">
        <v>187</v>
      </c>
      <c r="J542" t="s">
        <v>255</v>
      </c>
      <c r="K542">
        <v>3.9722629201135583E-2</v>
      </c>
      <c r="L542" t="s">
        <v>154</v>
      </c>
      <c r="N542" t="s">
        <v>216</v>
      </c>
      <c r="O542" t="s">
        <v>255</v>
      </c>
      <c r="P542">
        <v>2.6207334145637896E-2</v>
      </c>
      <c r="Q542" t="s">
        <v>154</v>
      </c>
      <c r="S542" t="s">
        <v>240</v>
      </c>
      <c r="T542" t="s">
        <v>255</v>
      </c>
      <c r="U542">
        <v>2.3345716334051348E-2</v>
      </c>
      <c r="V542" t="s">
        <v>154</v>
      </c>
    </row>
    <row r="543" spans="9:22" x14ac:dyDescent="0.45">
      <c r="I543" t="s">
        <v>187</v>
      </c>
      <c r="J543" t="s">
        <v>256</v>
      </c>
      <c r="K543">
        <v>2.3768260662104201E-2</v>
      </c>
      <c r="L543" t="s">
        <v>154</v>
      </c>
      <c r="N543" t="s">
        <v>216</v>
      </c>
      <c r="O543" t="s">
        <v>256</v>
      </c>
      <c r="P543">
        <v>2.5092482538072738E-2</v>
      </c>
      <c r="Q543" t="s">
        <v>154</v>
      </c>
      <c r="S543" t="s">
        <v>240</v>
      </c>
      <c r="T543" t="s">
        <v>256</v>
      </c>
      <c r="U543">
        <v>2.1568093747740845E-2</v>
      </c>
      <c r="V543" t="s">
        <v>154</v>
      </c>
    </row>
    <row r="544" spans="9:22" x14ac:dyDescent="0.45">
      <c r="I544" t="s">
        <v>187</v>
      </c>
      <c r="J544" t="s">
        <v>257</v>
      </c>
      <c r="K544">
        <v>0</v>
      </c>
      <c r="L544" t="s">
        <v>154</v>
      </c>
      <c r="N544" t="s">
        <v>216</v>
      </c>
      <c r="O544" t="s">
        <v>257</v>
      </c>
      <c r="P544">
        <v>0.13348744594377157</v>
      </c>
      <c r="Q544" t="s">
        <v>154</v>
      </c>
      <c r="S544" t="s">
        <v>240</v>
      </c>
      <c r="T544" t="s">
        <v>257</v>
      </c>
      <c r="U544">
        <v>0.1250731278828425</v>
      </c>
      <c r="V544" t="s">
        <v>154</v>
      </c>
    </row>
    <row r="545" spans="9:22" x14ac:dyDescent="0.45">
      <c r="I545" t="s">
        <v>187</v>
      </c>
      <c r="J545" t="s">
        <v>157</v>
      </c>
      <c r="K545">
        <v>0</v>
      </c>
      <c r="L545" t="s">
        <v>154</v>
      </c>
      <c r="N545" t="s">
        <v>216</v>
      </c>
      <c r="O545" t="s">
        <v>157</v>
      </c>
      <c r="P545">
        <v>3.55829122892697E-2</v>
      </c>
      <c r="Q545" t="s">
        <v>154</v>
      </c>
      <c r="S545" t="s">
        <v>240</v>
      </c>
      <c r="T545" t="s">
        <v>157</v>
      </c>
      <c r="U545">
        <v>5.5249683868621682E-2</v>
      </c>
      <c r="V545" t="s">
        <v>154</v>
      </c>
    </row>
    <row r="546" spans="9:22" x14ac:dyDescent="0.45">
      <c r="I546" t="s">
        <v>187</v>
      </c>
      <c r="J546" t="s">
        <v>158</v>
      </c>
      <c r="K546">
        <v>1.1593856186952722E-2</v>
      </c>
      <c r="L546" t="s">
        <v>154</v>
      </c>
      <c r="N546" t="s">
        <v>216</v>
      </c>
      <c r="O546" t="s">
        <v>158</v>
      </c>
      <c r="P546">
        <v>1.1407318254882969E-2</v>
      </c>
      <c r="Q546" t="s">
        <v>154</v>
      </c>
      <c r="S546" t="s">
        <v>240</v>
      </c>
      <c r="T546" t="s">
        <v>158</v>
      </c>
      <c r="U546">
        <v>1.5262616646597355E-2</v>
      </c>
      <c r="V546" t="s">
        <v>154</v>
      </c>
    </row>
    <row r="547" spans="9:22" x14ac:dyDescent="0.45">
      <c r="I547" t="s">
        <v>187</v>
      </c>
      <c r="J547" t="s">
        <v>159</v>
      </c>
      <c r="K547">
        <v>9.8940748395520126E-2</v>
      </c>
      <c r="L547" t="s">
        <v>154</v>
      </c>
      <c r="N547" t="s">
        <v>216</v>
      </c>
      <c r="O547" t="s">
        <v>159</v>
      </c>
      <c r="P547">
        <v>6.3624598829819273E-2</v>
      </c>
      <c r="Q547" t="s">
        <v>154</v>
      </c>
      <c r="S547" t="s">
        <v>240</v>
      </c>
      <c r="T547" t="s">
        <v>159</v>
      </c>
      <c r="U547">
        <v>6.4530698773175646E-2</v>
      </c>
      <c r="V547" t="s">
        <v>154</v>
      </c>
    </row>
    <row r="548" spans="9:22" x14ac:dyDescent="0.45">
      <c r="I548" t="s">
        <v>187</v>
      </c>
      <c r="J548" t="s">
        <v>258</v>
      </c>
      <c r="K548">
        <v>4.8940199770509821E-3</v>
      </c>
      <c r="L548" t="s">
        <v>154</v>
      </c>
      <c r="N548" t="s">
        <v>216</v>
      </c>
      <c r="O548" t="s">
        <v>258</v>
      </c>
      <c r="P548">
        <v>6.2459372933271733E-3</v>
      </c>
      <c r="Q548" t="s">
        <v>154</v>
      </c>
      <c r="S548" t="s">
        <v>240</v>
      </c>
      <c r="T548" t="s">
        <v>258</v>
      </c>
      <c r="U548">
        <v>8.7439071640544788E-3</v>
      </c>
      <c r="V548" t="s">
        <v>154</v>
      </c>
    </row>
    <row r="549" spans="9:22" x14ac:dyDescent="0.45">
      <c r="I549" t="s">
        <v>187</v>
      </c>
      <c r="J549" t="s">
        <v>259</v>
      </c>
      <c r="K549">
        <v>2.4028275491254866E-3</v>
      </c>
      <c r="L549" t="s">
        <v>154</v>
      </c>
      <c r="N549" t="s">
        <v>216</v>
      </c>
      <c r="O549" t="s">
        <v>259</v>
      </c>
      <c r="P549">
        <v>5.5708012231904863E-3</v>
      </c>
      <c r="Q549" t="s">
        <v>154</v>
      </c>
      <c r="S549" t="s">
        <v>240</v>
      </c>
      <c r="T549" t="s">
        <v>259</v>
      </c>
      <c r="U549">
        <v>8.7407706220900688E-3</v>
      </c>
      <c r="V549" t="s">
        <v>154</v>
      </c>
    </row>
    <row r="550" spans="9:22" x14ac:dyDescent="0.45">
      <c r="I550" t="s">
        <v>187</v>
      </c>
      <c r="J550" t="s">
        <v>260</v>
      </c>
      <c r="K550">
        <v>0</v>
      </c>
      <c r="L550" t="s">
        <v>154</v>
      </c>
      <c r="N550" t="s">
        <v>216</v>
      </c>
      <c r="O550" t="s">
        <v>260</v>
      </c>
      <c r="P550">
        <v>2.6543605448668323E-2</v>
      </c>
      <c r="Q550" t="s">
        <v>154</v>
      </c>
      <c r="S550" t="s">
        <v>240</v>
      </c>
      <c r="T550" t="s">
        <v>260</v>
      </c>
      <c r="U550">
        <v>4.2081978762099445E-2</v>
      </c>
      <c r="V550" t="s">
        <v>154</v>
      </c>
    </row>
    <row r="551" spans="9:22" x14ac:dyDescent="0.45">
      <c r="I551" t="s">
        <v>187</v>
      </c>
      <c r="J551" t="s">
        <v>160</v>
      </c>
      <c r="K551">
        <v>0</v>
      </c>
      <c r="L551" t="s">
        <v>154</v>
      </c>
      <c r="N551" t="s">
        <v>216</v>
      </c>
      <c r="O551" t="s">
        <v>160</v>
      </c>
      <c r="P551">
        <v>1.9178528281091428E-2</v>
      </c>
      <c r="Q551" t="s">
        <v>154</v>
      </c>
      <c r="S551" t="s">
        <v>240</v>
      </c>
      <c r="T551" t="s">
        <v>160</v>
      </c>
      <c r="U551">
        <v>2.63880645917903E-2</v>
      </c>
      <c r="V551" t="s">
        <v>154</v>
      </c>
    </row>
    <row r="552" spans="9:22" x14ac:dyDescent="0.45">
      <c r="I552" t="s">
        <v>187</v>
      </c>
      <c r="J552" t="s">
        <v>161</v>
      </c>
      <c r="K552">
        <v>1.0361077197640862E-2</v>
      </c>
      <c r="L552" t="s">
        <v>154</v>
      </c>
      <c r="N552" t="s">
        <v>216</v>
      </c>
      <c r="O552" t="s">
        <v>161</v>
      </c>
      <c r="P552">
        <v>6.439981999235741E-3</v>
      </c>
      <c r="Q552" t="s">
        <v>154</v>
      </c>
      <c r="S552" t="s">
        <v>240</v>
      </c>
      <c r="T552" t="s">
        <v>161</v>
      </c>
      <c r="U552">
        <v>7.3790463735325992E-3</v>
      </c>
      <c r="V552" t="s">
        <v>154</v>
      </c>
    </row>
    <row r="553" spans="9:22" x14ac:dyDescent="0.45">
      <c r="I553" t="s">
        <v>187</v>
      </c>
      <c r="J553" t="s">
        <v>162</v>
      </c>
      <c r="K553">
        <v>6.4679585568753112E-2</v>
      </c>
      <c r="L553" t="s">
        <v>154</v>
      </c>
      <c r="N553" t="s">
        <v>216</v>
      </c>
      <c r="O553" t="s">
        <v>162</v>
      </c>
      <c r="P553">
        <v>3.0893393057446653E-2</v>
      </c>
      <c r="Q553" t="s">
        <v>154</v>
      </c>
      <c r="S553" t="s">
        <v>240</v>
      </c>
      <c r="T553" t="s">
        <v>162</v>
      </c>
      <c r="U553">
        <v>2.7888376421628305E-2</v>
      </c>
      <c r="V553" t="s">
        <v>154</v>
      </c>
    </row>
    <row r="554" spans="9:22" x14ac:dyDescent="0.45">
      <c r="I554" t="s">
        <v>187</v>
      </c>
      <c r="J554" t="s">
        <v>261</v>
      </c>
      <c r="K554">
        <v>3.8697924775898652E-3</v>
      </c>
      <c r="L554" t="s">
        <v>154</v>
      </c>
      <c r="N554" t="s">
        <v>216</v>
      </c>
      <c r="O554" t="s">
        <v>261</v>
      </c>
      <c r="P554">
        <v>4.0600694792001157E-3</v>
      </c>
      <c r="Q554" t="s">
        <v>154</v>
      </c>
      <c r="S554" t="s">
        <v>240</v>
      </c>
      <c r="T554" t="s">
        <v>261</v>
      </c>
      <c r="U554">
        <v>3.3442606879735609E-3</v>
      </c>
      <c r="V554" t="s">
        <v>154</v>
      </c>
    </row>
    <row r="555" spans="9:22" x14ac:dyDescent="0.45">
      <c r="I555" t="s">
        <v>187</v>
      </c>
      <c r="J555" t="s">
        <v>262</v>
      </c>
      <c r="K555">
        <v>4.2947982764273973E-5</v>
      </c>
      <c r="L555" t="s">
        <v>154</v>
      </c>
      <c r="N555" t="s">
        <v>216</v>
      </c>
      <c r="O555" t="s">
        <v>262</v>
      </c>
      <c r="P555">
        <v>3.8731425787114021E-3</v>
      </c>
      <c r="Q555" t="s">
        <v>154</v>
      </c>
      <c r="S555" t="s">
        <v>240</v>
      </c>
      <c r="T555" t="s">
        <v>262</v>
      </c>
      <c r="U555">
        <v>3.3702291637750636E-3</v>
      </c>
      <c r="V555" t="s">
        <v>154</v>
      </c>
    </row>
    <row r="556" spans="9:22" x14ac:dyDescent="0.45">
      <c r="I556" t="s">
        <v>187</v>
      </c>
      <c r="J556" t="s">
        <v>263</v>
      </c>
      <c r="K556">
        <v>0</v>
      </c>
      <c r="L556" t="s">
        <v>154</v>
      </c>
      <c r="N556" t="s">
        <v>216</v>
      </c>
      <c r="O556" t="s">
        <v>263</v>
      </c>
      <c r="P556">
        <v>1.7956219201225608E-2</v>
      </c>
      <c r="Q556" t="s">
        <v>154</v>
      </c>
      <c r="S556" t="s">
        <v>240</v>
      </c>
      <c r="T556" t="s">
        <v>263</v>
      </c>
      <c r="U556">
        <v>1.9919641884355084E-2</v>
      </c>
      <c r="V556" t="s">
        <v>154</v>
      </c>
    </row>
    <row r="557" spans="9:22" x14ac:dyDescent="0.45">
      <c r="I557" t="s">
        <v>187</v>
      </c>
      <c r="J557" t="s">
        <v>163</v>
      </c>
      <c r="K557">
        <v>0</v>
      </c>
      <c r="L557" t="s">
        <v>154</v>
      </c>
      <c r="N557" t="s">
        <v>216</v>
      </c>
      <c r="O557" t="s">
        <v>163</v>
      </c>
      <c r="P557">
        <v>2.8105617231669176E-2</v>
      </c>
      <c r="Q557" t="s">
        <v>154</v>
      </c>
      <c r="S557" t="s">
        <v>240</v>
      </c>
      <c r="T557" t="s">
        <v>163</v>
      </c>
      <c r="U557">
        <v>4.260760090013694E-2</v>
      </c>
      <c r="V557" t="s">
        <v>154</v>
      </c>
    </row>
    <row r="558" spans="9:22" x14ac:dyDescent="0.45">
      <c r="I558" t="s">
        <v>187</v>
      </c>
      <c r="J558" t="s">
        <v>164</v>
      </c>
      <c r="K558">
        <v>1.4277518428573756E-2</v>
      </c>
      <c r="L558" t="s">
        <v>154</v>
      </c>
      <c r="N558" t="s">
        <v>216</v>
      </c>
      <c r="O558" t="s">
        <v>164</v>
      </c>
      <c r="P558">
        <v>8.3339496704162713E-3</v>
      </c>
      <c r="Q558" t="s">
        <v>154</v>
      </c>
      <c r="S558" t="s">
        <v>240</v>
      </c>
      <c r="T558" t="s">
        <v>164</v>
      </c>
      <c r="U558">
        <v>1.1460021013767425E-2</v>
      </c>
      <c r="V558" t="s">
        <v>154</v>
      </c>
    </row>
    <row r="559" spans="9:22" x14ac:dyDescent="0.45">
      <c r="I559" t="s">
        <v>187</v>
      </c>
      <c r="J559" t="s">
        <v>165</v>
      </c>
      <c r="K559">
        <v>0.1062860579723416</v>
      </c>
      <c r="L559" t="s">
        <v>154</v>
      </c>
      <c r="N559" t="s">
        <v>216</v>
      </c>
      <c r="O559" t="s">
        <v>165</v>
      </c>
      <c r="P559">
        <v>3.7442431514307109E-2</v>
      </c>
      <c r="Q559" t="s">
        <v>154</v>
      </c>
      <c r="S559" t="s">
        <v>240</v>
      </c>
      <c r="T559" t="s">
        <v>165</v>
      </c>
      <c r="U559">
        <v>4.1668255938515066E-2</v>
      </c>
      <c r="V559" t="s">
        <v>154</v>
      </c>
    </row>
    <row r="560" spans="9:22" x14ac:dyDescent="0.45">
      <c r="I560" t="s">
        <v>187</v>
      </c>
      <c r="J560" t="s">
        <v>264</v>
      </c>
      <c r="K560">
        <v>7.1194712468004868E-3</v>
      </c>
      <c r="L560" t="s">
        <v>154</v>
      </c>
      <c r="N560" t="s">
        <v>216</v>
      </c>
      <c r="O560" t="s">
        <v>264</v>
      </c>
      <c r="P560">
        <v>4.3533687720915737E-3</v>
      </c>
      <c r="Q560" t="s">
        <v>154</v>
      </c>
      <c r="S560" t="s">
        <v>240</v>
      </c>
      <c r="T560" t="s">
        <v>264</v>
      </c>
      <c r="U560">
        <v>5.375429534483887E-3</v>
      </c>
      <c r="V560" t="s">
        <v>154</v>
      </c>
    </row>
    <row r="561" spans="9:22" x14ac:dyDescent="0.45">
      <c r="I561" t="s">
        <v>187</v>
      </c>
      <c r="J561" t="s">
        <v>265</v>
      </c>
      <c r="K561">
        <v>3.3751270450424833E-4</v>
      </c>
      <c r="L561" t="s">
        <v>154</v>
      </c>
      <c r="N561" t="s">
        <v>216</v>
      </c>
      <c r="O561" t="s">
        <v>265</v>
      </c>
      <c r="P561">
        <v>4.0074339462754845E-3</v>
      </c>
      <c r="Q561" t="s">
        <v>154</v>
      </c>
      <c r="S561" t="s">
        <v>240</v>
      </c>
      <c r="T561" t="s">
        <v>265</v>
      </c>
      <c r="U561">
        <v>4.6783540556437067E-3</v>
      </c>
      <c r="V561" t="s">
        <v>154</v>
      </c>
    </row>
    <row r="562" spans="9:22" x14ac:dyDescent="0.45">
      <c r="I562" t="s">
        <v>187</v>
      </c>
      <c r="J562" t="s">
        <v>266</v>
      </c>
      <c r="K562">
        <v>0</v>
      </c>
      <c r="L562" t="s">
        <v>154</v>
      </c>
      <c r="N562" t="s">
        <v>216</v>
      </c>
      <c r="O562" t="s">
        <v>266</v>
      </c>
      <c r="P562">
        <v>2.3164183371320833E-2</v>
      </c>
      <c r="Q562" t="s">
        <v>154</v>
      </c>
      <c r="S562" t="s">
        <v>240</v>
      </c>
      <c r="T562" t="s">
        <v>266</v>
      </c>
      <c r="U562">
        <v>2.8284600454286143E-2</v>
      </c>
      <c r="V562" t="s">
        <v>154</v>
      </c>
    </row>
    <row r="563" spans="9:22" x14ac:dyDescent="0.45">
      <c r="I563" t="s">
        <v>188</v>
      </c>
      <c r="J563" t="s">
        <v>153</v>
      </c>
      <c r="K563">
        <v>3.7930655512245915E-5</v>
      </c>
      <c r="L563" t="s">
        <v>154</v>
      </c>
      <c r="N563" t="s">
        <v>217</v>
      </c>
      <c r="O563" t="s">
        <v>153</v>
      </c>
      <c r="P563">
        <v>0.16994360814654041</v>
      </c>
      <c r="Q563" t="s">
        <v>154</v>
      </c>
    </row>
    <row r="564" spans="9:22" x14ac:dyDescent="0.45">
      <c r="I564" t="s">
        <v>188</v>
      </c>
      <c r="J564" t="s">
        <v>155</v>
      </c>
      <c r="K564">
        <v>7.1314040601393347E-2</v>
      </c>
      <c r="L564" t="s">
        <v>154</v>
      </c>
      <c r="N564" t="s">
        <v>217</v>
      </c>
      <c r="O564" t="s">
        <v>155</v>
      </c>
      <c r="P564">
        <v>4.8246347138300734E-2</v>
      </c>
      <c r="Q564" t="s">
        <v>154</v>
      </c>
    </row>
    <row r="565" spans="9:22" x14ac:dyDescent="0.45">
      <c r="I565" t="s">
        <v>188</v>
      </c>
      <c r="J565" t="s">
        <v>156</v>
      </c>
      <c r="K565">
        <v>0.54786900805688854</v>
      </c>
      <c r="L565" t="s">
        <v>154</v>
      </c>
      <c r="N565" t="s">
        <v>217</v>
      </c>
      <c r="O565" t="s">
        <v>156</v>
      </c>
      <c r="P565">
        <v>0.24693989649958292</v>
      </c>
      <c r="Q565" t="s">
        <v>154</v>
      </c>
    </row>
    <row r="566" spans="9:22" x14ac:dyDescent="0.45">
      <c r="I566" t="s">
        <v>188</v>
      </c>
      <c r="J566" t="s">
        <v>255</v>
      </c>
      <c r="K566">
        <v>3.7554551418658891E-2</v>
      </c>
      <c r="L566" t="s">
        <v>154</v>
      </c>
      <c r="N566" t="s">
        <v>217</v>
      </c>
      <c r="O566" t="s">
        <v>255</v>
      </c>
      <c r="P566">
        <v>2.608747765815523E-2</v>
      </c>
      <c r="Q566" t="s">
        <v>154</v>
      </c>
    </row>
    <row r="567" spans="9:22" x14ac:dyDescent="0.45">
      <c r="I567" t="s">
        <v>188</v>
      </c>
      <c r="J567" t="s">
        <v>256</v>
      </c>
      <c r="K567">
        <v>2.2168194170235429E-2</v>
      </c>
      <c r="L567" t="s">
        <v>154</v>
      </c>
      <c r="N567" t="s">
        <v>217</v>
      </c>
      <c r="O567" t="s">
        <v>256</v>
      </c>
      <c r="P567">
        <v>2.4405720497822643E-2</v>
      </c>
      <c r="Q567" t="s">
        <v>154</v>
      </c>
    </row>
    <row r="568" spans="9:22" x14ac:dyDescent="0.45">
      <c r="I568" t="s">
        <v>188</v>
      </c>
      <c r="J568" t="s">
        <v>257</v>
      </c>
      <c r="K568">
        <v>0</v>
      </c>
      <c r="L568" t="s">
        <v>154</v>
      </c>
      <c r="N568" t="s">
        <v>217</v>
      </c>
      <c r="O568" t="s">
        <v>257</v>
      </c>
      <c r="P568">
        <v>0.12453984136431419</v>
      </c>
      <c r="Q568" t="s">
        <v>154</v>
      </c>
    </row>
    <row r="569" spans="9:22" x14ac:dyDescent="0.45">
      <c r="I569" t="s">
        <v>188</v>
      </c>
      <c r="J569" t="s">
        <v>157</v>
      </c>
      <c r="K569">
        <v>0</v>
      </c>
      <c r="L569" t="s">
        <v>154</v>
      </c>
      <c r="N569" t="s">
        <v>217</v>
      </c>
      <c r="O569" t="s">
        <v>157</v>
      </c>
      <c r="P569">
        <v>3.92847117186437E-2</v>
      </c>
      <c r="Q569" t="s">
        <v>154</v>
      </c>
    </row>
    <row r="570" spans="9:22" x14ac:dyDescent="0.45">
      <c r="I570" t="s">
        <v>188</v>
      </c>
      <c r="J570" t="s">
        <v>158</v>
      </c>
      <c r="K570">
        <v>1.2971538744425221E-2</v>
      </c>
      <c r="L570" t="s">
        <v>154</v>
      </c>
      <c r="N570" t="s">
        <v>217</v>
      </c>
      <c r="O570" t="s">
        <v>158</v>
      </c>
      <c r="P570">
        <v>1.1122061250669953E-2</v>
      </c>
      <c r="Q570" t="s">
        <v>154</v>
      </c>
    </row>
    <row r="571" spans="9:22" x14ac:dyDescent="0.45">
      <c r="I571" t="s">
        <v>188</v>
      </c>
      <c r="J571" t="s">
        <v>159</v>
      </c>
      <c r="K571">
        <v>0.10103742816824816</v>
      </c>
      <c r="L571" t="s">
        <v>154</v>
      </c>
      <c r="N571" t="s">
        <v>217</v>
      </c>
      <c r="O571" t="s">
        <v>159</v>
      </c>
      <c r="P571">
        <v>6.477559988803698E-2</v>
      </c>
      <c r="Q571" t="s">
        <v>154</v>
      </c>
    </row>
    <row r="572" spans="9:22" x14ac:dyDescent="0.45">
      <c r="I572" t="s">
        <v>188</v>
      </c>
      <c r="J572" t="s">
        <v>258</v>
      </c>
      <c r="K572">
        <v>4.8338206583096845E-3</v>
      </c>
      <c r="L572" t="s">
        <v>154</v>
      </c>
      <c r="N572" t="s">
        <v>217</v>
      </c>
      <c r="O572" t="s">
        <v>258</v>
      </c>
      <c r="P572">
        <v>7.0214072775833655E-3</v>
      </c>
      <c r="Q572" t="s">
        <v>154</v>
      </c>
    </row>
    <row r="573" spans="9:22" x14ac:dyDescent="0.45">
      <c r="I573" t="s">
        <v>188</v>
      </c>
      <c r="J573" t="s">
        <v>259</v>
      </c>
      <c r="K573">
        <v>2.4913091754844188E-3</v>
      </c>
      <c r="L573" t="s">
        <v>154</v>
      </c>
      <c r="N573" t="s">
        <v>217</v>
      </c>
      <c r="O573" t="s">
        <v>259</v>
      </c>
      <c r="P573">
        <v>6.2072254312787404E-3</v>
      </c>
      <c r="Q573" t="s">
        <v>154</v>
      </c>
    </row>
    <row r="574" spans="9:22" x14ac:dyDescent="0.45">
      <c r="I574" t="s">
        <v>188</v>
      </c>
      <c r="J574" t="s">
        <v>260</v>
      </c>
      <c r="K574">
        <v>0</v>
      </c>
      <c r="L574" t="s">
        <v>154</v>
      </c>
      <c r="N574" t="s">
        <v>217</v>
      </c>
      <c r="O574" t="s">
        <v>260</v>
      </c>
      <c r="P574">
        <v>2.7763012609417121E-2</v>
      </c>
      <c r="Q574" t="s">
        <v>154</v>
      </c>
    </row>
    <row r="575" spans="9:22" x14ac:dyDescent="0.45">
      <c r="I575" t="s">
        <v>188</v>
      </c>
      <c r="J575" t="s">
        <v>160</v>
      </c>
      <c r="K575">
        <v>0</v>
      </c>
      <c r="L575" t="s">
        <v>154</v>
      </c>
      <c r="N575" t="s">
        <v>217</v>
      </c>
      <c r="O575" t="s">
        <v>160</v>
      </c>
      <c r="P575">
        <v>1.8934709830057333E-2</v>
      </c>
      <c r="Q575" t="s">
        <v>154</v>
      </c>
    </row>
    <row r="576" spans="9:22" x14ac:dyDescent="0.45">
      <c r="I576" t="s">
        <v>188</v>
      </c>
      <c r="J576" t="s">
        <v>161</v>
      </c>
      <c r="K576">
        <v>1.0216089959018321E-2</v>
      </c>
      <c r="L576" t="s">
        <v>154</v>
      </c>
      <c r="N576" t="s">
        <v>217</v>
      </c>
      <c r="O576" t="s">
        <v>161</v>
      </c>
      <c r="P576">
        <v>4.900587084015506E-3</v>
      </c>
      <c r="Q576" t="s">
        <v>154</v>
      </c>
    </row>
    <row r="577" spans="9:17" x14ac:dyDescent="0.45">
      <c r="I577" t="s">
        <v>188</v>
      </c>
      <c r="J577" t="s">
        <v>162</v>
      </c>
      <c r="K577">
        <v>6.334965098925753E-2</v>
      </c>
      <c r="L577" t="s">
        <v>154</v>
      </c>
      <c r="N577" t="s">
        <v>217</v>
      </c>
      <c r="O577" t="s">
        <v>162</v>
      </c>
      <c r="P577">
        <v>2.5003130906439068E-2</v>
      </c>
      <c r="Q577" t="s">
        <v>154</v>
      </c>
    </row>
    <row r="578" spans="9:17" x14ac:dyDescent="0.45">
      <c r="I578" t="s">
        <v>188</v>
      </c>
      <c r="J578" t="s">
        <v>261</v>
      </c>
      <c r="K578">
        <v>3.7430871219679596E-3</v>
      </c>
      <c r="L578" t="s">
        <v>154</v>
      </c>
      <c r="N578" t="s">
        <v>217</v>
      </c>
      <c r="O578" t="s">
        <v>261</v>
      </c>
      <c r="P578">
        <v>2.8373600081665722E-3</v>
      </c>
      <c r="Q578" t="s">
        <v>154</v>
      </c>
    </row>
    <row r="579" spans="9:17" x14ac:dyDescent="0.45">
      <c r="I579" t="s">
        <v>188</v>
      </c>
      <c r="J579" t="s">
        <v>262</v>
      </c>
      <c r="K579">
        <v>0</v>
      </c>
      <c r="L579" t="s">
        <v>154</v>
      </c>
      <c r="N579" t="s">
        <v>217</v>
      </c>
      <c r="O579" t="s">
        <v>262</v>
      </c>
      <c r="P579">
        <v>2.7611982479931012E-3</v>
      </c>
      <c r="Q579" t="s">
        <v>154</v>
      </c>
    </row>
    <row r="580" spans="9:17" x14ac:dyDescent="0.45">
      <c r="I580" t="s">
        <v>188</v>
      </c>
      <c r="J580" t="s">
        <v>263</v>
      </c>
      <c r="K580">
        <v>0</v>
      </c>
      <c r="L580" t="s">
        <v>154</v>
      </c>
      <c r="N580" t="s">
        <v>217</v>
      </c>
      <c r="O580" t="s">
        <v>263</v>
      </c>
      <c r="P580">
        <v>1.4688051862168667E-2</v>
      </c>
      <c r="Q580" t="s">
        <v>154</v>
      </c>
    </row>
    <row r="581" spans="9:17" x14ac:dyDescent="0.45">
      <c r="I581" t="s">
        <v>188</v>
      </c>
      <c r="J581" t="s">
        <v>163</v>
      </c>
      <c r="K581">
        <v>0</v>
      </c>
      <c r="L581" t="s">
        <v>154</v>
      </c>
      <c r="N581" t="s">
        <v>217</v>
      </c>
      <c r="O581" t="s">
        <v>163</v>
      </c>
      <c r="P581">
        <v>3.8141889768016732E-2</v>
      </c>
      <c r="Q581" t="s">
        <v>154</v>
      </c>
    </row>
    <row r="582" spans="9:17" x14ac:dyDescent="0.45">
      <c r="I582" t="s">
        <v>188</v>
      </c>
      <c r="J582" t="s">
        <v>164</v>
      </c>
      <c r="K582">
        <v>1.40007155876729E-2</v>
      </c>
      <c r="L582" t="s">
        <v>154</v>
      </c>
      <c r="N582" t="s">
        <v>217</v>
      </c>
      <c r="O582" t="s">
        <v>164</v>
      </c>
      <c r="P582">
        <v>1.0381153377785888E-2</v>
      </c>
      <c r="Q582" t="s">
        <v>154</v>
      </c>
    </row>
    <row r="583" spans="9:17" x14ac:dyDescent="0.45">
      <c r="I583" t="s">
        <v>188</v>
      </c>
      <c r="J583" t="s">
        <v>165</v>
      </c>
      <c r="K583">
        <v>0.10223649775855907</v>
      </c>
      <c r="L583" t="s">
        <v>154</v>
      </c>
      <c r="N583" t="s">
        <v>217</v>
      </c>
      <c r="O583" t="s">
        <v>165</v>
      </c>
      <c r="P583">
        <v>4.8312530163011097E-2</v>
      </c>
      <c r="Q583" t="s">
        <v>154</v>
      </c>
    </row>
    <row r="584" spans="9:17" x14ac:dyDescent="0.45">
      <c r="I584" t="s">
        <v>188</v>
      </c>
      <c r="J584" t="s">
        <v>264</v>
      </c>
      <c r="K584">
        <v>6.1527621894207412E-3</v>
      </c>
      <c r="L584" t="s">
        <v>154</v>
      </c>
      <c r="N584" t="s">
        <v>217</v>
      </c>
      <c r="O584" t="s">
        <v>264</v>
      </c>
      <c r="P584">
        <v>5.0216839325837957E-3</v>
      </c>
      <c r="Q584" t="s">
        <v>154</v>
      </c>
    </row>
    <row r="585" spans="9:17" x14ac:dyDescent="0.45">
      <c r="I585" t="s">
        <v>188</v>
      </c>
      <c r="J585" t="s">
        <v>265</v>
      </c>
      <c r="K585">
        <v>2.3374744948448519E-5</v>
      </c>
      <c r="L585" t="s">
        <v>154</v>
      </c>
      <c r="N585" t="s">
        <v>217</v>
      </c>
      <c r="O585" t="s">
        <v>265</v>
      </c>
      <c r="P585">
        <v>4.9420766004502894E-3</v>
      </c>
      <c r="Q585" t="s">
        <v>154</v>
      </c>
    </row>
    <row r="586" spans="9:17" x14ac:dyDescent="0.45">
      <c r="I586" t="s">
        <v>188</v>
      </c>
      <c r="J586" t="s">
        <v>266</v>
      </c>
      <c r="K586">
        <v>0</v>
      </c>
      <c r="L586" t="s">
        <v>154</v>
      </c>
      <c r="N586" t="s">
        <v>217</v>
      </c>
      <c r="O586" t="s">
        <v>266</v>
      </c>
      <c r="P586">
        <v>2.7738718738966935E-2</v>
      </c>
      <c r="Q586" t="s">
        <v>154</v>
      </c>
    </row>
    <row r="587" spans="9:17" x14ac:dyDescent="0.45">
      <c r="I587" t="s">
        <v>189</v>
      </c>
      <c r="J587" t="s">
        <v>153</v>
      </c>
      <c r="K587">
        <v>0</v>
      </c>
      <c r="L587" t="s">
        <v>154</v>
      </c>
    </row>
    <row r="588" spans="9:17" x14ac:dyDescent="0.45">
      <c r="I588" t="s">
        <v>189</v>
      </c>
      <c r="J588" t="s">
        <v>155</v>
      </c>
      <c r="K588">
        <v>6.9262465407316273E-2</v>
      </c>
      <c r="L588" t="s">
        <v>154</v>
      </c>
    </row>
    <row r="589" spans="9:17" x14ac:dyDescent="0.45">
      <c r="I589" t="s">
        <v>189</v>
      </c>
      <c r="J589" t="s">
        <v>156</v>
      </c>
      <c r="K589">
        <v>0.54584623930401599</v>
      </c>
      <c r="L589" t="s">
        <v>154</v>
      </c>
    </row>
    <row r="590" spans="9:17" x14ac:dyDescent="0.45">
      <c r="I590" t="s">
        <v>189</v>
      </c>
      <c r="J590" t="s">
        <v>255</v>
      </c>
      <c r="K590">
        <v>3.5501041301301717E-2</v>
      </c>
      <c r="L590" t="s">
        <v>154</v>
      </c>
    </row>
    <row r="591" spans="9:17" x14ac:dyDescent="0.45">
      <c r="I591" t="s">
        <v>189</v>
      </c>
      <c r="J591" t="s">
        <v>256</v>
      </c>
      <c r="K591">
        <v>2.144923560937503E-2</v>
      </c>
      <c r="L591" t="s">
        <v>154</v>
      </c>
    </row>
    <row r="592" spans="9:17" x14ac:dyDescent="0.45">
      <c r="I592" t="s">
        <v>189</v>
      </c>
      <c r="J592" t="s">
        <v>257</v>
      </c>
      <c r="K592">
        <v>1.6991135100064206E-6</v>
      </c>
      <c r="L592" t="s">
        <v>154</v>
      </c>
    </row>
    <row r="593" spans="9:12" x14ac:dyDescent="0.45">
      <c r="I593" t="s">
        <v>189</v>
      </c>
      <c r="J593" t="s">
        <v>157</v>
      </c>
      <c r="K593">
        <v>0</v>
      </c>
      <c r="L593" t="s">
        <v>154</v>
      </c>
    </row>
    <row r="594" spans="9:12" x14ac:dyDescent="0.45">
      <c r="I594" t="s">
        <v>189</v>
      </c>
      <c r="J594" t="s">
        <v>158</v>
      </c>
      <c r="K594">
        <v>1.3180443427293213E-2</v>
      </c>
      <c r="L594" t="s">
        <v>154</v>
      </c>
    </row>
    <row r="595" spans="9:12" x14ac:dyDescent="0.45">
      <c r="I595" t="s">
        <v>189</v>
      </c>
      <c r="J595" t="s">
        <v>159</v>
      </c>
      <c r="K595">
        <v>9.8156131048402276E-2</v>
      </c>
      <c r="L595" t="s">
        <v>154</v>
      </c>
    </row>
    <row r="596" spans="9:12" x14ac:dyDescent="0.45">
      <c r="I596" t="s">
        <v>189</v>
      </c>
      <c r="J596" t="s">
        <v>258</v>
      </c>
      <c r="K596">
        <v>4.5887904371923003E-3</v>
      </c>
      <c r="L596" t="s">
        <v>154</v>
      </c>
    </row>
    <row r="597" spans="9:12" x14ac:dyDescent="0.45">
      <c r="I597" t="s">
        <v>189</v>
      </c>
      <c r="J597" t="s">
        <v>259</v>
      </c>
      <c r="K597">
        <v>2.385900050125382E-3</v>
      </c>
      <c r="L597" t="s">
        <v>154</v>
      </c>
    </row>
    <row r="598" spans="9:12" x14ac:dyDescent="0.45">
      <c r="I598" t="s">
        <v>189</v>
      </c>
      <c r="J598" t="s">
        <v>260</v>
      </c>
      <c r="K598">
        <v>0</v>
      </c>
      <c r="L598" t="s">
        <v>154</v>
      </c>
    </row>
    <row r="599" spans="9:12" x14ac:dyDescent="0.45">
      <c r="I599" t="s">
        <v>189</v>
      </c>
      <c r="J599" t="s">
        <v>160</v>
      </c>
      <c r="K599">
        <v>0</v>
      </c>
      <c r="L599" t="s">
        <v>154</v>
      </c>
    </row>
    <row r="600" spans="9:12" x14ac:dyDescent="0.45">
      <c r="I600" t="s">
        <v>189</v>
      </c>
      <c r="J600" t="s">
        <v>161</v>
      </c>
      <c r="K600">
        <v>1.0507983631091221E-2</v>
      </c>
      <c r="L600" t="s">
        <v>154</v>
      </c>
    </row>
    <row r="601" spans="9:12" x14ac:dyDescent="0.45">
      <c r="I601" t="s">
        <v>189</v>
      </c>
      <c r="J601" t="s">
        <v>162</v>
      </c>
      <c r="K601">
        <v>6.5331549994032609E-2</v>
      </c>
      <c r="L601" t="s">
        <v>154</v>
      </c>
    </row>
    <row r="602" spans="9:12" x14ac:dyDescent="0.45">
      <c r="I602" t="s">
        <v>189</v>
      </c>
      <c r="J602" t="s">
        <v>261</v>
      </c>
      <c r="K602">
        <v>3.9279795029169753E-3</v>
      </c>
      <c r="L602" t="s">
        <v>154</v>
      </c>
    </row>
    <row r="603" spans="9:12" x14ac:dyDescent="0.45">
      <c r="I603" t="s">
        <v>189</v>
      </c>
      <c r="J603" t="s">
        <v>262</v>
      </c>
      <c r="K603">
        <v>6.6807350795245078E-5</v>
      </c>
      <c r="L603" t="s">
        <v>154</v>
      </c>
    </row>
    <row r="604" spans="9:12" x14ac:dyDescent="0.45">
      <c r="I604" t="s">
        <v>189</v>
      </c>
      <c r="J604" t="s">
        <v>263</v>
      </c>
      <c r="K604">
        <v>0</v>
      </c>
      <c r="L604" t="s">
        <v>154</v>
      </c>
    </row>
    <row r="605" spans="9:12" x14ac:dyDescent="0.45">
      <c r="I605" t="s">
        <v>189</v>
      </c>
      <c r="J605" t="s">
        <v>163</v>
      </c>
      <c r="K605">
        <v>0</v>
      </c>
      <c r="L605" t="s">
        <v>154</v>
      </c>
    </row>
    <row r="606" spans="9:12" x14ac:dyDescent="0.45">
      <c r="I606" t="s">
        <v>189</v>
      </c>
      <c r="J606" t="s">
        <v>164</v>
      </c>
      <c r="K606">
        <v>1.474770065881854E-2</v>
      </c>
      <c r="L606" t="s">
        <v>154</v>
      </c>
    </row>
    <row r="607" spans="9:12" x14ac:dyDescent="0.45">
      <c r="I607" t="s">
        <v>189</v>
      </c>
      <c r="J607" t="s">
        <v>165</v>
      </c>
      <c r="K607">
        <v>0.10837787241158196</v>
      </c>
      <c r="L607" t="s">
        <v>154</v>
      </c>
    </row>
    <row r="608" spans="9:12" x14ac:dyDescent="0.45">
      <c r="I608" t="s">
        <v>189</v>
      </c>
      <c r="J608" t="s">
        <v>264</v>
      </c>
      <c r="K608">
        <v>6.5289517189081395E-3</v>
      </c>
      <c r="L608" t="s">
        <v>154</v>
      </c>
    </row>
    <row r="609" spans="9:12" x14ac:dyDescent="0.45">
      <c r="I609" t="s">
        <v>189</v>
      </c>
      <c r="J609" t="s">
        <v>265</v>
      </c>
      <c r="K609">
        <v>1.392090333206963E-4</v>
      </c>
      <c r="L609" t="s">
        <v>154</v>
      </c>
    </row>
    <row r="610" spans="9:12" x14ac:dyDescent="0.45">
      <c r="I610" t="s">
        <v>189</v>
      </c>
      <c r="J610" t="s">
        <v>266</v>
      </c>
      <c r="K610">
        <v>0</v>
      </c>
      <c r="L610" t="s">
        <v>154</v>
      </c>
    </row>
    <row r="611" spans="9:12" x14ac:dyDescent="0.45">
      <c r="I611" t="s">
        <v>190</v>
      </c>
      <c r="J611" t="s">
        <v>153</v>
      </c>
      <c r="K611">
        <v>2.2394744538167756E-4</v>
      </c>
      <c r="L611" t="s">
        <v>154</v>
      </c>
    </row>
    <row r="612" spans="9:12" x14ac:dyDescent="0.45">
      <c r="I612" t="s">
        <v>190</v>
      </c>
      <c r="J612" t="s">
        <v>155</v>
      </c>
      <c r="K612">
        <v>6.7794716071423941E-2</v>
      </c>
      <c r="L612" t="s">
        <v>154</v>
      </c>
    </row>
    <row r="613" spans="9:12" x14ac:dyDescent="0.45">
      <c r="I613" t="s">
        <v>190</v>
      </c>
      <c r="J613" t="s">
        <v>156</v>
      </c>
      <c r="K613">
        <v>0.5477133536795401</v>
      </c>
      <c r="L613" t="s">
        <v>154</v>
      </c>
    </row>
    <row r="614" spans="9:12" x14ac:dyDescent="0.45">
      <c r="I614" t="s">
        <v>190</v>
      </c>
      <c r="J614" t="s">
        <v>255</v>
      </c>
      <c r="K614">
        <v>3.9191207899415041E-2</v>
      </c>
      <c r="L614" t="s">
        <v>154</v>
      </c>
    </row>
    <row r="615" spans="9:12" x14ac:dyDescent="0.45">
      <c r="I615" t="s">
        <v>190</v>
      </c>
      <c r="J615" t="s">
        <v>256</v>
      </c>
      <c r="K615">
        <v>2.272142074279063E-2</v>
      </c>
      <c r="L615" t="s">
        <v>154</v>
      </c>
    </row>
    <row r="616" spans="9:12" x14ac:dyDescent="0.45">
      <c r="I616" t="s">
        <v>190</v>
      </c>
      <c r="J616" t="s">
        <v>257</v>
      </c>
      <c r="K616">
        <v>0</v>
      </c>
      <c r="L616" t="s">
        <v>154</v>
      </c>
    </row>
    <row r="617" spans="9:12" x14ac:dyDescent="0.45">
      <c r="I617" t="s">
        <v>190</v>
      </c>
      <c r="J617" t="s">
        <v>157</v>
      </c>
      <c r="K617">
        <v>0</v>
      </c>
      <c r="L617" t="s">
        <v>154</v>
      </c>
    </row>
    <row r="618" spans="9:12" x14ac:dyDescent="0.45">
      <c r="I618" t="s">
        <v>190</v>
      </c>
      <c r="J618" t="s">
        <v>158</v>
      </c>
      <c r="K618">
        <v>1.2698069384529885E-2</v>
      </c>
      <c r="L618" t="s">
        <v>154</v>
      </c>
    </row>
    <row r="619" spans="9:12" x14ac:dyDescent="0.45">
      <c r="I619" t="s">
        <v>190</v>
      </c>
      <c r="J619" t="s">
        <v>159</v>
      </c>
      <c r="K619">
        <v>0.10525049135642306</v>
      </c>
      <c r="L619" t="s">
        <v>154</v>
      </c>
    </row>
    <row r="620" spans="9:12" x14ac:dyDescent="0.45">
      <c r="I620" t="s">
        <v>190</v>
      </c>
      <c r="J620" t="s">
        <v>258</v>
      </c>
      <c r="K620">
        <v>5.5518581947504708E-3</v>
      </c>
      <c r="L620" t="s">
        <v>154</v>
      </c>
    </row>
    <row r="621" spans="9:12" x14ac:dyDescent="0.45">
      <c r="I621" t="s">
        <v>190</v>
      </c>
      <c r="J621" t="s">
        <v>259</v>
      </c>
      <c r="K621">
        <v>2.5818785275312146E-3</v>
      </c>
      <c r="L621" t="s">
        <v>154</v>
      </c>
    </row>
    <row r="622" spans="9:12" x14ac:dyDescent="0.45">
      <c r="I622" t="s">
        <v>190</v>
      </c>
      <c r="J622" t="s">
        <v>260</v>
      </c>
      <c r="K622">
        <v>0</v>
      </c>
      <c r="L622" t="s">
        <v>154</v>
      </c>
    </row>
    <row r="623" spans="9:12" x14ac:dyDescent="0.45">
      <c r="I623" t="s">
        <v>190</v>
      </c>
      <c r="J623" t="s">
        <v>160</v>
      </c>
      <c r="K623">
        <v>0</v>
      </c>
      <c r="L623" t="s">
        <v>154</v>
      </c>
    </row>
    <row r="624" spans="9:12" x14ac:dyDescent="0.45">
      <c r="I624" t="s">
        <v>190</v>
      </c>
      <c r="J624" t="s">
        <v>161</v>
      </c>
      <c r="K624">
        <v>9.572835158159803E-3</v>
      </c>
      <c r="L624" t="s">
        <v>154</v>
      </c>
    </row>
    <row r="625" spans="9:12" x14ac:dyDescent="0.45">
      <c r="I625" t="s">
        <v>190</v>
      </c>
      <c r="J625" t="s">
        <v>162</v>
      </c>
      <c r="K625">
        <v>6.3101693024958591E-2</v>
      </c>
      <c r="L625" t="s">
        <v>154</v>
      </c>
    </row>
    <row r="626" spans="9:12" x14ac:dyDescent="0.45">
      <c r="I626" t="s">
        <v>190</v>
      </c>
      <c r="J626" t="s">
        <v>261</v>
      </c>
      <c r="K626">
        <v>3.7313872921754033E-3</v>
      </c>
      <c r="L626" t="s">
        <v>154</v>
      </c>
    </row>
    <row r="627" spans="9:12" x14ac:dyDescent="0.45">
      <c r="I627" t="s">
        <v>190</v>
      </c>
      <c r="J627" t="s">
        <v>262</v>
      </c>
      <c r="K627">
        <v>0</v>
      </c>
      <c r="L627" t="s">
        <v>154</v>
      </c>
    </row>
    <row r="628" spans="9:12" x14ac:dyDescent="0.45">
      <c r="I628" t="s">
        <v>190</v>
      </c>
      <c r="J628" t="s">
        <v>263</v>
      </c>
      <c r="K628">
        <v>0</v>
      </c>
      <c r="L628" t="s">
        <v>154</v>
      </c>
    </row>
    <row r="629" spans="9:12" x14ac:dyDescent="0.45">
      <c r="I629" t="s">
        <v>190</v>
      </c>
      <c r="J629" t="s">
        <v>163</v>
      </c>
      <c r="K629">
        <v>0</v>
      </c>
      <c r="L629" t="s">
        <v>154</v>
      </c>
    </row>
    <row r="630" spans="9:12" x14ac:dyDescent="0.45">
      <c r="I630" t="s">
        <v>190</v>
      </c>
      <c r="J630" t="s">
        <v>164</v>
      </c>
      <c r="K630">
        <v>1.2466727561409515E-2</v>
      </c>
      <c r="L630" t="s">
        <v>154</v>
      </c>
    </row>
    <row r="631" spans="9:12" x14ac:dyDescent="0.45">
      <c r="I631" t="s">
        <v>190</v>
      </c>
      <c r="J631" t="s">
        <v>165</v>
      </c>
      <c r="K631">
        <v>0.10095013640814253</v>
      </c>
      <c r="L631" t="s">
        <v>154</v>
      </c>
    </row>
    <row r="632" spans="9:12" x14ac:dyDescent="0.45">
      <c r="I632" t="s">
        <v>190</v>
      </c>
      <c r="J632" t="s">
        <v>264</v>
      </c>
      <c r="K632">
        <v>6.384571997926451E-3</v>
      </c>
      <c r="L632" t="s">
        <v>154</v>
      </c>
    </row>
    <row r="633" spans="9:12" x14ac:dyDescent="0.45">
      <c r="I633" t="s">
        <v>190</v>
      </c>
      <c r="J633" t="s">
        <v>265</v>
      </c>
      <c r="K633">
        <v>6.5705255445799789E-5</v>
      </c>
      <c r="L633" t="s">
        <v>154</v>
      </c>
    </row>
    <row r="634" spans="9:12" x14ac:dyDescent="0.45">
      <c r="I634" t="s">
        <v>190</v>
      </c>
      <c r="J634" t="s">
        <v>266</v>
      </c>
      <c r="K634">
        <v>0</v>
      </c>
      <c r="L634" t="s">
        <v>154</v>
      </c>
    </row>
    <row r="635" spans="9:12" x14ac:dyDescent="0.45">
      <c r="I635" t="s">
        <v>191</v>
      </c>
      <c r="J635" t="s">
        <v>153</v>
      </c>
      <c r="K635">
        <v>2.3282573559907458E-3</v>
      </c>
      <c r="L635" t="s">
        <v>154</v>
      </c>
    </row>
    <row r="636" spans="9:12" x14ac:dyDescent="0.45">
      <c r="I636" t="s">
        <v>191</v>
      </c>
      <c r="J636" t="s">
        <v>155</v>
      </c>
      <c r="K636">
        <v>7.208390400075966E-2</v>
      </c>
      <c r="L636" t="s">
        <v>154</v>
      </c>
    </row>
    <row r="637" spans="9:12" x14ac:dyDescent="0.45">
      <c r="I637" t="s">
        <v>191</v>
      </c>
      <c r="J637" t="s">
        <v>156</v>
      </c>
      <c r="K637">
        <v>0.54582073209309057</v>
      </c>
      <c r="L637" t="s">
        <v>154</v>
      </c>
    </row>
    <row r="638" spans="9:12" x14ac:dyDescent="0.45">
      <c r="I638" t="s">
        <v>191</v>
      </c>
      <c r="J638" t="s">
        <v>255</v>
      </c>
      <c r="K638">
        <v>3.7939227666586521E-2</v>
      </c>
      <c r="L638" t="s">
        <v>154</v>
      </c>
    </row>
    <row r="639" spans="9:12" x14ac:dyDescent="0.45">
      <c r="I639" t="s">
        <v>191</v>
      </c>
      <c r="J639" t="s">
        <v>256</v>
      </c>
      <c r="K639">
        <v>2.154910042028187E-2</v>
      </c>
      <c r="L639" t="s">
        <v>154</v>
      </c>
    </row>
    <row r="640" spans="9:12" x14ac:dyDescent="0.45">
      <c r="I640" t="s">
        <v>191</v>
      </c>
      <c r="J640" t="s">
        <v>257</v>
      </c>
      <c r="K640">
        <v>0</v>
      </c>
      <c r="L640" t="s">
        <v>154</v>
      </c>
    </row>
    <row r="641" spans="9:12" x14ac:dyDescent="0.45">
      <c r="I641" t="s">
        <v>191</v>
      </c>
      <c r="J641" t="s">
        <v>157</v>
      </c>
      <c r="K641">
        <v>0</v>
      </c>
      <c r="L641" t="s">
        <v>154</v>
      </c>
    </row>
    <row r="642" spans="9:12" x14ac:dyDescent="0.45">
      <c r="I642" t="s">
        <v>191</v>
      </c>
      <c r="J642" t="s">
        <v>158</v>
      </c>
      <c r="K642">
        <v>1.3315519282915038E-2</v>
      </c>
      <c r="L642" t="s">
        <v>154</v>
      </c>
    </row>
    <row r="643" spans="9:12" x14ac:dyDescent="0.45">
      <c r="I643" t="s">
        <v>191</v>
      </c>
      <c r="J643" t="s">
        <v>159</v>
      </c>
      <c r="K643">
        <v>0.10899376998284774</v>
      </c>
      <c r="L643" t="s">
        <v>154</v>
      </c>
    </row>
    <row r="644" spans="9:12" x14ac:dyDescent="0.45">
      <c r="I644" t="s">
        <v>191</v>
      </c>
      <c r="J644" t="s">
        <v>258</v>
      </c>
      <c r="K644">
        <v>5.9614571656938856E-3</v>
      </c>
      <c r="L644" t="s">
        <v>154</v>
      </c>
    </row>
    <row r="645" spans="9:12" x14ac:dyDescent="0.45">
      <c r="I645" t="s">
        <v>191</v>
      </c>
      <c r="J645" t="s">
        <v>259</v>
      </c>
      <c r="K645">
        <v>2.2000030277635869E-3</v>
      </c>
      <c r="L645" t="s">
        <v>154</v>
      </c>
    </row>
    <row r="646" spans="9:12" x14ac:dyDescent="0.45">
      <c r="I646" t="s">
        <v>191</v>
      </c>
      <c r="J646" t="s">
        <v>260</v>
      </c>
      <c r="K646">
        <v>0</v>
      </c>
      <c r="L646" t="s">
        <v>154</v>
      </c>
    </row>
    <row r="647" spans="9:12" x14ac:dyDescent="0.45">
      <c r="I647" t="s">
        <v>191</v>
      </c>
      <c r="J647" t="s">
        <v>160</v>
      </c>
      <c r="K647">
        <v>0</v>
      </c>
      <c r="L647" t="s">
        <v>154</v>
      </c>
    </row>
    <row r="648" spans="9:12" x14ac:dyDescent="0.45">
      <c r="I648" t="s">
        <v>191</v>
      </c>
      <c r="J648" t="s">
        <v>161</v>
      </c>
      <c r="K648">
        <v>9.5333771042527601E-3</v>
      </c>
      <c r="L648" t="s">
        <v>154</v>
      </c>
    </row>
    <row r="649" spans="9:12" x14ac:dyDescent="0.45">
      <c r="I649" t="s">
        <v>191</v>
      </c>
      <c r="J649" t="s">
        <v>162</v>
      </c>
      <c r="K649">
        <v>6.1927905105338098E-2</v>
      </c>
      <c r="L649" t="s">
        <v>154</v>
      </c>
    </row>
    <row r="650" spans="9:12" x14ac:dyDescent="0.45">
      <c r="I650" t="s">
        <v>191</v>
      </c>
      <c r="J650" t="s">
        <v>261</v>
      </c>
      <c r="K650">
        <v>3.5735088714266166E-3</v>
      </c>
      <c r="L650" t="s">
        <v>154</v>
      </c>
    </row>
    <row r="651" spans="9:12" x14ac:dyDescent="0.45">
      <c r="I651" t="s">
        <v>191</v>
      </c>
      <c r="J651" t="s">
        <v>262</v>
      </c>
      <c r="K651">
        <v>0</v>
      </c>
      <c r="L651" t="s">
        <v>154</v>
      </c>
    </row>
    <row r="652" spans="9:12" x14ac:dyDescent="0.45">
      <c r="I652" t="s">
        <v>191</v>
      </c>
      <c r="J652" t="s">
        <v>263</v>
      </c>
      <c r="K652">
        <v>0</v>
      </c>
      <c r="L652" t="s">
        <v>154</v>
      </c>
    </row>
    <row r="653" spans="9:12" x14ac:dyDescent="0.45">
      <c r="I653" t="s">
        <v>191</v>
      </c>
      <c r="J653" t="s">
        <v>163</v>
      </c>
      <c r="K653">
        <v>0</v>
      </c>
      <c r="L653" t="s">
        <v>154</v>
      </c>
    </row>
    <row r="654" spans="9:12" x14ac:dyDescent="0.45">
      <c r="I654" t="s">
        <v>191</v>
      </c>
      <c r="J654" t="s">
        <v>164</v>
      </c>
      <c r="K654">
        <v>1.3469436916984767E-2</v>
      </c>
      <c r="L654" t="s">
        <v>154</v>
      </c>
    </row>
    <row r="655" spans="9:12" x14ac:dyDescent="0.45">
      <c r="I655" t="s">
        <v>191</v>
      </c>
      <c r="J655" t="s">
        <v>165</v>
      </c>
      <c r="K655">
        <v>9.5695655305810118E-2</v>
      </c>
      <c r="L655" t="s">
        <v>154</v>
      </c>
    </row>
    <row r="656" spans="9:12" x14ac:dyDescent="0.45">
      <c r="I656" t="s">
        <v>191</v>
      </c>
      <c r="J656" t="s">
        <v>264</v>
      </c>
      <c r="K656">
        <v>5.6081457002578987E-3</v>
      </c>
      <c r="L656" t="s">
        <v>154</v>
      </c>
    </row>
    <row r="657" spans="9:12" x14ac:dyDescent="0.45">
      <c r="I657" t="s">
        <v>191</v>
      </c>
      <c r="J657" t="s">
        <v>265</v>
      </c>
      <c r="K657">
        <v>0</v>
      </c>
      <c r="L657" t="s">
        <v>154</v>
      </c>
    </row>
    <row r="658" spans="9:12" x14ac:dyDescent="0.45">
      <c r="I658" t="s">
        <v>191</v>
      </c>
      <c r="J658" t="s">
        <v>266</v>
      </c>
      <c r="K658">
        <v>0</v>
      </c>
      <c r="L658" t="s">
        <v>154</v>
      </c>
    </row>
    <row r="659" spans="9:12" x14ac:dyDescent="0.45">
      <c r="I659" t="s">
        <v>192</v>
      </c>
      <c r="J659" t="s">
        <v>153</v>
      </c>
      <c r="K659">
        <v>4.1096061133184215E-3</v>
      </c>
      <c r="L659" t="s">
        <v>154</v>
      </c>
    </row>
    <row r="660" spans="9:12" x14ac:dyDescent="0.45">
      <c r="I660" t="s">
        <v>192</v>
      </c>
      <c r="J660" t="s">
        <v>155</v>
      </c>
      <c r="K660">
        <v>7.1199881758720038E-2</v>
      </c>
      <c r="L660" t="s">
        <v>154</v>
      </c>
    </row>
    <row r="661" spans="9:12" x14ac:dyDescent="0.45">
      <c r="I661" t="s">
        <v>192</v>
      </c>
      <c r="J661" t="s">
        <v>156</v>
      </c>
      <c r="K661">
        <v>0.53840305465342153</v>
      </c>
      <c r="L661" t="s">
        <v>154</v>
      </c>
    </row>
    <row r="662" spans="9:12" x14ac:dyDescent="0.45">
      <c r="I662" t="s">
        <v>192</v>
      </c>
      <c r="J662" t="s">
        <v>255</v>
      </c>
      <c r="K662">
        <v>3.7296716682685353E-2</v>
      </c>
      <c r="L662" t="s">
        <v>154</v>
      </c>
    </row>
    <row r="663" spans="9:12" x14ac:dyDescent="0.45">
      <c r="I663" t="s">
        <v>192</v>
      </c>
      <c r="J663" t="s">
        <v>256</v>
      </c>
      <c r="K663">
        <v>2.0919041236858584E-2</v>
      </c>
      <c r="L663" t="s">
        <v>154</v>
      </c>
    </row>
    <row r="664" spans="9:12" x14ac:dyDescent="0.45">
      <c r="I664" t="s">
        <v>192</v>
      </c>
      <c r="J664" t="s">
        <v>257</v>
      </c>
      <c r="K664">
        <v>0</v>
      </c>
      <c r="L664" t="s">
        <v>154</v>
      </c>
    </row>
    <row r="665" spans="9:12" x14ac:dyDescent="0.45">
      <c r="I665" t="s">
        <v>192</v>
      </c>
      <c r="J665" t="s">
        <v>157</v>
      </c>
      <c r="K665">
        <v>0</v>
      </c>
      <c r="L665" t="s">
        <v>154</v>
      </c>
    </row>
    <row r="666" spans="9:12" x14ac:dyDescent="0.45">
      <c r="I666" t="s">
        <v>192</v>
      </c>
      <c r="J666" t="s">
        <v>158</v>
      </c>
      <c r="K666">
        <v>1.4393902371654497E-2</v>
      </c>
      <c r="L666" t="s">
        <v>154</v>
      </c>
    </row>
    <row r="667" spans="9:12" x14ac:dyDescent="0.45">
      <c r="I667" t="s">
        <v>192</v>
      </c>
      <c r="J667" t="s">
        <v>159</v>
      </c>
      <c r="K667">
        <v>0.10969850366878721</v>
      </c>
      <c r="L667" t="s">
        <v>154</v>
      </c>
    </row>
    <row r="668" spans="9:12" x14ac:dyDescent="0.45">
      <c r="I668" t="s">
        <v>192</v>
      </c>
      <c r="J668" t="s">
        <v>258</v>
      </c>
      <c r="K668">
        <v>5.6318402060264615E-3</v>
      </c>
      <c r="L668" t="s">
        <v>154</v>
      </c>
    </row>
    <row r="669" spans="9:12" x14ac:dyDescent="0.45">
      <c r="I669" t="s">
        <v>192</v>
      </c>
      <c r="J669" t="s">
        <v>259</v>
      </c>
      <c r="K669">
        <v>1.7117271576894176E-3</v>
      </c>
      <c r="L669" t="s">
        <v>154</v>
      </c>
    </row>
    <row r="670" spans="9:12" x14ac:dyDescent="0.45">
      <c r="I670" t="s">
        <v>192</v>
      </c>
      <c r="J670" t="s">
        <v>260</v>
      </c>
      <c r="K670">
        <v>0</v>
      </c>
      <c r="L670" t="s">
        <v>154</v>
      </c>
    </row>
    <row r="671" spans="9:12" x14ac:dyDescent="0.45">
      <c r="I671" t="s">
        <v>192</v>
      </c>
      <c r="J671" t="s">
        <v>160</v>
      </c>
      <c r="K671">
        <v>0</v>
      </c>
      <c r="L671" t="s">
        <v>154</v>
      </c>
    </row>
    <row r="672" spans="9:12" x14ac:dyDescent="0.45">
      <c r="I672" t="s">
        <v>192</v>
      </c>
      <c r="J672" t="s">
        <v>161</v>
      </c>
      <c r="K672">
        <v>1.006971857424592E-2</v>
      </c>
      <c r="L672" t="s">
        <v>154</v>
      </c>
    </row>
    <row r="673" spans="9:12" x14ac:dyDescent="0.45">
      <c r="I673" t="s">
        <v>192</v>
      </c>
      <c r="J673" t="s">
        <v>162</v>
      </c>
      <c r="K673">
        <v>6.1538989313227793E-2</v>
      </c>
      <c r="L673" t="s">
        <v>154</v>
      </c>
    </row>
    <row r="674" spans="9:12" x14ac:dyDescent="0.45">
      <c r="I674" t="s">
        <v>192</v>
      </c>
      <c r="J674" t="s">
        <v>261</v>
      </c>
      <c r="K674">
        <v>3.2783314747688924E-3</v>
      </c>
      <c r="L674" t="s">
        <v>154</v>
      </c>
    </row>
    <row r="675" spans="9:12" x14ac:dyDescent="0.45">
      <c r="I675" t="s">
        <v>192</v>
      </c>
      <c r="J675" t="s">
        <v>262</v>
      </c>
      <c r="K675">
        <v>0</v>
      </c>
      <c r="L675" t="s">
        <v>154</v>
      </c>
    </row>
    <row r="676" spans="9:12" x14ac:dyDescent="0.45">
      <c r="I676" t="s">
        <v>192</v>
      </c>
      <c r="J676" t="s">
        <v>263</v>
      </c>
      <c r="K676">
        <v>0</v>
      </c>
      <c r="L676" t="s">
        <v>154</v>
      </c>
    </row>
    <row r="677" spans="9:12" x14ac:dyDescent="0.45">
      <c r="I677" t="s">
        <v>192</v>
      </c>
      <c r="J677" t="s">
        <v>163</v>
      </c>
      <c r="K677">
        <v>0</v>
      </c>
      <c r="L677" t="s">
        <v>154</v>
      </c>
    </row>
    <row r="678" spans="9:12" x14ac:dyDescent="0.45">
      <c r="I678" t="s">
        <v>192</v>
      </c>
      <c r="J678" t="s">
        <v>164</v>
      </c>
      <c r="K678">
        <v>1.4861352165194441E-2</v>
      </c>
      <c r="L678" t="s">
        <v>154</v>
      </c>
    </row>
    <row r="679" spans="9:12" x14ac:dyDescent="0.45">
      <c r="I679" t="s">
        <v>192</v>
      </c>
      <c r="J679" t="s">
        <v>165</v>
      </c>
      <c r="K679">
        <v>0.10120075826581069</v>
      </c>
      <c r="L679" t="s">
        <v>154</v>
      </c>
    </row>
    <row r="680" spans="9:12" x14ac:dyDescent="0.45">
      <c r="I680" t="s">
        <v>192</v>
      </c>
      <c r="J680" t="s">
        <v>264</v>
      </c>
      <c r="K680">
        <v>5.6865763575909218E-3</v>
      </c>
      <c r="L680" t="s">
        <v>154</v>
      </c>
    </row>
    <row r="681" spans="9:12" x14ac:dyDescent="0.45">
      <c r="I681" t="s">
        <v>192</v>
      </c>
      <c r="J681" t="s">
        <v>265</v>
      </c>
      <c r="K681">
        <v>0</v>
      </c>
      <c r="L681" t="s">
        <v>154</v>
      </c>
    </row>
    <row r="682" spans="9:12" x14ac:dyDescent="0.45">
      <c r="I682" t="s">
        <v>192</v>
      </c>
      <c r="J682" t="s">
        <v>266</v>
      </c>
      <c r="K682">
        <v>0</v>
      </c>
      <c r="L682" t="s">
        <v>154</v>
      </c>
    </row>
    <row r="683" spans="9:12" x14ac:dyDescent="0.45">
      <c r="I683" t="s">
        <v>193</v>
      </c>
      <c r="J683" t="s">
        <v>153</v>
      </c>
      <c r="K683">
        <v>1.2897840522305482E-3</v>
      </c>
      <c r="L683" t="s">
        <v>154</v>
      </c>
    </row>
    <row r="684" spans="9:12" x14ac:dyDescent="0.45">
      <c r="I684" t="s">
        <v>193</v>
      </c>
      <c r="J684" t="s">
        <v>155</v>
      </c>
      <c r="K684">
        <v>6.8542831971443494E-2</v>
      </c>
      <c r="L684" t="s">
        <v>154</v>
      </c>
    </row>
    <row r="685" spans="9:12" x14ac:dyDescent="0.45">
      <c r="I685" t="s">
        <v>193</v>
      </c>
      <c r="J685" t="s">
        <v>156</v>
      </c>
      <c r="K685">
        <v>0.53186146305667126</v>
      </c>
      <c r="L685" t="s">
        <v>154</v>
      </c>
    </row>
    <row r="686" spans="9:12" x14ac:dyDescent="0.45">
      <c r="I686" t="s">
        <v>193</v>
      </c>
      <c r="J686" t="s">
        <v>255</v>
      </c>
      <c r="K686">
        <v>3.6694473449452279E-2</v>
      </c>
      <c r="L686" t="s">
        <v>154</v>
      </c>
    </row>
    <row r="687" spans="9:12" x14ac:dyDescent="0.45">
      <c r="I687" t="s">
        <v>193</v>
      </c>
      <c r="J687" t="s">
        <v>256</v>
      </c>
      <c r="K687">
        <v>2.139883432184489E-2</v>
      </c>
      <c r="L687" t="s">
        <v>154</v>
      </c>
    </row>
    <row r="688" spans="9:12" x14ac:dyDescent="0.45">
      <c r="I688" t="s">
        <v>193</v>
      </c>
      <c r="J688" t="s">
        <v>257</v>
      </c>
      <c r="K688">
        <v>0</v>
      </c>
      <c r="L688" t="s">
        <v>154</v>
      </c>
    </row>
    <row r="689" spans="9:12" x14ac:dyDescent="0.45">
      <c r="I689" t="s">
        <v>193</v>
      </c>
      <c r="J689" t="s">
        <v>157</v>
      </c>
      <c r="K689">
        <v>0</v>
      </c>
      <c r="L689" t="s">
        <v>154</v>
      </c>
    </row>
    <row r="690" spans="9:12" x14ac:dyDescent="0.45">
      <c r="I690" t="s">
        <v>193</v>
      </c>
      <c r="J690" t="s">
        <v>158</v>
      </c>
      <c r="K690">
        <v>1.4211148499412816E-2</v>
      </c>
      <c r="L690" t="s">
        <v>154</v>
      </c>
    </row>
    <row r="691" spans="9:12" x14ac:dyDescent="0.45">
      <c r="I691" t="s">
        <v>193</v>
      </c>
      <c r="J691" t="s">
        <v>159</v>
      </c>
      <c r="K691">
        <v>0.11069039733854827</v>
      </c>
      <c r="L691" t="s">
        <v>154</v>
      </c>
    </row>
    <row r="692" spans="9:12" x14ac:dyDescent="0.45">
      <c r="I692" t="s">
        <v>193</v>
      </c>
      <c r="J692" t="s">
        <v>258</v>
      </c>
      <c r="K692">
        <v>5.875978752257335E-3</v>
      </c>
      <c r="L692" t="s">
        <v>154</v>
      </c>
    </row>
    <row r="693" spans="9:12" x14ac:dyDescent="0.45">
      <c r="I693" t="s">
        <v>193</v>
      </c>
      <c r="J693" t="s">
        <v>259</v>
      </c>
      <c r="K693">
        <v>2.1377646707705709E-3</v>
      </c>
      <c r="L693" t="s">
        <v>154</v>
      </c>
    </row>
    <row r="694" spans="9:12" x14ac:dyDescent="0.45">
      <c r="I694" t="s">
        <v>193</v>
      </c>
      <c r="J694" t="s">
        <v>260</v>
      </c>
      <c r="K694">
        <v>0</v>
      </c>
      <c r="L694" t="s">
        <v>154</v>
      </c>
    </row>
    <row r="695" spans="9:12" x14ac:dyDescent="0.45">
      <c r="I695" t="s">
        <v>193</v>
      </c>
      <c r="J695" t="s">
        <v>160</v>
      </c>
      <c r="K695">
        <v>0</v>
      </c>
      <c r="L695" t="s">
        <v>154</v>
      </c>
    </row>
    <row r="696" spans="9:12" x14ac:dyDescent="0.45">
      <c r="I696" t="s">
        <v>193</v>
      </c>
      <c r="J696" t="s">
        <v>161</v>
      </c>
      <c r="K696">
        <v>9.6786714727203713E-3</v>
      </c>
      <c r="L696" t="s">
        <v>154</v>
      </c>
    </row>
    <row r="697" spans="9:12" x14ac:dyDescent="0.45">
      <c r="I697" t="s">
        <v>193</v>
      </c>
      <c r="J697" t="s">
        <v>162</v>
      </c>
      <c r="K697">
        <v>6.42804276516101E-2</v>
      </c>
      <c r="L697" t="s">
        <v>154</v>
      </c>
    </row>
    <row r="698" spans="9:12" x14ac:dyDescent="0.45">
      <c r="I698" t="s">
        <v>193</v>
      </c>
      <c r="J698" t="s">
        <v>261</v>
      </c>
      <c r="K698">
        <v>3.7174240110121096E-3</v>
      </c>
      <c r="L698" t="s">
        <v>154</v>
      </c>
    </row>
    <row r="699" spans="9:12" x14ac:dyDescent="0.45">
      <c r="I699" t="s">
        <v>193</v>
      </c>
      <c r="J699" t="s">
        <v>262</v>
      </c>
      <c r="K699">
        <v>0</v>
      </c>
      <c r="L699" t="s">
        <v>154</v>
      </c>
    </row>
    <row r="700" spans="9:12" x14ac:dyDescent="0.45">
      <c r="I700" t="s">
        <v>193</v>
      </c>
      <c r="J700" t="s">
        <v>263</v>
      </c>
      <c r="K700">
        <v>0</v>
      </c>
      <c r="L700" t="s">
        <v>154</v>
      </c>
    </row>
    <row r="701" spans="9:12" x14ac:dyDescent="0.45">
      <c r="I701" t="s">
        <v>193</v>
      </c>
      <c r="J701" t="s">
        <v>163</v>
      </c>
      <c r="K701">
        <v>0</v>
      </c>
      <c r="L701" t="s">
        <v>154</v>
      </c>
    </row>
    <row r="702" spans="9:12" x14ac:dyDescent="0.45">
      <c r="I702" t="s">
        <v>193</v>
      </c>
      <c r="J702" t="s">
        <v>164</v>
      </c>
      <c r="K702">
        <v>1.4744241277661765E-2</v>
      </c>
      <c r="L702" t="s">
        <v>154</v>
      </c>
    </row>
    <row r="703" spans="9:12" x14ac:dyDescent="0.45">
      <c r="I703" t="s">
        <v>193</v>
      </c>
      <c r="J703" t="s">
        <v>165</v>
      </c>
      <c r="K703">
        <v>0.10859234979437031</v>
      </c>
      <c r="L703" t="s">
        <v>154</v>
      </c>
    </row>
    <row r="704" spans="9:12" x14ac:dyDescent="0.45">
      <c r="I704" t="s">
        <v>193</v>
      </c>
      <c r="J704" t="s">
        <v>264</v>
      </c>
      <c r="K704">
        <v>6.2754312349629308E-3</v>
      </c>
      <c r="L704" t="s">
        <v>154</v>
      </c>
    </row>
    <row r="705" spans="9:12" x14ac:dyDescent="0.45">
      <c r="I705" t="s">
        <v>193</v>
      </c>
      <c r="J705" t="s">
        <v>265</v>
      </c>
      <c r="K705">
        <v>8.7784450310337493E-6</v>
      </c>
      <c r="L705" t="s">
        <v>154</v>
      </c>
    </row>
    <row r="706" spans="9:12" x14ac:dyDescent="0.45">
      <c r="I706" t="s">
        <v>193</v>
      </c>
      <c r="J706" t="s">
        <v>266</v>
      </c>
      <c r="K706">
        <v>0</v>
      </c>
      <c r="L706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29F6A-F29D-43F3-9F1E-536AAB08344A}">
  <dimension ref="A9:AN88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271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241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247</v>
      </c>
      <c r="AK10" t="s">
        <v>47</v>
      </c>
      <c r="AL10" t="s">
        <v>115</v>
      </c>
      <c r="AM10" t="s">
        <v>248</v>
      </c>
      <c r="AN10" t="s">
        <v>249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269</v>
      </c>
      <c r="G11" t="s">
        <v>143</v>
      </c>
      <c r="I11" t="s">
        <v>152</v>
      </c>
      <c r="J11" t="s">
        <v>153</v>
      </c>
      <c r="K11">
        <v>6.7256335235093157E-3</v>
      </c>
      <c r="L11" t="s">
        <v>154</v>
      </c>
      <c r="N11" t="s">
        <v>194</v>
      </c>
      <c r="O11" t="s">
        <v>153</v>
      </c>
      <c r="P11">
        <v>0.15167700171055809</v>
      </c>
      <c r="Q11" t="s">
        <v>154</v>
      </c>
      <c r="S11" t="s">
        <v>218</v>
      </c>
      <c r="T11" t="s">
        <v>153</v>
      </c>
      <c r="U11">
        <v>0.18646594686146978</v>
      </c>
      <c r="V11" t="s">
        <v>154</v>
      </c>
      <c r="X11">
        <v>0.18938356164383563</v>
      </c>
      <c r="Y11">
        <v>7.4791039952266131E-2</v>
      </c>
      <c r="Z11" t="s">
        <v>153</v>
      </c>
      <c r="AA11" t="s">
        <v>25</v>
      </c>
      <c r="AC11" t="s">
        <v>22</v>
      </c>
      <c r="AD11" t="s">
        <v>153</v>
      </c>
      <c r="AE11">
        <v>0.13273114382191817</v>
      </c>
      <c r="AG11" t="s">
        <v>96</v>
      </c>
      <c r="AH11" t="s">
        <v>153</v>
      </c>
      <c r="AI11">
        <v>0.34938176629727469</v>
      </c>
      <c r="AK11">
        <v>2020</v>
      </c>
      <c r="AL11" t="s">
        <v>142</v>
      </c>
      <c r="AM11">
        <v>0.22789999999999999</v>
      </c>
      <c r="AN11" t="s">
        <v>250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7.2992112542513726E-2</v>
      </c>
      <c r="L12" t="s">
        <v>154</v>
      </c>
      <c r="N12" t="s">
        <v>194</v>
      </c>
      <c r="O12" t="s">
        <v>155</v>
      </c>
      <c r="P12">
        <v>3.6324343306363929E-2</v>
      </c>
      <c r="Q12" t="s">
        <v>154</v>
      </c>
      <c r="S12" t="s">
        <v>218</v>
      </c>
      <c r="T12" t="s">
        <v>155</v>
      </c>
      <c r="U12">
        <v>5.3016624688604221E-2</v>
      </c>
      <c r="V12" t="s">
        <v>154</v>
      </c>
      <c r="X12">
        <v>5.410958904109589E-2</v>
      </c>
      <c r="Y12">
        <v>7.9740447007930787E-2</v>
      </c>
      <c r="Z12" t="s">
        <v>155</v>
      </c>
      <c r="AA12" t="s">
        <v>25</v>
      </c>
      <c r="AC12" t="s">
        <v>22</v>
      </c>
      <c r="AD12" t="s">
        <v>155</v>
      </c>
      <c r="AE12">
        <v>5.4431068615952129E-2</v>
      </c>
      <c r="AG12" t="s">
        <v>96</v>
      </c>
      <c r="AH12" t="s">
        <v>155</v>
      </c>
      <c r="AI12">
        <v>0.15574360317762648</v>
      </c>
      <c r="AK12">
        <v>2020</v>
      </c>
      <c r="AL12" t="s">
        <v>146</v>
      </c>
      <c r="AM12">
        <v>0.29220000000000002</v>
      </c>
      <c r="AN12" t="s">
        <v>250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0.51180296679434234</v>
      </c>
      <c r="L13" t="s">
        <v>154</v>
      </c>
      <c r="N13" t="s">
        <v>194</v>
      </c>
      <c r="O13" t="s">
        <v>156</v>
      </c>
      <c r="P13">
        <v>0.19265979767896874</v>
      </c>
      <c r="Q13" t="s">
        <v>154</v>
      </c>
      <c r="S13" t="s">
        <v>218</v>
      </c>
      <c r="T13" t="s">
        <v>156</v>
      </c>
      <c r="U13">
        <v>0.21315832690295475</v>
      </c>
      <c r="V13" t="s">
        <v>154</v>
      </c>
      <c r="X13">
        <v>0.21643835616438356</v>
      </c>
      <c r="Y13">
        <v>0.29916415980906452</v>
      </c>
      <c r="Z13" t="s">
        <v>156</v>
      </c>
      <c r="AA13" t="s">
        <v>25</v>
      </c>
      <c r="AC13" t="s">
        <v>22</v>
      </c>
      <c r="AD13" t="s">
        <v>156</v>
      </c>
      <c r="AE13">
        <v>0.25579389338646547</v>
      </c>
      <c r="AG13" t="s">
        <v>96</v>
      </c>
      <c r="AH13" t="s">
        <v>156</v>
      </c>
      <c r="AI13">
        <v>9.5289489501218405E-2</v>
      </c>
      <c r="AK13">
        <v>2020</v>
      </c>
      <c r="AL13" t="s">
        <v>148</v>
      </c>
      <c r="AM13">
        <v>0.29885</v>
      </c>
      <c r="AN13" t="s">
        <v>250</v>
      </c>
    </row>
    <row r="14" spans="1:40" x14ac:dyDescent="0.45">
      <c r="C14" t="s">
        <v>150</v>
      </c>
      <c r="E14" t="s">
        <v>251</v>
      </c>
      <c r="G14" t="s">
        <v>143</v>
      </c>
      <c r="I14" t="s">
        <v>152</v>
      </c>
      <c r="J14" t="s">
        <v>255</v>
      </c>
      <c r="K14">
        <v>3.3646501709249127E-2</v>
      </c>
      <c r="L14" t="s">
        <v>154</v>
      </c>
      <c r="N14" t="s">
        <v>194</v>
      </c>
      <c r="O14" t="s">
        <v>255</v>
      </c>
      <c r="P14">
        <v>2.6741755119231145E-2</v>
      </c>
      <c r="Q14" t="s">
        <v>154</v>
      </c>
      <c r="S14" t="s">
        <v>218</v>
      </c>
      <c r="T14" t="s">
        <v>255</v>
      </c>
      <c r="U14">
        <v>2.3496006151304202E-2</v>
      </c>
      <c r="V14" t="s">
        <v>154</v>
      </c>
      <c r="X14">
        <v>2.7054794520547945E-2</v>
      </c>
      <c r="Y14">
        <v>5.2636551226909987E-2</v>
      </c>
      <c r="Z14" t="s">
        <v>255</v>
      </c>
      <c r="AA14" t="s">
        <v>25</v>
      </c>
      <c r="AC14" t="s">
        <v>22</v>
      </c>
      <c r="AD14" t="s">
        <v>255</v>
      </c>
      <c r="AE14">
        <v>3.1891629037646051E-2</v>
      </c>
      <c r="AG14" t="s">
        <v>96</v>
      </c>
      <c r="AH14" t="s">
        <v>255</v>
      </c>
      <c r="AI14">
        <v>8.6047025969881341E-2</v>
      </c>
      <c r="AK14">
        <v>2020</v>
      </c>
      <c r="AL14" t="s">
        <v>150</v>
      </c>
      <c r="AM14">
        <v>0.34450000000000003</v>
      </c>
      <c r="AN14" t="s">
        <v>250</v>
      </c>
    </row>
    <row r="15" spans="1:40" x14ac:dyDescent="0.45">
      <c r="C15" t="s">
        <v>270</v>
      </c>
      <c r="E15" t="s">
        <v>252</v>
      </c>
      <c r="G15" t="s">
        <v>143</v>
      </c>
      <c r="I15" t="s">
        <v>152</v>
      </c>
      <c r="J15" t="s">
        <v>256</v>
      </c>
      <c r="K15">
        <v>2.0174608491864979E-2</v>
      </c>
      <c r="L15" t="s">
        <v>154</v>
      </c>
      <c r="N15" t="s">
        <v>194</v>
      </c>
      <c r="O15" t="s">
        <v>256</v>
      </c>
      <c r="P15">
        <v>2.2619746030630536E-2</v>
      </c>
      <c r="Q15" t="s">
        <v>154</v>
      </c>
      <c r="S15" t="s">
        <v>218</v>
      </c>
      <c r="T15" t="s">
        <v>256</v>
      </c>
      <c r="U15">
        <v>2.3794737889001983E-2</v>
      </c>
      <c r="V15" t="s">
        <v>154</v>
      </c>
      <c r="X15">
        <v>2.7054794520547945E-2</v>
      </c>
      <c r="Y15">
        <v>4.0852248713422662E-2</v>
      </c>
      <c r="Z15" t="s">
        <v>256</v>
      </c>
      <c r="AA15" t="s">
        <v>25</v>
      </c>
      <c r="AC15" t="s">
        <v>22</v>
      </c>
      <c r="AD15" t="s">
        <v>256</v>
      </c>
      <c r="AE15">
        <v>3.7245779372241189E-2</v>
      </c>
      <c r="AG15" t="s">
        <v>96</v>
      </c>
      <c r="AH15" t="s">
        <v>256</v>
      </c>
      <c r="AI15">
        <v>9.7004877867604256E-2</v>
      </c>
      <c r="AK15">
        <v>2020</v>
      </c>
      <c r="AL15" t="s">
        <v>270</v>
      </c>
      <c r="AM15">
        <v>0.38205</v>
      </c>
      <c r="AN15" t="s">
        <v>250</v>
      </c>
    </row>
    <row r="16" spans="1:40" x14ac:dyDescent="0.45">
      <c r="E16" t="s">
        <v>253</v>
      </c>
      <c r="G16" t="s">
        <v>143</v>
      </c>
      <c r="I16" t="s">
        <v>152</v>
      </c>
      <c r="J16" t="s">
        <v>257</v>
      </c>
      <c r="K16">
        <v>0</v>
      </c>
      <c r="L16" t="s">
        <v>154</v>
      </c>
      <c r="N16" t="s">
        <v>194</v>
      </c>
      <c r="O16" t="s">
        <v>257</v>
      </c>
      <c r="P16">
        <v>0.12099996743194945</v>
      </c>
      <c r="Q16" t="s">
        <v>154</v>
      </c>
      <c r="S16" t="s">
        <v>218</v>
      </c>
      <c r="T16" t="s">
        <v>257</v>
      </c>
      <c r="U16">
        <v>0.12714405149060706</v>
      </c>
      <c r="V16" t="s">
        <v>154</v>
      </c>
      <c r="X16">
        <v>0.13527397260273974</v>
      </c>
      <c r="Y16">
        <v>0.10213062178355667</v>
      </c>
      <c r="Z16" t="s">
        <v>257</v>
      </c>
      <c r="AA16" t="s">
        <v>25</v>
      </c>
      <c r="AC16" t="s">
        <v>22</v>
      </c>
      <c r="AD16" t="s">
        <v>257</v>
      </c>
      <c r="AE16">
        <v>0.14618500369615148</v>
      </c>
      <c r="AG16" t="s">
        <v>96</v>
      </c>
      <c r="AH16" t="s">
        <v>257</v>
      </c>
      <c r="AI16">
        <v>0.32023656382465471</v>
      </c>
      <c r="AK16">
        <v>2021</v>
      </c>
      <c r="AL16" t="s">
        <v>142</v>
      </c>
      <c r="AM16">
        <v>0.31198750000000003</v>
      </c>
      <c r="AN16" t="s">
        <v>250</v>
      </c>
    </row>
    <row r="17" spans="9:40" x14ac:dyDescent="0.45">
      <c r="I17" t="s">
        <v>152</v>
      </c>
      <c r="J17" t="s">
        <v>157</v>
      </c>
      <c r="K17">
        <v>0</v>
      </c>
      <c r="L17" t="s">
        <v>154</v>
      </c>
      <c r="N17" t="s">
        <v>194</v>
      </c>
      <c r="O17" t="s">
        <v>157</v>
      </c>
      <c r="P17">
        <v>7.8842640249971903E-3</v>
      </c>
      <c r="Q17" t="s">
        <v>154</v>
      </c>
      <c r="S17" t="s">
        <v>218</v>
      </c>
      <c r="T17" t="s">
        <v>157</v>
      </c>
      <c r="U17">
        <v>9.4526017987001023E-3</v>
      </c>
      <c r="V17" t="s">
        <v>154</v>
      </c>
      <c r="X17">
        <v>1.8378995433789954E-2</v>
      </c>
      <c r="Y17">
        <v>7.2582021894604257E-3</v>
      </c>
      <c r="Z17" t="s">
        <v>157</v>
      </c>
      <c r="AA17" t="s">
        <v>25</v>
      </c>
      <c r="AC17" t="s">
        <v>22</v>
      </c>
      <c r="AD17" t="s">
        <v>157</v>
      </c>
      <c r="AE17">
        <v>1.1768856794900806E-2</v>
      </c>
      <c r="AG17" t="s">
        <v>96</v>
      </c>
      <c r="AH17" t="s">
        <v>157</v>
      </c>
      <c r="AI17">
        <v>0.21855371991148798</v>
      </c>
      <c r="AK17">
        <v>2021</v>
      </c>
      <c r="AL17" t="s">
        <v>146</v>
      </c>
      <c r="AM17">
        <v>0.44574999999999998</v>
      </c>
      <c r="AN17" t="s">
        <v>250</v>
      </c>
    </row>
    <row r="18" spans="9:40" x14ac:dyDescent="0.45">
      <c r="I18" t="s">
        <v>152</v>
      </c>
      <c r="J18" t="s">
        <v>158</v>
      </c>
      <c r="K18">
        <v>9.658978264831284E-3</v>
      </c>
      <c r="L18" t="s">
        <v>154</v>
      </c>
      <c r="N18" t="s">
        <v>194</v>
      </c>
      <c r="O18" t="s">
        <v>158</v>
      </c>
      <c r="P18">
        <v>2.0146806098285518E-3</v>
      </c>
      <c r="Q18" t="s">
        <v>154</v>
      </c>
      <c r="S18" t="s">
        <v>218</v>
      </c>
      <c r="T18" t="s">
        <v>158</v>
      </c>
      <c r="U18">
        <v>2.8288821724080739E-3</v>
      </c>
      <c r="V18" t="s">
        <v>154</v>
      </c>
      <c r="X18">
        <v>5.2511415525114159E-3</v>
      </c>
      <c r="Y18">
        <v>7.7385243931747186E-3</v>
      </c>
      <c r="Z18" t="s">
        <v>158</v>
      </c>
      <c r="AA18" t="s">
        <v>25</v>
      </c>
      <c r="AC18" t="s">
        <v>22</v>
      </c>
      <c r="AD18" t="s">
        <v>158</v>
      </c>
      <c r="AE18">
        <v>5.2531399179980868E-3</v>
      </c>
      <c r="AG18" t="s">
        <v>96</v>
      </c>
      <c r="AH18" t="s">
        <v>158</v>
      </c>
      <c r="AI18">
        <v>0.12650096424563739</v>
      </c>
      <c r="AK18">
        <v>2021</v>
      </c>
      <c r="AL18" t="s">
        <v>148</v>
      </c>
      <c r="AM18">
        <v>0.45894999999999997</v>
      </c>
      <c r="AN18" t="s">
        <v>250</v>
      </c>
    </row>
    <row r="19" spans="9:40" x14ac:dyDescent="0.45">
      <c r="I19" t="s">
        <v>152</v>
      </c>
      <c r="J19" t="s">
        <v>159</v>
      </c>
      <c r="K19">
        <v>5.7354886934686551E-2</v>
      </c>
      <c r="L19" t="s">
        <v>154</v>
      </c>
      <c r="N19" t="s">
        <v>194</v>
      </c>
      <c r="O19" t="s">
        <v>159</v>
      </c>
      <c r="P19">
        <v>1.1232095542837221E-2</v>
      </c>
      <c r="Q19" t="s">
        <v>154</v>
      </c>
      <c r="S19" t="s">
        <v>218</v>
      </c>
      <c r="T19" t="s">
        <v>159</v>
      </c>
      <c r="U19">
        <v>1.2824753244280677E-2</v>
      </c>
      <c r="V19" t="s">
        <v>154</v>
      </c>
      <c r="X19">
        <v>2.1004566210045664E-2</v>
      </c>
      <c r="Y19">
        <v>2.9032808757841703E-2</v>
      </c>
      <c r="Z19" t="s">
        <v>159</v>
      </c>
      <c r="AA19" t="s">
        <v>25</v>
      </c>
      <c r="AC19" t="s">
        <v>22</v>
      </c>
      <c r="AD19" t="s">
        <v>159</v>
      </c>
      <c r="AE19">
        <v>2.4219487972012593E-2</v>
      </c>
      <c r="AG19" t="s">
        <v>96</v>
      </c>
      <c r="AH19" t="s">
        <v>159</v>
      </c>
      <c r="AI19">
        <v>4.8308207806824877E-2</v>
      </c>
      <c r="AK19">
        <v>2021</v>
      </c>
      <c r="AL19" t="s">
        <v>150</v>
      </c>
      <c r="AM19">
        <v>0.42710000000000004</v>
      </c>
      <c r="AN19" t="s">
        <v>250</v>
      </c>
    </row>
    <row r="20" spans="9:40" x14ac:dyDescent="0.45">
      <c r="I20" t="s">
        <v>152</v>
      </c>
      <c r="J20" t="s">
        <v>258</v>
      </c>
      <c r="K20">
        <v>3.2615075801045758E-3</v>
      </c>
      <c r="L20" t="s">
        <v>154</v>
      </c>
      <c r="N20" t="s">
        <v>194</v>
      </c>
      <c r="O20" t="s">
        <v>258</v>
      </c>
      <c r="P20">
        <v>1.4549754768709631E-3</v>
      </c>
      <c r="Q20" t="s">
        <v>154</v>
      </c>
      <c r="S20" t="s">
        <v>218</v>
      </c>
      <c r="T20" t="s">
        <v>258</v>
      </c>
      <c r="U20">
        <v>1.374262751677843E-3</v>
      </c>
      <c r="V20" t="s">
        <v>154</v>
      </c>
      <c r="X20">
        <v>2.625570776255708E-3</v>
      </c>
      <c r="Y20">
        <v>5.1081885156916869E-3</v>
      </c>
      <c r="Z20" t="s">
        <v>258</v>
      </c>
      <c r="AA20" t="s">
        <v>25</v>
      </c>
      <c r="AC20" t="s">
        <v>22</v>
      </c>
      <c r="AD20" t="s">
        <v>258</v>
      </c>
      <c r="AE20">
        <v>3.0588141149555021E-3</v>
      </c>
      <c r="AG20" t="s">
        <v>96</v>
      </c>
      <c r="AH20" t="s">
        <v>258</v>
      </c>
      <c r="AI20">
        <v>4.2275360398877693E-2</v>
      </c>
      <c r="AK20">
        <v>2021</v>
      </c>
      <c r="AL20" t="s">
        <v>270</v>
      </c>
      <c r="AM20">
        <v>0.3654</v>
      </c>
      <c r="AN20" t="s">
        <v>250</v>
      </c>
    </row>
    <row r="21" spans="9:40" x14ac:dyDescent="0.45">
      <c r="I21" t="s">
        <v>152</v>
      </c>
      <c r="J21" t="s">
        <v>259</v>
      </c>
      <c r="K21">
        <v>2.0292332803459952E-3</v>
      </c>
      <c r="L21" t="s">
        <v>154</v>
      </c>
      <c r="N21" t="s">
        <v>194</v>
      </c>
      <c r="O21" t="s">
        <v>259</v>
      </c>
      <c r="P21">
        <v>1.4465025544802361E-3</v>
      </c>
      <c r="Q21" t="s">
        <v>154</v>
      </c>
      <c r="S21" t="s">
        <v>218</v>
      </c>
      <c r="T21" t="s">
        <v>259</v>
      </c>
      <c r="U21">
        <v>1.2602947164741861E-3</v>
      </c>
      <c r="V21" t="s">
        <v>154</v>
      </c>
      <c r="X21">
        <v>2.625570776255708E-3</v>
      </c>
      <c r="Y21">
        <v>3.964564221133845E-3</v>
      </c>
      <c r="Z21" t="s">
        <v>259</v>
      </c>
      <c r="AA21" t="s">
        <v>25</v>
      </c>
      <c r="AC21" t="s">
        <v>22</v>
      </c>
      <c r="AD21" t="s">
        <v>259</v>
      </c>
      <c r="AE21">
        <v>3.7476476257699643E-3</v>
      </c>
      <c r="AG21" t="s">
        <v>96</v>
      </c>
      <c r="AH21" t="s">
        <v>259</v>
      </c>
      <c r="AI21">
        <v>5.4766776200219081E-2</v>
      </c>
      <c r="AK21">
        <v>2022</v>
      </c>
      <c r="AL21" t="s">
        <v>142</v>
      </c>
      <c r="AM21">
        <v>0.35178749999999998</v>
      </c>
      <c r="AN21" t="s">
        <v>250</v>
      </c>
    </row>
    <row r="22" spans="9:40" x14ac:dyDescent="0.45">
      <c r="I22" t="s">
        <v>152</v>
      </c>
      <c r="J22" t="s">
        <v>260</v>
      </c>
      <c r="K22">
        <v>0</v>
      </c>
      <c r="L22" t="s">
        <v>154</v>
      </c>
      <c r="N22" t="s">
        <v>194</v>
      </c>
      <c r="O22" t="s">
        <v>260</v>
      </c>
      <c r="P22">
        <v>6.6939245695134186E-3</v>
      </c>
      <c r="Q22" t="s">
        <v>154</v>
      </c>
      <c r="S22" t="s">
        <v>218</v>
      </c>
      <c r="T22" t="s">
        <v>260</v>
      </c>
      <c r="U22">
        <v>6.5094603141376333E-3</v>
      </c>
      <c r="V22" t="s">
        <v>154</v>
      </c>
      <c r="X22">
        <v>1.3127853881278538E-2</v>
      </c>
      <c r="Y22">
        <v>9.9114105528346139E-3</v>
      </c>
      <c r="Z22" t="s">
        <v>260</v>
      </c>
      <c r="AA22" t="s">
        <v>25</v>
      </c>
      <c r="AC22" t="s">
        <v>22</v>
      </c>
      <c r="AD22" t="s">
        <v>260</v>
      </c>
      <c r="AE22">
        <v>1.3512432601478523E-2</v>
      </c>
      <c r="AG22" t="s">
        <v>96</v>
      </c>
      <c r="AH22" t="s">
        <v>260</v>
      </c>
      <c r="AI22">
        <v>0.35326816367226033</v>
      </c>
      <c r="AK22">
        <v>2022</v>
      </c>
      <c r="AL22" t="s">
        <v>146</v>
      </c>
      <c r="AM22">
        <v>0.46965000000000001</v>
      </c>
      <c r="AN22" t="s">
        <v>250</v>
      </c>
    </row>
    <row r="23" spans="9:40" x14ac:dyDescent="0.45">
      <c r="I23" t="s">
        <v>152</v>
      </c>
      <c r="J23" t="s">
        <v>160</v>
      </c>
      <c r="K23">
        <v>2.9138751692925184E-4</v>
      </c>
      <c r="L23" t="s">
        <v>154</v>
      </c>
      <c r="N23" t="s">
        <v>194</v>
      </c>
      <c r="O23" t="s">
        <v>160</v>
      </c>
      <c r="P23">
        <v>1.9243507636402091E-2</v>
      </c>
      <c r="Q23" t="s">
        <v>154</v>
      </c>
      <c r="S23" t="s">
        <v>218</v>
      </c>
      <c r="T23" t="s">
        <v>160</v>
      </c>
      <c r="U23">
        <v>4.5233096382037284E-2</v>
      </c>
      <c r="V23" t="s">
        <v>154</v>
      </c>
      <c r="X23">
        <v>2.3173515981735161E-2</v>
      </c>
      <c r="Y23">
        <v>9.151646238884887E-3</v>
      </c>
      <c r="Z23" t="s">
        <v>160</v>
      </c>
      <c r="AA23" t="s">
        <v>25</v>
      </c>
      <c r="AC23" t="s">
        <v>22</v>
      </c>
      <c r="AD23" t="s">
        <v>160</v>
      </c>
      <c r="AE23">
        <v>1.5004486416880283E-2</v>
      </c>
      <c r="AG23" t="s">
        <v>96</v>
      </c>
      <c r="AH23" t="s">
        <v>160</v>
      </c>
      <c r="AI23">
        <v>0.20847837482621601</v>
      </c>
      <c r="AK23">
        <v>2022</v>
      </c>
      <c r="AL23" t="s">
        <v>148</v>
      </c>
      <c r="AM23">
        <v>0.44755</v>
      </c>
      <c r="AN23" t="s">
        <v>250</v>
      </c>
    </row>
    <row r="24" spans="9:40" x14ac:dyDescent="0.45">
      <c r="I24" t="s">
        <v>152</v>
      </c>
      <c r="J24" t="s">
        <v>161</v>
      </c>
      <c r="K24">
        <v>8.8239967553590867E-3</v>
      </c>
      <c r="L24" t="s">
        <v>154</v>
      </c>
      <c r="N24" t="s">
        <v>194</v>
      </c>
      <c r="O24" t="s">
        <v>161</v>
      </c>
      <c r="P24">
        <v>5.3484134274757048E-3</v>
      </c>
      <c r="Q24" t="s">
        <v>154</v>
      </c>
      <c r="S24" t="s">
        <v>218</v>
      </c>
      <c r="T24" t="s">
        <v>161</v>
      </c>
      <c r="U24">
        <v>1.3011895302440703E-2</v>
      </c>
      <c r="V24" t="s">
        <v>154</v>
      </c>
      <c r="X24">
        <v>6.6210045662100456E-3</v>
      </c>
      <c r="Y24">
        <v>9.757269887046385E-3</v>
      </c>
      <c r="Z24" t="s">
        <v>161</v>
      </c>
      <c r="AA24" t="s">
        <v>25</v>
      </c>
      <c r="AC24" t="s">
        <v>22</v>
      </c>
      <c r="AD24" t="s">
        <v>161</v>
      </c>
      <c r="AE24">
        <v>6.6029138650491445E-3</v>
      </c>
      <c r="AG24" t="s">
        <v>96</v>
      </c>
      <c r="AH24" t="s">
        <v>161</v>
      </c>
      <c r="AI24">
        <v>0.12899409548174834</v>
      </c>
      <c r="AK24">
        <v>2022</v>
      </c>
      <c r="AL24" t="s">
        <v>150</v>
      </c>
      <c r="AM24">
        <v>0.43845000000000001</v>
      </c>
      <c r="AN24" t="s">
        <v>250</v>
      </c>
    </row>
    <row r="25" spans="9:40" x14ac:dyDescent="0.45">
      <c r="I25" t="s">
        <v>152</v>
      </c>
      <c r="J25" t="s">
        <v>162</v>
      </c>
      <c r="K25">
        <v>6.562783298593762E-2</v>
      </c>
      <c r="L25" t="s">
        <v>154</v>
      </c>
      <c r="N25" t="s">
        <v>194</v>
      </c>
      <c r="O25" t="s">
        <v>162</v>
      </c>
      <c r="P25">
        <v>2.5181034328372827E-2</v>
      </c>
      <c r="Q25" t="s">
        <v>154</v>
      </c>
      <c r="S25" t="s">
        <v>218</v>
      </c>
      <c r="T25" t="s">
        <v>162</v>
      </c>
      <c r="U25">
        <v>5.369569135132133E-2</v>
      </c>
      <c r="V25" t="s">
        <v>154</v>
      </c>
      <c r="X25">
        <v>2.6484018264840183E-2</v>
      </c>
      <c r="Y25">
        <v>3.6606584955539541E-2</v>
      </c>
      <c r="Z25" t="s">
        <v>162</v>
      </c>
      <c r="AA25" t="s">
        <v>25</v>
      </c>
      <c r="AC25" t="s">
        <v>22</v>
      </c>
      <c r="AD25" t="s">
        <v>162</v>
      </c>
      <c r="AE25">
        <v>3.046196742850461E-2</v>
      </c>
      <c r="AG25" t="s">
        <v>96</v>
      </c>
      <c r="AH25" t="s">
        <v>162</v>
      </c>
      <c r="AI25">
        <v>5.6802068663377669E-2</v>
      </c>
      <c r="AK25">
        <v>2022</v>
      </c>
      <c r="AL25" t="s">
        <v>270</v>
      </c>
      <c r="AM25">
        <v>0.40529999999999999</v>
      </c>
      <c r="AN25" t="s">
        <v>250</v>
      </c>
    </row>
    <row r="26" spans="9:40" x14ac:dyDescent="0.45">
      <c r="I26" t="s">
        <v>152</v>
      </c>
      <c r="J26" t="s">
        <v>261</v>
      </c>
      <c r="K26">
        <v>3.3073003660982021E-3</v>
      </c>
      <c r="L26" t="s">
        <v>154</v>
      </c>
      <c r="N26" t="s">
        <v>194</v>
      </c>
      <c r="O26" t="s">
        <v>261</v>
      </c>
      <c r="P26">
        <v>3.3131898696637276E-3</v>
      </c>
      <c r="Q26" t="s">
        <v>154</v>
      </c>
      <c r="S26" t="s">
        <v>218</v>
      </c>
      <c r="T26" t="s">
        <v>261</v>
      </c>
      <c r="U26">
        <v>6.1459018341701961E-3</v>
      </c>
      <c r="V26" t="s">
        <v>154</v>
      </c>
      <c r="X26">
        <v>3.3105022831050228E-3</v>
      </c>
      <c r="Y26">
        <v>6.4407594328286487E-3</v>
      </c>
      <c r="Z26" t="s">
        <v>261</v>
      </c>
      <c r="AA26" t="s">
        <v>25</v>
      </c>
      <c r="AC26" t="s">
        <v>22</v>
      </c>
      <c r="AD26" t="s">
        <v>261</v>
      </c>
      <c r="AE26">
        <v>3.8483855266125922E-3</v>
      </c>
      <c r="AG26" t="s">
        <v>96</v>
      </c>
      <c r="AH26" t="s">
        <v>261</v>
      </c>
      <c r="AI26">
        <v>4.499880411384849E-2</v>
      </c>
      <c r="AK26">
        <v>2025</v>
      </c>
      <c r="AL26" t="s">
        <v>142</v>
      </c>
      <c r="AM26">
        <v>0.2951375</v>
      </c>
      <c r="AN26" t="s">
        <v>250</v>
      </c>
    </row>
    <row r="27" spans="9:40" x14ac:dyDescent="0.45">
      <c r="I27" t="s">
        <v>152</v>
      </c>
      <c r="J27" t="s">
        <v>262</v>
      </c>
      <c r="K27">
        <v>4.239543635356798E-6</v>
      </c>
      <c r="L27" t="s">
        <v>154</v>
      </c>
      <c r="N27" t="s">
        <v>194</v>
      </c>
      <c r="O27" t="s">
        <v>262</v>
      </c>
      <c r="P27">
        <v>3.0861536770921197E-3</v>
      </c>
      <c r="Q27" t="s">
        <v>154</v>
      </c>
      <c r="S27" t="s">
        <v>218</v>
      </c>
      <c r="T27" t="s">
        <v>262</v>
      </c>
      <c r="U27">
        <v>5.9695966445072381E-3</v>
      </c>
      <c r="V27" t="s">
        <v>154</v>
      </c>
      <c r="X27">
        <v>3.3105022831050228E-3</v>
      </c>
      <c r="Y27">
        <v>4.9987983657774574E-3</v>
      </c>
      <c r="Z27" t="s">
        <v>262</v>
      </c>
      <c r="AA27" t="s">
        <v>25</v>
      </c>
      <c r="AC27" t="s">
        <v>22</v>
      </c>
      <c r="AD27" t="s">
        <v>262</v>
      </c>
      <c r="AE27">
        <v>4.6254349438862464E-3</v>
      </c>
      <c r="AG27" t="s">
        <v>96</v>
      </c>
      <c r="AH27" t="s">
        <v>262</v>
      </c>
      <c r="AI27">
        <v>7.2286571839792924E-2</v>
      </c>
      <c r="AK27">
        <v>2025</v>
      </c>
      <c r="AL27" t="s">
        <v>146</v>
      </c>
      <c r="AM27">
        <v>0.379</v>
      </c>
      <c r="AN27" t="s">
        <v>250</v>
      </c>
    </row>
    <row r="28" spans="9:40" x14ac:dyDescent="0.45">
      <c r="I28" t="s">
        <v>152</v>
      </c>
      <c r="J28" t="s">
        <v>263</v>
      </c>
      <c r="K28">
        <v>0</v>
      </c>
      <c r="L28" t="s">
        <v>154</v>
      </c>
      <c r="N28" t="s">
        <v>194</v>
      </c>
      <c r="O28" t="s">
        <v>263</v>
      </c>
      <c r="P28">
        <v>1.5748845288646635E-2</v>
      </c>
      <c r="Q28" t="s">
        <v>154</v>
      </c>
      <c r="S28" t="s">
        <v>218</v>
      </c>
      <c r="T28" t="s">
        <v>263</v>
      </c>
      <c r="U28">
        <v>2.9935177751362289E-2</v>
      </c>
      <c r="V28" t="s">
        <v>154</v>
      </c>
      <c r="X28">
        <v>1.6552511415525113E-2</v>
      </c>
      <c r="Y28">
        <v>1.2496995914443643E-2</v>
      </c>
      <c r="Z28" t="s">
        <v>263</v>
      </c>
      <c r="AA28" t="s">
        <v>25</v>
      </c>
      <c r="AC28" t="s">
        <v>22</v>
      </c>
      <c r="AD28" t="s">
        <v>263</v>
      </c>
      <c r="AE28">
        <v>1.7040916328631153E-2</v>
      </c>
      <c r="AG28" t="s">
        <v>96</v>
      </c>
      <c r="AH28" t="s">
        <v>263</v>
      </c>
      <c r="AI28">
        <v>0.3499131797114694</v>
      </c>
      <c r="AK28">
        <v>2025</v>
      </c>
      <c r="AL28" t="s">
        <v>148</v>
      </c>
      <c r="AM28">
        <v>0.35699999999999998</v>
      </c>
      <c r="AN28" t="s">
        <v>250</v>
      </c>
    </row>
    <row r="29" spans="9:40" x14ac:dyDescent="0.45">
      <c r="I29" t="s">
        <v>152</v>
      </c>
      <c r="J29" t="s">
        <v>163</v>
      </c>
      <c r="K29">
        <v>1.6773747219454588E-4</v>
      </c>
      <c r="L29" t="s">
        <v>154</v>
      </c>
      <c r="N29" t="s">
        <v>194</v>
      </c>
      <c r="O29" t="s">
        <v>163</v>
      </c>
      <c r="P29">
        <v>2.8215245883020282E-2</v>
      </c>
      <c r="Q29" t="s">
        <v>154</v>
      </c>
      <c r="S29" t="s">
        <v>218</v>
      </c>
      <c r="T29" t="s">
        <v>163</v>
      </c>
      <c r="U29">
        <v>5.1497994998714854E-3</v>
      </c>
      <c r="V29" t="s">
        <v>154</v>
      </c>
      <c r="X29">
        <v>1.8378995433789954E-2</v>
      </c>
      <c r="Y29">
        <v>7.2582021894604257E-3</v>
      </c>
      <c r="Z29" t="s">
        <v>163</v>
      </c>
      <c r="AA29" t="s">
        <v>25</v>
      </c>
      <c r="AC29" t="s">
        <v>22</v>
      </c>
      <c r="AD29" t="s">
        <v>163</v>
      </c>
      <c r="AE29">
        <v>1.1973693381552721E-2</v>
      </c>
      <c r="AG29" t="s">
        <v>96</v>
      </c>
      <c r="AH29" t="s">
        <v>163</v>
      </c>
      <c r="AI29">
        <v>0.19712275075717089</v>
      </c>
      <c r="AK29">
        <v>2025</v>
      </c>
      <c r="AL29" t="s">
        <v>150</v>
      </c>
      <c r="AM29">
        <v>0.34094999999999998</v>
      </c>
      <c r="AN29" t="s">
        <v>250</v>
      </c>
    </row>
    <row r="30" spans="9:40" x14ac:dyDescent="0.45">
      <c r="I30" t="s">
        <v>152</v>
      </c>
      <c r="J30" t="s">
        <v>164</v>
      </c>
      <c r="K30">
        <v>8.6824687636709308E-3</v>
      </c>
      <c r="L30" t="s">
        <v>154</v>
      </c>
      <c r="N30" t="s">
        <v>194</v>
      </c>
      <c r="O30" t="s">
        <v>164</v>
      </c>
      <c r="P30">
        <v>7.5611794857203757E-3</v>
      </c>
      <c r="Q30" t="s">
        <v>154</v>
      </c>
      <c r="S30" t="s">
        <v>218</v>
      </c>
      <c r="T30" t="s">
        <v>164</v>
      </c>
      <c r="U30">
        <v>1.5419941072429325E-3</v>
      </c>
      <c r="V30" t="s">
        <v>154</v>
      </c>
      <c r="X30">
        <v>5.2511415525114159E-3</v>
      </c>
      <c r="Y30">
        <v>7.7385243931747186E-3</v>
      </c>
      <c r="Z30" t="s">
        <v>164</v>
      </c>
      <c r="AA30" t="s">
        <v>25</v>
      </c>
      <c r="AC30" t="s">
        <v>22</v>
      </c>
      <c r="AD30" t="s">
        <v>164</v>
      </c>
      <c r="AE30">
        <v>5.1997230348272772E-3</v>
      </c>
      <c r="AG30" t="s">
        <v>96</v>
      </c>
      <c r="AH30" t="s">
        <v>164</v>
      </c>
      <c r="AI30">
        <v>0.12788405404719394</v>
      </c>
      <c r="AK30">
        <v>2025</v>
      </c>
      <c r="AL30" t="s">
        <v>270</v>
      </c>
      <c r="AM30">
        <v>0.28625</v>
      </c>
      <c r="AN30" t="s">
        <v>250</v>
      </c>
    </row>
    <row r="31" spans="9:40" x14ac:dyDescent="0.45">
      <c r="I31" t="s">
        <v>152</v>
      </c>
      <c r="J31" t="s">
        <v>165</v>
      </c>
      <c r="K31">
        <v>5.0905999300394217E-2</v>
      </c>
      <c r="L31" t="s">
        <v>154</v>
      </c>
      <c r="N31" t="s">
        <v>194</v>
      </c>
      <c r="O31" t="s">
        <v>165</v>
      </c>
      <c r="P31">
        <v>3.6707421972358947E-2</v>
      </c>
      <c r="Q31" t="s">
        <v>154</v>
      </c>
      <c r="S31" t="s">
        <v>218</v>
      </c>
      <c r="T31" t="s">
        <v>165</v>
      </c>
      <c r="U31">
        <v>5.0133570440005822E-3</v>
      </c>
      <c r="V31" t="s">
        <v>154</v>
      </c>
      <c r="X31">
        <v>2.1004566210045664E-2</v>
      </c>
      <c r="Y31">
        <v>2.9032808757841703E-2</v>
      </c>
      <c r="Z31" t="s">
        <v>165</v>
      </c>
      <c r="AA31" t="s">
        <v>25</v>
      </c>
      <c r="AC31" t="s">
        <v>22</v>
      </c>
      <c r="AD31" t="s">
        <v>165</v>
      </c>
      <c r="AE31">
        <v>2.4264076609865588E-2</v>
      </c>
      <c r="AG31" t="s">
        <v>96</v>
      </c>
      <c r="AH31" t="s">
        <v>165</v>
      </c>
      <c r="AI31">
        <v>5.4721009318058123E-2</v>
      </c>
      <c r="AK31">
        <v>2026</v>
      </c>
      <c r="AL31" t="s">
        <v>142</v>
      </c>
      <c r="AM31">
        <v>0.35625000000000001</v>
      </c>
      <c r="AN31" t="s">
        <v>250</v>
      </c>
    </row>
    <row r="32" spans="9:40" x14ac:dyDescent="0.45">
      <c r="I32" t="s">
        <v>152</v>
      </c>
      <c r="J32" t="s">
        <v>264</v>
      </c>
      <c r="K32">
        <v>2.6060296281202313E-3</v>
      </c>
      <c r="L32" t="s">
        <v>154</v>
      </c>
      <c r="N32" t="s">
        <v>194</v>
      </c>
      <c r="O32" t="s">
        <v>264</v>
      </c>
      <c r="P32">
        <v>4.5027964705041763E-3</v>
      </c>
      <c r="Q32" t="s">
        <v>154</v>
      </c>
      <c r="S32" t="s">
        <v>218</v>
      </c>
      <c r="T32" t="s">
        <v>264</v>
      </c>
      <c r="U32">
        <v>6.2519575359674126E-4</v>
      </c>
      <c r="V32" t="s">
        <v>154</v>
      </c>
      <c r="X32">
        <v>2.625570776255708E-3</v>
      </c>
      <c r="Y32">
        <v>5.1081885156916869E-3</v>
      </c>
      <c r="Z32" t="s">
        <v>264</v>
      </c>
      <c r="AA32" t="s">
        <v>25</v>
      </c>
      <c r="AC32" t="s">
        <v>22</v>
      </c>
      <c r="AD32" t="s">
        <v>264</v>
      </c>
      <c r="AE32">
        <v>3.0554097617435686E-3</v>
      </c>
      <c r="AG32" t="s">
        <v>96</v>
      </c>
      <c r="AH32" t="s">
        <v>264</v>
      </c>
      <c r="AI32">
        <v>4.4257335037006573E-2</v>
      </c>
      <c r="AK32">
        <v>2026</v>
      </c>
      <c r="AL32" t="s">
        <v>146</v>
      </c>
      <c r="AM32">
        <v>0.52334999999999998</v>
      </c>
      <c r="AN32" t="s">
        <v>250</v>
      </c>
    </row>
    <row r="33" spans="9:40" x14ac:dyDescent="0.45">
      <c r="I33" t="s">
        <v>152</v>
      </c>
      <c r="J33" t="s">
        <v>265</v>
      </c>
      <c r="K33">
        <v>0</v>
      </c>
      <c r="L33" t="s">
        <v>154</v>
      </c>
      <c r="N33" t="s">
        <v>194</v>
      </c>
      <c r="O33" t="s">
        <v>265</v>
      </c>
      <c r="P33">
        <v>3.8232971373741058E-3</v>
      </c>
      <c r="Q33" t="s">
        <v>154</v>
      </c>
      <c r="S33" t="s">
        <v>218</v>
      </c>
      <c r="T33" t="s">
        <v>265</v>
      </c>
      <c r="U33">
        <v>7.0567705766442124E-4</v>
      </c>
      <c r="V33" t="s">
        <v>154</v>
      </c>
      <c r="X33">
        <v>2.625570776255708E-3</v>
      </c>
      <c r="Y33">
        <v>3.964564221133845E-3</v>
      </c>
      <c r="Z33" t="s">
        <v>265</v>
      </c>
      <c r="AA33" t="s">
        <v>25</v>
      </c>
      <c r="AC33" t="s">
        <v>22</v>
      </c>
      <c r="AD33" t="s">
        <v>265</v>
      </c>
      <c r="AE33">
        <v>3.6641859902080787E-3</v>
      </c>
      <c r="AG33" t="s">
        <v>96</v>
      </c>
      <c r="AH33" t="s">
        <v>265</v>
      </c>
      <c r="AI33">
        <v>5.6744337658514166E-2</v>
      </c>
      <c r="AK33">
        <v>2026</v>
      </c>
      <c r="AL33" t="s">
        <v>148</v>
      </c>
      <c r="AM33">
        <v>0.48325000000000001</v>
      </c>
      <c r="AN33" t="s">
        <v>250</v>
      </c>
    </row>
    <row r="34" spans="9:40" x14ac:dyDescent="0.45">
      <c r="I34" t="s">
        <v>152</v>
      </c>
      <c r="J34" t="s">
        <v>266</v>
      </c>
      <c r="K34">
        <v>0</v>
      </c>
      <c r="L34" t="s">
        <v>154</v>
      </c>
      <c r="N34" t="s">
        <v>194</v>
      </c>
      <c r="O34" t="s">
        <v>266</v>
      </c>
      <c r="P34">
        <v>2.0883915158389228E-2</v>
      </c>
      <c r="Q34" t="s">
        <v>154</v>
      </c>
      <c r="S34" t="s">
        <v>218</v>
      </c>
      <c r="T34" t="s">
        <v>266</v>
      </c>
      <c r="U34">
        <v>4.038897774331059E-3</v>
      </c>
      <c r="V34" t="s">
        <v>154</v>
      </c>
      <c r="X34">
        <v>1.3127853881278538E-2</v>
      </c>
      <c r="Y34">
        <v>9.9114105528346139E-3</v>
      </c>
      <c r="Z34" t="s">
        <v>266</v>
      </c>
      <c r="AA34" t="s">
        <v>25</v>
      </c>
      <c r="AC34" t="s">
        <v>22</v>
      </c>
      <c r="AD34" t="s">
        <v>266</v>
      </c>
      <c r="AE34">
        <v>1.3696594234536544E-2</v>
      </c>
      <c r="AG34" t="s">
        <v>96</v>
      </c>
      <c r="AH34" t="s">
        <v>266</v>
      </c>
      <c r="AI34">
        <v>0.32031811074778327</v>
      </c>
      <c r="AK34">
        <v>2026</v>
      </c>
      <c r="AL34" t="s">
        <v>150</v>
      </c>
      <c r="AM34">
        <v>0.44</v>
      </c>
      <c r="AN34" t="s">
        <v>250</v>
      </c>
    </row>
    <row r="35" spans="9:40" x14ac:dyDescent="0.45">
      <c r="I35" t="s">
        <v>152</v>
      </c>
      <c r="J35" t="s">
        <v>272</v>
      </c>
      <c r="K35">
        <v>0</v>
      </c>
      <c r="L35" t="s">
        <v>154</v>
      </c>
      <c r="N35" t="s">
        <v>194</v>
      </c>
      <c r="O35" t="s">
        <v>272</v>
      </c>
      <c r="P35">
        <v>6.9789072753107903E-2</v>
      </c>
      <c r="Q35" t="s">
        <v>154</v>
      </c>
      <c r="S35" t="s">
        <v>218</v>
      </c>
      <c r="T35" t="s">
        <v>272</v>
      </c>
      <c r="U35">
        <v>4.7145709796356225E-2</v>
      </c>
      <c r="V35" t="s">
        <v>154</v>
      </c>
      <c r="X35">
        <v>4.2351598173515984E-2</v>
      </c>
      <c r="Y35">
        <v>1.6725422436582722E-2</v>
      </c>
      <c r="Z35" t="s">
        <v>272</v>
      </c>
      <c r="AA35" t="s">
        <v>25</v>
      </c>
      <c r="AC35" t="s">
        <v>22</v>
      </c>
      <c r="AD35" t="s">
        <v>272</v>
      </c>
      <c r="AE35">
        <v>2.7288543667554961E-2</v>
      </c>
      <c r="AG35" t="s">
        <v>96</v>
      </c>
      <c r="AH35" t="s">
        <v>272</v>
      </c>
      <c r="AI35">
        <v>0.20699588717504991</v>
      </c>
      <c r="AK35">
        <v>2026</v>
      </c>
      <c r="AL35" t="s">
        <v>270</v>
      </c>
      <c r="AM35">
        <v>0.43859999999999999</v>
      </c>
      <c r="AN35" t="s">
        <v>250</v>
      </c>
    </row>
    <row r="36" spans="9:40" x14ac:dyDescent="0.45">
      <c r="I36" t="s">
        <v>152</v>
      </c>
      <c r="J36" t="s">
        <v>273</v>
      </c>
      <c r="K36">
        <v>1.886455209774137E-2</v>
      </c>
      <c r="L36" t="s">
        <v>154</v>
      </c>
      <c r="N36" t="s">
        <v>194</v>
      </c>
      <c r="O36" t="s">
        <v>273</v>
      </c>
      <c r="P36">
        <v>1.7963366112217567E-2</v>
      </c>
      <c r="Q36" t="s">
        <v>154</v>
      </c>
      <c r="S36" t="s">
        <v>218</v>
      </c>
      <c r="T36" t="s">
        <v>273</v>
      </c>
      <c r="U36">
        <v>1.4611784337173689E-2</v>
      </c>
      <c r="V36" t="s">
        <v>154</v>
      </c>
      <c r="X36">
        <v>1.2100456621004566E-2</v>
      </c>
      <c r="Y36">
        <v>1.7832251862533045E-2</v>
      </c>
      <c r="Z36" t="s">
        <v>273</v>
      </c>
      <c r="AA36" t="s">
        <v>25</v>
      </c>
      <c r="AC36" t="s">
        <v>22</v>
      </c>
      <c r="AD36" t="s">
        <v>273</v>
      </c>
      <c r="AE36">
        <v>1.1958298229401101E-2</v>
      </c>
      <c r="AG36" t="s">
        <v>96</v>
      </c>
      <c r="AH36" t="s">
        <v>273</v>
      </c>
      <c r="AI36">
        <v>0.13147625922974449</v>
      </c>
      <c r="AK36">
        <v>2027</v>
      </c>
      <c r="AL36" t="s">
        <v>142</v>
      </c>
      <c r="AM36">
        <v>0.40931249999999997</v>
      </c>
      <c r="AN36" t="s">
        <v>250</v>
      </c>
    </row>
    <row r="37" spans="9:40" x14ac:dyDescent="0.45">
      <c r="I37" t="s">
        <v>152</v>
      </c>
      <c r="J37" t="s">
        <v>274</v>
      </c>
      <c r="K37">
        <v>0.11624415486409462</v>
      </c>
      <c r="L37" t="s">
        <v>154</v>
      </c>
      <c r="N37" t="s">
        <v>194</v>
      </c>
      <c r="O37" t="s">
        <v>274</v>
      </c>
      <c r="P37">
        <v>8.683523417243863E-2</v>
      </c>
      <c r="Q37" t="s">
        <v>154</v>
      </c>
      <c r="S37" t="s">
        <v>218</v>
      </c>
      <c r="T37" t="s">
        <v>274</v>
      </c>
      <c r="U37">
        <v>5.4959565015657602E-2</v>
      </c>
      <c r="V37" t="s">
        <v>154</v>
      </c>
      <c r="X37">
        <v>4.8401826484018265E-2</v>
      </c>
      <c r="Y37">
        <v>6.6901689746330872E-2</v>
      </c>
      <c r="Z37" t="s">
        <v>274</v>
      </c>
      <c r="AA37" t="s">
        <v>25</v>
      </c>
      <c r="AC37" t="s">
        <v>22</v>
      </c>
      <c r="AD37" t="s">
        <v>274</v>
      </c>
      <c r="AE37">
        <v>5.4939153997572279E-2</v>
      </c>
      <c r="AG37" t="s">
        <v>96</v>
      </c>
      <c r="AH37" t="s">
        <v>274</v>
      </c>
      <c r="AI37">
        <v>6.9013894388400665E-2</v>
      </c>
      <c r="AK37">
        <v>2027</v>
      </c>
      <c r="AL37" t="s">
        <v>146</v>
      </c>
      <c r="AM37">
        <v>0.66395000000000004</v>
      </c>
      <c r="AN37" t="s">
        <v>250</v>
      </c>
    </row>
    <row r="38" spans="9:40" x14ac:dyDescent="0.45">
      <c r="I38" t="s">
        <v>152</v>
      </c>
      <c r="J38" t="s">
        <v>275</v>
      </c>
      <c r="K38">
        <v>6.8278715843759609E-3</v>
      </c>
      <c r="L38" t="s">
        <v>154</v>
      </c>
      <c r="N38" t="s">
        <v>194</v>
      </c>
      <c r="O38" t="s">
        <v>275</v>
      </c>
      <c r="P38">
        <v>1.1161161206095132E-2</v>
      </c>
      <c r="Q38" t="s">
        <v>154</v>
      </c>
      <c r="S38" t="s">
        <v>218</v>
      </c>
      <c r="T38" t="s">
        <v>275</v>
      </c>
      <c r="U38">
        <v>6.2955677963140695E-3</v>
      </c>
      <c r="V38" t="s">
        <v>154</v>
      </c>
      <c r="X38">
        <v>6.0502283105022831E-3</v>
      </c>
      <c r="Y38">
        <v>1.1771043101376489E-2</v>
      </c>
      <c r="Z38" t="s">
        <v>275</v>
      </c>
      <c r="AA38" t="s">
        <v>25</v>
      </c>
      <c r="AC38" t="s">
        <v>22</v>
      </c>
      <c r="AD38" t="s">
        <v>275</v>
      </c>
      <c r="AE38">
        <v>6.939673581066768E-3</v>
      </c>
      <c r="AG38" t="s">
        <v>96</v>
      </c>
      <c r="AH38" t="s">
        <v>275</v>
      </c>
      <c r="AI38">
        <v>5.5124269768929146E-2</v>
      </c>
      <c r="AK38">
        <v>2027</v>
      </c>
      <c r="AL38" t="s">
        <v>148</v>
      </c>
      <c r="AM38">
        <v>0.55425000000000002</v>
      </c>
      <c r="AN38" t="s">
        <v>250</v>
      </c>
    </row>
    <row r="39" spans="9:40" x14ac:dyDescent="0.45">
      <c r="I39" t="s">
        <v>152</v>
      </c>
      <c r="J39" t="s">
        <v>276</v>
      </c>
      <c r="K39">
        <v>0</v>
      </c>
      <c r="L39" t="s">
        <v>154</v>
      </c>
      <c r="N39" t="s">
        <v>194</v>
      </c>
      <c r="O39" t="s">
        <v>276</v>
      </c>
      <c r="P39">
        <v>9.1032881801218993E-3</v>
      </c>
      <c r="Q39" t="s">
        <v>154</v>
      </c>
      <c r="S39" t="s">
        <v>218</v>
      </c>
      <c r="T39" t="s">
        <v>276</v>
      </c>
      <c r="U39">
        <v>6.8816096764425629E-3</v>
      </c>
      <c r="V39" t="s">
        <v>154</v>
      </c>
      <c r="X39">
        <v>6.0502283105022831E-3</v>
      </c>
      <c r="Y39">
        <v>9.1357349443519087E-3</v>
      </c>
      <c r="Z39" t="s">
        <v>276</v>
      </c>
      <c r="AA39" t="s">
        <v>25</v>
      </c>
      <c r="AC39" t="s">
        <v>22</v>
      </c>
      <c r="AD39" t="s">
        <v>276</v>
      </c>
      <c r="AE39">
        <v>8.3168518371960608E-3</v>
      </c>
      <c r="AG39" t="s">
        <v>96</v>
      </c>
      <c r="AH39" t="s">
        <v>276</v>
      </c>
      <c r="AI39">
        <v>5.9853231333725665E-2</v>
      </c>
      <c r="AK39">
        <v>2027</v>
      </c>
      <c r="AL39" t="s">
        <v>150</v>
      </c>
      <c r="AM39">
        <v>0.42784999999999995</v>
      </c>
      <c r="AN39" t="s">
        <v>250</v>
      </c>
    </row>
    <row r="40" spans="9:40" x14ac:dyDescent="0.45">
      <c r="I40" t="s">
        <v>152</v>
      </c>
      <c r="J40" t="s">
        <v>277</v>
      </c>
      <c r="K40">
        <v>0</v>
      </c>
      <c r="L40" t="s">
        <v>154</v>
      </c>
      <c r="N40" t="s">
        <v>194</v>
      </c>
      <c r="O40" t="s">
        <v>277</v>
      </c>
      <c r="P40">
        <v>4.9783823184768497E-2</v>
      </c>
      <c r="Q40" t="s">
        <v>154</v>
      </c>
      <c r="S40" t="s">
        <v>218</v>
      </c>
      <c r="T40" t="s">
        <v>277</v>
      </c>
      <c r="U40">
        <v>3.7713533893888311E-2</v>
      </c>
      <c r="V40" t="s">
        <v>154</v>
      </c>
      <c r="X40">
        <v>3.0251141552511414E-2</v>
      </c>
      <c r="Y40">
        <v>2.2839337360879761E-2</v>
      </c>
      <c r="Z40" t="s">
        <v>277</v>
      </c>
      <c r="AA40" t="s">
        <v>25</v>
      </c>
      <c r="AC40" t="s">
        <v>22</v>
      </c>
      <c r="AD40" t="s">
        <v>277</v>
      </c>
      <c r="AE40">
        <v>3.1280794207420984E-2</v>
      </c>
      <c r="AG40" t="s">
        <v>96</v>
      </c>
      <c r="AH40" t="s">
        <v>277</v>
      </c>
      <c r="AI40">
        <v>0.31729915097571859</v>
      </c>
      <c r="AK40">
        <v>2027</v>
      </c>
      <c r="AL40" t="s">
        <v>270</v>
      </c>
      <c r="AM40">
        <v>0.37709999999999999</v>
      </c>
      <c r="AN40" t="s">
        <v>250</v>
      </c>
    </row>
    <row r="41" spans="9:40" x14ac:dyDescent="0.45">
      <c r="I41" t="s">
        <v>166</v>
      </c>
      <c r="J41" t="s">
        <v>153</v>
      </c>
      <c r="K41">
        <v>1.2210910260312892E-3</v>
      </c>
      <c r="L41" t="s">
        <v>154</v>
      </c>
      <c r="N41" t="s">
        <v>195</v>
      </c>
      <c r="O41" t="s">
        <v>153</v>
      </c>
      <c r="P41">
        <v>0.11616350275611212</v>
      </c>
      <c r="Q41" t="s">
        <v>154</v>
      </c>
      <c r="S41" t="s">
        <v>219</v>
      </c>
      <c r="T41" t="s">
        <v>153</v>
      </c>
      <c r="U41">
        <v>0.18261875461601029</v>
      </c>
      <c r="V41" t="s">
        <v>154</v>
      </c>
      <c r="AC41" t="s">
        <v>19</v>
      </c>
      <c r="AD41" t="s">
        <v>153</v>
      </c>
      <c r="AE41">
        <v>0.18522873061513781</v>
      </c>
      <c r="AK41">
        <v>2028</v>
      </c>
      <c r="AL41" t="s">
        <v>142</v>
      </c>
      <c r="AM41">
        <v>0.39555000000000001</v>
      </c>
      <c r="AN41" t="s">
        <v>250</v>
      </c>
    </row>
    <row r="42" spans="9:40" x14ac:dyDescent="0.45">
      <c r="I42" t="s">
        <v>166</v>
      </c>
      <c r="J42" t="s">
        <v>155</v>
      </c>
      <c r="K42">
        <v>6.9459130152193946E-2</v>
      </c>
      <c r="L42" t="s">
        <v>154</v>
      </c>
      <c r="N42" t="s">
        <v>195</v>
      </c>
      <c r="O42" t="s">
        <v>155</v>
      </c>
      <c r="P42">
        <v>2.7596372046907403E-2</v>
      </c>
      <c r="Q42" t="s">
        <v>154</v>
      </c>
      <c r="S42" t="s">
        <v>219</v>
      </c>
      <c r="T42" t="s">
        <v>155</v>
      </c>
      <c r="U42">
        <v>4.8240984441945169E-2</v>
      </c>
      <c r="V42" t="s">
        <v>154</v>
      </c>
      <c r="AC42" t="s">
        <v>19</v>
      </c>
      <c r="AD42" t="s">
        <v>155</v>
      </c>
      <c r="AE42">
        <v>5.4085281452119598E-2</v>
      </c>
      <c r="AK42">
        <v>2028</v>
      </c>
      <c r="AL42" t="s">
        <v>146</v>
      </c>
      <c r="AM42">
        <v>0.55774999999999997</v>
      </c>
      <c r="AN42" t="s">
        <v>250</v>
      </c>
    </row>
    <row r="43" spans="9:40" x14ac:dyDescent="0.45">
      <c r="I43" t="s">
        <v>166</v>
      </c>
      <c r="J43" t="s">
        <v>156</v>
      </c>
      <c r="K43">
        <v>0.52613108140212705</v>
      </c>
      <c r="L43" t="s">
        <v>154</v>
      </c>
      <c r="N43" t="s">
        <v>195</v>
      </c>
      <c r="O43" t="s">
        <v>156</v>
      </c>
      <c r="P43">
        <v>0.18940264524939343</v>
      </c>
      <c r="Q43" t="s">
        <v>154</v>
      </c>
      <c r="S43" t="s">
        <v>219</v>
      </c>
      <c r="T43" t="s">
        <v>156</v>
      </c>
      <c r="U43">
        <v>0.21429642358403492</v>
      </c>
      <c r="V43" t="s">
        <v>154</v>
      </c>
      <c r="AC43" t="s">
        <v>19</v>
      </c>
      <c r="AD43" t="s">
        <v>156</v>
      </c>
      <c r="AE43">
        <v>0.21902268425862145</v>
      </c>
      <c r="AK43">
        <v>2028</v>
      </c>
      <c r="AL43" t="s">
        <v>148</v>
      </c>
      <c r="AM43">
        <v>0.57574999999999998</v>
      </c>
      <c r="AN43" t="s">
        <v>250</v>
      </c>
    </row>
    <row r="44" spans="9:40" x14ac:dyDescent="0.45">
      <c r="I44" t="s">
        <v>166</v>
      </c>
      <c r="J44" t="s">
        <v>255</v>
      </c>
      <c r="K44">
        <v>3.437881742446338E-2</v>
      </c>
      <c r="L44" t="s">
        <v>154</v>
      </c>
      <c r="N44" t="s">
        <v>195</v>
      </c>
      <c r="O44" t="s">
        <v>255</v>
      </c>
      <c r="P44">
        <v>2.606621197281847E-2</v>
      </c>
      <c r="Q44" t="s">
        <v>154</v>
      </c>
      <c r="S44" t="s">
        <v>219</v>
      </c>
      <c r="T44" t="s">
        <v>255</v>
      </c>
      <c r="U44">
        <v>2.9594342045624042E-2</v>
      </c>
      <c r="V44" t="s">
        <v>154</v>
      </c>
      <c r="AC44" t="s">
        <v>19</v>
      </c>
      <c r="AD44" t="s">
        <v>255</v>
      </c>
      <c r="AE44">
        <v>2.7372016792615413E-2</v>
      </c>
      <c r="AK44">
        <v>2028</v>
      </c>
      <c r="AL44" t="s">
        <v>150</v>
      </c>
      <c r="AM44">
        <v>0.5452999999999999</v>
      </c>
      <c r="AN44" t="s">
        <v>250</v>
      </c>
    </row>
    <row r="45" spans="9:40" x14ac:dyDescent="0.45">
      <c r="I45" t="s">
        <v>166</v>
      </c>
      <c r="J45" t="s">
        <v>256</v>
      </c>
      <c r="K45">
        <v>1.9017799762416403E-2</v>
      </c>
      <c r="L45" t="s">
        <v>154</v>
      </c>
      <c r="N45" t="s">
        <v>195</v>
      </c>
      <c r="O45" t="s">
        <v>256</v>
      </c>
      <c r="P45">
        <v>2.1432445079201782E-2</v>
      </c>
      <c r="Q45" t="s">
        <v>154</v>
      </c>
      <c r="S45" t="s">
        <v>219</v>
      </c>
      <c r="T45" t="s">
        <v>256</v>
      </c>
      <c r="U45">
        <v>2.5636931360878037E-2</v>
      </c>
      <c r="V45" t="s">
        <v>154</v>
      </c>
      <c r="AC45" t="s">
        <v>19</v>
      </c>
      <c r="AD45" t="s">
        <v>256</v>
      </c>
      <c r="AE45">
        <v>2.7749153929244982E-2</v>
      </c>
      <c r="AK45">
        <v>2028</v>
      </c>
      <c r="AL45" t="s">
        <v>270</v>
      </c>
      <c r="AM45">
        <v>0.51014999999999999</v>
      </c>
      <c r="AN45" t="s">
        <v>250</v>
      </c>
    </row>
    <row r="46" spans="9:40" x14ac:dyDescent="0.45">
      <c r="I46" t="s">
        <v>166</v>
      </c>
      <c r="J46" t="s">
        <v>257</v>
      </c>
      <c r="K46">
        <v>0</v>
      </c>
      <c r="L46" t="s">
        <v>154</v>
      </c>
      <c r="N46" t="s">
        <v>195</v>
      </c>
      <c r="O46" t="s">
        <v>257</v>
      </c>
      <c r="P46">
        <v>9.7356539665885367E-2</v>
      </c>
      <c r="Q46" t="s">
        <v>154</v>
      </c>
      <c r="S46" t="s">
        <v>219</v>
      </c>
      <c r="T46" t="s">
        <v>257</v>
      </c>
      <c r="U46">
        <v>0.13057524265639925</v>
      </c>
      <c r="V46" t="s">
        <v>154</v>
      </c>
      <c r="AC46" t="s">
        <v>19</v>
      </c>
      <c r="AD46" t="s">
        <v>257</v>
      </c>
      <c r="AE46">
        <v>0.13592514671560058</v>
      </c>
      <c r="AK46">
        <v>2029</v>
      </c>
      <c r="AL46" t="s">
        <v>142</v>
      </c>
      <c r="AM46">
        <v>0.41341249999999996</v>
      </c>
      <c r="AN46" t="s">
        <v>250</v>
      </c>
    </row>
    <row r="47" spans="9:40" x14ac:dyDescent="0.45">
      <c r="I47" t="s">
        <v>166</v>
      </c>
      <c r="J47" t="s">
        <v>157</v>
      </c>
      <c r="K47">
        <v>0</v>
      </c>
      <c r="L47" t="s">
        <v>154</v>
      </c>
      <c r="N47" t="s">
        <v>195</v>
      </c>
      <c r="O47" t="s">
        <v>157</v>
      </c>
      <c r="P47">
        <v>1.2680737849795941E-2</v>
      </c>
      <c r="Q47" t="s">
        <v>154</v>
      </c>
      <c r="S47" t="s">
        <v>219</v>
      </c>
      <c r="T47" t="s">
        <v>157</v>
      </c>
      <c r="U47">
        <v>8.3829363273170941E-3</v>
      </c>
      <c r="V47" t="s">
        <v>154</v>
      </c>
      <c r="AC47" t="s">
        <v>19</v>
      </c>
      <c r="AD47" t="s">
        <v>157</v>
      </c>
      <c r="AE47">
        <v>1.7939850802502922E-2</v>
      </c>
      <c r="AK47">
        <v>2029</v>
      </c>
      <c r="AL47" t="s">
        <v>146</v>
      </c>
      <c r="AM47">
        <v>0.57014999999999993</v>
      </c>
      <c r="AN47" t="s">
        <v>250</v>
      </c>
    </row>
    <row r="48" spans="9:40" x14ac:dyDescent="0.45">
      <c r="I48" t="s">
        <v>166</v>
      </c>
      <c r="J48" t="s">
        <v>158</v>
      </c>
      <c r="K48">
        <v>7.570580145447931E-3</v>
      </c>
      <c r="L48" t="s">
        <v>154</v>
      </c>
      <c r="N48" t="s">
        <v>195</v>
      </c>
      <c r="O48" t="s">
        <v>158</v>
      </c>
      <c r="P48">
        <v>3.0237596175313841E-3</v>
      </c>
      <c r="Q48" t="s">
        <v>154</v>
      </c>
      <c r="S48" t="s">
        <v>219</v>
      </c>
      <c r="T48" t="s">
        <v>158</v>
      </c>
      <c r="U48">
        <v>2.5961284716121353E-3</v>
      </c>
      <c r="V48" t="s">
        <v>154</v>
      </c>
      <c r="AC48" t="s">
        <v>19</v>
      </c>
      <c r="AD48" t="s">
        <v>158</v>
      </c>
      <c r="AE48">
        <v>5.2588429311678439E-3</v>
      </c>
      <c r="AK48">
        <v>2029</v>
      </c>
      <c r="AL48" t="s">
        <v>148</v>
      </c>
      <c r="AM48">
        <v>0.495</v>
      </c>
      <c r="AN48" t="s">
        <v>250</v>
      </c>
    </row>
    <row r="49" spans="9:40" x14ac:dyDescent="0.45">
      <c r="I49" t="s">
        <v>166</v>
      </c>
      <c r="J49" t="s">
        <v>159</v>
      </c>
      <c r="K49">
        <v>5.6023090226244139E-2</v>
      </c>
      <c r="L49" t="s">
        <v>154</v>
      </c>
      <c r="N49" t="s">
        <v>195</v>
      </c>
      <c r="O49" t="s">
        <v>159</v>
      </c>
      <c r="P49">
        <v>2.1011312384378464E-2</v>
      </c>
      <c r="Q49" t="s">
        <v>154</v>
      </c>
      <c r="S49" t="s">
        <v>219</v>
      </c>
      <c r="T49" t="s">
        <v>159</v>
      </c>
      <c r="U49">
        <v>9.6025979210591708E-3</v>
      </c>
      <c r="V49" t="s">
        <v>154</v>
      </c>
      <c r="AC49" t="s">
        <v>19</v>
      </c>
      <c r="AD49" t="s">
        <v>159</v>
      </c>
      <c r="AE49">
        <v>2.1261262235931631E-2</v>
      </c>
      <c r="AK49">
        <v>2029</v>
      </c>
      <c r="AL49" t="s">
        <v>150</v>
      </c>
      <c r="AM49">
        <v>0.44735000000000003</v>
      </c>
      <c r="AN49" t="s">
        <v>250</v>
      </c>
    </row>
    <row r="50" spans="9:40" x14ac:dyDescent="0.45">
      <c r="I50" t="s">
        <v>166</v>
      </c>
      <c r="J50" t="s">
        <v>258</v>
      </c>
      <c r="K50">
        <v>3.4121564459082304E-3</v>
      </c>
      <c r="L50" t="s">
        <v>154</v>
      </c>
      <c r="N50" t="s">
        <v>195</v>
      </c>
      <c r="O50" t="s">
        <v>258</v>
      </c>
      <c r="P50">
        <v>2.161576204215141E-3</v>
      </c>
      <c r="Q50" t="s">
        <v>154</v>
      </c>
      <c r="S50" t="s">
        <v>219</v>
      </c>
      <c r="T50" t="s">
        <v>258</v>
      </c>
      <c r="U50">
        <v>1.250086397245412E-3</v>
      </c>
      <c r="V50" t="s">
        <v>154</v>
      </c>
      <c r="AC50" t="s">
        <v>19</v>
      </c>
      <c r="AD50" t="s">
        <v>258</v>
      </c>
      <c r="AE50">
        <v>2.6598680001627107E-3</v>
      </c>
      <c r="AK50">
        <v>2029</v>
      </c>
      <c r="AL50" t="s">
        <v>270</v>
      </c>
      <c r="AM50">
        <v>0.42589999999999995</v>
      </c>
      <c r="AN50" t="s">
        <v>250</v>
      </c>
    </row>
    <row r="51" spans="9:40" x14ac:dyDescent="0.45">
      <c r="I51" t="s">
        <v>166</v>
      </c>
      <c r="J51" t="s">
        <v>259</v>
      </c>
      <c r="K51">
        <v>1.6837912185981641E-3</v>
      </c>
      <c r="L51" t="s">
        <v>154</v>
      </c>
      <c r="N51" t="s">
        <v>195</v>
      </c>
      <c r="O51" t="s">
        <v>259</v>
      </c>
      <c r="P51">
        <v>1.7719353721317597E-3</v>
      </c>
      <c r="Q51" t="s">
        <v>154</v>
      </c>
      <c r="S51" t="s">
        <v>219</v>
      </c>
      <c r="T51" t="s">
        <v>259</v>
      </c>
      <c r="U51">
        <v>1.1707727500745745E-3</v>
      </c>
      <c r="V51" t="s">
        <v>154</v>
      </c>
      <c r="AC51" t="s">
        <v>19</v>
      </c>
      <c r="AD51" t="s">
        <v>259</v>
      </c>
      <c r="AE51">
        <v>2.7083882473818623E-3</v>
      </c>
      <c r="AK51">
        <v>2030</v>
      </c>
      <c r="AL51" t="s">
        <v>142</v>
      </c>
      <c r="AM51">
        <v>0.41156250000000005</v>
      </c>
      <c r="AN51" t="s">
        <v>250</v>
      </c>
    </row>
    <row r="52" spans="9:40" x14ac:dyDescent="0.45">
      <c r="I52" t="s">
        <v>166</v>
      </c>
      <c r="J52" t="s">
        <v>260</v>
      </c>
      <c r="K52">
        <v>0</v>
      </c>
      <c r="L52" t="s">
        <v>154</v>
      </c>
      <c r="N52" t="s">
        <v>195</v>
      </c>
      <c r="O52" t="s">
        <v>260</v>
      </c>
      <c r="P52">
        <v>8.7374305350698279E-3</v>
      </c>
      <c r="Q52" t="s">
        <v>154</v>
      </c>
      <c r="S52" t="s">
        <v>219</v>
      </c>
      <c r="T52" t="s">
        <v>260</v>
      </c>
      <c r="U52">
        <v>5.7216312149691263E-3</v>
      </c>
      <c r="V52" t="s">
        <v>154</v>
      </c>
      <c r="AC52" t="s">
        <v>19</v>
      </c>
      <c r="AD52" t="s">
        <v>260</v>
      </c>
      <c r="AE52">
        <v>1.3173844487656414E-2</v>
      </c>
      <c r="AK52">
        <v>2030</v>
      </c>
      <c r="AL52" t="s">
        <v>146</v>
      </c>
      <c r="AM52">
        <v>0.53625</v>
      </c>
      <c r="AN52" t="s">
        <v>250</v>
      </c>
    </row>
    <row r="53" spans="9:40" x14ac:dyDescent="0.45">
      <c r="I53" t="s">
        <v>166</v>
      </c>
      <c r="J53" t="s">
        <v>160</v>
      </c>
      <c r="K53">
        <v>0</v>
      </c>
      <c r="L53" t="s">
        <v>154</v>
      </c>
      <c r="N53" t="s">
        <v>195</v>
      </c>
      <c r="O53" t="s">
        <v>160</v>
      </c>
      <c r="P53">
        <v>2.4419428593664496E-2</v>
      </c>
      <c r="Q53" t="s">
        <v>154</v>
      </c>
      <c r="S53" t="s">
        <v>219</v>
      </c>
      <c r="T53" t="s">
        <v>160</v>
      </c>
      <c r="U53">
        <v>6.0695048461323606E-2</v>
      </c>
      <c r="V53" t="s">
        <v>154</v>
      </c>
      <c r="AC53" t="s">
        <v>19</v>
      </c>
      <c r="AD53" t="s">
        <v>160</v>
      </c>
      <c r="AE53">
        <v>2.2630213986389834E-2</v>
      </c>
      <c r="AK53">
        <v>2030</v>
      </c>
      <c r="AL53" t="s">
        <v>148</v>
      </c>
      <c r="AM53">
        <v>0.52190000000000003</v>
      </c>
      <c r="AN53" t="s">
        <v>250</v>
      </c>
    </row>
    <row r="54" spans="9:40" x14ac:dyDescent="0.45">
      <c r="I54" t="s">
        <v>166</v>
      </c>
      <c r="J54" t="s">
        <v>161</v>
      </c>
      <c r="K54">
        <v>7.4595355618066166E-3</v>
      </c>
      <c r="L54" t="s">
        <v>154</v>
      </c>
      <c r="N54" t="s">
        <v>195</v>
      </c>
      <c r="O54" t="s">
        <v>161</v>
      </c>
      <c r="P54">
        <v>6.2033420088237279E-3</v>
      </c>
      <c r="Q54" t="s">
        <v>154</v>
      </c>
      <c r="S54" t="s">
        <v>219</v>
      </c>
      <c r="T54" t="s">
        <v>161</v>
      </c>
      <c r="U54">
        <v>1.6541762251100257E-2</v>
      </c>
      <c r="V54" t="s">
        <v>154</v>
      </c>
      <c r="AC54" t="s">
        <v>19</v>
      </c>
      <c r="AD54" t="s">
        <v>161</v>
      </c>
      <c r="AE54">
        <v>6.6289046856843415E-3</v>
      </c>
      <c r="AK54">
        <v>2030</v>
      </c>
      <c r="AL54" t="s">
        <v>150</v>
      </c>
      <c r="AM54">
        <v>0.47060000000000002</v>
      </c>
      <c r="AN54" t="s">
        <v>250</v>
      </c>
    </row>
    <row r="55" spans="9:40" x14ac:dyDescent="0.45">
      <c r="I55" t="s">
        <v>166</v>
      </c>
      <c r="J55" t="s">
        <v>162</v>
      </c>
      <c r="K55">
        <v>5.9595728779139316E-2</v>
      </c>
      <c r="L55" t="s">
        <v>154</v>
      </c>
      <c r="N55" t="s">
        <v>195</v>
      </c>
      <c r="O55" t="s">
        <v>162</v>
      </c>
      <c r="P55">
        <v>3.4130206373968089E-2</v>
      </c>
      <c r="Q55" t="s">
        <v>154</v>
      </c>
      <c r="S55" t="s">
        <v>219</v>
      </c>
      <c r="T55" t="s">
        <v>162</v>
      </c>
      <c r="U55">
        <v>6.9548002096751535E-2</v>
      </c>
      <c r="V55" t="s">
        <v>154</v>
      </c>
      <c r="AC55" t="s">
        <v>19</v>
      </c>
      <c r="AD55" t="s">
        <v>162</v>
      </c>
      <c r="AE55">
        <v>2.6800915748373212E-2</v>
      </c>
      <c r="AK55">
        <v>2030</v>
      </c>
      <c r="AL55" t="s">
        <v>270</v>
      </c>
      <c r="AM55">
        <v>0.44289999999999996</v>
      </c>
      <c r="AN55" t="s">
        <v>250</v>
      </c>
    </row>
    <row r="56" spans="9:40" x14ac:dyDescent="0.45">
      <c r="I56" t="s">
        <v>166</v>
      </c>
      <c r="J56" t="s">
        <v>261</v>
      </c>
      <c r="K56">
        <v>2.8300989534061484E-3</v>
      </c>
      <c r="L56" t="s">
        <v>154</v>
      </c>
      <c r="N56" t="s">
        <v>195</v>
      </c>
      <c r="O56" t="s">
        <v>261</v>
      </c>
      <c r="P56">
        <v>4.7436459977612203E-3</v>
      </c>
      <c r="Q56" t="s">
        <v>154</v>
      </c>
      <c r="S56" t="s">
        <v>219</v>
      </c>
      <c r="T56" t="s">
        <v>261</v>
      </c>
      <c r="U56">
        <v>8.7735317212644902E-3</v>
      </c>
      <c r="V56" t="s">
        <v>154</v>
      </c>
      <c r="AC56" t="s">
        <v>19</v>
      </c>
      <c r="AD56" t="s">
        <v>261</v>
      </c>
      <c r="AE56">
        <v>3.3529770519043021E-3</v>
      </c>
      <c r="AK56">
        <v>2031</v>
      </c>
      <c r="AL56" t="s">
        <v>142</v>
      </c>
      <c r="AM56">
        <v>0.35183750000000003</v>
      </c>
      <c r="AN56" t="s">
        <v>250</v>
      </c>
    </row>
    <row r="57" spans="9:40" x14ac:dyDescent="0.45">
      <c r="I57" t="s">
        <v>166</v>
      </c>
      <c r="J57" t="s">
        <v>262</v>
      </c>
      <c r="K57">
        <v>7.708881417104207E-4</v>
      </c>
      <c r="L57" t="s">
        <v>154</v>
      </c>
      <c r="N57" t="s">
        <v>195</v>
      </c>
      <c r="O57" t="s">
        <v>262</v>
      </c>
      <c r="P57">
        <v>4.2530973192602961E-3</v>
      </c>
      <c r="Q57" t="s">
        <v>154</v>
      </c>
      <c r="S57" t="s">
        <v>219</v>
      </c>
      <c r="T57" t="s">
        <v>262</v>
      </c>
      <c r="U57">
        <v>8.2721036871890342E-3</v>
      </c>
      <c r="V57" t="s">
        <v>154</v>
      </c>
      <c r="AC57" t="s">
        <v>19</v>
      </c>
      <c r="AD57" t="s">
        <v>262</v>
      </c>
      <c r="AE57">
        <v>3.4077110757804586E-3</v>
      </c>
      <c r="AK57">
        <v>2031</v>
      </c>
      <c r="AL57" t="s">
        <v>146</v>
      </c>
      <c r="AM57">
        <v>0.50865000000000005</v>
      </c>
      <c r="AN57" t="s">
        <v>250</v>
      </c>
    </row>
    <row r="58" spans="9:40" x14ac:dyDescent="0.45">
      <c r="I58" t="s">
        <v>166</v>
      </c>
      <c r="J58" t="s">
        <v>263</v>
      </c>
      <c r="K58">
        <v>0</v>
      </c>
      <c r="L58" t="s">
        <v>154</v>
      </c>
      <c r="N58" t="s">
        <v>195</v>
      </c>
      <c r="O58" t="s">
        <v>263</v>
      </c>
      <c r="P58">
        <v>2.0967795318359451E-2</v>
      </c>
      <c r="Q58" t="s">
        <v>154</v>
      </c>
      <c r="S58" t="s">
        <v>219</v>
      </c>
      <c r="T58" t="s">
        <v>263</v>
      </c>
      <c r="U58">
        <v>3.9582240702799289E-2</v>
      </c>
      <c r="V58" t="s">
        <v>154</v>
      </c>
      <c r="AC58" t="s">
        <v>19</v>
      </c>
      <c r="AD58" t="s">
        <v>263</v>
      </c>
      <c r="AE58">
        <v>1.6609849810539205E-2</v>
      </c>
      <c r="AK58">
        <v>2031</v>
      </c>
      <c r="AL58" t="s">
        <v>148</v>
      </c>
      <c r="AM58">
        <v>0.44274999999999998</v>
      </c>
      <c r="AN58" t="s">
        <v>250</v>
      </c>
    </row>
    <row r="59" spans="9:40" x14ac:dyDescent="0.45">
      <c r="I59" t="s">
        <v>166</v>
      </c>
      <c r="J59" t="s">
        <v>163</v>
      </c>
      <c r="K59">
        <v>0</v>
      </c>
      <c r="L59" t="s">
        <v>154</v>
      </c>
      <c r="N59" t="s">
        <v>195</v>
      </c>
      <c r="O59" t="s">
        <v>163</v>
      </c>
      <c r="P59">
        <v>3.3296876238405652E-2</v>
      </c>
      <c r="Q59" t="s">
        <v>154</v>
      </c>
      <c r="S59" t="s">
        <v>219</v>
      </c>
      <c r="T59" t="s">
        <v>163</v>
      </c>
      <c r="U59">
        <v>6.3257275700486105E-3</v>
      </c>
      <c r="V59" t="s">
        <v>154</v>
      </c>
      <c r="AC59" t="s">
        <v>19</v>
      </c>
      <c r="AD59" t="s">
        <v>163</v>
      </c>
      <c r="AE59">
        <v>1.7948769159557332E-2</v>
      </c>
      <c r="AK59">
        <v>2031</v>
      </c>
      <c r="AL59" t="s">
        <v>150</v>
      </c>
      <c r="AM59">
        <v>0.42569999999999997</v>
      </c>
      <c r="AN59" t="s">
        <v>250</v>
      </c>
    </row>
    <row r="60" spans="9:40" x14ac:dyDescent="0.45">
      <c r="I60" t="s">
        <v>166</v>
      </c>
      <c r="J60" t="s">
        <v>164</v>
      </c>
      <c r="K60">
        <v>7.4075198633958084E-3</v>
      </c>
      <c r="L60" t="s">
        <v>154</v>
      </c>
      <c r="N60" t="s">
        <v>195</v>
      </c>
      <c r="O60" t="s">
        <v>164</v>
      </c>
      <c r="P60">
        <v>7.6908555690458754E-3</v>
      </c>
      <c r="Q60" t="s">
        <v>154</v>
      </c>
      <c r="S60" t="s">
        <v>219</v>
      </c>
      <c r="T60" t="s">
        <v>164</v>
      </c>
      <c r="U60">
        <v>1.5799671099190583E-3</v>
      </c>
      <c r="V60" t="s">
        <v>154</v>
      </c>
      <c r="AC60" t="s">
        <v>19</v>
      </c>
      <c r="AD60" t="s">
        <v>164</v>
      </c>
      <c r="AE60">
        <v>5.253506057933675E-3</v>
      </c>
      <c r="AK60">
        <v>2031</v>
      </c>
      <c r="AL60" t="s">
        <v>270</v>
      </c>
      <c r="AM60">
        <v>0.40249999999999997</v>
      </c>
      <c r="AN60" t="s">
        <v>250</v>
      </c>
    </row>
    <row r="61" spans="9:40" x14ac:dyDescent="0.45">
      <c r="I61" t="s">
        <v>166</v>
      </c>
      <c r="J61" t="s">
        <v>165</v>
      </c>
      <c r="K61">
        <v>4.9283349058568647E-2</v>
      </c>
      <c r="L61" t="s">
        <v>154</v>
      </c>
      <c r="N61" t="s">
        <v>195</v>
      </c>
      <c r="O61" t="s">
        <v>165</v>
      </c>
      <c r="P61">
        <v>4.8035462917258999E-2</v>
      </c>
      <c r="Q61" t="s">
        <v>154</v>
      </c>
      <c r="S61" t="s">
        <v>219</v>
      </c>
      <c r="T61" t="s">
        <v>165</v>
      </c>
      <c r="U61">
        <v>9.0916574481321785E-3</v>
      </c>
      <c r="V61" t="s">
        <v>154</v>
      </c>
      <c r="AC61" t="s">
        <v>19</v>
      </c>
      <c r="AD61" t="s">
        <v>165</v>
      </c>
      <c r="AE61">
        <v>2.1258105863263588E-2</v>
      </c>
      <c r="AK61">
        <v>2032</v>
      </c>
      <c r="AL61" t="s">
        <v>142</v>
      </c>
      <c r="AM61">
        <v>0.31106250000000002</v>
      </c>
      <c r="AN61" t="s">
        <v>250</v>
      </c>
    </row>
    <row r="62" spans="9:40" x14ac:dyDescent="0.45">
      <c r="I62" t="s">
        <v>166</v>
      </c>
      <c r="J62" t="s">
        <v>264</v>
      </c>
      <c r="K62">
        <v>2.638410993237071E-3</v>
      </c>
      <c r="L62" t="s">
        <v>154</v>
      </c>
      <c r="N62" t="s">
        <v>195</v>
      </c>
      <c r="O62" t="s">
        <v>264</v>
      </c>
      <c r="P62">
        <v>7.0694143592371734E-3</v>
      </c>
      <c r="Q62" t="s">
        <v>154</v>
      </c>
      <c r="S62" t="s">
        <v>219</v>
      </c>
      <c r="T62" t="s">
        <v>264</v>
      </c>
      <c r="U62">
        <v>1.4066105636299214E-3</v>
      </c>
      <c r="V62" t="s">
        <v>154</v>
      </c>
      <c r="AC62" t="s">
        <v>19</v>
      </c>
      <c r="AD62" t="s">
        <v>264</v>
      </c>
      <c r="AE62">
        <v>2.6588410634310789E-3</v>
      </c>
      <c r="AK62">
        <v>2032</v>
      </c>
      <c r="AL62" t="s">
        <v>146</v>
      </c>
      <c r="AM62">
        <v>0.39685000000000004</v>
      </c>
      <c r="AN62" t="s">
        <v>250</v>
      </c>
    </row>
    <row r="63" spans="9:40" x14ac:dyDescent="0.45">
      <c r="I63" t="s">
        <v>166</v>
      </c>
      <c r="J63" t="s">
        <v>265</v>
      </c>
      <c r="K63">
        <v>0</v>
      </c>
      <c r="L63" t="s">
        <v>154</v>
      </c>
      <c r="N63" t="s">
        <v>195</v>
      </c>
      <c r="O63" t="s">
        <v>265</v>
      </c>
      <c r="P63">
        <v>6.1439778791424794E-3</v>
      </c>
      <c r="Q63" t="s">
        <v>154</v>
      </c>
      <c r="S63" t="s">
        <v>219</v>
      </c>
      <c r="T63" t="s">
        <v>265</v>
      </c>
      <c r="U63">
        <v>1.3178561934918155E-3</v>
      </c>
      <c r="V63" t="s">
        <v>154</v>
      </c>
      <c r="AC63" t="s">
        <v>19</v>
      </c>
      <c r="AD63" t="s">
        <v>265</v>
      </c>
      <c r="AE63">
        <v>2.7017222134368556E-3</v>
      </c>
      <c r="AK63">
        <v>2032</v>
      </c>
      <c r="AL63" t="s">
        <v>148</v>
      </c>
      <c r="AM63">
        <v>0.40315000000000001</v>
      </c>
      <c r="AN63" t="s">
        <v>250</v>
      </c>
    </row>
    <row r="64" spans="9:40" x14ac:dyDescent="0.45">
      <c r="I64" t="s">
        <v>166</v>
      </c>
      <c r="J64" t="s">
        <v>266</v>
      </c>
      <c r="K64">
        <v>0</v>
      </c>
      <c r="L64" t="s">
        <v>154</v>
      </c>
      <c r="N64" t="s">
        <v>195</v>
      </c>
      <c r="O64" t="s">
        <v>266</v>
      </c>
      <c r="P64">
        <v>3.0766550078966625E-2</v>
      </c>
      <c r="Q64" t="s">
        <v>154</v>
      </c>
      <c r="S64" t="s">
        <v>219</v>
      </c>
      <c r="T64" t="s">
        <v>266</v>
      </c>
      <c r="U64">
        <v>5.9964837148800739E-3</v>
      </c>
      <c r="V64" t="s">
        <v>154</v>
      </c>
      <c r="AC64" t="s">
        <v>19</v>
      </c>
      <c r="AD64" t="s">
        <v>266</v>
      </c>
      <c r="AE64">
        <v>1.3182880816453843E-2</v>
      </c>
      <c r="AK64">
        <v>2032</v>
      </c>
      <c r="AL64" t="s">
        <v>150</v>
      </c>
      <c r="AM64">
        <v>0.39939999999999998</v>
      </c>
      <c r="AN64" t="s">
        <v>250</v>
      </c>
    </row>
    <row r="65" spans="9:40" x14ac:dyDescent="0.45">
      <c r="I65" t="s">
        <v>166</v>
      </c>
      <c r="J65" t="s">
        <v>272</v>
      </c>
      <c r="K65">
        <v>0</v>
      </c>
      <c r="L65" t="s">
        <v>154</v>
      </c>
      <c r="N65" t="s">
        <v>195</v>
      </c>
      <c r="O65" t="s">
        <v>272</v>
      </c>
      <c r="P65">
        <v>6.6437112884382782E-2</v>
      </c>
      <c r="Q65" t="s">
        <v>154</v>
      </c>
      <c r="S65" t="s">
        <v>219</v>
      </c>
      <c r="T65" t="s">
        <v>272</v>
      </c>
      <c r="U65">
        <v>3.5292042256358742E-2</v>
      </c>
      <c r="V65" t="s">
        <v>154</v>
      </c>
      <c r="AC65" t="s">
        <v>19</v>
      </c>
      <c r="AD65" t="s">
        <v>272</v>
      </c>
      <c r="AE65">
        <v>4.1375390001319595E-2</v>
      </c>
      <c r="AK65">
        <v>2032</v>
      </c>
      <c r="AL65" t="s">
        <v>270</v>
      </c>
      <c r="AM65">
        <v>0.38865</v>
      </c>
      <c r="AN65" t="s">
        <v>250</v>
      </c>
    </row>
    <row r="66" spans="9:40" x14ac:dyDescent="0.45">
      <c r="I66" t="s">
        <v>166</v>
      </c>
      <c r="J66" t="s">
        <v>273</v>
      </c>
      <c r="K66">
        <v>1.8747019633539284E-2</v>
      </c>
      <c r="L66" t="s">
        <v>154</v>
      </c>
      <c r="N66" t="s">
        <v>195</v>
      </c>
      <c r="O66" t="s">
        <v>273</v>
      </c>
      <c r="P66">
        <v>1.6052393011074525E-2</v>
      </c>
      <c r="Q66" t="s">
        <v>154</v>
      </c>
      <c r="S66" t="s">
        <v>219</v>
      </c>
      <c r="T66" t="s">
        <v>273</v>
      </c>
      <c r="U66">
        <v>9.9958184364296356E-3</v>
      </c>
      <c r="V66" t="s">
        <v>154</v>
      </c>
      <c r="AC66" t="s">
        <v>19</v>
      </c>
      <c r="AD66" t="s">
        <v>273</v>
      </c>
      <c r="AE66">
        <v>1.2114673933672503E-2</v>
      </c>
      <c r="AK66">
        <v>2033</v>
      </c>
      <c r="AL66" t="s">
        <v>142</v>
      </c>
      <c r="AM66">
        <v>0.29919999999999997</v>
      </c>
      <c r="AN66" t="s">
        <v>250</v>
      </c>
    </row>
    <row r="67" spans="9:40" x14ac:dyDescent="0.45">
      <c r="I67" t="s">
        <v>166</v>
      </c>
      <c r="J67" t="s">
        <v>274</v>
      </c>
      <c r="K67">
        <v>0.12491197446385457</v>
      </c>
      <c r="L67" t="s">
        <v>154</v>
      </c>
      <c r="N67" t="s">
        <v>195</v>
      </c>
      <c r="O67" t="s">
        <v>274</v>
      </c>
      <c r="P67">
        <v>8.8553849182244931E-2</v>
      </c>
      <c r="Q67" t="s">
        <v>154</v>
      </c>
      <c r="S67" t="s">
        <v>219</v>
      </c>
      <c r="T67" t="s">
        <v>274</v>
      </c>
      <c r="U67">
        <v>3.4734040298354418E-2</v>
      </c>
      <c r="V67" t="s">
        <v>154</v>
      </c>
      <c r="AC67" t="s">
        <v>19</v>
      </c>
      <c r="AD67" t="s">
        <v>274</v>
      </c>
      <c r="AE67">
        <v>4.8959227405865606E-2</v>
      </c>
      <c r="AK67">
        <v>2033</v>
      </c>
      <c r="AL67" t="s">
        <v>146</v>
      </c>
      <c r="AM67">
        <v>0.51755000000000007</v>
      </c>
      <c r="AN67" t="s">
        <v>250</v>
      </c>
    </row>
    <row r="68" spans="9:40" x14ac:dyDescent="0.45">
      <c r="I68" t="s">
        <v>166</v>
      </c>
      <c r="J68" t="s">
        <v>275</v>
      </c>
      <c r="K68">
        <v>7.4182319483032996E-3</v>
      </c>
      <c r="L68" t="s">
        <v>154</v>
      </c>
      <c r="N68" t="s">
        <v>195</v>
      </c>
      <c r="O68" t="s">
        <v>275</v>
      </c>
      <c r="P68">
        <v>1.3072569730417124E-2</v>
      </c>
      <c r="Q68" t="s">
        <v>154</v>
      </c>
      <c r="S68" t="s">
        <v>219</v>
      </c>
      <c r="T68" t="s">
        <v>275</v>
      </c>
      <c r="U68">
        <v>4.6289858816218462E-3</v>
      </c>
      <c r="V68" t="s">
        <v>154</v>
      </c>
      <c r="AC68" t="s">
        <v>19</v>
      </c>
      <c r="AD68" t="s">
        <v>275</v>
      </c>
      <c r="AE68">
        <v>6.1249946574631611E-3</v>
      </c>
      <c r="AK68">
        <v>2033</v>
      </c>
      <c r="AL68" t="s">
        <v>148</v>
      </c>
      <c r="AM68">
        <v>0.503</v>
      </c>
      <c r="AN68" t="s">
        <v>250</v>
      </c>
    </row>
    <row r="69" spans="9:40" x14ac:dyDescent="0.45">
      <c r="I69" t="s">
        <v>166</v>
      </c>
      <c r="J69" t="s">
        <v>276</v>
      </c>
      <c r="K69">
        <v>3.9704799607249579E-5</v>
      </c>
      <c r="L69" t="s">
        <v>154</v>
      </c>
      <c r="N69" t="s">
        <v>195</v>
      </c>
      <c r="O69" t="s">
        <v>276</v>
      </c>
      <c r="P69">
        <v>1.0723737110995408E-2</v>
      </c>
      <c r="Q69" t="s">
        <v>154</v>
      </c>
      <c r="S69" t="s">
        <v>219</v>
      </c>
      <c r="T69" t="s">
        <v>276</v>
      </c>
      <c r="U69">
        <v>3.7411427298461282E-3</v>
      </c>
      <c r="V69" t="s">
        <v>154</v>
      </c>
      <c r="AC69" t="s">
        <v>19</v>
      </c>
      <c r="AD69" t="s">
        <v>276</v>
      </c>
      <c r="AE69">
        <v>6.2220007241006944E-3</v>
      </c>
      <c r="AK69">
        <v>2033</v>
      </c>
      <c r="AL69" t="s">
        <v>150</v>
      </c>
      <c r="AM69">
        <v>0.44020000000000004</v>
      </c>
      <c r="AN69" t="s">
        <v>250</v>
      </c>
    </row>
    <row r="70" spans="9:40" x14ac:dyDescent="0.45">
      <c r="I70" t="s">
        <v>166</v>
      </c>
      <c r="J70" t="s">
        <v>277</v>
      </c>
      <c r="K70">
        <v>0</v>
      </c>
      <c r="L70" t="s">
        <v>154</v>
      </c>
      <c r="N70" t="s">
        <v>195</v>
      </c>
      <c r="O70" t="s">
        <v>277</v>
      </c>
      <c r="P70">
        <v>5.0035216693546797E-2</v>
      </c>
      <c r="Q70" t="s">
        <v>154</v>
      </c>
      <c r="S70" t="s">
        <v>219</v>
      </c>
      <c r="T70" t="s">
        <v>277</v>
      </c>
      <c r="U70">
        <v>2.2790147089693784E-2</v>
      </c>
      <c r="V70" t="s">
        <v>154</v>
      </c>
      <c r="AC70" t="s">
        <v>19</v>
      </c>
      <c r="AD70" t="s">
        <v>277</v>
      </c>
      <c r="AE70">
        <v>3.0384245276687608E-2</v>
      </c>
      <c r="AK70">
        <v>2033</v>
      </c>
      <c r="AL70" t="s">
        <v>270</v>
      </c>
      <c r="AM70">
        <v>0.36194999999999999</v>
      </c>
      <c r="AN70" t="s">
        <v>250</v>
      </c>
    </row>
    <row r="71" spans="9:40" x14ac:dyDescent="0.45">
      <c r="I71" t="s">
        <v>167</v>
      </c>
      <c r="J71" t="s">
        <v>153</v>
      </c>
      <c r="K71">
        <v>7.5007191460297702E-3</v>
      </c>
      <c r="L71" t="s">
        <v>154</v>
      </c>
      <c r="N71" t="s">
        <v>196</v>
      </c>
      <c r="O71" t="s">
        <v>153</v>
      </c>
      <c r="P71">
        <v>0.1322950088336973</v>
      </c>
      <c r="Q71" t="s">
        <v>154</v>
      </c>
      <c r="S71" t="s">
        <v>220</v>
      </c>
      <c r="T71" t="s">
        <v>153</v>
      </c>
      <c r="U71">
        <v>0.1828570422210376</v>
      </c>
      <c r="V71" t="s">
        <v>154</v>
      </c>
      <c r="AK71">
        <v>2034</v>
      </c>
      <c r="AL71" t="s">
        <v>142</v>
      </c>
      <c r="AM71">
        <v>0.34939999999999999</v>
      </c>
      <c r="AN71" t="s">
        <v>250</v>
      </c>
    </row>
    <row r="72" spans="9:40" x14ac:dyDescent="0.45">
      <c r="I72" t="s">
        <v>167</v>
      </c>
      <c r="J72" t="s">
        <v>155</v>
      </c>
      <c r="K72">
        <v>7.7979874272847194E-2</v>
      </c>
      <c r="L72" t="s">
        <v>154</v>
      </c>
      <c r="N72" t="s">
        <v>196</v>
      </c>
      <c r="O72" t="s">
        <v>155</v>
      </c>
      <c r="P72">
        <v>3.2905397646873315E-2</v>
      </c>
      <c r="Q72" t="s">
        <v>154</v>
      </c>
      <c r="S72" t="s">
        <v>220</v>
      </c>
      <c r="T72" t="s">
        <v>155</v>
      </c>
      <c r="U72">
        <v>4.8333921952840947E-2</v>
      </c>
      <c r="V72" t="s">
        <v>154</v>
      </c>
      <c r="AK72">
        <v>2034</v>
      </c>
      <c r="AL72" t="s">
        <v>146</v>
      </c>
      <c r="AM72">
        <v>0.45889999999999997</v>
      </c>
      <c r="AN72" t="s">
        <v>250</v>
      </c>
    </row>
    <row r="73" spans="9:40" x14ac:dyDescent="0.45">
      <c r="I73" t="s">
        <v>167</v>
      </c>
      <c r="J73" t="s">
        <v>156</v>
      </c>
      <c r="K73">
        <v>0.5263319737716502</v>
      </c>
      <c r="L73" t="s">
        <v>154</v>
      </c>
      <c r="N73" t="s">
        <v>196</v>
      </c>
      <c r="O73" t="s">
        <v>156</v>
      </c>
      <c r="P73">
        <v>0.19988718673291242</v>
      </c>
      <c r="Q73" t="s">
        <v>154</v>
      </c>
      <c r="S73" t="s">
        <v>220</v>
      </c>
      <c r="T73" t="s">
        <v>156</v>
      </c>
      <c r="U73">
        <v>0.20691326789784256</v>
      </c>
      <c r="V73" t="s">
        <v>154</v>
      </c>
      <c r="AK73">
        <v>2034</v>
      </c>
      <c r="AL73" t="s">
        <v>148</v>
      </c>
      <c r="AM73">
        <v>0.43519999999999998</v>
      </c>
      <c r="AN73" t="s">
        <v>250</v>
      </c>
    </row>
    <row r="74" spans="9:40" x14ac:dyDescent="0.45">
      <c r="I74" t="s">
        <v>167</v>
      </c>
      <c r="J74" t="s">
        <v>255</v>
      </c>
      <c r="K74">
        <v>3.3639726846766589E-2</v>
      </c>
      <c r="L74" t="s">
        <v>154</v>
      </c>
      <c r="N74" t="s">
        <v>196</v>
      </c>
      <c r="O74" t="s">
        <v>255</v>
      </c>
      <c r="P74">
        <v>2.4818324069823212E-2</v>
      </c>
      <c r="Q74" t="s">
        <v>154</v>
      </c>
      <c r="S74" t="s">
        <v>220</v>
      </c>
      <c r="T74" t="s">
        <v>255</v>
      </c>
      <c r="U74">
        <v>2.7230459485329463E-2</v>
      </c>
      <c r="V74" t="s">
        <v>154</v>
      </c>
      <c r="AK74">
        <v>2034</v>
      </c>
      <c r="AL74" t="s">
        <v>150</v>
      </c>
      <c r="AM74">
        <v>0.41254999999999997</v>
      </c>
      <c r="AN74" t="s">
        <v>250</v>
      </c>
    </row>
    <row r="75" spans="9:40" x14ac:dyDescent="0.45">
      <c r="I75" t="s">
        <v>167</v>
      </c>
      <c r="J75" t="s">
        <v>256</v>
      </c>
      <c r="K75">
        <v>1.9349353739164667E-2</v>
      </c>
      <c r="L75" t="s">
        <v>154</v>
      </c>
      <c r="N75" t="s">
        <v>196</v>
      </c>
      <c r="O75" t="s">
        <v>256</v>
      </c>
      <c r="P75">
        <v>1.7716809602036095E-2</v>
      </c>
      <c r="Q75" t="s">
        <v>154</v>
      </c>
      <c r="S75" t="s">
        <v>220</v>
      </c>
      <c r="T75" t="s">
        <v>256</v>
      </c>
      <c r="U75">
        <v>2.5251683919803043E-2</v>
      </c>
      <c r="V75" t="s">
        <v>154</v>
      </c>
      <c r="AK75">
        <v>2034</v>
      </c>
      <c r="AL75" t="s">
        <v>270</v>
      </c>
      <c r="AM75">
        <v>0.3755</v>
      </c>
      <c r="AN75" t="s">
        <v>250</v>
      </c>
    </row>
    <row r="76" spans="9:40" x14ac:dyDescent="0.45">
      <c r="I76" t="s">
        <v>167</v>
      </c>
      <c r="J76" t="s">
        <v>257</v>
      </c>
      <c r="K76">
        <v>0</v>
      </c>
      <c r="L76" t="s">
        <v>154</v>
      </c>
      <c r="N76" t="s">
        <v>196</v>
      </c>
      <c r="O76" t="s">
        <v>257</v>
      </c>
      <c r="P76">
        <v>0.10491983949663036</v>
      </c>
      <c r="Q76" t="s">
        <v>154</v>
      </c>
      <c r="S76" t="s">
        <v>220</v>
      </c>
      <c r="T76" t="s">
        <v>257</v>
      </c>
      <c r="U76">
        <v>0.13708441166651755</v>
      </c>
      <c r="V76" t="s">
        <v>154</v>
      </c>
      <c r="AK76">
        <v>2035</v>
      </c>
      <c r="AL76" t="s">
        <v>142</v>
      </c>
      <c r="AM76">
        <v>0.37425000000000003</v>
      </c>
      <c r="AN76" t="s">
        <v>250</v>
      </c>
    </row>
    <row r="77" spans="9:40" x14ac:dyDescent="0.45">
      <c r="I77" t="s">
        <v>167</v>
      </c>
      <c r="J77" t="s">
        <v>157</v>
      </c>
      <c r="K77">
        <v>0</v>
      </c>
      <c r="L77" t="s">
        <v>154</v>
      </c>
      <c r="N77" t="s">
        <v>196</v>
      </c>
      <c r="O77" t="s">
        <v>157</v>
      </c>
      <c r="P77">
        <v>5.0927560620555633E-3</v>
      </c>
      <c r="Q77" t="s">
        <v>154</v>
      </c>
      <c r="S77" t="s">
        <v>220</v>
      </c>
      <c r="T77" t="s">
        <v>157</v>
      </c>
      <c r="U77">
        <v>9.9291349959503006E-3</v>
      </c>
      <c r="V77" t="s">
        <v>154</v>
      </c>
      <c r="AK77">
        <v>2035</v>
      </c>
      <c r="AL77" t="s">
        <v>146</v>
      </c>
      <c r="AM77">
        <v>0.4728</v>
      </c>
      <c r="AN77" t="s">
        <v>250</v>
      </c>
    </row>
    <row r="78" spans="9:40" x14ac:dyDescent="0.45">
      <c r="I78" t="s">
        <v>167</v>
      </c>
      <c r="J78" t="s">
        <v>158</v>
      </c>
      <c r="K78">
        <v>8.1177493253142621E-3</v>
      </c>
      <c r="L78" t="s">
        <v>154</v>
      </c>
      <c r="N78" t="s">
        <v>196</v>
      </c>
      <c r="O78" t="s">
        <v>158</v>
      </c>
      <c r="P78">
        <v>1.3731200206450183E-3</v>
      </c>
      <c r="Q78" t="s">
        <v>154</v>
      </c>
      <c r="S78" t="s">
        <v>220</v>
      </c>
      <c r="T78" t="s">
        <v>158</v>
      </c>
      <c r="U78">
        <v>2.707838598974169E-3</v>
      </c>
      <c r="V78" t="s">
        <v>154</v>
      </c>
      <c r="AK78">
        <v>2035</v>
      </c>
      <c r="AL78" t="s">
        <v>148</v>
      </c>
      <c r="AM78">
        <v>0.45540000000000003</v>
      </c>
      <c r="AN78" t="s">
        <v>250</v>
      </c>
    </row>
    <row r="79" spans="9:40" x14ac:dyDescent="0.45">
      <c r="I79" t="s">
        <v>167</v>
      </c>
      <c r="J79" t="s">
        <v>159</v>
      </c>
      <c r="K79">
        <v>5.2734521692731816E-2</v>
      </c>
      <c r="L79" t="s">
        <v>154</v>
      </c>
      <c r="N79" t="s">
        <v>196</v>
      </c>
      <c r="O79" t="s">
        <v>159</v>
      </c>
      <c r="P79">
        <v>5.2226866555861694E-3</v>
      </c>
      <c r="Q79" t="s">
        <v>154</v>
      </c>
      <c r="S79" t="s">
        <v>220</v>
      </c>
      <c r="T79" t="s">
        <v>159</v>
      </c>
      <c r="U79">
        <v>1.1847610853679474E-2</v>
      </c>
      <c r="V79" t="s">
        <v>154</v>
      </c>
      <c r="AK79">
        <v>2035</v>
      </c>
      <c r="AL79" t="s">
        <v>150</v>
      </c>
      <c r="AM79">
        <v>0.45484999999999998</v>
      </c>
      <c r="AN79" t="s">
        <v>250</v>
      </c>
    </row>
    <row r="80" spans="9:40" x14ac:dyDescent="0.45">
      <c r="I80" t="s">
        <v>167</v>
      </c>
      <c r="J80" t="s">
        <v>258</v>
      </c>
      <c r="K80">
        <v>3.0659210688839967E-3</v>
      </c>
      <c r="L80" t="s">
        <v>154</v>
      </c>
      <c r="N80" t="s">
        <v>196</v>
      </c>
      <c r="O80" t="s">
        <v>258</v>
      </c>
      <c r="P80">
        <v>6.0729788288225919E-4</v>
      </c>
      <c r="Q80" t="s">
        <v>154</v>
      </c>
      <c r="S80" t="s">
        <v>220</v>
      </c>
      <c r="T80" t="s">
        <v>258</v>
      </c>
      <c r="U80">
        <v>1.6049124306728719E-3</v>
      </c>
      <c r="V80" t="s">
        <v>154</v>
      </c>
      <c r="AK80">
        <v>2035</v>
      </c>
      <c r="AL80" t="s">
        <v>270</v>
      </c>
      <c r="AM80">
        <v>0.41420000000000001</v>
      </c>
      <c r="AN80" t="s">
        <v>250</v>
      </c>
    </row>
    <row r="81" spans="9:40" x14ac:dyDescent="0.45">
      <c r="I81" t="s">
        <v>167</v>
      </c>
      <c r="J81" t="s">
        <v>259</v>
      </c>
      <c r="K81">
        <v>2.0064275632596888E-3</v>
      </c>
      <c r="L81" t="s">
        <v>154</v>
      </c>
      <c r="N81" t="s">
        <v>196</v>
      </c>
      <c r="O81" t="s">
        <v>259</v>
      </c>
      <c r="P81">
        <v>6.7903692136297403E-4</v>
      </c>
      <c r="Q81" t="s">
        <v>154</v>
      </c>
      <c r="S81" t="s">
        <v>220</v>
      </c>
      <c r="T81" t="s">
        <v>259</v>
      </c>
      <c r="U81">
        <v>1.6005484449893327E-3</v>
      </c>
      <c r="V81" t="s">
        <v>154</v>
      </c>
      <c r="AK81">
        <v>2036</v>
      </c>
      <c r="AL81" t="s">
        <v>142</v>
      </c>
      <c r="AM81">
        <v>0.308</v>
      </c>
      <c r="AN81" t="s">
        <v>250</v>
      </c>
    </row>
    <row r="82" spans="9:40" x14ac:dyDescent="0.45">
      <c r="I82" t="s">
        <v>167</v>
      </c>
      <c r="J82" t="s">
        <v>260</v>
      </c>
      <c r="K82">
        <v>0</v>
      </c>
      <c r="L82" t="s">
        <v>154</v>
      </c>
      <c r="N82" t="s">
        <v>196</v>
      </c>
      <c r="O82" t="s">
        <v>260</v>
      </c>
      <c r="P82">
        <v>3.5198183770603843E-3</v>
      </c>
      <c r="Q82" t="s">
        <v>154</v>
      </c>
      <c r="S82" t="s">
        <v>220</v>
      </c>
      <c r="T82" t="s">
        <v>260</v>
      </c>
      <c r="U82">
        <v>7.9804235458455913E-3</v>
      </c>
      <c r="V82" t="s">
        <v>154</v>
      </c>
      <c r="AK82">
        <v>2036</v>
      </c>
      <c r="AL82" t="s">
        <v>146</v>
      </c>
      <c r="AM82">
        <v>0.49155000000000004</v>
      </c>
      <c r="AN82" t="s">
        <v>250</v>
      </c>
    </row>
    <row r="83" spans="9:40" x14ac:dyDescent="0.45">
      <c r="I83" t="s">
        <v>167</v>
      </c>
      <c r="J83" t="s">
        <v>160</v>
      </c>
      <c r="K83">
        <v>0</v>
      </c>
      <c r="L83" t="s">
        <v>154</v>
      </c>
      <c r="N83" t="s">
        <v>196</v>
      </c>
      <c r="O83" t="s">
        <v>160</v>
      </c>
      <c r="P83">
        <v>2.6373725417805038E-2</v>
      </c>
      <c r="Q83" t="s">
        <v>154</v>
      </c>
      <c r="S83" t="s">
        <v>220</v>
      </c>
      <c r="T83" t="s">
        <v>160</v>
      </c>
      <c r="U83">
        <v>5.9045375058430369E-2</v>
      </c>
      <c r="V83" t="s">
        <v>154</v>
      </c>
      <c r="AK83">
        <v>2036</v>
      </c>
      <c r="AL83" t="s">
        <v>148</v>
      </c>
      <c r="AM83">
        <v>0.46689999999999998</v>
      </c>
      <c r="AN83" t="s">
        <v>250</v>
      </c>
    </row>
    <row r="84" spans="9:40" x14ac:dyDescent="0.45">
      <c r="I84" t="s">
        <v>167</v>
      </c>
      <c r="J84" t="s">
        <v>161</v>
      </c>
      <c r="K84">
        <v>7.4801089416601831E-3</v>
      </c>
      <c r="L84" t="s">
        <v>154</v>
      </c>
      <c r="N84" t="s">
        <v>196</v>
      </c>
      <c r="O84" t="s">
        <v>161</v>
      </c>
      <c r="P84">
        <v>7.9133588756050578E-3</v>
      </c>
      <c r="Q84" t="s">
        <v>154</v>
      </c>
      <c r="S84" t="s">
        <v>220</v>
      </c>
      <c r="T84" t="s">
        <v>161</v>
      </c>
      <c r="U84">
        <v>1.736306905979346E-2</v>
      </c>
      <c r="V84" t="s">
        <v>154</v>
      </c>
      <c r="AK84">
        <v>2036</v>
      </c>
      <c r="AL84" t="s">
        <v>150</v>
      </c>
      <c r="AM84">
        <v>0.36985000000000001</v>
      </c>
      <c r="AN84" t="s">
        <v>250</v>
      </c>
    </row>
    <row r="85" spans="9:40" x14ac:dyDescent="0.45">
      <c r="I85" t="s">
        <v>167</v>
      </c>
      <c r="J85" t="s">
        <v>162</v>
      </c>
      <c r="K85">
        <v>5.8917702090795845E-2</v>
      </c>
      <c r="L85" t="s">
        <v>154</v>
      </c>
      <c r="N85" t="s">
        <v>196</v>
      </c>
      <c r="O85" t="s">
        <v>162</v>
      </c>
      <c r="P85">
        <v>3.6755540648007408E-2</v>
      </c>
      <c r="Q85" t="s">
        <v>154</v>
      </c>
      <c r="S85" t="s">
        <v>220</v>
      </c>
      <c r="T85" t="s">
        <v>162</v>
      </c>
      <c r="U85">
        <v>7.1728362791483258E-2</v>
      </c>
      <c r="V85" t="s">
        <v>154</v>
      </c>
      <c r="AK85">
        <v>2036</v>
      </c>
      <c r="AL85" t="s">
        <v>270</v>
      </c>
      <c r="AM85">
        <v>0.37519999999999998</v>
      </c>
      <c r="AN85" t="s">
        <v>250</v>
      </c>
    </row>
    <row r="86" spans="9:40" x14ac:dyDescent="0.45">
      <c r="I86" t="s">
        <v>167</v>
      </c>
      <c r="J86" t="s">
        <v>261</v>
      </c>
      <c r="K86">
        <v>2.4432629222408807E-3</v>
      </c>
      <c r="L86" t="s">
        <v>154</v>
      </c>
      <c r="N86" t="s">
        <v>196</v>
      </c>
      <c r="O86" t="s">
        <v>261</v>
      </c>
      <c r="P86">
        <v>4.7144073355617454E-3</v>
      </c>
      <c r="Q86" t="s">
        <v>154</v>
      </c>
      <c r="S86" t="s">
        <v>220</v>
      </c>
      <c r="T86" t="s">
        <v>261</v>
      </c>
      <c r="U86">
        <v>8.7476101801723001E-3</v>
      </c>
      <c r="V86" t="s">
        <v>154</v>
      </c>
      <c r="AK86">
        <v>2037</v>
      </c>
      <c r="AL86" t="s">
        <v>142</v>
      </c>
      <c r="AM86">
        <v>0.3515875</v>
      </c>
      <c r="AN86" t="s">
        <v>250</v>
      </c>
    </row>
    <row r="87" spans="9:40" x14ac:dyDescent="0.45">
      <c r="I87" t="s">
        <v>167</v>
      </c>
      <c r="J87" t="s">
        <v>262</v>
      </c>
      <c r="K87">
        <v>1.0687346490046394E-4</v>
      </c>
      <c r="L87" t="s">
        <v>154</v>
      </c>
      <c r="N87" t="s">
        <v>196</v>
      </c>
      <c r="O87" t="s">
        <v>262</v>
      </c>
      <c r="P87">
        <v>4.4216341467715001E-3</v>
      </c>
      <c r="Q87" t="s">
        <v>154</v>
      </c>
      <c r="S87" t="s">
        <v>220</v>
      </c>
      <c r="T87" t="s">
        <v>262</v>
      </c>
      <c r="U87">
        <v>8.3334017014195117E-3</v>
      </c>
      <c r="V87" t="s">
        <v>154</v>
      </c>
      <c r="AK87">
        <v>2037</v>
      </c>
      <c r="AL87" t="s">
        <v>146</v>
      </c>
      <c r="AM87">
        <v>0.50285000000000002</v>
      </c>
      <c r="AN87" t="s">
        <v>250</v>
      </c>
    </row>
    <row r="88" spans="9:40" x14ac:dyDescent="0.45">
      <c r="I88" t="s">
        <v>167</v>
      </c>
      <c r="J88" t="s">
        <v>263</v>
      </c>
      <c r="K88">
        <v>0</v>
      </c>
      <c r="L88" t="s">
        <v>154</v>
      </c>
      <c r="N88" t="s">
        <v>196</v>
      </c>
      <c r="O88" t="s">
        <v>263</v>
      </c>
      <c r="P88">
        <v>2.1240811431522906E-2</v>
      </c>
      <c r="Q88" t="s">
        <v>154</v>
      </c>
      <c r="S88" t="s">
        <v>220</v>
      </c>
      <c r="T88" t="s">
        <v>263</v>
      </c>
      <c r="U88">
        <v>3.8939370927916085E-2</v>
      </c>
      <c r="V88" t="s">
        <v>154</v>
      </c>
      <c r="AK88">
        <v>2037</v>
      </c>
      <c r="AL88" t="s">
        <v>148</v>
      </c>
      <c r="AM88">
        <v>0.44699999999999995</v>
      </c>
      <c r="AN88" t="s">
        <v>250</v>
      </c>
    </row>
    <row r="89" spans="9:40" x14ac:dyDescent="0.45">
      <c r="I89" t="s">
        <v>167</v>
      </c>
      <c r="J89" t="s">
        <v>163</v>
      </c>
      <c r="K89">
        <v>0</v>
      </c>
      <c r="L89" t="s">
        <v>154</v>
      </c>
      <c r="N89" t="s">
        <v>196</v>
      </c>
      <c r="O89" t="s">
        <v>163</v>
      </c>
      <c r="P89">
        <v>3.3369132985289839E-2</v>
      </c>
      <c r="Q89" t="s">
        <v>154</v>
      </c>
      <c r="S89" t="s">
        <v>220</v>
      </c>
      <c r="T89" t="s">
        <v>163</v>
      </c>
      <c r="U89">
        <v>6.6407601091270745E-3</v>
      </c>
      <c r="V89" t="s">
        <v>154</v>
      </c>
      <c r="AK89">
        <v>2037</v>
      </c>
      <c r="AL89" t="s">
        <v>150</v>
      </c>
      <c r="AM89">
        <v>0.38470000000000004</v>
      </c>
      <c r="AN89" t="s">
        <v>250</v>
      </c>
    </row>
    <row r="90" spans="9:40" x14ac:dyDescent="0.45">
      <c r="I90" t="s">
        <v>167</v>
      </c>
      <c r="J90" t="s">
        <v>164</v>
      </c>
      <c r="K90">
        <v>9.0617281728459561E-3</v>
      </c>
      <c r="L90" t="s">
        <v>154</v>
      </c>
      <c r="N90" t="s">
        <v>196</v>
      </c>
      <c r="O90" t="s">
        <v>164</v>
      </c>
      <c r="P90">
        <v>8.9643624501358314E-3</v>
      </c>
      <c r="Q90" t="s">
        <v>154</v>
      </c>
      <c r="S90" t="s">
        <v>220</v>
      </c>
      <c r="T90" t="s">
        <v>164</v>
      </c>
      <c r="U90">
        <v>1.8501755196782699E-3</v>
      </c>
      <c r="V90" t="s">
        <v>154</v>
      </c>
      <c r="AK90">
        <v>2037</v>
      </c>
      <c r="AL90" t="s">
        <v>270</v>
      </c>
      <c r="AM90">
        <v>0.37204999999999999</v>
      </c>
      <c r="AN90" t="s">
        <v>250</v>
      </c>
    </row>
    <row r="91" spans="9:40" x14ac:dyDescent="0.45">
      <c r="I91" t="s">
        <v>167</v>
      </c>
      <c r="J91" t="s">
        <v>165</v>
      </c>
      <c r="K91">
        <v>5.0995995738706744E-2</v>
      </c>
      <c r="L91" t="s">
        <v>154</v>
      </c>
      <c r="N91" t="s">
        <v>196</v>
      </c>
      <c r="O91" t="s">
        <v>165</v>
      </c>
      <c r="P91">
        <v>4.8426770867890913E-2</v>
      </c>
      <c r="Q91" t="s">
        <v>154</v>
      </c>
      <c r="S91" t="s">
        <v>220</v>
      </c>
      <c r="T91" t="s">
        <v>165</v>
      </c>
      <c r="U91">
        <v>1.1299141897643977E-2</v>
      </c>
      <c r="V91" t="s">
        <v>154</v>
      </c>
      <c r="AK91">
        <v>2038</v>
      </c>
      <c r="AL91" t="s">
        <v>142</v>
      </c>
      <c r="AM91">
        <v>0.30561250000000001</v>
      </c>
      <c r="AN91" t="s">
        <v>250</v>
      </c>
    </row>
    <row r="92" spans="9:40" x14ac:dyDescent="0.45">
      <c r="I92" t="s">
        <v>167</v>
      </c>
      <c r="J92" t="s">
        <v>264</v>
      </c>
      <c r="K92">
        <v>2.6285901358595117E-3</v>
      </c>
      <c r="L92" t="s">
        <v>154</v>
      </c>
      <c r="N92" t="s">
        <v>196</v>
      </c>
      <c r="O92" t="s">
        <v>264</v>
      </c>
      <c r="P92">
        <v>6.2324016739745648E-3</v>
      </c>
      <c r="Q92" t="s">
        <v>154</v>
      </c>
      <c r="S92" t="s">
        <v>220</v>
      </c>
      <c r="T92" t="s">
        <v>264</v>
      </c>
      <c r="U92">
        <v>1.5506335512080545E-3</v>
      </c>
      <c r="V92" t="s">
        <v>154</v>
      </c>
      <c r="AK92">
        <v>2038</v>
      </c>
      <c r="AL92" t="s">
        <v>146</v>
      </c>
      <c r="AM92">
        <v>0.44869999999999999</v>
      </c>
      <c r="AN92" t="s">
        <v>250</v>
      </c>
    </row>
    <row r="93" spans="9:40" x14ac:dyDescent="0.45">
      <c r="I93" t="s">
        <v>167</v>
      </c>
      <c r="J93" t="s">
        <v>265</v>
      </c>
      <c r="K93">
        <v>0</v>
      </c>
      <c r="L93" t="s">
        <v>154</v>
      </c>
      <c r="N93" t="s">
        <v>196</v>
      </c>
      <c r="O93" t="s">
        <v>265</v>
      </c>
      <c r="P93">
        <v>5.1689867355670443E-3</v>
      </c>
      <c r="Q93" t="s">
        <v>154</v>
      </c>
      <c r="S93" t="s">
        <v>220</v>
      </c>
      <c r="T93" t="s">
        <v>265</v>
      </c>
      <c r="U93">
        <v>1.3947195026565312E-3</v>
      </c>
      <c r="V93" t="s">
        <v>154</v>
      </c>
      <c r="AK93">
        <v>2038</v>
      </c>
      <c r="AL93" t="s">
        <v>148</v>
      </c>
      <c r="AM93">
        <v>0.44799999999999995</v>
      </c>
      <c r="AN93" t="s">
        <v>250</v>
      </c>
    </row>
    <row r="94" spans="9:40" x14ac:dyDescent="0.45">
      <c r="I94" t="s">
        <v>167</v>
      </c>
      <c r="J94" t="s">
        <v>266</v>
      </c>
      <c r="K94">
        <v>0</v>
      </c>
      <c r="L94" t="s">
        <v>154</v>
      </c>
      <c r="N94" t="s">
        <v>196</v>
      </c>
      <c r="O94" t="s">
        <v>266</v>
      </c>
      <c r="P94">
        <v>2.5910793980886474E-2</v>
      </c>
      <c r="Q94" t="s">
        <v>154</v>
      </c>
      <c r="S94" t="s">
        <v>220</v>
      </c>
      <c r="T94" t="s">
        <v>266</v>
      </c>
      <c r="U94">
        <v>5.9967724348823559E-3</v>
      </c>
      <c r="V94" t="s">
        <v>154</v>
      </c>
      <c r="AK94">
        <v>2038</v>
      </c>
      <c r="AL94" t="s">
        <v>150</v>
      </c>
      <c r="AM94">
        <v>0.37544999999999995</v>
      </c>
      <c r="AN94" t="s">
        <v>250</v>
      </c>
    </row>
    <row r="95" spans="9:40" x14ac:dyDescent="0.45">
      <c r="I95" t="s">
        <v>167</v>
      </c>
      <c r="J95" t="s">
        <v>272</v>
      </c>
      <c r="K95">
        <v>0</v>
      </c>
      <c r="L95" t="s">
        <v>154</v>
      </c>
      <c r="N95" t="s">
        <v>196</v>
      </c>
      <c r="O95" t="s">
        <v>272</v>
      </c>
      <c r="P95">
        <v>6.7830235997655378E-2</v>
      </c>
      <c r="Q95" t="s">
        <v>154</v>
      </c>
      <c r="S95" t="s">
        <v>220</v>
      </c>
      <c r="T95" t="s">
        <v>272</v>
      </c>
      <c r="U95">
        <v>3.1455604046603129E-2</v>
      </c>
      <c r="V95" t="s">
        <v>154</v>
      </c>
      <c r="AK95">
        <v>2038</v>
      </c>
      <c r="AL95" t="s">
        <v>270</v>
      </c>
      <c r="AM95">
        <v>0.32055</v>
      </c>
      <c r="AN95" t="s">
        <v>250</v>
      </c>
    </row>
    <row r="96" spans="9:40" x14ac:dyDescent="0.45">
      <c r="I96" t="s">
        <v>167</v>
      </c>
      <c r="J96" t="s">
        <v>273</v>
      </c>
      <c r="K96">
        <v>1.8881030574491503E-2</v>
      </c>
      <c r="L96" t="s">
        <v>154</v>
      </c>
      <c r="N96" t="s">
        <v>196</v>
      </c>
      <c r="O96" t="s">
        <v>273</v>
      </c>
      <c r="P96">
        <v>1.7559661669438949E-2</v>
      </c>
      <c r="Q96" t="s">
        <v>154</v>
      </c>
      <c r="S96" t="s">
        <v>220</v>
      </c>
      <c r="T96" t="s">
        <v>273</v>
      </c>
      <c r="U96">
        <v>8.8357420159598035E-3</v>
      </c>
      <c r="V96" t="s">
        <v>154</v>
      </c>
      <c r="AK96">
        <v>2039</v>
      </c>
      <c r="AL96" t="s">
        <v>142</v>
      </c>
      <c r="AM96">
        <v>0.32023750000000001</v>
      </c>
      <c r="AN96" t="s">
        <v>250</v>
      </c>
    </row>
    <row r="97" spans="9:40" x14ac:dyDescent="0.45">
      <c r="I97" t="s">
        <v>167</v>
      </c>
      <c r="J97" t="s">
        <v>274</v>
      </c>
      <c r="K97">
        <v>0.11287010098595761</v>
      </c>
      <c r="L97" t="s">
        <v>154</v>
      </c>
      <c r="N97" t="s">
        <v>196</v>
      </c>
      <c r="O97" t="s">
        <v>274</v>
      </c>
      <c r="P97">
        <v>8.9653542270559716E-2</v>
      </c>
      <c r="Q97" t="s">
        <v>154</v>
      </c>
      <c r="S97" t="s">
        <v>220</v>
      </c>
      <c r="T97" t="s">
        <v>274</v>
      </c>
      <c r="U97">
        <v>3.0981235274141834E-2</v>
      </c>
      <c r="V97" t="s">
        <v>154</v>
      </c>
      <c r="AK97">
        <v>2039</v>
      </c>
      <c r="AL97" t="s">
        <v>146</v>
      </c>
      <c r="AM97">
        <v>0.4718</v>
      </c>
      <c r="AN97" t="s">
        <v>250</v>
      </c>
    </row>
    <row r="98" spans="9:40" x14ac:dyDescent="0.45">
      <c r="I98" t="s">
        <v>167</v>
      </c>
      <c r="J98" t="s">
        <v>275</v>
      </c>
      <c r="K98">
        <v>5.8883395458952138E-3</v>
      </c>
      <c r="L98" t="s">
        <v>154</v>
      </c>
      <c r="N98" t="s">
        <v>196</v>
      </c>
      <c r="O98" t="s">
        <v>275</v>
      </c>
      <c r="P98">
        <v>1.1155622867576674E-2</v>
      </c>
      <c r="Q98" t="s">
        <v>154</v>
      </c>
      <c r="S98" t="s">
        <v>220</v>
      </c>
      <c r="T98" t="s">
        <v>275</v>
      </c>
      <c r="U98">
        <v>4.2238178515262275E-3</v>
      </c>
      <c r="V98" t="s">
        <v>154</v>
      </c>
      <c r="AK98">
        <v>2039</v>
      </c>
      <c r="AL98" t="s">
        <v>148</v>
      </c>
      <c r="AM98">
        <v>0.46905000000000002</v>
      </c>
      <c r="AN98" t="s">
        <v>250</v>
      </c>
    </row>
    <row r="99" spans="9:40" x14ac:dyDescent="0.45">
      <c r="I99" t="s">
        <v>167</v>
      </c>
      <c r="J99" t="s">
        <v>276</v>
      </c>
      <c r="K99">
        <v>0</v>
      </c>
      <c r="L99" t="s">
        <v>154</v>
      </c>
      <c r="N99" t="s">
        <v>196</v>
      </c>
      <c r="O99" t="s">
        <v>276</v>
      </c>
      <c r="P99">
        <v>7.5444626391545531E-3</v>
      </c>
      <c r="Q99" t="s">
        <v>154</v>
      </c>
      <c r="S99" t="s">
        <v>220</v>
      </c>
      <c r="T99" t="s">
        <v>276</v>
      </c>
      <c r="U99">
        <v>3.9480267738978949E-3</v>
      </c>
      <c r="V99" t="s">
        <v>154</v>
      </c>
      <c r="AK99">
        <v>2039</v>
      </c>
      <c r="AL99" t="s">
        <v>150</v>
      </c>
      <c r="AM99">
        <v>0.48199999999999998</v>
      </c>
      <c r="AN99" t="s">
        <v>250</v>
      </c>
    </row>
    <row r="100" spans="9:40" x14ac:dyDescent="0.45">
      <c r="I100" t="s">
        <v>167</v>
      </c>
      <c r="J100" t="s">
        <v>277</v>
      </c>
      <c r="K100">
        <v>0</v>
      </c>
      <c r="L100" t="s">
        <v>154</v>
      </c>
      <c r="N100" t="s">
        <v>196</v>
      </c>
      <c r="O100" t="s">
        <v>277</v>
      </c>
      <c r="P100">
        <v>4.7727265705028582E-2</v>
      </c>
      <c r="Q100" t="s">
        <v>154</v>
      </c>
      <c r="S100" t="s">
        <v>220</v>
      </c>
      <c r="T100" t="s">
        <v>277</v>
      </c>
      <c r="U100">
        <v>2.4324925289971554E-2</v>
      </c>
      <c r="V100" t="s">
        <v>154</v>
      </c>
      <c r="AK100">
        <v>2039</v>
      </c>
      <c r="AL100" t="s">
        <v>270</v>
      </c>
      <c r="AM100">
        <v>0.44624999999999998</v>
      </c>
      <c r="AN100" t="s">
        <v>250</v>
      </c>
    </row>
    <row r="101" spans="9:40" x14ac:dyDescent="0.45">
      <c r="I101" t="s">
        <v>168</v>
      </c>
      <c r="J101" t="s">
        <v>153</v>
      </c>
      <c r="K101">
        <v>6.2632685271096908E-3</v>
      </c>
      <c r="L101" t="s">
        <v>154</v>
      </c>
      <c r="N101" t="s">
        <v>197</v>
      </c>
      <c r="O101" t="s">
        <v>153</v>
      </c>
      <c r="P101">
        <v>0.13840641133568293</v>
      </c>
      <c r="Q101" t="s">
        <v>154</v>
      </c>
      <c r="S101" t="s">
        <v>221</v>
      </c>
      <c r="T101" t="s">
        <v>153</v>
      </c>
      <c r="U101">
        <v>0.17560921343119568</v>
      </c>
      <c r="V101" t="s">
        <v>154</v>
      </c>
      <c r="AK101">
        <v>2040</v>
      </c>
      <c r="AL101" t="s">
        <v>142</v>
      </c>
      <c r="AM101">
        <v>0.32792499999999997</v>
      </c>
      <c r="AN101" t="s">
        <v>250</v>
      </c>
    </row>
    <row r="102" spans="9:40" x14ac:dyDescent="0.45">
      <c r="I102" t="s">
        <v>168</v>
      </c>
      <c r="J102" t="s">
        <v>155</v>
      </c>
      <c r="K102">
        <v>7.4273280560966437E-2</v>
      </c>
      <c r="L102" t="s">
        <v>154</v>
      </c>
      <c r="N102" t="s">
        <v>197</v>
      </c>
      <c r="O102" t="s">
        <v>155</v>
      </c>
      <c r="P102">
        <v>3.7442968488742977E-2</v>
      </c>
      <c r="Q102" t="s">
        <v>154</v>
      </c>
      <c r="S102" t="s">
        <v>221</v>
      </c>
      <c r="T102" t="s">
        <v>155</v>
      </c>
      <c r="U102">
        <v>5.0400096672238361E-2</v>
      </c>
      <c r="V102" t="s">
        <v>154</v>
      </c>
      <c r="AK102">
        <v>2040</v>
      </c>
      <c r="AL102" t="s">
        <v>146</v>
      </c>
      <c r="AM102">
        <v>0.46110000000000001</v>
      </c>
      <c r="AN102" t="s">
        <v>250</v>
      </c>
    </row>
    <row r="103" spans="9:40" x14ac:dyDescent="0.45">
      <c r="I103" t="s">
        <v>168</v>
      </c>
      <c r="J103" t="s">
        <v>156</v>
      </c>
      <c r="K103">
        <v>0.52217085653483197</v>
      </c>
      <c r="L103" t="s">
        <v>154</v>
      </c>
      <c r="N103" t="s">
        <v>197</v>
      </c>
      <c r="O103" t="s">
        <v>156</v>
      </c>
      <c r="P103">
        <v>0.2038124985673648</v>
      </c>
      <c r="Q103" t="s">
        <v>154</v>
      </c>
      <c r="S103" t="s">
        <v>221</v>
      </c>
      <c r="T103" t="s">
        <v>156</v>
      </c>
      <c r="U103">
        <v>0.20680166307220096</v>
      </c>
      <c r="V103" t="s">
        <v>154</v>
      </c>
      <c r="AK103">
        <v>2040</v>
      </c>
      <c r="AL103" t="s">
        <v>148</v>
      </c>
      <c r="AM103">
        <v>0.42845</v>
      </c>
      <c r="AN103" t="s">
        <v>250</v>
      </c>
    </row>
    <row r="104" spans="9:40" x14ac:dyDescent="0.45">
      <c r="I104" t="s">
        <v>168</v>
      </c>
      <c r="J104" t="s">
        <v>255</v>
      </c>
      <c r="K104">
        <v>3.3998913397499268E-2</v>
      </c>
      <c r="L104" t="s">
        <v>154</v>
      </c>
      <c r="N104" t="s">
        <v>197</v>
      </c>
      <c r="O104" t="s">
        <v>255</v>
      </c>
      <c r="P104">
        <v>2.6599407921404156E-2</v>
      </c>
      <c r="Q104" t="s">
        <v>154</v>
      </c>
      <c r="S104" t="s">
        <v>221</v>
      </c>
      <c r="T104" t="s">
        <v>255</v>
      </c>
      <c r="U104">
        <v>2.2338319271663108E-2</v>
      </c>
      <c r="V104" t="s">
        <v>154</v>
      </c>
      <c r="AK104">
        <v>2040</v>
      </c>
      <c r="AL104" t="s">
        <v>150</v>
      </c>
      <c r="AM104">
        <v>0.37085000000000001</v>
      </c>
      <c r="AN104" t="s">
        <v>250</v>
      </c>
    </row>
    <row r="105" spans="9:40" x14ac:dyDescent="0.45">
      <c r="I105" t="s">
        <v>168</v>
      </c>
      <c r="J105" t="s">
        <v>256</v>
      </c>
      <c r="K105">
        <v>1.9439120485262341E-2</v>
      </c>
      <c r="L105" t="s">
        <v>154</v>
      </c>
      <c r="N105" t="s">
        <v>197</v>
      </c>
      <c r="O105" t="s">
        <v>256</v>
      </c>
      <c r="P105">
        <v>2.0244263797284476E-2</v>
      </c>
      <c r="Q105" t="s">
        <v>154</v>
      </c>
      <c r="S105" t="s">
        <v>221</v>
      </c>
      <c r="T105" t="s">
        <v>256</v>
      </c>
      <c r="U105">
        <v>2.2740576825590029E-2</v>
      </c>
      <c r="V105" t="s">
        <v>154</v>
      </c>
      <c r="AK105">
        <v>2040</v>
      </c>
      <c r="AL105" t="s">
        <v>270</v>
      </c>
      <c r="AM105">
        <v>0.35099999999999998</v>
      </c>
      <c r="AN105" t="s">
        <v>250</v>
      </c>
    </row>
    <row r="106" spans="9:40" x14ac:dyDescent="0.45">
      <c r="I106" t="s">
        <v>168</v>
      </c>
      <c r="J106" t="s">
        <v>257</v>
      </c>
      <c r="K106">
        <v>0</v>
      </c>
      <c r="L106" t="s">
        <v>154</v>
      </c>
      <c r="N106" t="s">
        <v>197</v>
      </c>
      <c r="O106" t="s">
        <v>257</v>
      </c>
      <c r="P106">
        <v>0.11135034394829851</v>
      </c>
      <c r="Q106" t="s">
        <v>154</v>
      </c>
      <c r="S106" t="s">
        <v>221</v>
      </c>
      <c r="T106" t="s">
        <v>257</v>
      </c>
      <c r="U106">
        <v>0.1209998889809972</v>
      </c>
      <c r="V106" t="s">
        <v>154</v>
      </c>
      <c r="AK106">
        <v>2041</v>
      </c>
      <c r="AL106" t="s">
        <v>142</v>
      </c>
      <c r="AM106">
        <v>0.38823750000000001</v>
      </c>
      <c r="AN106" t="s">
        <v>250</v>
      </c>
    </row>
    <row r="107" spans="9:40" x14ac:dyDescent="0.45">
      <c r="I107" t="s">
        <v>168</v>
      </c>
      <c r="J107" t="s">
        <v>157</v>
      </c>
      <c r="K107">
        <v>0</v>
      </c>
      <c r="L107" t="s">
        <v>154</v>
      </c>
      <c r="N107" t="s">
        <v>197</v>
      </c>
      <c r="O107" t="s">
        <v>157</v>
      </c>
      <c r="P107">
        <v>9.780724322147126E-3</v>
      </c>
      <c r="Q107" t="s">
        <v>154</v>
      </c>
      <c r="S107" t="s">
        <v>221</v>
      </c>
      <c r="T107" t="s">
        <v>157</v>
      </c>
      <c r="U107">
        <v>1.2578922713844354E-2</v>
      </c>
      <c r="V107" t="s">
        <v>154</v>
      </c>
      <c r="AK107">
        <v>2041</v>
      </c>
      <c r="AL107" t="s">
        <v>146</v>
      </c>
      <c r="AM107">
        <v>0.49460000000000004</v>
      </c>
      <c r="AN107" t="s">
        <v>250</v>
      </c>
    </row>
    <row r="108" spans="9:40" x14ac:dyDescent="0.45">
      <c r="I108" t="s">
        <v>168</v>
      </c>
      <c r="J108" t="s">
        <v>158</v>
      </c>
      <c r="K108">
        <v>8.1929295042055955E-3</v>
      </c>
      <c r="L108" t="s">
        <v>154</v>
      </c>
      <c r="N108" t="s">
        <v>197</v>
      </c>
      <c r="O108" t="s">
        <v>158</v>
      </c>
      <c r="P108">
        <v>2.5569861440452443E-3</v>
      </c>
      <c r="Q108" t="s">
        <v>154</v>
      </c>
      <c r="S108" t="s">
        <v>221</v>
      </c>
      <c r="T108" t="s">
        <v>158</v>
      </c>
      <c r="U108">
        <v>3.6586709227871945E-3</v>
      </c>
      <c r="V108" t="s">
        <v>154</v>
      </c>
      <c r="AK108">
        <v>2041</v>
      </c>
      <c r="AL108" t="s">
        <v>148</v>
      </c>
      <c r="AM108">
        <v>0.41500000000000004</v>
      </c>
      <c r="AN108" t="s">
        <v>250</v>
      </c>
    </row>
    <row r="109" spans="9:40" x14ac:dyDescent="0.45">
      <c r="I109" t="s">
        <v>168</v>
      </c>
      <c r="J109" t="s">
        <v>159</v>
      </c>
      <c r="K109">
        <v>5.4546823335470139E-2</v>
      </c>
      <c r="L109" t="s">
        <v>154</v>
      </c>
      <c r="N109" t="s">
        <v>197</v>
      </c>
      <c r="O109" t="s">
        <v>159</v>
      </c>
      <c r="P109">
        <v>1.1714778157084554E-2</v>
      </c>
      <c r="Q109" t="s">
        <v>154</v>
      </c>
      <c r="S109" t="s">
        <v>221</v>
      </c>
      <c r="T109" t="s">
        <v>159</v>
      </c>
      <c r="U109">
        <v>1.5234558573768814E-2</v>
      </c>
      <c r="V109" t="s">
        <v>154</v>
      </c>
      <c r="AK109">
        <v>2041</v>
      </c>
      <c r="AL109" t="s">
        <v>150</v>
      </c>
      <c r="AM109">
        <v>0.36014999999999997</v>
      </c>
      <c r="AN109" t="s">
        <v>250</v>
      </c>
    </row>
    <row r="110" spans="9:40" x14ac:dyDescent="0.45">
      <c r="I110" t="s">
        <v>168</v>
      </c>
      <c r="J110" t="s">
        <v>258</v>
      </c>
      <c r="K110">
        <v>3.1751434725312551E-3</v>
      </c>
      <c r="L110" t="s">
        <v>154</v>
      </c>
      <c r="N110" t="s">
        <v>197</v>
      </c>
      <c r="O110" t="s">
        <v>258</v>
      </c>
      <c r="P110">
        <v>1.5575344157360148E-3</v>
      </c>
      <c r="Q110" t="s">
        <v>154</v>
      </c>
      <c r="S110" t="s">
        <v>221</v>
      </c>
      <c r="T110" t="s">
        <v>258</v>
      </c>
      <c r="U110">
        <v>1.5300249878221924E-3</v>
      </c>
      <c r="V110" t="s">
        <v>154</v>
      </c>
      <c r="AK110">
        <v>2041</v>
      </c>
      <c r="AL110" t="s">
        <v>270</v>
      </c>
      <c r="AM110">
        <v>0.3805</v>
      </c>
      <c r="AN110" t="s">
        <v>250</v>
      </c>
    </row>
    <row r="111" spans="9:40" x14ac:dyDescent="0.45">
      <c r="I111" t="s">
        <v>168</v>
      </c>
      <c r="J111" t="s">
        <v>259</v>
      </c>
      <c r="K111">
        <v>2.0082533149255104E-3</v>
      </c>
      <c r="L111" t="s">
        <v>154</v>
      </c>
      <c r="N111" t="s">
        <v>197</v>
      </c>
      <c r="O111" t="s">
        <v>259</v>
      </c>
      <c r="P111">
        <v>1.4950487609828164E-3</v>
      </c>
      <c r="Q111" t="s">
        <v>154</v>
      </c>
      <c r="S111" t="s">
        <v>221</v>
      </c>
      <c r="T111" t="s">
        <v>259</v>
      </c>
      <c r="U111">
        <v>1.4453040216122941E-3</v>
      </c>
      <c r="V111" t="s">
        <v>154</v>
      </c>
      <c r="AK111">
        <v>2042</v>
      </c>
      <c r="AL111" t="s">
        <v>142</v>
      </c>
      <c r="AM111">
        <v>0.36522499999999997</v>
      </c>
      <c r="AN111" t="s">
        <v>250</v>
      </c>
    </row>
    <row r="112" spans="9:40" x14ac:dyDescent="0.45">
      <c r="I112" t="s">
        <v>168</v>
      </c>
      <c r="J112" t="s">
        <v>260</v>
      </c>
      <c r="K112">
        <v>0</v>
      </c>
      <c r="L112" t="s">
        <v>154</v>
      </c>
      <c r="N112" t="s">
        <v>197</v>
      </c>
      <c r="O112" t="s">
        <v>260</v>
      </c>
      <c r="P112">
        <v>8.1916048219009101E-3</v>
      </c>
      <c r="Q112" t="s">
        <v>154</v>
      </c>
      <c r="S112" t="s">
        <v>221</v>
      </c>
      <c r="T112" t="s">
        <v>260</v>
      </c>
      <c r="U112">
        <v>7.9123766182536484E-3</v>
      </c>
      <c r="V112" t="s">
        <v>154</v>
      </c>
      <c r="AK112">
        <v>2042</v>
      </c>
      <c r="AL112" t="s">
        <v>146</v>
      </c>
      <c r="AM112">
        <v>0.49844999999999995</v>
      </c>
      <c r="AN112" t="s">
        <v>250</v>
      </c>
    </row>
    <row r="113" spans="9:40" x14ac:dyDescent="0.45">
      <c r="I113" t="s">
        <v>168</v>
      </c>
      <c r="J113" t="s">
        <v>160</v>
      </c>
      <c r="K113">
        <v>0</v>
      </c>
      <c r="L113" t="s">
        <v>154</v>
      </c>
      <c r="N113" t="s">
        <v>197</v>
      </c>
      <c r="O113" t="s">
        <v>160</v>
      </c>
      <c r="P113">
        <v>1.8988721415448939E-2</v>
      </c>
      <c r="Q113" t="s">
        <v>154</v>
      </c>
      <c r="S113" t="s">
        <v>221</v>
      </c>
      <c r="T113" t="s">
        <v>160</v>
      </c>
      <c r="U113">
        <v>3.8332346072585115E-2</v>
      </c>
      <c r="V113" t="s">
        <v>154</v>
      </c>
      <c r="AK113">
        <v>2042</v>
      </c>
      <c r="AL113" t="s">
        <v>148</v>
      </c>
      <c r="AM113">
        <v>0.44279999999999997</v>
      </c>
      <c r="AN113" t="s">
        <v>250</v>
      </c>
    </row>
    <row r="114" spans="9:40" x14ac:dyDescent="0.45">
      <c r="I114" t="s">
        <v>168</v>
      </c>
      <c r="J114" t="s">
        <v>161</v>
      </c>
      <c r="K114">
        <v>8.0826208292703282E-3</v>
      </c>
      <c r="L114" t="s">
        <v>154</v>
      </c>
      <c r="N114" t="s">
        <v>197</v>
      </c>
      <c r="O114" t="s">
        <v>161</v>
      </c>
      <c r="P114">
        <v>5.2093636299557159E-3</v>
      </c>
      <c r="Q114" t="s">
        <v>154</v>
      </c>
      <c r="S114" t="s">
        <v>221</v>
      </c>
      <c r="T114" t="s">
        <v>161</v>
      </c>
      <c r="U114">
        <v>1.0385111532809728E-2</v>
      </c>
      <c r="V114" t="s">
        <v>154</v>
      </c>
      <c r="AK114">
        <v>2042</v>
      </c>
      <c r="AL114" t="s">
        <v>150</v>
      </c>
      <c r="AM114">
        <v>0.40900000000000003</v>
      </c>
      <c r="AN114" t="s">
        <v>250</v>
      </c>
    </row>
    <row r="115" spans="9:40" x14ac:dyDescent="0.45">
      <c r="I115" t="s">
        <v>168</v>
      </c>
      <c r="J115" t="s">
        <v>162</v>
      </c>
      <c r="K115">
        <v>6.0676748235772168E-2</v>
      </c>
      <c r="L115" t="s">
        <v>154</v>
      </c>
      <c r="N115" t="s">
        <v>197</v>
      </c>
      <c r="O115" t="s">
        <v>162</v>
      </c>
      <c r="P115">
        <v>2.411832413271606E-2</v>
      </c>
      <c r="Q115" t="s">
        <v>154</v>
      </c>
      <c r="S115" t="s">
        <v>221</v>
      </c>
      <c r="T115" t="s">
        <v>162</v>
      </c>
      <c r="U115">
        <v>4.4239627611254814E-2</v>
      </c>
      <c r="V115" t="s">
        <v>154</v>
      </c>
      <c r="AK115">
        <v>2042</v>
      </c>
      <c r="AL115" t="s">
        <v>270</v>
      </c>
      <c r="AM115">
        <v>0.39624999999999999</v>
      </c>
      <c r="AN115" t="s">
        <v>250</v>
      </c>
    </row>
    <row r="116" spans="9:40" x14ac:dyDescent="0.45">
      <c r="I116" t="s">
        <v>168</v>
      </c>
      <c r="J116" t="s">
        <v>261</v>
      </c>
      <c r="K116">
        <v>2.775446074439295E-3</v>
      </c>
      <c r="L116" t="s">
        <v>154</v>
      </c>
      <c r="N116" t="s">
        <v>197</v>
      </c>
      <c r="O116" t="s">
        <v>261</v>
      </c>
      <c r="P116">
        <v>3.1057721343088641E-3</v>
      </c>
      <c r="Q116" t="s">
        <v>154</v>
      </c>
      <c r="S116" t="s">
        <v>221</v>
      </c>
      <c r="T116" t="s">
        <v>261</v>
      </c>
      <c r="U116">
        <v>5.1472705390006495E-3</v>
      </c>
      <c r="V116" t="s">
        <v>154</v>
      </c>
      <c r="AK116">
        <v>2043</v>
      </c>
      <c r="AL116" t="s">
        <v>142</v>
      </c>
      <c r="AM116">
        <v>0.32688749999999994</v>
      </c>
      <c r="AN116" t="s">
        <v>250</v>
      </c>
    </row>
    <row r="117" spans="9:40" x14ac:dyDescent="0.45">
      <c r="I117" t="s">
        <v>168</v>
      </c>
      <c r="J117" t="s">
        <v>262</v>
      </c>
      <c r="K117">
        <v>1.3689495039214018E-4</v>
      </c>
      <c r="L117" t="s">
        <v>154</v>
      </c>
      <c r="N117" t="s">
        <v>197</v>
      </c>
      <c r="O117" t="s">
        <v>262</v>
      </c>
      <c r="P117">
        <v>3.1780040916018471E-3</v>
      </c>
      <c r="Q117" t="s">
        <v>154</v>
      </c>
      <c r="S117" t="s">
        <v>221</v>
      </c>
      <c r="T117" t="s">
        <v>262</v>
      </c>
      <c r="U117">
        <v>5.0885273533767513E-3</v>
      </c>
      <c r="V117" t="s">
        <v>154</v>
      </c>
      <c r="AK117">
        <v>2043</v>
      </c>
      <c r="AL117" t="s">
        <v>146</v>
      </c>
      <c r="AM117">
        <v>0.50719999999999998</v>
      </c>
      <c r="AN117" t="s">
        <v>250</v>
      </c>
    </row>
    <row r="118" spans="9:40" x14ac:dyDescent="0.45">
      <c r="I118" t="s">
        <v>168</v>
      </c>
      <c r="J118" t="s">
        <v>263</v>
      </c>
      <c r="K118">
        <v>0</v>
      </c>
      <c r="L118" t="s">
        <v>154</v>
      </c>
      <c r="N118" t="s">
        <v>197</v>
      </c>
      <c r="O118" t="s">
        <v>263</v>
      </c>
      <c r="P118">
        <v>1.6335540411492201E-2</v>
      </c>
      <c r="Q118" t="s">
        <v>154</v>
      </c>
      <c r="S118" t="s">
        <v>221</v>
      </c>
      <c r="T118" t="s">
        <v>263</v>
      </c>
      <c r="U118">
        <v>2.5659203283128196E-2</v>
      </c>
      <c r="V118" t="s">
        <v>154</v>
      </c>
      <c r="AK118">
        <v>2043</v>
      </c>
      <c r="AL118" t="s">
        <v>148</v>
      </c>
      <c r="AM118">
        <v>0.41609999999999997</v>
      </c>
      <c r="AN118" t="s">
        <v>250</v>
      </c>
    </row>
    <row r="119" spans="9:40" x14ac:dyDescent="0.45">
      <c r="I119" t="s">
        <v>168</v>
      </c>
      <c r="J119" t="s">
        <v>163</v>
      </c>
      <c r="K119">
        <v>0</v>
      </c>
      <c r="L119" t="s">
        <v>154</v>
      </c>
      <c r="N119" t="s">
        <v>197</v>
      </c>
      <c r="O119" t="s">
        <v>163</v>
      </c>
      <c r="P119">
        <v>3.2568410463375178E-2</v>
      </c>
      <c r="Q119" t="s">
        <v>154</v>
      </c>
      <c r="S119" t="s">
        <v>221</v>
      </c>
      <c r="T119" t="s">
        <v>163</v>
      </c>
      <c r="U119">
        <v>7.4927151314401691E-3</v>
      </c>
      <c r="V119" t="s">
        <v>154</v>
      </c>
      <c r="AK119">
        <v>2043</v>
      </c>
      <c r="AL119" t="s">
        <v>150</v>
      </c>
      <c r="AM119">
        <v>0.35085</v>
      </c>
      <c r="AN119" t="s">
        <v>250</v>
      </c>
    </row>
    <row r="120" spans="9:40" x14ac:dyDescent="0.45">
      <c r="I120" t="s">
        <v>168</v>
      </c>
      <c r="J120" t="s">
        <v>164</v>
      </c>
      <c r="K120">
        <v>8.7754459671259607E-3</v>
      </c>
      <c r="L120" t="s">
        <v>154</v>
      </c>
      <c r="N120" t="s">
        <v>197</v>
      </c>
      <c r="O120" t="s">
        <v>164</v>
      </c>
      <c r="P120">
        <v>8.8983607541957884E-3</v>
      </c>
      <c r="Q120" t="s">
        <v>154</v>
      </c>
      <c r="S120" t="s">
        <v>221</v>
      </c>
      <c r="T120" t="s">
        <v>164</v>
      </c>
      <c r="U120">
        <v>2.2950094524205687E-3</v>
      </c>
      <c r="V120" t="s">
        <v>154</v>
      </c>
      <c r="AK120">
        <v>2043</v>
      </c>
      <c r="AL120" t="s">
        <v>270</v>
      </c>
      <c r="AM120">
        <v>0.3755</v>
      </c>
      <c r="AN120" t="s">
        <v>250</v>
      </c>
    </row>
    <row r="121" spans="9:40" x14ac:dyDescent="0.45">
      <c r="I121" t="s">
        <v>168</v>
      </c>
      <c r="J121" t="s">
        <v>165</v>
      </c>
      <c r="K121">
        <v>5.2042322735634472E-2</v>
      </c>
      <c r="L121" t="s">
        <v>154</v>
      </c>
      <c r="N121" t="s">
        <v>197</v>
      </c>
      <c r="O121" t="s">
        <v>165</v>
      </c>
      <c r="P121">
        <v>4.3244379257433747E-2</v>
      </c>
      <c r="Q121" t="s">
        <v>154</v>
      </c>
      <c r="S121" t="s">
        <v>221</v>
      </c>
      <c r="T121" t="s">
        <v>165</v>
      </c>
      <c r="U121">
        <v>7.9205098507101907E-3</v>
      </c>
      <c r="V121" t="s">
        <v>154</v>
      </c>
      <c r="AK121">
        <v>2044</v>
      </c>
      <c r="AL121" t="s">
        <v>142</v>
      </c>
      <c r="AM121">
        <v>0.33727499999999999</v>
      </c>
      <c r="AN121" t="s">
        <v>250</v>
      </c>
    </row>
    <row r="122" spans="9:40" x14ac:dyDescent="0.45">
      <c r="I122" t="s">
        <v>168</v>
      </c>
      <c r="J122" t="s">
        <v>264</v>
      </c>
      <c r="K122">
        <v>2.6777109673198065E-3</v>
      </c>
      <c r="L122" t="s">
        <v>154</v>
      </c>
      <c r="N122" t="s">
        <v>197</v>
      </c>
      <c r="O122" t="s">
        <v>264</v>
      </c>
      <c r="P122">
        <v>5.8539422047732661E-3</v>
      </c>
      <c r="Q122" t="s">
        <v>154</v>
      </c>
      <c r="S122" t="s">
        <v>221</v>
      </c>
      <c r="T122" t="s">
        <v>264</v>
      </c>
      <c r="U122">
        <v>9.6888962351072581E-4</v>
      </c>
      <c r="V122" t="s">
        <v>154</v>
      </c>
      <c r="AK122">
        <v>2044</v>
      </c>
      <c r="AL122" t="s">
        <v>146</v>
      </c>
      <c r="AM122">
        <v>0.55459999999999998</v>
      </c>
      <c r="AN122" t="s">
        <v>250</v>
      </c>
    </row>
    <row r="123" spans="9:40" x14ac:dyDescent="0.45">
      <c r="I123" t="s">
        <v>168</v>
      </c>
      <c r="J123" t="s">
        <v>265</v>
      </c>
      <c r="K123">
        <v>0</v>
      </c>
      <c r="L123" t="s">
        <v>154</v>
      </c>
      <c r="N123" t="s">
        <v>197</v>
      </c>
      <c r="O123" t="s">
        <v>265</v>
      </c>
      <c r="P123">
        <v>4.9897518732529272E-3</v>
      </c>
      <c r="Q123" t="s">
        <v>154</v>
      </c>
      <c r="S123" t="s">
        <v>221</v>
      </c>
      <c r="T123" t="s">
        <v>265</v>
      </c>
      <c r="U123">
        <v>1.1055629835880238E-3</v>
      </c>
      <c r="V123" t="s">
        <v>154</v>
      </c>
      <c r="AK123">
        <v>2044</v>
      </c>
      <c r="AL123" t="s">
        <v>148</v>
      </c>
      <c r="AM123">
        <v>0.51339999999999997</v>
      </c>
      <c r="AN123" t="s">
        <v>250</v>
      </c>
    </row>
    <row r="124" spans="9:40" x14ac:dyDescent="0.45">
      <c r="I124" t="s">
        <v>168</v>
      </c>
      <c r="J124" t="s">
        <v>266</v>
      </c>
      <c r="K124">
        <v>0</v>
      </c>
      <c r="L124" t="s">
        <v>154</v>
      </c>
      <c r="N124" t="s">
        <v>197</v>
      </c>
      <c r="O124" t="s">
        <v>266</v>
      </c>
      <c r="P124">
        <v>2.663596482958187E-2</v>
      </c>
      <c r="Q124" t="s">
        <v>154</v>
      </c>
      <c r="S124" t="s">
        <v>221</v>
      </c>
      <c r="T124" t="s">
        <v>266</v>
      </c>
      <c r="U124">
        <v>5.9933680716731897E-3</v>
      </c>
      <c r="V124" t="s">
        <v>154</v>
      </c>
      <c r="AK124">
        <v>2044</v>
      </c>
      <c r="AL124" t="s">
        <v>150</v>
      </c>
      <c r="AM124">
        <v>0.38995000000000002</v>
      </c>
      <c r="AN124" t="s">
        <v>250</v>
      </c>
    </row>
    <row r="125" spans="9:40" x14ac:dyDescent="0.45">
      <c r="I125" t="s">
        <v>168</v>
      </c>
      <c r="J125" t="s">
        <v>272</v>
      </c>
      <c r="K125">
        <v>0</v>
      </c>
      <c r="L125" t="s">
        <v>154</v>
      </c>
      <c r="N125" t="s">
        <v>197</v>
      </c>
      <c r="O125" t="s">
        <v>272</v>
      </c>
      <c r="P125">
        <v>6.6960448081937102E-2</v>
      </c>
      <c r="Q125" t="s">
        <v>154</v>
      </c>
      <c r="S125" t="s">
        <v>221</v>
      </c>
      <c r="T125" t="s">
        <v>272</v>
      </c>
      <c r="U125">
        <v>5.8871677373293116E-2</v>
      </c>
      <c r="V125" t="s">
        <v>154</v>
      </c>
      <c r="AK125">
        <v>2044</v>
      </c>
      <c r="AL125" t="s">
        <v>270</v>
      </c>
      <c r="AM125">
        <v>0.34870000000000001</v>
      </c>
      <c r="AN125" t="s">
        <v>250</v>
      </c>
    </row>
    <row r="126" spans="9:40" x14ac:dyDescent="0.45">
      <c r="I126" t="s">
        <v>168</v>
      </c>
      <c r="J126" t="s">
        <v>273</v>
      </c>
      <c r="K126">
        <v>1.7726680678152449E-2</v>
      </c>
      <c r="L126" t="s">
        <v>154</v>
      </c>
      <c r="N126" t="s">
        <v>197</v>
      </c>
      <c r="O126" t="s">
        <v>273</v>
      </c>
      <c r="P126">
        <v>1.6594950474164004E-2</v>
      </c>
      <c r="Q126" t="s">
        <v>154</v>
      </c>
      <c r="S126" t="s">
        <v>221</v>
      </c>
      <c r="T126" t="s">
        <v>273</v>
      </c>
      <c r="U126">
        <v>1.8168656332940434E-2</v>
      </c>
      <c r="V126" t="s">
        <v>154</v>
      </c>
      <c r="AK126">
        <v>2045</v>
      </c>
      <c r="AL126" t="s">
        <v>142</v>
      </c>
      <c r="AM126">
        <v>0.36561249999999995</v>
      </c>
      <c r="AN126" t="s">
        <v>250</v>
      </c>
    </row>
    <row r="127" spans="9:40" x14ac:dyDescent="0.45">
      <c r="I127" t="s">
        <v>168</v>
      </c>
      <c r="J127" t="s">
        <v>274</v>
      </c>
      <c r="K127">
        <v>0.11661120466119536</v>
      </c>
      <c r="L127" t="s">
        <v>154</v>
      </c>
      <c r="N127" t="s">
        <v>197</v>
      </c>
      <c r="O127" t="s">
        <v>274</v>
      </c>
      <c r="P127">
        <v>8.5525209837953364E-2</v>
      </c>
      <c r="Q127" t="s">
        <v>154</v>
      </c>
      <c r="S127" t="s">
        <v>221</v>
      </c>
      <c r="T127" t="s">
        <v>274</v>
      </c>
      <c r="U127">
        <v>6.7082016070179953E-2</v>
      </c>
      <c r="V127" t="s">
        <v>154</v>
      </c>
      <c r="AK127">
        <v>2045</v>
      </c>
      <c r="AL127" t="s">
        <v>146</v>
      </c>
      <c r="AM127">
        <v>0.4274</v>
      </c>
      <c r="AN127" t="s">
        <v>250</v>
      </c>
    </row>
    <row r="128" spans="9:40" x14ac:dyDescent="0.45">
      <c r="I128" t="s">
        <v>168</v>
      </c>
      <c r="J128" t="s">
        <v>275</v>
      </c>
      <c r="K128">
        <v>6.4263357678972267E-3</v>
      </c>
      <c r="L128" t="s">
        <v>154</v>
      </c>
      <c r="N128" t="s">
        <v>197</v>
      </c>
      <c r="O128" t="s">
        <v>275</v>
      </c>
      <c r="P128">
        <v>1.109803570772153E-2</v>
      </c>
      <c r="Q128" t="s">
        <v>154</v>
      </c>
      <c r="S128" t="s">
        <v>221</v>
      </c>
      <c r="T128" t="s">
        <v>275</v>
      </c>
      <c r="U128">
        <v>7.7713304831430801E-3</v>
      </c>
      <c r="V128" t="s">
        <v>154</v>
      </c>
      <c r="AK128">
        <v>2045</v>
      </c>
      <c r="AL128" t="s">
        <v>148</v>
      </c>
      <c r="AM128">
        <v>0.42530000000000001</v>
      </c>
      <c r="AN128" t="s">
        <v>250</v>
      </c>
    </row>
    <row r="129" spans="9:40" x14ac:dyDescent="0.45">
      <c r="I129" t="s">
        <v>168</v>
      </c>
      <c r="J129" t="s">
        <v>276</v>
      </c>
      <c r="K129">
        <v>0</v>
      </c>
      <c r="L129" t="s">
        <v>154</v>
      </c>
      <c r="N129" t="s">
        <v>197</v>
      </c>
      <c r="O129" t="s">
        <v>276</v>
      </c>
      <c r="P129">
        <v>7.1506567948983078E-3</v>
      </c>
      <c r="Q129" t="s">
        <v>154</v>
      </c>
      <c r="S129" t="s">
        <v>221</v>
      </c>
      <c r="T129" t="s">
        <v>276</v>
      </c>
      <c r="U129">
        <v>8.2726205077544666E-3</v>
      </c>
      <c r="V129" t="s">
        <v>154</v>
      </c>
      <c r="AK129">
        <v>2045</v>
      </c>
      <c r="AL129" t="s">
        <v>150</v>
      </c>
      <c r="AM129">
        <v>0.36745</v>
      </c>
      <c r="AN129" t="s">
        <v>250</v>
      </c>
    </row>
    <row r="130" spans="9:40" x14ac:dyDescent="0.45">
      <c r="I130" t="s">
        <v>168</v>
      </c>
      <c r="J130" t="s">
        <v>277</v>
      </c>
      <c r="K130">
        <v>0</v>
      </c>
      <c r="L130" t="s">
        <v>154</v>
      </c>
      <c r="N130" t="s">
        <v>197</v>
      </c>
      <c r="O130" t="s">
        <v>277</v>
      </c>
      <c r="P130">
        <v>4.6391593224510891E-2</v>
      </c>
      <c r="Q130" t="s">
        <v>154</v>
      </c>
      <c r="S130" t="s">
        <v>221</v>
      </c>
      <c r="T130" t="s">
        <v>277</v>
      </c>
      <c r="U130">
        <v>4.395594163522102E-2</v>
      </c>
      <c r="V130" t="s">
        <v>154</v>
      </c>
      <c r="AK130">
        <v>2045</v>
      </c>
      <c r="AL130" t="s">
        <v>270</v>
      </c>
      <c r="AM130">
        <v>0.38439999999999996</v>
      </c>
      <c r="AN130" t="s">
        <v>250</v>
      </c>
    </row>
    <row r="131" spans="9:40" x14ac:dyDescent="0.45">
      <c r="I131" t="s">
        <v>169</v>
      </c>
      <c r="J131" t="s">
        <v>153</v>
      </c>
      <c r="K131">
        <v>0</v>
      </c>
      <c r="L131" t="s">
        <v>154</v>
      </c>
      <c r="N131" t="s">
        <v>198</v>
      </c>
      <c r="O131" t="s">
        <v>153</v>
      </c>
      <c r="P131">
        <v>0.17173807409577627</v>
      </c>
      <c r="Q131" t="s">
        <v>154</v>
      </c>
      <c r="S131" t="s">
        <v>222</v>
      </c>
      <c r="T131" t="s">
        <v>153</v>
      </c>
      <c r="U131">
        <v>0.16995539750721014</v>
      </c>
      <c r="V131" t="s">
        <v>154</v>
      </c>
      <c r="AK131">
        <v>2046</v>
      </c>
      <c r="AL131" t="s">
        <v>142</v>
      </c>
      <c r="AM131">
        <v>0.33385000000000004</v>
      </c>
      <c r="AN131" t="s">
        <v>250</v>
      </c>
    </row>
    <row r="132" spans="9:40" x14ac:dyDescent="0.45">
      <c r="I132" t="s">
        <v>169</v>
      </c>
      <c r="J132" t="s">
        <v>155</v>
      </c>
      <c r="K132">
        <v>7.2685888109234736E-2</v>
      </c>
      <c r="L132" t="s">
        <v>154</v>
      </c>
      <c r="N132" t="s">
        <v>198</v>
      </c>
      <c r="O132" t="s">
        <v>155</v>
      </c>
      <c r="P132">
        <v>4.5347315332271883E-2</v>
      </c>
      <c r="Q132" t="s">
        <v>154</v>
      </c>
      <c r="S132" t="s">
        <v>222</v>
      </c>
      <c r="T132" t="s">
        <v>155</v>
      </c>
      <c r="U132">
        <v>5.1015858491762676E-2</v>
      </c>
      <c r="V132" t="s">
        <v>154</v>
      </c>
      <c r="AK132">
        <v>2046</v>
      </c>
      <c r="AL132" t="s">
        <v>146</v>
      </c>
      <c r="AM132">
        <v>0.45904999999999996</v>
      </c>
      <c r="AN132" t="s">
        <v>250</v>
      </c>
    </row>
    <row r="133" spans="9:40" x14ac:dyDescent="0.45">
      <c r="I133" t="s">
        <v>169</v>
      </c>
      <c r="J133" t="s">
        <v>156</v>
      </c>
      <c r="K133">
        <v>0.52893683766444244</v>
      </c>
      <c r="L133" t="s">
        <v>154</v>
      </c>
      <c r="N133" t="s">
        <v>198</v>
      </c>
      <c r="O133" t="s">
        <v>156</v>
      </c>
      <c r="P133">
        <v>0.22991387988969672</v>
      </c>
      <c r="Q133" t="s">
        <v>154</v>
      </c>
      <c r="S133" t="s">
        <v>222</v>
      </c>
      <c r="T133" t="s">
        <v>156</v>
      </c>
      <c r="U133">
        <v>0.20839903997520989</v>
      </c>
      <c r="V133" t="s">
        <v>154</v>
      </c>
      <c r="AK133">
        <v>2046</v>
      </c>
      <c r="AL133" t="s">
        <v>148</v>
      </c>
      <c r="AM133">
        <v>0.46179999999999999</v>
      </c>
      <c r="AN133" t="s">
        <v>250</v>
      </c>
    </row>
    <row r="134" spans="9:40" x14ac:dyDescent="0.45">
      <c r="I134" t="s">
        <v>169</v>
      </c>
      <c r="J134" t="s">
        <v>255</v>
      </c>
      <c r="K134">
        <v>3.4143627929834497E-2</v>
      </c>
      <c r="L134" t="s">
        <v>154</v>
      </c>
      <c r="N134" t="s">
        <v>198</v>
      </c>
      <c r="O134" t="s">
        <v>255</v>
      </c>
      <c r="P134">
        <v>2.9287406616988535E-2</v>
      </c>
      <c r="Q134" t="s">
        <v>154</v>
      </c>
      <c r="S134" t="s">
        <v>222</v>
      </c>
      <c r="T134" t="s">
        <v>255</v>
      </c>
      <c r="U134">
        <v>2.5032535255982861E-2</v>
      </c>
      <c r="V134" t="s">
        <v>154</v>
      </c>
      <c r="AK134">
        <v>2046</v>
      </c>
      <c r="AL134" t="s">
        <v>150</v>
      </c>
      <c r="AM134">
        <v>0.45960000000000001</v>
      </c>
      <c r="AN134" t="s">
        <v>250</v>
      </c>
    </row>
    <row r="135" spans="9:40" x14ac:dyDescent="0.45">
      <c r="I135" t="s">
        <v>169</v>
      </c>
      <c r="J135" t="s">
        <v>256</v>
      </c>
      <c r="K135">
        <v>1.982223151490874E-2</v>
      </c>
      <c r="L135" t="s">
        <v>154</v>
      </c>
      <c r="N135" t="s">
        <v>198</v>
      </c>
      <c r="O135" t="s">
        <v>256</v>
      </c>
      <c r="P135">
        <v>2.3720801246330893E-2</v>
      </c>
      <c r="Q135" t="s">
        <v>154</v>
      </c>
      <c r="S135" t="s">
        <v>222</v>
      </c>
      <c r="T135" t="s">
        <v>256</v>
      </c>
      <c r="U135">
        <v>2.1955230538866416E-2</v>
      </c>
      <c r="V135" t="s">
        <v>154</v>
      </c>
      <c r="AK135">
        <v>2046</v>
      </c>
      <c r="AL135" t="s">
        <v>270</v>
      </c>
      <c r="AM135">
        <v>0.37404999999999999</v>
      </c>
      <c r="AN135" t="s">
        <v>250</v>
      </c>
    </row>
    <row r="136" spans="9:40" x14ac:dyDescent="0.45">
      <c r="I136" t="s">
        <v>169</v>
      </c>
      <c r="J136" t="s">
        <v>257</v>
      </c>
      <c r="K136">
        <v>0</v>
      </c>
      <c r="L136" t="s">
        <v>154</v>
      </c>
      <c r="N136" t="s">
        <v>198</v>
      </c>
      <c r="O136" t="s">
        <v>257</v>
      </c>
      <c r="P136">
        <v>0.11842866310639086</v>
      </c>
      <c r="Q136" t="s">
        <v>154</v>
      </c>
      <c r="S136" t="s">
        <v>222</v>
      </c>
      <c r="T136" t="s">
        <v>257</v>
      </c>
      <c r="U136">
        <v>0.11245295889434989</v>
      </c>
      <c r="V136" t="s">
        <v>154</v>
      </c>
      <c r="AK136">
        <v>2047</v>
      </c>
      <c r="AL136" t="s">
        <v>142</v>
      </c>
      <c r="AM136">
        <v>0.35043749999999996</v>
      </c>
      <c r="AN136" t="s">
        <v>250</v>
      </c>
    </row>
    <row r="137" spans="9:40" x14ac:dyDescent="0.45">
      <c r="I137" t="s">
        <v>169</v>
      </c>
      <c r="J137" t="s">
        <v>157</v>
      </c>
      <c r="K137">
        <v>0</v>
      </c>
      <c r="L137" t="s">
        <v>154</v>
      </c>
      <c r="N137" t="s">
        <v>198</v>
      </c>
      <c r="O137" t="s">
        <v>157</v>
      </c>
      <c r="P137">
        <v>8.8734380951498541E-3</v>
      </c>
      <c r="Q137" t="s">
        <v>154</v>
      </c>
      <c r="S137" t="s">
        <v>222</v>
      </c>
      <c r="T137" t="s">
        <v>157</v>
      </c>
      <c r="U137">
        <v>1.2975265666459065E-2</v>
      </c>
      <c r="V137" t="s">
        <v>154</v>
      </c>
      <c r="AK137">
        <v>2047</v>
      </c>
      <c r="AL137" t="s">
        <v>146</v>
      </c>
      <c r="AM137">
        <v>0.47499999999999998</v>
      </c>
      <c r="AN137" t="s">
        <v>250</v>
      </c>
    </row>
    <row r="138" spans="9:40" x14ac:dyDescent="0.45">
      <c r="I138" t="s">
        <v>169</v>
      </c>
      <c r="J138" t="s">
        <v>158</v>
      </c>
      <c r="K138">
        <v>6.9612357525489455E-3</v>
      </c>
      <c r="L138" t="s">
        <v>154</v>
      </c>
      <c r="N138" t="s">
        <v>198</v>
      </c>
      <c r="O138" t="s">
        <v>158</v>
      </c>
      <c r="P138">
        <v>2.6417581709834298E-3</v>
      </c>
      <c r="Q138" t="s">
        <v>154</v>
      </c>
      <c r="S138" t="s">
        <v>222</v>
      </c>
      <c r="T138" t="s">
        <v>158</v>
      </c>
      <c r="U138">
        <v>4.214314947110883E-3</v>
      </c>
      <c r="V138" t="s">
        <v>154</v>
      </c>
      <c r="AK138">
        <v>2047</v>
      </c>
      <c r="AL138" t="s">
        <v>148</v>
      </c>
      <c r="AM138">
        <v>0.40405000000000002</v>
      </c>
      <c r="AN138" t="s">
        <v>250</v>
      </c>
    </row>
    <row r="139" spans="9:40" x14ac:dyDescent="0.45">
      <c r="I139" t="s">
        <v>169</v>
      </c>
      <c r="J139" t="s">
        <v>159</v>
      </c>
      <c r="K139">
        <v>5.2160391923860648E-2</v>
      </c>
      <c r="L139" t="s">
        <v>154</v>
      </c>
      <c r="N139" t="s">
        <v>198</v>
      </c>
      <c r="O139" t="s">
        <v>159</v>
      </c>
      <c r="P139">
        <v>1.2712230988990349E-2</v>
      </c>
      <c r="Q139" t="s">
        <v>154</v>
      </c>
      <c r="S139" t="s">
        <v>222</v>
      </c>
      <c r="T139" t="s">
        <v>159</v>
      </c>
      <c r="U139">
        <v>1.7325416066859861E-2</v>
      </c>
      <c r="V139" t="s">
        <v>154</v>
      </c>
      <c r="AK139">
        <v>2047</v>
      </c>
      <c r="AL139" t="s">
        <v>150</v>
      </c>
      <c r="AM139">
        <v>0.34735000000000005</v>
      </c>
      <c r="AN139" t="s">
        <v>250</v>
      </c>
    </row>
    <row r="140" spans="9:40" x14ac:dyDescent="0.45">
      <c r="I140" t="s">
        <v>169</v>
      </c>
      <c r="J140" t="s">
        <v>258</v>
      </c>
      <c r="K140">
        <v>2.9429316908386525E-3</v>
      </c>
      <c r="L140" t="s">
        <v>154</v>
      </c>
      <c r="N140" t="s">
        <v>198</v>
      </c>
      <c r="O140" t="s">
        <v>258</v>
      </c>
      <c r="P140">
        <v>1.5261081984327773E-3</v>
      </c>
      <c r="Q140" t="s">
        <v>154</v>
      </c>
      <c r="S140" t="s">
        <v>222</v>
      </c>
      <c r="T140" t="s">
        <v>258</v>
      </c>
      <c r="U140">
        <v>1.9039916356027257E-3</v>
      </c>
      <c r="V140" t="s">
        <v>154</v>
      </c>
      <c r="AK140">
        <v>2047</v>
      </c>
      <c r="AL140" t="s">
        <v>270</v>
      </c>
      <c r="AM140">
        <v>0.33584999999999998</v>
      </c>
      <c r="AN140" t="s">
        <v>250</v>
      </c>
    </row>
    <row r="141" spans="9:40" x14ac:dyDescent="0.45">
      <c r="I141" t="s">
        <v>169</v>
      </c>
      <c r="J141" t="s">
        <v>259</v>
      </c>
      <c r="K141">
        <v>1.4458738083115987E-3</v>
      </c>
      <c r="L141" t="s">
        <v>154</v>
      </c>
      <c r="N141" t="s">
        <v>198</v>
      </c>
      <c r="O141" t="s">
        <v>259</v>
      </c>
      <c r="P141">
        <v>1.3404995749880511E-3</v>
      </c>
      <c r="Q141" t="s">
        <v>154</v>
      </c>
      <c r="S141" t="s">
        <v>222</v>
      </c>
      <c r="T141" t="s">
        <v>259</v>
      </c>
      <c r="U141">
        <v>1.8460349547720176E-3</v>
      </c>
      <c r="V141" t="s">
        <v>154</v>
      </c>
      <c r="AK141">
        <v>2048</v>
      </c>
      <c r="AL141" t="s">
        <v>142</v>
      </c>
      <c r="AM141">
        <v>0.31357500000000005</v>
      </c>
      <c r="AN141" t="s">
        <v>250</v>
      </c>
    </row>
    <row r="142" spans="9:40" x14ac:dyDescent="0.45">
      <c r="I142" t="s">
        <v>169</v>
      </c>
      <c r="J142" t="s">
        <v>260</v>
      </c>
      <c r="K142">
        <v>0</v>
      </c>
      <c r="L142" t="s">
        <v>154</v>
      </c>
      <c r="N142" t="s">
        <v>198</v>
      </c>
      <c r="O142" t="s">
        <v>260</v>
      </c>
      <c r="P142">
        <v>6.0785739456063583E-3</v>
      </c>
      <c r="Q142" t="s">
        <v>154</v>
      </c>
      <c r="S142" t="s">
        <v>222</v>
      </c>
      <c r="T142" t="s">
        <v>260</v>
      </c>
      <c r="U142">
        <v>7.879415833137747E-3</v>
      </c>
      <c r="V142" t="s">
        <v>154</v>
      </c>
      <c r="AK142">
        <v>2048</v>
      </c>
      <c r="AL142" t="s">
        <v>146</v>
      </c>
      <c r="AM142">
        <v>0.43740000000000001</v>
      </c>
      <c r="AN142" t="s">
        <v>250</v>
      </c>
    </row>
    <row r="143" spans="9:40" x14ac:dyDescent="0.45">
      <c r="I143" t="s">
        <v>169</v>
      </c>
      <c r="J143" t="s">
        <v>160</v>
      </c>
      <c r="K143">
        <v>0</v>
      </c>
      <c r="L143" t="s">
        <v>154</v>
      </c>
      <c r="N143" t="s">
        <v>198</v>
      </c>
      <c r="O143" t="s">
        <v>160</v>
      </c>
      <c r="P143">
        <v>6.2803354940272949E-2</v>
      </c>
      <c r="Q143" t="s">
        <v>154</v>
      </c>
      <c r="S143" t="s">
        <v>222</v>
      </c>
      <c r="T143" t="s">
        <v>160</v>
      </c>
      <c r="U143">
        <v>3.7308103407225783E-2</v>
      </c>
      <c r="V143" t="s">
        <v>154</v>
      </c>
      <c r="AK143">
        <v>2048</v>
      </c>
      <c r="AL143" t="s">
        <v>148</v>
      </c>
      <c r="AM143">
        <v>0.44690000000000002</v>
      </c>
      <c r="AN143" t="s">
        <v>250</v>
      </c>
    </row>
    <row r="144" spans="9:40" x14ac:dyDescent="0.45">
      <c r="I144" t="s">
        <v>169</v>
      </c>
      <c r="J144" t="s">
        <v>161</v>
      </c>
      <c r="K144">
        <v>6.6599903695419198E-3</v>
      </c>
      <c r="L144" t="s">
        <v>154</v>
      </c>
      <c r="N144" t="s">
        <v>198</v>
      </c>
      <c r="O144" t="s">
        <v>161</v>
      </c>
      <c r="P144">
        <v>1.6727586161183468E-2</v>
      </c>
      <c r="Q144" t="s">
        <v>154</v>
      </c>
      <c r="S144" t="s">
        <v>222</v>
      </c>
      <c r="T144" t="s">
        <v>161</v>
      </c>
      <c r="U144">
        <v>9.985188862963788E-3</v>
      </c>
      <c r="V144" t="s">
        <v>154</v>
      </c>
      <c r="AK144">
        <v>2048</v>
      </c>
      <c r="AL144" t="s">
        <v>150</v>
      </c>
      <c r="AM144">
        <v>0.41400000000000003</v>
      </c>
      <c r="AN144" t="s">
        <v>250</v>
      </c>
    </row>
    <row r="145" spans="9:40" x14ac:dyDescent="0.45">
      <c r="I145" t="s">
        <v>169</v>
      </c>
      <c r="J145" t="s">
        <v>162</v>
      </c>
      <c r="K145">
        <v>5.621898957600354E-2</v>
      </c>
      <c r="L145" t="s">
        <v>154</v>
      </c>
      <c r="N145" t="s">
        <v>198</v>
      </c>
      <c r="O145" t="s">
        <v>162</v>
      </c>
      <c r="P145">
        <v>7.8164935916133826E-2</v>
      </c>
      <c r="Q145" t="s">
        <v>154</v>
      </c>
      <c r="S145" t="s">
        <v>222</v>
      </c>
      <c r="T145" t="s">
        <v>162</v>
      </c>
      <c r="U145">
        <v>4.6140257064710706E-2</v>
      </c>
      <c r="V145" t="s">
        <v>154</v>
      </c>
      <c r="AK145">
        <v>2048</v>
      </c>
      <c r="AL145" t="s">
        <v>270</v>
      </c>
      <c r="AM145">
        <v>0.38064999999999999</v>
      </c>
      <c r="AN145" t="s">
        <v>250</v>
      </c>
    </row>
    <row r="146" spans="9:40" x14ac:dyDescent="0.45">
      <c r="I146" t="s">
        <v>169</v>
      </c>
      <c r="J146" t="s">
        <v>261</v>
      </c>
      <c r="K146">
        <v>2.4130876737092008E-3</v>
      </c>
      <c r="L146" t="s">
        <v>154</v>
      </c>
      <c r="N146" t="s">
        <v>198</v>
      </c>
      <c r="O146" t="s">
        <v>261</v>
      </c>
      <c r="P146">
        <v>9.6069490476749803E-3</v>
      </c>
      <c r="Q146" t="s">
        <v>154</v>
      </c>
      <c r="S146" t="s">
        <v>222</v>
      </c>
      <c r="T146" t="s">
        <v>261</v>
      </c>
      <c r="U146">
        <v>5.880477955904905E-3</v>
      </c>
      <c r="V146" t="s">
        <v>154</v>
      </c>
      <c r="AK146">
        <v>2049</v>
      </c>
      <c r="AL146" t="s">
        <v>142</v>
      </c>
      <c r="AM146">
        <v>0.30232499999999995</v>
      </c>
      <c r="AN146" t="s">
        <v>250</v>
      </c>
    </row>
    <row r="147" spans="9:40" x14ac:dyDescent="0.45">
      <c r="I147" t="s">
        <v>169</v>
      </c>
      <c r="J147" t="s">
        <v>262</v>
      </c>
      <c r="K147">
        <v>8.3249500779382249E-4</v>
      </c>
      <c r="L147" t="s">
        <v>154</v>
      </c>
      <c r="N147" t="s">
        <v>198</v>
      </c>
      <c r="O147" t="s">
        <v>262</v>
      </c>
      <c r="P147">
        <v>8.6324024947473862E-3</v>
      </c>
      <c r="Q147" t="s">
        <v>154</v>
      </c>
      <c r="S147" t="s">
        <v>222</v>
      </c>
      <c r="T147" t="s">
        <v>262</v>
      </c>
      <c r="U147">
        <v>5.3020885231576578E-3</v>
      </c>
      <c r="V147" t="s">
        <v>154</v>
      </c>
      <c r="AK147">
        <v>2049</v>
      </c>
      <c r="AL147" t="s">
        <v>146</v>
      </c>
      <c r="AM147">
        <v>0.34770000000000001</v>
      </c>
      <c r="AN147" t="s">
        <v>250</v>
      </c>
    </row>
    <row r="148" spans="9:40" x14ac:dyDescent="0.45">
      <c r="I148" t="s">
        <v>169</v>
      </c>
      <c r="J148" t="s">
        <v>263</v>
      </c>
      <c r="K148">
        <v>0</v>
      </c>
      <c r="L148" t="s">
        <v>154</v>
      </c>
      <c r="N148" t="s">
        <v>198</v>
      </c>
      <c r="O148" t="s">
        <v>263</v>
      </c>
      <c r="P148">
        <v>4.0072290272838977E-2</v>
      </c>
      <c r="Q148" t="s">
        <v>154</v>
      </c>
      <c r="S148" t="s">
        <v>222</v>
      </c>
      <c r="T148" t="s">
        <v>263</v>
      </c>
      <c r="U148">
        <v>2.5923467584859503E-2</v>
      </c>
      <c r="V148" t="s">
        <v>154</v>
      </c>
      <c r="AK148">
        <v>2049</v>
      </c>
      <c r="AL148" t="s">
        <v>148</v>
      </c>
      <c r="AM148">
        <v>0.34375</v>
      </c>
      <c r="AN148" t="s">
        <v>250</v>
      </c>
    </row>
    <row r="149" spans="9:40" x14ac:dyDescent="0.45">
      <c r="I149" t="s">
        <v>169</v>
      </c>
      <c r="J149" t="s">
        <v>163</v>
      </c>
      <c r="K149">
        <v>0</v>
      </c>
      <c r="L149" t="s">
        <v>154</v>
      </c>
      <c r="N149" t="s">
        <v>198</v>
      </c>
      <c r="O149" t="s">
        <v>163</v>
      </c>
      <c r="P149">
        <v>5.2312064540041784E-3</v>
      </c>
      <c r="Q149" t="s">
        <v>154</v>
      </c>
      <c r="S149" t="s">
        <v>222</v>
      </c>
      <c r="T149" t="s">
        <v>163</v>
      </c>
      <c r="U149">
        <v>7.8631257016123068E-3</v>
      </c>
      <c r="V149" t="s">
        <v>154</v>
      </c>
      <c r="AK149">
        <v>2049</v>
      </c>
      <c r="AL149" t="s">
        <v>150</v>
      </c>
      <c r="AM149">
        <v>0.37404999999999999</v>
      </c>
      <c r="AN149" t="s">
        <v>250</v>
      </c>
    </row>
    <row r="150" spans="9:40" x14ac:dyDescent="0.45">
      <c r="I150" t="s">
        <v>169</v>
      </c>
      <c r="J150" t="s">
        <v>164</v>
      </c>
      <c r="K150">
        <v>8.0802119942624748E-3</v>
      </c>
      <c r="L150" t="s">
        <v>154</v>
      </c>
      <c r="N150" t="s">
        <v>198</v>
      </c>
      <c r="O150" t="s">
        <v>164</v>
      </c>
      <c r="P150">
        <v>1.4724582790429919E-3</v>
      </c>
      <c r="Q150" t="s">
        <v>154</v>
      </c>
      <c r="S150" t="s">
        <v>222</v>
      </c>
      <c r="T150" t="s">
        <v>164</v>
      </c>
      <c r="U150">
        <v>2.574422394215434E-3</v>
      </c>
      <c r="V150" t="s">
        <v>154</v>
      </c>
      <c r="AK150">
        <v>2049</v>
      </c>
      <c r="AL150" t="s">
        <v>270</v>
      </c>
      <c r="AM150">
        <v>0.32679999999999998</v>
      </c>
      <c r="AN150" t="s">
        <v>250</v>
      </c>
    </row>
    <row r="151" spans="9:40" x14ac:dyDescent="0.45">
      <c r="I151" t="s">
        <v>169</v>
      </c>
      <c r="J151" t="s">
        <v>165</v>
      </c>
      <c r="K151">
        <v>5.1508517298194556E-2</v>
      </c>
      <c r="L151" t="s">
        <v>154</v>
      </c>
      <c r="N151" t="s">
        <v>198</v>
      </c>
      <c r="O151" t="s">
        <v>165</v>
      </c>
      <c r="P151">
        <v>8.0775216156525956E-3</v>
      </c>
      <c r="Q151" t="s">
        <v>154</v>
      </c>
      <c r="S151" t="s">
        <v>222</v>
      </c>
      <c r="T151" t="s">
        <v>165</v>
      </c>
      <c r="U151">
        <v>1.0451475161963217E-2</v>
      </c>
      <c r="V151" t="s">
        <v>154</v>
      </c>
      <c r="AK151">
        <v>2050</v>
      </c>
      <c r="AL151" t="s">
        <v>142</v>
      </c>
      <c r="AM151">
        <v>0.33196249999999999</v>
      </c>
      <c r="AN151" t="s">
        <v>250</v>
      </c>
    </row>
    <row r="152" spans="9:40" x14ac:dyDescent="0.45">
      <c r="I152" t="s">
        <v>169</v>
      </c>
      <c r="J152" t="s">
        <v>264</v>
      </c>
      <c r="K152">
        <v>2.7142073648851782E-3</v>
      </c>
      <c r="L152" t="s">
        <v>154</v>
      </c>
      <c r="N152" t="s">
        <v>198</v>
      </c>
      <c r="O152" t="s">
        <v>264</v>
      </c>
      <c r="P152">
        <v>1.2081938037475544E-3</v>
      </c>
      <c r="Q152" t="s">
        <v>154</v>
      </c>
      <c r="S152" t="s">
        <v>222</v>
      </c>
      <c r="T152" t="s">
        <v>264</v>
      </c>
      <c r="U152">
        <v>1.2109380946319344E-3</v>
      </c>
      <c r="V152" t="s">
        <v>154</v>
      </c>
      <c r="AK152">
        <v>2050</v>
      </c>
      <c r="AL152" t="s">
        <v>146</v>
      </c>
      <c r="AM152">
        <v>0.43274999999999997</v>
      </c>
      <c r="AN152" t="s">
        <v>250</v>
      </c>
    </row>
    <row r="153" spans="9:40" x14ac:dyDescent="0.45">
      <c r="I153" t="s">
        <v>169</v>
      </c>
      <c r="J153" t="s">
        <v>265</v>
      </c>
      <c r="K153">
        <v>3.303622943602027E-8</v>
      </c>
      <c r="L153" t="s">
        <v>154</v>
      </c>
      <c r="N153" t="s">
        <v>198</v>
      </c>
      <c r="O153" t="s">
        <v>265</v>
      </c>
      <c r="P153">
        <v>1.1352083821079822E-3</v>
      </c>
      <c r="Q153" t="s">
        <v>154</v>
      </c>
      <c r="S153" t="s">
        <v>222</v>
      </c>
      <c r="T153" t="s">
        <v>265</v>
      </c>
      <c r="U153">
        <v>1.1778070481833461E-3</v>
      </c>
      <c r="V153" t="s">
        <v>154</v>
      </c>
      <c r="AK153">
        <v>2050</v>
      </c>
      <c r="AL153" t="s">
        <v>148</v>
      </c>
      <c r="AM153">
        <v>0.43710000000000004</v>
      </c>
      <c r="AN153" t="s">
        <v>250</v>
      </c>
    </row>
    <row r="154" spans="9:40" x14ac:dyDescent="0.45">
      <c r="I154" t="s">
        <v>169</v>
      </c>
      <c r="J154" t="s">
        <v>266</v>
      </c>
      <c r="K154">
        <v>0</v>
      </c>
      <c r="L154" t="s">
        <v>154</v>
      </c>
      <c r="N154" t="s">
        <v>198</v>
      </c>
      <c r="O154" t="s">
        <v>266</v>
      </c>
      <c r="P154">
        <v>5.2967531624546716E-3</v>
      </c>
      <c r="Q154" t="s">
        <v>154</v>
      </c>
      <c r="S154" t="s">
        <v>222</v>
      </c>
      <c r="T154" t="s">
        <v>266</v>
      </c>
      <c r="U154">
        <v>6.8479985072525517E-3</v>
      </c>
      <c r="V154" t="s">
        <v>154</v>
      </c>
      <c r="AK154">
        <v>2050</v>
      </c>
      <c r="AL154" t="s">
        <v>150</v>
      </c>
      <c r="AM154">
        <v>0.41720000000000002</v>
      </c>
      <c r="AN154" t="s">
        <v>250</v>
      </c>
    </row>
    <row r="155" spans="9:40" x14ac:dyDescent="0.45">
      <c r="I155" t="s">
        <v>169</v>
      </c>
      <c r="J155" t="s">
        <v>272</v>
      </c>
      <c r="K155">
        <v>0</v>
      </c>
      <c r="L155" t="s">
        <v>154</v>
      </c>
      <c r="N155" t="s">
        <v>198</v>
      </c>
      <c r="O155" t="s">
        <v>272</v>
      </c>
      <c r="P155">
        <v>3.349822712583201E-2</v>
      </c>
      <c r="Q155" t="s">
        <v>154</v>
      </c>
      <c r="S155" t="s">
        <v>222</v>
      </c>
      <c r="T155" t="s">
        <v>272</v>
      </c>
      <c r="U155">
        <v>6.0205442460671069E-2</v>
      </c>
      <c r="V155" t="s">
        <v>154</v>
      </c>
      <c r="AK155">
        <v>2050</v>
      </c>
      <c r="AL155" t="s">
        <v>270</v>
      </c>
      <c r="AM155">
        <v>0.33094999999999997</v>
      </c>
      <c r="AN155" t="s">
        <v>250</v>
      </c>
    </row>
    <row r="156" spans="9:40" x14ac:dyDescent="0.45">
      <c r="I156" t="s">
        <v>169</v>
      </c>
      <c r="J156" t="s">
        <v>273</v>
      </c>
      <c r="K156">
        <v>1.8468212047191922E-2</v>
      </c>
      <c r="L156" t="s">
        <v>154</v>
      </c>
      <c r="N156" t="s">
        <v>198</v>
      </c>
      <c r="O156" t="s">
        <v>273</v>
      </c>
      <c r="P156">
        <v>9.6860534301019229E-3</v>
      </c>
      <c r="Q156" t="s">
        <v>154</v>
      </c>
      <c r="S156" t="s">
        <v>222</v>
      </c>
      <c r="T156" t="s">
        <v>273</v>
      </c>
      <c r="U156">
        <v>1.6895204829625424E-2</v>
      </c>
      <c r="V156" t="s">
        <v>154</v>
      </c>
    </row>
    <row r="157" spans="9:40" x14ac:dyDescent="0.45">
      <c r="I157" t="s">
        <v>169</v>
      </c>
      <c r="J157" t="s">
        <v>274</v>
      </c>
      <c r="K157">
        <v>0.12621345159439518</v>
      </c>
      <c r="L157" t="s">
        <v>154</v>
      </c>
      <c r="N157" t="s">
        <v>198</v>
      </c>
      <c r="O157" t="s">
        <v>274</v>
      </c>
      <c r="P157">
        <v>3.7521323249551493E-2</v>
      </c>
      <c r="Q157" t="s">
        <v>154</v>
      </c>
      <c r="S157" t="s">
        <v>222</v>
      </c>
      <c r="T157" t="s">
        <v>274</v>
      </c>
      <c r="U157">
        <v>6.7675985437339242E-2</v>
      </c>
      <c r="V157" t="s">
        <v>154</v>
      </c>
    </row>
    <row r="158" spans="9:40" x14ac:dyDescent="0.45">
      <c r="I158" t="s">
        <v>169</v>
      </c>
      <c r="J158" t="s">
        <v>275</v>
      </c>
      <c r="K158">
        <v>7.5922804120922257E-3</v>
      </c>
      <c r="L158" t="s">
        <v>154</v>
      </c>
      <c r="N158" t="s">
        <v>198</v>
      </c>
      <c r="O158" t="s">
        <v>275</v>
      </c>
      <c r="P158">
        <v>4.7288155519205864E-3</v>
      </c>
      <c r="Q158" t="s">
        <v>154</v>
      </c>
      <c r="S158" t="s">
        <v>222</v>
      </c>
      <c r="T158" t="s">
        <v>275</v>
      </c>
      <c r="U158">
        <v>8.0456809206233028E-3</v>
      </c>
      <c r="V158" t="s">
        <v>154</v>
      </c>
    </row>
    <row r="159" spans="9:40" x14ac:dyDescent="0.45">
      <c r="I159" t="s">
        <v>169</v>
      </c>
      <c r="J159" t="s">
        <v>276</v>
      </c>
      <c r="K159">
        <v>1.9950523172074439E-4</v>
      </c>
      <c r="L159" t="s">
        <v>154</v>
      </c>
      <c r="N159" t="s">
        <v>198</v>
      </c>
      <c r="O159" t="s">
        <v>276</v>
      </c>
      <c r="P159">
        <v>3.6300808358636556E-3</v>
      </c>
      <c r="Q159" t="s">
        <v>154</v>
      </c>
      <c r="S159" t="s">
        <v>222</v>
      </c>
      <c r="T159" t="s">
        <v>276</v>
      </c>
      <c r="U159">
        <v>7.4784696819957929E-3</v>
      </c>
      <c r="V159" t="s">
        <v>154</v>
      </c>
    </row>
    <row r="160" spans="9:40" x14ac:dyDescent="0.45">
      <c r="I160" t="s">
        <v>169</v>
      </c>
      <c r="J160" t="s">
        <v>277</v>
      </c>
      <c r="K160">
        <v>0</v>
      </c>
      <c r="L160" t="s">
        <v>154</v>
      </c>
      <c r="N160" t="s">
        <v>198</v>
      </c>
      <c r="O160" t="s">
        <v>277</v>
      </c>
      <c r="P160">
        <v>2.0897890015263564E-2</v>
      </c>
      <c r="Q160" t="s">
        <v>154</v>
      </c>
      <c r="S160" t="s">
        <v>222</v>
      </c>
      <c r="T160" t="s">
        <v>277</v>
      </c>
      <c r="U160">
        <v>4.4078406595739354E-2</v>
      </c>
      <c r="V160" t="s">
        <v>154</v>
      </c>
    </row>
    <row r="161" spans="9:22" x14ac:dyDescent="0.45">
      <c r="I161" t="s">
        <v>170</v>
      </c>
      <c r="J161" t="s">
        <v>153</v>
      </c>
      <c r="K161">
        <v>1.985353865943507E-3</v>
      </c>
      <c r="L161" t="s">
        <v>154</v>
      </c>
      <c r="N161" t="s">
        <v>199</v>
      </c>
      <c r="O161" t="s">
        <v>153</v>
      </c>
      <c r="P161">
        <v>0.1922815925216001</v>
      </c>
      <c r="Q161" t="s">
        <v>154</v>
      </c>
      <c r="S161" t="s">
        <v>223</v>
      </c>
      <c r="T161" t="s">
        <v>153</v>
      </c>
      <c r="U161">
        <v>0.17376022179304826</v>
      </c>
      <c r="V161" t="s">
        <v>154</v>
      </c>
    </row>
    <row r="162" spans="9:22" x14ac:dyDescent="0.45">
      <c r="I162" t="s">
        <v>170</v>
      </c>
      <c r="J162" t="s">
        <v>155</v>
      </c>
      <c r="K162">
        <v>7.1088640081545501E-2</v>
      </c>
      <c r="L162" t="s">
        <v>154</v>
      </c>
      <c r="N162" t="s">
        <v>199</v>
      </c>
      <c r="O162" t="s">
        <v>155</v>
      </c>
      <c r="P162">
        <v>4.9459852056639789E-2</v>
      </c>
      <c r="Q162" t="s">
        <v>154</v>
      </c>
      <c r="S162" t="s">
        <v>223</v>
      </c>
      <c r="T162" t="s">
        <v>155</v>
      </c>
      <c r="U162">
        <v>5.1005457795804308E-2</v>
      </c>
      <c r="V162" t="s">
        <v>154</v>
      </c>
    </row>
    <row r="163" spans="9:22" x14ac:dyDescent="0.45">
      <c r="I163" t="s">
        <v>170</v>
      </c>
      <c r="J163" t="s">
        <v>156</v>
      </c>
      <c r="K163">
        <v>0.52683031288208915</v>
      </c>
      <c r="L163" t="s">
        <v>154</v>
      </c>
      <c r="N163" t="s">
        <v>199</v>
      </c>
      <c r="O163" t="s">
        <v>156</v>
      </c>
      <c r="P163">
        <v>0.23848023720203454</v>
      </c>
      <c r="Q163" t="s">
        <v>154</v>
      </c>
      <c r="S163" t="s">
        <v>223</v>
      </c>
      <c r="T163" t="s">
        <v>156</v>
      </c>
      <c r="U163">
        <v>0.21230958724473087</v>
      </c>
      <c r="V163" t="s">
        <v>154</v>
      </c>
    </row>
    <row r="164" spans="9:22" x14ac:dyDescent="0.45">
      <c r="I164" t="s">
        <v>170</v>
      </c>
      <c r="J164" t="s">
        <v>255</v>
      </c>
      <c r="K164">
        <v>3.5359514467151527E-2</v>
      </c>
      <c r="L164" t="s">
        <v>154</v>
      </c>
      <c r="N164" t="s">
        <v>199</v>
      </c>
      <c r="O164" t="s">
        <v>255</v>
      </c>
      <c r="P164">
        <v>2.7345659499463566E-2</v>
      </c>
      <c r="Q164" t="s">
        <v>154</v>
      </c>
      <c r="S164" t="s">
        <v>223</v>
      </c>
      <c r="T164" t="s">
        <v>255</v>
      </c>
      <c r="U164">
        <v>2.5006049234003604E-2</v>
      </c>
      <c r="V164" t="s">
        <v>154</v>
      </c>
    </row>
    <row r="165" spans="9:22" x14ac:dyDescent="0.45">
      <c r="I165" t="s">
        <v>170</v>
      </c>
      <c r="J165" t="s">
        <v>256</v>
      </c>
      <c r="K165">
        <v>1.9832207416791568E-2</v>
      </c>
      <c r="L165" t="s">
        <v>154</v>
      </c>
      <c r="N165" t="s">
        <v>199</v>
      </c>
      <c r="O165" t="s">
        <v>256</v>
      </c>
      <c r="P165">
        <v>2.0071414634559106E-2</v>
      </c>
      <c r="Q165" t="s">
        <v>154</v>
      </c>
      <c r="S165" t="s">
        <v>223</v>
      </c>
      <c r="T165" t="s">
        <v>256</v>
      </c>
      <c r="U165">
        <v>2.2496782948743091E-2</v>
      </c>
      <c r="V165" t="s">
        <v>154</v>
      </c>
    </row>
    <row r="166" spans="9:22" x14ac:dyDescent="0.45">
      <c r="I166" t="s">
        <v>170</v>
      </c>
      <c r="J166" t="s">
        <v>257</v>
      </c>
      <c r="K166">
        <v>0</v>
      </c>
      <c r="L166" t="s">
        <v>154</v>
      </c>
      <c r="N166" t="s">
        <v>199</v>
      </c>
      <c r="O166" t="s">
        <v>257</v>
      </c>
      <c r="P166">
        <v>0.10676029560868079</v>
      </c>
      <c r="Q166" t="s">
        <v>154</v>
      </c>
      <c r="S166" t="s">
        <v>223</v>
      </c>
      <c r="T166" t="s">
        <v>257</v>
      </c>
      <c r="U166">
        <v>0.11888894797027662</v>
      </c>
      <c r="V166" t="s">
        <v>154</v>
      </c>
    </row>
    <row r="167" spans="9:22" x14ac:dyDescent="0.45">
      <c r="I167" t="s">
        <v>170</v>
      </c>
      <c r="J167" t="s">
        <v>157</v>
      </c>
      <c r="K167">
        <v>0</v>
      </c>
      <c r="L167" t="s">
        <v>154</v>
      </c>
      <c r="N167" t="s">
        <v>199</v>
      </c>
      <c r="O167" t="s">
        <v>157</v>
      </c>
      <c r="P167">
        <v>7.6581387341179419E-3</v>
      </c>
      <c r="Q167" t="s">
        <v>154</v>
      </c>
      <c r="S167" t="s">
        <v>223</v>
      </c>
      <c r="T167" t="s">
        <v>157</v>
      </c>
      <c r="U167">
        <v>1.1926314986747072E-2</v>
      </c>
      <c r="V167" t="s">
        <v>154</v>
      </c>
    </row>
    <row r="168" spans="9:22" x14ac:dyDescent="0.45">
      <c r="I168" t="s">
        <v>170</v>
      </c>
      <c r="J168" t="s">
        <v>158</v>
      </c>
      <c r="K168">
        <v>7.1083407654375982E-3</v>
      </c>
      <c r="L168" t="s">
        <v>154</v>
      </c>
      <c r="N168" t="s">
        <v>199</v>
      </c>
      <c r="O168" t="s">
        <v>158</v>
      </c>
      <c r="P168">
        <v>1.576968269707289E-3</v>
      </c>
      <c r="Q168" t="s">
        <v>154</v>
      </c>
      <c r="S168" t="s">
        <v>223</v>
      </c>
      <c r="T168" t="s">
        <v>158</v>
      </c>
      <c r="U168">
        <v>3.8195600066323427E-3</v>
      </c>
      <c r="V168" t="s">
        <v>154</v>
      </c>
    </row>
    <row r="169" spans="9:22" x14ac:dyDescent="0.45">
      <c r="I169" t="s">
        <v>170</v>
      </c>
      <c r="J169" t="s">
        <v>159</v>
      </c>
      <c r="K169">
        <v>5.318784653640219E-2</v>
      </c>
      <c r="L169" t="s">
        <v>154</v>
      </c>
      <c r="N169" t="s">
        <v>199</v>
      </c>
      <c r="O169" t="s">
        <v>159</v>
      </c>
      <c r="P169">
        <v>8.6765221817634765E-3</v>
      </c>
      <c r="Q169" t="s">
        <v>154</v>
      </c>
      <c r="S169" t="s">
        <v>223</v>
      </c>
      <c r="T169" t="s">
        <v>159</v>
      </c>
      <c r="U169">
        <v>1.580773710622586E-2</v>
      </c>
      <c r="V169" t="s">
        <v>154</v>
      </c>
    </row>
    <row r="170" spans="9:22" x14ac:dyDescent="0.45">
      <c r="I170" t="s">
        <v>170</v>
      </c>
      <c r="J170" t="s">
        <v>258</v>
      </c>
      <c r="K170">
        <v>3.2026997827048769E-3</v>
      </c>
      <c r="L170" t="s">
        <v>154</v>
      </c>
      <c r="N170" t="s">
        <v>199</v>
      </c>
      <c r="O170" t="s">
        <v>258</v>
      </c>
      <c r="P170">
        <v>8.7689496357370024E-4</v>
      </c>
      <c r="Q170" t="s">
        <v>154</v>
      </c>
      <c r="S170" t="s">
        <v>223</v>
      </c>
      <c r="T170" t="s">
        <v>258</v>
      </c>
      <c r="U170">
        <v>1.6274493651061567E-3</v>
      </c>
      <c r="V170" t="s">
        <v>154</v>
      </c>
    </row>
    <row r="171" spans="9:22" x14ac:dyDescent="0.45">
      <c r="I171" t="s">
        <v>170</v>
      </c>
      <c r="J171" t="s">
        <v>259</v>
      </c>
      <c r="K171">
        <v>1.6978749656370322E-3</v>
      </c>
      <c r="L171" t="s">
        <v>154</v>
      </c>
      <c r="N171" t="s">
        <v>199</v>
      </c>
      <c r="O171" t="s">
        <v>259</v>
      </c>
      <c r="P171">
        <v>6.9576332703013416E-4</v>
      </c>
      <c r="Q171" t="s">
        <v>154</v>
      </c>
      <c r="S171" t="s">
        <v>223</v>
      </c>
      <c r="T171" t="s">
        <v>259</v>
      </c>
      <c r="U171">
        <v>1.5469570657227136E-3</v>
      </c>
      <c r="V171" t="s">
        <v>154</v>
      </c>
    </row>
    <row r="172" spans="9:22" x14ac:dyDescent="0.45">
      <c r="I172" t="s">
        <v>170</v>
      </c>
      <c r="J172" t="s">
        <v>260</v>
      </c>
      <c r="K172">
        <v>0</v>
      </c>
      <c r="L172" t="s">
        <v>154</v>
      </c>
      <c r="N172" t="s">
        <v>199</v>
      </c>
      <c r="O172" t="s">
        <v>260</v>
      </c>
      <c r="P172">
        <v>3.5399587687002894E-3</v>
      </c>
      <c r="Q172" t="s">
        <v>154</v>
      </c>
      <c r="S172" t="s">
        <v>223</v>
      </c>
      <c r="T172" t="s">
        <v>260</v>
      </c>
      <c r="U172">
        <v>7.1686375751894198E-3</v>
      </c>
      <c r="V172" t="s">
        <v>154</v>
      </c>
    </row>
    <row r="173" spans="9:22" x14ac:dyDescent="0.45">
      <c r="I173" t="s">
        <v>170</v>
      </c>
      <c r="J173" t="s">
        <v>160</v>
      </c>
      <c r="K173">
        <v>0</v>
      </c>
      <c r="L173" t="s">
        <v>154</v>
      </c>
      <c r="N173" t="s">
        <v>199</v>
      </c>
      <c r="O173" t="s">
        <v>160</v>
      </c>
      <c r="P173">
        <v>3.296665323867682E-2</v>
      </c>
      <c r="Q173" t="s">
        <v>154</v>
      </c>
      <c r="S173" t="s">
        <v>223</v>
      </c>
      <c r="T173" t="s">
        <v>160</v>
      </c>
      <c r="U173">
        <v>4.2375695253287556E-2</v>
      </c>
      <c r="V173" t="s">
        <v>154</v>
      </c>
    </row>
    <row r="174" spans="9:22" x14ac:dyDescent="0.45">
      <c r="I174" t="s">
        <v>170</v>
      </c>
      <c r="J174" t="s">
        <v>161</v>
      </c>
      <c r="K174">
        <v>7.2888232027570506E-3</v>
      </c>
      <c r="L174" t="s">
        <v>154</v>
      </c>
      <c r="N174" t="s">
        <v>199</v>
      </c>
      <c r="O174" t="s">
        <v>161</v>
      </c>
      <c r="P174">
        <v>8.0851896910071695E-3</v>
      </c>
      <c r="Q174" t="s">
        <v>154</v>
      </c>
      <c r="S174" t="s">
        <v>223</v>
      </c>
      <c r="T174" t="s">
        <v>161</v>
      </c>
      <c r="U174">
        <v>1.1215869546802981E-2</v>
      </c>
      <c r="V174" t="s">
        <v>154</v>
      </c>
    </row>
    <row r="175" spans="9:22" x14ac:dyDescent="0.45">
      <c r="I175" t="s">
        <v>170</v>
      </c>
      <c r="J175" t="s">
        <v>162</v>
      </c>
      <c r="K175">
        <v>6.0377407185736955E-2</v>
      </c>
      <c r="L175" t="s">
        <v>154</v>
      </c>
      <c r="N175" t="s">
        <v>199</v>
      </c>
      <c r="O175" t="s">
        <v>162</v>
      </c>
      <c r="P175">
        <v>4.7499216244990934E-2</v>
      </c>
      <c r="Q175" t="s">
        <v>154</v>
      </c>
      <c r="S175" t="s">
        <v>223</v>
      </c>
      <c r="T175" t="s">
        <v>162</v>
      </c>
      <c r="U175">
        <v>5.0769128388359473E-2</v>
      </c>
      <c r="V175" t="s">
        <v>154</v>
      </c>
    </row>
    <row r="176" spans="9:22" x14ac:dyDescent="0.45">
      <c r="I176" t="s">
        <v>170</v>
      </c>
      <c r="J176" t="s">
        <v>261</v>
      </c>
      <c r="K176">
        <v>2.7204434706729185E-3</v>
      </c>
      <c r="L176" t="s">
        <v>154</v>
      </c>
      <c r="N176" t="s">
        <v>199</v>
      </c>
      <c r="O176" t="s">
        <v>261</v>
      </c>
      <c r="P176">
        <v>5.9033855787433377E-3</v>
      </c>
      <c r="Q176" t="s">
        <v>154</v>
      </c>
      <c r="S176" t="s">
        <v>223</v>
      </c>
      <c r="T176" t="s">
        <v>261</v>
      </c>
      <c r="U176">
        <v>6.405304133420821E-3</v>
      </c>
      <c r="V176" t="s">
        <v>154</v>
      </c>
    </row>
    <row r="177" spans="9:22" x14ac:dyDescent="0.45">
      <c r="I177" t="s">
        <v>170</v>
      </c>
      <c r="J177" t="s">
        <v>262</v>
      </c>
      <c r="K177">
        <v>5.1912463239580774E-4</v>
      </c>
      <c r="L177" t="s">
        <v>154</v>
      </c>
      <c r="N177" t="s">
        <v>199</v>
      </c>
      <c r="O177" t="s">
        <v>262</v>
      </c>
      <c r="P177">
        <v>4.6075215950044249E-3</v>
      </c>
      <c r="Q177" t="s">
        <v>154</v>
      </c>
      <c r="S177" t="s">
        <v>223</v>
      </c>
      <c r="T177" t="s">
        <v>262</v>
      </c>
      <c r="U177">
        <v>5.9725822862376635E-3</v>
      </c>
      <c r="V177" t="s">
        <v>154</v>
      </c>
    </row>
    <row r="178" spans="9:22" x14ac:dyDescent="0.45">
      <c r="I178" t="s">
        <v>170</v>
      </c>
      <c r="J178" t="s">
        <v>263</v>
      </c>
      <c r="K178">
        <v>0</v>
      </c>
      <c r="L178" t="s">
        <v>154</v>
      </c>
      <c r="N178" t="s">
        <v>199</v>
      </c>
      <c r="O178" t="s">
        <v>263</v>
      </c>
      <c r="P178">
        <v>2.2350854694358612E-2</v>
      </c>
      <c r="Q178" t="s">
        <v>154</v>
      </c>
      <c r="S178" t="s">
        <v>223</v>
      </c>
      <c r="T178" t="s">
        <v>263</v>
      </c>
      <c r="U178">
        <v>2.8816440362416554E-2</v>
      </c>
      <c r="V178" t="s">
        <v>154</v>
      </c>
    </row>
    <row r="179" spans="9:22" x14ac:dyDescent="0.45">
      <c r="I179" t="s">
        <v>170</v>
      </c>
      <c r="J179" t="s">
        <v>163</v>
      </c>
      <c r="K179">
        <v>0</v>
      </c>
      <c r="L179" t="s">
        <v>154</v>
      </c>
      <c r="N179" t="s">
        <v>199</v>
      </c>
      <c r="O179" t="s">
        <v>163</v>
      </c>
      <c r="P179">
        <v>7.7766264392609618E-3</v>
      </c>
      <c r="Q179" t="s">
        <v>154</v>
      </c>
      <c r="S179" t="s">
        <v>223</v>
      </c>
      <c r="T179" t="s">
        <v>163</v>
      </c>
      <c r="U179">
        <v>6.3195363169497448E-3</v>
      </c>
      <c r="V179" t="s">
        <v>154</v>
      </c>
    </row>
    <row r="180" spans="9:22" x14ac:dyDescent="0.45">
      <c r="I180" t="s">
        <v>170</v>
      </c>
      <c r="J180" t="s">
        <v>164</v>
      </c>
      <c r="K180">
        <v>7.9275612180062967E-3</v>
      </c>
      <c r="L180" t="s">
        <v>154</v>
      </c>
      <c r="N180" t="s">
        <v>199</v>
      </c>
      <c r="O180" t="s">
        <v>164</v>
      </c>
      <c r="P180">
        <v>2.3191437094373497E-3</v>
      </c>
      <c r="Q180" t="s">
        <v>154</v>
      </c>
      <c r="S180" t="s">
        <v>223</v>
      </c>
      <c r="T180" t="s">
        <v>164</v>
      </c>
      <c r="U180">
        <v>1.830211821286706E-3</v>
      </c>
      <c r="V180" t="s">
        <v>154</v>
      </c>
    </row>
    <row r="181" spans="9:22" x14ac:dyDescent="0.45">
      <c r="I181" t="s">
        <v>170</v>
      </c>
      <c r="J181" t="s">
        <v>165</v>
      </c>
      <c r="K181">
        <v>5.2740006998898983E-2</v>
      </c>
      <c r="L181" t="s">
        <v>154</v>
      </c>
      <c r="N181" t="s">
        <v>199</v>
      </c>
      <c r="O181" t="s">
        <v>165</v>
      </c>
      <c r="P181">
        <v>1.1639404158829305E-2</v>
      </c>
      <c r="Q181" t="s">
        <v>154</v>
      </c>
      <c r="S181" t="s">
        <v>223</v>
      </c>
      <c r="T181" t="s">
        <v>165</v>
      </c>
      <c r="U181">
        <v>7.1264344154035328E-3</v>
      </c>
      <c r="V181" t="s">
        <v>154</v>
      </c>
    </row>
    <row r="182" spans="9:22" x14ac:dyDescent="0.45">
      <c r="I182" t="s">
        <v>170</v>
      </c>
      <c r="J182" t="s">
        <v>264</v>
      </c>
      <c r="K182">
        <v>2.9593278642995983E-3</v>
      </c>
      <c r="L182" t="s">
        <v>154</v>
      </c>
      <c r="N182" t="s">
        <v>199</v>
      </c>
      <c r="O182" t="s">
        <v>264</v>
      </c>
      <c r="P182">
        <v>1.5045988050931458E-3</v>
      </c>
      <c r="Q182" t="s">
        <v>154</v>
      </c>
      <c r="S182" t="s">
        <v>223</v>
      </c>
      <c r="T182" t="s">
        <v>264</v>
      </c>
      <c r="U182">
        <v>9.5262146585246279E-4</v>
      </c>
      <c r="V182" t="s">
        <v>154</v>
      </c>
    </row>
    <row r="183" spans="9:22" x14ac:dyDescent="0.45">
      <c r="I183" t="s">
        <v>170</v>
      </c>
      <c r="J183" t="s">
        <v>265</v>
      </c>
      <c r="K183">
        <v>0</v>
      </c>
      <c r="L183" t="s">
        <v>154</v>
      </c>
      <c r="N183" t="s">
        <v>199</v>
      </c>
      <c r="O183" t="s">
        <v>265</v>
      </c>
      <c r="P183">
        <v>1.2782219621045954E-3</v>
      </c>
      <c r="Q183" t="s">
        <v>154</v>
      </c>
      <c r="S183" t="s">
        <v>223</v>
      </c>
      <c r="T183" t="s">
        <v>265</v>
      </c>
      <c r="U183">
        <v>9.4973304456713603E-4</v>
      </c>
      <c r="V183" t="s">
        <v>154</v>
      </c>
    </row>
    <row r="184" spans="9:22" x14ac:dyDescent="0.45">
      <c r="I184" t="s">
        <v>170</v>
      </c>
      <c r="J184" t="s">
        <v>266</v>
      </c>
      <c r="K184">
        <v>0</v>
      </c>
      <c r="L184" t="s">
        <v>154</v>
      </c>
      <c r="N184" t="s">
        <v>199</v>
      </c>
      <c r="O184" t="s">
        <v>266</v>
      </c>
      <c r="P184">
        <v>6.2040022438938957E-3</v>
      </c>
      <c r="Q184" t="s">
        <v>154</v>
      </c>
      <c r="S184" t="s">
        <v>223</v>
      </c>
      <c r="T184" t="s">
        <v>266</v>
      </c>
      <c r="U184">
        <v>5.8640015219150014E-3</v>
      </c>
      <c r="V184" t="s">
        <v>154</v>
      </c>
    </row>
    <row r="185" spans="9:22" x14ac:dyDescent="0.45">
      <c r="I185" t="s">
        <v>170</v>
      </c>
      <c r="J185" t="s">
        <v>272</v>
      </c>
      <c r="K185">
        <v>0</v>
      </c>
      <c r="L185" t="s">
        <v>154</v>
      </c>
      <c r="N185" t="s">
        <v>199</v>
      </c>
      <c r="O185" t="s">
        <v>272</v>
      </c>
      <c r="P185">
        <v>6.0388173791432374E-2</v>
      </c>
      <c r="Q185" t="s">
        <v>154</v>
      </c>
      <c r="S185" t="s">
        <v>223</v>
      </c>
      <c r="T185" t="s">
        <v>272</v>
      </c>
      <c r="U185">
        <v>5.5542797615710113E-2</v>
      </c>
      <c r="V185" t="s">
        <v>154</v>
      </c>
    </row>
    <row r="186" spans="9:22" x14ac:dyDescent="0.45">
      <c r="I186" t="s">
        <v>170</v>
      </c>
      <c r="J186" t="s">
        <v>273</v>
      </c>
      <c r="K186">
        <v>1.7856653795537868E-2</v>
      </c>
      <c r="L186" t="s">
        <v>154</v>
      </c>
      <c r="N186" t="s">
        <v>199</v>
      </c>
      <c r="O186" t="s">
        <v>273</v>
      </c>
      <c r="P186">
        <v>1.552045987812456E-2</v>
      </c>
      <c r="Q186" t="s">
        <v>154</v>
      </c>
      <c r="S186" t="s">
        <v>223</v>
      </c>
      <c r="T186" t="s">
        <v>273</v>
      </c>
      <c r="U186">
        <v>1.6502215733237832E-2</v>
      </c>
      <c r="V186" t="s">
        <v>154</v>
      </c>
    </row>
    <row r="187" spans="9:22" x14ac:dyDescent="0.45">
      <c r="I187" t="s">
        <v>170</v>
      </c>
      <c r="J187" t="s">
        <v>274</v>
      </c>
      <c r="K187">
        <v>0.12038419633159243</v>
      </c>
      <c r="L187" t="s">
        <v>154</v>
      </c>
      <c r="N187" t="s">
        <v>199</v>
      </c>
      <c r="O187" t="s">
        <v>274</v>
      </c>
      <c r="P187">
        <v>6.8599546742760281E-2</v>
      </c>
      <c r="Q187" t="s">
        <v>154</v>
      </c>
      <c r="S187" t="s">
        <v>223</v>
      </c>
      <c r="T187" t="s">
        <v>274</v>
      </c>
      <c r="U187">
        <v>6.0159857743249522E-2</v>
      </c>
      <c r="V187" t="s">
        <v>154</v>
      </c>
    </row>
    <row r="188" spans="9:22" x14ac:dyDescent="0.45">
      <c r="I188" t="s">
        <v>170</v>
      </c>
      <c r="J188" t="s">
        <v>275</v>
      </c>
      <c r="K188">
        <v>6.9336645363999947E-3</v>
      </c>
      <c r="L188" t="s">
        <v>154</v>
      </c>
      <c r="N188" t="s">
        <v>199</v>
      </c>
      <c r="O188" t="s">
        <v>275</v>
      </c>
      <c r="P188">
        <v>7.3404883621311775E-3</v>
      </c>
      <c r="Q188" t="s">
        <v>154</v>
      </c>
      <c r="S188" t="s">
        <v>223</v>
      </c>
      <c r="T188" t="s">
        <v>275</v>
      </c>
      <c r="U188">
        <v>6.9395499630370925E-3</v>
      </c>
      <c r="V188" t="s">
        <v>154</v>
      </c>
    </row>
    <row r="189" spans="9:22" x14ac:dyDescent="0.45">
      <c r="I189" t="s">
        <v>170</v>
      </c>
      <c r="J189" t="s">
        <v>276</v>
      </c>
      <c r="K189">
        <v>0</v>
      </c>
      <c r="L189" t="s">
        <v>154</v>
      </c>
      <c r="N189" t="s">
        <v>199</v>
      </c>
      <c r="O189" t="s">
        <v>276</v>
      </c>
      <c r="P189">
        <v>5.2776973083820886E-3</v>
      </c>
      <c r="Q189" t="s">
        <v>154</v>
      </c>
      <c r="S189" t="s">
        <v>223</v>
      </c>
      <c r="T189" t="s">
        <v>276</v>
      </c>
      <c r="U189">
        <v>6.6157039103562762E-3</v>
      </c>
      <c r="V189" t="s">
        <v>154</v>
      </c>
    </row>
    <row r="190" spans="9:22" x14ac:dyDescent="0.45">
      <c r="I190" t="s">
        <v>170</v>
      </c>
      <c r="J190" t="s">
        <v>277</v>
      </c>
      <c r="K190">
        <v>0</v>
      </c>
      <c r="L190" t="s">
        <v>154</v>
      </c>
      <c r="N190" t="s">
        <v>199</v>
      </c>
      <c r="O190" t="s">
        <v>277</v>
      </c>
      <c r="P190">
        <v>3.3315517787895689E-2</v>
      </c>
      <c r="Q190" t="s">
        <v>154</v>
      </c>
      <c r="S190" t="s">
        <v>223</v>
      </c>
      <c r="T190" t="s">
        <v>277</v>
      </c>
      <c r="U190">
        <v>4.0278613385681096E-2</v>
      </c>
      <c r="V190" t="s">
        <v>154</v>
      </c>
    </row>
    <row r="191" spans="9:22" x14ac:dyDescent="0.45">
      <c r="I191" t="s">
        <v>171</v>
      </c>
      <c r="J191" t="s">
        <v>153</v>
      </c>
      <c r="K191">
        <v>0</v>
      </c>
      <c r="L191" t="s">
        <v>154</v>
      </c>
      <c r="N191" t="s">
        <v>200</v>
      </c>
      <c r="O191" t="s">
        <v>153</v>
      </c>
      <c r="P191">
        <v>0.1929977022459344</v>
      </c>
      <c r="Q191" t="s">
        <v>154</v>
      </c>
      <c r="S191" t="s">
        <v>224</v>
      </c>
      <c r="T191" t="s">
        <v>153</v>
      </c>
      <c r="U191">
        <v>0.1653401925349901</v>
      </c>
      <c r="V191" t="s">
        <v>154</v>
      </c>
    </row>
    <row r="192" spans="9:22" x14ac:dyDescent="0.45">
      <c r="I192" t="s">
        <v>171</v>
      </c>
      <c r="J192" t="s">
        <v>155</v>
      </c>
      <c r="K192">
        <v>6.0017979388181611E-2</v>
      </c>
      <c r="L192" t="s">
        <v>154</v>
      </c>
      <c r="N192" t="s">
        <v>200</v>
      </c>
      <c r="O192" t="s">
        <v>155</v>
      </c>
      <c r="P192">
        <v>5.2340187303836293E-2</v>
      </c>
      <c r="Q192" t="s">
        <v>154</v>
      </c>
      <c r="S192" t="s">
        <v>224</v>
      </c>
      <c r="T192" t="s">
        <v>155</v>
      </c>
      <c r="U192">
        <v>4.5120927404915488E-2</v>
      </c>
      <c r="V192" t="s">
        <v>154</v>
      </c>
    </row>
    <row r="193" spans="9:22" x14ac:dyDescent="0.45">
      <c r="I193" t="s">
        <v>171</v>
      </c>
      <c r="J193" t="s">
        <v>156</v>
      </c>
      <c r="K193">
        <v>0.52071323541250802</v>
      </c>
      <c r="L193" t="s">
        <v>154</v>
      </c>
      <c r="N193" t="s">
        <v>200</v>
      </c>
      <c r="O193" t="s">
        <v>156</v>
      </c>
      <c r="P193">
        <v>0.21142066435640178</v>
      </c>
      <c r="Q193" t="s">
        <v>154</v>
      </c>
      <c r="S193" t="s">
        <v>224</v>
      </c>
      <c r="T193" t="s">
        <v>156</v>
      </c>
      <c r="U193">
        <v>0.19674087871354581</v>
      </c>
      <c r="V193" t="s">
        <v>154</v>
      </c>
    </row>
    <row r="194" spans="9:22" x14ac:dyDescent="0.45">
      <c r="I194" t="s">
        <v>171</v>
      </c>
      <c r="J194" t="s">
        <v>255</v>
      </c>
      <c r="K194">
        <v>3.6959703969593749E-2</v>
      </c>
      <c r="L194" t="s">
        <v>154</v>
      </c>
      <c r="N194" t="s">
        <v>200</v>
      </c>
      <c r="O194" t="s">
        <v>255</v>
      </c>
      <c r="P194">
        <v>2.5159278628548346E-2</v>
      </c>
      <c r="Q194" t="s">
        <v>154</v>
      </c>
      <c r="S194" t="s">
        <v>224</v>
      </c>
      <c r="T194" t="s">
        <v>255</v>
      </c>
      <c r="U194">
        <v>2.2950611282645007E-2</v>
      </c>
      <c r="V194" t="s">
        <v>154</v>
      </c>
    </row>
    <row r="195" spans="9:22" x14ac:dyDescent="0.45">
      <c r="I195" t="s">
        <v>171</v>
      </c>
      <c r="J195" t="s">
        <v>256</v>
      </c>
      <c r="K195">
        <v>2.1072979855610775E-2</v>
      </c>
      <c r="L195" t="s">
        <v>154</v>
      </c>
      <c r="N195" t="s">
        <v>200</v>
      </c>
      <c r="O195" t="s">
        <v>256</v>
      </c>
      <c r="P195">
        <v>2.0286293709896819E-2</v>
      </c>
      <c r="Q195" t="s">
        <v>154</v>
      </c>
      <c r="S195" t="s">
        <v>224</v>
      </c>
      <c r="T195" t="s">
        <v>256</v>
      </c>
      <c r="U195">
        <v>1.8603669034386993E-2</v>
      </c>
      <c r="V195" t="s">
        <v>154</v>
      </c>
    </row>
    <row r="196" spans="9:22" x14ac:dyDescent="0.45">
      <c r="I196" t="s">
        <v>171</v>
      </c>
      <c r="J196" t="s">
        <v>257</v>
      </c>
      <c r="K196">
        <v>0</v>
      </c>
      <c r="L196" t="s">
        <v>154</v>
      </c>
      <c r="N196" t="s">
        <v>200</v>
      </c>
      <c r="O196" t="s">
        <v>257</v>
      </c>
      <c r="P196">
        <v>0.10812783313258144</v>
      </c>
      <c r="Q196" t="s">
        <v>154</v>
      </c>
      <c r="S196" t="s">
        <v>224</v>
      </c>
      <c r="T196" t="s">
        <v>257</v>
      </c>
      <c r="U196">
        <v>0.1009723126195393</v>
      </c>
      <c r="V196" t="s">
        <v>154</v>
      </c>
    </row>
    <row r="197" spans="9:22" x14ac:dyDescent="0.45">
      <c r="I197" t="s">
        <v>171</v>
      </c>
      <c r="J197" t="s">
        <v>157</v>
      </c>
      <c r="K197">
        <v>0</v>
      </c>
      <c r="L197" t="s">
        <v>154</v>
      </c>
      <c r="N197" t="s">
        <v>200</v>
      </c>
      <c r="O197" t="s">
        <v>157</v>
      </c>
      <c r="P197">
        <v>1.3068812202149529E-2</v>
      </c>
      <c r="Q197" t="s">
        <v>154</v>
      </c>
      <c r="S197" t="s">
        <v>224</v>
      </c>
      <c r="T197" t="s">
        <v>157</v>
      </c>
      <c r="U197">
        <v>1.5876747549628506E-2</v>
      </c>
      <c r="V197" t="s">
        <v>154</v>
      </c>
    </row>
    <row r="198" spans="9:22" x14ac:dyDescent="0.45">
      <c r="I198" t="s">
        <v>171</v>
      </c>
      <c r="J198" t="s">
        <v>158</v>
      </c>
      <c r="K198">
        <v>7.1343699082493505E-3</v>
      </c>
      <c r="L198" t="s">
        <v>154</v>
      </c>
      <c r="N198" t="s">
        <v>200</v>
      </c>
      <c r="O198" t="s">
        <v>158</v>
      </c>
      <c r="P198">
        <v>2.7605202914288999E-3</v>
      </c>
      <c r="Q198" t="s">
        <v>154</v>
      </c>
      <c r="S198" t="s">
        <v>224</v>
      </c>
      <c r="T198" t="s">
        <v>158</v>
      </c>
      <c r="U198">
        <v>3.9940454817748898E-3</v>
      </c>
      <c r="V198" t="s">
        <v>154</v>
      </c>
    </row>
    <row r="199" spans="9:22" x14ac:dyDescent="0.45">
      <c r="I199" t="s">
        <v>171</v>
      </c>
      <c r="J199" t="s">
        <v>159</v>
      </c>
      <c r="K199">
        <v>5.5008111324009158E-2</v>
      </c>
      <c r="L199" t="s">
        <v>154</v>
      </c>
      <c r="N199" t="s">
        <v>200</v>
      </c>
      <c r="O199" t="s">
        <v>159</v>
      </c>
      <c r="P199">
        <v>1.3360965419531421E-2</v>
      </c>
      <c r="Q199" t="s">
        <v>154</v>
      </c>
      <c r="S199" t="s">
        <v>224</v>
      </c>
      <c r="T199" t="s">
        <v>159</v>
      </c>
      <c r="U199">
        <v>1.7878263461822915E-2</v>
      </c>
      <c r="V199" t="s">
        <v>154</v>
      </c>
    </row>
    <row r="200" spans="9:22" x14ac:dyDescent="0.45">
      <c r="I200" t="s">
        <v>171</v>
      </c>
      <c r="J200" t="s">
        <v>258</v>
      </c>
      <c r="K200">
        <v>3.8269453066281994E-3</v>
      </c>
      <c r="L200" t="s">
        <v>154</v>
      </c>
      <c r="N200" t="s">
        <v>200</v>
      </c>
      <c r="O200" t="s">
        <v>258</v>
      </c>
      <c r="P200">
        <v>1.672041874854198E-3</v>
      </c>
      <c r="Q200" t="s">
        <v>154</v>
      </c>
      <c r="S200" t="s">
        <v>224</v>
      </c>
      <c r="T200" t="s">
        <v>258</v>
      </c>
      <c r="U200">
        <v>1.9710896349895489E-3</v>
      </c>
      <c r="V200" t="s">
        <v>154</v>
      </c>
    </row>
    <row r="201" spans="9:22" x14ac:dyDescent="0.45">
      <c r="I201" t="s">
        <v>171</v>
      </c>
      <c r="J201" t="s">
        <v>259</v>
      </c>
      <c r="K201">
        <v>2.0566467214092918E-3</v>
      </c>
      <c r="L201" t="s">
        <v>154</v>
      </c>
      <c r="N201" t="s">
        <v>200</v>
      </c>
      <c r="O201" t="s">
        <v>259</v>
      </c>
      <c r="P201">
        <v>1.2440657850535935E-3</v>
      </c>
      <c r="Q201" t="s">
        <v>154</v>
      </c>
      <c r="S201" t="s">
        <v>224</v>
      </c>
      <c r="T201" t="s">
        <v>259</v>
      </c>
      <c r="U201">
        <v>1.6362127768349793E-3</v>
      </c>
      <c r="V201" t="s">
        <v>154</v>
      </c>
    </row>
    <row r="202" spans="9:22" x14ac:dyDescent="0.45">
      <c r="I202" t="s">
        <v>171</v>
      </c>
      <c r="J202" t="s">
        <v>260</v>
      </c>
      <c r="K202">
        <v>0</v>
      </c>
      <c r="L202" t="s">
        <v>154</v>
      </c>
      <c r="N202" t="s">
        <v>200</v>
      </c>
      <c r="O202" t="s">
        <v>260</v>
      </c>
      <c r="P202">
        <v>6.4439150829917417E-3</v>
      </c>
      <c r="Q202" t="s">
        <v>154</v>
      </c>
      <c r="S202" t="s">
        <v>224</v>
      </c>
      <c r="T202" t="s">
        <v>260</v>
      </c>
      <c r="U202">
        <v>8.7133974435396559E-3</v>
      </c>
      <c r="V202" t="s">
        <v>154</v>
      </c>
    </row>
    <row r="203" spans="9:22" x14ac:dyDescent="0.45">
      <c r="I203" t="s">
        <v>171</v>
      </c>
      <c r="J203" t="s">
        <v>160</v>
      </c>
      <c r="K203">
        <v>0</v>
      </c>
      <c r="L203" t="s">
        <v>154</v>
      </c>
      <c r="N203" t="s">
        <v>200</v>
      </c>
      <c r="O203" t="s">
        <v>160</v>
      </c>
      <c r="P203">
        <v>4.4044207839657422E-2</v>
      </c>
      <c r="Q203" t="s">
        <v>154</v>
      </c>
      <c r="S203" t="s">
        <v>224</v>
      </c>
      <c r="T203" t="s">
        <v>160</v>
      </c>
      <c r="U203">
        <v>4.8821167430950697E-2</v>
      </c>
      <c r="V203" t="s">
        <v>154</v>
      </c>
    </row>
    <row r="204" spans="9:22" x14ac:dyDescent="0.45">
      <c r="I204" t="s">
        <v>171</v>
      </c>
      <c r="J204" t="s">
        <v>161</v>
      </c>
      <c r="K204">
        <v>7.5892350851618608E-3</v>
      </c>
      <c r="L204" t="s">
        <v>154</v>
      </c>
      <c r="N204" t="s">
        <v>200</v>
      </c>
      <c r="O204" t="s">
        <v>161</v>
      </c>
      <c r="P204">
        <v>1.1445422055656039E-2</v>
      </c>
      <c r="Q204" t="s">
        <v>154</v>
      </c>
      <c r="S204" t="s">
        <v>224</v>
      </c>
      <c r="T204" t="s">
        <v>161</v>
      </c>
      <c r="U204">
        <v>1.3184442831833088E-2</v>
      </c>
      <c r="V204" t="s">
        <v>154</v>
      </c>
    </row>
    <row r="205" spans="9:22" x14ac:dyDescent="0.45">
      <c r="I205" t="s">
        <v>171</v>
      </c>
      <c r="J205" t="s">
        <v>162</v>
      </c>
      <c r="K205">
        <v>5.997618477907956E-2</v>
      </c>
      <c r="L205" t="s">
        <v>154</v>
      </c>
      <c r="N205" t="s">
        <v>200</v>
      </c>
      <c r="O205" t="s">
        <v>162</v>
      </c>
      <c r="P205">
        <v>5.3861585351786236E-2</v>
      </c>
      <c r="Q205" t="s">
        <v>154</v>
      </c>
      <c r="S205" t="s">
        <v>224</v>
      </c>
      <c r="T205" t="s">
        <v>162</v>
      </c>
      <c r="U205">
        <v>6.0832816056256497E-2</v>
      </c>
      <c r="V205" t="s">
        <v>154</v>
      </c>
    </row>
    <row r="206" spans="9:22" x14ac:dyDescent="0.45">
      <c r="I206" t="s">
        <v>171</v>
      </c>
      <c r="J206" t="s">
        <v>261</v>
      </c>
      <c r="K206">
        <v>3.5146879923377626E-3</v>
      </c>
      <c r="L206" t="s">
        <v>154</v>
      </c>
      <c r="N206" t="s">
        <v>200</v>
      </c>
      <c r="O206" t="s">
        <v>261</v>
      </c>
      <c r="P206">
        <v>6.9439105005104059E-3</v>
      </c>
      <c r="Q206" t="s">
        <v>154</v>
      </c>
      <c r="S206" t="s">
        <v>224</v>
      </c>
      <c r="T206" t="s">
        <v>261</v>
      </c>
      <c r="U206">
        <v>7.7258052951922063E-3</v>
      </c>
      <c r="V206" t="s">
        <v>154</v>
      </c>
    </row>
    <row r="207" spans="9:22" x14ac:dyDescent="0.45">
      <c r="I207" t="s">
        <v>171</v>
      </c>
      <c r="J207" t="s">
        <v>262</v>
      </c>
      <c r="K207">
        <v>1.8044031077181894E-3</v>
      </c>
      <c r="L207" t="s">
        <v>154</v>
      </c>
      <c r="N207" t="s">
        <v>200</v>
      </c>
      <c r="O207" t="s">
        <v>262</v>
      </c>
      <c r="P207">
        <v>5.9972120909288686E-3</v>
      </c>
      <c r="Q207" t="s">
        <v>154</v>
      </c>
      <c r="S207" t="s">
        <v>224</v>
      </c>
      <c r="T207" t="s">
        <v>262</v>
      </c>
      <c r="U207">
        <v>6.9647032054372723E-3</v>
      </c>
      <c r="V207" t="s">
        <v>154</v>
      </c>
    </row>
    <row r="208" spans="9:22" x14ac:dyDescent="0.45">
      <c r="I208" t="s">
        <v>171</v>
      </c>
      <c r="J208" t="s">
        <v>263</v>
      </c>
      <c r="K208">
        <v>0</v>
      </c>
      <c r="L208" t="s">
        <v>154</v>
      </c>
      <c r="N208" t="s">
        <v>200</v>
      </c>
      <c r="O208" t="s">
        <v>263</v>
      </c>
      <c r="P208">
        <v>3.082955484576665E-2</v>
      </c>
      <c r="Q208" t="s">
        <v>154</v>
      </c>
      <c r="S208" t="s">
        <v>224</v>
      </c>
      <c r="T208" t="s">
        <v>263</v>
      </c>
      <c r="U208">
        <v>3.4303658204374352E-2</v>
      </c>
      <c r="V208" t="s">
        <v>154</v>
      </c>
    </row>
    <row r="209" spans="9:22" x14ac:dyDescent="0.45">
      <c r="I209" t="s">
        <v>171</v>
      </c>
      <c r="J209" t="s">
        <v>163</v>
      </c>
      <c r="K209">
        <v>0</v>
      </c>
      <c r="L209" t="s">
        <v>154</v>
      </c>
      <c r="N209" t="s">
        <v>200</v>
      </c>
      <c r="O209" t="s">
        <v>163</v>
      </c>
      <c r="P209">
        <v>8.665393781867356E-3</v>
      </c>
      <c r="Q209" t="s">
        <v>154</v>
      </c>
      <c r="S209" t="s">
        <v>224</v>
      </c>
      <c r="T209" t="s">
        <v>163</v>
      </c>
      <c r="U209">
        <v>1.3579824510686933E-2</v>
      </c>
      <c r="V209" t="s">
        <v>154</v>
      </c>
    </row>
    <row r="210" spans="9:22" x14ac:dyDescent="0.45">
      <c r="I210" t="s">
        <v>171</v>
      </c>
      <c r="J210" t="s">
        <v>164</v>
      </c>
      <c r="K210">
        <v>7.4883796741876431E-3</v>
      </c>
      <c r="L210" t="s">
        <v>154</v>
      </c>
      <c r="N210" t="s">
        <v>200</v>
      </c>
      <c r="O210" t="s">
        <v>164</v>
      </c>
      <c r="P210">
        <v>3.5400729407385799E-3</v>
      </c>
      <c r="Q210" t="s">
        <v>154</v>
      </c>
      <c r="S210" t="s">
        <v>224</v>
      </c>
      <c r="T210" t="s">
        <v>164</v>
      </c>
      <c r="U210">
        <v>3.9676322899383221E-3</v>
      </c>
      <c r="V210" t="s">
        <v>154</v>
      </c>
    </row>
    <row r="211" spans="9:22" x14ac:dyDescent="0.45">
      <c r="I211" t="s">
        <v>171</v>
      </c>
      <c r="J211" t="s">
        <v>165</v>
      </c>
      <c r="K211">
        <v>5.4710142456028545E-2</v>
      </c>
      <c r="L211" t="s">
        <v>154</v>
      </c>
      <c r="N211" t="s">
        <v>200</v>
      </c>
      <c r="O211" t="s">
        <v>165</v>
      </c>
      <c r="P211">
        <v>1.3532675733183388E-2</v>
      </c>
      <c r="Q211" t="s">
        <v>154</v>
      </c>
      <c r="S211" t="s">
        <v>224</v>
      </c>
      <c r="T211" t="s">
        <v>165</v>
      </c>
      <c r="U211">
        <v>1.4552837056588755E-2</v>
      </c>
      <c r="V211" t="s">
        <v>154</v>
      </c>
    </row>
    <row r="212" spans="9:22" x14ac:dyDescent="0.45">
      <c r="I212" t="s">
        <v>171</v>
      </c>
      <c r="J212" t="s">
        <v>264</v>
      </c>
      <c r="K212">
        <v>3.3537258896668204E-3</v>
      </c>
      <c r="L212" t="s">
        <v>154</v>
      </c>
      <c r="N212" t="s">
        <v>200</v>
      </c>
      <c r="O212" t="s">
        <v>264</v>
      </c>
      <c r="P212">
        <v>1.1874473256666186E-3</v>
      </c>
      <c r="Q212" t="s">
        <v>154</v>
      </c>
      <c r="S212" t="s">
        <v>224</v>
      </c>
      <c r="T212" t="s">
        <v>264</v>
      </c>
      <c r="U212">
        <v>1.6317570388623935E-3</v>
      </c>
      <c r="V212" t="s">
        <v>154</v>
      </c>
    </row>
    <row r="213" spans="9:22" x14ac:dyDescent="0.45">
      <c r="I213" t="s">
        <v>171</v>
      </c>
      <c r="J213" t="s">
        <v>265</v>
      </c>
      <c r="K213">
        <v>4.096984733620142E-4</v>
      </c>
      <c r="L213" t="s">
        <v>154</v>
      </c>
      <c r="N213" t="s">
        <v>200</v>
      </c>
      <c r="O213" t="s">
        <v>265</v>
      </c>
      <c r="P213">
        <v>9.6716892709432234E-4</v>
      </c>
      <c r="Q213" t="s">
        <v>154</v>
      </c>
      <c r="S213" t="s">
        <v>224</v>
      </c>
      <c r="T213" t="s">
        <v>265</v>
      </c>
      <c r="U213">
        <v>1.3774833007782611E-3</v>
      </c>
      <c r="V213" t="s">
        <v>154</v>
      </c>
    </row>
    <row r="214" spans="9:22" x14ac:dyDescent="0.45">
      <c r="I214" t="s">
        <v>171</v>
      </c>
      <c r="J214" t="s">
        <v>266</v>
      </c>
      <c r="K214">
        <v>0</v>
      </c>
      <c r="L214" t="s">
        <v>154</v>
      </c>
      <c r="N214" t="s">
        <v>200</v>
      </c>
      <c r="O214" t="s">
        <v>266</v>
      </c>
      <c r="P214">
        <v>4.428759193522429E-3</v>
      </c>
      <c r="Q214" t="s">
        <v>154</v>
      </c>
      <c r="S214" t="s">
        <v>224</v>
      </c>
      <c r="T214" t="s">
        <v>266</v>
      </c>
      <c r="U214">
        <v>6.1437608237475683E-3</v>
      </c>
      <c r="V214" t="s">
        <v>154</v>
      </c>
    </row>
    <row r="215" spans="9:22" x14ac:dyDescent="0.45">
      <c r="I215" t="s">
        <v>171</v>
      </c>
      <c r="J215" t="s">
        <v>272</v>
      </c>
      <c r="K215">
        <v>0</v>
      </c>
      <c r="L215" t="s">
        <v>154</v>
      </c>
      <c r="N215" t="s">
        <v>200</v>
      </c>
      <c r="O215" t="s">
        <v>272</v>
      </c>
      <c r="P215">
        <v>5.3282438148006192E-2</v>
      </c>
      <c r="Q215" t="s">
        <v>154</v>
      </c>
      <c r="S215" t="s">
        <v>224</v>
      </c>
      <c r="T215" t="s">
        <v>272</v>
      </c>
      <c r="U215">
        <v>5.7064514920369278E-2</v>
      </c>
      <c r="V215" t="s">
        <v>154</v>
      </c>
    </row>
    <row r="216" spans="9:22" x14ac:dyDescent="0.45">
      <c r="I216" t="s">
        <v>171</v>
      </c>
      <c r="J216" t="s">
        <v>273</v>
      </c>
      <c r="K216">
        <v>1.7080182676784159E-2</v>
      </c>
      <c r="L216" t="s">
        <v>154</v>
      </c>
      <c r="N216" t="s">
        <v>200</v>
      </c>
      <c r="O216" t="s">
        <v>273</v>
      </c>
      <c r="P216">
        <v>1.4594843542265531E-2</v>
      </c>
      <c r="Q216" t="s">
        <v>154</v>
      </c>
      <c r="S216" t="s">
        <v>224</v>
      </c>
      <c r="T216" t="s">
        <v>273</v>
      </c>
      <c r="U216">
        <v>1.5732613721605282E-2</v>
      </c>
      <c r="V216" t="s">
        <v>154</v>
      </c>
    </row>
    <row r="217" spans="9:22" x14ac:dyDescent="0.45">
      <c r="I217" t="s">
        <v>171</v>
      </c>
      <c r="J217" t="s">
        <v>274</v>
      </c>
      <c r="K217">
        <v>0.12553405344338761</v>
      </c>
      <c r="L217" t="s">
        <v>154</v>
      </c>
      <c r="N217" t="s">
        <v>200</v>
      </c>
      <c r="O217" t="s">
        <v>274</v>
      </c>
      <c r="P217">
        <v>5.793939629802957E-2</v>
      </c>
      <c r="Q217" t="s">
        <v>154</v>
      </c>
      <c r="S217" t="s">
        <v>224</v>
      </c>
      <c r="T217" t="s">
        <v>274</v>
      </c>
      <c r="U217">
        <v>6.558604159993478E-2</v>
      </c>
      <c r="V217" t="s">
        <v>154</v>
      </c>
    </row>
    <row r="218" spans="9:22" x14ac:dyDescent="0.45">
      <c r="I218" t="s">
        <v>171</v>
      </c>
      <c r="J218" t="s">
        <v>275</v>
      </c>
      <c r="K218">
        <v>9.0674230877991271E-3</v>
      </c>
      <c r="L218" t="s">
        <v>154</v>
      </c>
      <c r="N218" t="s">
        <v>200</v>
      </c>
      <c r="O218" t="s">
        <v>275</v>
      </c>
      <c r="P218">
        <v>6.7359973350559705E-3</v>
      </c>
      <c r="Q218" t="s">
        <v>154</v>
      </c>
      <c r="S218" t="s">
        <v>224</v>
      </c>
      <c r="T218" t="s">
        <v>275</v>
      </c>
      <c r="U218">
        <v>6.8007880227713329E-3</v>
      </c>
      <c r="V218" t="s">
        <v>154</v>
      </c>
    </row>
    <row r="219" spans="9:22" x14ac:dyDescent="0.45">
      <c r="I219" t="s">
        <v>171</v>
      </c>
      <c r="J219" t="s">
        <v>276</v>
      </c>
      <c r="K219">
        <v>2.6819114482975301E-3</v>
      </c>
      <c r="L219" t="s">
        <v>154</v>
      </c>
      <c r="N219" t="s">
        <v>200</v>
      </c>
      <c r="O219" t="s">
        <v>276</v>
      </c>
      <c r="P219">
        <v>4.871250617207154E-3</v>
      </c>
      <c r="Q219" t="s">
        <v>154</v>
      </c>
      <c r="S219" t="s">
        <v>224</v>
      </c>
      <c r="T219" t="s">
        <v>276</v>
      </c>
      <c r="U219">
        <v>5.3774702920186285E-3</v>
      </c>
      <c r="V219" t="s">
        <v>154</v>
      </c>
    </row>
    <row r="220" spans="9:22" x14ac:dyDescent="0.45">
      <c r="I220" t="s">
        <v>171</v>
      </c>
      <c r="J220" t="s">
        <v>277</v>
      </c>
      <c r="K220">
        <v>0</v>
      </c>
      <c r="L220" t="s">
        <v>154</v>
      </c>
      <c r="N220" t="s">
        <v>200</v>
      </c>
      <c r="O220" t="s">
        <v>277</v>
      </c>
      <c r="P220">
        <v>2.8250383439844557E-2</v>
      </c>
      <c r="Q220" t="s">
        <v>154</v>
      </c>
      <c r="S220" t="s">
        <v>224</v>
      </c>
      <c r="T220" t="s">
        <v>277</v>
      </c>
      <c r="U220">
        <v>3.6554335460040027E-2</v>
      </c>
      <c r="V220" t="s">
        <v>154</v>
      </c>
    </row>
    <row r="221" spans="9:22" x14ac:dyDescent="0.45">
      <c r="I221" t="s">
        <v>172</v>
      </c>
      <c r="J221" t="s">
        <v>153</v>
      </c>
      <c r="K221">
        <v>0</v>
      </c>
      <c r="L221" t="s">
        <v>154</v>
      </c>
      <c r="N221" t="s">
        <v>201</v>
      </c>
      <c r="O221" t="s">
        <v>153</v>
      </c>
      <c r="P221">
        <v>0.17821345751775769</v>
      </c>
      <c r="Q221" t="s">
        <v>154</v>
      </c>
      <c r="S221" t="s">
        <v>225</v>
      </c>
      <c r="T221" t="s">
        <v>153</v>
      </c>
      <c r="U221">
        <v>0.18932936862385111</v>
      </c>
      <c r="V221" t="s">
        <v>154</v>
      </c>
    </row>
    <row r="222" spans="9:22" x14ac:dyDescent="0.45">
      <c r="I222" t="s">
        <v>172</v>
      </c>
      <c r="J222" t="s">
        <v>155</v>
      </c>
      <c r="K222">
        <v>5.1218952791158748E-2</v>
      </c>
      <c r="L222" t="s">
        <v>154</v>
      </c>
      <c r="N222" t="s">
        <v>201</v>
      </c>
      <c r="O222" t="s">
        <v>155</v>
      </c>
      <c r="P222">
        <v>4.419009361274346E-2</v>
      </c>
      <c r="Q222" t="s">
        <v>154</v>
      </c>
      <c r="S222" t="s">
        <v>225</v>
      </c>
      <c r="T222" t="s">
        <v>155</v>
      </c>
      <c r="U222">
        <v>5.3504553144629957E-2</v>
      </c>
      <c r="V222" t="s">
        <v>154</v>
      </c>
    </row>
    <row r="223" spans="9:22" x14ac:dyDescent="0.45">
      <c r="I223" t="s">
        <v>172</v>
      </c>
      <c r="J223" t="s">
        <v>156</v>
      </c>
      <c r="K223">
        <v>0.52633916788356327</v>
      </c>
      <c r="L223" t="s">
        <v>154</v>
      </c>
      <c r="N223" t="s">
        <v>201</v>
      </c>
      <c r="O223" t="s">
        <v>156</v>
      </c>
      <c r="P223">
        <v>0.20102569707247339</v>
      </c>
      <c r="Q223" t="s">
        <v>154</v>
      </c>
      <c r="S223" t="s">
        <v>225</v>
      </c>
      <c r="T223" t="s">
        <v>156</v>
      </c>
      <c r="U223">
        <v>0.20936681900476048</v>
      </c>
      <c r="V223" t="s">
        <v>154</v>
      </c>
    </row>
    <row r="224" spans="9:22" x14ac:dyDescent="0.45">
      <c r="I224" t="s">
        <v>172</v>
      </c>
      <c r="J224" t="s">
        <v>255</v>
      </c>
      <c r="K224">
        <v>3.9172592008986769E-2</v>
      </c>
      <c r="L224" t="s">
        <v>154</v>
      </c>
      <c r="N224" t="s">
        <v>201</v>
      </c>
      <c r="O224" t="s">
        <v>255</v>
      </c>
      <c r="P224">
        <v>2.9265184774678158E-2</v>
      </c>
      <c r="Q224" t="s">
        <v>154</v>
      </c>
      <c r="S224" t="s">
        <v>225</v>
      </c>
      <c r="T224" t="s">
        <v>255</v>
      </c>
      <c r="U224">
        <v>2.4693540618054437E-2</v>
      </c>
      <c r="V224" t="s">
        <v>154</v>
      </c>
    </row>
    <row r="225" spans="9:22" x14ac:dyDescent="0.45">
      <c r="I225" t="s">
        <v>172</v>
      </c>
      <c r="J225" t="s">
        <v>256</v>
      </c>
      <c r="K225">
        <v>2.3658067770789871E-2</v>
      </c>
      <c r="L225" t="s">
        <v>154</v>
      </c>
      <c r="N225" t="s">
        <v>201</v>
      </c>
      <c r="O225" t="s">
        <v>256</v>
      </c>
      <c r="P225">
        <v>2.7616878567071099E-2</v>
      </c>
      <c r="Q225" t="s">
        <v>154</v>
      </c>
      <c r="S225" t="s">
        <v>225</v>
      </c>
      <c r="T225" t="s">
        <v>256</v>
      </c>
      <c r="U225">
        <v>1.9726993805395485E-2</v>
      </c>
      <c r="V225" t="s">
        <v>154</v>
      </c>
    </row>
    <row r="226" spans="9:22" x14ac:dyDescent="0.45">
      <c r="I226" t="s">
        <v>172</v>
      </c>
      <c r="J226" t="s">
        <v>257</v>
      </c>
      <c r="K226">
        <v>0</v>
      </c>
      <c r="L226" t="s">
        <v>154</v>
      </c>
      <c r="N226" t="s">
        <v>201</v>
      </c>
      <c r="O226" t="s">
        <v>257</v>
      </c>
      <c r="P226">
        <v>0.11871150264608565</v>
      </c>
      <c r="Q226" t="s">
        <v>154</v>
      </c>
      <c r="S226" t="s">
        <v>225</v>
      </c>
      <c r="T226" t="s">
        <v>257</v>
      </c>
      <c r="U226">
        <v>0.10531628576491242</v>
      </c>
      <c r="V226" t="s">
        <v>154</v>
      </c>
    </row>
    <row r="227" spans="9:22" x14ac:dyDescent="0.45">
      <c r="I227" t="s">
        <v>172</v>
      </c>
      <c r="J227" t="s">
        <v>157</v>
      </c>
      <c r="K227">
        <v>0</v>
      </c>
      <c r="L227" t="s">
        <v>154</v>
      </c>
      <c r="N227" t="s">
        <v>201</v>
      </c>
      <c r="O227" t="s">
        <v>157</v>
      </c>
      <c r="P227">
        <v>1.1416408446449136E-2</v>
      </c>
      <c r="Q227" t="s">
        <v>154</v>
      </c>
      <c r="S227" t="s">
        <v>225</v>
      </c>
      <c r="T227" t="s">
        <v>157</v>
      </c>
      <c r="U227">
        <v>1.2559758973904133E-2</v>
      </c>
      <c r="V227" t="s">
        <v>154</v>
      </c>
    </row>
    <row r="228" spans="9:22" x14ac:dyDescent="0.45">
      <c r="I228" t="s">
        <v>172</v>
      </c>
      <c r="J228" t="s">
        <v>158</v>
      </c>
      <c r="K228">
        <v>6.0162695260374544E-3</v>
      </c>
      <c r="L228" t="s">
        <v>154</v>
      </c>
      <c r="N228" t="s">
        <v>201</v>
      </c>
      <c r="O228" t="s">
        <v>158</v>
      </c>
      <c r="P228">
        <v>2.784713963424498E-3</v>
      </c>
      <c r="Q228" t="s">
        <v>154</v>
      </c>
      <c r="S228" t="s">
        <v>225</v>
      </c>
      <c r="T228" t="s">
        <v>158</v>
      </c>
      <c r="U228">
        <v>2.6765536218797338E-3</v>
      </c>
      <c r="V228" t="s">
        <v>154</v>
      </c>
    </row>
    <row r="229" spans="9:22" x14ac:dyDescent="0.45">
      <c r="I229" t="s">
        <v>172</v>
      </c>
      <c r="J229" t="s">
        <v>159</v>
      </c>
      <c r="K229">
        <v>5.7166177006696198E-2</v>
      </c>
      <c r="L229" t="s">
        <v>154</v>
      </c>
      <c r="N229" t="s">
        <v>201</v>
      </c>
      <c r="O229" t="s">
        <v>159</v>
      </c>
      <c r="P229">
        <v>1.659778067666156E-2</v>
      </c>
      <c r="Q229" t="s">
        <v>154</v>
      </c>
      <c r="S229" t="s">
        <v>225</v>
      </c>
      <c r="T229" t="s">
        <v>159</v>
      </c>
      <c r="U229">
        <v>1.2449776794011729E-2</v>
      </c>
      <c r="V229" t="s">
        <v>154</v>
      </c>
    </row>
    <row r="230" spans="9:22" x14ac:dyDescent="0.45">
      <c r="I230" t="s">
        <v>172</v>
      </c>
      <c r="J230" t="s">
        <v>258</v>
      </c>
      <c r="K230">
        <v>4.2093008194308635E-3</v>
      </c>
      <c r="L230" t="s">
        <v>154</v>
      </c>
      <c r="N230" t="s">
        <v>201</v>
      </c>
      <c r="O230" t="s">
        <v>258</v>
      </c>
      <c r="P230">
        <v>2.1733378882505838E-3</v>
      </c>
      <c r="Q230" t="s">
        <v>154</v>
      </c>
      <c r="S230" t="s">
        <v>225</v>
      </c>
      <c r="T230" t="s">
        <v>258</v>
      </c>
      <c r="U230">
        <v>1.4499762309694488E-3</v>
      </c>
      <c r="V230" t="s">
        <v>154</v>
      </c>
    </row>
    <row r="231" spans="9:22" x14ac:dyDescent="0.45">
      <c r="I231" t="s">
        <v>172</v>
      </c>
      <c r="J231" t="s">
        <v>259</v>
      </c>
      <c r="K231">
        <v>2.6516206750848339E-3</v>
      </c>
      <c r="L231" t="s">
        <v>154</v>
      </c>
      <c r="N231" t="s">
        <v>201</v>
      </c>
      <c r="O231" t="s">
        <v>259</v>
      </c>
      <c r="P231">
        <v>1.4792106602972577E-3</v>
      </c>
      <c r="Q231" t="s">
        <v>154</v>
      </c>
      <c r="S231" t="s">
        <v>225</v>
      </c>
      <c r="T231" t="s">
        <v>259</v>
      </c>
      <c r="U231">
        <v>1.1168583289218779E-3</v>
      </c>
      <c r="V231" t="s">
        <v>154</v>
      </c>
    </row>
    <row r="232" spans="9:22" x14ac:dyDescent="0.45">
      <c r="I232" t="s">
        <v>172</v>
      </c>
      <c r="J232" t="s">
        <v>260</v>
      </c>
      <c r="K232">
        <v>0</v>
      </c>
      <c r="L232" t="s">
        <v>154</v>
      </c>
      <c r="N232" t="s">
        <v>201</v>
      </c>
      <c r="O232" t="s">
        <v>260</v>
      </c>
      <c r="P232">
        <v>7.9165133986333382E-3</v>
      </c>
      <c r="Q232" t="s">
        <v>154</v>
      </c>
      <c r="S232" t="s">
        <v>225</v>
      </c>
      <c r="T232" t="s">
        <v>260</v>
      </c>
      <c r="U232">
        <v>6.0674083024365505E-3</v>
      </c>
      <c r="V232" t="s">
        <v>154</v>
      </c>
    </row>
    <row r="233" spans="9:22" x14ac:dyDescent="0.45">
      <c r="I233" t="s">
        <v>172</v>
      </c>
      <c r="J233" t="s">
        <v>160</v>
      </c>
      <c r="K233">
        <v>0</v>
      </c>
      <c r="L233" t="s">
        <v>154</v>
      </c>
      <c r="N233" t="s">
        <v>201</v>
      </c>
      <c r="O233" t="s">
        <v>160</v>
      </c>
      <c r="P233">
        <v>4.2845371159710217E-2</v>
      </c>
      <c r="Q233" t="s">
        <v>154</v>
      </c>
      <c r="S233" t="s">
        <v>225</v>
      </c>
      <c r="T233" t="s">
        <v>160</v>
      </c>
      <c r="U233">
        <v>4.4959133020773007E-2</v>
      </c>
      <c r="V233" t="s">
        <v>154</v>
      </c>
    </row>
    <row r="234" spans="9:22" x14ac:dyDescent="0.45">
      <c r="I234" t="s">
        <v>172</v>
      </c>
      <c r="J234" t="s">
        <v>161</v>
      </c>
      <c r="K234">
        <v>7.1389339993113915E-3</v>
      </c>
      <c r="L234" t="s">
        <v>154</v>
      </c>
      <c r="N234" t="s">
        <v>201</v>
      </c>
      <c r="O234" t="s">
        <v>161</v>
      </c>
      <c r="P234">
        <v>1.0481546105151512E-2</v>
      </c>
      <c r="Q234" t="s">
        <v>154</v>
      </c>
      <c r="S234" t="s">
        <v>225</v>
      </c>
      <c r="T234" t="s">
        <v>161</v>
      </c>
      <c r="U234">
        <v>1.1690085054767336E-2</v>
      </c>
      <c r="V234" t="s">
        <v>154</v>
      </c>
    </row>
    <row r="235" spans="9:22" x14ac:dyDescent="0.45">
      <c r="I235" t="s">
        <v>172</v>
      </c>
      <c r="J235" t="s">
        <v>162</v>
      </c>
      <c r="K235">
        <v>7.1227979296065044E-2</v>
      </c>
      <c r="L235" t="s">
        <v>154</v>
      </c>
      <c r="N235" t="s">
        <v>201</v>
      </c>
      <c r="O235" t="s">
        <v>162</v>
      </c>
      <c r="P235">
        <v>5.012204432536866E-2</v>
      </c>
      <c r="Q235" t="s">
        <v>154</v>
      </c>
      <c r="S235" t="s">
        <v>225</v>
      </c>
      <c r="T235" t="s">
        <v>162</v>
      </c>
      <c r="U235">
        <v>5.5976885031204522E-2</v>
      </c>
      <c r="V235" t="s">
        <v>154</v>
      </c>
    </row>
    <row r="236" spans="9:22" x14ac:dyDescent="0.45">
      <c r="I236" t="s">
        <v>172</v>
      </c>
      <c r="J236" t="s">
        <v>261</v>
      </c>
      <c r="K236">
        <v>3.8402051115140356E-3</v>
      </c>
      <c r="L236" t="s">
        <v>154</v>
      </c>
      <c r="N236" t="s">
        <v>201</v>
      </c>
      <c r="O236" t="s">
        <v>261</v>
      </c>
      <c r="P236">
        <v>6.4523524259921684E-3</v>
      </c>
      <c r="Q236" t="s">
        <v>154</v>
      </c>
      <c r="S236" t="s">
        <v>225</v>
      </c>
      <c r="T236" t="s">
        <v>261</v>
      </c>
      <c r="U236">
        <v>7.2524366404937346E-3</v>
      </c>
      <c r="V236" t="s">
        <v>154</v>
      </c>
    </row>
    <row r="237" spans="9:22" x14ac:dyDescent="0.45">
      <c r="I237" t="s">
        <v>172</v>
      </c>
      <c r="J237" t="s">
        <v>262</v>
      </c>
      <c r="K237">
        <v>1.9289741181683184E-3</v>
      </c>
      <c r="L237" t="s">
        <v>154</v>
      </c>
      <c r="N237" t="s">
        <v>201</v>
      </c>
      <c r="O237" t="s">
        <v>262</v>
      </c>
      <c r="P237">
        <v>5.8175592663245934E-3</v>
      </c>
      <c r="Q237" t="s">
        <v>154</v>
      </c>
      <c r="S237" t="s">
        <v>225</v>
      </c>
      <c r="T237" t="s">
        <v>262</v>
      </c>
      <c r="U237">
        <v>6.4146399606085178E-3</v>
      </c>
      <c r="V237" t="s">
        <v>154</v>
      </c>
    </row>
    <row r="238" spans="9:22" x14ac:dyDescent="0.45">
      <c r="I238" t="s">
        <v>172</v>
      </c>
      <c r="J238" t="s">
        <v>263</v>
      </c>
      <c r="K238">
        <v>0</v>
      </c>
      <c r="L238" t="s">
        <v>154</v>
      </c>
      <c r="N238" t="s">
        <v>201</v>
      </c>
      <c r="O238" t="s">
        <v>263</v>
      </c>
      <c r="P238">
        <v>3.0607528801070118E-2</v>
      </c>
      <c r="Q238" t="s">
        <v>154</v>
      </c>
      <c r="S238" t="s">
        <v>225</v>
      </c>
      <c r="T238" t="s">
        <v>263</v>
      </c>
      <c r="U238">
        <v>3.215735560528836E-2</v>
      </c>
      <c r="V238" t="s">
        <v>154</v>
      </c>
    </row>
    <row r="239" spans="9:22" x14ac:dyDescent="0.45">
      <c r="I239" t="s">
        <v>172</v>
      </c>
      <c r="J239" t="s">
        <v>163</v>
      </c>
      <c r="K239">
        <v>0</v>
      </c>
      <c r="L239" t="s">
        <v>154</v>
      </c>
      <c r="N239" t="s">
        <v>201</v>
      </c>
      <c r="O239" t="s">
        <v>163</v>
      </c>
      <c r="P239">
        <v>1.5514021117506851E-2</v>
      </c>
      <c r="Q239" t="s">
        <v>154</v>
      </c>
      <c r="S239" t="s">
        <v>225</v>
      </c>
      <c r="T239" t="s">
        <v>163</v>
      </c>
      <c r="U239">
        <v>8.0073547495649062E-3</v>
      </c>
      <c r="V239" t="s">
        <v>154</v>
      </c>
    </row>
    <row r="240" spans="9:22" x14ac:dyDescent="0.45">
      <c r="I240" t="s">
        <v>172</v>
      </c>
      <c r="J240" t="s">
        <v>164</v>
      </c>
      <c r="K240">
        <v>6.9949339020852069E-3</v>
      </c>
      <c r="L240" t="s">
        <v>154</v>
      </c>
      <c r="N240" t="s">
        <v>201</v>
      </c>
      <c r="O240" t="s">
        <v>164</v>
      </c>
      <c r="P240">
        <v>3.1787265473202531E-3</v>
      </c>
      <c r="Q240" t="s">
        <v>154</v>
      </c>
      <c r="S240" t="s">
        <v>225</v>
      </c>
      <c r="T240" t="s">
        <v>164</v>
      </c>
      <c r="U240">
        <v>3.5911253829100137E-3</v>
      </c>
      <c r="V240" t="s">
        <v>154</v>
      </c>
    </row>
    <row r="241" spans="9:22" x14ac:dyDescent="0.45">
      <c r="I241" t="s">
        <v>172</v>
      </c>
      <c r="J241" t="s">
        <v>165</v>
      </c>
      <c r="K241">
        <v>5.5000952009662492E-2</v>
      </c>
      <c r="L241" t="s">
        <v>154</v>
      </c>
      <c r="N241" t="s">
        <v>201</v>
      </c>
      <c r="O241" t="s">
        <v>165</v>
      </c>
      <c r="P241">
        <v>1.8578623148345144E-2</v>
      </c>
      <c r="Q241" t="s">
        <v>154</v>
      </c>
      <c r="S241" t="s">
        <v>225</v>
      </c>
      <c r="T241" t="s">
        <v>165</v>
      </c>
      <c r="U241">
        <v>1.4559779073597378E-2</v>
      </c>
      <c r="V241" t="s">
        <v>154</v>
      </c>
    </row>
    <row r="242" spans="9:22" x14ac:dyDescent="0.45">
      <c r="I242" t="s">
        <v>172</v>
      </c>
      <c r="J242" t="s">
        <v>264</v>
      </c>
      <c r="K242">
        <v>3.1015970681531513E-3</v>
      </c>
      <c r="L242" t="s">
        <v>154</v>
      </c>
      <c r="N242" t="s">
        <v>201</v>
      </c>
      <c r="O242" t="s">
        <v>264</v>
      </c>
      <c r="P242">
        <v>3.6894546498057634E-3</v>
      </c>
      <c r="Q242" t="s">
        <v>154</v>
      </c>
      <c r="S242" t="s">
        <v>225</v>
      </c>
      <c r="T242" t="s">
        <v>264</v>
      </c>
      <c r="U242">
        <v>1.2757957194755966E-3</v>
      </c>
      <c r="V242" t="s">
        <v>154</v>
      </c>
    </row>
    <row r="243" spans="9:22" x14ac:dyDescent="0.45">
      <c r="I243" t="s">
        <v>172</v>
      </c>
      <c r="J243" t="s">
        <v>265</v>
      </c>
      <c r="K243">
        <v>1.5334505950766334E-3</v>
      </c>
      <c r="L243" t="s">
        <v>154</v>
      </c>
      <c r="N243" t="s">
        <v>201</v>
      </c>
      <c r="O243" t="s">
        <v>265</v>
      </c>
      <c r="P243">
        <v>3.6181941574224825E-3</v>
      </c>
      <c r="Q243" t="s">
        <v>154</v>
      </c>
      <c r="S243" t="s">
        <v>225</v>
      </c>
      <c r="T243" t="s">
        <v>265</v>
      </c>
      <c r="U243">
        <v>9.1037719505063859E-4</v>
      </c>
      <c r="V243" t="s">
        <v>154</v>
      </c>
    </row>
    <row r="244" spans="9:22" x14ac:dyDescent="0.45">
      <c r="I244" t="s">
        <v>172</v>
      </c>
      <c r="J244" t="s">
        <v>266</v>
      </c>
      <c r="K244">
        <v>0</v>
      </c>
      <c r="L244" t="s">
        <v>154</v>
      </c>
      <c r="N244" t="s">
        <v>201</v>
      </c>
      <c r="O244" t="s">
        <v>266</v>
      </c>
      <c r="P244">
        <v>1.6808774961649068E-2</v>
      </c>
      <c r="Q244" t="s">
        <v>154</v>
      </c>
      <c r="S244" t="s">
        <v>225</v>
      </c>
      <c r="T244" t="s">
        <v>266</v>
      </c>
      <c r="U244">
        <v>4.2552044912982818E-3</v>
      </c>
      <c r="V244" t="s">
        <v>154</v>
      </c>
    </row>
    <row r="245" spans="9:22" x14ac:dyDescent="0.45">
      <c r="I245" t="s">
        <v>172</v>
      </c>
      <c r="J245" t="s">
        <v>272</v>
      </c>
      <c r="K245">
        <v>0</v>
      </c>
      <c r="L245" t="s">
        <v>154</v>
      </c>
      <c r="N245" t="s">
        <v>201</v>
      </c>
      <c r="O245" t="s">
        <v>272</v>
      </c>
      <c r="P245">
        <v>4.1419753231355182E-2</v>
      </c>
      <c r="Q245" t="s">
        <v>154</v>
      </c>
      <c r="S245" t="s">
        <v>225</v>
      </c>
      <c r="T245" t="s">
        <v>272</v>
      </c>
      <c r="U245">
        <v>5.4127938596647704E-2</v>
      </c>
      <c r="V245" t="s">
        <v>154</v>
      </c>
    </row>
    <row r="246" spans="9:22" x14ac:dyDescent="0.45">
      <c r="I246" t="s">
        <v>172</v>
      </c>
      <c r="J246" t="s">
        <v>273</v>
      </c>
      <c r="K246">
        <v>1.2234299174040656E-2</v>
      </c>
      <c r="L246" t="s">
        <v>154</v>
      </c>
      <c r="N246" t="s">
        <v>201</v>
      </c>
      <c r="O246" t="s">
        <v>273</v>
      </c>
      <c r="P246">
        <v>1.0746892965881959E-2</v>
      </c>
      <c r="Q246" t="s">
        <v>154</v>
      </c>
      <c r="S246" t="s">
        <v>225</v>
      </c>
      <c r="T246" t="s">
        <v>273</v>
      </c>
      <c r="U246">
        <v>1.5353847945845472E-2</v>
      </c>
      <c r="V246" t="s">
        <v>154</v>
      </c>
    </row>
    <row r="247" spans="9:22" x14ac:dyDescent="0.45">
      <c r="I247" t="s">
        <v>172</v>
      </c>
      <c r="J247" t="s">
        <v>274</v>
      </c>
      <c r="K247">
        <v>0.11447208111970344</v>
      </c>
      <c r="L247" t="s">
        <v>154</v>
      </c>
      <c r="N247" t="s">
        <v>201</v>
      </c>
      <c r="O247" t="s">
        <v>274</v>
      </c>
      <c r="P247">
        <v>5.3483354879357417E-2</v>
      </c>
      <c r="Q247" t="s">
        <v>154</v>
      </c>
      <c r="S247" t="s">
        <v>225</v>
      </c>
      <c r="T247" t="s">
        <v>274</v>
      </c>
      <c r="U247">
        <v>6.0746718181445863E-2</v>
      </c>
      <c r="V247" t="s">
        <v>154</v>
      </c>
    </row>
    <row r="248" spans="9:22" x14ac:dyDescent="0.45">
      <c r="I248" t="s">
        <v>172</v>
      </c>
      <c r="J248" t="s">
        <v>275</v>
      </c>
      <c r="K248">
        <v>7.7002017579023436E-3</v>
      </c>
      <c r="L248" t="s">
        <v>154</v>
      </c>
      <c r="N248" t="s">
        <v>201</v>
      </c>
      <c r="O248" t="s">
        <v>275</v>
      </c>
      <c r="P248">
        <v>7.7029276961696168E-3</v>
      </c>
      <c r="Q248" t="s">
        <v>154</v>
      </c>
      <c r="S248" t="s">
        <v>225</v>
      </c>
      <c r="T248" t="s">
        <v>275</v>
      </c>
      <c r="U248">
        <v>7.0562256119354027E-3</v>
      </c>
      <c r="V248" t="s">
        <v>154</v>
      </c>
    </row>
    <row r="249" spans="9:22" x14ac:dyDescent="0.45">
      <c r="I249" t="s">
        <v>172</v>
      </c>
      <c r="J249" t="s">
        <v>276</v>
      </c>
      <c r="K249">
        <v>4.394243366572812E-3</v>
      </c>
      <c r="L249" t="s">
        <v>154</v>
      </c>
      <c r="N249" t="s">
        <v>201</v>
      </c>
      <c r="O249" t="s">
        <v>276</v>
      </c>
      <c r="P249">
        <v>7.3925801203137131E-3</v>
      </c>
      <c r="Q249" t="s">
        <v>154</v>
      </c>
      <c r="S249" t="s">
        <v>225</v>
      </c>
      <c r="T249" t="s">
        <v>276</v>
      </c>
      <c r="U249">
        <v>4.7746812082211498E-3</v>
      </c>
      <c r="V249" t="s">
        <v>154</v>
      </c>
    </row>
    <row r="250" spans="9:22" x14ac:dyDescent="0.45">
      <c r="I250" t="s">
        <v>172</v>
      </c>
      <c r="J250" t="s">
        <v>277</v>
      </c>
      <c r="K250">
        <v>0</v>
      </c>
      <c r="L250" t="s">
        <v>154</v>
      </c>
      <c r="N250" t="s">
        <v>201</v>
      </c>
      <c r="O250" t="s">
        <v>277</v>
      </c>
      <c r="P250">
        <v>3.0149515216731076E-2</v>
      </c>
      <c r="Q250" t="s">
        <v>154</v>
      </c>
      <c r="S250" t="s">
        <v>225</v>
      </c>
      <c r="T250" t="s">
        <v>277</v>
      </c>
      <c r="U250">
        <v>2.8632523317146597E-2</v>
      </c>
      <c r="V250" t="s">
        <v>154</v>
      </c>
    </row>
    <row r="251" spans="9:22" x14ac:dyDescent="0.45">
      <c r="I251" t="s">
        <v>173</v>
      </c>
      <c r="J251" t="s">
        <v>153</v>
      </c>
      <c r="K251">
        <v>0</v>
      </c>
      <c r="L251" t="s">
        <v>154</v>
      </c>
      <c r="N251" t="s">
        <v>202</v>
      </c>
      <c r="O251" t="s">
        <v>153</v>
      </c>
      <c r="P251">
        <v>0.16426667005849743</v>
      </c>
      <c r="Q251" t="s">
        <v>154</v>
      </c>
      <c r="S251" t="s">
        <v>226</v>
      </c>
      <c r="T251" t="s">
        <v>153</v>
      </c>
      <c r="U251">
        <v>0.1756388567863558</v>
      </c>
      <c r="V251" t="s">
        <v>154</v>
      </c>
    </row>
    <row r="252" spans="9:22" x14ac:dyDescent="0.45">
      <c r="I252" t="s">
        <v>173</v>
      </c>
      <c r="J252" t="s">
        <v>155</v>
      </c>
      <c r="K252">
        <v>5.8173182777042885E-2</v>
      </c>
      <c r="L252" t="s">
        <v>154</v>
      </c>
      <c r="N252" t="s">
        <v>202</v>
      </c>
      <c r="O252" t="s">
        <v>155</v>
      </c>
      <c r="P252">
        <v>4.1346494522609564E-2</v>
      </c>
      <c r="Q252" t="s">
        <v>154</v>
      </c>
      <c r="S252" t="s">
        <v>226</v>
      </c>
      <c r="T252" t="s">
        <v>155</v>
      </c>
      <c r="U252">
        <v>5.0992696175204695E-2</v>
      </c>
      <c r="V252" t="s">
        <v>154</v>
      </c>
    </row>
    <row r="253" spans="9:22" x14ac:dyDescent="0.45">
      <c r="I253" t="s">
        <v>173</v>
      </c>
      <c r="J253" t="s">
        <v>156</v>
      </c>
      <c r="K253">
        <v>0.51395766048837654</v>
      </c>
      <c r="L253" t="s">
        <v>154</v>
      </c>
      <c r="N253" t="s">
        <v>202</v>
      </c>
      <c r="O253" t="s">
        <v>156</v>
      </c>
      <c r="P253">
        <v>0.20597781554492745</v>
      </c>
      <c r="Q253" t="s">
        <v>154</v>
      </c>
      <c r="S253" t="s">
        <v>226</v>
      </c>
      <c r="T253" t="s">
        <v>156</v>
      </c>
      <c r="U253">
        <v>0.21037865580002033</v>
      </c>
      <c r="V253" t="s">
        <v>154</v>
      </c>
    </row>
    <row r="254" spans="9:22" x14ac:dyDescent="0.45">
      <c r="I254" t="s">
        <v>173</v>
      </c>
      <c r="J254" t="s">
        <v>255</v>
      </c>
      <c r="K254">
        <v>4.118919695802653E-2</v>
      </c>
      <c r="L254" t="s">
        <v>154</v>
      </c>
      <c r="N254" t="s">
        <v>202</v>
      </c>
      <c r="O254" t="s">
        <v>255</v>
      </c>
      <c r="P254">
        <v>2.6704726408585504E-2</v>
      </c>
      <c r="Q254" t="s">
        <v>154</v>
      </c>
      <c r="S254" t="s">
        <v>226</v>
      </c>
      <c r="T254" t="s">
        <v>255</v>
      </c>
      <c r="U254">
        <v>2.6318596622621922E-2</v>
      </c>
      <c r="V254" t="s">
        <v>154</v>
      </c>
    </row>
    <row r="255" spans="9:22" x14ac:dyDescent="0.45">
      <c r="I255" t="s">
        <v>173</v>
      </c>
      <c r="J255" t="s">
        <v>256</v>
      </c>
      <c r="K255">
        <v>2.5283797698949308E-2</v>
      </c>
      <c r="L255" t="s">
        <v>154</v>
      </c>
      <c r="N255" t="s">
        <v>202</v>
      </c>
      <c r="O255" t="s">
        <v>256</v>
      </c>
      <c r="P255">
        <v>2.5262454590083847E-2</v>
      </c>
      <c r="Q255" t="s">
        <v>154</v>
      </c>
      <c r="S255" t="s">
        <v>226</v>
      </c>
      <c r="T255" t="s">
        <v>256</v>
      </c>
      <c r="U255">
        <v>2.1802035552306757E-2</v>
      </c>
      <c r="V255" t="s">
        <v>154</v>
      </c>
    </row>
    <row r="256" spans="9:22" x14ac:dyDescent="0.45">
      <c r="I256" t="s">
        <v>173</v>
      </c>
      <c r="J256" t="s">
        <v>257</v>
      </c>
      <c r="K256">
        <v>0</v>
      </c>
      <c r="L256" t="s">
        <v>154</v>
      </c>
      <c r="N256" t="s">
        <v>202</v>
      </c>
      <c r="O256" t="s">
        <v>257</v>
      </c>
      <c r="P256">
        <v>0.12053189111700227</v>
      </c>
      <c r="Q256" t="s">
        <v>154</v>
      </c>
      <c r="S256" t="s">
        <v>226</v>
      </c>
      <c r="T256" t="s">
        <v>257</v>
      </c>
      <c r="U256">
        <v>0.11133333245354564</v>
      </c>
      <c r="V256" t="s">
        <v>154</v>
      </c>
    </row>
    <row r="257" spans="9:22" x14ac:dyDescent="0.45">
      <c r="I257" t="s">
        <v>173</v>
      </c>
      <c r="J257" t="s">
        <v>157</v>
      </c>
      <c r="K257">
        <v>0</v>
      </c>
      <c r="L257" t="s">
        <v>154</v>
      </c>
      <c r="N257" t="s">
        <v>202</v>
      </c>
      <c r="O257" t="s">
        <v>157</v>
      </c>
      <c r="P257">
        <v>6.5271882443561687E-3</v>
      </c>
      <c r="Q257" t="s">
        <v>154</v>
      </c>
      <c r="S257" t="s">
        <v>226</v>
      </c>
      <c r="T257" t="s">
        <v>157</v>
      </c>
      <c r="U257">
        <v>1.2298440883769074E-2</v>
      </c>
      <c r="V257" t="s">
        <v>154</v>
      </c>
    </row>
    <row r="258" spans="9:22" x14ac:dyDescent="0.45">
      <c r="I258" t="s">
        <v>173</v>
      </c>
      <c r="J258" t="s">
        <v>158</v>
      </c>
      <c r="K258">
        <v>6.6437936894363295E-3</v>
      </c>
      <c r="L258" t="s">
        <v>154</v>
      </c>
      <c r="N258" t="s">
        <v>202</v>
      </c>
      <c r="O258" t="s">
        <v>158</v>
      </c>
      <c r="P258">
        <v>2.08960820140914E-3</v>
      </c>
      <c r="Q258" t="s">
        <v>154</v>
      </c>
      <c r="S258" t="s">
        <v>226</v>
      </c>
      <c r="T258" t="s">
        <v>158</v>
      </c>
      <c r="U258">
        <v>3.5205502117089072E-3</v>
      </c>
      <c r="V258" t="s">
        <v>154</v>
      </c>
    </row>
    <row r="259" spans="9:22" x14ac:dyDescent="0.45">
      <c r="I259" t="s">
        <v>173</v>
      </c>
      <c r="J259" t="s">
        <v>159</v>
      </c>
      <c r="K259">
        <v>5.2955470310487827E-2</v>
      </c>
      <c r="L259" t="s">
        <v>154</v>
      </c>
      <c r="N259" t="s">
        <v>202</v>
      </c>
      <c r="O259" t="s">
        <v>159</v>
      </c>
      <c r="P259">
        <v>1.3564545468810155E-2</v>
      </c>
      <c r="Q259" t="s">
        <v>154</v>
      </c>
      <c r="S259" t="s">
        <v>226</v>
      </c>
      <c r="T259" t="s">
        <v>159</v>
      </c>
      <c r="U259">
        <v>1.4890420766589205E-2</v>
      </c>
      <c r="V259" t="s">
        <v>154</v>
      </c>
    </row>
    <row r="260" spans="9:22" x14ac:dyDescent="0.45">
      <c r="I260" t="s">
        <v>173</v>
      </c>
      <c r="J260" t="s">
        <v>258</v>
      </c>
      <c r="K260">
        <v>4.4045854730381528E-3</v>
      </c>
      <c r="L260" t="s">
        <v>154</v>
      </c>
      <c r="N260" t="s">
        <v>202</v>
      </c>
      <c r="O260" t="s">
        <v>258</v>
      </c>
      <c r="P260">
        <v>2.0946124040897721E-3</v>
      </c>
      <c r="Q260" t="s">
        <v>154</v>
      </c>
      <c r="S260" t="s">
        <v>226</v>
      </c>
      <c r="T260" t="s">
        <v>258</v>
      </c>
      <c r="U260">
        <v>1.5216930532586275E-3</v>
      </c>
      <c r="V260" t="s">
        <v>154</v>
      </c>
    </row>
    <row r="261" spans="9:22" x14ac:dyDescent="0.45">
      <c r="I261" t="s">
        <v>173</v>
      </c>
      <c r="J261" t="s">
        <v>259</v>
      </c>
      <c r="K261">
        <v>2.8031220586505205E-3</v>
      </c>
      <c r="L261" t="s">
        <v>154</v>
      </c>
      <c r="N261" t="s">
        <v>202</v>
      </c>
      <c r="O261" t="s">
        <v>259</v>
      </c>
      <c r="P261">
        <v>1.9122523563730683E-3</v>
      </c>
      <c r="Q261" t="s">
        <v>154</v>
      </c>
      <c r="S261" t="s">
        <v>226</v>
      </c>
      <c r="T261" t="s">
        <v>259</v>
      </c>
      <c r="U261">
        <v>1.4369970589296717E-3</v>
      </c>
      <c r="V261" t="s">
        <v>154</v>
      </c>
    </row>
    <row r="262" spans="9:22" x14ac:dyDescent="0.45">
      <c r="I262" t="s">
        <v>173</v>
      </c>
      <c r="J262" t="s">
        <v>260</v>
      </c>
      <c r="K262">
        <v>0</v>
      </c>
      <c r="L262" t="s">
        <v>154</v>
      </c>
      <c r="N262" t="s">
        <v>202</v>
      </c>
      <c r="O262" t="s">
        <v>260</v>
      </c>
      <c r="P262">
        <v>6.0303502046617384E-3</v>
      </c>
      <c r="Q262" t="s">
        <v>154</v>
      </c>
      <c r="S262" t="s">
        <v>226</v>
      </c>
      <c r="T262" t="s">
        <v>260</v>
      </c>
      <c r="U262">
        <v>6.9869573219507285E-3</v>
      </c>
      <c r="V262" t="s">
        <v>154</v>
      </c>
    </row>
    <row r="263" spans="9:22" x14ac:dyDescent="0.45">
      <c r="I263" t="s">
        <v>173</v>
      </c>
      <c r="J263" t="s">
        <v>160</v>
      </c>
      <c r="K263">
        <v>0</v>
      </c>
      <c r="L263" t="s">
        <v>154</v>
      </c>
      <c r="N263" t="s">
        <v>202</v>
      </c>
      <c r="O263" t="s">
        <v>160</v>
      </c>
      <c r="P263">
        <v>5.0250072036420637E-2</v>
      </c>
      <c r="Q263" t="s">
        <v>154</v>
      </c>
      <c r="S263" t="s">
        <v>226</v>
      </c>
      <c r="T263" t="s">
        <v>160</v>
      </c>
      <c r="U263">
        <v>4.9411614315955033E-2</v>
      </c>
      <c r="V263" t="s">
        <v>154</v>
      </c>
    </row>
    <row r="264" spans="9:22" x14ac:dyDescent="0.45">
      <c r="I264" t="s">
        <v>173</v>
      </c>
      <c r="J264" t="s">
        <v>161</v>
      </c>
      <c r="K264">
        <v>7.1233651168173852E-3</v>
      </c>
      <c r="L264" t="s">
        <v>154</v>
      </c>
      <c r="N264" t="s">
        <v>202</v>
      </c>
      <c r="O264" t="s">
        <v>161</v>
      </c>
      <c r="P264">
        <v>1.2050998378888339E-2</v>
      </c>
      <c r="Q264" t="s">
        <v>154</v>
      </c>
      <c r="S264" t="s">
        <v>226</v>
      </c>
      <c r="T264" t="s">
        <v>161</v>
      </c>
      <c r="U264">
        <v>1.2729776256307725E-2</v>
      </c>
      <c r="V264" t="s">
        <v>154</v>
      </c>
    </row>
    <row r="265" spans="9:22" x14ac:dyDescent="0.45">
      <c r="I265" t="s">
        <v>173</v>
      </c>
      <c r="J265" t="s">
        <v>162</v>
      </c>
      <c r="K265">
        <v>6.2664656565423874E-2</v>
      </c>
      <c r="L265" t="s">
        <v>154</v>
      </c>
      <c r="N265" t="s">
        <v>202</v>
      </c>
      <c r="O265" t="s">
        <v>162</v>
      </c>
      <c r="P265">
        <v>7.034235586374353E-2</v>
      </c>
      <c r="Q265" t="s">
        <v>154</v>
      </c>
      <c r="S265" t="s">
        <v>226</v>
      </c>
      <c r="T265" t="s">
        <v>162</v>
      </c>
      <c r="U265">
        <v>5.9540679788436773E-2</v>
      </c>
      <c r="V265" t="s">
        <v>154</v>
      </c>
    </row>
    <row r="266" spans="9:22" x14ac:dyDescent="0.45">
      <c r="I266" t="s">
        <v>173</v>
      </c>
      <c r="J266" t="s">
        <v>261</v>
      </c>
      <c r="K266">
        <v>4.2529213820654676E-3</v>
      </c>
      <c r="L266" t="s">
        <v>154</v>
      </c>
      <c r="N266" t="s">
        <v>202</v>
      </c>
      <c r="O266" t="s">
        <v>261</v>
      </c>
      <c r="P266">
        <v>9.3503599341623923E-3</v>
      </c>
      <c r="Q266" t="s">
        <v>154</v>
      </c>
      <c r="S266" t="s">
        <v>226</v>
      </c>
      <c r="T266" t="s">
        <v>261</v>
      </c>
      <c r="U266">
        <v>7.8387050759221623E-3</v>
      </c>
      <c r="V266" t="s">
        <v>154</v>
      </c>
    </row>
    <row r="267" spans="9:22" x14ac:dyDescent="0.45">
      <c r="I267" t="s">
        <v>173</v>
      </c>
      <c r="J267" t="s">
        <v>262</v>
      </c>
      <c r="K267">
        <v>2.4348653642617844E-3</v>
      </c>
      <c r="L267" t="s">
        <v>154</v>
      </c>
      <c r="N267" t="s">
        <v>202</v>
      </c>
      <c r="O267" t="s">
        <v>262</v>
      </c>
      <c r="P267">
        <v>9.3531616860398851E-3</v>
      </c>
      <c r="Q267" t="s">
        <v>154</v>
      </c>
      <c r="S267" t="s">
        <v>226</v>
      </c>
      <c r="T267" t="s">
        <v>262</v>
      </c>
      <c r="U267">
        <v>7.1150941728587939E-3</v>
      </c>
      <c r="V267" t="s">
        <v>154</v>
      </c>
    </row>
    <row r="268" spans="9:22" x14ac:dyDescent="0.45">
      <c r="I268" t="s">
        <v>173</v>
      </c>
      <c r="J268" t="s">
        <v>263</v>
      </c>
      <c r="K268">
        <v>0</v>
      </c>
      <c r="L268" t="s">
        <v>154</v>
      </c>
      <c r="N268" t="s">
        <v>202</v>
      </c>
      <c r="O268" t="s">
        <v>263</v>
      </c>
      <c r="P268">
        <v>3.9489325335703165E-2</v>
      </c>
      <c r="Q268" t="s">
        <v>154</v>
      </c>
      <c r="S268" t="s">
        <v>226</v>
      </c>
      <c r="T268" t="s">
        <v>263</v>
      </c>
      <c r="U268">
        <v>3.4070312612673244E-2</v>
      </c>
      <c r="V268" t="s">
        <v>154</v>
      </c>
    </row>
    <row r="269" spans="9:22" x14ac:dyDescent="0.45">
      <c r="I269" t="s">
        <v>173</v>
      </c>
      <c r="J269" t="s">
        <v>163</v>
      </c>
      <c r="K269">
        <v>0</v>
      </c>
      <c r="L269" t="s">
        <v>154</v>
      </c>
      <c r="N269" t="s">
        <v>202</v>
      </c>
      <c r="O269" t="s">
        <v>163</v>
      </c>
      <c r="P269">
        <v>1.403996463067376E-2</v>
      </c>
      <c r="Q269" t="s">
        <v>154</v>
      </c>
      <c r="S269" t="s">
        <v>226</v>
      </c>
      <c r="T269" t="s">
        <v>163</v>
      </c>
      <c r="U269">
        <v>6.6588430872536524E-3</v>
      </c>
      <c r="V269" t="s">
        <v>154</v>
      </c>
    </row>
    <row r="270" spans="9:22" x14ac:dyDescent="0.45">
      <c r="I270" t="s">
        <v>173</v>
      </c>
      <c r="J270" t="s">
        <v>164</v>
      </c>
      <c r="K270">
        <v>7.269140381550669E-3</v>
      </c>
      <c r="L270" t="s">
        <v>154</v>
      </c>
      <c r="N270" t="s">
        <v>202</v>
      </c>
      <c r="O270" t="s">
        <v>164</v>
      </c>
      <c r="P270">
        <v>3.0413263839686269E-3</v>
      </c>
      <c r="Q270" t="s">
        <v>154</v>
      </c>
      <c r="S270" t="s">
        <v>226</v>
      </c>
      <c r="T270" t="s">
        <v>164</v>
      </c>
      <c r="U270">
        <v>2.2065512117308518E-3</v>
      </c>
      <c r="V270" t="s">
        <v>154</v>
      </c>
    </row>
    <row r="271" spans="9:22" x14ac:dyDescent="0.45">
      <c r="I271" t="s">
        <v>173</v>
      </c>
      <c r="J271" t="s">
        <v>165</v>
      </c>
      <c r="K271">
        <v>5.4360051554296879E-2</v>
      </c>
      <c r="L271" t="s">
        <v>154</v>
      </c>
      <c r="N271" t="s">
        <v>202</v>
      </c>
      <c r="O271" t="s">
        <v>165</v>
      </c>
      <c r="P271">
        <v>1.9826467870259313E-2</v>
      </c>
      <c r="Q271" t="s">
        <v>154</v>
      </c>
      <c r="S271" t="s">
        <v>226</v>
      </c>
      <c r="T271" t="s">
        <v>165</v>
      </c>
      <c r="U271">
        <v>9.250723155042254E-3</v>
      </c>
      <c r="V271" t="s">
        <v>154</v>
      </c>
    </row>
    <row r="272" spans="9:22" x14ac:dyDescent="0.45">
      <c r="I272" t="s">
        <v>173</v>
      </c>
      <c r="J272" t="s">
        <v>264</v>
      </c>
      <c r="K272">
        <v>3.7248678907836974E-3</v>
      </c>
      <c r="L272" t="s">
        <v>154</v>
      </c>
      <c r="N272" t="s">
        <v>202</v>
      </c>
      <c r="O272" t="s">
        <v>264</v>
      </c>
      <c r="P272">
        <v>3.150668777043052E-3</v>
      </c>
      <c r="Q272" t="s">
        <v>154</v>
      </c>
      <c r="S272" t="s">
        <v>226</v>
      </c>
      <c r="T272" t="s">
        <v>264</v>
      </c>
      <c r="U272">
        <v>1.1694811778428576E-3</v>
      </c>
      <c r="V272" t="s">
        <v>154</v>
      </c>
    </row>
    <row r="273" spans="9:22" x14ac:dyDescent="0.45">
      <c r="I273" t="s">
        <v>173</v>
      </c>
      <c r="J273" t="s">
        <v>265</v>
      </c>
      <c r="K273">
        <v>2.3887848139733628E-3</v>
      </c>
      <c r="L273" t="s">
        <v>154</v>
      </c>
      <c r="N273" t="s">
        <v>202</v>
      </c>
      <c r="O273" t="s">
        <v>265</v>
      </c>
      <c r="P273">
        <v>2.865334927348234E-3</v>
      </c>
      <c r="Q273" t="s">
        <v>154</v>
      </c>
      <c r="S273" t="s">
        <v>226</v>
      </c>
      <c r="T273" t="s">
        <v>265</v>
      </c>
      <c r="U273">
        <v>1.0548058091018877E-3</v>
      </c>
      <c r="V273" t="s">
        <v>154</v>
      </c>
    </row>
    <row r="274" spans="9:22" x14ac:dyDescent="0.45">
      <c r="I274" t="s">
        <v>173</v>
      </c>
      <c r="J274" t="s">
        <v>266</v>
      </c>
      <c r="K274">
        <v>0</v>
      </c>
      <c r="L274" t="s">
        <v>154</v>
      </c>
      <c r="N274" t="s">
        <v>202</v>
      </c>
      <c r="O274" t="s">
        <v>266</v>
      </c>
      <c r="P274">
        <v>1.2403795736842443E-2</v>
      </c>
      <c r="Q274" t="s">
        <v>154</v>
      </c>
      <c r="S274" t="s">
        <v>226</v>
      </c>
      <c r="T274" t="s">
        <v>266</v>
      </c>
      <c r="U274">
        <v>5.5525239968079393E-3</v>
      </c>
      <c r="V274" t="s">
        <v>154</v>
      </c>
    </row>
    <row r="275" spans="9:22" x14ac:dyDescent="0.45">
      <c r="I275" t="s">
        <v>173</v>
      </c>
      <c r="J275" t="s">
        <v>272</v>
      </c>
      <c r="K275">
        <v>0</v>
      </c>
      <c r="L275" t="s">
        <v>154</v>
      </c>
      <c r="N275" t="s">
        <v>202</v>
      </c>
      <c r="O275" t="s">
        <v>272</v>
      </c>
      <c r="P275">
        <v>4.0835650456313689E-2</v>
      </c>
      <c r="Q275" t="s">
        <v>154</v>
      </c>
      <c r="S275" t="s">
        <v>226</v>
      </c>
      <c r="T275" t="s">
        <v>272</v>
      </c>
      <c r="U275">
        <v>5.0473448751828832E-2</v>
      </c>
      <c r="V275" t="s">
        <v>154</v>
      </c>
    </row>
    <row r="276" spans="9:22" x14ac:dyDescent="0.45">
      <c r="I276" t="s">
        <v>173</v>
      </c>
      <c r="J276" t="s">
        <v>273</v>
      </c>
      <c r="K276">
        <v>1.630769473257172E-2</v>
      </c>
      <c r="L276" t="s">
        <v>154</v>
      </c>
      <c r="N276" t="s">
        <v>202</v>
      </c>
      <c r="O276" t="s">
        <v>273</v>
      </c>
      <c r="P276">
        <v>8.2266513411541429E-3</v>
      </c>
      <c r="Q276" t="s">
        <v>154</v>
      </c>
      <c r="S276" t="s">
        <v>226</v>
      </c>
      <c r="T276" t="s">
        <v>273</v>
      </c>
      <c r="U276">
        <v>1.4715754377242733E-2</v>
      </c>
      <c r="V276" t="s">
        <v>154</v>
      </c>
    </row>
    <row r="277" spans="9:22" x14ac:dyDescent="0.45">
      <c r="I277" t="s">
        <v>173</v>
      </c>
      <c r="J277" t="s">
        <v>274</v>
      </c>
      <c r="K277">
        <v>0.11967416042289231</v>
      </c>
      <c r="L277" t="s">
        <v>154</v>
      </c>
      <c r="N277" t="s">
        <v>202</v>
      </c>
      <c r="O277" t="s">
        <v>274</v>
      </c>
      <c r="P277">
        <v>4.6644214460330076E-2</v>
      </c>
      <c r="Q277" t="s">
        <v>154</v>
      </c>
      <c r="S277" t="s">
        <v>226</v>
      </c>
      <c r="T277" t="s">
        <v>274</v>
      </c>
      <c r="U277">
        <v>5.7001402527263184E-2</v>
      </c>
      <c r="V277" t="s">
        <v>154</v>
      </c>
    </row>
    <row r="278" spans="9:22" x14ac:dyDescent="0.45">
      <c r="I278" t="s">
        <v>173</v>
      </c>
      <c r="J278" t="s">
        <v>275</v>
      </c>
      <c r="K278">
        <v>9.098901626098289E-3</v>
      </c>
      <c r="L278" t="s">
        <v>154</v>
      </c>
      <c r="N278" t="s">
        <v>202</v>
      </c>
      <c r="O278" t="s">
        <v>275</v>
      </c>
      <c r="P278">
        <v>6.5153597247620352E-3</v>
      </c>
      <c r="Q278" t="s">
        <v>154</v>
      </c>
      <c r="S278" t="s">
        <v>226</v>
      </c>
      <c r="T278" t="s">
        <v>275</v>
      </c>
      <c r="U278">
        <v>6.7320770250723083E-3</v>
      </c>
      <c r="V278" t="s">
        <v>154</v>
      </c>
    </row>
    <row r="279" spans="9:22" x14ac:dyDescent="0.45">
      <c r="I279" t="s">
        <v>173</v>
      </c>
      <c r="J279" t="s">
        <v>276</v>
      </c>
      <c r="K279">
        <v>5.2897806952563577E-3</v>
      </c>
      <c r="L279" t="s">
        <v>154</v>
      </c>
      <c r="N279" t="s">
        <v>202</v>
      </c>
      <c r="O279" t="s">
        <v>276</v>
      </c>
      <c r="P279">
        <v>5.3667139103776859E-3</v>
      </c>
      <c r="Q279" t="s">
        <v>154</v>
      </c>
      <c r="S279" t="s">
        <v>226</v>
      </c>
      <c r="T279" t="s">
        <v>276</v>
      </c>
      <c r="U279">
        <v>5.1641069665046002E-3</v>
      </c>
      <c r="V279" t="s">
        <v>154</v>
      </c>
    </row>
    <row r="280" spans="9:22" x14ac:dyDescent="0.45">
      <c r="I280" t="s">
        <v>173</v>
      </c>
      <c r="J280" t="s">
        <v>277</v>
      </c>
      <c r="K280">
        <v>0</v>
      </c>
      <c r="L280" t="s">
        <v>154</v>
      </c>
      <c r="N280" t="s">
        <v>202</v>
      </c>
      <c r="O280" t="s">
        <v>277</v>
      </c>
      <c r="P280">
        <v>2.9938969424562693E-2</v>
      </c>
      <c r="Q280" t="s">
        <v>154</v>
      </c>
      <c r="S280" t="s">
        <v>226</v>
      </c>
      <c r="T280" t="s">
        <v>277</v>
      </c>
      <c r="U280">
        <v>3.2194867005893288E-2</v>
      </c>
      <c r="V280" t="s">
        <v>154</v>
      </c>
    </row>
    <row r="281" spans="9:22" x14ac:dyDescent="0.45">
      <c r="I281" t="s">
        <v>174</v>
      </c>
      <c r="J281" t="s">
        <v>153</v>
      </c>
      <c r="K281">
        <v>0</v>
      </c>
      <c r="L281" t="s">
        <v>154</v>
      </c>
      <c r="N281" t="s">
        <v>203</v>
      </c>
      <c r="O281" t="s">
        <v>153</v>
      </c>
      <c r="P281">
        <v>0.16992240564327035</v>
      </c>
      <c r="Q281" t="s">
        <v>154</v>
      </c>
      <c r="S281" t="s">
        <v>227</v>
      </c>
      <c r="T281" t="s">
        <v>153</v>
      </c>
      <c r="U281">
        <v>0.13924357044831689</v>
      </c>
      <c r="V281" t="s">
        <v>154</v>
      </c>
    </row>
    <row r="282" spans="9:22" x14ac:dyDescent="0.45">
      <c r="I282" t="s">
        <v>174</v>
      </c>
      <c r="J282" t="s">
        <v>155</v>
      </c>
      <c r="K282">
        <v>6.7744838102910682E-2</v>
      </c>
      <c r="L282" t="s">
        <v>154</v>
      </c>
      <c r="N282" t="s">
        <v>203</v>
      </c>
      <c r="O282" t="s">
        <v>155</v>
      </c>
      <c r="P282">
        <v>4.5375666769248223E-2</v>
      </c>
      <c r="Q282" t="s">
        <v>154</v>
      </c>
      <c r="S282" t="s">
        <v>227</v>
      </c>
      <c r="T282" t="s">
        <v>155</v>
      </c>
      <c r="U282">
        <v>3.4832881100757107E-2</v>
      </c>
      <c r="V282" t="s">
        <v>154</v>
      </c>
    </row>
    <row r="283" spans="9:22" x14ac:dyDescent="0.45">
      <c r="I283" t="s">
        <v>174</v>
      </c>
      <c r="J283" t="s">
        <v>156</v>
      </c>
      <c r="K283">
        <v>0.5281501145575066</v>
      </c>
      <c r="L283" t="s">
        <v>154</v>
      </c>
      <c r="N283" t="s">
        <v>203</v>
      </c>
      <c r="O283" t="s">
        <v>156</v>
      </c>
      <c r="P283">
        <v>0.20135288133042278</v>
      </c>
      <c r="Q283" t="s">
        <v>154</v>
      </c>
      <c r="S283" t="s">
        <v>227</v>
      </c>
      <c r="T283" t="s">
        <v>156</v>
      </c>
      <c r="U283">
        <v>0.16779651114931296</v>
      </c>
      <c r="V283" t="s">
        <v>154</v>
      </c>
    </row>
    <row r="284" spans="9:22" x14ac:dyDescent="0.45">
      <c r="I284" t="s">
        <v>174</v>
      </c>
      <c r="J284" t="s">
        <v>255</v>
      </c>
      <c r="K284">
        <v>2.9005278068484242E-2</v>
      </c>
      <c r="L284" t="s">
        <v>154</v>
      </c>
      <c r="N284" t="s">
        <v>203</v>
      </c>
      <c r="O284" t="s">
        <v>255</v>
      </c>
      <c r="P284">
        <v>3.1342160457151269E-2</v>
      </c>
      <c r="Q284" t="s">
        <v>154</v>
      </c>
      <c r="S284" t="s">
        <v>227</v>
      </c>
      <c r="T284" t="s">
        <v>255</v>
      </c>
      <c r="U284">
        <v>2.4093739366959421E-2</v>
      </c>
      <c r="V284" t="s">
        <v>154</v>
      </c>
    </row>
    <row r="285" spans="9:22" x14ac:dyDescent="0.45">
      <c r="I285" t="s">
        <v>174</v>
      </c>
      <c r="J285" t="s">
        <v>256</v>
      </c>
      <c r="K285">
        <v>1.5648501010654736E-2</v>
      </c>
      <c r="L285" t="s">
        <v>154</v>
      </c>
      <c r="N285" t="s">
        <v>203</v>
      </c>
      <c r="O285" t="s">
        <v>256</v>
      </c>
      <c r="P285">
        <v>3.0182695646474918E-2</v>
      </c>
      <c r="Q285" t="s">
        <v>154</v>
      </c>
      <c r="S285" t="s">
        <v>227</v>
      </c>
      <c r="T285" t="s">
        <v>256</v>
      </c>
      <c r="U285">
        <v>2.2609173367532039E-2</v>
      </c>
      <c r="V285" t="s">
        <v>154</v>
      </c>
    </row>
    <row r="286" spans="9:22" x14ac:dyDescent="0.45">
      <c r="I286" t="s">
        <v>174</v>
      </c>
      <c r="J286" t="s">
        <v>257</v>
      </c>
      <c r="K286">
        <v>0</v>
      </c>
      <c r="L286" t="s">
        <v>154</v>
      </c>
      <c r="N286" t="s">
        <v>203</v>
      </c>
      <c r="O286" t="s">
        <v>257</v>
      </c>
      <c r="P286">
        <v>0.15247126972357056</v>
      </c>
      <c r="Q286" t="s">
        <v>154</v>
      </c>
      <c r="S286" t="s">
        <v>227</v>
      </c>
      <c r="T286" t="s">
        <v>257</v>
      </c>
      <c r="U286">
        <v>0.11218333258826479</v>
      </c>
      <c r="V286" t="s">
        <v>154</v>
      </c>
    </row>
    <row r="287" spans="9:22" x14ac:dyDescent="0.45">
      <c r="I287" t="s">
        <v>174</v>
      </c>
      <c r="J287" t="s">
        <v>157</v>
      </c>
      <c r="K287">
        <v>0</v>
      </c>
      <c r="L287" t="s">
        <v>154</v>
      </c>
      <c r="N287" t="s">
        <v>203</v>
      </c>
      <c r="O287" t="s">
        <v>157</v>
      </c>
      <c r="P287">
        <v>8.2330119169851165E-3</v>
      </c>
      <c r="Q287" t="s">
        <v>154</v>
      </c>
      <c r="S287" t="s">
        <v>227</v>
      </c>
      <c r="T287" t="s">
        <v>157</v>
      </c>
      <c r="U287">
        <v>1.0201161222122059E-2</v>
      </c>
      <c r="V287" t="s">
        <v>154</v>
      </c>
    </row>
    <row r="288" spans="9:22" x14ac:dyDescent="0.45">
      <c r="I288" t="s">
        <v>174</v>
      </c>
      <c r="J288" t="s">
        <v>158</v>
      </c>
      <c r="K288">
        <v>8.3362360237597237E-3</v>
      </c>
      <c r="L288" t="s">
        <v>154</v>
      </c>
      <c r="N288" t="s">
        <v>203</v>
      </c>
      <c r="O288" t="s">
        <v>158</v>
      </c>
      <c r="P288">
        <v>2.8322756744428024E-3</v>
      </c>
      <c r="Q288" t="s">
        <v>154</v>
      </c>
      <c r="S288" t="s">
        <v>227</v>
      </c>
      <c r="T288" t="s">
        <v>158</v>
      </c>
      <c r="U288">
        <v>2.4614445802555503E-3</v>
      </c>
      <c r="V288" t="s">
        <v>154</v>
      </c>
    </row>
    <row r="289" spans="9:22" x14ac:dyDescent="0.45">
      <c r="I289" t="s">
        <v>174</v>
      </c>
      <c r="J289" t="s">
        <v>159</v>
      </c>
      <c r="K289">
        <v>5.6973237858372522E-2</v>
      </c>
      <c r="L289" t="s">
        <v>154</v>
      </c>
      <c r="N289" t="s">
        <v>203</v>
      </c>
      <c r="O289" t="s">
        <v>159</v>
      </c>
      <c r="P289">
        <v>1.6921497623364583E-2</v>
      </c>
      <c r="Q289" t="s">
        <v>154</v>
      </c>
      <c r="S289" t="s">
        <v>227</v>
      </c>
      <c r="T289" t="s">
        <v>159</v>
      </c>
      <c r="U289">
        <v>1.3793695414044339E-2</v>
      </c>
      <c r="V289" t="s">
        <v>154</v>
      </c>
    </row>
    <row r="290" spans="9:22" x14ac:dyDescent="0.45">
      <c r="I290" t="s">
        <v>174</v>
      </c>
      <c r="J290" t="s">
        <v>258</v>
      </c>
      <c r="K290">
        <v>2.6865785697495186E-3</v>
      </c>
      <c r="L290" t="s">
        <v>154</v>
      </c>
      <c r="N290" t="s">
        <v>203</v>
      </c>
      <c r="O290" t="s">
        <v>258</v>
      </c>
      <c r="P290">
        <v>2.8544857858698882E-3</v>
      </c>
      <c r="Q290" t="s">
        <v>154</v>
      </c>
      <c r="S290" t="s">
        <v>227</v>
      </c>
      <c r="T290" t="s">
        <v>258</v>
      </c>
      <c r="U290">
        <v>1.5516237656473411E-3</v>
      </c>
      <c r="V290" t="s">
        <v>154</v>
      </c>
    </row>
    <row r="291" spans="9:22" x14ac:dyDescent="0.45">
      <c r="I291" t="s">
        <v>174</v>
      </c>
      <c r="J291" t="s">
        <v>259</v>
      </c>
      <c r="K291">
        <v>1.2851912409184492E-3</v>
      </c>
      <c r="L291" t="s">
        <v>154</v>
      </c>
      <c r="N291" t="s">
        <v>203</v>
      </c>
      <c r="O291" t="s">
        <v>259</v>
      </c>
      <c r="P291">
        <v>2.7692963548716469E-3</v>
      </c>
      <c r="Q291" t="s">
        <v>154</v>
      </c>
      <c r="S291" t="s">
        <v>227</v>
      </c>
      <c r="T291" t="s">
        <v>259</v>
      </c>
      <c r="U291">
        <v>1.2268225783874922E-3</v>
      </c>
      <c r="V291" t="s">
        <v>154</v>
      </c>
    </row>
    <row r="292" spans="9:22" x14ac:dyDescent="0.45">
      <c r="I292" t="s">
        <v>174</v>
      </c>
      <c r="J292" t="s">
        <v>260</v>
      </c>
      <c r="K292">
        <v>0</v>
      </c>
      <c r="L292" t="s">
        <v>154</v>
      </c>
      <c r="N292" t="s">
        <v>203</v>
      </c>
      <c r="O292" t="s">
        <v>260</v>
      </c>
      <c r="P292">
        <v>8.155072351226627E-3</v>
      </c>
      <c r="Q292" t="s">
        <v>154</v>
      </c>
      <c r="S292" t="s">
        <v>227</v>
      </c>
      <c r="T292" t="s">
        <v>260</v>
      </c>
      <c r="U292">
        <v>6.6223150307716892E-3</v>
      </c>
      <c r="V292" t="s">
        <v>154</v>
      </c>
    </row>
    <row r="293" spans="9:22" x14ac:dyDescent="0.45">
      <c r="I293" t="s">
        <v>174</v>
      </c>
      <c r="J293" t="s">
        <v>160</v>
      </c>
      <c r="K293">
        <v>0</v>
      </c>
      <c r="L293" t="s">
        <v>154</v>
      </c>
      <c r="N293" t="s">
        <v>203</v>
      </c>
      <c r="O293" t="s">
        <v>160</v>
      </c>
      <c r="P293">
        <v>4.5576710140776237E-2</v>
      </c>
      <c r="Q293" t="s">
        <v>154</v>
      </c>
      <c r="S293" t="s">
        <v>227</v>
      </c>
      <c r="T293" t="s">
        <v>160</v>
      </c>
      <c r="U293">
        <v>2.0897828699703115E-2</v>
      </c>
      <c r="V293" t="s">
        <v>154</v>
      </c>
    </row>
    <row r="294" spans="9:22" x14ac:dyDescent="0.45">
      <c r="I294" t="s">
        <v>174</v>
      </c>
      <c r="J294" t="s">
        <v>161</v>
      </c>
      <c r="K294">
        <v>7.4969359124248082E-3</v>
      </c>
      <c r="L294" t="s">
        <v>154</v>
      </c>
      <c r="N294" t="s">
        <v>203</v>
      </c>
      <c r="O294" t="s">
        <v>161</v>
      </c>
      <c r="P294">
        <v>9.2894881536338108E-3</v>
      </c>
      <c r="Q294" t="s">
        <v>154</v>
      </c>
      <c r="S294" t="s">
        <v>227</v>
      </c>
      <c r="T294" t="s">
        <v>161</v>
      </c>
      <c r="U294">
        <v>5.4747331181615212E-3</v>
      </c>
      <c r="V294" t="s">
        <v>154</v>
      </c>
    </row>
    <row r="295" spans="9:22" x14ac:dyDescent="0.45">
      <c r="I295" t="s">
        <v>174</v>
      </c>
      <c r="J295" t="s">
        <v>162</v>
      </c>
      <c r="K295">
        <v>5.9454639055732839E-2</v>
      </c>
      <c r="L295" t="s">
        <v>154</v>
      </c>
      <c r="N295" t="s">
        <v>203</v>
      </c>
      <c r="O295" t="s">
        <v>162</v>
      </c>
      <c r="P295">
        <v>4.8953782749856324E-2</v>
      </c>
      <c r="Q295" t="s">
        <v>154</v>
      </c>
      <c r="S295" t="s">
        <v>227</v>
      </c>
      <c r="T295" t="s">
        <v>162</v>
      </c>
      <c r="U295">
        <v>2.4672982086589773E-2</v>
      </c>
      <c r="V295" t="s">
        <v>154</v>
      </c>
    </row>
    <row r="296" spans="9:22" x14ac:dyDescent="0.45">
      <c r="I296" t="s">
        <v>174</v>
      </c>
      <c r="J296" t="s">
        <v>261</v>
      </c>
      <c r="K296">
        <v>2.4598741864210742E-3</v>
      </c>
      <c r="L296" t="s">
        <v>154</v>
      </c>
      <c r="N296" t="s">
        <v>203</v>
      </c>
      <c r="O296" t="s">
        <v>261</v>
      </c>
      <c r="P296">
        <v>8.1347951221177311E-3</v>
      </c>
      <c r="Q296" t="s">
        <v>154</v>
      </c>
      <c r="S296" t="s">
        <v>227</v>
      </c>
      <c r="T296" t="s">
        <v>261</v>
      </c>
      <c r="U296">
        <v>3.4671125689921794E-3</v>
      </c>
      <c r="V296" t="s">
        <v>154</v>
      </c>
    </row>
    <row r="297" spans="9:22" x14ac:dyDescent="0.45">
      <c r="I297" t="s">
        <v>174</v>
      </c>
      <c r="J297" t="s">
        <v>262</v>
      </c>
      <c r="K297">
        <v>8.0996915074914939E-4</v>
      </c>
      <c r="L297" t="s">
        <v>154</v>
      </c>
      <c r="N297" t="s">
        <v>203</v>
      </c>
      <c r="O297" t="s">
        <v>262</v>
      </c>
      <c r="P297">
        <v>8.2703759134208632E-3</v>
      </c>
      <c r="Q297" t="s">
        <v>154</v>
      </c>
      <c r="S297" t="s">
        <v>227</v>
      </c>
      <c r="T297" t="s">
        <v>262</v>
      </c>
      <c r="U297">
        <v>3.3364355558563423E-3</v>
      </c>
      <c r="V297" t="s">
        <v>154</v>
      </c>
    </row>
    <row r="298" spans="9:22" x14ac:dyDescent="0.45">
      <c r="I298" t="s">
        <v>174</v>
      </c>
      <c r="J298" t="s">
        <v>263</v>
      </c>
      <c r="K298">
        <v>0</v>
      </c>
      <c r="L298" t="s">
        <v>154</v>
      </c>
      <c r="N298" t="s">
        <v>203</v>
      </c>
      <c r="O298" t="s">
        <v>263</v>
      </c>
      <c r="P298">
        <v>3.988844607037096E-2</v>
      </c>
      <c r="Q298" t="s">
        <v>154</v>
      </c>
      <c r="S298" t="s">
        <v>227</v>
      </c>
      <c r="T298" t="s">
        <v>263</v>
      </c>
      <c r="U298">
        <v>1.6995419572087632E-2</v>
      </c>
      <c r="V298" t="s">
        <v>154</v>
      </c>
    </row>
    <row r="299" spans="9:22" x14ac:dyDescent="0.45">
      <c r="I299" t="s">
        <v>174</v>
      </c>
      <c r="J299" t="s">
        <v>163</v>
      </c>
      <c r="K299">
        <v>0</v>
      </c>
      <c r="L299" t="s">
        <v>154</v>
      </c>
      <c r="N299" t="s">
        <v>203</v>
      </c>
      <c r="O299" t="s">
        <v>163</v>
      </c>
      <c r="P299">
        <v>6.7230844125257651E-3</v>
      </c>
      <c r="Q299" t="s">
        <v>154</v>
      </c>
      <c r="S299" t="s">
        <v>227</v>
      </c>
      <c r="T299" t="s">
        <v>163</v>
      </c>
      <c r="U299">
        <v>3.7456440427727049E-2</v>
      </c>
      <c r="V299" t="s">
        <v>154</v>
      </c>
    </row>
    <row r="300" spans="9:22" x14ac:dyDescent="0.45">
      <c r="I300" t="s">
        <v>174</v>
      </c>
      <c r="J300" t="s">
        <v>164</v>
      </c>
      <c r="K300">
        <v>7.7795878805740574E-3</v>
      </c>
      <c r="L300" t="s">
        <v>154</v>
      </c>
      <c r="N300" t="s">
        <v>203</v>
      </c>
      <c r="O300" t="s">
        <v>164</v>
      </c>
      <c r="P300">
        <v>2.0204545104639746E-3</v>
      </c>
      <c r="Q300" t="s">
        <v>154</v>
      </c>
      <c r="S300" t="s">
        <v>227</v>
      </c>
      <c r="T300" t="s">
        <v>164</v>
      </c>
      <c r="U300">
        <v>9.5874683850247673E-3</v>
      </c>
      <c r="V300" t="s">
        <v>154</v>
      </c>
    </row>
    <row r="301" spans="9:22" x14ac:dyDescent="0.45">
      <c r="I301" t="s">
        <v>174</v>
      </c>
      <c r="J301" t="s">
        <v>165</v>
      </c>
      <c r="K301">
        <v>5.1143769233590673E-2</v>
      </c>
      <c r="L301" t="s">
        <v>154</v>
      </c>
      <c r="N301" t="s">
        <v>203</v>
      </c>
      <c r="O301" t="s">
        <v>165</v>
      </c>
      <c r="P301">
        <v>9.1331980410803426E-3</v>
      </c>
      <c r="Q301" t="s">
        <v>154</v>
      </c>
      <c r="S301" t="s">
        <v>227</v>
      </c>
      <c r="T301" t="s">
        <v>165</v>
      </c>
      <c r="U301">
        <v>4.2471489916212996E-2</v>
      </c>
      <c r="V301" t="s">
        <v>154</v>
      </c>
    </row>
    <row r="302" spans="9:22" x14ac:dyDescent="0.45">
      <c r="I302" t="s">
        <v>174</v>
      </c>
      <c r="J302" t="s">
        <v>264</v>
      </c>
      <c r="K302">
        <v>2.0679470913050001E-3</v>
      </c>
      <c r="L302" t="s">
        <v>154</v>
      </c>
      <c r="N302" t="s">
        <v>203</v>
      </c>
      <c r="O302" t="s">
        <v>264</v>
      </c>
      <c r="P302">
        <v>1.5588211702763171E-3</v>
      </c>
      <c r="Q302" t="s">
        <v>154</v>
      </c>
      <c r="S302" t="s">
        <v>227</v>
      </c>
      <c r="T302" t="s">
        <v>264</v>
      </c>
      <c r="U302">
        <v>6.2865047378347222E-3</v>
      </c>
      <c r="V302" t="s">
        <v>154</v>
      </c>
    </row>
    <row r="303" spans="9:22" x14ac:dyDescent="0.45">
      <c r="I303" t="s">
        <v>174</v>
      </c>
      <c r="J303" t="s">
        <v>265</v>
      </c>
      <c r="K303">
        <v>0</v>
      </c>
      <c r="L303" t="s">
        <v>154</v>
      </c>
      <c r="N303" t="s">
        <v>203</v>
      </c>
      <c r="O303" t="s">
        <v>265</v>
      </c>
      <c r="P303">
        <v>1.5041578807830811E-3</v>
      </c>
      <c r="Q303" t="s">
        <v>154</v>
      </c>
      <c r="S303" t="s">
        <v>227</v>
      </c>
      <c r="T303" t="s">
        <v>265</v>
      </c>
      <c r="U303">
        <v>5.8650632610136987E-3</v>
      </c>
      <c r="V303" t="s">
        <v>154</v>
      </c>
    </row>
    <row r="304" spans="9:22" x14ac:dyDescent="0.45">
      <c r="I304" t="s">
        <v>174</v>
      </c>
      <c r="J304" t="s">
        <v>266</v>
      </c>
      <c r="K304">
        <v>0</v>
      </c>
      <c r="L304" t="s">
        <v>154</v>
      </c>
      <c r="N304" t="s">
        <v>203</v>
      </c>
      <c r="O304" t="s">
        <v>266</v>
      </c>
      <c r="P304">
        <v>5.9215618293939256E-3</v>
      </c>
      <c r="Q304" t="s">
        <v>154</v>
      </c>
      <c r="S304" t="s">
        <v>227</v>
      </c>
      <c r="T304" t="s">
        <v>266</v>
      </c>
      <c r="U304">
        <v>2.9808655414211589E-2</v>
      </c>
      <c r="V304" t="s">
        <v>154</v>
      </c>
    </row>
    <row r="305" spans="9:22" x14ac:dyDescent="0.45">
      <c r="I305" t="s">
        <v>174</v>
      </c>
      <c r="J305" t="s">
        <v>272</v>
      </c>
      <c r="K305">
        <v>0</v>
      </c>
      <c r="L305" t="s">
        <v>154</v>
      </c>
      <c r="N305" t="s">
        <v>203</v>
      </c>
      <c r="O305" t="s">
        <v>272</v>
      </c>
      <c r="P305">
        <v>4.3132755717741958E-2</v>
      </c>
      <c r="Q305" t="s">
        <v>154</v>
      </c>
      <c r="S305" t="s">
        <v>227</v>
      </c>
      <c r="T305" t="s">
        <v>272</v>
      </c>
      <c r="U305">
        <v>7.2053335404838978E-2</v>
      </c>
      <c r="V305" t="s">
        <v>154</v>
      </c>
    </row>
    <row r="306" spans="9:22" x14ac:dyDescent="0.45">
      <c r="I306" t="s">
        <v>174</v>
      </c>
      <c r="J306" t="s">
        <v>273</v>
      </c>
      <c r="K306">
        <v>1.9775996407104316E-2</v>
      </c>
      <c r="L306" t="s">
        <v>154</v>
      </c>
      <c r="N306" t="s">
        <v>203</v>
      </c>
      <c r="O306" t="s">
        <v>273</v>
      </c>
      <c r="P306">
        <v>1.0458742081570029E-2</v>
      </c>
      <c r="Q306" t="s">
        <v>154</v>
      </c>
      <c r="S306" t="s">
        <v>227</v>
      </c>
      <c r="T306" t="s">
        <v>273</v>
      </c>
      <c r="U306">
        <v>1.8705192818474953E-2</v>
      </c>
      <c r="V306" t="s">
        <v>154</v>
      </c>
    </row>
    <row r="307" spans="9:22" x14ac:dyDescent="0.45">
      <c r="I307" t="s">
        <v>174</v>
      </c>
      <c r="J307" t="s">
        <v>274</v>
      </c>
      <c r="K307">
        <v>0.13132930619514405</v>
      </c>
      <c r="L307" t="s">
        <v>154</v>
      </c>
      <c r="N307" t="s">
        <v>203</v>
      </c>
      <c r="O307" t="s">
        <v>274</v>
      </c>
      <c r="P307">
        <v>4.1588797956612363E-2</v>
      </c>
      <c r="Q307" t="s">
        <v>154</v>
      </c>
      <c r="S307" t="s">
        <v>227</v>
      </c>
      <c r="T307" t="s">
        <v>274</v>
      </c>
      <c r="U307">
        <v>8.4981653505186008E-2</v>
      </c>
      <c r="V307" t="s">
        <v>154</v>
      </c>
    </row>
    <row r="308" spans="9:22" x14ac:dyDescent="0.45">
      <c r="I308" t="s">
        <v>174</v>
      </c>
      <c r="J308" t="s">
        <v>275</v>
      </c>
      <c r="K308">
        <v>7.0309882061012326E-3</v>
      </c>
      <c r="L308" t="s">
        <v>154</v>
      </c>
      <c r="N308" t="s">
        <v>203</v>
      </c>
      <c r="O308" t="s">
        <v>275</v>
      </c>
      <c r="P308">
        <v>5.9437491844566356E-3</v>
      </c>
      <c r="Q308" t="s">
        <v>154</v>
      </c>
      <c r="S308" t="s">
        <v>227</v>
      </c>
      <c r="T308" t="s">
        <v>275</v>
      </c>
      <c r="U308">
        <v>1.2219413136888086E-2</v>
      </c>
      <c r="V308" t="s">
        <v>154</v>
      </c>
    </row>
    <row r="309" spans="9:22" x14ac:dyDescent="0.45">
      <c r="I309" t="s">
        <v>174</v>
      </c>
      <c r="J309" t="s">
        <v>276</v>
      </c>
      <c r="K309">
        <v>8.2101124849565034E-4</v>
      </c>
      <c r="L309" t="s">
        <v>154</v>
      </c>
      <c r="N309" t="s">
        <v>203</v>
      </c>
      <c r="O309" t="s">
        <v>276</v>
      </c>
      <c r="P309">
        <v>5.627395668794514E-3</v>
      </c>
      <c r="Q309" t="s">
        <v>154</v>
      </c>
      <c r="S309" t="s">
        <v>227</v>
      </c>
      <c r="T309" t="s">
        <v>276</v>
      </c>
      <c r="U309">
        <v>1.1630448159645155E-2</v>
      </c>
      <c r="V309" t="s">
        <v>154</v>
      </c>
    </row>
    <row r="310" spans="9:22" x14ac:dyDescent="0.45">
      <c r="I310" t="s">
        <v>174</v>
      </c>
      <c r="J310" t="s">
        <v>277</v>
      </c>
      <c r="K310">
        <v>0</v>
      </c>
      <c r="L310" t="s">
        <v>154</v>
      </c>
      <c r="N310" t="s">
        <v>203</v>
      </c>
      <c r="O310" t="s">
        <v>277</v>
      </c>
      <c r="P310">
        <v>3.3860964119223534E-2</v>
      </c>
      <c r="Q310" t="s">
        <v>154</v>
      </c>
      <c r="S310" t="s">
        <v>227</v>
      </c>
      <c r="T310" t="s">
        <v>277</v>
      </c>
      <c r="U310">
        <v>5.7473552619181419E-2</v>
      </c>
      <c r="V310" t="s">
        <v>154</v>
      </c>
    </row>
    <row r="311" spans="9:22" x14ac:dyDescent="0.45">
      <c r="I311" t="s">
        <v>175</v>
      </c>
      <c r="J311" t="s">
        <v>153</v>
      </c>
      <c r="K311">
        <v>2.8545792194167854E-3</v>
      </c>
      <c r="L311" t="s">
        <v>154</v>
      </c>
      <c r="N311" t="s">
        <v>204</v>
      </c>
      <c r="O311" t="s">
        <v>153</v>
      </c>
      <c r="P311">
        <v>0.17962503841909758</v>
      </c>
      <c r="Q311" t="s">
        <v>154</v>
      </c>
      <c r="S311" t="s">
        <v>228</v>
      </c>
      <c r="T311" t="s">
        <v>153</v>
      </c>
      <c r="U311">
        <v>0.17295076658679537</v>
      </c>
      <c r="V311" t="s">
        <v>154</v>
      </c>
    </row>
    <row r="312" spans="9:22" x14ac:dyDescent="0.45">
      <c r="I312" t="s">
        <v>175</v>
      </c>
      <c r="J312" t="s">
        <v>155</v>
      </c>
      <c r="K312">
        <v>7.432234146908237E-2</v>
      </c>
      <c r="L312" t="s">
        <v>154</v>
      </c>
      <c r="N312" t="s">
        <v>204</v>
      </c>
      <c r="O312" t="s">
        <v>155</v>
      </c>
      <c r="P312">
        <v>5.208377804569328E-2</v>
      </c>
      <c r="Q312" t="s">
        <v>154</v>
      </c>
      <c r="S312" t="s">
        <v>228</v>
      </c>
      <c r="T312" t="s">
        <v>155</v>
      </c>
      <c r="U312">
        <v>4.5574384347603275E-2</v>
      </c>
      <c r="V312" t="s">
        <v>154</v>
      </c>
    </row>
    <row r="313" spans="9:22" x14ac:dyDescent="0.45">
      <c r="I313" t="s">
        <v>175</v>
      </c>
      <c r="J313" t="s">
        <v>156</v>
      </c>
      <c r="K313">
        <v>0.5098017516257658</v>
      </c>
      <c r="L313" t="s">
        <v>154</v>
      </c>
      <c r="N313" t="s">
        <v>204</v>
      </c>
      <c r="O313" t="s">
        <v>156</v>
      </c>
      <c r="P313">
        <v>0.22325651131432922</v>
      </c>
      <c r="Q313" t="s">
        <v>154</v>
      </c>
      <c r="S313" t="s">
        <v>228</v>
      </c>
      <c r="T313" t="s">
        <v>156</v>
      </c>
      <c r="U313">
        <v>0.18229694505703989</v>
      </c>
      <c r="V313" t="s">
        <v>154</v>
      </c>
    </row>
    <row r="314" spans="9:22" x14ac:dyDescent="0.45">
      <c r="I314" t="s">
        <v>175</v>
      </c>
      <c r="J314" t="s">
        <v>255</v>
      </c>
      <c r="K314">
        <v>2.9189090532432231E-2</v>
      </c>
      <c r="L314" t="s">
        <v>154</v>
      </c>
      <c r="N314" t="s">
        <v>204</v>
      </c>
      <c r="O314" t="s">
        <v>255</v>
      </c>
      <c r="P314">
        <v>2.4624938174459376E-2</v>
      </c>
      <c r="Q314" t="s">
        <v>154</v>
      </c>
      <c r="S314" t="s">
        <v>228</v>
      </c>
      <c r="T314" t="s">
        <v>255</v>
      </c>
      <c r="U314">
        <v>2.1361664489482891E-2</v>
      </c>
      <c r="V314" t="s">
        <v>154</v>
      </c>
    </row>
    <row r="315" spans="9:22" x14ac:dyDescent="0.45">
      <c r="I315" t="s">
        <v>175</v>
      </c>
      <c r="J315" t="s">
        <v>256</v>
      </c>
      <c r="K315">
        <v>1.7780820058986527E-2</v>
      </c>
      <c r="L315" t="s">
        <v>154</v>
      </c>
      <c r="N315" t="s">
        <v>204</v>
      </c>
      <c r="O315" t="s">
        <v>256</v>
      </c>
      <c r="P315">
        <v>2.2677221580203376E-2</v>
      </c>
      <c r="Q315" t="s">
        <v>154</v>
      </c>
      <c r="S315" t="s">
        <v>228</v>
      </c>
      <c r="T315" t="s">
        <v>256</v>
      </c>
      <c r="U315">
        <v>2.0090765567776298E-2</v>
      </c>
      <c r="V315" t="s">
        <v>154</v>
      </c>
    </row>
    <row r="316" spans="9:22" x14ac:dyDescent="0.45">
      <c r="I316" t="s">
        <v>175</v>
      </c>
      <c r="J316" t="s">
        <v>257</v>
      </c>
      <c r="K316">
        <v>0</v>
      </c>
      <c r="L316" t="s">
        <v>154</v>
      </c>
      <c r="N316" t="s">
        <v>204</v>
      </c>
      <c r="O316" t="s">
        <v>257</v>
      </c>
      <c r="P316">
        <v>0.12548967824846202</v>
      </c>
      <c r="Q316" t="s">
        <v>154</v>
      </c>
      <c r="S316" t="s">
        <v>228</v>
      </c>
      <c r="T316" t="s">
        <v>257</v>
      </c>
      <c r="U316">
        <v>0.1165229173282193</v>
      </c>
      <c r="V316" t="s">
        <v>154</v>
      </c>
    </row>
    <row r="317" spans="9:22" x14ac:dyDescent="0.45">
      <c r="I317" t="s">
        <v>175</v>
      </c>
      <c r="J317" t="s">
        <v>157</v>
      </c>
      <c r="K317">
        <v>0</v>
      </c>
      <c r="L317" t="s">
        <v>154</v>
      </c>
      <c r="N317" t="s">
        <v>204</v>
      </c>
      <c r="O317" t="s">
        <v>157</v>
      </c>
      <c r="P317">
        <v>5.8398634524648363E-3</v>
      </c>
      <c r="Q317" t="s">
        <v>154</v>
      </c>
      <c r="S317" t="s">
        <v>228</v>
      </c>
      <c r="T317" t="s">
        <v>157</v>
      </c>
      <c r="U317">
        <v>1.3547173603276797E-2</v>
      </c>
      <c r="V317" t="s">
        <v>154</v>
      </c>
    </row>
    <row r="318" spans="9:22" x14ac:dyDescent="0.45">
      <c r="I318" t="s">
        <v>175</v>
      </c>
      <c r="J318" t="s">
        <v>158</v>
      </c>
      <c r="K318">
        <v>9.4243478273947686E-3</v>
      </c>
      <c r="L318" t="s">
        <v>154</v>
      </c>
      <c r="N318" t="s">
        <v>204</v>
      </c>
      <c r="O318" t="s">
        <v>158</v>
      </c>
      <c r="P318">
        <v>1.498855106936141E-3</v>
      </c>
      <c r="Q318" t="s">
        <v>154</v>
      </c>
      <c r="S318" t="s">
        <v>228</v>
      </c>
      <c r="T318" t="s">
        <v>158</v>
      </c>
      <c r="U318">
        <v>3.6186369257705281E-3</v>
      </c>
      <c r="V318" t="s">
        <v>154</v>
      </c>
    </row>
    <row r="319" spans="9:22" x14ac:dyDescent="0.45">
      <c r="I319" t="s">
        <v>175</v>
      </c>
      <c r="J319" t="s">
        <v>159</v>
      </c>
      <c r="K319">
        <v>5.7556615703475082E-2</v>
      </c>
      <c r="L319" t="s">
        <v>154</v>
      </c>
      <c r="N319" t="s">
        <v>204</v>
      </c>
      <c r="O319" t="s">
        <v>159</v>
      </c>
      <c r="P319">
        <v>7.1462180810580259E-3</v>
      </c>
      <c r="Q319" t="s">
        <v>154</v>
      </c>
      <c r="S319" t="s">
        <v>228</v>
      </c>
      <c r="T319" t="s">
        <v>159</v>
      </c>
      <c r="U319">
        <v>1.682174329470347E-2</v>
      </c>
      <c r="V319" t="s">
        <v>154</v>
      </c>
    </row>
    <row r="320" spans="9:22" x14ac:dyDescent="0.45">
      <c r="I320" t="s">
        <v>175</v>
      </c>
      <c r="J320" t="s">
        <v>258</v>
      </c>
      <c r="K320">
        <v>3.4524877489637801E-3</v>
      </c>
      <c r="L320" t="s">
        <v>154</v>
      </c>
      <c r="N320" t="s">
        <v>204</v>
      </c>
      <c r="O320" t="s">
        <v>258</v>
      </c>
      <c r="P320">
        <v>8.3934290954467924E-4</v>
      </c>
      <c r="Q320" t="s">
        <v>154</v>
      </c>
      <c r="S320" t="s">
        <v>228</v>
      </c>
      <c r="T320" t="s">
        <v>258</v>
      </c>
      <c r="U320">
        <v>2.3114032546772459E-3</v>
      </c>
      <c r="V320" t="s">
        <v>154</v>
      </c>
    </row>
    <row r="321" spans="9:22" x14ac:dyDescent="0.45">
      <c r="I321" t="s">
        <v>175</v>
      </c>
      <c r="J321" t="s">
        <v>259</v>
      </c>
      <c r="K321">
        <v>2.0496926036252671E-3</v>
      </c>
      <c r="L321" t="s">
        <v>154</v>
      </c>
      <c r="N321" t="s">
        <v>204</v>
      </c>
      <c r="O321" t="s">
        <v>259</v>
      </c>
      <c r="P321">
        <v>8.6976228332407823E-4</v>
      </c>
      <c r="Q321" t="s">
        <v>154</v>
      </c>
      <c r="S321" t="s">
        <v>228</v>
      </c>
      <c r="T321" t="s">
        <v>259</v>
      </c>
      <c r="U321">
        <v>1.7089589618308374E-3</v>
      </c>
      <c r="V321" t="s">
        <v>154</v>
      </c>
    </row>
    <row r="322" spans="9:22" x14ac:dyDescent="0.45">
      <c r="I322" t="s">
        <v>175</v>
      </c>
      <c r="J322" t="s">
        <v>260</v>
      </c>
      <c r="K322">
        <v>0</v>
      </c>
      <c r="L322" t="s">
        <v>154</v>
      </c>
      <c r="N322" t="s">
        <v>204</v>
      </c>
      <c r="O322" t="s">
        <v>260</v>
      </c>
      <c r="P322">
        <v>3.7619370010235501E-3</v>
      </c>
      <c r="Q322" t="s">
        <v>154</v>
      </c>
      <c r="S322" t="s">
        <v>228</v>
      </c>
      <c r="T322" t="s">
        <v>260</v>
      </c>
      <c r="U322">
        <v>8.7718441981659082E-3</v>
      </c>
      <c r="V322" t="s">
        <v>154</v>
      </c>
    </row>
    <row r="323" spans="9:22" x14ac:dyDescent="0.45">
      <c r="I323" t="s">
        <v>175</v>
      </c>
      <c r="J323" t="s">
        <v>160</v>
      </c>
      <c r="K323">
        <v>1.6466171826046665E-4</v>
      </c>
      <c r="L323" t="s">
        <v>154</v>
      </c>
      <c r="N323" t="s">
        <v>204</v>
      </c>
      <c r="O323" t="s">
        <v>160</v>
      </c>
      <c r="P323">
        <v>3.5929761504056287E-2</v>
      </c>
      <c r="Q323" t="s">
        <v>154</v>
      </c>
      <c r="S323" t="s">
        <v>228</v>
      </c>
      <c r="T323" t="s">
        <v>160</v>
      </c>
      <c r="U323">
        <v>3.2252171867092012E-2</v>
      </c>
      <c r="V323" t="s">
        <v>154</v>
      </c>
    </row>
    <row r="324" spans="9:22" x14ac:dyDescent="0.45">
      <c r="I324" t="s">
        <v>175</v>
      </c>
      <c r="J324" t="s">
        <v>161</v>
      </c>
      <c r="K324">
        <v>9.0975114030279088E-3</v>
      </c>
      <c r="L324" t="s">
        <v>154</v>
      </c>
      <c r="N324" t="s">
        <v>204</v>
      </c>
      <c r="O324" t="s">
        <v>161</v>
      </c>
      <c r="P324">
        <v>1.0219941729591378E-2</v>
      </c>
      <c r="Q324" t="s">
        <v>154</v>
      </c>
      <c r="S324" t="s">
        <v>228</v>
      </c>
      <c r="T324" t="s">
        <v>161</v>
      </c>
      <c r="U324">
        <v>8.7495643643482716E-3</v>
      </c>
      <c r="V324" t="s">
        <v>154</v>
      </c>
    </row>
    <row r="325" spans="9:22" x14ac:dyDescent="0.45">
      <c r="I325" t="s">
        <v>175</v>
      </c>
      <c r="J325" t="s">
        <v>162</v>
      </c>
      <c r="K325">
        <v>6.5091856106067436E-2</v>
      </c>
      <c r="L325" t="s">
        <v>154</v>
      </c>
      <c r="N325" t="s">
        <v>204</v>
      </c>
      <c r="O325" t="s">
        <v>162</v>
      </c>
      <c r="P325">
        <v>5.8600065789254883E-2</v>
      </c>
      <c r="Q325" t="s">
        <v>154</v>
      </c>
      <c r="S325" t="s">
        <v>228</v>
      </c>
      <c r="T325" t="s">
        <v>162</v>
      </c>
      <c r="U325">
        <v>3.3899402351898172E-2</v>
      </c>
      <c r="V325" t="s">
        <v>154</v>
      </c>
    </row>
    <row r="326" spans="9:22" x14ac:dyDescent="0.45">
      <c r="I326" t="s">
        <v>175</v>
      </c>
      <c r="J326" t="s">
        <v>261</v>
      </c>
      <c r="K326">
        <v>3.0514829891887365E-3</v>
      </c>
      <c r="L326" t="s">
        <v>154</v>
      </c>
      <c r="N326" t="s">
        <v>204</v>
      </c>
      <c r="O326" t="s">
        <v>261</v>
      </c>
      <c r="P326">
        <v>6.3717874207496021E-3</v>
      </c>
      <c r="Q326" t="s">
        <v>154</v>
      </c>
      <c r="S326" t="s">
        <v>228</v>
      </c>
      <c r="T326" t="s">
        <v>261</v>
      </c>
      <c r="U326">
        <v>3.8603692658016209E-3</v>
      </c>
      <c r="V326" t="s">
        <v>154</v>
      </c>
    </row>
    <row r="327" spans="9:22" x14ac:dyDescent="0.45">
      <c r="I327" t="s">
        <v>175</v>
      </c>
      <c r="J327" t="s">
        <v>262</v>
      </c>
      <c r="K327">
        <v>1.7974555251155649E-5</v>
      </c>
      <c r="L327" t="s">
        <v>154</v>
      </c>
      <c r="N327" t="s">
        <v>204</v>
      </c>
      <c r="O327" t="s">
        <v>262</v>
      </c>
      <c r="P327">
        <v>5.6344137107154366E-3</v>
      </c>
      <c r="Q327" t="s">
        <v>154</v>
      </c>
      <c r="S327" t="s">
        <v>228</v>
      </c>
      <c r="T327" t="s">
        <v>262</v>
      </c>
      <c r="U327">
        <v>3.5965364594833043E-3</v>
      </c>
      <c r="V327" t="s">
        <v>154</v>
      </c>
    </row>
    <row r="328" spans="9:22" x14ac:dyDescent="0.45">
      <c r="I328" t="s">
        <v>175</v>
      </c>
      <c r="J328" t="s">
        <v>263</v>
      </c>
      <c r="K328">
        <v>0</v>
      </c>
      <c r="L328" t="s">
        <v>154</v>
      </c>
      <c r="N328" t="s">
        <v>204</v>
      </c>
      <c r="O328" t="s">
        <v>263</v>
      </c>
      <c r="P328">
        <v>2.6318287756168037E-2</v>
      </c>
      <c r="Q328" t="s">
        <v>154</v>
      </c>
      <c r="S328" t="s">
        <v>228</v>
      </c>
      <c r="T328" t="s">
        <v>263</v>
      </c>
      <c r="U328">
        <v>1.9618033166362854E-2</v>
      </c>
      <c r="V328" t="s">
        <v>154</v>
      </c>
    </row>
    <row r="329" spans="9:22" x14ac:dyDescent="0.45">
      <c r="I329" t="s">
        <v>175</v>
      </c>
      <c r="J329" t="s">
        <v>163</v>
      </c>
      <c r="K329">
        <v>3.3876566373855629E-4</v>
      </c>
      <c r="L329" t="s">
        <v>154</v>
      </c>
      <c r="N329" t="s">
        <v>204</v>
      </c>
      <c r="O329" t="s">
        <v>163</v>
      </c>
      <c r="P329">
        <v>7.0423974950624803E-3</v>
      </c>
      <c r="Q329" t="s">
        <v>154</v>
      </c>
      <c r="S329" t="s">
        <v>228</v>
      </c>
      <c r="T329" t="s">
        <v>163</v>
      </c>
      <c r="U329">
        <v>1.6397363899076069E-2</v>
      </c>
      <c r="V329" t="s">
        <v>154</v>
      </c>
    </row>
    <row r="330" spans="9:22" x14ac:dyDescent="0.45">
      <c r="I330" t="s">
        <v>175</v>
      </c>
      <c r="J330" t="s">
        <v>164</v>
      </c>
      <c r="K330">
        <v>9.0515169040206057E-3</v>
      </c>
      <c r="L330" t="s">
        <v>154</v>
      </c>
      <c r="N330" t="s">
        <v>204</v>
      </c>
      <c r="O330" t="s">
        <v>164</v>
      </c>
      <c r="P330">
        <v>2.6350459005056253E-3</v>
      </c>
      <c r="Q330" t="s">
        <v>154</v>
      </c>
      <c r="S330" t="s">
        <v>228</v>
      </c>
      <c r="T330" t="s">
        <v>164</v>
      </c>
      <c r="U330">
        <v>4.3053378124318746E-3</v>
      </c>
      <c r="V330" t="s">
        <v>154</v>
      </c>
    </row>
    <row r="331" spans="9:22" x14ac:dyDescent="0.45">
      <c r="I331" t="s">
        <v>175</v>
      </c>
      <c r="J331" t="s">
        <v>165</v>
      </c>
      <c r="K331">
        <v>5.3816494867624139E-2</v>
      </c>
      <c r="L331" t="s">
        <v>154</v>
      </c>
      <c r="N331" t="s">
        <v>204</v>
      </c>
      <c r="O331" t="s">
        <v>165</v>
      </c>
      <c r="P331">
        <v>1.3353877581125786E-2</v>
      </c>
      <c r="Q331" t="s">
        <v>154</v>
      </c>
      <c r="S331" t="s">
        <v>228</v>
      </c>
      <c r="T331" t="s">
        <v>165</v>
      </c>
      <c r="U331">
        <v>1.7420571717952901E-2</v>
      </c>
      <c r="V331" t="s">
        <v>154</v>
      </c>
    </row>
    <row r="332" spans="9:22" x14ac:dyDescent="0.45">
      <c r="I332" t="s">
        <v>175</v>
      </c>
      <c r="J332" t="s">
        <v>264</v>
      </c>
      <c r="K332">
        <v>2.6711716681303622E-3</v>
      </c>
      <c r="L332" t="s">
        <v>154</v>
      </c>
      <c r="N332" t="s">
        <v>204</v>
      </c>
      <c r="O332" t="s">
        <v>264</v>
      </c>
      <c r="P332">
        <v>1.7155433445636943E-3</v>
      </c>
      <c r="Q332" t="s">
        <v>154</v>
      </c>
      <c r="S332" t="s">
        <v>228</v>
      </c>
      <c r="T332" t="s">
        <v>264</v>
      </c>
      <c r="U332">
        <v>2.5853880346308057E-3</v>
      </c>
      <c r="V332" t="s">
        <v>154</v>
      </c>
    </row>
    <row r="333" spans="9:22" x14ac:dyDescent="0.45">
      <c r="I333" t="s">
        <v>175</v>
      </c>
      <c r="J333" t="s">
        <v>265</v>
      </c>
      <c r="K333">
        <v>0</v>
      </c>
      <c r="L333" t="s">
        <v>154</v>
      </c>
      <c r="N333" t="s">
        <v>204</v>
      </c>
      <c r="O333" t="s">
        <v>265</v>
      </c>
      <c r="P333">
        <v>1.6431795926302383E-3</v>
      </c>
      <c r="Q333" t="s">
        <v>154</v>
      </c>
      <c r="S333" t="s">
        <v>228</v>
      </c>
      <c r="T333" t="s">
        <v>265</v>
      </c>
      <c r="U333">
        <v>2.3230501008089013E-3</v>
      </c>
      <c r="V333" t="s">
        <v>154</v>
      </c>
    </row>
    <row r="334" spans="9:22" x14ac:dyDescent="0.45">
      <c r="I334" t="s">
        <v>175</v>
      </c>
      <c r="J334" t="s">
        <v>266</v>
      </c>
      <c r="K334">
        <v>0</v>
      </c>
      <c r="L334" t="s">
        <v>154</v>
      </c>
      <c r="N334" t="s">
        <v>204</v>
      </c>
      <c r="O334" t="s">
        <v>266</v>
      </c>
      <c r="P334">
        <v>6.4283425760087937E-3</v>
      </c>
      <c r="Q334" t="s">
        <v>154</v>
      </c>
      <c r="S334" t="s">
        <v>228</v>
      </c>
      <c r="T334" t="s">
        <v>266</v>
      </c>
      <c r="U334">
        <v>1.3938516067307054E-2</v>
      </c>
      <c r="V334" t="s">
        <v>154</v>
      </c>
    </row>
    <row r="335" spans="9:22" x14ac:dyDescent="0.45">
      <c r="I335" t="s">
        <v>175</v>
      </c>
      <c r="J335" t="s">
        <v>272</v>
      </c>
      <c r="K335">
        <v>4.5025942113125587E-6</v>
      </c>
      <c r="L335" t="s">
        <v>154</v>
      </c>
      <c r="N335" t="s">
        <v>204</v>
      </c>
      <c r="O335" t="s">
        <v>272</v>
      </c>
      <c r="P335">
        <v>5.12658574401577E-2</v>
      </c>
      <c r="Q335" t="s">
        <v>154</v>
      </c>
      <c r="S335" t="s">
        <v>228</v>
      </c>
      <c r="T335" t="s">
        <v>272</v>
      </c>
      <c r="U335">
        <v>6.9423352151268686E-2</v>
      </c>
      <c r="V335" t="s">
        <v>154</v>
      </c>
    </row>
    <row r="336" spans="9:22" x14ac:dyDescent="0.45">
      <c r="I336" t="s">
        <v>175</v>
      </c>
      <c r="J336" t="s">
        <v>273</v>
      </c>
      <c r="K336">
        <v>2.1213980843245224E-2</v>
      </c>
      <c r="L336" t="s">
        <v>154</v>
      </c>
      <c r="N336" t="s">
        <v>204</v>
      </c>
      <c r="O336" t="s">
        <v>273</v>
      </c>
      <c r="P336">
        <v>1.4266756698140932E-2</v>
      </c>
      <c r="Q336" t="s">
        <v>154</v>
      </c>
      <c r="S336" t="s">
        <v>228</v>
      </c>
      <c r="T336" t="s">
        <v>273</v>
      </c>
      <c r="U336">
        <v>1.8832896270535894E-2</v>
      </c>
      <c r="V336" t="s">
        <v>154</v>
      </c>
    </row>
    <row r="337" spans="9:22" x14ac:dyDescent="0.45">
      <c r="I337" t="s">
        <v>175</v>
      </c>
      <c r="J337" t="s">
        <v>274</v>
      </c>
      <c r="K337">
        <v>0.12176636749794306</v>
      </c>
      <c r="L337" t="s">
        <v>154</v>
      </c>
      <c r="N337" t="s">
        <v>204</v>
      </c>
      <c r="O337" t="s">
        <v>274</v>
      </c>
      <c r="P337">
        <v>6.2471108065484331E-2</v>
      </c>
      <c r="Q337" t="s">
        <v>154</v>
      </c>
      <c r="S337" t="s">
        <v>228</v>
      </c>
      <c r="T337" t="s">
        <v>274</v>
      </c>
      <c r="U337">
        <v>7.5238014053977689E-2</v>
      </c>
      <c r="V337" t="s">
        <v>154</v>
      </c>
    </row>
    <row r="338" spans="9:22" x14ac:dyDescent="0.45">
      <c r="I338" t="s">
        <v>175</v>
      </c>
      <c r="J338" t="s">
        <v>275</v>
      </c>
      <c r="K338">
        <v>7.2818762482660514E-3</v>
      </c>
      <c r="L338" t="s">
        <v>154</v>
      </c>
      <c r="N338" t="s">
        <v>204</v>
      </c>
      <c r="O338" t="s">
        <v>275</v>
      </c>
      <c r="P338">
        <v>7.4324525575420394E-3</v>
      </c>
      <c r="Q338" t="s">
        <v>154</v>
      </c>
      <c r="S338" t="s">
        <v>228</v>
      </c>
      <c r="T338" t="s">
        <v>275</v>
      </c>
      <c r="U338">
        <v>9.1420366089162639E-3</v>
      </c>
      <c r="V338" t="s">
        <v>154</v>
      </c>
    </row>
    <row r="339" spans="9:22" x14ac:dyDescent="0.45">
      <c r="I339" t="s">
        <v>175</v>
      </c>
      <c r="J339" t="s">
        <v>276</v>
      </c>
      <c r="K339">
        <v>1.1015188294375806E-7</v>
      </c>
      <c r="L339" t="s">
        <v>154</v>
      </c>
      <c r="N339" t="s">
        <v>204</v>
      </c>
      <c r="O339" t="s">
        <v>276</v>
      </c>
      <c r="P339">
        <v>6.1046341478071427E-3</v>
      </c>
      <c r="Q339" t="s">
        <v>154</v>
      </c>
      <c r="S339" t="s">
        <v>228</v>
      </c>
      <c r="T339" t="s">
        <v>276</v>
      </c>
      <c r="U339">
        <v>9.200751908309367E-3</v>
      </c>
      <c r="V339" t="s">
        <v>154</v>
      </c>
    </row>
    <row r="340" spans="9:22" x14ac:dyDescent="0.45">
      <c r="I340" t="s">
        <v>175</v>
      </c>
      <c r="J340" t="s">
        <v>277</v>
      </c>
      <c r="K340">
        <v>0</v>
      </c>
      <c r="L340" t="s">
        <v>154</v>
      </c>
      <c r="N340" t="s">
        <v>204</v>
      </c>
      <c r="O340" t="s">
        <v>277</v>
      </c>
      <c r="P340">
        <v>3.4853402073841432E-2</v>
      </c>
      <c r="Q340" t="s">
        <v>154</v>
      </c>
      <c r="S340" t="s">
        <v>228</v>
      </c>
      <c r="T340" t="s">
        <v>277</v>
      </c>
      <c r="U340">
        <v>5.3639440284454915E-2</v>
      </c>
      <c r="V340" t="s">
        <v>154</v>
      </c>
    </row>
    <row r="341" spans="9:22" x14ac:dyDescent="0.45">
      <c r="I341" t="s">
        <v>176</v>
      </c>
      <c r="J341" t="s">
        <v>153</v>
      </c>
      <c r="K341">
        <v>2.1987519979182611E-4</v>
      </c>
      <c r="L341" t="s">
        <v>154</v>
      </c>
      <c r="N341" t="s">
        <v>205</v>
      </c>
      <c r="O341" t="s">
        <v>153</v>
      </c>
      <c r="P341">
        <v>0.17786618047072489</v>
      </c>
      <c r="Q341" t="s">
        <v>154</v>
      </c>
      <c r="S341" t="s">
        <v>229</v>
      </c>
      <c r="T341" t="s">
        <v>153</v>
      </c>
      <c r="U341">
        <v>0.16326532085156129</v>
      </c>
      <c r="V341" t="s">
        <v>154</v>
      </c>
    </row>
    <row r="342" spans="9:22" x14ac:dyDescent="0.45">
      <c r="I342" t="s">
        <v>176</v>
      </c>
      <c r="J342" t="s">
        <v>155</v>
      </c>
      <c r="K342">
        <v>7.9406789924040905E-2</v>
      </c>
      <c r="L342" t="s">
        <v>154</v>
      </c>
      <c r="N342" t="s">
        <v>205</v>
      </c>
      <c r="O342" t="s">
        <v>155</v>
      </c>
      <c r="P342">
        <v>4.8143601097485049E-2</v>
      </c>
      <c r="Q342" t="s">
        <v>154</v>
      </c>
      <c r="S342" t="s">
        <v>229</v>
      </c>
      <c r="T342" t="s">
        <v>155</v>
      </c>
      <c r="U342">
        <v>4.2229616697483617E-2</v>
      </c>
      <c r="V342" t="s">
        <v>154</v>
      </c>
    </row>
    <row r="343" spans="9:22" x14ac:dyDescent="0.45">
      <c r="I343" t="s">
        <v>176</v>
      </c>
      <c r="J343" t="s">
        <v>156</v>
      </c>
      <c r="K343">
        <v>0.51860456400850574</v>
      </c>
      <c r="L343" t="s">
        <v>154</v>
      </c>
      <c r="N343" t="s">
        <v>205</v>
      </c>
      <c r="O343" t="s">
        <v>156</v>
      </c>
      <c r="P343">
        <v>0.23723302260262261</v>
      </c>
      <c r="Q343" t="s">
        <v>154</v>
      </c>
      <c r="S343" t="s">
        <v>229</v>
      </c>
      <c r="T343" t="s">
        <v>156</v>
      </c>
      <c r="U343">
        <v>0.17832232373622076</v>
      </c>
      <c r="V343" t="s">
        <v>154</v>
      </c>
    </row>
    <row r="344" spans="9:22" x14ac:dyDescent="0.45">
      <c r="I344" t="s">
        <v>176</v>
      </c>
      <c r="J344" t="s">
        <v>255</v>
      </c>
      <c r="K344">
        <v>2.4639854519869362E-2</v>
      </c>
      <c r="L344" t="s">
        <v>154</v>
      </c>
      <c r="N344" t="s">
        <v>205</v>
      </c>
      <c r="O344" t="s">
        <v>255</v>
      </c>
      <c r="P344">
        <v>2.9118612288696583E-2</v>
      </c>
      <c r="Q344" t="s">
        <v>154</v>
      </c>
      <c r="S344" t="s">
        <v>229</v>
      </c>
      <c r="T344" t="s">
        <v>255</v>
      </c>
      <c r="U344">
        <v>2.2719712787182034E-2</v>
      </c>
      <c r="V344" t="s">
        <v>154</v>
      </c>
    </row>
    <row r="345" spans="9:22" x14ac:dyDescent="0.45">
      <c r="I345" t="s">
        <v>176</v>
      </c>
      <c r="J345" t="s">
        <v>256</v>
      </c>
      <c r="K345">
        <v>1.4136174758615706E-2</v>
      </c>
      <c r="L345" t="s">
        <v>154</v>
      </c>
      <c r="N345" t="s">
        <v>205</v>
      </c>
      <c r="O345" t="s">
        <v>256</v>
      </c>
      <c r="P345">
        <v>2.65791670548138E-2</v>
      </c>
      <c r="Q345" t="s">
        <v>154</v>
      </c>
      <c r="S345" t="s">
        <v>229</v>
      </c>
      <c r="T345" t="s">
        <v>256</v>
      </c>
      <c r="U345">
        <v>2.0682013833721664E-2</v>
      </c>
      <c r="V345" t="s">
        <v>154</v>
      </c>
    </row>
    <row r="346" spans="9:22" x14ac:dyDescent="0.45">
      <c r="I346" t="s">
        <v>176</v>
      </c>
      <c r="J346" t="s">
        <v>257</v>
      </c>
      <c r="K346">
        <v>0</v>
      </c>
      <c r="L346" t="s">
        <v>154</v>
      </c>
      <c r="N346" t="s">
        <v>205</v>
      </c>
      <c r="O346" t="s">
        <v>257</v>
      </c>
      <c r="P346">
        <v>0.12940659922957207</v>
      </c>
      <c r="Q346" t="s">
        <v>154</v>
      </c>
      <c r="S346" t="s">
        <v>229</v>
      </c>
      <c r="T346" t="s">
        <v>257</v>
      </c>
      <c r="U346">
        <v>0.11740598603723626</v>
      </c>
      <c r="V346" t="s">
        <v>154</v>
      </c>
    </row>
    <row r="347" spans="9:22" x14ac:dyDescent="0.45">
      <c r="I347" t="s">
        <v>176</v>
      </c>
      <c r="J347" t="s">
        <v>157</v>
      </c>
      <c r="K347">
        <v>0</v>
      </c>
      <c r="L347" t="s">
        <v>154</v>
      </c>
      <c r="N347" t="s">
        <v>205</v>
      </c>
      <c r="O347" t="s">
        <v>157</v>
      </c>
      <c r="P347">
        <v>3.4619740554033109E-3</v>
      </c>
      <c r="Q347" t="s">
        <v>154</v>
      </c>
      <c r="S347" t="s">
        <v>229</v>
      </c>
      <c r="T347" t="s">
        <v>157</v>
      </c>
      <c r="U347">
        <v>1.4798634937846692E-2</v>
      </c>
      <c r="V347" t="s">
        <v>154</v>
      </c>
    </row>
    <row r="348" spans="9:22" x14ac:dyDescent="0.45">
      <c r="I348" t="s">
        <v>176</v>
      </c>
      <c r="J348" t="s">
        <v>158</v>
      </c>
      <c r="K348">
        <v>9.682664060910293E-3</v>
      </c>
      <c r="L348" t="s">
        <v>154</v>
      </c>
      <c r="N348" t="s">
        <v>205</v>
      </c>
      <c r="O348" t="s">
        <v>158</v>
      </c>
      <c r="P348">
        <v>6.9209976722539623E-4</v>
      </c>
      <c r="Q348" t="s">
        <v>154</v>
      </c>
      <c r="S348" t="s">
        <v>229</v>
      </c>
      <c r="T348" t="s">
        <v>158</v>
      </c>
      <c r="U348">
        <v>4.3399186949296719E-3</v>
      </c>
      <c r="V348" t="s">
        <v>154</v>
      </c>
    </row>
    <row r="349" spans="9:22" x14ac:dyDescent="0.45">
      <c r="I349" t="s">
        <v>176</v>
      </c>
      <c r="J349" t="s">
        <v>159</v>
      </c>
      <c r="K349">
        <v>5.7627886002011998E-2</v>
      </c>
      <c r="L349" t="s">
        <v>154</v>
      </c>
      <c r="N349" t="s">
        <v>205</v>
      </c>
      <c r="O349" t="s">
        <v>159</v>
      </c>
      <c r="P349">
        <v>5.2315615313479127E-3</v>
      </c>
      <c r="Q349" t="s">
        <v>154</v>
      </c>
      <c r="S349" t="s">
        <v>229</v>
      </c>
      <c r="T349" t="s">
        <v>159</v>
      </c>
      <c r="U349">
        <v>1.7426284937603904E-2</v>
      </c>
      <c r="V349" t="s">
        <v>154</v>
      </c>
    </row>
    <row r="350" spans="9:22" x14ac:dyDescent="0.45">
      <c r="I350" t="s">
        <v>176</v>
      </c>
      <c r="J350" t="s">
        <v>258</v>
      </c>
      <c r="K350">
        <v>2.9362279384516159E-3</v>
      </c>
      <c r="L350" t="s">
        <v>154</v>
      </c>
      <c r="N350" t="s">
        <v>205</v>
      </c>
      <c r="O350" t="s">
        <v>258</v>
      </c>
      <c r="P350">
        <v>7.4017306451155767E-4</v>
      </c>
      <c r="Q350" t="s">
        <v>154</v>
      </c>
      <c r="S350" t="s">
        <v>229</v>
      </c>
      <c r="T350" t="s">
        <v>258</v>
      </c>
      <c r="U350">
        <v>2.1647886974550308E-3</v>
      </c>
      <c r="V350" t="s">
        <v>154</v>
      </c>
    </row>
    <row r="351" spans="9:22" x14ac:dyDescent="0.45">
      <c r="I351" t="s">
        <v>176</v>
      </c>
      <c r="J351" t="s">
        <v>259</v>
      </c>
      <c r="K351">
        <v>1.7497534089773589E-3</v>
      </c>
      <c r="L351" t="s">
        <v>154</v>
      </c>
      <c r="N351" t="s">
        <v>205</v>
      </c>
      <c r="O351" t="s">
        <v>259</v>
      </c>
      <c r="P351">
        <v>7.8755254124227936E-4</v>
      </c>
      <c r="Q351" t="s">
        <v>154</v>
      </c>
      <c r="S351" t="s">
        <v>229</v>
      </c>
      <c r="T351" t="s">
        <v>259</v>
      </c>
      <c r="U351">
        <v>2.2100753127474535E-3</v>
      </c>
      <c r="V351" t="s">
        <v>154</v>
      </c>
    </row>
    <row r="352" spans="9:22" x14ac:dyDescent="0.45">
      <c r="I352" t="s">
        <v>176</v>
      </c>
      <c r="J352" t="s">
        <v>260</v>
      </c>
      <c r="K352">
        <v>0</v>
      </c>
      <c r="L352" t="s">
        <v>154</v>
      </c>
      <c r="N352" t="s">
        <v>205</v>
      </c>
      <c r="O352" t="s">
        <v>260</v>
      </c>
      <c r="P352">
        <v>2.6335111088493061E-3</v>
      </c>
      <c r="Q352" t="s">
        <v>154</v>
      </c>
      <c r="S352" t="s">
        <v>229</v>
      </c>
      <c r="T352" t="s">
        <v>260</v>
      </c>
      <c r="U352">
        <v>1.1372280642528272E-2</v>
      </c>
      <c r="V352" t="s">
        <v>154</v>
      </c>
    </row>
    <row r="353" spans="9:22" x14ac:dyDescent="0.45">
      <c r="I353" t="s">
        <v>176</v>
      </c>
      <c r="J353" t="s">
        <v>160</v>
      </c>
      <c r="K353">
        <v>0</v>
      </c>
      <c r="L353" t="s">
        <v>154</v>
      </c>
      <c r="N353" t="s">
        <v>205</v>
      </c>
      <c r="O353" t="s">
        <v>160</v>
      </c>
      <c r="P353">
        <v>3.2650104577982716E-2</v>
      </c>
      <c r="Q353" t="s">
        <v>154</v>
      </c>
      <c r="S353" t="s">
        <v>229</v>
      </c>
      <c r="T353" t="s">
        <v>160</v>
      </c>
      <c r="U353">
        <v>2.6675892622620746E-2</v>
      </c>
      <c r="V353" t="s">
        <v>154</v>
      </c>
    </row>
    <row r="354" spans="9:22" x14ac:dyDescent="0.45">
      <c r="I354" t="s">
        <v>176</v>
      </c>
      <c r="J354" t="s">
        <v>161</v>
      </c>
      <c r="K354">
        <v>8.2861422608881009E-3</v>
      </c>
      <c r="L354" t="s">
        <v>154</v>
      </c>
      <c r="N354" t="s">
        <v>205</v>
      </c>
      <c r="O354" t="s">
        <v>161</v>
      </c>
      <c r="P354">
        <v>9.3878748092754722E-3</v>
      </c>
      <c r="Q354" t="s">
        <v>154</v>
      </c>
      <c r="S354" t="s">
        <v>229</v>
      </c>
      <c r="T354" t="s">
        <v>161</v>
      </c>
      <c r="U354">
        <v>7.8539269227880827E-3</v>
      </c>
      <c r="V354" t="s">
        <v>154</v>
      </c>
    </row>
    <row r="355" spans="9:22" x14ac:dyDescent="0.45">
      <c r="I355" t="s">
        <v>176</v>
      </c>
      <c r="J355" t="s">
        <v>162</v>
      </c>
      <c r="K355">
        <v>6.1256619279587844E-2</v>
      </c>
      <c r="L355" t="s">
        <v>154</v>
      </c>
      <c r="N355" t="s">
        <v>205</v>
      </c>
      <c r="O355" t="s">
        <v>162</v>
      </c>
      <c r="P355">
        <v>5.6931445234490625E-2</v>
      </c>
      <c r="Q355" t="s">
        <v>154</v>
      </c>
      <c r="S355" t="s">
        <v>229</v>
      </c>
      <c r="T355" t="s">
        <v>162</v>
      </c>
      <c r="U355">
        <v>2.8966978994061327E-2</v>
      </c>
      <c r="V355" t="s">
        <v>154</v>
      </c>
    </row>
    <row r="356" spans="9:22" x14ac:dyDescent="0.45">
      <c r="I356" t="s">
        <v>176</v>
      </c>
      <c r="J356" t="s">
        <v>261</v>
      </c>
      <c r="K356">
        <v>2.5872649397612264E-3</v>
      </c>
      <c r="L356" t="s">
        <v>154</v>
      </c>
      <c r="N356" t="s">
        <v>205</v>
      </c>
      <c r="O356" t="s">
        <v>261</v>
      </c>
      <c r="P356">
        <v>6.9260887630454814E-3</v>
      </c>
      <c r="Q356" t="s">
        <v>154</v>
      </c>
      <c r="S356" t="s">
        <v>229</v>
      </c>
      <c r="T356" t="s">
        <v>261</v>
      </c>
      <c r="U356">
        <v>3.6384597699588182E-3</v>
      </c>
      <c r="V356" t="s">
        <v>154</v>
      </c>
    </row>
    <row r="357" spans="9:22" x14ac:dyDescent="0.45">
      <c r="I357" t="s">
        <v>176</v>
      </c>
      <c r="J357" t="s">
        <v>262</v>
      </c>
      <c r="K357">
        <v>3.9675623060220878E-4</v>
      </c>
      <c r="L357" t="s">
        <v>154</v>
      </c>
      <c r="N357" t="s">
        <v>205</v>
      </c>
      <c r="O357" t="s">
        <v>262</v>
      </c>
      <c r="P357">
        <v>5.971328986295126E-3</v>
      </c>
      <c r="Q357" t="s">
        <v>154</v>
      </c>
      <c r="S357" t="s">
        <v>229</v>
      </c>
      <c r="T357" t="s">
        <v>262</v>
      </c>
      <c r="U357">
        <v>3.5204614558795849E-3</v>
      </c>
      <c r="V357" t="s">
        <v>154</v>
      </c>
    </row>
    <row r="358" spans="9:22" x14ac:dyDescent="0.45">
      <c r="I358" t="s">
        <v>176</v>
      </c>
      <c r="J358" t="s">
        <v>263</v>
      </c>
      <c r="K358">
        <v>0</v>
      </c>
      <c r="L358" t="s">
        <v>154</v>
      </c>
      <c r="N358" t="s">
        <v>205</v>
      </c>
      <c r="O358" t="s">
        <v>263</v>
      </c>
      <c r="P358">
        <v>2.2905438877180197E-2</v>
      </c>
      <c r="Q358" t="s">
        <v>154</v>
      </c>
      <c r="S358" t="s">
        <v>229</v>
      </c>
      <c r="T358" t="s">
        <v>263</v>
      </c>
      <c r="U358">
        <v>1.9203038185374437E-2</v>
      </c>
      <c r="V358" t="s">
        <v>154</v>
      </c>
    </row>
    <row r="359" spans="9:22" x14ac:dyDescent="0.45">
      <c r="I359" t="s">
        <v>176</v>
      </c>
      <c r="J359" t="s">
        <v>163</v>
      </c>
      <c r="K359">
        <v>0</v>
      </c>
      <c r="L359" t="s">
        <v>154</v>
      </c>
      <c r="N359" t="s">
        <v>205</v>
      </c>
      <c r="O359" t="s">
        <v>163</v>
      </c>
      <c r="P359">
        <v>7.2496553575430566E-3</v>
      </c>
      <c r="Q359" t="s">
        <v>154</v>
      </c>
      <c r="S359" t="s">
        <v>229</v>
      </c>
      <c r="T359" t="s">
        <v>163</v>
      </c>
      <c r="U359">
        <v>2.9437736664119873E-2</v>
      </c>
      <c r="V359" t="s">
        <v>154</v>
      </c>
    </row>
    <row r="360" spans="9:22" x14ac:dyDescent="0.45">
      <c r="I360" t="s">
        <v>176</v>
      </c>
      <c r="J360" t="s">
        <v>164</v>
      </c>
      <c r="K360">
        <v>8.294080528344884E-3</v>
      </c>
      <c r="L360" t="s">
        <v>154</v>
      </c>
      <c r="N360" t="s">
        <v>205</v>
      </c>
      <c r="O360" t="s">
        <v>164</v>
      </c>
      <c r="P360">
        <v>2.632267821427435E-3</v>
      </c>
      <c r="Q360" t="s">
        <v>154</v>
      </c>
      <c r="S360" t="s">
        <v>229</v>
      </c>
      <c r="T360" t="s">
        <v>164</v>
      </c>
      <c r="U360">
        <v>8.2658926850741506E-3</v>
      </c>
      <c r="V360" t="s">
        <v>154</v>
      </c>
    </row>
    <row r="361" spans="9:22" x14ac:dyDescent="0.45">
      <c r="I361" t="s">
        <v>176</v>
      </c>
      <c r="J361" t="s">
        <v>165</v>
      </c>
      <c r="K361">
        <v>5.0664437473758803E-2</v>
      </c>
      <c r="L361" t="s">
        <v>154</v>
      </c>
      <c r="N361" t="s">
        <v>205</v>
      </c>
      <c r="O361" t="s">
        <v>165</v>
      </c>
      <c r="P361">
        <v>1.3620333527477243E-2</v>
      </c>
      <c r="Q361" t="s">
        <v>154</v>
      </c>
      <c r="S361" t="s">
        <v>229</v>
      </c>
      <c r="T361" t="s">
        <v>165</v>
      </c>
      <c r="U361">
        <v>3.3071570378867821E-2</v>
      </c>
      <c r="V361" t="s">
        <v>154</v>
      </c>
    </row>
    <row r="362" spans="9:22" x14ac:dyDescent="0.45">
      <c r="I362" t="s">
        <v>176</v>
      </c>
      <c r="J362" t="s">
        <v>264</v>
      </c>
      <c r="K362">
        <v>1.7817810976314627E-3</v>
      </c>
      <c r="L362" t="s">
        <v>154</v>
      </c>
      <c r="N362" t="s">
        <v>205</v>
      </c>
      <c r="O362" t="s">
        <v>264</v>
      </c>
      <c r="P362">
        <v>1.5661745256636442E-3</v>
      </c>
      <c r="Q362" t="s">
        <v>154</v>
      </c>
      <c r="S362" t="s">
        <v>229</v>
      </c>
      <c r="T362" t="s">
        <v>264</v>
      </c>
      <c r="U362">
        <v>4.1937103061760071E-3</v>
      </c>
      <c r="V362" t="s">
        <v>154</v>
      </c>
    </row>
    <row r="363" spans="9:22" x14ac:dyDescent="0.45">
      <c r="I363" t="s">
        <v>176</v>
      </c>
      <c r="J363" t="s">
        <v>265</v>
      </c>
      <c r="K363">
        <v>0</v>
      </c>
      <c r="L363" t="s">
        <v>154</v>
      </c>
      <c r="N363" t="s">
        <v>205</v>
      </c>
      <c r="O363" t="s">
        <v>265</v>
      </c>
      <c r="P363">
        <v>1.2800631520579373E-3</v>
      </c>
      <c r="Q363" t="s">
        <v>154</v>
      </c>
      <c r="S363" t="s">
        <v>229</v>
      </c>
      <c r="T363" t="s">
        <v>265</v>
      </c>
      <c r="U363">
        <v>3.9894718420423886E-3</v>
      </c>
      <c r="V363" t="s">
        <v>154</v>
      </c>
    </row>
    <row r="364" spans="9:22" x14ac:dyDescent="0.45">
      <c r="I364" t="s">
        <v>176</v>
      </c>
      <c r="J364" t="s">
        <v>266</v>
      </c>
      <c r="K364">
        <v>0</v>
      </c>
      <c r="L364" t="s">
        <v>154</v>
      </c>
      <c r="N364" t="s">
        <v>205</v>
      </c>
      <c r="O364" t="s">
        <v>266</v>
      </c>
      <c r="P364">
        <v>5.9476598075127304E-3</v>
      </c>
      <c r="Q364" t="s">
        <v>154</v>
      </c>
      <c r="S364" t="s">
        <v>229</v>
      </c>
      <c r="T364" t="s">
        <v>266</v>
      </c>
      <c r="U364">
        <v>2.1303830152448629E-2</v>
      </c>
      <c r="V364" t="s">
        <v>154</v>
      </c>
    </row>
    <row r="365" spans="9:22" x14ac:dyDescent="0.45">
      <c r="I365" t="s">
        <v>176</v>
      </c>
      <c r="J365" t="s">
        <v>272</v>
      </c>
      <c r="K365">
        <v>0</v>
      </c>
      <c r="L365" t="s">
        <v>154</v>
      </c>
      <c r="N365" t="s">
        <v>205</v>
      </c>
      <c r="O365" t="s">
        <v>272</v>
      </c>
      <c r="P365">
        <v>4.6803741176105154E-2</v>
      </c>
      <c r="Q365" t="s">
        <v>154</v>
      </c>
      <c r="S365" t="s">
        <v>229</v>
      </c>
      <c r="T365" t="s">
        <v>272</v>
      </c>
      <c r="U365">
        <v>6.4407700892892605E-2</v>
      </c>
      <c r="V365" t="s">
        <v>154</v>
      </c>
    </row>
    <row r="366" spans="9:22" x14ac:dyDescent="0.45">
      <c r="I366" t="s">
        <v>176</v>
      </c>
      <c r="J366" t="s">
        <v>273</v>
      </c>
      <c r="K366">
        <v>2.3272063886588916E-2</v>
      </c>
      <c r="L366" t="s">
        <v>154</v>
      </c>
      <c r="N366" t="s">
        <v>205</v>
      </c>
      <c r="O366" t="s">
        <v>273</v>
      </c>
      <c r="P366">
        <v>1.3244247893967647E-2</v>
      </c>
      <c r="Q366" t="s">
        <v>154</v>
      </c>
      <c r="S366" t="s">
        <v>229</v>
      </c>
      <c r="T366" t="s">
        <v>273</v>
      </c>
      <c r="U366">
        <v>1.7401183880796072E-2</v>
      </c>
      <c r="V366" t="s">
        <v>154</v>
      </c>
    </row>
    <row r="367" spans="9:22" x14ac:dyDescent="0.45">
      <c r="I367" t="s">
        <v>176</v>
      </c>
      <c r="J367" t="s">
        <v>274</v>
      </c>
      <c r="K367">
        <v>0.12767607786637816</v>
      </c>
      <c r="L367" t="s">
        <v>154</v>
      </c>
      <c r="N367" t="s">
        <v>205</v>
      </c>
      <c r="O367" t="s">
        <v>274</v>
      </c>
      <c r="P367">
        <v>6.4686970467635774E-2</v>
      </c>
      <c r="Q367" t="s">
        <v>154</v>
      </c>
      <c r="S367" t="s">
        <v>229</v>
      </c>
      <c r="T367" t="s">
        <v>274</v>
      </c>
      <c r="U367">
        <v>6.8771046280167919E-2</v>
      </c>
      <c r="V367" t="s">
        <v>154</v>
      </c>
    </row>
    <row r="368" spans="9:22" x14ac:dyDescent="0.45">
      <c r="I368" t="s">
        <v>176</v>
      </c>
      <c r="J368" t="s">
        <v>275</v>
      </c>
      <c r="K368">
        <v>6.7557987958733389E-3</v>
      </c>
      <c r="L368" t="s">
        <v>154</v>
      </c>
      <c r="N368" t="s">
        <v>205</v>
      </c>
      <c r="O368" t="s">
        <v>275</v>
      </c>
      <c r="P368">
        <v>7.947293413214122E-3</v>
      </c>
      <c r="Q368" t="s">
        <v>154</v>
      </c>
      <c r="S368" t="s">
        <v>229</v>
      </c>
      <c r="T368" t="s">
        <v>275</v>
      </c>
      <c r="U368">
        <v>8.814936432425112E-3</v>
      </c>
      <c r="V368" t="s">
        <v>154</v>
      </c>
    </row>
    <row r="369" spans="9:22" x14ac:dyDescent="0.45">
      <c r="I369" t="s">
        <v>176</v>
      </c>
      <c r="J369" t="s">
        <v>276</v>
      </c>
      <c r="K369">
        <v>2.5187819409986283E-5</v>
      </c>
      <c r="L369" t="s">
        <v>154</v>
      </c>
      <c r="N369" t="s">
        <v>205</v>
      </c>
      <c r="O369" t="s">
        <v>276</v>
      </c>
      <c r="P369">
        <v>6.6192141638981381E-3</v>
      </c>
      <c r="Q369" t="s">
        <v>154</v>
      </c>
      <c r="S369" t="s">
        <v>229</v>
      </c>
      <c r="T369" t="s">
        <v>276</v>
      </c>
      <c r="U369">
        <v>8.2708444708874014E-3</v>
      </c>
      <c r="V369" t="s">
        <v>154</v>
      </c>
    </row>
    <row r="370" spans="9:22" x14ac:dyDescent="0.45">
      <c r="I370" t="s">
        <v>176</v>
      </c>
      <c r="J370" t="s">
        <v>277</v>
      </c>
      <c r="K370">
        <v>0</v>
      </c>
      <c r="L370" t="s">
        <v>154</v>
      </c>
      <c r="N370" t="s">
        <v>205</v>
      </c>
      <c r="O370" t="s">
        <v>277</v>
      </c>
      <c r="P370">
        <v>3.1736042632736383E-2</v>
      </c>
      <c r="Q370" t="s">
        <v>154</v>
      </c>
      <c r="S370" t="s">
        <v>229</v>
      </c>
      <c r="T370" t="s">
        <v>277</v>
      </c>
      <c r="U370">
        <v>4.5276360896902332E-2</v>
      </c>
      <c r="V370" t="s">
        <v>154</v>
      </c>
    </row>
    <row r="371" spans="9:22" x14ac:dyDescent="0.45">
      <c r="I371" t="s">
        <v>177</v>
      </c>
      <c r="J371" t="s">
        <v>153</v>
      </c>
      <c r="K371">
        <v>6.3243921708965338E-3</v>
      </c>
      <c r="L371" t="s">
        <v>154</v>
      </c>
      <c r="N371" t="s">
        <v>206</v>
      </c>
      <c r="O371" t="s">
        <v>153</v>
      </c>
      <c r="P371">
        <v>0.14923234219481044</v>
      </c>
      <c r="Q371" t="s">
        <v>154</v>
      </c>
      <c r="S371" t="s">
        <v>230</v>
      </c>
      <c r="T371" t="s">
        <v>153</v>
      </c>
      <c r="U371">
        <v>0.14394731671731348</v>
      </c>
      <c r="V371" t="s">
        <v>154</v>
      </c>
    </row>
    <row r="372" spans="9:22" x14ac:dyDescent="0.45">
      <c r="I372" t="s">
        <v>177</v>
      </c>
      <c r="J372" t="s">
        <v>155</v>
      </c>
      <c r="K372">
        <v>7.2340298051620622E-2</v>
      </c>
      <c r="L372" t="s">
        <v>154</v>
      </c>
      <c r="N372" t="s">
        <v>206</v>
      </c>
      <c r="O372" t="s">
        <v>155</v>
      </c>
      <c r="P372">
        <v>4.2582069399179918E-2</v>
      </c>
      <c r="Q372" t="s">
        <v>154</v>
      </c>
      <c r="S372" t="s">
        <v>230</v>
      </c>
      <c r="T372" t="s">
        <v>155</v>
      </c>
      <c r="U372">
        <v>3.5968562231673738E-2</v>
      </c>
      <c r="V372" t="s">
        <v>154</v>
      </c>
    </row>
    <row r="373" spans="9:22" x14ac:dyDescent="0.45">
      <c r="I373" t="s">
        <v>177</v>
      </c>
      <c r="J373" t="s">
        <v>156</v>
      </c>
      <c r="K373">
        <v>0.51096902680116218</v>
      </c>
      <c r="L373" t="s">
        <v>154</v>
      </c>
      <c r="N373" t="s">
        <v>206</v>
      </c>
      <c r="O373" t="s">
        <v>156</v>
      </c>
      <c r="P373">
        <v>0.26210151849683783</v>
      </c>
      <c r="Q373" t="s">
        <v>154</v>
      </c>
      <c r="S373" t="s">
        <v>230</v>
      </c>
      <c r="T373" t="s">
        <v>156</v>
      </c>
      <c r="U373">
        <v>0.17552710125724988</v>
      </c>
      <c r="V373" t="s">
        <v>154</v>
      </c>
    </row>
    <row r="374" spans="9:22" x14ac:dyDescent="0.45">
      <c r="I374" t="s">
        <v>177</v>
      </c>
      <c r="J374" t="s">
        <v>255</v>
      </c>
      <c r="K374">
        <v>2.8990341432226261E-2</v>
      </c>
      <c r="L374" t="s">
        <v>154</v>
      </c>
      <c r="N374" t="s">
        <v>206</v>
      </c>
      <c r="O374" t="s">
        <v>255</v>
      </c>
      <c r="P374">
        <v>2.957950386331145E-2</v>
      </c>
      <c r="Q374" t="s">
        <v>154</v>
      </c>
      <c r="S374" t="s">
        <v>230</v>
      </c>
      <c r="T374" t="s">
        <v>255</v>
      </c>
      <c r="U374">
        <v>2.4939380264038854E-2</v>
      </c>
      <c r="V374" t="s">
        <v>154</v>
      </c>
    </row>
    <row r="375" spans="9:22" x14ac:dyDescent="0.45">
      <c r="I375" t="s">
        <v>177</v>
      </c>
      <c r="J375" t="s">
        <v>256</v>
      </c>
      <c r="K375">
        <v>1.7240299407119714E-2</v>
      </c>
      <c r="L375" t="s">
        <v>154</v>
      </c>
      <c r="N375" t="s">
        <v>206</v>
      </c>
      <c r="O375" t="s">
        <v>256</v>
      </c>
      <c r="P375">
        <v>2.4207111878227036E-2</v>
      </c>
      <c r="Q375" t="s">
        <v>154</v>
      </c>
      <c r="S375" t="s">
        <v>230</v>
      </c>
      <c r="T375" t="s">
        <v>256</v>
      </c>
      <c r="U375">
        <v>2.3051308852687951E-2</v>
      </c>
      <c r="V375" t="s">
        <v>154</v>
      </c>
    </row>
    <row r="376" spans="9:22" x14ac:dyDescent="0.45">
      <c r="I376" t="s">
        <v>177</v>
      </c>
      <c r="J376" t="s">
        <v>257</v>
      </c>
      <c r="K376">
        <v>0</v>
      </c>
      <c r="L376" t="s">
        <v>154</v>
      </c>
      <c r="N376" t="s">
        <v>206</v>
      </c>
      <c r="O376" t="s">
        <v>257</v>
      </c>
      <c r="P376">
        <v>0.12419581888244585</v>
      </c>
      <c r="Q376" t="s">
        <v>154</v>
      </c>
      <c r="S376" t="s">
        <v>230</v>
      </c>
      <c r="T376" t="s">
        <v>257</v>
      </c>
      <c r="U376">
        <v>0.11509293284163837</v>
      </c>
      <c r="V376" t="s">
        <v>154</v>
      </c>
    </row>
    <row r="377" spans="9:22" x14ac:dyDescent="0.45">
      <c r="I377" t="s">
        <v>177</v>
      </c>
      <c r="J377" t="s">
        <v>157</v>
      </c>
      <c r="K377">
        <v>0</v>
      </c>
      <c r="L377" t="s">
        <v>154</v>
      </c>
      <c r="N377" t="s">
        <v>206</v>
      </c>
      <c r="O377" t="s">
        <v>157</v>
      </c>
      <c r="P377">
        <v>5.6541358657254586E-3</v>
      </c>
      <c r="Q377" t="s">
        <v>154</v>
      </c>
      <c r="S377" t="s">
        <v>230</v>
      </c>
      <c r="T377" t="s">
        <v>157</v>
      </c>
      <c r="U377">
        <v>9.9094755077469149E-3</v>
      </c>
      <c r="V377" t="s">
        <v>154</v>
      </c>
    </row>
    <row r="378" spans="9:22" x14ac:dyDescent="0.45">
      <c r="I378" t="s">
        <v>177</v>
      </c>
      <c r="J378" t="s">
        <v>158</v>
      </c>
      <c r="K378">
        <v>1.0717679962408718E-2</v>
      </c>
      <c r="L378" t="s">
        <v>154</v>
      </c>
      <c r="N378" t="s">
        <v>206</v>
      </c>
      <c r="O378" t="s">
        <v>158</v>
      </c>
      <c r="P378">
        <v>1.6430717815618006E-3</v>
      </c>
      <c r="Q378" t="s">
        <v>154</v>
      </c>
      <c r="S378" t="s">
        <v>230</v>
      </c>
      <c r="T378" t="s">
        <v>158</v>
      </c>
      <c r="U378">
        <v>2.4381849644419689E-3</v>
      </c>
      <c r="V378" t="s">
        <v>154</v>
      </c>
    </row>
    <row r="379" spans="9:22" x14ac:dyDescent="0.45">
      <c r="I379" t="s">
        <v>177</v>
      </c>
      <c r="J379" t="s">
        <v>159</v>
      </c>
      <c r="K379">
        <v>6.142168688237535E-2</v>
      </c>
      <c r="L379" t="s">
        <v>154</v>
      </c>
      <c r="N379" t="s">
        <v>206</v>
      </c>
      <c r="O379" t="s">
        <v>159</v>
      </c>
      <c r="P379">
        <v>8.0630246111968625E-3</v>
      </c>
      <c r="Q379" t="s">
        <v>154</v>
      </c>
      <c r="S379" t="s">
        <v>230</v>
      </c>
      <c r="T379" t="s">
        <v>159</v>
      </c>
      <c r="U379">
        <v>1.3731625213993808E-2</v>
      </c>
      <c r="V379" t="s">
        <v>154</v>
      </c>
    </row>
    <row r="380" spans="9:22" x14ac:dyDescent="0.45">
      <c r="I380" t="s">
        <v>177</v>
      </c>
      <c r="J380" t="s">
        <v>258</v>
      </c>
      <c r="K380">
        <v>3.1572873003100324E-3</v>
      </c>
      <c r="L380" t="s">
        <v>154</v>
      </c>
      <c r="N380" t="s">
        <v>206</v>
      </c>
      <c r="O380" t="s">
        <v>258</v>
      </c>
      <c r="P380">
        <v>5.384230357210882E-4</v>
      </c>
      <c r="Q380" t="s">
        <v>154</v>
      </c>
      <c r="S380" t="s">
        <v>230</v>
      </c>
      <c r="T380" t="s">
        <v>258</v>
      </c>
      <c r="U380">
        <v>1.6629840031549584E-3</v>
      </c>
      <c r="V380" t="s">
        <v>154</v>
      </c>
    </row>
    <row r="381" spans="9:22" x14ac:dyDescent="0.45">
      <c r="I381" t="s">
        <v>177</v>
      </c>
      <c r="J381" t="s">
        <v>259</v>
      </c>
      <c r="K381">
        <v>1.7436662858925031E-3</v>
      </c>
      <c r="L381" t="s">
        <v>154</v>
      </c>
      <c r="N381" t="s">
        <v>206</v>
      </c>
      <c r="O381" t="s">
        <v>259</v>
      </c>
      <c r="P381">
        <v>5.3826870707471188E-4</v>
      </c>
      <c r="Q381" t="s">
        <v>154</v>
      </c>
      <c r="S381" t="s">
        <v>230</v>
      </c>
      <c r="T381" t="s">
        <v>259</v>
      </c>
      <c r="U381">
        <v>1.5114433487681724E-3</v>
      </c>
      <c r="V381" t="s">
        <v>154</v>
      </c>
    </row>
    <row r="382" spans="9:22" x14ac:dyDescent="0.45">
      <c r="I382" t="s">
        <v>177</v>
      </c>
      <c r="J382" t="s">
        <v>260</v>
      </c>
      <c r="K382">
        <v>0</v>
      </c>
      <c r="L382" t="s">
        <v>154</v>
      </c>
      <c r="N382" t="s">
        <v>206</v>
      </c>
      <c r="O382" t="s">
        <v>260</v>
      </c>
      <c r="P382">
        <v>2.5966078982222643E-3</v>
      </c>
      <c r="Q382" t="s">
        <v>154</v>
      </c>
      <c r="S382" t="s">
        <v>230</v>
      </c>
      <c r="T382" t="s">
        <v>260</v>
      </c>
      <c r="U382">
        <v>7.7939907913087752E-3</v>
      </c>
      <c r="V382" t="s">
        <v>154</v>
      </c>
    </row>
    <row r="383" spans="9:22" x14ac:dyDescent="0.45">
      <c r="I383" t="s">
        <v>177</v>
      </c>
      <c r="J383" t="s">
        <v>160</v>
      </c>
      <c r="K383">
        <v>3.0473255256510939E-4</v>
      </c>
      <c r="L383" t="s">
        <v>154</v>
      </c>
      <c r="N383" t="s">
        <v>206</v>
      </c>
      <c r="O383" t="s">
        <v>160</v>
      </c>
      <c r="P383">
        <v>3.8209211609645549E-2</v>
      </c>
      <c r="Q383" t="s">
        <v>154</v>
      </c>
      <c r="S383" t="s">
        <v>230</v>
      </c>
      <c r="T383" t="s">
        <v>160</v>
      </c>
      <c r="U383">
        <v>1.9773650205630433E-2</v>
      </c>
      <c r="V383" t="s">
        <v>154</v>
      </c>
    </row>
    <row r="384" spans="9:22" x14ac:dyDescent="0.45">
      <c r="I384" t="s">
        <v>177</v>
      </c>
      <c r="J384" t="s">
        <v>161</v>
      </c>
      <c r="K384">
        <v>9.7206092820621703E-3</v>
      </c>
      <c r="L384" t="s">
        <v>154</v>
      </c>
      <c r="N384" t="s">
        <v>206</v>
      </c>
      <c r="O384" t="s">
        <v>161</v>
      </c>
      <c r="P384">
        <v>1.0621687847012057E-2</v>
      </c>
      <c r="Q384" t="s">
        <v>154</v>
      </c>
      <c r="S384" t="s">
        <v>230</v>
      </c>
      <c r="T384" t="s">
        <v>161</v>
      </c>
      <c r="U384">
        <v>5.0755363321767387E-3</v>
      </c>
      <c r="V384" t="s">
        <v>154</v>
      </c>
    </row>
    <row r="385" spans="9:22" x14ac:dyDescent="0.45">
      <c r="I385" t="s">
        <v>177</v>
      </c>
      <c r="J385" t="s">
        <v>162</v>
      </c>
      <c r="K385">
        <v>6.7057276326294282E-2</v>
      </c>
      <c r="L385" t="s">
        <v>154</v>
      </c>
      <c r="N385" t="s">
        <v>206</v>
      </c>
      <c r="O385" t="s">
        <v>162</v>
      </c>
      <c r="P385">
        <v>6.7416994271082956E-2</v>
      </c>
      <c r="Q385" t="s">
        <v>154</v>
      </c>
      <c r="S385" t="s">
        <v>230</v>
      </c>
      <c r="T385" t="s">
        <v>162</v>
      </c>
      <c r="U385">
        <v>2.3753900158813183E-2</v>
      </c>
      <c r="V385" t="s">
        <v>154</v>
      </c>
    </row>
    <row r="386" spans="9:22" x14ac:dyDescent="0.45">
      <c r="I386" t="s">
        <v>177</v>
      </c>
      <c r="J386" t="s">
        <v>261</v>
      </c>
      <c r="K386">
        <v>2.7976536991906813E-3</v>
      </c>
      <c r="L386" t="s">
        <v>154</v>
      </c>
      <c r="N386" t="s">
        <v>206</v>
      </c>
      <c r="O386" t="s">
        <v>261</v>
      </c>
      <c r="P386">
        <v>6.0210827265490497E-3</v>
      </c>
      <c r="Q386" t="s">
        <v>154</v>
      </c>
      <c r="S386" t="s">
        <v>230</v>
      </c>
      <c r="T386" t="s">
        <v>261</v>
      </c>
      <c r="U386">
        <v>3.323449633586086E-3</v>
      </c>
      <c r="V386" t="s">
        <v>154</v>
      </c>
    </row>
    <row r="387" spans="9:22" x14ac:dyDescent="0.45">
      <c r="I387" t="s">
        <v>177</v>
      </c>
      <c r="J387" t="s">
        <v>262</v>
      </c>
      <c r="K387">
        <v>0</v>
      </c>
      <c r="L387" t="s">
        <v>154</v>
      </c>
      <c r="N387" t="s">
        <v>206</v>
      </c>
      <c r="O387" t="s">
        <v>262</v>
      </c>
      <c r="P387">
        <v>5.3178135049329125E-3</v>
      </c>
      <c r="Q387" t="s">
        <v>154</v>
      </c>
      <c r="S387" t="s">
        <v>230</v>
      </c>
      <c r="T387" t="s">
        <v>262</v>
      </c>
      <c r="U387">
        <v>3.2864729430345263E-3</v>
      </c>
      <c r="V387" t="s">
        <v>154</v>
      </c>
    </row>
    <row r="388" spans="9:22" x14ac:dyDescent="0.45">
      <c r="I388" t="s">
        <v>177</v>
      </c>
      <c r="J388" t="s">
        <v>263</v>
      </c>
      <c r="K388">
        <v>0</v>
      </c>
      <c r="L388" t="s">
        <v>154</v>
      </c>
      <c r="N388" t="s">
        <v>206</v>
      </c>
      <c r="O388" t="s">
        <v>263</v>
      </c>
      <c r="P388">
        <v>2.5097482753447885E-2</v>
      </c>
      <c r="Q388" t="s">
        <v>154</v>
      </c>
      <c r="S388" t="s">
        <v>230</v>
      </c>
      <c r="T388" t="s">
        <v>263</v>
      </c>
      <c r="U388">
        <v>1.6847578840342371E-2</v>
      </c>
      <c r="V388" t="s">
        <v>154</v>
      </c>
    </row>
    <row r="389" spans="9:22" x14ac:dyDescent="0.45">
      <c r="I389" t="s">
        <v>177</v>
      </c>
      <c r="J389" t="s">
        <v>163</v>
      </c>
      <c r="K389">
        <v>3.7282297719562279E-4</v>
      </c>
      <c r="L389" t="s">
        <v>154</v>
      </c>
      <c r="N389" t="s">
        <v>206</v>
      </c>
      <c r="O389" t="s">
        <v>163</v>
      </c>
      <c r="P389">
        <v>9.6441247159197371E-3</v>
      </c>
      <c r="Q389" t="s">
        <v>154</v>
      </c>
      <c r="S389" t="s">
        <v>230</v>
      </c>
      <c r="T389" t="s">
        <v>163</v>
      </c>
      <c r="U389">
        <v>3.0961085910512502E-2</v>
      </c>
      <c r="V389" t="s">
        <v>154</v>
      </c>
    </row>
    <row r="390" spans="9:22" x14ac:dyDescent="0.45">
      <c r="I390" t="s">
        <v>177</v>
      </c>
      <c r="J390" t="s">
        <v>164</v>
      </c>
      <c r="K390">
        <v>1.0059473834438597E-2</v>
      </c>
      <c r="L390" t="s">
        <v>154</v>
      </c>
      <c r="N390" t="s">
        <v>206</v>
      </c>
      <c r="O390" t="s">
        <v>164</v>
      </c>
      <c r="P390">
        <v>2.9903592986389735E-3</v>
      </c>
      <c r="Q390" t="s">
        <v>154</v>
      </c>
      <c r="S390" t="s">
        <v>230</v>
      </c>
      <c r="T390" t="s">
        <v>164</v>
      </c>
      <c r="U390">
        <v>8.088738787000475E-3</v>
      </c>
      <c r="V390" t="s">
        <v>154</v>
      </c>
    </row>
    <row r="391" spans="9:22" x14ac:dyDescent="0.45">
      <c r="I391" t="s">
        <v>177</v>
      </c>
      <c r="J391" t="s">
        <v>165</v>
      </c>
      <c r="K391">
        <v>5.4286617185593036E-2</v>
      </c>
      <c r="L391" t="s">
        <v>154</v>
      </c>
      <c r="N391" t="s">
        <v>206</v>
      </c>
      <c r="O391" t="s">
        <v>165</v>
      </c>
      <c r="P391">
        <v>1.7671963838781193E-2</v>
      </c>
      <c r="Q391" t="s">
        <v>154</v>
      </c>
      <c r="S391" t="s">
        <v>230</v>
      </c>
      <c r="T391" t="s">
        <v>165</v>
      </c>
      <c r="U391">
        <v>3.8657923693201111E-2</v>
      </c>
      <c r="V391" t="s">
        <v>154</v>
      </c>
    </row>
    <row r="392" spans="9:22" x14ac:dyDescent="0.45">
      <c r="I392" t="s">
        <v>177</v>
      </c>
      <c r="J392" t="s">
        <v>264</v>
      </c>
      <c r="K392">
        <v>2.2836125011761305E-3</v>
      </c>
      <c r="L392" t="s">
        <v>154</v>
      </c>
      <c r="N392" t="s">
        <v>206</v>
      </c>
      <c r="O392" t="s">
        <v>264</v>
      </c>
      <c r="P392">
        <v>2.0968338702736585E-3</v>
      </c>
      <c r="Q392" t="s">
        <v>154</v>
      </c>
      <c r="S392" t="s">
        <v>230</v>
      </c>
      <c r="T392" t="s">
        <v>264</v>
      </c>
      <c r="U392">
        <v>5.1808506658141025E-3</v>
      </c>
      <c r="V392" t="s">
        <v>154</v>
      </c>
    </row>
    <row r="393" spans="9:22" x14ac:dyDescent="0.45">
      <c r="I393" t="s">
        <v>177</v>
      </c>
      <c r="J393" t="s">
        <v>265</v>
      </c>
      <c r="K393">
        <v>0</v>
      </c>
      <c r="L393" t="s">
        <v>154</v>
      </c>
      <c r="N393" t="s">
        <v>206</v>
      </c>
      <c r="O393" t="s">
        <v>265</v>
      </c>
      <c r="P393">
        <v>1.4336886560588733E-3</v>
      </c>
      <c r="Q393" t="s">
        <v>154</v>
      </c>
      <c r="S393" t="s">
        <v>230</v>
      </c>
      <c r="T393" t="s">
        <v>265</v>
      </c>
      <c r="U393">
        <v>4.7149593173789438E-3</v>
      </c>
      <c r="V393" t="s">
        <v>154</v>
      </c>
    </row>
    <row r="394" spans="9:22" x14ac:dyDescent="0.45">
      <c r="I394" t="s">
        <v>177</v>
      </c>
      <c r="J394" t="s">
        <v>266</v>
      </c>
      <c r="K394">
        <v>0</v>
      </c>
      <c r="L394" t="s">
        <v>154</v>
      </c>
      <c r="N394" t="s">
        <v>206</v>
      </c>
      <c r="O394" t="s">
        <v>266</v>
      </c>
      <c r="P394">
        <v>7.091623830050635E-3</v>
      </c>
      <c r="Q394" t="s">
        <v>154</v>
      </c>
      <c r="S394" t="s">
        <v>230</v>
      </c>
      <c r="T394" t="s">
        <v>266</v>
      </c>
      <c r="U394">
        <v>2.3753785742881336E-2</v>
      </c>
      <c r="V394" t="s">
        <v>154</v>
      </c>
    </row>
    <row r="395" spans="9:22" x14ac:dyDescent="0.45">
      <c r="I395" t="s">
        <v>177</v>
      </c>
      <c r="J395" t="s">
        <v>272</v>
      </c>
      <c r="K395">
        <v>0</v>
      </c>
      <c r="L395" t="s">
        <v>154</v>
      </c>
      <c r="N395" t="s">
        <v>206</v>
      </c>
      <c r="O395" t="s">
        <v>272</v>
      </c>
      <c r="P395">
        <v>3.8169500857705443E-2</v>
      </c>
      <c r="Q395" t="s">
        <v>154</v>
      </c>
      <c r="S395" t="s">
        <v>230</v>
      </c>
      <c r="T395" t="s">
        <v>272</v>
      </c>
      <c r="U395">
        <v>7.4418936931473834E-2</v>
      </c>
      <c r="V395" t="s">
        <v>154</v>
      </c>
    </row>
    <row r="396" spans="9:22" x14ac:dyDescent="0.45">
      <c r="I396" t="s">
        <v>177</v>
      </c>
      <c r="J396" t="s">
        <v>273</v>
      </c>
      <c r="K396">
        <v>1.7713040842321743E-2</v>
      </c>
      <c r="L396" t="s">
        <v>154</v>
      </c>
      <c r="N396" t="s">
        <v>206</v>
      </c>
      <c r="O396" t="s">
        <v>273</v>
      </c>
      <c r="P396">
        <v>1.0686842174288667E-2</v>
      </c>
      <c r="Q396" t="s">
        <v>154</v>
      </c>
      <c r="S396" t="s">
        <v>230</v>
      </c>
      <c r="T396" t="s">
        <v>273</v>
      </c>
      <c r="U396">
        <v>1.9844875040375229E-2</v>
      </c>
      <c r="V396" t="s">
        <v>154</v>
      </c>
    </row>
    <row r="397" spans="9:22" x14ac:dyDescent="0.45">
      <c r="I397" t="s">
        <v>177</v>
      </c>
      <c r="J397" t="s">
        <v>274</v>
      </c>
      <c r="K397">
        <v>0.11594551367775825</v>
      </c>
      <c r="L397" t="s">
        <v>154</v>
      </c>
      <c r="N397" t="s">
        <v>206</v>
      </c>
      <c r="O397" t="s">
        <v>274</v>
      </c>
      <c r="P397">
        <v>6.4158913907760864E-2</v>
      </c>
      <c r="Q397" t="s">
        <v>154</v>
      </c>
      <c r="S397" t="s">
        <v>230</v>
      </c>
      <c r="T397" t="s">
        <v>274</v>
      </c>
      <c r="U397">
        <v>8.8338605133318551E-2</v>
      </c>
      <c r="V397" t="s">
        <v>154</v>
      </c>
    </row>
    <row r="398" spans="9:22" x14ac:dyDescent="0.45">
      <c r="I398" t="s">
        <v>177</v>
      </c>
      <c r="J398" t="s">
        <v>275</v>
      </c>
      <c r="K398">
        <v>6.5539688273951379E-3</v>
      </c>
      <c r="L398" t="s">
        <v>154</v>
      </c>
      <c r="N398" t="s">
        <v>206</v>
      </c>
      <c r="O398" t="s">
        <v>275</v>
      </c>
      <c r="P398">
        <v>7.6631869519803251E-3</v>
      </c>
      <c r="Q398" t="s">
        <v>154</v>
      </c>
      <c r="S398" t="s">
        <v>230</v>
      </c>
      <c r="T398" t="s">
        <v>275</v>
      </c>
      <c r="U398">
        <v>1.1913456770321327E-2</v>
      </c>
      <c r="V398" t="s">
        <v>154</v>
      </c>
    </row>
    <row r="399" spans="9:22" x14ac:dyDescent="0.45">
      <c r="I399" t="s">
        <v>177</v>
      </c>
      <c r="J399" t="s">
        <v>276</v>
      </c>
      <c r="K399">
        <v>0</v>
      </c>
      <c r="L399" t="s">
        <v>154</v>
      </c>
      <c r="N399" t="s">
        <v>206</v>
      </c>
      <c r="O399" t="s">
        <v>276</v>
      </c>
      <c r="P399">
        <v>5.3979721569227118E-3</v>
      </c>
      <c r="Q399" t="s">
        <v>154</v>
      </c>
      <c r="S399" t="s">
        <v>230</v>
      </c>
      <c r="T399" t="s">
        <v>276</v>
      </c>
      <c r="U399">
        <v>1.1002441880312724E-2</v>
      </c>
      <c r="V399" t="s">
        <v>154</v>
      </c>
    </row>
    <row r="400" spans="9:22" x14ac:dyDescent="0.45">
      <c r="I400" t="s">
        <v>177</v>
      </c>
      <c r="J400" t="s">
        <v>277</v>
      </c>
      <c r="K400">
        <v>0</v>
      </c>
      <c r="L400" t="s">
        <v>154</v>
      </c>
      <c r="N400" t="s">
        <v>206</v>
      </c>
      <c r="O400" t="s">
        <v>277</v>
      </c>
      <c r="P400">
        <v>2.9378820414635937E-2</v>
      </c>
      <c r="Q400" t="s">
        <v>154</v>
      </c>
      <c r="S400" t="s">
        <v>230</v>
      </c>
      <c r="T400" t="s">
        <v>277</v>
      </c>
      <c r="U400">
        <v>5.5489446019809541E-2</v>
      </c>
      <c r="V400" t="s">
        <v>154</v>
      </c>
    </row>
    <row r="401" spans="9:22" x14ac:dyDescent="0.45">
      <c r="I401" t="s">
        <v>178</v>
      </c>
      <c r="J401" t="s">
        <v>153</v>
      </c>
      <c r="K401">
        <v>2.5126713502618297E-3</v>
      </c>
      <c r="L401" t="s">
        <v>154</v>
      </c>
      <c r="N401" t="s">
        <v>207</v>
      </c>
      <c r="O401" t="s">
        <v>153</v>
      </c>
      <c r="P401">
        <v>0.17647944139251392</v>
      </c>
      <c r="Q401" t="s">
        <v>154</v>
      </c>
      <c r="S401" t="s">
        <v>231</v>
      </c>
      <c r="T401" t="s">
        <v>153</v>
      </c>
      <c r="U401">
        <v>0.16238858373148804</v>
      </c>
      <c r="V401" t="s">
        <v>154</v>
      </c>
    </row>
    <row r="402" spans="9:22" x14ac:dyDescent="0.45">
      <c r="I402" t="s">
        <v>178</v>
      </c>
      <c r="J402" t="s">
        <v>155</v>
      </c>
      <c r="K402">
        <v>7.873135617801251E-2</v>
      </c>
      <c r="L402" t="s">
        <v>154</v>
      </c>
      <c r="N402" t="s">
        <v>207</v>
      </c>
      <c r="O402" t="s">
        <v>155</v>
      </c>
      <c r="P402">
        <v>5.0330266672934734E-2</v>
      </c>
      <c r="Q402" t="s">
        <v>154</v>
      </c>
      <c r="S402" t="s">
        <v>231</v>
      </c>
      <c r="T402" t="s">
        <v>155</v>
      </c>
      <c r="U402">
        <v>3.9581726003518711E-2</v>
      </c>
      <c r="V402" t="s">
        <v>154</v>
      </c>
    </row>
    <row r="403" spans="9:22" x14ac:dyDescent="0.45">
      <c r="I403" t="s">
        <v>178</v>
      </c>
      <c r="J403" t="s">
        <v>156</v>
      </c>
      <c r="K403">
        <v>0.51532756929648171</v>
      </c>
      <c r="L403" t="s">
        <v>154</v>
      </c>
      <c r="N403" t="s">
        <v>207</v>
      </c>
      <c r="O403" t="s">
        <v>156</v>
      </c>
      <c r="P403">
        <v>0.21934846728806534</v>
      </c>
      <c r="Q403" t="s">
        <v>154</v>
      </c>
      <c r="S403" t="s">
        <v>231</v>
      </c>
      <c r="T403" t="s">
        <v>156</v>
      </c>
      <c r="U403">
        <v>0.18718890538406571</v>
      </c>
      <c r="V403" t="s">
        <v>154</v>
      </c>
    </row>
    <row r="404" spans="9:22" x14ac:dyDescent="0.45">
      <c r="I404" t="s">
        <v>178</v>
      </c>
      <c r="J404" t="s">
        <v>255</v>
      </c>
      <c r="K404">
        <v>2.5555472240029457E-2</v>
      </c>
      <c r="L404" t="s">
        <v>154</v>
      </c>
      <c r="N404" t="s">
        <v>207</v>
      </c>
      <c r="O404" t="s">
        <v>255</v>
      </c>
      <c r="P404">
        <v>2.7704057833592248E-2</v>
      </c>
      <c r="Q404" t="s">
        <v>154</v>
      </c>
      <c r="S404" t="s">
        <v>231</v>
      </c>
      <c r="T404" t="s">
        <v>255</v>
      </c>
      <c r="U404">
        <v>2.6562158166467124E-2</v>
      </c>
      <c r="V404" t="s">
        <v>154</v>
      </c>
    </row>
    <row r="405" spans="9:22" x14ac:dyDescent="0.45">
      <c r="I405" t="s">
        <v>178</v>
      </c>
      <c r="J405" t="s">
        <v>256</v>
      </c>
      <c r="K405">
        <v>1.4379435880442945E-2</v>
      </c>
      <c r="L405" t="s">
        <v>154</v>
      </c>
      <c r="N405" t="s">
        <v>207</v>
      </c>
      <c r="O405" t="s">
        <v>256</v>
      </c>
      <c r="P405">
        <v>2.4609680594247587E-2</v>
      </c>
      <c r="Q405" t="s">
        <v>154</v>
      </c>
      <c r="S405" t="s">
        <v>231</v>
      </c>
      <c r="T405" t="s">
        <v>256</v>
      </c>
      <c r="U405">
        <v>2.3328367803727056E-2</v>
      </c>
      <c r="V405" t="s">
        <v>154</v>
      </c>
    </row>
    <row r="406" spans="9:22" x14ac:dyDescent="0.45">
      <c r="I406" t="s">
        <v>178</v>
      </c>
      <c r="J406" t="s">
        <v>257</v>
      </c>
      <c r="K406">
        <v>0</v>
      </c>
      <c r="L406" t="s">
        <v>154</v>
      </c>
      <c r="N406" t="s">
        <v>207</v>
      </c>
      <c r="O406" t="s">
        <v>257</v>
      </c>
      <c r="P406">
        <v>0.13737899005093174</v>
      </c>
      <c r="Q406" t="s">
        <v>154</v>
      </c>
      <c r="S406" t="s">
        <v>231</v>
      </c>
      <c r="T406" t="s">
        <v>257</v>
      </c>
      <c r="U406">
        <v>0.12878670411600315</v>
      </c>
      <c r="V406" t="s">
        <v>154</v>
      </c>
    </row>
    <row r="407" spans="9:22" x14ac:dyDescent="0.45">
      <c r="I407" t="s">
        <v>178</v>
      </c>
      <c r="J407" t="s">
        <v>157</v>
      </c>
      <c r="K407">
        <v>0</v>
      </c>
      <c r="L407" t="s">
        <v>154</v>
      </c>
      <c r="N407" t="s">
        <v>207</v>
      </c>
      <c r="O407" t="s">
        <v>157</v>
      </c>
      <c r="P407">
        <v>7.870390372082656E-3</v>
      </c>
      <c r="Q407" t="s">
        <v>154</v>
      </c>
      <c r="S407" t="s">
        <v>231</v>
      </c>
      <c r="T407" t="s">
        <v>157</v>
      </c>
      <c r="U407">
        <v>7.80269992576243E-3</v>
      </c>
      <c r="V407" t="s">
        <v>154</v>
      </c>
    </row>
    <row r="408" spans="9:22" x14ac:dyDescent="0.45">
      <c r="I408" t="s">
        <v>178</v>
      </c>
      <c r="J408" t="s">
        <v>158</v>
      </c>
      <c r="K408">
        <v>1.0606906622566517E-2</v>
      </c>
      <c r="L408" t="s">
        <v>154</v>
      </c>
      <c r="N408" t="s">
        <v>207</v>
      </c>
      <c r="O408" t="s">
        <v>158</v>
      </c>
      <c r="P408">
        <v>1.8718683992195661E-3</v>
      </c>
      <c r="Q408" t="s">
        <v>154</v>
      </c>
      <c r="S408" t="s">
        <v>231</v>
      </c>
      <c r="T408" t="s">
        <v>158</v>
      </c>
      <c r="U408">
        <v>1.9887916667736482E-3</v>
      </c>
      <c r="V408" t="s">
        <v>154</v>
      </c>
    </row>
    <row r="409" spans="9:22" x14ac:dyDescent="0.45">
      <c r="I409" t="s">
        <v>178</v>
      </c>
      <c r="J409" t="s">
        <v>159</v>
      </c>
      <c r="K409">
        <v>5.8821802844126372E-2</v>
      </c>
      <c r="L409" t="s">
        <v>154</v>
      </c>
      <c r="N409" t="s">
        <v>207</v>
      </c>
      <c r="O409" t="s">
        <v>159</v>
      </c>
      <c r="P409">
        <v>7.6002492761953824E-3</v>
      </c>
      <c r="Q409" t="s">
        <v>154</v>
      </c>
      <c r="S409" t="s">
        <v>231</v>
      </c>
      <c r="T409" t="s">
        <v>159</v>
      </c>
      <c r="U409">
        <v>9.6830642949517383E-3</v>
      </c>
      <c r="V409" t="s">
        <v>154</v>
      </c>
    </row>
    <row r="410" spans="9:22" x14ac:dyDescent="0.45">
      <c r="I410" t="s">
        <v>178</v>
      </c>
      <c r="J410" t="s">
        <v>258</v>
      </c>
      <c r="K410">
        <v>2.6966158453321232E-3</v>
      </c>
      <c r="L410" t="s">
        <v>154</v>
      </c>
      <c r="N410" t="s">
        <v>207</v>
      </c>
      <c r="O410" t="s">
        <v>258</v>
      </c>
      <c r="P410">
        <v>7.7516150836401865E-4</v>
      </c>
      <c r="Q410" t="s">
        <v>154</v>
      </c>
      <c r="S410" t="s">
        <v>231</v>
      </c>
      <c r="T410" t="s">
        <v>258</v>
      </c>
      <c r="U410">
        <v>1.4092611680226305E-3</v>
      </c>
      <c r="V410" t="s">
        <v>154</v>
      </c>
    </row>
    <row r="411" spans="9:22" x14ac:dyDescent="0.45">
      <c r="I411" t="s">
        <v>178</v>
      </c>
      <c r="J411" t="s">
        <v>259</v>
      </c>
      <c r="K411">
        <v>1.4559455103760025E-3</v>
      </c>
      <c r="L411" t="s">
        <v>154</v>
      </c>
      <c r="N411" t="s">
        <v>207</v>
      </c>
      <c r="O411" t="s">
        <v>259</v>
      </c>
      <c r="P411">
        <v>7.8685722817484975E-4</v>
      </c>
      <c r="Q411" t="s">
        <v>154</v>
      </c>
      <c r="S411" t="s">
        <v>231</v>
      </c>
      <c r="T411" t="s">
        <v>259</v>
      </c>
      <c r="U411">
        <v>1.5163832447860103E-3</v>
      </c>
      <c r="V411" t="s">
        <v>154</v>
      </c>
    </row>
    <row r="412" spans="9:22" x14ac:dyDescent="0.45">
      <c r="I412" t="s">
        <v>178</v>
      </c>
      <c r="J412" t="s">
        <v>260</v>
      </c>
      <c r="K412">
        <v>0</v>
      </c>
      <c r="L412" t="s">
        <v>154</v>
      </c>
      <c r="N412" t="s">
        <v>207</v>
      </c>
      <c r="O412" t="s">
        <v>260</v>
      </c>
      <c r="P412">
        <v>3.6538597564132664E-3</v>
      </c>
      <c r="Q412" t="s">
        <v>154</v>
      </c>
      <c r="S412" t="s">
        <v>231</v>
      </c>
      <c r="T412" t="s">
        <v>260</v>
      </c>
      <c r="U412">
        <v>6.8331701908437691E-3</v>
      </c>
      <c r="V412" t="s">
        <v>154</v>
      </c>
    </row>
    <row r="413" spans="9:22" x14ac:dyDescent="0.45">
      <c r="I413" t="s">
        <v>178</v>
      </c>
      <c r="J413" t="s">
        <v>160</v>
      </c>
      <c r="K413">
        <v>0</v>
      </c>
      <c r="L413" t="s">
        <v>154</v>
      </c>
      <c r="N413" t="s">
        <v>207</v>
      </c>
      <c r="O413" t="s">
        <v>160</v>
      </c>
      <c r="P413">
        <v>3.9258485383988594E-2</v>
      </c>
      <c r="Q413" t="s">
        <v>154</v>
      </c>
      <c r="S413" t="s">
        <v>231</v>
      </c>
      <c r="T413" t="s">
        <v>160</v>
      </c>
      <c r="U413">
        <v>1.9225907303894216E-2</v>
      </c>
      <c r="V413" t="s">
        <v>154</v>
      </c>
    </row>
    <row r="414" spans="9:22" x14ac:dyDescent="0.45">
      <c r="I414" t="s">
        <v>178</v>
      </c>
      <c r="J414" t="s">
        <v>161</v>
      </c>
      <c r="K414">
        <v>8.8854222437466761E-3</v>
      </c>
      <c r="L414" t="s">
        <v>154</v>
      </c>
      <c r="N414" t="s">
        <v>207</v>
      </c>
      <c r="O414" t="s">
        <v>161</v>
      </c>
      <c r="P414">
        <v>1.0581084191211929E-2</v>
      </c>
      <c r="Q414" t="s">
        <v>154</v>
      </c>
      <c r="S414" t="s">
        <v>231</v>
      </c>
      <c r="T414" t="s">
        <v>161</v>
      </c>
      <c r="U414">
        <v>5.560486235226092E-3</v>
      </c>
      <c r="V414" t="s">
        <v>154</v>
      </c>
    </row>
    <row r="415" spans="9:22" x14ac:dyDescent="0.45">
      <c r="I415" t="s">
        <v>178</v>
      </c>
      <c r="J415" t="s">
        <v>162</v>
      </c>
      <c r="K415">
        <v>6.3760002989468864E-2</v>
      </c>
      <c r="L415" t="s">
        <v>154</v>
      </c>
      <c r="N415" t="s">
        <v>207</v>
      </c>
      <c r="O415" t="s">
        <v>162</v>
      </c>
      <c r="P415">
        <v>4.9917945849687735E-2</v>
      </c>
      <c r="Q415" t="s">
        <v>154</v>
      </c>
      <c r="S415" t="s">
        <v>231</v>
      </c>
      <c r="T415" t="s">
        <v>162</v>
      </c>
      <c r="U415">
        <v>2.3636857956417748E-2</v>
      </c>
      <c r="V415" t="s">
        <v>154</v>
      </c>
    </row>
    <row r="416" spans="9:22" x14ac:dyDescent="0.45">
      <c r="I416" t="s">
        <v>178</v>
      </c>
      <c r="J416" t="s">
        <v>261</v>
      </c>
      <c r="K416">
        <v>2.5285441794224992E-3</v>
      </c>
      <c r="L416" t="s">
        <v>154</v>
      </c>
      <c r="N416" t="s">
        <v>207</v>
      </c>
      <c r="O416" t="s">
        <v>261</v>
      </c>
      <c r="P416">
        <v>5.816799548751389E-3</v>
      </c>
      <c r="Q416" t="s">
        <v>154</v>
      </c>
      <c r="S416" t="s">
        <v>231</v>
      </c>
      <c r="T416" t="s">
        <v>261</v>
      </c>
      <c r="U416">
        <v>3.1774165083910933E-3</v>
      </c>
      <c r="V416" t="s">
        <v>154</v>
      </c>
    </row>
    <row r="417" spans="9:22" x14ac:dyDescent="0.45">
      <c r="I417" t="s">
        <v>178</v>
      </c>
      <c r="J417" t="s">
        <v>262</v>
      </c>
      <c r="K417">
        <v>2.7691683411686557E-4</v>
      </c>
      <c r="L417" t="s">
        <v>154</v>
      </c>
      <c r="N417" t="s">
        <v>207</v>
      </c>
      <c r="O417" t="s">
        <v>262</v>
      </c>
      <c r="P417">
        <v>5.5950750376698114E-3</v>
      </c>
      <c r="Q417" t="s">
        <v>154</v>
      </c>
      <c r="S417" t="s">
        <v>231</v>
      </c>
      <c r="T417" t="s">
        <v>262</v>
      </c>
      <c r="U417">
        <v>2.8961099436541141E-3</v>
      </c>
      <c r="V417" t="s">
        <v>154</v>
      </c>
    </row>
    <row r="418" spans="9:22" x14ac:dyDescent="0.45">
      <c r="I418" t="s">
        <v>178</v>
      </c>
      <c r="J418" t="s">
        <v>263</v>
      </c>
      <c r="K418">
        <v>0</v>
      </c>
      <c r="L418" t="s">
        <v>154</v>
      </c>
      <c r="N418" t="s">
        <v>207</v>
      </c>
      <c r="O418" t="s">
        <v>263</v>
      </c>
      <c r="P418">
        <v>2.5770876926100743E-2</v>
      </c>
      <c r="Q418" t="s">
        <v>154</v>
      </c>
      <c r="S418" t="s">
        <v>231</v>
      </c>
      <c r="T418" t="s">
        <v>263</v>
      </c>
      <c r="U418">
        <v>1.5058089056650471E-2</v>
      </c>
      <c r="V418" t="s">
        <v>154</v>
      </c>
    </row>
    <row r="419" spans="9:22" x14ac:dyDescent="0.45">
      <c r="I419" t="s">
        <v>178</v>
      </c>
      <c r="J419" t="s">
        <v>163</v>
      </c>
      <c r="K419">
        <v>0</v>
      </c>
      <c r="L419" t="s">
        <v>154</v>
      </c>
      <c r="N419" t="s">
        <v>207</v>
      </c>
      <c r="O419" t="s">
        <v>163</v>
      </c>
      <c r="P419">
        <v>1.1679532818322418E-2</v>
      </c>
      <c r="Q419" t="s">
        <v>154</v>
      </c>
      <c r="S419" t="s">
        <v>231</v>
      </c>
      <c r="T419" t="s">
        <v>163</v>
      </c>
      <c r="U419">
        <v>2.7938027127031778E-2</v>
      </c>
      <c r="V419" t="s">
        <v>154</v>
      </c>
    </row>
    <row r="420" spans="9:22" x14ac:dyDescent="0.45">
      <c r="I420" t="s">
        <v>178</v>
      </c>
      <c r="J420" t="s">
        <v>164</v>
      </c>
      <c r="K420">
        <v>8.9252522361371097E-3</v>
      </c>
      <c r="L420" t="s">
        <v>154</v>
      </c>
      <c r="N420" t="s">
        <v>207</v>
      </c>
      <c r="O420" t="s">
        <v>164</v>
      </c>
      <c r="P420">
        <v>3.3291722342393307E-3</v>
      </c>
      <c r="Q420" t="s">
        <v>154</v>
      </c>
      <c r="S420" t="s">
        <v>231</v>
      </c>
      <c r="T420" t="s">
        <v>164</v>
      </c>
      <c r="U420">
        <v>7.5655419836189869E-3</v>
      </c>
      <c r="V420" t="s">
        <v>154</v>
      </c>
    </row>
    <row r="421" spans="9:22" x14ac:dyDescent="0.45">
      <c r="I421" t="s">
        <v>178</v>
      </c>
      <c r="J421" t="s">
        <v>165</v>
      </c>
      <c r="K421">
        <v>4.9248115452499318E-2</v>
      </c>
      <c r="L421" t="s">
        <v>154</v>
      </c>
      <c r="N421" t="s">
        <v>207</v>
      </c>
      <c r="O421" t="s">
        <v>165</v>
      </c>
      <c r="P421">
        <v>1.7808383288318068E-2</v>
      </c>
      <c r="Q421" t="s">
        <v>154</v>
      </c>
      <c r="S421" t="s">
        <v>231</v>
      </c>
      <c r="T421" t="s">
        <v>165</v>
      </c>
      <c r="U421">
        <v>3.3157039136652612E-2</v>
      </c>
      <c r="V421" t="s">
        <v>154</v>
      </c>
    </row>
    <row r="422" spans="9:22" x14ac:dyDescent="0.45">
      <c r="I422" t="s">
        <v>178</v>
      </c>
      <c r="J422" t="s">
        <v>264</v>
      </c>
      <c r="K422">
        <v>1.8040795807540819E-3</v>
      </c>
      <c r="L422" t="s">
        <v>154</v>
      </c>
      <c r="N422" t="s">
        <v>207</v>
      </c>
      <c r="O422" t="s">
        <v>264</v>
      </c>
      <c r="P422">
        <v>2.6413727477868861E-3</v>
      </c>
      <c r="Q422" t="s">
        <v>154</v>
      </c>
      <c r="S422" t="s">
        <v>231</v>
      </c>
      <c r="T422" t="s">
        <v>264</v>
      </c>
      <c r="U422">
        <v>4.347855210275588E-3</v>
      </c>
      <c r="V422" t="s">
        <v>154</v>
      </c>
    </row>
    <row r="423" spans="9:22" x14ac:dyDescent="0.45">
      <c r="I423" t="s">
        <v>178</v>
      </c>
      <c r="J423" t="s">
        <v>265</v>
      </c>
      <c r="K423">
        <v>0</v>
      </c>
      <c r="L423" t="s">
        <v>154</v>
      </c>
      <c r="N423" t="s">
        <v>207</v>
      </c>
      <c r="O423" t="s">
        <v>265</v>
      </c>
      <c r="P423">
        <v>2.3250679099016572E-3</v>
      </c>
      <c r="Q423" t="s">
        <v>154</v>
      </c>
      <c r="S423" t="s">
        <v>231</v>
      </c>
      <c r="T423" t="s">
        <v>265</v>
      </c>
      <c r="U423">
        <v>3.7674778490538645E-3</v>
      </c>
      <c r="V423" t="s">
        <v>154</v>
      </c>
    </row>
    <row r="424" spans="9:22" x14ac:dyDescent="0.45">
      <c r="I424" t="s">
        <v>178</v>
      </c>
      <c r="J424" t="s">
        <v>266</v>
      </c>
      <c r="K424">
        <v>0</v>
      </c>
      <c r="L424" t="s">
        <v>154</v>
      </c>
      <c r="N424" t="s">
        <v>207</v>
      </c>
      <c r="O424" t="s">
        <v>266</v>
      </c>
      <c r="P424">
        <v>1.1618973625001198E-2</v>
      </c>
      <c r="Q424" t="s">
        <v>154</v>
      </c>
      <c r="S424" t="s">
        <v>231</v>
      </c>
      <c r="T424" t="s">
        <v>266</v>
      </c>
      <c r="U424">
        <v>2.0723133482542979E-2</v>
      </c>
      <c r="V424" t="s">
        <v>154</v>
      </c>
    </row>
    <row r="425" spans="9:22" x14ac:dyDescent="0.45">
      <c r="I425" t="s">
        <v>178</v>
      </c>
      <c r="J425" t="s">
        <v>272</v>
      </c>
      <c r="K425">
        <v>0</v>
      </c>
      <c r="L425" t="s">
        <v>154</v>
      </c>
      <c r="N425" t="s">
        <v>207</v>
      </c>
      <c r="O425" t="s">
        <v>272</v>
      </c>
      <c r="P425">
        <v>4.4063432670713734E-2</v>
      </c>
      <c r="Q425" t="s">
        <v>154</v>
      </c>
      <c r="S425" t="s">
        <v>231</v>
      </c>
      <c r="T425" t="s">
        <v>272</v>
      </c>
      <c r="U425">
        <v>6.9067324406064542E-2</v>
      </c>
      <c r="V425" t="s">
        <v>154</v>
      </c>
    </row>
    <row r="426" spans="9:22" x14ac:dyDescent="0.45">
      <c r="I426" t="s">
        <v>178</v>
      </c>
      <c r="J426" t="s">
        <v>273</v>
      </c>
      <c r="K426">
        <v>2.2030688872623057E-2</v>
      </c>
      <c r="L426" t="s">
        <v>154</v>
      </c>
      <c r="N426" t="s">
        <v>207</v>
      </c>
      <c r="O426" t="s">
        <v>273</v>
      </c>
      <c r="P426">
        <v>1.259591786675756E-2</v>
      </c>
      <c r="Q426" t="s">
        <v>154</v>
      </c>
      <c r="S426" t="s">
        <v>231</v>
      </c>
      <c r="T426" t="s">
        <v>273</v>
      </c>
      <c r="U426">
        <v>1.8297799909545186E-2</v>
      </c>
      <c r="V426" t="s">
        <v>154</v>
      </c>
    </row>
    <row r="427" spans="9:22" x14ac:dyDescent="0.45">
      <c r="I427" t="s">
        <v>178</v>
      </c>
      <c r="J427" t="s">
        <v>274</v>
      </c>
      <c r="K427">
        <v>0.1258932870029226</v>
      </c>
      <c r="L427" t="s">
        <v>154</v>
      </c>
      <c r="N427" t="s">
        <v>207</v>
      </c>
      <c r="O427" t="s">
        <v>274</v>
      </c>
      <c r="P427">
        <v>5.3692633879708331E-2</v>
      </c>
      <c r="Q427" t="s">
        <v>154</v>
      </c>
      <c r="S427" t="s">
        <v>231</v>
      </c>
      <c r="T427" t="s">
        <v>274</v>
      </c>
      <c r="U427">
        <v>8.0734328542392667E-2</v>
      </c>
      <c r="V427" t="s">
        <v>154</v>
      </c>
    </row>
    <row r="428" spans="9:22" x14ac:dyDescent="0.45">
      <c r="I428" t="s">
        <v>178</v>
      </c>
      <c r="J428" t="s">
        <v>275</v>
      </c>
      <c r="K428">
        <v>6.5599148406828697E-3</v>
      </c>
      <c r="L428" t="s">
        <v>154</v>
      </c>
      <c r="N428" t="s">
        <v>207</v>
      </c>
      <c r="O428" t="s">
        <v>275</v>
      </c>
      <c r="P428">
        <v>6.819025300975036E-3</v>
      </c>
      <c r="Q428" t="s">
        <v>154</v>
      </c>
      <c r="S428" t="s">
        <v>231</v>
      </c>
      <c r="T428" t="s">
        <v>275</v>
      </c>
      <c r="U428">
        <v>1.0442765142939035E-2</v>
      </c>
      <c r="V428" t="s">
        <v>154</v>
      </c>
    </row>
    <row r="429" spans="9:22" x14ac:dyDescent="0.45">
      <c r="I429" t="s">
        <v>178</v>
      </c>
      <c r="J429" t="s">
        <v>276</v>
      </c>
      <c r="K429">
        <v>0</v>
      </c>
      <c r="L429" t="s">
        <v>154</v>
      </c>
      <c r="N429" t="s">
        <v>207</v>
      </c>
      <c r="O429" t="s">
        <v>276</v>
      </c>
      <c r="P429">
        <v>5.4313897014206403E-3</v>
      </c>
      <c r="Q429" t="s">
        <v>154</v>
      </c>
      <c r="S429" t="s">
        <v>231</v>
      </c>
      <c r="T429" t="s">
        <v>276</v>
      </c>
      <c r="U429">
        <v>8.6804385596197485E-3</v>
      </c>
      <c r="V429" t="s">
        <v>154</v>
      </c>
    </row>
    <row r="430" spans="9:22" x14ac:dyDescent="0.45">
      <c r="I430" t="s">
        <v>178</v>
      </c>
      <c r="J430" t="s">
        <v>277</v>
      </c>
      <c r="K430">
        <v>0</v>
      </c>
      <c r="L430" t="s">
        <v>154</v>
      </c>
      <c r="N430" t="s">
        <v>207</v>
      </c>
      <c r="O430" t="s">
        <v>277</v>
      </c>
      <c r="P430">
        <v>3.2645540646712816E-2</v>
      </c>
      <c r="Q430" t="s">
        <v>154</v>
      </c>
      <c r="S430" t="s">
        <v>231</v>
      </c>
      <c r="T430" t="s">
        <v>277</v>
      </c>
      <c r="U430">
        <v>4.8653585949617953E-2</v>
      </c>
      <c r="V430" t="s">
        <v>154</v>
      </c>
    </row>
    <row r="431" spans="9:22" x14ac:dyDescent="0.45">
      <c r="I431" t="s">
        <v>179</v>
      </c>
      <c r="J431" t="s">
        <v>153</v>
      </c>
      <c r="K431">
        <v>2.5622470437107782E-3</v>
      </c>
      <c r="L431" t="s">
        <v>154</v>
      </c>
      <c r="N431" t="s">
        <v>208</v>
      </c>
      <c r="O431" t="s">
        <v>153</v>
      </c>
      <c r="P431">
        <v>0.14600578450425247</v>
      </c>
      <c r="Q431" t="s">
        <v>154</v>
      </c>
      <c r="S431" t="s">
        <v>232</v>
      </c>
      <c r="T431" t="s">
        <v>153</v>
      </c>
      <c r="U431">
        <v>0.16105257945714813</v>
      </c>
      <c r="V431" t="s">
        <v>154</v>
      </c>
    </row>
    <row r="432" spans="9:22" x14ac:dyDescent="0.45">
      <c r="I432" t="s">
        <v>179</v>
      </c>
      <c r="J432" t="s">
        <v>155</v>
      </c>
      <c r="K432">
        <v>6.6008823878643999E-2</v>
      </c>
      <c r="L432" t="s">
        <v>154</v>
      </c>
      <c r="N432" t="s">
        <v>208</v>
      </c>
      <c r="O432" t="s">
        <v>155</v>
      </c>
      <c r="P432">
        <v>3.6122127015890543E-2</v>
      </c>
      <c r="Q432" t="s">
        <v>154</v>
      </c>
      <c r="S432" t="s">
        <v>232</v>
      </c>
      <c r="T432" t="s">
        <v>155</v>
      </c>
      <c r="U432">
        <v>4.5481411344762274E-2</v>
      </c>
      <c r="V432" t="s">
        <v>154</v>
      </c>
    </row>
    <row r="433" spans="9:22" x14ac:dyDescent="0.45">
      <c r="I433" t="s">
        <v>179</v>
      </c>
      <c r="J433" t="s">
        <v>156</v>
      </c>
      <c r="K433">
        <v>0.58415231564757508</v>
      </c>
      <c r="L433" t="s">
        <v>154</v>
      </c>
      <c r="N433" t="s">
        <v>208</v>
      </c>
      <c r="O433" t="s">
        <v>156</v>
      </c>
      <c r="P433">
        <v>0.27219492478653068</v>
      </c>
      <c r="Q433" t="s">
        <v>154</v>
      </c>
      <c r="S433" t="s">
        <v>232</v>
      </c>
      <c r="T433" t="s">
        <v>156</v>
      </c>
      <c r="U433">
        <v>0.19821795547191901</v>
      </c>
      <c r="V433" t="s">
        <v>154</v>
      </c>
    </row>
    <row r="434" spans="9:22" x14ac:dyDescent="0.45">
      <c r="I434" t="s">
        <v>179</v>
      </c>
      <c r="J434" t="s">
        <v>255</v>
      </c>
      <c r="K434">
        <v>3.4245806087265997E-2</v>
      </c>
      <c r="L434" t="s">
        <v>154</v>
      </c>
      <c r="N434" t="s">
        <v>208</v>
      </c>
      <c r="O434" t="s">
        <v>255</v>
      </c>
      <c r="P434">
        <v>3.4074265079668944E-2</v>
      </c>
      <c r="Q434" t="s">
        <v>154</v>
      </c>
      <c r="S434" t="s">
        <v>232</v>
      </c>
      <c r="T434" t="s">
        <v>255</v>
      </c>
      <c r="U434">
        <v>2.6343639125179737E-2</v>
      </c>
      <c r="V434" t="s">
        <v>154</v>
      </c>
    </row>
    <row r="435" spans="9:22" x14ac:dyDescent="0.45">
      <c r="I435" t="s">
        <v>179</v>
      </c>
      <c r="J435" t="s">
        <v>256</v>
      </c>
      <c r="K435">
        <v>1.8489967860125387E-2</v>
      </c>
      <c r="L435" t="s">
        <v>154</v>
      </c>
      <c r="N435" t="s">
        <v>208</v>
      </c>
      <c r="O435" t="s">
        <v>256</v>
      </c>
      <c r="P435">
        <v>2.4294735135350461E-2</v>
      </c>
      <c r="Q435" t="s">
        <v>154</v>
      </c>
      <c r="S435" t="s">
        <v>232</v>
      </c>
      <c r="T435" t="s">
        <v>256</v>
      </c>
      <c r="U435">
        <v>2.2944196339562083E-2</v>
      </c>
      <c r="V435" t="s">
        <v>154</v>
      </c>
    </row>
    <row r="436" spans="9:22" x14ac:dyDescent="0.45">
      <c r="I436" t="s">
        <v>179</v>
      </c>
      <c r="J436" t="s">
        <v>257</v>
      </c>
      <c r="K436">
        <v>0</v>
      </c>
      <c r="L436" t="s">
        <v>154</v>
      </c>
      <c r="N436" t="s">
        <v>208</v>
      </c>
      <c r="O436" t="s">
        <v>257</v>
      </c>
      <c r="P436">
        <v>0.11491907800231836</v>
      </c>
      <c r="Q436" t="s">
        <v>154</v>
      </c>
      <c r="S436" t="s">
        <v>232</v>
      </c>
      <c r="T436" t="s">
        <v>257</v>
      </c>
      <c r="U436">
        <v>0.12766752555272082</v>
      </c>
      <c r="V436" t="s">
        <v>154</v>
      </c>
    </row>
    <row r="437" spans="9:22" x14ac:dyDescent="0.45">
      <c r="I437" t="s">
        <v>179</v>
      </c>
      <c r="J437" t="s">
        <v>157</v>
      </c>
      <c r="K437">
        <v>0</v>
      </c>
      <c r="L437" t="s">
        <v>154</v>
      </c>
      <c r="N437" t="s">
        <v>208</v>
      </c>
      <c r="O437" t="s">
        <v>157</v>
      </c>
      <c r="P437">
        <v>6.0290692910531874E-3</v>
      </c>
      <c r="Q437" t="s">
        <v>154</v>
      </c>
      <c r="S437" t="s">
        <v>232</v>
      </c>
      <c r="T437" t="s">
        <v>157</v>
      </c>
      <c r="U437">
        <v>6.9348797756670546E-3</v>
      </c>
      <c r="V437" t="s">
        <v>154</v>
      </c>
    </row>
    <row r="438" spans="9:22" x14ac:dyDescent="0.45">
      <c r="I438" t="s">
        <v>179</v>
      </c>
      <c r="J438" t="s">
        <v>158</v>
      </c>
      <c r="K438">
        <v>6.1573795481776328E-3</v>
      </c>
      <c r="L438" t="s">
        <v>154</v>
      </c>
      <c r="N438" t="s">
        <v>208</v>
      </c>
      <c r="O438" t="s">
        <v>158</v>
      </c>
      <c r="P438">
        <v>1.5894496132808115E-3</v>
      </c>
      <c r="Q438" t="s">
        <v>154</v>
      </c>
      <c r="S438" t="s">
        <v>232</v>
      </c>
      <c r="T438" t="s">
        <v>158</v>
      </c>
      <c r="U438">
        <v>1.6449325091181218E-3</v>
      </c>
      <c r="V438" t="s">
        <v>154</v>
      </c>
    </row>
    <row r="439" spans="9:22" x14ac:dyDescent="0.45">
      <c r="I439" t="s">
        <v>179</v>
      </c>
      <c r="J439" t="s">
        <v>159</v>
      </c>
      <c r="K439">
        <v>5.1711926524425411E-2</v>
      </c>
      <c r="L439" t="s">
        <v>154</v>
      </c>
      <c r="N439" t="s">
        <v>208</v>
      </c>
      <c r="O439" t="s">
        <v>159</v>
      </c>
      <c r="P439">
        <v>1.2213093896384832E-2</v>
      </c>
      <c r="Q439" t="s">
        <v>154</v>
      </c>
      <c r="S439" t="s">
        <v>232</v>
      </c>
      <c r="T439" t="s">
        <v>159</v>
      </c>
      <c r="U439">
        <v>7.2007174397356296E-3</v>
      </c>
      <c r="V439" t="s">
        <v>154</v>
      </c>
    </row>
    <row r="440" spans="9:22" x14ac:dyDescent="0.45">
      <c r="I440" t="s">
        <v>179</v>
      </c>
      <c r="J440" t="s">
        <v>258</v>
      </c>
      <c r="K440">
        <v>2.2548111651423857E-3</v>
      </c>
      <c r="L440" t="s">
        <v>154</v>
      </c>
      <c r="N440" t="s">
        <v>208</v>
      </c>
      <c r="O440" t="s">
        <v>258</v>
      </c>
      <c r="P440">
        <v>1.7264901832246911E-3</v>
      </c>
      <c r="Q440" t="s">
        <v>154</v>
      </c>
      <c r="S440" t="s">
        <v>232</v>
      </c>
      <c r="T440" t="s">
        <v>258</v>
      </c>
      <c r="U440">
        <v>1.0843696202668947E-3</v>
      </c>
      <c r="V440" t="s">
        <v>154</v>
      </c>
    </row>
    <row r="441" spans="9:22" x14ac:dyDescent="0.45">
      <c r="I441" t="s">
        <v>179</v>
      </c>
      <c r="J441" t="s">
        <v>259</v>
      </c>
      <c r="K441">
        <v>9.5449803206559261E-4</v>
      </c>
      <c r="L441" t="s">
        <v>154</v>
      </c>
      <c r="N441" t="s">
        <v>208</v>
      </c>
      <c r="O441" t="s">
        <v>259</v>
      </c>
      <c r="P441">
        <v>1.4107523377253415E-3</v>
      </c>
      <c r="Q441" t="s">
        <v>154</v>
      </c>
      <c r="S441" t="s">
        <v>232</v>
      </c>
      <c r="T441" t="s">
        <v>259</v>
      </c>
      <c r="U441">
        <v>1.2076551308602796E-3</v>
      </c>
      <c r="V441" t="s">
        <v>154</v>
      </c>
    </row>
    <row r="442" spans="9:22" x14ac:dyDescent="0.45">
      <c r="I442" t="s">
        <v>179</v>
      </c>
      <c r="J442" t="s">
        <v>260</v>
      </c>
      <c r="K442">
        <v>0</v>
      </c>
      <c r="L442" t="s">
        <v>154</v>
      </c>
      <c r="N442" t="s">
        <v>208</v>
      </c>
      <c r="O442" t="s">
        <v>260</v>
      </c>
      <c r="P442">
        <v>5.0026403707710363E-3</v>
      </c>
      <c r="Q442" t="s">
        <v>154</v>
      </c>
      <c r="S442" t="s">
        <v>232</v>
      </c>
      <c r="T442" t="s">
        <v>260</v>
      </c>
      <c r="U442">
        <v>5.6834292970228788E-3</v>
      </c>
      <c r="V442" t="s">
        <v>154</v>
      </c>
    </row>
    <row r="443" spans="9:22" x14ac:dyDescent="0.45">
      <c r="I443" t="s">
        <v>179</v>
      </c>
      <c r="J443" t="s">
        <v>160</v>
      </c>
      <c r="K443">
        <v>0</v>
      </c>
      <c r="L443" t="s">
        <v>154</v>
      </c>
      <c r="N443" t="s">
        <v>208</v>
      </c>
      <c r="O443" t="s">
        <v>160</v>
      </c>
      <c r="P443">
        <v>2.1578099771467605E-2</v>
      </c>
      <c r="Q443" t="s">
        <v>154</v>
      </c>
      <c r="S443" t="s">
        <v>232</v>
      </c>
      <c r="T443" t="s">
        <v>160</v>
      </c>
      <c r="U443">
        <v>1.7616548478678603E-2</v>
      </c>
      <c r="V443" t="s">
        <v>154</v>
      </c>
    </row>
    <row r="444" spans="9:22" x14ac:dyDescent="0.45">
      <c r="I444" t="s">
        <v>179</v>
      </c>
      <c r="J444" t="s">
        <v>161</v>
      </c>
      <c r="K444">
        <v>7.8261334222133796E-3</v>
      </c>
      <c r="L444" t="s">
        <v>154</v>
      </c>
      <c r="N444" t="s">
        <v>208</v>
      </c>
      <c r="O444" t="s">
        <v>161</v>
      </c>
      <c r="P444">
        <v>5.7844690264124794E-3</v>
      </c>
      <c r="Q444" t="s">
        <v>154</v>
      </c>
      <c r="S444" t="s">
        <v>232</v>
      </c>
      <c r="T444" t="s">
        <v>161</v>
      </c>
      <c r="U444">
        <v>4.7108388633245995E-3</v>
      </c>
      <c r="V444" t="s">
        <v>154</v>
      </c>
    </row>
    <row r="445" spans="9:22" x14ac:dyDescent="0.45">
      <c r="I445" t="s">
        <v>179</v>
      </c>
      <c r="J445" t="s">
        <v>162</v>
      </c>
      <c r="K445">
        <v>6.333537609772244E-2</v>
      </c>
      <c r="L445" t="s">
        <v>154</v>
      </c>
      <c r="N445" t="s">
        <v>208</v>
      </c>
      <c r="O445" t="s">
        <v>162</v>
      </c>
      <c r="P445">
        <v>3.2381528097075361E-2</v>
      </c>
      <c r="Q445" t="s">
        <v>154</v>
      </c>
      <c r="S445" t="s">
        <v>232</v>
      </c>
      <c r="T445" t="s">
        <v>162</v>
      </c>
      <c r="U445">
        <v>1.9288684643190872E-2</v>
      </c>
      <c r="V445" t="s">
        <v>154</v>
      </c>
    </row>
    <row r="446" spans="9:22" x14ac:dyDescent="0.45">
      <c r="I446" t="s">
        <v>179</v>
      </c>
      <c r="J446" t="s">
        <v>261</v>
      </c>
      <c r="K446">
        <v>3.1913490796222806E-3</v>
      </c>
      <c r="L446" t="s">
        <v>154</v>
      </c>
      <c r="N446" t="s">
        <v>208</v>
      </c>
      <c r="O446" t="s">
        <v>261</v>
      </c>
      <c r="P446">
        <v>4.4333177007065414E-3</v>
      </c>
      <c r="Q446" t="s">
        <v>154</v>
      </c>
      <c r="S446" t="s">
        <v>232</v>
      </c>
      <c r="T446" t="s">
        <v>261</v>
      </c>
      <c r="U446">
        <v>2.5361094452565828E-3</v>
      </c>
      <c r="V446" t="s">
        <v>154</v>
      </c>
    </row>
    <row r="447" spans="9:22" x14ac:dyDescent="0.45">
      <c r="I447" t="s">
        <v>179</v>
      </c>
      <c r="J447" t="s">
        <v>262</v>
      </c>
      <c r="K447">
        <v>1.7612447854558808E-3</v>
      </c>
      <c r="L447" t="s">
        <v>154</v>
      </c>
      <c r="N447" t="s">
        <v>208</v>
      </c>
      <c r="O447" t="s">
        <v>262</v>
      </c>
      <c r="P447">
        <v>3.6901228505032036E-3</v>
      </c>
      <c r="Q447" t="s">
        <v>154</v>
      </c>
      <c r="S447" t="s">
        <v>232</v>
      </c>
      <c r="T447" t="s">
        <v>262</v>
      </c>
      <c r="U447">
        <v>2.5950871773254597E-3</v>
      </c>
      <c r="V447" t="s">
        <v>154</v>
      </c>
    </row>
    <row r="448" spans="9:22" x14ac:dyDescent="0.45">
      <c r="I448" t="s">
        <v>179</v>
      </c>
      <c r="J448" t="s">
        <v>263</v>
      </c>
      <c r="K448">
        <v>0</v>
      </c>
      <c r="L448" t="s">
        <v>154</v>
      </c>
      <c r="N448" t="s">
        <v>208</v>
      </c>
      <c r="O448" t="s">
        <v>263</v>
      </c>
      <c r="P448">
        <v>1.7444386473976187E-2</v>
      </c>
      <c r="Q448" t="s">
        <v>154</v>
      </c>
      <c r="S448" t="s">
        <v>232</v>
      </c>
      <c r="T448" t="s">
        <v>263</v>
      </c>
      <c r="U448">
        <v>1.3209799427971914E-2</v>
      </c>
      <c r="V448" t="s">
        <v>154</v>
      </c>
    </row>
    <row r="449" spans="9:22" x14ac:dyDescent="0.45">
      <c r="I449" t="s">
        <v>179</v>
      </c>
      <c r="J449" t="s">
        <v>163</v>
      </c>
      <c r="K449">
        <v>0</v>
      </c>
      <c r="L449" t="s">
        <v>154</v>
      </c>
      <c r="N449" t="s">
        <v>208</v>
      </c>
      <c r="O449" t="s">
        <v>163</v>
      </c>
      <c r="P449">
        <v>1.5675653400300495E-2</v>
      </c>
      <c r="Q449" t="s">
        <v>154</v>
      </c>
      <c r="S449" t="s">
        <v>232</v>
      </c>
      <c r="T449" t="s">
        <v>163</v>
      </c>
      <c r="U449">
        <v>3.0903816164325696E-2</v>
      </c>
      <c r="V449" t="s">
        <v>154</v>
      </c>
    </row>
    <row r="450" spans="9:22" x14ac:dyDescent="0.45">
      <c r="I450" t="s">
        <v>179</v>
      </c>
      <c r="J450" t="s">
        <v>164</v>
      </c>
      <c r="K450">
        <v>6.5563729850401731E-3</v>
      </c>
      <c r="L450" t="s">
        <v>154</v>
      </c>
      <c r="N450" t="s">
        <v>208</v>
      </c>
      <c r="O450" t="s">
        <v>164</v>
      </c>
      <c r="P450">
        <v>3.9643167019007492E-3</v>
      </c>
      <c r="Q450" t="s">
        <v>154</v>
      </c>
      <c r="S450" t="s">
        <v>232</v>
      </c>
      <c r="T450" t="s">
        <v>164</v>
      </c>
      <c r="U450">
        <v>9.0768111563250525E-3</v>
      </c>
      <c r="V450" t="s">
        <v>154</v>
      </c>
    </row>
    <row r="451" spans="9:22" x14ac:dyDescent="0.45">
      <c r="I451" t="s">
        <v>179</v>
      </c>
      <c r="J451" t="s">
        <v>165</v>
      </c>
      <c r="K451">
        <v>5.0349068308916695E-2</v>
      </c>
      <c r="L451" t="s">
        <v>154</v>
      </c>
      <c r="N451" t="s">
        <v>208</v>
      </c>
      <c r="O451" t="s">
        <v>165</v>
      </c>
      <c r="P451">
        <v>2.9278000889492773E-2</v>
      </c>
      <c r="Q451" t="s">
        <v>154</v>
      </c>
      <c r="S451" t="s">
        <v>232</v>
      </c>
      <c r="T451" t="s">
        <v>165</v>
      </c>
      <c r="U451">
        <v>3.444136457193557E-2</v>
      </c>
      <c r="V451" t="s">
        <v>154</v>
      </c>
    </row>
    <row r="452" spans="9:22" x14ac:dyDescent="0.45">
      <c r="I452" t="s">
        <v>179</v>
      </c>
      <c r="J452" t="s">
        <v>264</v>
      </c>
      <c r="K452">
        <v>2.8145774593460685E-3</v>
      </c>
      <c r="L452" t="s">
        <v>154</v>
      </c>
      <c r="N452" t="s">
        <v>208</v>
      </c>
      <c r="O452" t="s">
        <v>264</v>
      </c>
      <c r="P452">
        <v>3.4241831113815016E-3</v>
      </c>
      <c r="Q452" t="s">
        <v>154</v>
      </c>
      <c r="S452" t="s">
        <v>232</v>
      </c>
      <c r="T452" t="s">
        <v>264</v>
      </c>
      <c r="U452">
        <v>4.2215433146301972E-3</v>
      </c>
      <c r="V452" t="s">
        <v>154</v>
      </c>
    </row>
    <row r="453" spans="9:22" x14ac:dyDescent="0.45">
      <c r="I453" t="s">
        <v>179</v>
      </c>
      <c r="J453" t="s">
        <v>265</v>
      </c>
      <c r="K453">
        <v>0</v>
      </c>
      <c r="L453" t="s">
        <v>154</v>
      </c>
      <c r="N453" t="s">
        <v>208</v>
      </c>
      <c r="O453" t="s">
        <v>265</v>
      </c>
      <c r="P453">
        <v>2.5527720286232279E-3</v>
      </c>
      <c r="Q453" t="s">
        <v>154</v>
      </c>
      <c r="S453" t="s">
        <v>232</v>
      </c>
      <c r="T453" t="s">
        <v>265</v>
      </c>
      <c r="U453">
        <v>3.8860576188384445E-3</v>
      </c>
      <c r="V453" t="s">
        <v>154</v>
      </c>
    </row>
    <row r="454" spans="9:22" x14ac:dyDescent="0.45">
      <c r="I454" t="s">
        <v>179</v>
      </c>
      <c r="J454" t="s">
        <v>266</v>
      </c>
      <c r="K454">
        <v>0</v>
      </c>
      <c r="L454" t="s">
        <v>154</v>
      </c>
      <c r="N454" t="s">
        <v>208</v>
      </c>
      <c r="O454" t="s">
        <v>266</v>
      </c>
      <c r="P454">
        <v>1.2977478155068516E-2</v>
      </c>
      <c r="Q454" t="s">
        <v>154</v>
      </c>
      <c r="S454" t="s">
        <v>232</v>
      </c>
      <c r="T454" t="s">
        <v>266</v>
      </c>
      <c r="U454">
        <v>2.3867248357868225E-2</v>
      </c>
      <c r="V454" t="s">
        <v>154</v>
      </c>
    </row>
    <row r="455" spans="9:22" x14ac:dyDescent="0.45">
      <c r="I455" t="s">
        <v>179</v>
      </c>
      <c r="J455" t="s">
        <v>272</v>
      </c>
      <c r="K455">
        <v>0</v>
      </c>
      <c r="L455" t="s">
        <v>154</v>
      </c>
      <c r="N455" t="s">
        <v>208</v>
      </c>
      <c r="O455" t="s">
        <v>272</v>
      </c>
      <c r="P455">
        <v>5.090576788009156E-2</v>
      </c>
      <c r="Q455" t="s">
        <v>154</v>
      </c>
      <c r="S455" t="s">
        <v>232</v>
      </c>
      <c r="T455" t="s">
        <v>272</v>
      </c>
      <c r="U455">
        <v>6.660148869756935E-2</v>
      </c>
      <c r="V455" t="s">
        <v>154</v>
      </c>
    </row>
    <row r="456" spans="9:22" x14ac:dyDescent="0.45">
      <c r="I456" t="s">
        <v>179</v>
      </c>
      <c r="J456" t="s">
        <v>273</v>
      </c>
      <c r="K456">
        <v>7.3183146099077036E-3</v>
      </c>
      <c r="L456" t="s">
        <v>154</v>
      </c>
      <c r="N456" t="s">
        <v>208</v>
      </c>
      <c r="O456" t="s">
        <v>273</v>
      </c>
      <c r="P456">
        <v>1.1579989435777158E-2</v>
      </c>
      <c r="Q456" t="s">
        <v>154</v>
      </c>
      <c r="S456" t="s">
        <v>232</v>
      </c>
      <c r="T456" t="s">
        <v>273</v>
      </c>
      <c r="U456">
        <v>1.7829712152296628E-2</v>
      </c>
      <c r="V456" t="s">
        <v>154</v>
      </c>
    </row>
    <row r="457" spans="9:22" x14ac:dyDescent="0.45">
      <c r="I457" t="s">
        <v>179</v>
      </c>
      <c r="J457" t="s">
        <v>274</v>
      </c>
      <c r="K457">
        <v>8.6077038537260897E-2</v>
      </c>
      <c r="L457" t="s">
        <v>154</v>
      </c>
      <c r="N457" t="s">
        <v>208</v>
      </c>
      <c r="O457" t="s">
        <v>274</v>
      </c>
      <c r="P457">
        <v>8.7232649449415375E-2</v>
      </c>
      <c r="Q457" t="s">
        <v>154</v>
      </c>
      <c r="S457" t="s">
        <v>232</v>
      </c>
      <c r="T457" t="s">
        <v>274</v>
      </c>
      <c r="U457">
        <v>7.8131896207312396E-2</v>
      </c>
      <c r="V457" t="s">
        <v>154</v>
      </c>
    </row>
    <row r="458" spans="9:22" x14ac:dyDescent="0.45">
      <c r="I458" t="s">
        <v>179</v>
      </c>
      <c r="J458" t="s">
        <v>275</v>
      </c>
      <c r="K458">
        <v>4.2327489273800379E-3</v>
      </c>
      <c r="L458" t="s">
        <v>154</v>
      </c>
      <c r="N458" t="s">
        <v>208</v>
      </c>
      <c r="O458" t="s">
        <v>275</v>
      </c>
      <c r="P458">
        <v>1.0180613322004995E-2</v>
      </c>
      <c r="Q458" t="s">
        <v>154</v>
      </c>
      <c r="S458" t="s">
        <v>232</v>
      </c>
      <c r="T458" t="s">
        <v>275</v>
      </c>
      <c r="U458">
        <v>1.0578542063552411E-2</v>
      </c>
      <c r="V458" t="s">
        <v>154</v>
      </c>
    </row>
    <row r="459" spans="9:22" x14ac:dyDescent="0.45">
      <c r="I459" t="s">
        <v>179</v>
      </c>
      <c r="J459" t="s">
        <v>276</v>
      </c>
      <c r="K459">
        <v>0</v>
      </c>
      <c r="L459" t="s">
        <v>154</v>
      </c>
      <c r="N459" t="s">
        <v>208</v>
      </c>
      <c r="O459" t="s">
        <v>276</v>
      </c>
      <c r="P459">
        <v>4.6124594013916952E-3</v>
      </c>
      <c r="Q459" t="s">
        <v>154</v>
      </c>
      <c r="S459" t="s">
        <v>232</v>
      </c>
      <c r="T459" t="s">
        <v>276</v>
      </c>
      <c r="U459">
        <v>7.8525133673153155E-3</v>
      </c>
      <c r="V459" t="s">
        <v>154</v>
      </c>
    </row>
    <row r="460" spans="9:22" x14ac:dyDescent="0.45">
      <c r="I460" t="s">
        <v>179</v>
      </c>
      <c r="J460" t="s">
        <v>277</v>
      </c>
      <c r="K460">
        <v>0</v>
      </c>
      <c r="L460" t="s">
        <v>154</v>
      </c>
      <c r="N460" t="s">
        <v>208</v>
      </c>
      <c r="O460" t="s">
        <v>277</v>
      </c>
      <c r="P460">
        <v>2.6721782087961398E-2</v>
      </c>
      <c r="Q460" t="s">
        <v>154</v>
      </c>
      <c r="S460" t="s">
        <v>232</v>
      </c>
      <c r="T460" t="s">
        <v>277</v>
      </c>
      <c r="U460">
        <v>4.7188647228319142E-2</v>
      </c>
      <c r="V460" t="s">
        <v>154</v>
      </c>
    </row>
    <row r="461" spans="9:22" x14ac:dyDescent="0.45">
      <c r="I461" t="s">
        <v>180</v>
      </c>
      <c r="J461" t="s">
        <v>153</v>
      </c>
      <c r="K461">
        <v>4.5298696537576736E-3</v>
      </c>
      <c r="L461" t="s">
        <v>154</v>
      </c>
      <c r="N461" t="s">
        <v>209</v>
      </c>
      <c r="O461" t="s">
        <v>153</v>
      </c>
      <c r="P461">
        <v>0.14977315693173623</v>
      </c>
      <c r="Q461" t="s">
        <v>154</v>
      </c>
      <c r="S461" t="s">
        <v>233</v>
      </c>
      <c r="T461" t="s">
        <v>153</v>
      </c>
      <c r="U461">
        <v>0.1746845084856124</v>
      </c>
      <c r="V461" t="s">
        <v>154</v>
      </c>
    </row>
    <row r="462" spans="9:22" x14ac:dyDescent="0.45">
      <c r="I462" t="s">
        <v>180</v>
      </c>
      <c r="J462" t="s">
        <v>155</v>
      </c>
      <c r="K462">
        <v>7.1518486300272605E-2</v>
      </c>
      <c r="L462" t="s">
        <v>154</v>
      </c>
      <c r="N462" t="s">
        <v>209</v>
      </c>
      <c r="O462" t="s">
        <v>155</v>
      </c>
      <c r="P462">
        <v>4.469624724288139E-2</v>
      </c>
      <c r="Q462" t="s">
        <v>154</v>
      </c>
      <c r="S462" t="s">
        <v>233</v>
      </c>
      <c r="T462" t="s">
        <v>155</v>
      </c>
      <c r="U462">
        <v>4.9532470632801584E-2</v>
      </c>
      <c r="V462" t="s">
        <v>154</v>
      </c>
    </row>
    <row r="463" spans="9:22" x14ac:dyDescent="0.45">
      <c r="I463" t="s">
        <v>180</v>
      </c>
      <c r="J463" t="s">
        <v>156</v>
      </c>
      <c r="K463">
        <v>0.57722729481917479</v>
      </c>
      <c r="L463" t="s">
        <v>154</v>
      </c>
      <c r="N463" t="s">
        <v>209</v>
      </c>
      <c r="O463" t="s">
        <v>156</v>
      </c>
      <c r="P463">
        <v>0.23089656329000025</v>
      </c>
      <c r="Q463" t="s">
        <v>154</v>
      </c>
      <c r="S463" t="s">
        <v>233</v>
      </c>
      <c r="T463" t="s">
        <v>156</v>
      </c>
      <c r="U463">
        <v>0.19418689074128587</v>
      </c>
      <c r="V463" t="s">
        <v>154</v>
      </c>
    </row>
    <row r="464" spans="9:22" x14ac:dyDescent="0.45">
      <c r="I464" t="s">
        <v>180</v>
      </c>
      <c r="J464" t="s">
        <v>255</v>
      </c>
      <c r="K464">
        <v>3.6743639956847755E-2</v>
      </c>
      <c r="L464" t="s">
        <v>154</v>
      </c>
      <c r="N464" t="s">
        <v>209</v>
      </c>
      <c r="O464" t="s">
        <v>255</v>
      </c>
      <c r="P464">
        <v>2.6819253103879118E-2</v>
      </c>
      <c r="Q464" t="s">
        <v>154</v>
      </c>
      <c r="S464" t="s">
        <v>233</v>
      </c>
      <c r="T464" t="s">
        <v>255</v>
      </c>
      <c r="U464">
        <v>2.4228123183194301E-2</v>
      </c>
      <c r="V464" t="s">
        <v>154</v>
      </c>
    </row>
    <row r="465" spans="9:22" x14ac:dyDescent="0.45">
      <c r="I465" t="s">
        <v>180</v>
      </c>
      <c r="J465" t="s">
        <v>256</v>
      </c>
      <c r="K465">
        <v>2.0046424825295558E-2</v>
      </c>
      <c r="L465" t="s">
        <v>154</v>
      </c>
      <c r="N465" t="s">
        <v>209</v>
      </c>
      <c r="O465" t="s">
        <v>256</v>
      </c>
      <c r="P465">
        <v>2.4008829764759963E-2</v>
      </c>
      <c r="Q465" t="s">
        <v>154</v>
      </c>
      <c r="S465" t="s">
        <v>233</v>
      </c>
      <c r="T465" t="s">
        <v>256</v>
      </c>
      <c r="U465">
        <v>2.1267269140417603E-2</v>
      </c>
      <c r="V465" t="s">
        <v>154</v>
      </c>
    </row>
    <row r="466" spans="9:22" x14ac:dyDescent="0.45">
      <c r="I466" t="s">
        <v>180</v>
      </c>
      <c r="J466" t="s">
        <v>257</v>
      </c>
      <c r="K466">
        <v>0</v>
      </c>
      <c r="L466" t="s">
        <v>154</v>
      </c>
      <c r="N466" t="s">
        <v>209</v>
      </c>
      <c r="O466" t="s">
        <v>257</v>
      </c>
      <c r="P466">
        <v>0.12490120362742657</v>
      </c>
      <c r="Q466" t="s">
        <v>154</v>
      </c>
      <c r="S466" t="s">
        <v>233</v>
      </c>
      <c r="T466" t="s">
        <v>257</v>
      </c>
      <c r="U466">
        <v>0.12840829683962332</v>
      </c>
      <c r="V466" t="s">
        <v>154</v>
      </c>
    </row>
    <row r="467" spans="9:22" x14ac:dyDescent="0.45">
      <c r="I467" t="s">
        <v>180</v>
      </c>
      <c r="J467" t="s">
        <v>157</v>
      </c>
      <c r="K467">
        <v>0</v>
      </c>
      <c r="L467" t="s">
        <v>154</v>
      </c>
      <c r="N467" t="s">
        <v>209</v>
      </c>
      <c r="O467" t="s">
        <v>157</v>
      </c>
      <c r="P467">
        <v>8.4852468616074313E-3</v>
      </c>
      <c r="Q467" t="s">
        <v>154</v>
      </c>
      <c r="S467" t="s">
        <v>233</v>
      </c>
      <c r="T467" t="s">
        <v>157</v>
      </c>
      <c r="U467">
        <v>9.7816257703802617E-3</v>
      </c>
      <c r="V467" t="s">
        <v>154</v>
      </c>
    </row>
    <row r="468" spans="9:22" x14ac:dyDescent="0.45">
      <c r="I468" t="s">
        <v>180</v>
      </c>
      <c r="J468" t="s">
        <v>158</v>
      </c>
      <c r="K468">
        <v>6.2468937524919766E-3</v>
      </c>
      <c r="L468" t="s">
        <v>154</v>
      </c>
      <c r="N468" t="s">
        <v>209</v>
      </c>
      <c r="O468" t="s">
        <v>158</v>
      </c>
      <c r="P468">
        <v>2.3841615783161316E-3</v>
      </c>
      <c r="Q468" t="s">
        <v>154</v>
      </c>
      <c r="S468" t="s">
        <v>233</v>
      </c>
      <c r="T468" t="s">
        <v>158</v>
      </c>
      <c r="U468">
        <v>2.6632357518554715E-3</v>
      </c>
      <c r="V468" t="s">
        <v>154</v>
      </c>
    </row>
    <row r="469" spans="9:22" x14ac:dyDescent="0.45">
      <c r="I469" t="s">
        <v>180</v>
      </c>
      <c r="J469" t="s">
        <v>159</v>
      </c>
      <c r="K469">
        <v>5.2473355826896176E-2</v>
      </c>
      <c r="L469" t="s">
        <v>154</v>
      </c>
      <c r="N469" t="s">
        <v>209</v>
      </c>
      <c r="O469" t="s">
        <v>159</v>
      </c>
      <c r="P469">
        <v>1.1882716464815625E-2</v>
      </c>
      <c r="Q469" t="s">
        <v>154</v>
      </c>
      <c r="S469" t="s">
        <v>233</v>
      </c>
      <c r="T469" t="s">
        <v>159</v>
      </c>
      <c r="U469">
        <v>1.021443383495042E-2</v>
      </c>
      <c r="V469" t="s">
        <v>154</v>
      </c>
    </row>
    <row r="470" spans="9:22" x14ac:dyDescent="0.45">
      <c r="I470" t="s">
        <v>180</v>
      </c>
      <c r="J470" t="s">
        <v>258</v>
      </c>
      <c r="K470">
        <v>2.5157374341918206E-3</v>
      </c>
      <c r="L470" t="s">
        <v>154</v>
      </c>
      <c r="N470" t="s">
        <v>209</v>
      </c>
      <c r="O470" t="s">
        <v>258</v>
      </c>
      <c r="P470">
        <v>1.159300018942016E-3</v>
      </c>
      <c r="Q470" t="s">
        <v>154</v>
      </c>
      <c r="S470" t="s">
        <v>233</v>
      </c>
      <c r="T470" t="s">
        <v>258</v>
      </c>
      <c r="U470">
        <v>1.1731136647200641E-3</v>
      </c>
      <c r="V470" t="s">
        <v>154</v>
      </c>
    </row>
    <row r="471" spans="9:22" x14ac:dyDescent="0.45">
      <c r="I471" t="s">
        <v>180</v>
      </c>
      <c r="J471" t="s">
        <v>259</v>
      </c>
      <c r="K471">
        <v>1.1308800817966232E-3</v>
      </c>
      <c r="L471" t="s">
        <v>154</v>
      </c>
      <c r="N471" t="s">
        <v>209</v>
      </c>
      <c r="O471" t="s">
        <v>259</v>
      </c>
      <c r="P471">
        <v>1.3283437260303253E-3</v>
      </c>
      <c r="Q471" t="s">
        <v>154</v>
      </c>
      <c r="S471" t="s">
        <v>233</v>
      </c>
      <c r="T471" t="s">
        <v>259</v>
      </c>
      <c r="U471">
        <v>1.1891526169164526E-3</v>
      </c>
      <c r="V471" t="s">
        <v>154</v>
      </c>
    </row>
    <row r="472" spans="9:22" x14ac:dyDescent="0.45">
      <c r="I472" t="s">
        <v>180</v>
      </c>
      <c r="J472" t="s">
        <v>260</v>
      </c>
      <c r="K472">
        <v>0</v>
      </c>
      <c r="L472" t="s">
        <v>154</v>
      </c>
      <c r="N472" t="s">
        <v>209</v>
      </c>
      <c r="O472" t="s">
        <v>260</v>
      </c>
      <c r="P472">
        <v>6.4638600557330268E-3</v>
      </c>
      <c r="Q472" t="s">
        <v>154</v>
      </c>
      <c r="S472" t="s">
        <v>233</v>
      </c>
      <c r="T472" t="s">
        <v>260</v>
      </c>
      <c r="U472">
        <v>6.4304407519522426E-3</v>
      </c>
      <c r="V472" t="s">
        <v>154</v>
      </c>
    </row>
    <row r="473" spans="9:22" x14ac:dyDescent="0.45">
      <c r="I473" t="s">
        <v>180</v>
      </c>
      <c r="J473" t="s">
        <v>160</v>
      </c>
      <c r="K473">
        <v>0</v>
      </c>
      <c r="L473" t="s">
        <v>154</v>
      </c>
      <c r="N473" t="s">
        <v>209</v>
      </c>
      <c r="O473" t="s">
        <v>160</v>
      </c>
      <c r="P473">
        <v>2.9334965403702968E-2</v>
      </c>
      <c r="Q473" t="s">
        <v>154</v>
      </c>
      <c r="S473" t="s">
        <v>233</v>
      </c>
      <c r="T473" t="s">
        <v>160</v>
      </c>
      <c r="U473">
        <v>2.401435436307273E-2</v>
      </c>
      <c r="V473" t="s">
        <v>154</v>
      </c>
    </row>
    <row r="474" spans="9:22" x14ac:dyDescent="0.45">
      <c r="I474" t="s">
        <v>180</v>
      </c>
      <c r="J474" t="s">
        <v>161</v>
      </c>
      <c r="K474">
        <v>8.9795682553897149E-3</v>
      </c>
      <c r="L474" t="s">
        <v>154</v>
      </c>
      <c r="N474" t="s">
        <v>209</v>
      </c>
      <c r="O474" t="s">
        <v>161</v>
      </c>
      <c r="P474">
        <v>7.8774787584955635E-3</v>
      </c>
      <c r="Q474" t="s">
        <v>154</v>
      </c>
      <c r="S474" t="s">
        <v>233</v>
      </c>
      <c r="T474" t="s">
        <v>161</v>
      </c>
      <c r="U474">
        <v>6.338580136391876E-3</v>
      </c>
      <c r="V474" t="s">
        <v>154</v>
      </c>
    </row>
    <row r="475" spans="9:22" x14ac:dyDescent="0.45">
      <c r="I475" t="s">
        <v>180</v>
      </c>
      <c r="J475" t="s">
        <v>162</v>
      </c>
      <c r="K475">
        <v>6.6149645814199756E-2</v>
      </c>
      <c r="L475" t="s">
        <v>154</v>
      </c>
      <c r="N475" t="s">
        <v>209</v>
      </c>
      <c r="O475" t="s">
        <v>162</v>
      </c>
      <c r="P475">
        <v>3.3933059733195672E-2</v>
      </c>
      <c r="Q475" t="s">
        <v>154</v>
      </c>
      <c r="S475" t="s">
        <v>233</v>
      </c>
      <c r="T475" t="s">
        <v>162</v>
      </c>
      <c r="U475">
        <v>2.5968192775318939E-2</v>
      </c>
      <c r="V475" t="s">
        <v>154</v>
      </c>
    </row>
    <row r="476" spans="9:22" x14ac:dyDescent="0.45">
      <c r="I476" t="s">
        <v>180</v>
      </c>
      <c r="J476" t="s">
        <v>261</v>
      </c>
      <c r="K476">
        <v>3.7087007880607131E-3</v>
      </c>
      <c r="L476" t="s">
        <v>154</v>
      </c>
      <c r="N476" t="s">
        <v>209</v>
      </c>
      <c r="O476" t="s">
        <v>261</v>
      </c>
      <c r="P476">
        <v>3.9393477487675663E-3</v>
      </c>
      <c r="Q476" t="s">
        <v>154</v>
      </c>
      <c r="S476" t="s">
        <v>233</v>
      </c>
      <c r="T476" t="s">
        <v>261</v>
      </c>
      <c r="U476">
        <v>2.9916111738596575E-3</v>
      </c>
      <c r="V476" t="s">
        <v>154</v>
      </c>
    </row>
    <row r="477" spans="9:22" x14ac:dyDescent="0.45">
      <c r="I477" t="s">
        <v>180</v>
      </c>
      <c r="J477" t="s">
        <v>262</v>
      </c>
      <c r="K477">
        <v>1.7312802369197091E-3</v>
      </c>
      <c r="L477" t="s">
        <v>154</v>
      </c>
      <c r="N477" t="s">
        <v>209</v>
      </c>
      <c r="O477" t="s">
        <v>262</v>
      </c>
      <c r="P477">
        <v>3.8692691522633042E-3</v>
      </c>
      <c r="Q477" t="s">
        <v>154</v>
      </c>
      <c r="S477" t="s">
        <v>233</v>
      </c>
      <c r="T477" t="s">
        <v>262</v>
      </c>
      <c r="U477">
        <v>3.1146944434700561E-3</v>
      </c>
      <c r="V477" t="s">
        <v>154</v>
      </c>
    </row>
    <row r="478" spans="9:22" x14ac:dyDescent="0.45">
      <c r="I478" t="s">
        <v>180</v>
      </c>
      <c r="J478" t="s">
        <v>263</v>
      </c>
      <c r="K478">
        <v>0</v>
      </c>
      <c r="L478" t="s">
        <v>154</v>
      </c>
      <c r="N478" t="s">
        <v>209</v>
      </c>
      <c r="O478" t="s">
        <v>263</v>
      </c>
      <c r="P478">
        <v>2.0149300169534881E-2</v>
      </c>
      <c r="Q478" t="s">
        <v>154</v>
      </c>
      <c r="S478" t="s">
        <v>233</v>
      </c>
      <c r="T478" t="s">
        <v>263</v>
      </c>
      <c r="U478">
        <v>1.626440587751966E-2</v>
      </c>
      <c r="V478" t="s">
        <v>154</v>
      </c>
    </row>
    <row r="479" spans="9:22" x14ac:dyDescent="0.45">
      <c r="I479" t="s">
        <v>180</v>
      </c>
      <c r="J479" t="s">
        <v>163</v>
      </c>
      <c r="K479">
        <v>0</v>
      </c>
      <c r="L479" t="s">
        <v>154</v>
      </c>
      <c r="N479" t="s">
        <v>209</v>
      </c>
      <c r="O479" t="s">
        <v>163</v>
      </c>
      <c r="P479">
        <v>2.3980034575830145E-2</v>
      </c>
      <c r="Q479" t="s">
        <v>154</v>
      </c>
      <c r="S479" t="s">
        <v>233</v>
      </c>
      <c r="T479" t="s">
        <v>163</v>
      </c>
      <c r="U479">
        <v>2.6949534227155514E-2</v>
      </c>
      <c r="V479" t="s">
        <v>154</v>
      </c>
    </row>
    <row r="480" spans="9:22" x14ac:dyDescent="0.45">
      <c r="I480" t="s">
        <v>180</v>
      </c>
      <c r="J480" t="s">
        <v>164</v>
      </c>
      <c r="K480">
        <v>6.754643419115536E-3</v>
      </c>
      <c r="L480" t="s">
        <v>154</v>
      </c>
      <c r="N480" t="s">
        <v>209</v>
      </c>
      <c r="O480" t="s">
        <v>164</v>
      </c>
      <c r="P480">
        <v>7.6863416501173091E-3</v>
      </c>
      <c r="Q480" t="s">
        <v>154</v>
      </c>
      <c r="S480" t="s">
        <v>233</v>
      </c>
      <c r="T480" t="s">
        <v>164</v>
      </c>
      <c r="U480">
        <v>8.1589353343299673E-3</v>
      </c>
      <c r="V480" t="s">
        <v>154</v>
      </c>
    </row>
    <row r="481" spans="9:22" x14ac:dyDescent="0.45">
      <c r="I481" t="s">
        <v>180</v>
      </c>
      <c r="J481" t="s">
        <v>165</v>
      </c>
      <c r="K481">
        <v>4.999732154377666E-2</v>
      </c>
      <c r="L481" t="s">
        <v>154</v>
      </c>
      <c r="N481" t="s">
        <v>209</v>
      </c>
      <c r="O481" t="s">
        <v>165</v>
      </c>
      <c r="P481">
        <v>3.5096602412285009E-2</v>
      </c>
      <c r="Q481" t="s">
        <v>154</v>
      </c>
      <c r="S481" t="s">
        <v>233</v>
      </c>
      <c r="T481" t="s">
        <v>165</v>
      </c>
      <c r="U481">
        <v>3.0635651065545968E-2</v>
      </c>
      <c r="V481" t="s">
        <v>154</v>
      </c>
    </row>
    <row r="482" spans="9:22" x14ac:dyDescent="0.45">
      <c r="I482" t="s">
        <v>180</v>
      </c>
      <c r="J482" t="s">
        <v>264</v>
      </c>
      <c r="K482">
        <v>3.163044855019705E-3</v>
      </c>
      <c r="L482" t="s">
        <v>154</v>
      </c>
      <c r="N482" t="s">
        <v>209</v>
      </c>
      <c r="O482" t="s">
        <v>264</v>
      </c>
      <c r="P482">
        <v>4.3212481165987218E-3</v>
      </c>
      <c r="Q482" t="s">
        <v>154</v>
      </c>
      <c r="S482" t="s">
        <v>233</v>
      </c>
      <c r="T482" t="s">
        <v>264</v>
      </c>
      <c r="U482">
        <v>3.9101817929199411E-3</v>
      </c>
      <c r="V482" t="s">
        <v>154</v>
      </c>
    </row>
    <row r="483" spans="9:22" x14ac:dyDescent="0.45">
      <c r="I483" t="s">
        <v>180</v>
      </c>
      <c r="J483" t="s">
        <v>265</v>
      </c>
      <c r="K483">
        <v>0</v>
      </c>
      <c r="L483" t="s">
        <v>154</v>
      </c>
      <c r="N483" t="s">
        <v>209</v>
      </c>
      <c r="O483" t="s">
        <v>265</v>
      </c>
      <c r="P483">
        <v>4.028353455634107E-3</v>
      </c>
      <c r="Q483" t="s">
        <v>154</v>
      </c>
      <c r="S483" t="s">
        <v>233</v>
      </c>
      <c r="T483" t="s">
        <v>265</v>
      </c>
      <c r="U483">
        <v>3.7097699321666576E-3</v>
      </c>
      <c r="V483" t="s">
        <v>154</v>
      </c>
    </row>
    <row r="484" spans="9:22" x14ac:dyDescent="0.45">
      <c r="I484" t="s">
        <v>180</v>
      </c>
      <c r="J484" t="s">
        <v>266</v>
      </c>
      <c r="K484">
        <v>0</v>
      </c>
      <c r="L484" t="s">
        <v>154</v>
      </c>
      <c r="N484" t="s">
        <v>209</v>
      </c>
      <c r="O484" t="s">
        <v>266</v>
      </c>
      <c r="P484">
        <v>2.025499198027654E-2</v>
      </c>
      <c r="Q484" t="s">
        <v>154</v>
      </c>
      <c r="S484" t="s">
        <v>233</v>
      </c>
      <c r="T484" t="s">
        <v>266</v>
      </c>
      <c r="U484">
        <v>2.1322877846974706E-2</v>
      </c>
      <c r="V484" t="s">
        <v>154</v>
      </c>
    </row>
    <row r="485" spans="9:22" x14ac:dyDescent="0.45">
      <c r="I485" t="s">
        <v>180</v>
      </c>
      <c r="J485" t="s">
        <v>272</v>
      </c>
      <c r="K485">
        <v>0</v>
      </c>
      <c r="L485" t="s">
        <v>154</v>
      </c>
      <c r="N485" t="s">
        <v>209</v>
      </c>
      <c r="O485" t="s">
        <v>272</v>
      </c>
      <c r="P485">
        <v>4.6955763095555735E-2</v>
      </c>
      <c r="Q485" t="s">
        <v>154</v>
      </c>
      <c r="S485" t="s">
        <v>233</v>
      </c>
      <c r="T485" t="s">
        <v>272</v>
      </c>
      <c r="U485">
        <v>6.0311601457730776E-2</v>
      </c>
      <c r="V485" t="s">
        <v>154</v>
      </c>
    </row>
    <row r="486" spans="9:22" x14ac:dyDescent="0.45">
      <c r="I486" t="s">
        <v>180</v>
      </c>
      <c r="J486" t="s">
        <v>273</v>
      </c>
      <c r="K486">
        <v>7.4761739731712112E-3</v>
      </c>
      <c r="L486" t="s">
        <v>154</v>
      </c>
      <c r="N486" t="s">
        <v>209</v>
      </c>
      <c r="O486" t="s">
        <v>273</v>
      </c>
      <c r="P486">
        <v>1.319595196624356E-2</v>
      </c>
      <c r="Q486" t="s">
        <v>154</v>
      </c>
      <c r="S486" t="s">
        <v>233</v>
      </c>
      <c r="T486" t="s">
        <v>273</v>
      </c>
      <c r="U486">
        <v>1.6966221944768642E-2</v>
      </c>
      <c r="V486" t="s">
        <v>154</v>
      </c>
    </row>
    <row r="487" spans="9:22" x14ac:dyDescent="0.45">
      <c r="I487" t="s">
        <v>180</v>
      </c>
      <c r="J487" t="s">
        <v>274</v>
      </c>
      <c r="K487">
        <v>7.59082507887614E-2</v>
      </c>
      <c r="L487" t="s">
        <v>154</v>
      </c>
      <c r="N487" t="s">
        <v>209</v>
      </c>
      <c r="O487" t="s">
        <v>274</v>
      </c>
      <c r="P487">
        <v>6.2711676010887576E-2</v>
      </c>
      <c r="Q487" t="s">
        <v>154</v>
      </c>
      <c r="S487" t="s">
        <v>233</v>
      </c>
      <c r="T487" t="s">
        <v>274</v>
      </c>
      <c r="U487">
        <v>6.561517114423214E-2</v>
      </c>
      <c r="V487" t="s">
        <v>154</v>
      </c>
    </row>
    <row r="488" spans="9:22" x14ac:dyDescent="0.45">
      <c r="I488" t="s">
        <v>180</v>
      </c>
      <c r="J488" t="s">
        <v>275</v>
      </c>
      <c r="K488">
        <v>3.6987876748619799E-3</v>
      </c>
      <c r="L488" t="s">
        <v>154</v>
      </c>
      <c r="N488" t="s">
        <v>209</v>
      </c>
      <c r="O488" t="s">
        <v>275</v>
      </c>
      <c r="P488">
        <v>7.9085936017019402E-3</v>
      </c>
      <c r="Q488" t="s">
        <v>154</v>
      </c>
      <c r="S488" t="s">
        <v>233</v>
      </c>
      <c r="T488" t="s">
        <v>275</v>
      </c>
      <c r="U488">
        <v>8.5939124315801505E-3</v>
      </c>
      <c r="V488" t="s">
        <v>154</v>
      </c>
    </row>
    <row r="489" spans="9:22" x14ac:dyDescent="0.45">
      <c r="I489" t="s">
        <v>180</v>
      </c>
      <c r="J489" t="s">
        <v>276</v>
      </c>
      <c r="K489">
        <v>0</v>
      </c>
      <c r="L489" t="s">
        <v>154</v>
      </c>
      <c r="N489" t="s">
        <v>209</v>
      </c>
      <c r="O489" t="s">
        <v>276</v>
      </c>
      <c r="P489">
        <v>6.5711090661357162E-3</v>
      </c>
      <c r="Q489" t="s">
        <v>154</v>
      </c>
      <c r="S489" t="s">
        <v>233</v>
      </c>
      <c r="T489" t="s">
        <v>276</v>
      </c>
      <c r="U489">
        <v>6.9642913931698587E-3</v>
      </c>
      <c r="V489" t="s">
        <v>154</v>
      </c>
    </row>
    <row r="490" spans="9:22" x14ac:dyDescent="0.45">
      <c r="I490" t="s">
        <v>180</v>
      </c>
      <c r="J490" t="s">
        <v>277</v>
      </c>
      <c r="K490">
        <v>0</v>
      </c>
      <c r="L490" t="s">
        <v>154</v>
      </c>
      <c r="N490" t="s">
        <v>209</v>
      </c>
      <c r="O490" t="s">
        <v>277</v>
      </c>
      <c r="P490">
        <v>3.5387030436644554E-2</v>
      </c>
      <c r="Q490" t="s">
        <v>154</v>
      </c>
      <c r="S490" t="s">
        <v>233</v>
      </c>
      <c r="T490" t="s">
        <v>277</v>
      </c>
      <c r="U490">
        <v>4.4410451246079341E-2</v>
      </c>
      <c r="V490" t="s">
        <v>154</v>
      </c>
    </row>
    <row r="491" spans="9:22" x14ac:dyDescent="0.45">
      <c r="I491" t="s">
        <v>181</v>
      </c>
      <c r="J491" t="s">
        <v>153</v>
      </c>
      <c r="K491">
        <v>2.4848437026649822E-3</v>
      </c>
      <c r="L491" t="s">
        <v>154</v>
      </c>
      <c r="N491" t="s">
        <v>210</v>
      </c>
      <c r="O491" t="s">
        <v>153</v>
      </c>
      <c r="P491">
        <v>0.16190578688403878</v>
      </c>
      <c r="Q491" t="s">
        <v>154</v>
      </c>
      <c r="S491" t="s">
        <v>234</v>
      </c>
      <c r="T491" t="s">
        <v>153</v>
      </c>
      <c r="U491">
        <v>0.17997731892161453</v>
      </c>
      <c r="V491" t="s">
        <v>154</v>
      </c>
    </row>
    <row r="492" spans="9:22" x14ac:dyDescent="0.45">
      <c r="I492" t="s">
        <v>181</v>
      </c>
      <c r="J492" t="s">
        <v>155</v>
      </c>
      <c r="K492">
        <v>6.6976019883748461E-2</v>
      </c>
      <c r="L492" t="s">
        <v>154</v>
      </c>
      <c r="N492" t="s">
        <v>210</v>
      </c>
      <c r="O492" t="s">
        <v>155</v>
      </c>
      <c r="P492">
        <v>4.5851154209465644E-2</v>
      </c>
      <c r="Q492" t="s">
        <v>154</v>
      </c>
      <c r="S492" t="s">
        <v>234</v>
      </c>
      <c r="T492" t="s">
        <v>155</v>
      </c>
      <c r="U492">
        <v>5.0428561029846282E-2</v>
      </c>
      <c r="V492" t="s">
        <v>154</v>
      </c>
    </row>
    <row r="493" spans="9:22" x14ac:dyDescent="0.45">
      <c r="I493" t="s">
        <v>181</v>
      </c>
      <c r="J493" t="s">
        <v>156</v>
      </c>
      <c r="K493">
        <v>0.56675862442540648</v>
      </c>
      <c r="L493" t="s">
        <v>154</v>
      </c>
      <c r="N493" t="s">
        <v>210</v>
      </c>
      <c r="O493" t="s">
        <v>156</v>
      </c>
      <c r="P493">
        <v>0.21207341670856436</v>
      </c>
      <c r="Q493" t="s">
        <v>154</v>
      </c>
      <c r="S493" t="s">
        <v>234</v>
      </c>
      <c r="T493" t="s">
        <v>156</v>
      </c>
      <c r="U493">
        <v>0.19187342616029143</v>
      </c>
      <c r="V493" t="s">
        <v>154</v>
      </c>
    </row>
    <row r="494" spans="9:22" x14ac:dyDescent="0.45">
      <c r="I494" t="s">
        <v>181</v>
      </c>
      <c r="J494" t="s">
        <v>255</v>
      </c>
      <c r="K494">
        <v>3.7187202976281787E-2</v>
      </c>
      <c r="L494" t="s">
        <v>154</v>
      </c>
      <c r="N494" t="s">
        <v>210</v>
      </c>
      <c r="O494" t="s">
        <v>255</v>
      </c>
      <c r="P494">
        <v>2.7212819024596949E-2</v>
      </c>
      <c r="Q494" t="s">
        <v>154</v>
      </c>
      <c r="S494" t="s">
        <v>234</v>
      </c>
      <c r="T494" t="s">
        <v>255</v>
      </c>
      <c r="U494">
        <v>2.410148261436228E-2</v>
      </c>
      <c r="V494" t="s">
        <v>154</v>
      </c>
    </row>
    <row r="495" spans="9:22" x14ac:dyDescent="0.45">
      <c r="I495" t="s">
        <v>181</v>
      </c>
      <c r="J495" t="s">
        <v>256</v>
      </c>
      <c r="K495">
        <v>2.0872591525577123E-2</v>
      </c>
      <c r="L495" t="s">
        <v>154</v>
      </c>
      <c r="N495" t="s">
        <v>210</v>
      </c>
      <c r="O495" t="s">
        <v>256</v>
      </c>
      <c r="P495">
        <v>2.3876814181209852E-2</v>
      </c>
      <c r="Q495" t="s">
        <v>154</v>
      </c>
      <c r="S495" t="s">
        <v>234</v>
      </c>
      <c r="T495" t="s">
        <v>256</v>
      </c>
      <c r="U495">
        <v>2.3078329037190912E-2</v>
      </c>
      <c r="V495" t="s">
        <v>154</v>
      </c>
    </row>
    <row r="496" spans="9:22" x14ac:dyDescent="0.45">
      <c r="I496" t="s">
        <v>181</v>
      </c>
      <c r="J496" t="s">
        <v>257</v>
      </c>
      <c r="K496">
        <v>6.273225775059945E-5</v>
      </c>
      <c r="L496" t="s">
        <v>154</v>
      </c>
      <c r="N496" t="s">
        <v>210</v>
      </c>
      <c r="O496" t="s">
        <v>257</v>
      </c>
      <c r="P496">
        <v>0.12882414038827802</v>
      </c>
      <c r="Q496" t="s">
        <v>154</v>
      </c>
      <c r="S496" t="s">
        <v>234</v>
      </c>
      <c r="T496" t="s">
        <v>257</v>
      </c>
      <c r="U496">
        <v>0.13591747834437992</v>
      </c>
      <c r="V496" t="s">
        <v>154</v>
      </c>
    </row>
    <row r="497" spans="9:22" x14ac:dyDescent="0.45">
      <c r="I497" t="s">
        <v>181</v>
      </c>
      <c r="J497" t="s">
        <v>157</v>
      </c>
      <c r="K497">
        <v>0</v>
      </c>
      <c r="L497" t="s">
        <v>154</v>
      </c>
      <c r="N497" t="s">
        <v>210</v>
      </c>
      <c r="O497" t="s">
        <v>157</v>
      </c>
      <c r="P497">
        <v>6.0308097210544009E-3</v>
      </c>
      <c r="Q497" t="s">
        <v>154</v>
      </c>
      <c r="S497" t="s">
        <v>234</v>
      </c>
      <c r="T497" t="s">
        <v>157</v>
      </c>
      <c r="U497">
        <v>1.1118205275940315E-2</v>
      </c>
      <c r="V497" t="s">
        <v>154</v>
      </c>
    </row>
    <row r="498" spans="9:22" x14ac:dyDescent="0.45">
      <c r="I498" t="s">
        <v>181</v>
      </c>
      <c r="J498" t="s">
        <v>158</v>
      </c>
      <c r="K498">
        <v>5.5556139148188769E-3</v>
      </c>
      <c r="L498" t="s">
        <v>154</v>
      </c>
      <c r="N498" t="s">
        <v>210</v>
      </c>
      <c r="O498" t="s">
        <v>158</v>
      </c>
      <c r="P498">
        <v>1.584120676583539E-3</v>
      </c>
      <c r="Q498" t="s">
        <v>154</v>
      </c>
      <c r="S498" t="s">
        <v>234</v>
      </c>
      <c r="T498" t="s">
        <v>158</v>
      </c>
      <c r="U498">
        <v>3.0240603632842203E-3</v>
      </c>
      <c r="V498" t="s">
        <v>154</v>
      </c>
    </row>
    <row r="499" spans="9:22" x14ac:dyDescent="0.45">
      <c r="I499" t="s">
        <v>181</v>
      </c>
      <c r="J499" t="s">
        <v>159</v>
      </c>
      <c r="K499">
        <v>4.7587023740243845E-2</v>
      </c>
      <c r="L499" t="s">
        <v>154</v>
      </c>
      <c r="N499" t="s">
        <v>210</v>
      </c>
      <c r="O499" t="s">
        <v>159</v>
      </c>
      <c r="P499">
        <v>7.492360582452999E-3</v>
      </c>
      <c r="Q499" t="s">
        <v>154</v>
      </c>
      <c r="S499" t="s">
        <v>234</v>
      </c>
      <c r="T499" t="s">
        <v>159</v>
      </c>
      <c r="U499">
        <v>1.140212179339543E-2</v>
      </c>
      <c r="V499" t="s">
        <v>154</v>
      </c>
    </row>
    <row r="500" spans="9:22" x14ac:dyDescent="0.45">
      <c r="I500" t="s">
        <v>181</v>
      </c>
      <c r="J500" t="s">
        <v>258</v>
      </c>
      <c r="K500">
        <v>2.3530068393600037E-3</v>
      </c>
      <c r="L500" t="s">
        <v>154</v>
      </c>
      <c r="N500" t="s">
        <v>210</v>
      </c>
      <c r="O500" t="s">
        <v>258</v>
      </c>
      <c r="P500">
        <v>9.5159598472086785E-4</v>
      </c>
      <c r="Q500" t="s">
        <v>154</v>
      </c>
      <c r="S500" t="s">
        <v>234</v>
      </c>
      <c r="T500" t="s">
        <v>258</v>
      </c>
      <c r="U500">
        <v>1.3978449902531263E-3</v>
      </c>
      <c r="V500" t="s">
        <v>154</v>
      </c>
    </row>
    <row r="501" spans="9:22" x14ac:dyDescent="0.45">
      <c r="I501" t="s">
        <v>181</v>
      </c>
      <c r="J501" t="s">
        <v>259</v>
      </c>
      <c r="K501">
        <v>1.1387017030867641E-3</v>
      </c>
      <c r="L501" t="s">
        <v>154</v>
      </c>
      <c r="N501" t="s">
        <v>210</v>
      </c>
      <c r="O501" t="s">
        <v>259</v>
      </c>
      <c r="P501">
        <v>1.0514669810363347E-3</v>
      </c>
      <c r="Q501" t="s">
        <v>154</v>
      </c>
      <c r="S501" t="s">
        <v>234</v>
      </c>
      <c r="T501" t="s">
        <v>259</v>
      </c>
      <c r="U501">
        <v>1.4904299052581557E-3</v>
      </c>
      <c r="V501" t="s">
        <v>154</v>
      </c>
    </row>
    <row r="502" spans="9:22" x14ac:dyDescent="0.45">
      <c r="I502" t="s">
        <v>181</v>
      </c>
      <c r="J502" t="s">
        <v>260</v>
      </c>
      <c r="K502">
        <v>0</v>
      </c>
      <c r="L502" t="s">
        <v>154</v>
      </c>
      <c r="N502" t="s">
        <v>210</v>
      </c>
      <c r="O502" t="s">
        <v>260</v>
      </c>
      <c r="P502">
        <v>4.6499198041703672E-3</v>
      </c>
      <c r="Q502" t="s">
        <v>154</v>
      </c>
      <c r="S502" t="s">
        <v>234</v>
      </c>
      <c r="T502" t="s">
        <v>260</v>
      </c>
      <c r="U502">
        <v>7.6197864717170594E-3</v>
      </c>
      <c r="V502" t="s">
        <v>154</v>
      </c>
    </row>
    <row r="503" spans="9:22" x14ac:dyDescent="0.45">
      <c r="I503" t="s">
        <v>181</v>
      </c>
      <c r="J503" t="s">
        <v>160</v>
      </c>
      <c r="K503">
        <v>0</v>
      </c>
      <c r="L503" t="s">
        <v>154</v>
      </c>
      <c r="N503" t="s">
        <v>210</v>
      </c>
      <c r="O503" t="s">
        <v>160</v>
      </c>
      <c r="P503">
        <v>1.9454980014238614E-2</v>
      </c>
      <c r="Q503" t="s">
        <v>154</v>
      </c>
      <c r="S503" t="s">
        <v>234</v>
      </c>
      <c r="T503" t="s">
        <v>160</v>
      </c>
      <c r="U503">
        <v>3.826196833467873E-2</v>
      </c>
      <c r="V503" t="s">
        <v>154</v>
      </c>
    </row>
    <row r="504" spans="9:22" x14ac:dyDescent="0.45">
      <c r="I504" t="s">
        <v>181</v>
      </c>
      <c r="J504" t="s">
        <v>161</v>
      </c>
      <c r="K504">
        <v>7.952394572939973E-3</v>
      </c>
      <c r="L504" t="s">
        <v>154</v>
      </c>
      <c r="N504" t="s">
        <v>210</v>
      </c>
      <c r="O504" t="s">
        <v>161</v>
      </c>
      <c r="P504">
        <v>5.215592684018033E-3</v>
      </c>
      <c r="Q504" t="s">
        <v>154</v>
      </c>
      <c r="S504" t="s">
        <v>234</v>
      </c>
      <c r="T504" t="s">
        <v>161</v>
      </c>
      <c r="U504">
        <v>1.0157485677359312E-2</v>
      </c>
      <c r="V504" t="s">
        <v>154</v>
      </c>
    </row>
    <row r="505" spans="9:22" x14ac:dyDescent="0.45">
      <c r="I505" t="s">
        <v>181</v>
      </c>
      <c r="J505" t="s">
        <v>162</v>
      </c>
      <c r="K505">
        <v>6.0234220799758674E-2</v>
      </c>
      <c r="L505" t="s">
        <v>154</v>
      </c>
      <c r="N505" t="s">
        <v>210</v>
      </c>
      <c r="O505" t="s">
        <v>162</v>
      </c>
      <c r="P505">
        <v>2.3331007723098034E-2</v>
      </c>
      <c r="Q505" t="s">
        <v>154</v>
      </c>
      <c r="S505" t="s">
        <v>234</v>
      </c>
      <c r="T505" t="s">
        <v>162</v>
      </c>
      <c r="U505">
        <v>4.2364088505986712E-2</v>
      </c>
      <c r="V505" t="s">
        <v>154</v>
      </c>
    </row>
    <row r="506" spans="9:22" x14ac:dyDescent="0.45">
      <c r="I506" t="s">
        <v>181</v>
      </c>
      <c r="J506" t="s">
        <v>261</v>
      </c>
      <c r="K506">
        <v>3.4671442955150674E-3</v>
      </c>
      <c r="L506" t="s">
        <v>154</v>
      </c>
      <c r="N506" t="s">
        <v>210</v>
      </c>
      <c r="O506" t="s">
        <v>261</v>
      </c>
      <c r="P506">
        <v>2.9146989387206332E-3</v>
      </c>
      <c r="Q506" t="s">
        <v>154</v>
      </c>
      <c r="S506" t="s">
        <v>234</v>
      </c>
      <c r="T506" t="s">
        <v>261</v>
      </c>
      <c r="U506">
        <v>5.4820250623097456E-3</v>
      </c>
      <c r="V506" t="s">
        <v>154</v>
      </c>
    </row>
    <row r="507" spans="9:22" x14ac:dyDescent="0.45">
      <c r="I507" t="s">
        <v>181</v>
      </c>
      <c r="J507" t="s">
        <v>262</v>
      </c>
      <c r="K507">
        <v>1.9269424099253919E-3</v>
      </c>
      <c r="L507" t="s">
        <v>154</v>
      </c>
      <c r="N507" t="s">
        <v>210</v>
      </c>
      <c r="O507" t="s">
        <v>262</v>
      </c>
      <c r="P507">
        <v>2.954044127066062E-3</v>
      </c>
      <c r="Q507" t="s">
        <v>154</v>
      </c>
      <c r="S507" t="s">
        <v>234</v>
      </c>
      <c r="T507" t="s">
        <v>262</v>
      </c>
      <c r="U507">
        <v>5.521401001595698E-3</v>
      </c>
      <c r="V507" t="s">
        <v>154</v>
      </c>
    </row>
    <row r="508" spans="9:22" x14ac:dyDescent="0.45">
      <c r="I508" t="s">
        <v>181</v>
      </c>
      <c r="J508" t="s">
        <v>263</v>
      </c>
      <c r="K508">
        <v>0</v>
      </c>
      <c r="L508" t="s">
        <v>154</v>
      </c>
      <c r="N508" t="s">
        <v>210</v>
      </c>
      <c r="O508" t="s">
        <v>263</v>
      </c>
      <c r="P508">
        <v>1.4508252556633646E-2</v>
      </c>
      <c r="Q508" t="s">
        <v>154</v>
      </c>
      <c r="S508" t="s">
        <v>234</v>
      </c>
      <c r="T508" t="s">
        <v>263</v>
      </c>
      <c r="U508">
        <v>2.6714071729862468E-2</v>
      </c>
      <c r="V508" t="s">
        <v>154</v>
      </c>
    </row>
    <row r="509" spans="9:22" x14ac:dyDescent="0.45">
      <c r="I509" t="s">
        <v>181</v>
      </c>
      <c r="J509" t="s">
        <v>163</v>
      </c>
      <c r="K509">
        <v>0</v>
      </c>
      <c r="L509" t="s">
        <v>154</v>
      </c>
      <c r="N509" t="s">
        <v>210</v>
      </c>
      <c r="O509" t="s">
        <v>163</v>
      </c>
      <c r="P509">
        <v>2.6973357865915596E-2</v>
      </c>
      <c r="Q509" t="s">
        <v>154</v>
      </c>
      <c r="S509" t="s">
        <v>234</v>
      </c>
      <c r="T509" t="s">
        <v>163</v>
      </c>
      <c r="U509">
        <v>1.6800783725136142E-2</v>
      </c>
      <c r="V509" t="s">
        <v>154</v>
      </c>
    </row>
    <row r="510" spans="9:22" x14ac:dyDescent="0.45">
      <c r="I510" t="s">
        <v>181</v>
      </c>
      <c r="J510" t="s">
        <v>164</v>
      </c>
      <c r="K510">
        <v>7.3746092260783269E-3</v>
      </c>
      <c r="L510" t="s">
        <v>154</v>
      </c>
      <c r="N510" t="s">
        <v>210</v>
      </c>
      <c r="O510" t="s">
        <v>164</v>
      </c>
      <c r="P510">
        <v>8.0405754922564902E-3</v>
      </c>
      <c r="Q510" t="s">
        <v>154</v>
      </c>
      <c r="S510" t="s">
        <v>234</v>
      </c>
      <c r="T510" t="s">
        <v>164</v>
      </c>
      <c r="U510">
        <v>4.5983804735652192E-3</v>
      </c>
      <c r="V510" t="s">
        <v>154</v>
      </c>
    </row>
    <row r="511" spans="9:22" x14ac:dyDescent="0.45">
      <c r="I511" t="s">
        <v>181</v>
      </c>
      <c r="J511" t="s">
        <v>165</v>
      </c>
      <c r="K511">
        <v>5.2727910838233673E-2</v>
      </c>
      <c r="L511" t="s">
        <v>154</v>
      </c>
      <c r="N511" t="s">
        <v>210</v>
      </c>
      <c r="O511" t="s">
        <v>165</v>
      </c>
      <c r="P511">
        <v>3.4426845775912589E-2</v>
      </c>
      <c r="Q511" t="s">
        <v>154</v>
      </c>
      <c r="S511" t="s">
        <v>234</v>
      </c>
      <c r="T511" t="s">
        <v>165</v>
      </c>
      <c r="U511">
        <v>1.815063493664943E-2</v>
      </c>
      <c r="V511" t="s">
        <v>154</v>
      </c>
    </row>
    <row r="512" spans="9:22" x14ac:dyDescent="0.45">
      <c r="I512" t="s">
        <v>181</v>
      </c>
      <c r="J512" t="s">
        <v>264</v>
      </c>
      <c r="K512">
        <v>3.3653105245713762E-3</v>
      </c>
      <c r="L512" t="s">
        <v>154</v>
      </c>
      <c r="N512" t="s">
        <v>210</v>
      </c>
      <c r="O512" t="s">
        <v>264</v>
      </c>
      <c r="P512">
        <v>4.1912505054459825E-3</v>
      </c>
      <c r="Q512" t="s">
        <v>154</v>
      </c>
      <c r="S512" t="s">
        <v>234</v>
      </c>
      <c r="T512" t="s">
        <v>264</v>
      </c>
      <c r="U512">
        <v>2.6341978633407583E-3</v>
      </c>
      <c r="V512" t="s">
        <v>154</v>
      </c>
    </row>
    <row r="513" spans="9:22" x14ac:dyDescent="0.45">
      <c r="I513" t="s">
        <v>181</v>
      </c>
      <c r="J513" t="s">
        <v>265</v>
      </c>
      <c r="K513">
        <v>0</v>
      </c>
      <c r="L513" t="s">
        <v>154</v>
      </c>
      <c r="N513" t="s">
        <v>210</v>
      </c>
      <c r="O513" t="s">
        <v>265</v>
      </c>
      <c r="P513">
        <v>3.7827986179992529E-3</v>
      </c>
      <c r="Q513" t="s">
        <v>154</v>
      </c>
      <c r="S513" t="s">
        <v>234</v>
      </c>
      <c r="T513" t="s">
        <v>265</v>
      </c>
      <c r="U513">
        <v>2.6425389074749219E-3</v>
      </c>
      <c r="V513" t="s">
        <v>154</v>
      </c>
    </row>
    <row r="514" spans="9:22" x14ac:dyDescent="0.45">
      <c r="I514" t="s">
        <v>181</v>
      </c>
      <c r="J514" t="s">
        <v>266</v>
      </c>
      <c r="K514">
        <v>0</v>
      </c>
      <c r="L514" t="s">
        <v>154</v>
      </c>
      <c r="N514" t="s">
        <v>210</v>
      </c>
      <c r="O514" t="s">
        <v>266</v>
      </c>
      <c r="P514">
        <v>2.0909973578723515E-2</v>
      </c>
      <c r="Q514" t="s">
        <v>154</v>
      </c>
      <c r="S514" t="s">
        <v>234</v>
      </c>
      <c r="T514" t="s">
        <v>266</v>
      </c>
      <c r="U514">
        <v>1.4969191184465562E-2</v>
      </c>
      <c r="V514" t="s">
        <v>154</v>
      </c>
    </row>
    <row r="515" spans="9:22" x14ac:dyDescent="0.45">
      <c r="I515" t="s">
        <v>181</v>
      </c>
      <c r="J515" t="s">
        <v>272</v>
      </c>
      <c r="K515">
        <v>0</v>
      </c>
      <c r="L515" t="s">
        <v>154</v>
      </c>
      <c r="N515" t="s">
        <v>210</v>
      </c>
      <c r="O515" t="s">
        <v>272</v>
      </c>
      <c r="P515">
        <v>6.0839907501342064E-2</v>
      </c>
      <c r="Q515" t="s">
        <v>154</v>
      </c>
      <c r="S515" t="s">
        <v>234</v>
      </c>
      <c r="T515" t="s">
        <v>272</v>
      </c>
      <c r="U515">
        <v>5.1920093432029982E-2</v>
      </c>
      <c r="V515" t="s">
        <v>154</v>
      </c>
    </row>
    <row r="516" spans="9:22" x14ac:dyDescent="0.45">
      <c r="I516" t="s">
        <v>181</v>
      </c>
      <c r="J516" t="s">
        <v>273</v>
      </c>
      <c r="K516">
        <v>9.1180410211402114E-3</v>
      </c>
      <c r="L516" t="s">
        <v>154</v>
      </c>
      <c r="N516" t="s">
        <v>210</v>
      </c>
      <c r="O516" t="s">
        <v>273</v>
      </c>
      <c r="P516">
        <v>1.6791152280383883E-2</v>
      </c>
      <c r="Q516" t="s">
        <v>154</v>
      </c>
      <c r="S516" t="s">
        <v>234</v>
      </c>
      <c r="T516" t="s">
        <v>273</v>
      </c>
      <c r="U516">
        <v>1.4447676495300887E-2</v>
      </c>
      <c r="V516" t="s">
        <v>154</v>
      </c>
    </row>
    <row r="517" spans="9:22" x14ac:dyDescent="0.45">
      <c r="I517" t="s">
        <v>181</v>
      </c>
      <c r="J517" t="s">
        <v>274</v>
      </c>
      <c r="K517">
        <v>9.7015829756541036E-2</v>
      </c>
      <c r="L517" t="s">
        <v>154</v>
      </c>
      <c r="N517" t="s">
        <v>210</v>
      </c>
      <c r="O517" t="s">
        <v>274</v>
      </c>
      <c r="P517">
        <v>7.3793015791097538E-2</v>
      </c>
      <c r="Q517" t="s">
        <v>154</v>
      </c>
      <c r="S517" t="s">
        <v>234</v>
      </c>
      <c r="T517" t="s">
        <v>274</v>
      </c>
      <c r="U517">
        <v>5.2835028691907447E-2</v>
      </c>
      <c r="V517" t="s">
        <v>154</v>
      </c>
    </row>
    <row r="518" spans="9:22" x14ac:dyDescent="0.45">
      <c r="I518" t="s">
        <v>181</v>
      </c>
      <c r="J518" t="s">
        <v>275</v>
      </c>
      <c r="K518">
        <v>5.8412355863578088E-3</v>
      </c>
      <c r="L518" t="s">
        <v>154</v>
      </c>
      <c r="N518" t="s">
        <v>210</v>
      </c>
      <c r="O518" t="s">
        <v>275</v>
      </c>
      <c r="P518">
        <v>9.6553680632950299E-3</v>
      </c>
      <c r="Q518" t="s">
        <v>154</v>
      </c>
      <c r="S518" t="s">
        <v>234</v>
      </c>
      <c r="T518" t="s">
        <v>275</v>
      </c>
      <c r="U518">
        <v>6.9534026078034343E-3</v>
      </c>
      <c r="V518" t="s">
        <v>154</v>
      </c>
    </row>
    <row r="519" spans="9:22" x14ac:dyDescent="0.45">
      <c r="I519" t="s">
        <v>181</v>
      </c>
      <c r="J519" t="s">
        <v>276</v>
      </c>
      <c r="K519">
        <v>0</v>
      </c>
      <c r="L519" t="s">
        <v>154</v>
      </c>
      <c r="N519" t="s">
        <v>210</v>
      </c>
      <c r="O519" t="s">
        <v>276</v>
      </c>
      <c r="P519">
        <v>7.3749648698481773E-3</v>
      </c>
      <c r="Q519" t="s">
        <v>154</v>
      </c>
      <c r="S519" t="s">
        <v>234</v>
      </c>
      <c r="T519" t="s">
        <v>276</v>
      </c>
      <c r="U519">
        <v>6.0512841779539065E-3</v>
      </c>
      <c r="V519" t="s">
        <v>154</v>
      </c>
    </row>
    <row r="520" spans="9:22" x14ac:dyDescent="0.45">
      <c r="I520" t="s">
        <v>181</v>
      </c>
      <c r="J520" t="s">
        <v>277</v>
      </c>
      <c r="K520">
        <v>0</v>
      </c>
      <c r="L520" t="s">
        <v>154</v>
      </c>
      <c r="N520" t="s">
        <v>210</v>
      </c>
      <c r="O520" t="s">
        <v>277</v>
      </c>
      <c r="P520">
        <v>4.3337808467833069E-2</v>
      </c>
      <c r="Q520" t="s">
        <v>154</v>
      </c>
      <c r="S520" t="s">
        <v>234</v>
      </c>
      <c r="T520" t="s">
        <v>277</v>
      </c>
      <c r="U520">
        <v>3.8066702285050318E-2</v>
      </c>
      <c r="V520" t="s">
        <v>154</v>
      </c>
    </row>
    <row r="521" spans="9:22" x14ac:dyDescent="0.45">
      <c r="I521" t="s">
        <v>182</v>
      </c>
      <c r="J521" t="s">
        <v>153</v>
      </c>
      <c r="K521">
        <v>5.9651520653698732E-3</v>
      </c>
      <c r="L521" t="s">
        <v>154</v>
      </c>
      <c r="N521" t="s">
        <v>211</v>
      </c>
      <c r="O521" t="s">
        <v>153</v>
      </c>
      <c r="P521">
        <v>0.17219152774199653</v>
      </c>
      <c r="Q521" t="s">
        <v>154</v>
      </c>
      <c r="S521" t="s">
        <v>235</v>
      </c>
      <c r="T521" t="s">
        <v>153</v>
      </c>
      <c r="U521">
        <v>0.17480718498931475</v>
      </c>
      <c r="V521" t="s">
        <v>154</v>
      </c>
    </row>
    <row r="522" spans="9:22" x14ac:dyDescent="0.45">
      <c r="I522" t="s">
        <v>182</v>
      </c>
      <c r="J522" t="s">
        <v>155</v>
      </c>
      <c r="K522">
        <v>6.3908727255197265E-2</v>
      </c>
      <c r="L522" t="s">
        <v>154</v>
      </c>
      <c r="N522" t="s">
        <v>211</v>
      </c>
      <c r="O522" t="s">
        <v>155</v>
      </c>
      <c r="P522">
        <v>4.9115798695078892E-2</v>
      </c>
      <c r="Q522" t="s">
        <v>154</v>
      </c>
      <c r="S522" t="s">
        <v>235</v>
      </c>
      <c r="T522" t="s">
        <v>155</v>
      </c>
      <c r="U522">
        <v>4.6254250825332049E-2</v>
      </c>
      <c r="V522" t="s">
        <v>154</v>
      </c>
    </row>
    <row r="523" spans="9:22" x14ac:dyDescent="0.45">
      <c r="I523" t="s">
        <v>182</v>
      </c>
      <c r="J523" t="s">
        <v>156</v>
      </c>
      <c r="K523">
        <v>0.55272937341868578</v>
      </c>
      <c r="L523" t="s">
        <v>154</v>
      </c>
      <c r="N523" t="s">
        <v>211</v>
      </c>
      <c r="O523" t="s">
        <v>156</v>
      </c>
      <c r="P523">
        <v>0.20916882209789983</v>
      </c>
      <c r="Q523" t="s">
        <v>154</v>
      </c>
      <c r="S523" t="s">
        <v>235</v>
      </c>
      <c r="T523" t="s">
        <v>156</v>
      </c>
      <c r="U523">
        <v>0.19424973308603649</v>
      </c>
      <c r="V523" t="s">
        <v>154</v>
      </c>
    </row>
    <row r="524" spans="9:22" x14ac:dyDescent="0.45">
      <c r="I524" t="s">
        <v>182</v>
      </c>
      <c r="J524" t="s">
        <v>255</v>
      </c>
      <c r="K524">
        <v>4.2351843867982672E-2</v>
      </c>
      <c r="L524" t="s">
        <v>154</v>
      </c>
      <c r="N524" t="s">
        <v>211</v>
      </c>
      <c r="O524" t="s">
        <v>255</v>
      </c>
      <c r="P524">
        <v>2.5374961829150146E-2</v>
      </c>
      <c r="Q524" t="s">
        <v>154</v>
      </c>
      <c r="S524" t="s">
        <v>235</v>
      </c>
      <c r="T524" t="s">
        <v>255</v>
      </c>
      <c r="U524">
        <v>2.8166641922613485E-2</v>
      </c>
      <c r="V524" t="s">
        <v>154</v>
      </c>
    </row>
    <row r="525" spans="9:22" x14ac:dyDescent="0.45">
      <c r="I525" t="s">
        <v>182</v>
      </c>
      <c r="J525" t="s">
        <v>256</v>
      </c>
      <c r="K525">
        <v>2.4012395574125645E-2</v>
      </c>
      <c r="L525" t="s">
        <v>154</v>
      </c>
      <c r="N525" t="s">
        <v>211</v>
      </c>
      <c r="O525" t="s">
        <v>256</v>
      </c>
      <c r="P525">
        <v>2.3775661556703711E-2</v>
      </c>
      <c r="Q525" t="s">
        <v>154</v>
      </c>
      <c r="S525" t="s">
        <v>235</v>
      </c>
      <c r="T525" t="s">
        <v>256</v>
      </c>
      <c r="U525">
        <v>2.8136701217177051E-2</v>
      </c>
      <c r="V525" t="s">
        <v>154</v>
      </c>
    </row>
    <row r="526" spans="9:22" x14ac:dyDescent="0.45">
      <c r="I526" t="s">
        <v>182</v>
      </c>
      <c r="J526" t="s">
        <v>257</v>
      </c>
      <c r="K526">
        <v>4.5799695098755456E-4</v>
      </c>
      <c r="L526" t="s">
        <v>154</v>
      </c>
      <c r="N526" t="s">
        <v>211</v>
      </c>
      <c r="O526" t="s">
        <v>257</v>
      </c>
      <c r="P526">
        <v>0.13551726920404528</v>
      </c>
      <c r="Q526" t="s">
        <v>154</v>
      </c>
      <c r="S526" t="s">
        <v>235</v>
      </c>
      <c r="T526" t="s">
        <v>257</v>
      </c>
      <c r="U526">
        <v>0.14920628539030908</v>
      </c>
      <c r="V526" t="s">
        <v>154</v>
      </c>
    </row>
    <row r="527" spans="9:22" x14ac:dyDescent="0.45">
      <c r="I527" t="s">
        <v>182</v>
      </c>
      <c r="J527" t="s">
        <v>157</v>
      </c>
      <c r="K527">
        <v>0</v>
      </c>
      <c r="L527" t="s">
        <v>154</v>
      </c>
      <c r="N527" t="s">
        <v>211</v>
      </c>
      <c r="O527" t="s">
        <v>157</v>
      </c>
      <c r="P527">
        <v>1.0291748027883121E-2</v>
      </c>
      <c r="Q527" t="s">
        <v>154</v>
      </c>
      <c r="S527" t="s">
        <v>235</v>
      </c>
      <c r="T527" t="s">
        <v>157</v>
      </c>
      <c r="U527">
        <v>8.3387727716464684E-3</v>
      </c>
      <c r="V527" t="s">
        <v>154</v>
      </c>
    </row>
    <row r="528" spans="9:22" x14ac:dyDescent="0.45">
      <c r="I528" t="s">
        <v>182</v>
      </c>
      <c r="J528" t="s">
        <v>158</v>
      </c>
      <c r="K528">
        <v>6.1986463829107E-3</v>
      </c>
      <c r="L528" t="s">
        <v>154</v>
      </c>
      <c r="N528" t="s">
        <v>211</v>
      </c>
      <c r="O528" t="s">
        <v>158</v>
      </c>
      <c r="P528">
        <v>2.6727625530511001E-3</v>
      </c>
      <c r="Q528" t="s">
        <v>154</v>
      </c>
      <c r="S528" t="s">
        <v>235</v>
      </c>
      <c r="T528" t="s">
        <v>158</v>
      </c>
      <c r="U528">
        <v>2.7174583854227704E-3</v>
      </c>
      <c r="V528" t="s">
        <v>154</v>
      </c>
    </row>
    <row r="529" spans="9:22" x14ac:dyDescent="0.45">
      <c r="I529" t="s">
        <v>182</v>
      </c>
      <c r="J529" t="s">
        <v>159</v>
      </c>
      <c r="K529">
        <v>5.0269647994462929E-2</v>
      </c>
      <c r="L529" t="s">
        <v>154</v>
      </c>
      <c r="N529" t="s">
        <v>211</v>
      </c>
      <c r="O529" t="s">
        <v>159</v>
      </c>
      <c r="P529">
        <v>1.0921155162796748E-2</v>
      </c>
      <c r="Q529" t="s">
        <v>154</v>
      </c>
      <c r="S529" t="s">
        <v>235</v>
      </c>
      <c r="T529" t="s">
        <v>159</v>
      </c>
      <c r="U529">
        <v>1.2330177477078869E-2</v>
      </c>
      <c r="V529" t="s">
        <v>154</v>
      </c>
    </row>
    <row r="530" spans="9:22" x14ac:dyDescent="0.45">
      <c r="I530" t="s">
        <v>182</v>
      </c>
      <c r="J530" t="s">
        <v>258</v>
      </c>
      <c r="K530">
        <v>3.675426010090705E-3</v>
      </c>
      <c r="L530" t="s">
        <v>154</v>
      </c>
      <c r="N530" t="s">
        <v>211</v>
      </c>
      <c r="O530" t="s">
        <v>258</v>
      </c>
      <c r="P530">
        <v>1.1243827824691111E-3</v>
      </c>
      <c r="Q530" t="s">
        <v>154</v>
      </c>
      <c r="S530" t="s">
        <v>235</v>
      </c>
      <c r="T530" t="s">
        <v>258</v>
      </c>
      <c r="U530">
        <v>1.8428979347868738E-3</v>
      </c>
      <c r="V530" t="s">
        <v>154</v>
      </c>
    </row>
    <row r="531" spans="9:22" x14ac:dyDescent="0.45">
      <c r="I531" t="s">
        <v>182</v>
      </c>
      <c r="J531" t="s">
        <v>259</v>
      </c>
      <c r="K531">
        <v>1.9182242435139918E-3</v>
      </c>
      <c r="L531" t="s">
        <v>154</v>
      </c>
      <c r="N531" t="s">
        <v>211</v>
      </c>
      <c r="O531" t="s">
        <v>259</v>
      </c>
      <c r="P531">
        <v>1.2018453271905446E-3</v>
      </c>
      <c r="Q531" t="s">
        <v>154</v>
      </c>
      <c r="S531" t="s">
        <v>235</v>
      </c>
      <c r="T531" t="s">
        <v>259</v>
      </c>
      <c r="U531">
        <v>2.1567021303374595E-3</v>
      </c>
      <c r="V531" t="s">
        <v>154</v>
      </c>
    </row>
    <row r="532" spans="9:22" x14ac:dyDescent="0.45">
      <c r="I532" t="s">
        <v>182</v>
      </c>
      <c r="J532" t="s">
        <v>260</v>
      </c>
      <c r="K532">
        <v>0</v>
      </c>
      <c r="L532" t="s">
        <v>154</v>
      </c>
      <c r="N532" t="s">
        <v>211</v>
      </c>
      <c r="O532" t="s">
        <v>260</v>
      </c>
      <c r="P532">
        <v>6.5064307303075285E-3</v>
      </c>
      <c r="Q532" t="s">
        <v>154</v>
      </c>
      <c r="S532" t="s">
        <v>235</v>
      </c>
      <c r="T532" t="s">
        <v>260</v>
      </c>
      <c r="U532">
        <v>7.0139115736787532E-3</v>
      </c>
      <c r="V532" t="s">
        <v>154</v>
      </c>
    </row>
    <row r="533" spans="9:22" x14ac:dyDescent="0.45">
      <c r="I533" t="s">
        <v>182</v>
      </c>
      <c r="J533" t="s">
        <v>160</v>
      </c>
      <c r="K533">
        <v>0</v>
      </c>
      <c r="L533" t="s">
        <v>154</v>
      </c>
      <c r="N533" t="s">
        <v>211</v>
      </c>
      <c r="O533" t="s">
        <v>160</v>
      </c>
      <c r="P533">
        <v>3.7841660807525067E-2</v>
      </c>
      <c r="Q533" t="s">
        <v>154</v>
      </c>
      <c r="S533" t="s">
        <v>235</v>
      </c>
      <c r="T533" t="s">
        <v>160</v>
      </c>
      <c r="U533">
        <v>5.5650791837409834E-2</v>
      </c>
      <c r="V533" t="s">
        <v>154</v>
      </c>
    </row>
    <row r="534" spans="9:22" x14ac:dyDescent="0.45">
      <c r="I534" t="s">
        <v>182</v>
      </c>
      <c r="J534" t="s">
        <v>161</v>
      </c>
      <c r="K534">
        <v>1.0876529083203471E-2</v>
      </c>
      <c r="L534" t="s">
        <v>154</v>
      </c>
      <c r="N534" t="s">
        <v>211</v>
      </c>
      <c r="O534" t="s">
        <v>161</v>
      </c>
      <c r="P534">
        <v>1.0139523197592667E-2</v>
      </c>
      <c r="Q534" t="s">
        <v>154</v>
      </c>
      <c r="S534" t="s">
        <v>235</v>
      </c>
      <c r="T534" t="s">
        <v>161</v>
      </c>
      <c r="U534">
        <v>1.2660737815644208E-2</v>
      </c>
      <c r="V534" t="s">
        <v>154</v>
      </c>
    </row>
    <row r="535" spans="9:22" x14ac:dyDescent="0.45">
      <c r="I535" t="s">
        <v>182</v>
      </c>
      <c r="J535" t="s">
        <v>162</v>
      </c>
      <c r="K535">
        <v>7.4398180677176434E-2</v>
      </c>
      <c r="L535" t="s">
        <v>154</v>
      </c>
      <c r="N535" t="s">
        <v>211</v>
      </c>
      <c r="O535" t="s">
        <v>162</v>
      </c>
      <c r="P535">
        <v>4.3010712676689038E-2</v>
      </c>
      <c r="Q535" t="s">
        <v>154</v>
      </c>
      <c r="S535" t="s">
        <v>235</v>
      </c>
      <c r="T535" t="s">
        <v>162</v>
      </c>
      <c r="U535">
        <v>5.9284958083265761E-2</v>
      </c>
      <c r="V535" t="s">
        <v>154</v>
      </c>
    </row>
    <row r="536" spans="9:22" x14ac:dyDescent="0.45">
      <c r="I536" t="s">
        <v>182</v>
      </c>
      <c r="J536" t="s">
        <v>261</v>
      </c>
      <c r="K536">
        <v>5.3381215390783231E-3</v>
      </c>
      <c r="L536" t="s">
        <v>154</v>
      </c>
      <c r="N536" t="s">
        <v>211</v>
      </c>
      <c r="O536" t="s">
        <v>261</v>
      </c>
      <c r="P536">
        <v>4.9967136657576901E-3</v>
      </c>
      <c r="Q536" t="s">
        <v>154</v>
      </c>
      <c r="S536" t="s">
        <v>235</v>
      </c>
      <c r="T536" t="s">
        <v>261</v>
      </c>
      <c r="U536">
        <v>8.8751158518020207E-3</v>
      </c>
      <c r="V536" t="s">
        <v>154</v>
      </c>
    </row>
    <row r="537" spans="9:22" x14ac:dyDescent="0.45">
      <c r="I537" t="s">
        <v>182</v>
      </c>
      <c r="J537" t="s">
        <v>262</v>
      </c>
      <c r="K537">
        <v>2.0575938283088893E-3</v>
      </c>
      <c r="L537" t="s">
        <v>154</v>
      </c>
      <c r="N537" t="s">
        <v>211</v>
      </c>
      <c r="O537" t="s">
        <v>262</v>
      </c>
      <c r="P537">
        <v>5.0065129123282679E-3</v>
      </c>
      <c r="Q537" t="s">
        <v>154</v>
      </c>
      <c r="S537" t="s">
        <v>235</v>
      </c>
      <c r="T537" t="s">
        <v>262</v>
      </c>
      <c r="U537">
        <v>8.9693102570296487E-3</v>
      </c>
      <c r="V537" t="s">
        <v>154</v>
      </c>
    </row>
    <row r="538" spans="9:22" x14ac:dyDescent="0.45">
      <c r="I538" t="s">
        <v>182</v>
      </c>
      <c r="J538" t="s">
        <v>263</v>
      </c>
      <c r="K538">
        <v>0</v>
      </c>
      <c r="L538" t="s">
        <v>154</v>
      </c>
      <c r="N538" t="s">
        <v>211</v>
      </c>
      <c r="O538" t="s">
        <v>263</v>
      </c>
      <c r="P538">
        <v>2.4804417402733127E-2</v>
      </c>
      <c r="Q538" t="s">
        <v>154</v>
      </c>
      <c r="S538" t="s">
        <v>235</v>
      </c>
      <c r="T538" t="s">
        <v>263</v>
      </c>
      <c r="U538">
        <v>4.4433196062607816E-2</v>
      </c>
      <c r="V538" t="s">
        <v>154</v>
      </c>
    </row>
    <row r="539" spans="9:22" x14ac:dyDescent="0.45">
      <c r="I539" t="s">
        <v>182</v>
      </c>
      <c r="J539" t="s">
        <v>163</v>
      </c>
      <c r="K539">
        <v>0</v>
      </c>
      <c r="L539" t="s">
        <v>154</v>
      </c>
      <c r="N539" t="s">
        <v>211</v>
      </c>
      <c r="O539" t="s">
        <v>163</v>
      </c>
      <c r="P539">
        <v>1.5587696037273223E-2</v>
      </c>
      <c r="Q539" t="s">
        <v>154</v>
      </c>
      <c r="S539" t="s">
        <v>235</v>
      </c>
      <c r="T539" t="s">
        <v>163</v>
      </c>
      <c r="U539">
        <v>7.251664617510087E-3</v>
      </c>
      <c r="V539" t="s">
        <v>154</v>
      </c>
    </row>
    <row r="540" spans="9:22" x14ac:dyDescent="0.45">
      <c r="I540" t="s">
        <v>182</v>
      </c>
      <c r="J540" t="s">
        <v>164</v>
      </c>
      <c r="K540">
        <v>8.0283110858173252E-3</v>
      </c>
      <c r="L540" t="s">
        <v>154</v>
      </c>
      <c r="N540" t="s">
        <v>211</v>
      </c>
      <c r="O540" t="s">
        <v>164</v>
      </c>
      <c r="P540">
        <v>4.1612385494148784E-3</v>
      </c>
      <c r="Q540" t="s">
        <v>154</v>
      </c>
      <c r="S540" t="s">
        <v>235</v>
      </c>
      <c r="T540" t="s">
        <v>164</v>
      </c>
      <c r="U540">
        <v>1.6391350422112093E-3</v>
      </c>
      <c r="V540" t="s">
        <v>154</v>
      </c>
    </row>
    <row r="541" spans="9:22" x14ac:dyDescent="0.45">
      <c r="I541" t="s">
        <v>182</v>
      </c>
      <c r="J541" t="s">
        <v>165</v>
      </c>
      <c r="K541">
        <v>5.7628558191183704E-2</v>
      </c>
      <c r="L541" t="s">
        <v>154</v>
      </c>
      <c r="N541" t="s">
        <v>211</v>
      </c>
      <c r="O541" t="s">
        <v>165</v>
      </c>
      <c r="P541">
        <v>2.0239950965430988E-2</v>
      </c>
      <c r="Q541" t="s">
        <v>154</v>
      </c>
      <c r="S541" t="s">
        <v>235</v>
      </c>
      <c r="T541" t="s">
        <v>165</v>
      </c>
      <c r="U541">
        <v>7.4709821058551442E-3</v>
      </c>
      <c r="V541" t="s">
        <v>154</v>
      </c>
    </row>
    <row r="542" spans="9:22" x14ac:dyDescent="0.45">
      <c r="I542" t="s">
        <v>182</v>
      </c>
      <c r="J542" t="s">
        <v>264</v>
      </c>
      <c r="K542">
        <v>3.8293679613599567E-3</v>
      </c>
      <c r="L542" t="s">
        <v>154</v>
      </c>
      <c r="N542" t="s">
        <v>211</v>
      </c>
      <c r="O542" t="s">
        <v>264</v>
      </c>
      <c r="P542">
        <v>2.9704165178359616E-3</v>
      </c>
      <c r="Q542" t="s">
        <v>154</v>
      </c>
      <c r="S542" t="s">
        <v>235</v>
      </c>
      <c r="T542" t="s">
        <v>264</v>
      </c>
      <c r="U542">
        <v>1.2960136470068734E-3</v>
      </c>
      <c r="V542" t="s">
        <v>154</v>
      </c>
    </row>
    <row r="543" spans="9:22" x14ac:dyDescent="0.45">
      <c r="I543" t="s">
        <v>182</v>
      </c>
      <c r="J543" t="s">
        <v>265</v>
      </c>
      <c r="K543">
        <v>0</v>
      </c>
      <c r="L543" t="s">
        <v>154</v>
      </c>
      <c r="N543" t="s">
        <v>211</v>
      </c>
      <c r="O543" t="s">
        <v>265</v>
      </c>
      <c r="P543">
        <v>2.7608938539419414E-3</v>
      </c>
      <c r="Q543" t="s">
        <v>154</v>
      </c>
      <c r="S543" t="s">
        <v>235</v>
      </c>
      <c r="T543" t="s">
        <v>265</v>
      </c>
      <c r="U543">
        <v>1.2750756554406402E-3</v>
      </c>
      <c r="V543" t="s">
        <v>154</v>
      </c>
    </row>
    <row r="544" spans="9:22" x14ac:dyDescent="0.45">
      <c r="I544" t="s">
        <v>182</v>
      </c>
      <c r="J544" t="s">
        <v>266</v>
      </c>
      <c r="K544">
        <v>0</v>
      </c>
      <c r="L544" t="s">
        <v>154</v>
      </c>
      <c r="N544" t="s">
        <v>211</v>
      </c>
      <c r="O544" t="s">
        <v>266</v>
      </c>
      <c r="P544">
        <v>1.4890767483032075E-2</v>
      </c>
      <c r="Q544" t="s">
        <v>154</v>
      </c>
      <c r="S544" t="s">
        <v>235</v>
      </c>
      <c r="T544" t="s">
        <v>266</v>
      </c>
      <c r="U544">
        <v>6.6007957643654481E-3</v>
      </c>
      <c r="V544" t="s">
        <v>154</v>
      </c>
    </row>
    <row r="545" spans="9:22" x14ac:dyDescent="0.45">
      <c r="I545" t="s">
        <v>182</v>
      </c>
      <c r="J545" t="s">
        <v>272</v>
      </c>
      <c r="K545">
        <v>0</v>
      </c>
      <c r="L545" t="s">
        <v>154</v>
      </c>
      <c r="N545" t="s">
        <v>211</v>
      </c>
      <c r="O545" t="s">
        <v>272</v>
      </c>
      <c r="P545">
        <v>4.7380574918004507E-2</v>
      </c>
      <c r="Q545" t="s">
        <v>154</v>
      </c>
      <c r="S545" t="s">
        <v>235</v>
      </c>
      <c r="T545" t="s">
        <v>272</v>
      </c>
      <c r="U545">
        <v>3.9525346923928992E-2</v>
      </c>
      <c r="V545" t="s">
        <v>154</v>
      </c>
    </row>
    <row r="546" spans="9:22" x14ac:dyDescent="0.45">
      <c r="I546" t="s">
        <v>182</v>
      </c>
      <c r="J546" t="s">
        <v>273</v>
      </c>
      <c r="K546">
        <v>7.2104772767440225E-3</v>
      </c>
      <c r="L546" t="s">
        <v>154</v>
      </c>
      <c r="N546" t="s">
        <v>211</v>
      </c>
      <c r="O546" t="s">
        <v>273</v>
      </c>
      <c r="P546">
        <v>1.3379738125233871E-2</v>
      </c>
      <c r="Q546" t="s">
        <v>154</v>
      </c>
      <c r="S546" t="s">
        <v>235</v>
      </c>
      <c r="T546" t="s">
        <v>273</v>
      </c>
      <c r="U546">
        <v>1.0123457117459749E-2</v>
      </c>
      <c r="V546" t="s">
        <v>154</v>
      </c>
    </row>
    <row r="547" spans="9:22" x14ac:dyDescent="0.45">
      <c r="I547" t="s">
        <v>182</v>
      </c>
      <c r="J547" t="s">
        <v>274</v>
      </c>
      <c r="K547">
        <v>7.5608136094775999E-2</v>
      </c>
      <c r="L547" t="s">
        <v>154</v>
      </c>
      <c r="N547" t="s">
        <v>211</v>
      </c>
      <c r="O547" t="s">
        <v>274</v>
      </c>
      <c r="P547">
        <v>5.5694095903654525E-2</v>
      </c>
      <c r="Q547" t="s">
        <v>154</v>
      </c>
      <c r="S547" t="s">
        <v>235</v>
      </c>
      <c r="T547" t="s">
        <v>274</v>
      </c>
      <c r="U547">
        <v>3.878214849201117E-2</v>
      </c>
      <c r="V547" t="s">
        <v>154</v>
      </c>
    </row>
    <row r="548" spans="9:22" x14ac:dyDescent="0.45">
      <c r="I548" t="s">
        <v>182</v>
      </c>
      <c r="J548" t="s">
        <v>275</v>
      </c>
      <c r="K548">
        <v>3.5372904990220635E-3</v>
      </c>
      <c r="L548" t="s">
        <v>154</v>
      </c>
      <c r="N548" t="s">
        <v>211</v>
      </c>
      <c r="O548" t="s">
        <v>275</v>
      </c>
      <c r="P548">
        <v>6.9359814588500057E-3</v>
      </c>
      <c r="Q548" t="s">
        <v>154</v>
      </c>
      <c r="S548" t="s">
        <v>235</v>
      </c>
      <c r="T548" t="s">
        <v>275</v>
      </c>
      <c r="U548">
        <v>5.1338808617410418E-3</v>
      </c>
      <c r="V548" t="s">
        <v>154</v>
      </c>
    </row>
    <row r="549" spans="9:22" x14ac:dyDescent="0.45">
      <c r="I549" t="s">
        <v>182</v>
      </c>
      <c r="J549" t="s">
        <v>276</v>
      </c>
      <c r="K549">
        <v>0</v>
      </c>
      <c r="L549" t="s">
        <v>154</v>
      </c>
      <c r="N549" t="s">
        <v>211</v>
      </c>
      <c r="O549" t="s">
        <v>276</v>
      </c>
      <c r="P549">
        <v>5.9184640092379984E-3</v>
      </c>
      <c r="Q549" t="s">
        <v>154</v>
      </c>
      <c r="S549" t="s">
        <v>235</v>
      </c>
      <c r="T549" t="s">
        <v>276</v>
      </c>
      <c r="U549">
        <v>5.0482375954551345E-3</v>
      </c>
      <c r="V549" t="s">
        <v>154</v>
      </c>
    </row>
    <row r="550" spans="9:22" x14ac:dyDescent="0.45">
      <c r="I550" t="s">
        <v>182</v>
      </c>
      <c r="J550" t="s">
        <v>277</v>
      </c>
      <c r="K550">
        <v>0</v>
      </c>
      <c r="L550" t="s">
        <v>154</v>
      </c>
      <c r="N550" t="s">
        <v>211</v>
      </c>
      <c r="O550" t="s">
        <v>277</v>
      </c>
      <c r="P550">
        <v>3.6418275806890894E-2</v>
      </c>
      <c r="Q550" t="s">
        <v>154</v>
      </c>
      <c r="S550" t="s">
        <v>235</v>
      </c>
      <c r="T550" t="s">
        <v>277</v>
      </c>
      <c r="U550">
        <v>3.0758434565516874E-2</v>
      </c>
      <c r="V550" t="s">
        <v>154</v>
      </c>
    </row>
    <row r="551" spans="9:22" x14ac:dyDescent="0.45">
      <c r="I551" t="s">
        <v>183</v>
      </c>
      <c r="J551" t="s">
        <v>153</v>
      </c>
      <c r="K551">
        <v>5.5324663338914967E-3</v>
      </c>
      <c r="L551" t="s">
        <v>154</v>
      </c>
      <c r="N551" t="s">
        <v>212</v>
      </c>
      <c r="O551" t="s">
        <v>153</v>
      </c>
      <c r="P551">
        <v>0.17658356761443772</v>
      </c>
      <c r="Q551" t="s">
        <v>154</v>
      </c>
      <c r="S551" t="s">
        <v>236</v>
      </c>
      <c r="T551" t="s">
        <v>153</v>
      </c>
      <c r="U551">
        <v>0.1797946701610762</v>
      </c>
      <c r="V551" t="s">
        <v>154</v>
      </c>
    </row>
    <row r="552" spans="9:22" x14ac:dyDescent="0.45">
      <c r="I552" t="s">
        <v>183</v>
      </c>
      <c r="J552" t="s">
        <v>155</v>
      </c>
      <c r="K552">
        <v>7.2981199694500232E-2</v>
      </c>
      <c r="L552" t="s">
        <v>154</v>
      </c>
      <c r="N552" t="s">
        <v>212</v>
      </c>
      <c r="O552" t="s">
        <v>155</v>
      </c>
      <c r="P552">
        <v>4.8444752967675822E-2</v>
      </c>
      <c r="Q552" t="s">
        <v>154</v>
      </c>
      <c r="S552" t="s">
        <v>236</v>
      </c>
      <c r="T552" t="s">
        <v>155</v>
      </c>
      <c r="U552">
        <v>5.1389989205929583E-2</v>
      </c>
      <c r="V552" t="s">
        <v>154</v>
      </c>
    </row>
    <row r="553" spans="9:22" x14ac:dyDescent="0.45">
      <c r="I553" t="s">
        <v>183</v>
      </c>
      <c r="J553" t="s">
        <v>156</v>
      </c>
      <c r="K553">
        <v>0.57710114756835285</v>
      </c>
      <c r="L553" t="s">
        <v>154</v>
      </c>
      <c r="N553" t="s">
        <v>212</v>
      </c>
      <c r="O553" t="s">
        <v>156</v>
      </c>
      <c r="P553">
        <v>0.21319236200737904</v>
      </c>
      <c r="Q553" t="s">
        <v>154</v>
      </c>
      <c r="S553" t="s">
        <v>236</v>
      </c>
      <c r="T553" t="s">
        <v>156</v>
      </c>
      <c r="U553">
        <v>0.2010891804817139</v>
      </c>
      <c r="V553" t="s">
        <v>154</v>
      </c>
    </row>
    <row r="554" spans="9:22" x14ac:dyDescent="0.45">
      <c r="I554" t="s">
        <v>183</v>
      </c>
      <c r="J554" t="s">
        <v>255</v>
      </c>
      <c r="K554">
        <v>3.7882974279893969E-2</v>
      </c>
      <c r="L554" t="s">
        <v>154</v>
      </c>
      <c r="N554" t="s">
        <v>212</v>
      </c>
      <c r="O554" t="s">
        <v>255</v>
      </c>
      <c r="P554">
        <v>2.5953523391384282E-2</v>
      </c>
      <c r="Q554" t="s">
        <v>154</v>
      </c>
      <c r="S554" t="s">
        <v>236</v>
      </c>
      <c r="T554" t="s">
        <v>255</v>
      </c>
      <c r="U554">
        <v>2.5667445091937118E-2</v>
      </c>
      <c r="V554" t="s">
        <v>154</v>
      </c>
    </row>
    <row r="555" spans="9:22" x14ac:dyDescent="0.45">
      <c r="I555" t="s">
        <v>183</v>
      </c>
      <c r="J555" t="s">
        <v>256</v>
      </c>
      <c r="K555">
        <v>2.0820747073895106E-2</v>
      </c>
      <c r="L555" t="s">
        <v>154</v>
      </c>
      <c r="N555" t="s">
        <v>212</v>
      </c>
      <c r="O555" t="s">
        <v>256</v>
      </c>
      <c r="P555">
        <v>2.3221925309632959E-2</v>
      </c>
      <c r="Q555" t="s">
        <v>154</v>
      </c>
      <c r="S555" t="s">
        <v>236</v>
      </c>
      <c r="T555" t="s">
        <v>256</v>
      </c>
      <c r="U555">
        <v>2.3090992148190239E-2</v>
      </c>
      <c r="V555" t="s">
        <v>154</v>
      </c>
    </row>
    <row r="556" spans="9:22" x14ac:dyDescent="0.45">
      <c r="I556" t="s">
        <v>183</v>
      </c>
      <c r="J556" t="s">
        <v>257</v>
      </c>
      <c r="K556">
        <v>3.1499117353136961E-6</v>
      </c>
      <c r="L556" t="s">
        <v>154</v>
      </c>
      <c r="N556" t="s">
        <v>212</v>
      </c>
      <c r="O556" t="s">
        <v>257</v>
      </c>
      <c r="P556">
        <v>0.11919757016595847</v>
      </c>
      <c r="Q556" t="s">
        <v>154</v>
      </c>
      <c r="S556" t="s">
        <v>236</v>
      </c>
      <c r="T556" t="s">
        <v>257</v>
      </c>
      <c r="U556">
        <v>0.13427263029397377</v>
      </c>
      <c r="V556" t="s">
        <v>154</v>
      </c>
    </row>
    <row r="557" spans="9:22" x14ac:dyDescent="0.45">
      <c r="I557" t="s">
        <v>183</v>
      </c>
      <c r="J557" t="s">
        <v>157</v>
      </c>
      <c r="K557">
        <v>0</v>
      </c>
      <c r="L557" t="s">
        <v>154</v>
      </c>
      <c r="N557" t="s">
        <v>212</v>
      </c>
      <c r="O557" t="s">
        <v>157</v>
      </c>
      <c r="P557">
        <v>1.0115010185064506E-2</v>
      </c>
      <c r="Q557" t="s">
        <v>154</v>
      </c>
      <c r="S557" t="s">
        <v>236</v>
      </c>
      <c r="T557" t="s">
        <v>157</v>
      </c>
      <c r="U557">
        <v>1.0114244119463342E-2</v>
      </c>
      <c r="V557" t="s">
        <v>154</v>
      </c>
    </row>
    <row r="558" spans="9:22" x14ac:dyDescent="0.45">
      <c r="I558" t="s">
        <v>183</v>
      </c>
      <c r="J558" t="s">
        <v>158</v>
      </c>
      <c r="K558">
        <v>5.9331114946356601E-3</v>
      </c>
      <c r="L558" t="s">
        <v>154</v>
      </c>
      <c r="N558" t="s">
        <v>212</v>
      </c>
      <c r="O558" t="s">
        <v>158</v>
      </c>
      <c r="P558">
        <v>2.6929658301289611E-3</v>
      </c>
      <c r="Q558" t="s">
        <v>154</v>
      </c>
      <c r="S558" t="s">
        <v>236</v>
      </c>
      <c r="T558" t="s">
        <v>158</v>
      </c>
      <c r="U558">
        <v>2.4672278698409304E-3</v>
      </c>
      <c r="V558" t="s">
        <v>154</v>
      </c>
    </row>
    <row r="559" spans="9:22" x14ac:dyDescent="0.45">
      <c r="I559" t="s">
        <v>183</v>
      </c>
      <c r="J559" t="s">
        <v>159</v>
      </c>
      <c r="K559">
        <v>5.0564133175305392E-2</v>
      </c>
      <c r="L559" t="s">
        <v>154</v>
      </c>
      <c r="N559" t="s">
        <v>212</v>
      </c>
      <c r="O559" t="s">
        <v>159</v>
      </c>
      <c r="P559">
        <v>1.3242070606119514E-2</v>
      </c>
      <c r="Q559" t="s">
        <v>154</v>
      </c>
      <c r="S559" t="s">
        <v>236</v>
      </c>
      <c r="T559" t="s">
        <v>159</v>
      </c>
      <c r="U559">
        <v>8.330397725441278E-3</v>
      </c>
      <c r="V559" t="s">
        <v>154</v>
      </c>
    </row>
    <row r="560" spans="9:22" x14ac:dyDescent="0.45">
      <c r="I560" t="s">
        <v>183</v>
      </c>
      <c r="J560" t="s">
        <v>258</v>
      </c>
      <c r="K560">
        <v>2.7299375910131794E-3</v>
      </c>
      <c r="L560" t="s">
        <v>154</v>
      </c>
      <c r="N560" t="s">
        <v>212</v>
      </c>
      <c r="O560" t="s">
        <v>258</v>
      </c>
      <c r="P560">
        <v>1.726238345044818E-3</v>
      </c>
      <c r="Q560" t="s">
        <v>154</v>
      </c>
      <c r="S560" t="s">
        <v>236</v>
      </c>
      <c r="T560" t="s">
        <v>258</v>
      </c>
      <c r="U560">
        <v>9.2975348195678553E-4</v>
      </c>
      <c r="V560" t="s">
        <v>154</v>
      </c>
    </row>
    <row r="561" spans="9:22" x14ac:dyDescent="0.45">
      <c r="I561" t="s">
        <v>183</v>
      </c>
      <c r="J561" t="s">
        <v>259</v>
      </c>
      <c r="K561">
        <v>1.3662741256045437E-3</v>
      </c>
      <c r="L561" t="s">
        <v>154</v>
      </c>
      <c r="N561" t="s">
        <v>212</v>
      </c>
      <c r="O561" t="s">
        <v>259</v>
      </c>
      <c r="P561">
        <v>1.5157063379883568E-3</v>
      </c>
      <c r="Q561" t="s">
        <v>154</v>
      </c>
      <c r="S561" t="s">
        <v>236</v>
      </c>
      <c r="T561" t="s">
        <v>259</v>
      </c>
      <c r="U561">
        <v>9.9830753280885686E-4</v>
      </c>
      <c r="V561" t="s">
        <v>154</v>
      </c>
    </row>
    <row r="562" spans="9:22" x14ac:dyDescent="0.45">
      <c r="I562" t="s">
        <v>183</v>
      </c>
      <c r="J562" t="s">
        <v>260</v>
      </c>
      <c r="K562">
        <v>0</v>
      </c>
      <c r="L562" t="s">
        <v>154</v>
      </c>
      <c r="N562" t="s">
        <v>212</v>
      </c>
      <c r="O562" t="s">
        <v>260</v>
      </c>
      <c r="P562">
        <v>6.5022574928818725E-3</v>
      </c>
      <c r="Q562" t="s">
        <v>154</v>
      </c>
      <c r="S562" t="s">
        <v>236</v>
      </c>
      <c r="T562" t="s">
        <v>260</v>
      </c>
      <c r="U562">
        <v>4.7522717772580042E-3</v>
      </c>
      <c r="V562" t="s">
        <v>154</v>
      </c>
    </row>
    <row r="563" spans="9:22" x14ac:dyDescent="0.45">
      <c r="I563" t="s">
        <v>183</v>
      </c>
      <c r="J563" t="s">
        <v>160</v>
      </c>
      <c r="K563">
        <v>0</v>
      </c>
      <c r="L563" t="s">
        <v>154</v>
      </c>
      <c r="N563" t="s">
        <v>212</v>
      </c>
      <c r="O563" t="s">
        <v>160</v>
      </c>
      <c r="P563">
        <v>2.6388368114331553E-2</v>
      </c>
      <c r="Q563" t="s">
        <v>154</v>
      </c>
      <c r="S563" t="s">
        <v>236</v>
      </c>
      <c r="T563" t="s">
        <v>160</v>
      </c>
      <c r="U563">
        <v>5.0003007525554248E-2</v>
      </c>
      <c r="V563" t="s">
        <v>154</v>
      </c>
    </row>
    <row r="564" spans="9:22" x14ac:dyDescent="0.45">
      <c r="I564" t="s">
        <v>183</v>
      </c>
      <c r="J564" t="s">
        <v>161</v>
      </c>
      <c r="K564">
        <v>8.7381514174407118E-3</v>
      </c>
      <c r="L564" t="s">
        <v>154</v>
      </c>
      <c r="N564" t="s">
        <v>212</v>
      </c>
      <c r="O564" t="s">
        <v>161</v>
      </c>
      <c r="P564">
        <v>7.1451551338348532E-3</v>
      </c>
      <c r="Q564" t="s">
        <v>154</v>
      </c>
      <c r="S564" t="s">
        <v>236</v>
      </c>
      <c r="T564" t="s">
        <v>161</v>
      </c>
      <c r="U564">
        <v>1.3475242294981133E-2</v>
      </c>
      <c r="V564" t="s">
        <v>154</v>
      </c>
    </row>
    <row r="565" spans="9:22" x14ac:dyDescent="0.45">
      <c r="I565" t="s">
        <v>183</v>
      </c>
      <c r="J565" t="s">
        <v>162</v>
      </c>
      <c r="K565">
        <v>6.464043657523301E-2</v>
      </c>
      <c r="L565" t="s">
        <v>154</v>
      </c>
      <c r="N565" t="s">
        <v>212</v>
      </c>
      <c r="O565" t="s">
        <v>162</v>
      </c>
      <c r="P565">
        <v>3.5723379779830082E-2</v>
      </c>
      <c r="Q565" t="s">
        <v>154</v>
      </c>
      <c r="S565" t="s">
        <v>236</v>
      </c>
      <c r="T565" t="s">
        <v>162</v>
      </c>
      <c r="U565">
        <v>5.7207293913016509E-2</v>
      </c>
      <c r="V565" t="s">
        <v>154</v>
      </c>
    </row>
    <row r="566" spans="9:22" x14ac:dyDescent="0.45">
      <c r="I566" t="s">
        <v>183</v>
      </c>
      <c r="J566" t="s">
        <v>261</v>
      </c>
      <c r="K566">
        <v>4.0668575285210829E-3</v>
      </c>
      <c r="L566" t="s">
        <v>154</v>
      </c>
      <c r="N566" t="s">
        <v>212</v>
      </c>
      <c r="O566" t="s">
        <v>261</v>
      </c>
      <c r="P566">
        <v>4.6023115239926631E-3</v>
      </c>
      <c r="Q566" t="s">
        <v>154</v>
      </c>
      <c r="S566" t="s">
        <v>236</v>
      </c>
      <c r="T566" t="s">
        <v>261</v>
      </c>
      <c r="U566">
        <v>6.9277102576790562E-3</v>
      </c>
      <c r="V566" t="s">
        <v>154</v>
      </c>
    </row>
    <row r="567" spans="9:22" x14ac:dyDescent="0.45">
      <c r="I567" t="s">
        <v>183</v>
      </c>
      <c r="J567" t="s">
        <v>262</v>
      </c>
      <c r="K567">
        <v>1.958396030813981E-3</v>
      </c>
      <c r="L567" t="s">
        <v>154</v>
      </c>
      <c r="N567" t="s">
        <v>212</v>
      </c>
      <c r="O567" t="s">
        <v>262</v>
      </c>
      <c r="P567">
        <v>4.0285350854567994E-3</v>
      </c>
      <c r="Q567" t="s">
        <v>154</v>
      </c>
      <c r="S567" t="s">
        <v>236</v>
      </c>
      <c r="T567" t="s">
        <v>262</v>
      </c>
      <c r="U567">
        <v>6.8726615625189997E-3</v>
      </c>
      <c r="V567" t="s">
        <v>154</v>
      </c>
    </row>
    <row r="568" spans="9:22" x14ac:dyDescent="0.45">
      <c r="I568" t="s">
        <v>183</v>
      </c>
      <c r="J568" t="s">
        <v>263</v>
      </c>
      <c r="K568">
        <v>0</v>
      </c>
      <c r="L568" t="s">
        <v>154</v>
      </c>
      <c r="N568" t="s">
        <v>212</v>
      </c>
      <c r="O568" t="s">
        <v>263</v>
      </c>
      <c r="P568">
        <v>1.9777626512689165E-2</v>
      </c>
      <c r="Q568" t="s">
        <v>154</v>
      </c>
      <c r="S568" t="s">
        <v>236</v>
      </c>
      <c r="T568" t="s">
        <v>263</v>
      </c>
      <c r="U568">
        <v>3.2931818158868094E-2</v>
      </c>
      <c r="V568" t="s">
        <v>154</v>
      </c>
    </row>
    <row r="569" spans="9:22" x14ac:dyDescent="0.45">
      <c r="I569" t="s">
        <v>183</v>
      </c>
      <c r="J569" t="s">
        <v>163</v>
      </c>
      <c r="K569">
        <v>0</v>
      </c>
      <c r="L569" t="s">
        <v>154</v>
      </c>
      <c r="N569" t="s">
        <v>212</v>
      </c>
      <c r="O569" t="s">
        <v>163</v>
      </c>
      <c r="P569">
        <v>1.8436790843017022E-2</v>
      </c>
      <c r="Q569" t="s">
        <v>154</v>
      </c>
      <c r="S569" t="s">
        <v>236</v>
      </c>
      <c r="T569" t="s">
        <v>163</v>
      </c>
      <c r="U569">
        <v>1.1878509026053237E-2</v>
      </c>
      <c r="V569" t="s">
        <v>154</v>
      </c>
    </row>
    <row r="570" spans="9:22" x14ac:dyDescent="0.45">
      <c r="I570" t="s">
        <v>183</v>
      </c>
      <c r="J570" t="s">
        <v>164</v>
      </c>
      <c r="K570">
        <v>7.0261488547809399E-3</v>
      </c>
      <c r="L570" t="s">
        <v>154</v>
      </c>
      <c r="N570" t="s">
        <v>212</v>
      </c>
      <c r="O570" t="s">
        <v>164</v>
      </c>
      <c r="P570">
        <v>5.0820756200196313E-3</v>
      </c>
      <c r="Q570" t="s">
        <v>154</v>
      </c>
      <c r="S570" t="s">
        <v>236</v>
      </c>
      <c r="T570" t="s">
        <v>164</v>
      </c>
      <c r="U570">
        <v>3.4899614299572419E-3</v>
      </c>
      <c r="V570" t="s">
        <v>154</v>
      </c>
    </row>
    <row r="571" spans="9:22" x14ac:dyDescent="0.45">
      <c r="I571" t="s">
        <v>183</v>
      </c>
      <c r="J571" t="s">
        <v>165</v>
      </c>
      <c r="K571">
        <v>5.1658114192090418E-2</v>
      </c>
      <c r="L571" t="s">
        <v>154</v>
      </c>
      <c r="N571" t="s">
        <v>212</v>
      </c>
      <c r="O571" t="s">
        <v>165</v>
      </c>
      <c r="P571">
        <v>2.1408352843605382E-2</v>
      </c>
      <c r="Q571" t="s">
        <v>154</v>
      </c>
      <c r="S571" t="s">
        <v>236</v>
      </c>
      <c r="T571" t="s">
        <v>165</v>
      </c>
      <c r="U571">
        <v>1.8050128351291338E-2</v>
      </c>
      <c r="V571" t="s">
        <v>154</v>
      </c>
    </row>
    <row r="572" spans="9:22" x14ac:dyDescent="0.45">
      <c r="I572" t="s">
        <v>183</v>
      </c>
      <c r="J572" t="s">
        <v>264</v>
      </c>
      <c r="K572">
        <v>3.2689074054968342E-3</v>
      </c>
      <c r="L572" t="s">
        <v>154</v>
      </c>
      <c r="N572" t="s">
        <v>212</v>
      </c>
      <c r="O572" t="s">
        <v>264</v>
      </c>
      <c r="P572">
        <v>2.5375729422641592E-3</v>
      </c>
      <c r="Q572" t="s">
        <v>154</v>
      </c>
      <c r="S572" t="s">
        <v>236</v>
      </c>
      <c r="T572" t="s">
        <v>264</v>
      </c>
      <c r="U572">
        <v>2.5517164340806411E-3</v>
      </c>
      <c r="V572" t="s">
        <v>154</v>
      </c>
    </row>
    <row r="573" spans="9:22" x14ac:dyDescent="0.45">
      <c r="I573" t="s">
        <v>183</v>
      </c>
      <c r="J573" t="s">
        <v>265</v>
      </c>
      <c r="K573">
        <v>0</v>
      </c>
      <c r="L573" t="s">
        <v>154</v>
      </c>
      <c r="N573" t="s">
        <v>212</v>
      </c>
      <c r="O573" t="s">
        <v>265</v>
      </c>
      <c r="P573">
        <v>2.3436042719409363E-3</v>
      </c>
      <c r="Q573" t="s">
        <v>154</v>
      </c>
      <c r="S573" t="s">
        <v>236</v>
      </c>
      <c r="T573" t="s">
        <v>265</v>
      </c>
      <c r="U573">
        <v>2.3533774268257252E-3</v>
      </c>
      <c r="V573" t="s">
        <v>154</v>
      </c>
    </row>
    <row r="574" spans="9:22" x14ac:dyDescent="0.45">
      <c r="I574" t="s">
        <v>183</v>
      </c>
      <c r="J574" t="s">
        <v>266</v>
      </c>
      <c r="K574">
        <v>0</v>
      </c>
      <c r="L574" t="s">
        <v>154</v>
      </c>
      <c r="N574" t="s">
        <v>212</v>
      </c>
      <c r="O574" t="s">
        <v>266</v>
      </c>
      <c r="P574">
        <v>1.2691003281828381E-2</v>
      </c>
      <c r="Q574" t="s">
        <v>154</v>
      </c>
      <c r="S574" t="s">
        <v>236</v>
      </c>
      <c r="T574" t="s">
        <v>266</v>
      </c>
      <c r="U574">
        <v>1.1473878875637044E-2</v>
      </c>
      <c r="V574" t="s">
        <v>154</v>
      </c>
    </row>
    <row r="575" spans="9:22" x14ac:dyDescent="0.45">
      <c r="I575" t="s">
        <v>183</v>
      </c>
      <c r="J575" t="s">
        <v>272</v>
      </c>
      <c r="K575">
        <v>0</v>
      </c>
      <c r="L575" t="s">
        <v>154</v>
      </c>
      <c r="N575" t="s">
        <v>212</v>
      </c>
      <c r="O575" t="s">
        <v>272</v>
      </c>
      <c r="P575">
        <v>5.942885319549536E-2</v>
      </c>
      <c r="Q575" t="s">
        <v>154</v>
      </c>
      <c r="S575" t="s">
        <v>236</v>
      </c>
      <c r="T575" t="s">
        <v>272</v>
      </c>
      <c r="U575">
        <v>4.1412288391019243E-2</v>
      </c>
      <c r="V575" t="s">
        <v>154</v>
      </c>
    </row>
    <row r="576" spans="9:22" x14ac:dyDescent="0.45">
      <c r="I576" t="s">
        <v>183</v>
      </c>
      <c r="J576" t="s">
        <v>273</v>
      </c>
      <c r="K576">
        <v>7.0684081027443885E-3</v>
      </c>
      <c r="L576" t="s">
        <v>154</v>
      </c>
      <c r="N576" t="s">
        <v>212</v>
      </c>
      <c r="O576" t="s">
        <v>273</v>
      </c>
      <c r="P576">
        <v>1.5900804427966091E-2</v>
      </c>
      <c r="Q576" t="s">
        <v>154</v>
      </c>
      <c r="S576" t="s">
        <v>236</v>
      </c>
      <c r="T576" t="s">
        <v>273</v>
      </c>
      <c r="U576">
        <v>1.215024331842459E-2</v>
      </c>
      <c r="V576" t="s">
        <v>154</v>
      </c>
    </row>
    <row r="577" spans="9:22" x14ac:dyDescent="0.45">
      <c r="I577" t="s">
        <v>183</v>
      </c>
      <c r="J577" t="s">
        <v>274</v>
      </c>
      <c r="K577">
        <v>7.3086615154002874E-2</v>
      </c>
      <c r="L577" t="s">
        <v>154</v>
      </c>
      <c r="N577" t="s">
        <v>212</v>
      </c>
      <c r="O577" t="s">
        <v>274</v>
      </c>
      <c r="P577">
        <v>6.848562312828553E-2</v>
      </c>
      <c r="Q577" t="s">
        <v>154</v>
      </c>
      <c r="S577" t="s">
        <v>236</v>
      </c>
      <c r="T577" t="s">
        <v>274</v>
      </c>
      <c r="U577">
        <v>4.5727530521608585E-2</v>
      </c>
      <c r="V577" t="s">
        <v>154</v>
      </c>
    </row>
    <row r="578" spans="9:22" x14ac:dyDescent="0.45">
      <c r="I578" t="s">
        <v>183</v>
      </c>
      <c r="J578" t="s">
        <v>275</v>
      </c>
      <c r="K578">
        <v>3.5728234900460976E-3</v>
      </c>
      <c r="L578" t="s">
        <v>154</v>
      </c>
      <c r="N578" t="s">
        <v>212</v>
      </c>
      <c r="O578" t="s">
        <v>275</v>
      </c>
      <c r="P578">
        <v>8.5176801807183219E-3</v>
      </c>
      <c r="Q578" t="s">
        <v>154</v>
      </c>
      <c r="S578" t="s">
        <v>236</v>
      </c>
      <c r="T578" t="s">
        <v>275</v>
      </c>
      <c r="U578">
        <v>5.7953224857636805E-3</v>
      </c>
      <c r="V578" t="s">
        <v>154</v>
      </c>
    </row>
    <row r="579" spans="9:22" x14ac:dyDescent="0.45">
      <c r="I579" t="s">
        <v>183</v>
      </c>
      <c r="J579" t="s">
        <v>276</v>
      </c>
      <c r="K579">
        <v>0</v>
      </c>
      <c r="L579" t="s">
        <v>154</v>
      </c>
      <c r="N579" t="s">
        <v>212</v>
      </c>
      <c r="O579" t="s">
        <v>276</v>
      </c>
      <c r="P579">
        <v>7.0512355502048811E-3</v>
      </c>
      <c r="Q579" t="s">
        <v>154</v>
      </c>
      <c r="S579" t="s">
        <v>236</v>
      </c>
      <c r="T579" t="s">
        <v>276</v>
      </c>
      <c r="U579">
        <v>4.8844385221534217E-3</v>
      </c>
      <c r="V579" t="s">
        <v>154</v>
      </c>
    </row>
    <row r="580" spans="9:22" x14ac:dyDescent="0.45">
      <c r="I580" t="s">
        <v>183</v>
      </c>
      <c r="J580" t="s">
        <v>277</v>
      </c>
      <c r="K580">
        <v>0</v>
      </c>
      <c r="L580" t="s">
        <v>154</v>
      </c>
      <c r="N580" t="s">
        <v>212</v>
      </c>
      <c r="O580" t="s">
        <v>277</v>
      </c>
      <c r="P580">
        <v>3.806307731082581E-2</v>
      </c>
      <c r="Q580" t="s">
        <v>154</v>
      </c>
      <c r="S580" t="s">
        <v>236</v>
      </c>
      <c r="T580" t="s">
        <v>277</v>
      </c>
      <c r="U580">
        <v>2.9917761614975804E-2</v>
      </c>
      <c r="V580" t="s">
        <v>154</v>
      </c>
    </row>
    <row r="581" spans="9:22" x14ac:dyDescent="0.45">
      <c r="I581" t="s">
        <v>184</v>
      </c>
      <c r="J581" t="s">
        <v>153</v>
      </c>
      <c r="K581">
        <v>0</v>
      </c>
      <c r="L581" t="s">
        <v>154</v>
      </c>
      <c r="N581" t="s">
        <v>213</v>
      </c>
      <c r="O581" t="s">
        <v>153</v>
      </c>
      <c r="P581">
        <v>0.19627507243791634</v>
      </c>
      <c r="Q581" t="s">
        <v>154</v>
      </c>
      <c r="S581" t="s">
        <v>237</v>
      </c>
      <c r="T581" t="s">
        <v>153</v>
      </c>
      <c r="U581">
        <v>0.18984545548551951</v>
      </c>
      <c r="V581" t="s">
        <v>154</v>
      </c>
    </row>
    <row r="582" spans="9:22" x14ac:dyDescent="0.45">
      <c r="I582" t="s">
        <v>184</v>
      </c>
      <c r="J582" t="s">
        <v>155</v>
      </c>
      <c r="K582">
        <v>5.6132014664958978E-2</v>
      </c>
      <c r="L582" t="s">
        <v>154</v>
      </c>
      <c r="N582" t="s">
        <v>213</v>
      </c>
      <c r="O582" t="s">
        <v>155</v>
      </c>
      <c r="P582">
        <v>5.3435617924914858E-2</v>
      </c>
      <c r="Q582" t="s">
        <v>154</v>
      </c>
      <c r="S582" t="s">
        <v>237</v>
      </c>
      <c r="T582" t="s">
        <v>155</v>
      </c>
      <c r="U582">
        <v>4.9783115651152052E-2</v>
      </c>
      <c r="V582" t="s">
        <v>154</v>
      </c>
    </row>
    <row r="583" spans="9:22" x14ac:dyDescent="0.45">
      <c r="I583" t="s">
        <v>184</v>
      </c>
      <c r="J583" t="s">
        <v>156</v>
      </c>
      <c r="K583">
        <v>0.53276864763903609</v>
      </c>
      <c r="L583" t="s">
        <v>154</v>
      </c>
      <c r="N583" t="s">
        <v>213</v>
      </c>
      <c r="O583" t="s">
        <v>156</v>
      </c>
      <c r="P583">
        <v>0.21318155202575037</v>
      </c>
      <c r="Q583" t="s">
        <v>154</v>
      </c>
      <c r="S583" t="s">
        <v>237</v>
      </c>
      <c r="T583" t="s">
        <v>156</v>
      </c>
      <c r="U583">
        <v>0.20771645282528473</v>
      </c>
      <c r="V583" t="s">
        <v>154</v>
      </c>
    </row>
    <row r="584" spans="9:22" x14ac:dyDescent="0.45">
      <c r="I584" t="s">
        <v>184</v>
      </c>
      <c r="J584" t="s">
        <v>255</v>
      </c>
      <c r="K584">
        <v>4.245320936415866E-2</v>
      </c>
      <c r="L584" t="s">
        <v>154</v>
      </c>
      <c r="N584" t="s">
        <v>213</v>
      </c>
      <c r="O584" t="s">
        <v>255</v>
      </c>
      <c r="P584">
        <v>2.8893221183896679E-2</v>
      </c>
      <c r="Q584" t="s">
        <v>154</v>
      </c>
      <c r="S584" t="s">
        <v>237</v>
      </c>
      <c r="T584" t="s">
        <v>255</v>
      </c>
      <c r="U584">
        <v>2.6215061447192458E-2</v>
      </c>
      <c r="V584" t="s">
        <v>154</v>
      </c>
    </row>
    <row r="585" spans="9:22" x14ac:dyDescent="0.45">
      <c r="I585" t="s">
        <v>184</v>
      </c>
      <c r="J585" t="s">
        <v>256</v>
      </c>
      <c r="K585">
        <v>2.6725763375593247E-2</v>
      </c>
      <c r="L585" t="s">
        <v>154</v>
      </c>
      <c r="N585" t="s">
        <v>213</v>
      </c>
      <c r="O585" t="s">
        <v>256</v>
      </c>
      <c r="P585">
        <v>2.619032879768279E-2</v>
      </c>
      <c r="Q585" t="s">
        <v>154</v>
      </c>
      <c r="S585" t="s">
        <v>237</v>
      </c>
      <c r="T585" t="s">
        <v>256</v>
      </c>
      <c r="U585">
        <v>2.3968512260639903E-2</v>
      </c>
      <c r="V585" t="s">
        <v>154</v>
      </c>
    </row>
    <row r="586" spans="9:22" x14ac:dyDescent="0.45">
      <c r="I586" t="s">
        <v>184</v>
      </c>
      <c r="J586" t="s">
        <v>257</v>
      </c>
      <c r="K586">
        <v>0</v>
      </c>
      <c r="L586" t="s">
        <v>154</v>
      </c>
      <c r="N586" t="s">
        <v>213</v>
      </c>
      <c r="O586" t="s">
        <v>257</v>
      </c>
      <c r="P586">
        <v>0.14289431037580705</v>
      </c>
      <c r="Q586" t="s">
        <v>154</v>
      </c>
      <c r="S586" t="s">
        <v>237</v>
      </c>
      <c r="T586" t="s">
        <v>257</v>
      </c>
      <c r="U586">
        <v>0.12652346200480899</v>
      </c>
      <c r="V586" t="s">
        <v>154</v>
      </c>
    </row>
    <row r="587" spans="9:22" x14ac:dyDescent="0.45">
      <c r="I587" t="s">
        <v>184</v>
      </c>
      <c r="J587" t="s">
        <v>157</v>
      </c>
      <c r="K587">
        <v>0</v>
      </c>
      <c r="L587" t="s">
        <v>154</v>
      </c>
      <c r="N587" t="s">
        <v>213</v>
      </c>
      <c r="O587" t="s">
        <v>157</v>
      </c>
      <c r="P587">
        <v>9.6449990744528081E-3</v>
      </c>
      <c r="Q587" t="s">
        <v>154</v>
      </c>
      <c r="S587" t="s">
        <v>237</v>
      </c>
      <c r="T587" t="s">
        <v>157</v>
      </c>
      <c r="U587">
        <v>7.4031980692097887E-3</v>
      </c>
      <c r="V587" t="s">
        <v>154</v>
      </c>
    </row>
    <row r="588" spans="9:22" x14ac:dyDescent="0.45">
      <c r="I588" t="s">
        <v>184</v>
      </c>
      <c r="J588" t="s">
        <v>158</v>
      </c>
      <c r="K588">
        <v>6.0114123039990515E-3</v>
      </c>
      <c r="L588" t="s">
        <v>154</v>
      </c>
      <c r="N588" t="s">
        <v>213</v>
      </c>
      <c r="O588" t="s">
        <v>158</v>
      </c>
      <c r="P588">
        <v>2.813433378414631E-3</v>
      </c>
      <c r="Q588" t="s">
        <v>154</v>
      </c>
      <c r="S588" t="s">
        <v>237</v>
      </c>
      <c r="T588" t="s">
        <v>158</v>
      </c>
      <c r="U588">
        <v>1.7833641104683105E-3</v>
      </c>
      <c r="V588" t="s">
        <v>154</v>
      </c>
    </row>
    <row r="589" spans="9:22" x14ac:dyDescent="0.45">
      <c r="I589" t="s">
        <v>184</v>
      </c>
      <c r="J589" t="s">
        <v>159</v>
      </c>
      <c r="K589">
        <v>5.2355541615135184E-2</v>
      </c>
      <c r="L589" t="s">
        <v>154</v>
      </c>
      <c r="N589" t="s">
        <v>213</v>
      </c>
      <c r="O589" t="s">
        <v>159</v>
      </c>
      <c r="P589">
        <v>7.9413355075410984E-3</v>
      </c>
      <c r="Q589" t="s">
        <v>154</v>
      </c>
      <c r="S589" t="s">
        <v>237</v>
      </c>
      <c r="T589" t="s">
        <v>159</v>
      </c>
      <c r="U589">
        <v>7.8363669856547462E-3</v>
      </c>
      <c r="V589" t="s">
        <v>154</v>
      </c>
    </row>
    <row r="590" spans="9:22" x14ac:dyDescent="0.45">
      <c r="I590" t="s">
        <v>184</v>
      </c>
      <c r="J590" t="s">
        <v>258</v>
      </c>
      <c r="K590">
        <v>3.7650142308519015E-3</v>
      </c>
      <c r="L590" t="s">
        <v>154</v>
      </c>
      <c r="N590" t="s">
        <v>213</v>
      </c>
      <c r="O590" t="s">
        <v>258</v>
      </c>
      <c r="P590">
        <v>6.3740369923716311E-4</v>
      </c>
      <c r="Q590" t="s">
        <v>154</v>
      </c>
      <c r="S590" t="s">
        <v>237</v>
      </c>
      <c r="T590" t="s">
        <v>258</v>
      </c>
      <c r="U590">
        <v>8.7464971692090168E-4</v>
      </c>
      <c r="V590" t="s">
        <v>154</v>
      </c>
    </row>
    <row r="591" spans="9:22" x14ac:dyDescent="0.45">
      <c r="I591" t="s">
        <v>184</v>
      </c>
      <c r="J591" t="s">
        <v>259</v>
      </c>
      <c r="K591">
        <v>2.3074574506811696E-3</v>
      </c>
      <c r="L591" t="s">
        <v>154</v>
      </c>
      <c r="N591" t="s">
        <v>213</v>
      </c>
      <c r="O591" t="s">
        <v>259</v>
      </c>
      <c r="P591">
        <v>6.4600424444998222E-4</v>
      </c>
      <c r="Q591" t="s">
        <v>154</v>
      </c>
      <c r="S591" t="s">
        <v>237</v>
      </c>
      <c r="T591" t="s">
        <v>259</v>
      </c>
      <c r="U591">
        <v>8.0813930994712985E-4</v>
      </c>
      <c r="V591" t="s">
        <v>154</v>
      </c>
    </row>
    <row r="592" spans="9:22" x14ac:dyDescent="0.45">
      <c r="I592" t="s">
        <v>184</v>
      </c>
      <c r="J592" t="s">
        <v>260</v>
      </c>
      <c r="K592">
        <v>0</v>
      </c>
      <c r="L592" t="s">
        <v>154</v>
      </c>
      <c r="N592" t="s">
        <v>213</v>
      </c>
      <c r="O592" t="s">
        <v>260</v>
      </c>
      <c r="P592">
        <v>4.9954617852706381E-3</v>
      </c>
      <c r="Q592" t="s">
        <v>154</v>
      </c>
      <c r="S592" t="s">
        <v>237</v>
      </c>
      <c r="T592" t="s">
        <v>260</v>
      </c>
      <c r="U592">
        <v>3.4399792429995152E-3</v>
      </c>
      <c r="V592" t="s">
        <v>154</v>
      </c>
    </row>
    <row r="593" spans="9:22" x14ac:dyDescent="0.45">
      <c r="I593" t="s">
        <v>184</v>
      </c>
      <c r="J593" t="s">
        <v>160</v>
      </c>
      <c r="K593">
        <v>0</v>
      </c>
      <c r="L593" t="s">
        <v>154</v>
      </c>
      <c r="N593" t="s">
        <v>213</v>
      </c>
      <c r="O593" t="s">
        <v>160</v>
      </c>
      <c r="P593">
        <v>5.1073689483383616E-2</v>
      </c>
      <c r="Q593" t="s">
        <v>154</v>
      </c>
      <c r="S593" t="s">
        <v>237</v>
      </c>
      <c r="T593" t="s">
        <v>160</v>
      </c>
      <c r="U593">
        <v>2.9067551369350891E-2</v>
      </c>
      <c r="V593" t="s">
        <v>154</v>
      </c>
    </row>
    <row r="594" spans="9:22" x14ac:dyDescent="0.45">
      <c r="I594" t="s">
        <v>184</v>
      </c>
      <c r="J594" t="s">
        <v>161</v>
      </c>
      <c r="K594">
        <v>6.657974936981414E-3</v>
      </c>
      <c r="L594" t="s">
        <v>154</v>
      </c>
      <c r="N594" t="s">
        <v>213</v>
      </c>
      <c r="O594" t="s">
        <v>161</v>
      </c>
      <c r="P594">
        <v>1.243773799557947E-2</v>
      </c>
      <c r="Q594" t="s">
        <v>154</v>
      </c>
      <c r="S594" t="s">
        <v>237</v>
      </c>
      <c r="T594" t="s">
        <v>161</v>
      </c>
      <c r="U594">
        <v>7.8729682758743678E-3</v>
      </c>
      <c r="V594" t="s">
        <v>154</v>
      </c>
    </row>
    <row r="595" spans="9:22" x14ac:dyDescent="0.45">
      <c r="I595" t="s">
        <v>184</v>
      </c>
      <c r="J595" t="s">
        <v>162</v>
      </c>
      <c r="K595">
        <v>6.0148829845747029E-2</v>
      </c>
      <c r="L595" t="s">
        <v>154</v>
      </c>
      <c r="N595" t="s">
        <v>213</v>
      </c>
      <c r="O595" t="s">
        <v>162</v>
      </c>
      <c r="P595">
        <v>4.4761018965192162E-2</v>
      </c>
      <c r="Q595" t="s">
        <v>154</v>
      </c>
      <c r="S595" t="s">
        <v>237</v>
      </c>
      <c r="T595" t="s">
        <v>162</v>
      </c>
      <c r="U595">
        <v>3.9094225387850026E-2</v>
      </c>
      <c r="V595" t="s">
        <v>154</v>
      </c>
    </row>
    <row r="596" spans="9:22" x14ac:dyDescent="0.45">
      <c r="I596" t="s">
        <v>184</v>
      </c>
      <c r="J596" t="s">
        <v>261</v>
      </c>
      <c r="K596">
        <v>3.4979017820657337E-3</v>
      </c>
      <c r="L596" t="s">
        <v>154</v>
      </c>
      <c r="N596" t="s">
        <v>213</v>
      </c>
      <c r="O596" t="s">
        <v>261</v>
      </c>
      <c r="P596">
        <v>5.841756588509139E-3</v>
      </c>
      <c r="Q596" t="s">
        <v>154</v>
      </c>
      <c r="S596" t="s">
        <v>237</v>
      </c>
      <c r="T596" t="s">
        <v>261</v>
      </c>
      <c r="U596">
        <v>4.7235281456061802E-3</v>
      </c>
      <c r="V596" t="s">
        <v>154</v>
      </c>
    </row>
    <row r="597" spans="9:22" x14ac:dyDescent="0.45">
      <c r="I597" t="s">
        <v>184</v>
      </c>
      <c r="J597" t="s">
        <v>262</v>
      </c>
      <c r="K597">
        <v>1.7407019966042723E-3</v>
      </c>
      <c r="L597" t="s">
        <v>154</v>
      </c>
      <c r="N597" t="s">
        <v>213</v>
      </c>
      <c r="O597" t="s">
        <v>262</v>
      </c>
      <c r="P597">
        <v>6.1216437255773356E-3</v>
      </c>
      <c r="Q597" t="s">
        <v>154</v>
      </c>
      <c r="S597" t="s">
        <v>237</v>
      </c>
      <c r="T597" t="s">
        <v>262</v>
      </c>
      <c r="U597">
        <v>3.7879116503500738E-3</v>
      </c>
      <c r="V597" t="s">
        <v>154</v>
      </c>
    </row>
    <row r="598" spans="9:22" x14ac:dyDescent="0.45">
      <c r="I598" t="s">
        <v>184</v>
      </c>
      <c r="J598" t="s">
        <v>263</v>
      </c>
      <c r="K598">
        <v>0</v>
      </c>
      <c r="L598" t="s">
        <v>154</v>
      </c>
      <c r="N598" t="s">
        <v>213</v>
      </c>
      <c r="O598" t="s">
        <v>263</v>
      </c>
      <c r="P598">
        <v>3.4567357200370262E-2</v>
      </c>
      <c r="Q598" t="s">
        <v>154</v>
      </c>
      <c r="S598" t="s">
        <v>237</v>
      </c>
      <c r="T598" t="s">
        <v>263</v>
      </c>
      <c r="U598">
        <v>1.8990986592244706E-2</v>
      </c>
      <c r="V598" t="s">
        <v>154</v>
      </c>
    </row>
    <row r="599" spans="9:22" x14ac:dyDescent="0.45">
      <c r="I599" t="s">
        <v>184</v>
      </c>
      <c r="J599" t="s">
        <v>163</v>
      </c>
      <c r="K599">
        <v>0</v>
      </c>
      <c r="L599" t="s">
        <v>154</v>
      </c>
      <c r="N599" t="s">
        <v>213</v>
      </c>
      <c r="O599" t="s">
        <v>163</v>
      </c>
      <c r="P599">
        <v>1.676588026723775E-2</v>
      </c>
      <c r="Q599" t="s">
        <v>154</v>
      </c>
      <c r="S599" t="s">
        <v>237</v>
      </c>
      <c r="T599" t="s">
        <v>163</v>
      </c>
      <c r="U599">
        <v>1.7924423563597872E-2</v>
      </c>
      <c r="V599" t="s">
        <v>154</v>
      </c>
    </row>
    <row r="600" spans="9:22" x14ac:dyDescent="0.45">
      <c r="I600" t="s">
        <v>184</v>
      </c>
      <c r="J600" t="s">
        <v>164</v>
      </c>
      <c r="K600">
        <v>7.1085141689900804E-3</v>
      </c>
      <c r="L600" t="s">
        <v>154</v>
      </c>
      <c r="N600" t="s">
        <v>213</v>
      </c>
      <c r="O600" t="s">
        <v>164</v>
      </c>
      <c r="P600">
        <v>3.5521937785554436E-3</v>
      </c>
      <c r="Q600" t="s">
        <v>154</v>
      </c>
      <c r="S600" t="s">
        <v>237</v>
      </c>
      <c r="T600" t="s">
        <v>164</v>
      </c>
      <c r="U600">
        <v>4.4409897248156444E-3</v>
      </c>
      <c r="V600" t="s">
        <v>154</v>
      </c>
    </row>
    <row r="601" spans="9:22" x14ac:dyDescent="0.45">
      <c r="I601" t="s">
        <v>184</v>
      </c>
      <c r="J601" t="s">
        <v>165</v>
      </c>
      <c r="K601">
        <v>5.1260951847991093E-2</v>
      </c>
      <c r="L601" t="s">
        <v>154</v>
      </c>
      <c r="N601" t="s">
        <v>213</v>
      </c>
      <c r="O601" t="s">
        <v>165</v>
      </c>
      <c r="P601">
        <v>1.7460876434924982E-2</v>
      </c>
      <c r="Q601" t="s">
        <v>154</v>
      </c>
      <c r="S601" t="s">
        <v>237</v>
      </c>
      <c r="T601" t="s">
        <v>165</v>
      </c>
      <c r="U601">
        <v>1.6286728443098388E-2</v>
      </c>
      <c r="V601" t="s">
        <v>154</v>
      </c>
    </row>
    <row r="602" spans="9:22" x14ac:dyDescent="0.45">
      <c r="I602" t="s">
        <v>184</v>
      </c>
      <c r="J602" t="s">
        <v>264</v>
      </c>
      <c r="K602">
        <v>3.1767009949306446E-3</v>
      </c>
      <c r="L602" t="s">
        <v>154</v>
      </c>
      <c r="N602" t="s">
        <v>213</v>
      </c>
      <c r="O602" t="s">
        <v>264</v>
      </c>
      <c r="P602">
        <v>2.6733350480082139E-3</v>
      </c>
      <c r="Q602" t="s">
        <v>154</v>
      </c>
      <c r="S602" t="s">
        <v>237</v>
      </c>
      <c r="T602" t="s">
        <v>264</v>
      </c>
      <c r="U602">
        <v>2.1787573558624362E-3</v>
      </c>
      <c r="V602" t="s">
        <v>154</v>
      </c>
    </row>
    <row r="603" spans="9:22" x14ac:dyDescent="0.45">
      <c r="I603" t="s">
        <v>184</v>
      </c>
      <c r="J603" t="s">
        <v>265</v>
      </c>
      <c r="K603">
        <v>1.973791544884185E-3</v>
      </c>
      <c r="L603" t="s">
        <v>154</v>
      </c>
      <c r="N603" t="s">
        <v>213</v>
      </c>
      <c r="O603" t="s">
        <v>265</v>
      </c>
      <c r="P603">
        <v>3.0016632966349682E-3</v>
      </c>
      <c r="Q603" t="s">
        <v>154</v>
      </c>
      <c r="S603" t="s">
        <v>237</v>
      </c>
      <c r="T603" t="s">
        <v>265</v>
      </c>
      <c r="U603">
        <v>2.0165927579383148E-3</v>
      </c>
      <c r="V603" t="s">
        <v>154</v>
      </c>
    </row>
    <row r="604" spans="9:22" x14ac:dyDescent="0.45">
      <c r="I604" t="s">
        <v>184</v>
      </c>
      <c r="J604" t="s">
        <v>266</v>
      </c>
      <c r="K604">
        <v>0</v>
      </c>
      <c r="L604" t="s">
        <v>154</v>
      </c>
      <c r="N604" t="s">
        <v>213</v>
      </c>
      <c r="O604" t="s">
        <v>266</v>
      </c>
      <c r="P604">
        <v>1.6423301884096422E-2</v>
      </c>
      <c r="Q604" t="s">
        <v>154</v>
      </c>
      <c r="S604" t="s">
        <v>237</v>
      </c>
      <c r="T604" t="s">
        <v>266</v>
      </c>
      <c r="U604">
        <v>1.2539863664733218E-2</v>
      </c>
      <c r="V604" t="s">
        <v>154</v>
      </c>
    </row>
    <row r="605" spans="9:22" x14ac:dyDescent="0.45">
      <c r="I605" t="s">
        <v>184</v>
      </c>
      <c r="J605" t="s">
        <v>272</v>
      </c>
      <c r="K605">
        <v>0</v>
      </c>
      <c r="L605" t="s">
        <v>154</v>
      </c>
      <c r="N605" t="s">
        <v>213</v>
      </c>
      <c r="O605" t="s">
        <v>272</v>
      </c>
      <c r="P605">
        <v>3.1558936001247387E-2</v>
      </c>
      <c r="Q605" t="s">
        <v>154</v>
      </c>
      <c r="S605" t="s">
        <v>237</v>
      </c>
      <c r="T605" t="s">
        <v>272</v>
      </c>
      <c r="U605">
        <v>6.0211584486731778E-2</v>
      </c>
      <c r="V605" t="s">
        <v>154</v>
      </c>
    </row>
    <row r="606" spans="9:22" x14ac:dyDescent="0.45">
      <c r="I606" t="s">
        <v>184</v>
      </c>
      <c r="J606" t="s">
        <v>273</v>
      </c>
      <c r="K606">
        <v>1.4793785756321986E-2</v>
      </c>
      <c r="L606" t="s">
        <v>154</v>
      </c>
      <c r="N606" t="s">
        <v>213</v>
      </c>
      <c r="O606" t="s">
        <v>273</v>
      </c>
      <c r="P606">
        <v>8.1763325507079026E-3</v>
      </c>
      <c r="Q606" t="s">
        <v>154</v>
      </c>
      <c r="S606" t="s">
        <v>237</v>
      </c>
      <c r="T606" t="s">
        <v>273</v>
      </c>
      <c r="U606">
        <v>1.5844599852800612E-2</v>
      </c>
      <c r="V606" t="s">
        <v>154</v>
      </c>
    </row>
    <row r="607" spans="9:22" x14ac:dyDescent="0.45">
      <c r="I607" t="s">
        <v>184</v>
      </c>
      <c r="J607" t="s">
        <v>274</v>
      </c>
      <c r="K607">
        <v>0.11489026508433391</v>
      </c>
      <c r="L607" t="s">
        <v>154</v>
      </c>
      <c r="N607" t="s">
        <v>213</v>
      </c>
      <c r="O607" t="s">
        <v>274</v>
      </c>
      <c r="P607">
        <v>2.7992997079138025E-2</v>
      </c>
      <c r="Q607" t="s">
        <v>154</v>
      </c>
      <c r="S607" t="s">
        <v>237</v>
      </c>
      <c r="T607" t="s">
        <v>274</v>
      </c>
      <c r="U607">
        <v>6.3024721031431627E-2</v>
      </c>
      <c r="V607" t="s">
        <v>154</v>
      </c>
    </row>
    <row r="608" spans="9:22" x14ac:dyDescent="0.45">
      <c r="I608" t="s">
        <v>184</v>
      </c>
      <c r="J608" t="s">
        <v>275</v>
      </c>
      <c r="K608">
        <v>7.7716312759784027E-3</v>
      </c>
      <c r="L608" t="s">
        <v>154</v>
      </c>
      <c r="N608" t="s">
        <v>213</v>
      </c>
      <c r="O608" t="s">
        <v>275</v>
      </c>
      <c r="P608">
        <v>4.5010918411405362E-3</v>
      </c>
      <c r="Q608" t="s">
        <v>154</v>
      </c>
      <c r="S608" t="s">
        <v>237</v>
      </c>
      <c r="T608" t="s">
        <v>275</v>
      </c>
      <c r="U608">
        <v>7.6737266304901745E-3</v>
      </c>
      <c r="V608" t="s">
        <v>154</v>
      </c>
    </row>
    <row r="609" spans="9:22" x14ac:dyDescent="0.45">
      <c r="I609" t="s">
        <v>184</v>
      </c>
      <c r="J609" t="s">
        <v>276</v>
      </c>
      <c r="K609">
        <v>4.459890120757066E-3</v>
      </c>
      <c r="L609" t="s">
        <v>154</v>
      </c>
      <c r="N609" t="s">
        <v>213</v>
      </c>
      <c r="O609" t="s">
        <v>276</v>
      </c>
      <c r="P609">
        <v>3.5773781089712383E-3</v>
      </c>
      <c r="Q609" t="s">
        <v>154</v>
      </c>
      <c r="S609" t="s">
        <v>237</v>
      </c>
      <c r="T609" t="s">
        <v>276</v>
      </c>
      <c r="U609">
        <v>6.6613542287741728E-3</v>
      </c>
      <c r="V609" t="s">
        <v>154</v>
      </c>
    </row>
    <row r="610" spans="9:22" x14ac:dyDescent="0.45">
      <c r="I610" t="s">
        <v>184</v>
      </c>
      <c r="J610" t="s">
        <v>277</v>
      </c>
      <c r="K610">
        <v>0</v>
      </c>
      <c r="L610" t="s">
        <v>154</v>
      </c>
      <c r="N610" t="s">
        <v>213</v>
      </c>
      <c r="O610" t="s">
        <v>277</v>
      </c>
      <c r="P610">
        <v>2.1964069315392968E-2</v>
      </c>
      <c r="Q610" t="s">
        <v>154</v>
      </c>
      <c r="S610" t="s">
        <v>237</v>
      </c>
      <c r="T610" t="s">
        <v>277</v>
      </c>
      <c r="U610">
        <v>4.1461729728650226E-2</v>
      </c>
      <c r="V610" t="s">
        <v>154</v>
      </c>
    </row>
    <row r="611" spans="9:22" x14ac:dyDescent="0.45">
      <c r="I611" t="s">
        <v>185</v>
      </c>
      <c r="J611" t="s">
        <v>153</v>
      </c>
      <c r="K611">
        <v>0</v>
      </c>
      <c r="L611" t="s">
        <v>154</v>
      </c>
      <c r="N611" t="s">
        <v>214</v>
      </c>
      <c r="O611" t="s">
        <v>153</v>
      </c>
      <c r="P611">
        <v>0.18851911350908396</v>
      </c>
      <c r="Q611" t="s">
        <v>154</v>
      </c>
      <c r="S611" t="s">
        <v>238</v>
      </c>
      <c r="T611" t="s">
        <v>153</v>
      </c>
      <c r="U611">
        <v>0.18714854829427793</v>
      </c>
      <c r="V611" t="s">
        <v>154</v>
      </c>
    </row>
    <row r="612" spans="9:22" x14ac:dyDescent="0.45">
      <c r="I612" t="s">
        <v>185</v>
      </c>
      <c r="J612" t="s">
        <v>155</v>
      </c>
      <c r="K612">
        <v>6.4871012861782151E-2</v>
      </c>
      <c r="L612" t="s">
        <v>154</v>
      </c>
      <c r="N612" t="s">
        <v>214</v>
      </c>
      <c r="O612" t="s">
        <v>155</v>
      </c>
      <c r="P612">
        <v>5.3783539185989999E-2</v>
      </c>
      <c r="Q612" t="s">
        <v>154</v>
      </c>
      <c r="S612" t="s">
        <v>238</v>
      </c>
      <c r="T612" t="s">
        <v>155</v>
      </c>
      <c r="U612">
        <v>5.0466150737459185E-2</v>
      </c>
      <c r="V612" t="s">
        <v>154</v>
      </c>
    </row>
    <row r="613" spans="9:22" x14ac:dyDescent="0.45">
      <c r="I613" t="s">
        <v>185</v>
      </c>
      <c r="J613" t="s">
        <v>156</v>
      </c>
      <c r="K613">
        <v>0.5378456205572566</v>
      </c>
      <c r="L613" t="s">
        <v>154</v>
      </c>
      <c r="N613" t="s">
        <v>214</v>
      </c>
      <c r="O613" t="s">
        <v>156</v>
      </c>
      <c r="P613">
        <v>0.25392003240052535</v>
      </c>
      <c r="Q613" t="s">
        <v>154</v>
      </c>
      <c r="S613" t="s">
        <v>238</v>
      </c>
      <c r="T613" t="s">
        <v>156</v>
      </c>
      <c r="U613">
        <v>0.20549379631962905</v>
      </c>
      <c r="V613" t="s">
        <v>154</v>
      </c>
    </row>
    <row r="614" spans="9:22" x14ac:dyDescent="0.45">
      <c r="I614" t="s">
        <v>185</v>
      </c>
      <c r="J614" t="s">
        <v>255</v>
      </c>
      <c r="K614">
        <v>4.0123992516483721E-2</v>
      </c>
      <c r="L614" t="s">
        <v>154</v>
      </c>
      <c r="N614" t="s">
        <v>214</v>
      </c>
      <c r="O614" t="s">
        <v>255</v>
      </c>
      <c r="P614">
        <v>2.7891399329416481E-2</v>
      </c>
      <c r="Q614" t="s">
        <v>154</v>
      </c>
      <c r="S614" t="s">
        <v>238</v>
      </c>
      <c r="T614" t="s">
        <v>255</v>
      </c>
      <c r="U614">
        <v>2.5632386755158242E-2</v>
      </c>
      <c r="V614" t="s">
        <v>154</v>
      </c>
    </row>
    <row r="615" spans="9:22" x14ac:dyDescent="0.45">
      <c r="I615" t="s">
        <v>185</v>
      </c>
      <c r="J615" t="s">
        <v>256</v>
      </c>
      <c r="K615">
        <v>2.3577193629146311E-2</v>
      </c>
      <c r="L615" t="s">
        <v>154</v>
      </c>
      <c r="N615" t="s">
        <v>214</v>
      </c>
      <c r="O615" t="s">
        <v>256</v>
      </c>
      <c r="P615">
        <v>2.5783309142582429E-2</v>
      </c>
      <c r="Q615" t="s">
        <v>154</v>
      </c>
      <c r="S615" t="s">
        <v>238</v>
      </c>
      <c r="T615" t="s">
        <v>256</v>
      </c>
      <c r="U615">
        <v>2.3475700187479156E-2</v>
      </c>
      <c r="V615" t="s">
        <v>154</v>
      </c>
    </row>
    <row r="616" spans="9:22" x14ac:dyDescent="0.45">
      <c r="I616" t="s">
        <v>185</v>
      </c>
      <c r="J616" t="s">
        <v>257</v>
      </c>
      <c r="K616">
        <v>0</v>
      </c>
      <c r="L616" t="s">
        <v>154</v>
      </c>
      <c r="N616" t="s">
        <v>214</v>
      </c>
      <c r="O616" t="s">
        <v>257</v>
      </c>
      <c r="P616">
        <v>0.1214726456991278</v>
      </c>
      <c r="Q616" t="s">
        <v>154</v>
      </c>
      <c r="S616" t="s">
        <v>238</v>
      </c>
      <c r="T616" t="s">
        <v>257</v>
      </c>
      <c r="U616">
        <v>0.12226684312650812</v>
      </c>
      <c r="V616" t="s">
        <v>154</v>
      </c>
    </row>
    <row r="617" spans="9:22" x14ac:dyDescent="0.45">
      <c r="I617" t="s">
        <v>185</v>
      </c>
      <c r="J617" t="s">
        <v>157</v>
      </c>
      <c r="K617">
        <v>0</v>
      </c>
      <c r="L617" t="s">
        <v>154</v>
      </c>
      <c r="N617" t="s">
        <v>214</v>
      </c>
      <c r="O617" t="s">
        <v>157</v>
      </c>
      <c r="P617">
        <v>6.531690557158615E-3</v>
      </c>
      <c r="Q617" t="s">
        <v>154</v>
      </c>
      <c r="S617" t="s">
        <v>238</v>
      </c>
      <c r="T617" t="s">
        <v>157</v>
      </c>
      <c r="U617">
        <v>7.3817791422801067E-3</v>
      </c>
      <c r="V617" t="s">
        <v>154</v>
      </c>
    </row>
    <row r="618" spans="9:22" x14ac:dyDescent="0.45">
      <c r="I618" t="s">
        <v>185</v>
      </c>
      <c r="J618" t="s">
        <v>158</v>
      </c>
      <c r="K618">
        <v>5.3400193638928721E-3</v>
      </c>
      <c r="L618" t="s">
        <v>154</v>
      </c>
      <c r="N618" t="s">
        <v>214</v>
      </c>
      <c r="O618" t="s">
        <v>158</v>
      </c>
      <c r="P618">
        <v>1.8708096812359274E-3</v>
      </c>
      <c r="Q618" t="s">
        <v>154</v>
      </c>
      <c r="S618" t="s">
        <v>238</v>
      </c>
      <c r="T618" t="s">
        <v>158</v>
      </c>
      <c r="U618">
        <v>1.7798629399056417E-3</v>
      </c>
      <c r="V618" t="s">
        <v>154</v>
      </c>
    </row>
    <row r="619" spans="9:22" x14ac:dyDescent="0.45">
      <c r="I619" t="s">
        <v>185</v>
      </c>
      <c r="J619" t="s">
        <v>159</v>
      </c>
      <c r="K619">
        <v>4.6902299818691144E-2</v>
      </c>
      <c r="L619" t="s">
        <v>154</v>
      </c>
      <c r="N619" t="s">
        <v>214</v>
      </c>
      <c r="O619" t="s">
        <v>159</v>
      </c>
      <c r="P619">
        <v>1.2871199107924312E-2</v>
      </c>
      <c r="Q619" t="s">
        <v>154</v>
      </c>
      <c r="S619" t="s">
        <v>238</v>
      </c>
      <c r="T619" t="s">
        <v>159</v>
      </c>
      <c r="U619">
        <v>7.7058745105045038E-3</v>
      </c>
      <c r="V619" t="s">
        <v>154</v>
      </c>
    </row>
    <row r="620" spans="9:22" x14ac:dyDescent="0.45">
      <c r="I620" t="s">
        <v>185</v>
      </c>
      <c r="J620" t="s">
        <v>258</v>
      </c>
      <c r="K620">
        <v>2.5592300605680011E-3</v>
      </c>
      <c r="L620" t="s">
        <v>154</v>
      </c>
      <c r="N620" t="s">
        <v>214</v>
      </c>
      <c r="O620" t="s">
        <v>258</v>
      </c>
      <c r="P620">
        <v>1.2091775998369098E-3</v>
      </c>
      <c r="Q620" t="s">
        <v>154</v>
      </c>
      <c r="S620" t="s">
        <v>238</v>
      </c>
      <c r="T620" t="s">
        <v>258</v>
      </c>
      <c r="U620">
        <v>9.5104923710884312E-4</v>
      </c>
      <c r="V620" t="s">
        <v>154</v>
      </c>
    </row>
    <row r="621" spans="9:22" x14ac:dyDescent="0.45">
      <c r="I621" t="s">
        <v>185</v>
      </c>
      <c r="J621" t="s">
        <v>259</v>
      </c>
      <c r="K621">
        <v>1.2654835832068658E-3</v>
      </c>
      <c r="L621" t="s">
        <v>154</v>
      </c>
      <c r="N621" t="s">
        <v>214</v>
      </c>
      <c r="O621" t="s">
        <v>259</v>
      </c>
      <c r="P621">
        <v>1.0583232108171393E-3</v>
      </c>
      <c r="Q621" t="s">
        <v>154</v>
      </c>
      <c r="S621" t="s">
        <v>238</v>
      </c>
      <c r="T621" t="s">
        <v>259</v>
      </c>
      <c r="U621">
        <v>8.1139234614522856E-4</v>
      </c>
      <c r="V621" t="s">
        <v>154</v>
      </c>
    </row>
    <row r="622" spans="9:22" x14ac:dyDescent="0.45">
      <c r="I622" t="s">
        <v>185</v>
      </c>
      <c r="J622" t="s">
        <v>260</v>
      </c>
      <c r="K622">
        <v>0</v>
      </c>
      <c r="L622" t="s">
        <v>154</v>
      </c>
      <c r="N622" t="s">
        <v>214</v>
      </c>
      <c r="O622" t="s">
        <v>260</v>
      </c>
      <c r="P622">
        <v>3.8187892362737457E-3</v>
      </c>
      <c r="Q622" t="s">
        <v>154</v>
      </c>
      <c r="S622" t="s">
        <v>238</v>
      </c>
      <c r="T622" t="s">
        <v>260</v>
      </c>
      <c r="U622">
        <v>3.7148180253320112E-3</v>
      </c>
      <c r="V622" t="s">
        <v>154</v>
      </c>
    </row>
    <row r="623" spans="9:22" x14ac:dyDescent="0.45">
      <c r="I623" t="s">
        <v>185</v>
      </c>
      <c r="J623" t="s">
        <v>160</v>
      </c>
      <c r="K623">
        <v>0</v>
      </c>
      <c r="L623" t="s">
        <v>154</v>
      </c>
      <c r="N623" t="s">
        <v>214</v>
      </c>
      <c r="O623" t="s">
        <v>160</v>
      </c>
      <c r="P623">
        <v>3.3422492506208989E-2</v>
      </c>
      <c r="Q623" t="s">
        <v>154</v>
      </c>
      <c r="S623" t="s">
        <v>238</v>
      </c>
      <c r="T623" t="s">
        <v>160</v>
      </c>
      <c r="U623">
        <v>2.3619039875863536E-2</v>
      </c>
      <c r="V623" t="s">
        <v>154</v>
      </c>
    </row>
    <row r="624" spans="9:22" x14ac:dyDescent="0.45">
      <c r="I624" t="s">
        <v>185</v>
      </c>
      <c r="J624" t="s">
        <v>161</v>
      </c>
      <c r="K624">
        <v>5.8691083538594327E-3</v>
      </c>
      <c r="L624" t="s">
        <v>154</v>
      </c>
      <c r="N624" t="s">
        <v>214</v>
      </c>
      <c r="O624" t="s">
        <v>161</v>
      </c>
      <c r="P624">
        <v>9.4656352233849859E-3</v>
      </c>
      <c r="Q624" t="s">
        <v>154</v>
      </c>
      <c r="S624" t="s">
        <v>238</v>
      </c>
      <c r="T624" t="s">
        <v>161</v>
      </c>
      <c r="U624">
        <v>6.3817987098753921E-3</v>
      </c>
      <c r="V624" t="s">
        <v>154</v>
      </c>
    </row>
    <row r="625" spans="9:22" x14ac:dyDescent="0.45">
      <c r="I625" t="s">
        <v>185</v>
      </c>
      <c r="J625" t="s">
        <v>162</v>
      </c>
      <c r="K625">
        <v>5.3244199012328172E-2</v>
      </c>
      <c r="L625" t="s">
        <v>154</v>
      </c>
      <c r="N625" t="s">
        <v>214</v>
      </c>
      <c r="O625" t="s">
        <v>162</v>
      </c>
      <c r="P625">
        <v>6.2249400629818465E-2</v>
      </c>
      <c r="Q625" t="s">
        <v>154</v>
      </c>
      <c r="S625" t="s">
        <v>238</v>
      </c>
      <c r="T625" t="s">
        <v>162</v>
      </c>
      <c r="U625">
        <v>2.9408563134072987E-2</v>
      </c>
      <c r="V625" t="s">
        <v>154</v>
      </c>
    </row>
    <row r="626" spans="9:22" x14ac:dyDescent="0.45">
      <c r="I626" t="s">
        <v>185</v>
      </c>
      <c r="J626" t="s">
        <v>261</v>
      </c>
      <c r="K626">
        <v>2.6350551158544015E-3</v>
      </c>
      <c r="L626" t="s">
        <v>154</v>
      </c>
      <c r="N626" t="s">
        <v>214</v>
      </c>
      <c r="O626" t="s">
        <v>261</v>
      </c>
      <c r="P626">
        <v>6.6979077326546508E-3</v>
      </c>
      <c r="Q626" t="s">
        <v>154</v>
      </c>
      <c r="S626" t="s">
        <v>238</v>
      </c>
      <c r="T626" t="s">
        <v>261</v>
      </c>
      <c r="U626">
        <v>3.7257672332107793E-3</v>
      </c>
      <c r="V626" t="s">
        <v>154</v>
      </c>
    </row>
    <row r="627" spans="9:22" x14ac:dyDescent="0.45">
      <c r="I627" t="s">
        <v>185</v>
      </c>
      <c r="J627" t="s">
        <v>262</v>
      </c>
      <c r="K627">
        <v>1.2639597435274523E-3</v>
      </c>
      <c r="L627" t="s">
        <v>154</v>
      </c>
      <c r="N627" t="s">
        <v>214</v>
      </c>
      <c r="O627" t="s">
        <v>262</v>
      </c>
      <c r="P627">
        <v>5.1287864565093214E-3</v>
      </c>
      <c r="Q627" t="s">
        <v>154</v>
      </c>
      <c r="S627" t="s">
        <v>238</v>
      </c>
      <c r="T627" t="s">
        <v>262</v>
      </c>
      <c r="U627">
        <v>3.0862488462065716E-3</v>
      </c>
      <c r="V627" t="s">
        <v>154</v>
      </c>
    </row>
    <row r="628" spans="9:22" x14ac:dyDescent="0.45">
      <c r="I628" t="s">
        <v>185</v>
      </c>
      <c r="J628" t="s">
        <v>263</v>
      </c>
      <c r="K628">
        <v>0</v>
      </c>
      <c r="L628" t="s">
        <v>154</v>
      </c>
      <c r="N628" t="s">
        <v>214</v>
      </c>
      <c r="O628" t="s">
        <v>263</v>
      </c>
      <c r="P628">
        <v>2.0217005591140886E-2</v>
      </c>
      <c r="Q628" t="s">
        <v>154</v>
      </c>
      <c r="S628" t="s">
        <v>238</v>
      </c>
      <c r="T628" t="s">
        <v>263</v>
      </c>
      <c r="U628">
        <v>1.6621877432173689E-2</v>
      </c>
      <c r="V628" t="s">
        <v>154</v>
      </c>
    </row>
    <row r="629" spans="9:22" x14ac:dyDescent="0.45">
      <c r="I629" t="s">
        <v>185</v>
      </c>
      <c r="J629" t="s">
        <v>163</v>
      </c>
      <c r="K629">
        <v>0</v>
      </c>
      <c r="L629" t="s">
        <v>154</v>
      </c>
      <c r="N629" t="s">
        <v>214</v>
      </c>
      <c r="O629" t="s">
        <v>163</v>
      </c>
      <c r="P629">
        <v>6.9515732041735001E-3</v>
      </c>
      <c r="Q629" t="s">
        <v>154</v>
      </c>
      <c r="S629" t="s">
        <v>238</v>
      </c>
      <c r="T629" t="s">
        <v>163</v>
      </c>
      <c r="U629">
        <v>1.7377377577921835E-2</v>
      </c>
      <c r="V629" t="s">
        <v>154</v>
      </c>
    </row>
    <row r="630" spans="9:22" x14ac:dyDescent="0.45">
      <c r="I630" t="s">
        <v>185</v>
      </c>
      <c r="J630" t="s">
        <v>164</v>
      </c>
      <c r="K630">
        <v>8.3244984505306818E-3</v>
      </c>
      <c r="L630" t="s">
        <v>154</v>
      </c>
      <c r="N630" t="s">
        <v>214</v>
      </c>
      <c r="O630" t="s">
        <v>164</v>
      </c>
      <c r="P630">
        <v>1.7580516064603414E-3</v>
      </c>
      <c r="Q630" t="s">
        <v>154</v>
      </c>
      <c r="S630" t="s">
        <v>238</v>
      </c>
      <c r="T630" t="s">
        <v>164</v>
      </c>
      <c r="U630">
        <v>5.3505638782084019E-3</v>
      </c>
      <c r="V630" t="s">
        <v>154</v>
      </c>
    </row>
    <row r="631" spans="9:22" x14ac:dyDescent="0.45">
      <c r="I631" t="s">
        <v>185</v>
      </c>
      <c r="J631" t="s">
        <v>165</v>
      </c>
      <c r="K631">
        <v>5.5294724058234393E-2</v>
      </c>
      <c r="L631" t="s">
        <v>154</v>
      </c>
      <c r="N631" t="s">
        <v>214</v>
      </c>
      <c r="O631" t="s">
        <v>165</v>
      </c>
      <c r="P631">
        <v>1.2637420907608226E-2</v>
      </c>
      <c r="Q631" t="s">
        <v>154</v>
      </c>
      <c r="S631" t="s">
        <v>238</v>
      </c>
      <c r="T631" t="s">
        <v>165</v>
      </c>
      <c r="U631">
        <v>1.9232245544301585E-2</v>
      </c>
      <c r="V631" t="s">
        <v>154</v>
      </c>
    </row>
    <row r="632" spans="9:22" x14ac:dyDescent="0.45">
      <c r="I632" t="s">
        <v>185</v>
      </c>
      <c r="J632" t="s">
        <v>264</v>
      </c>
      <c r="K632">
        <v>3.3364484029873073E-3</v>
      </c>
      <c r="L632" t="s">
        <v>154</v>
      </c>
      <c r="N632" t="s">
        <v>214</v>
      </c>
      <c r="O632" t="s">
        <v>264</v>
      </c>
      <c r="P632">
        <v>1.6463829169268886E-3</v>
      </c>
      <c r="Q632" t="s">
        <v>154</v>
      </c>
      <c r="S632" t="s">
        <v>238</v>
      </c>
      <c r="T632" t="s">
        <v>264</v>
      </c>
      <c r="U632">
        <v>2.1231078856856355E-3</v>
      </c>
      <c r="V632" t="s">
        <v>154</v>
      </c>
    </row>
    <row r="633" spans="9:22" x14ac:dyDescent="0.45">
      <c r="I633" t="s">
        <v>185</v>
      </c>
      <c r="J633" t="s">
        <v>265</v>
      </c>
      <c r="K633">
        <v>4.3043401056535476E-5</v>
      </c>
      <c r="L633" t="s">
        <v>154</v>
      </c>
      <c r="N633" t="s">
        <v>214</v>
      </c>
      <c r="O633" t="s">
        <v>265</v>
      </c>
      <c r="P633">
        <v>1.4252286857768864E-3</v>
      </c>
      <c r="Q633" t="s">
        <v>154</v>
      </c>
      <c r="S633" t="s">
        <v>238</v>
      </c>
      <c r="T633" t="s">
        <v>265</v>
      </c>
      <c r="U633">
        <v>1.8993770343571669E-3</v>
      </c>
      <c r="V633" t="s">
        <v>154</v>
      </c>
    </row>
    <row r="634" spans="9:22" x14ac:dyDescent="0.45">
      <c r="I634" t="s">
        <v>185</v>
      </c>
      <c r="J634" t="s">
        <v>266</v>
      </c>
      <c r="K634">
        <v>0</v>
      </c>
      <c r="L634" t="s">
        <v>154</v>
      </c>
      <c r="N634" t="s">
        <v>214</v>
      </c>
      <c r="O634" t="s">
        <v>266</v>
      </c>
      <c r="P634">
        <v>6.8557893290157566E-3</v>
      </c>
      <c r="Q634" t="s">
        <v>154</v>
      </c>
      <c r="S634" t="s">
        <v>238</v>
      </c>
      <c r="T634" t="s">
        <v>266</v>
      </c>
      <c r="U634">
        <v>1.0613756941578897E-2</v>
      </c>
      <c r="V634" t="s">
        <v>154</v>
      </c>
    </row>
    <row r="635" spans="9:22" x14ac:dyDescent="0.45">
      <c r="I635" t="s">
        <v>185</v>
      </c>
      <c r="J635" t="s">
        <v>272</v>
      </c>
      <c r="K635">
        <v>0</v>
      </c>
      <c r="L635" t="s">
        <v>154</v>
      </c>
      <c r="N635" t="s">
        <v>214</v>
      </c>
      <c r="O635" t="s">
        <v>272</v>
      </c>
      <c r="P635">
        <v>4.3362583690061518E-2</v>
      </c>
      <c r="Q635" t="s">
        <v>154</v>
      </c>
      <c r="S635" t="s">
        <v>238</v>
      </c>
      <c r="T635" t="s">
        <v>272</v>
      </c>
      <c r="U635">
        <v>6.7481609964487932E-2</v>
      </c>
      <c r="V635" t="s">
        <v>154</v>
      </c>
    </row>
    <row r="636" spans="9:22" x14ac:dyDescent="0.45">
      <c r="I636" t="s">
        <v>185</v>
      </c>
      <c r="J636" t="s">
        <v>273</v>
      </c>
      <c r="K636">
        <v>1.5629666948408585E-2</v>
      </c>
      <c r="L636" t="s">
        <v>154</v>
      </c>
      <c r="N636" t="s">
        <v>214</v>
      </c>
      <c r="O636" t="s">
        <v>273</v>
      </c>
      <c r="P636">
        <v>1.1967890340829235E-2</v>
      </c>
      <c r="Q636" t="s">
        <v>154</v>
      </c>
      <c r="S636" t="s">
        <v>238</v>
      </c>
      <c r="T636" t="s">
        <v>273</v>
      </c>
      <c r="U636">
        <v>1.839676112008256E-2</v>
      </c>
      <c r="V636" t="s">
        <v>154</v>
      </c>
    </row>
    <row r="637" spans="9:22" x14ac:dyDescent="0.45">
      <c r="I637" t="s">
        <v>185</v>
      </c>
      <c r="J637" t="s">
        <v>274</v>
      </c>
      <c r="K637">
        <v>0.12273909501670419</v>
      </c>
      <c r="L637" t="s">
        <v>154</v>
      </c>
      <c r="N637" t="s">
        <v>214</v>
      </c>
      <c r="O637" t="s">
        <v>274</v>
      </c>
      <c r="P637">
        <v>4.4351600097873839E-2</v>
      </c>
      <c r="Q637" t="s">
        <v>154</v>
      </c>
      <c r="S637" t="s">
        <v>238</v>
      </c>
      <c r="T637" t="s">
        <v>274</v>
      </c>
      <c r="U637">
        <v>7.4588382151400401E-2</v>
      </c>
      <c r="V637" t="s">
        <v>154</v>
      </c>
    </row>
    <row r="638" spans="9:22" x14ac:dyDescent="0.45">
      <c r="I638" t="s">
        <v>185</v>
      </c>
      <c r="J638" t="s">
        <v>275</v>
      </c>
      <c r="K638">
        <v>8.5195637153690548E-3</v>
      </c>
      <c r="L638" t="s">
        <v>154</v>
      </c>
      <c r="N638" t="s">
        <v>214</v>
      </c>
      <c r="O638" t="s">
        <v>275</v>
      </c>
      <c r="P638">
        <v>4.7814844173939735E-3</v>
      </c>
      <c r="Q638" t="s">
        <v>154</v>
      </c>
      <c r="S638" t="s">
        <v>238</v>
      </c>
      <c r="T638" t="s">
        <v>275</v>
      </c>
      <c r="U638">
        <v>9.5176522788262066E-3</v>
      </c>
      <c r="V638" t="s">
        <v>154</v>
      </c>
    </row>
    <row r="639" spans="9:22" x14ac:dyDescent="0.45">
      <c r="I639" t="s">
        <v>185</v>
      </c>
      <c r="J639" t="s">
        <v>276</v>
      </c>
      <c r="K639">
        <v>6.1578539011110129E-4</v>
      </c>
      <c r="L639" t="s">
        <v>154</v>
      </c>
      <c r="N639" t="s">
        <v>214</v>
      </c>
      <c r="O639" t="s">
        <v>276</v>
      </c>
      <c r="P639">
        <v>4.4031473105407282E-3</v>
      </c>
      <c r="Q639" t="s">
        <v>154</v>
      </c>
      <c r="S639" t="s">
        <v>238</v>
      </c>
      <c r="T639" t="s">
        <v>276</v>
      </c>
      <c r="U639">
        <v>8.4887785153403648E-3</v>
      </c>
      <c r="V639" t="s">
        <v>154</v>
      </c>
    </row>
    <row r="640" spans="9:22" x14ac:dyDescent="0.45">
      <c r="I640" t="s">
        <v>185</v>
      </c>
      <c r="J640" t="s">
        <v>277</v>
      </c>
      <c r="K640">
        <v>0</v>
      </c>
      <c r="L640" t="s">
        <v>154</v>
      </c>
      <c r="N640" t="s">
        <v>214</v>
      </c>
      <c r="O640" t="s">
        <v>277</v>
      </c>
      <c r="P640">
        <v>2.3947590693653004E-2</v>
      </c>
      <c r="Q640" t="s">
        <v>154</v>
      </c>
      <c r="S640" t="s">
        <v>238</v>
      </c>
      <c r="T640" t="s">
        <v>277</v>
      </c>
      <c r="U640">
        <v>4.5258890254618718E-2</v>
      </c>
      <c r="V640" t="s">
        <v>154</v>
      </c>
    </row>
    <row r="641" spans="9:22" x14ac:dyDescent="0.45">
      <c r="I641" t="s">
        <v>186</v>
      </c>
      <c r="J641" t="s">
        <v>153</v>
      </c>
      <c r="K641">
        <v>0</v>
      </c>
      <c r="L641" t="s">
        <v>154</v>
      </c>
      <c r="N641" t="s">
        <v>215</v>
      </c>
      <c r="O641" t="s">
        <v>153</v>
      </c>
      <c r="P641">
        <v>0.19380372169806839</v>
      </c>
      <c r="Q641" t="s">
        <v>154</v>
      </c>
      <c r="S641" t="s">
        <v>239</v>
      </c>
      <c r="T641" t="s">
        <v>153</v>
      </c>
      <c r="U641">
        <v>0.18830599492075867</v>
      </c>
      <c r="V641" t="s">
        <v>154</v>
      </c>
    </row>
    <row r="642" spans="9:22" x14ac:dyDescent="0.45">
      <c r="I642" t="s">
        <v>186</v>
      </c>
      <c r="J642" t="s">
        <v>155</v>
      </c>
      <c r="K642">
        <v>6.0146640580898261E-2</v>
      </c>
      <c r="L642" t="s">
        <v>154</v>
      </c>
      <c r="N642" t="s">
        <v>215</v>
      </c>
      <c r="O642" t="s">
        <v>155</v>
      </c>
      <c r="P642">
        <v>4.9472365136931068E-2</v>
      </c>
      <c r="Q642" t="s">
        <v>154</v>
      </c>
      <c r="S642" t="s">
        <v>239</v>
      </c>
      <c r="T642" t="s">
        <v>155</v>
      </c>
      <c r="U642">
        <v>5.1671789293075227E-2</v>
      </c>
      <c r="V642" t="s">
        <v>154</v>
      </c>
    </row>
    <row r="643" spans="9:22" x14ac:dyDescent="0.45">
      <c r="I643" t="s">
        <v>186</v>
      </c>
      <c r="J643" t="s">
        <v>156</v>
      </c>
      <c r="K643">
        <v>0.53192806840220574</v>
      </c>
      <c r="L643" t="s">
        <v>154</v>
      </c>
      <c r="N643" t="s">
        <v>215</v>
      </c>
      <c r="O643" t="s">
        <v>156</v>
      </c>
      <c r="P643">
        <v>0.21288559179707245</v>
      </c>
      <c r="Q643" t="s">
        <v>154</v>
      </c>
      <c r="S643" t="s">
        <v>239</v>
      </c>
      <c r="T643" t="s">
        <v>156</v>
      </c>
      <c r="U643">
        <v>0.20971492575168191</v>
      </c>
      <c r="V643" t="s">
        <v>154</v>
      </c>
    </row>
    <row r="644" spans="9:22" x14ac:dyDescent="0.45">
      <c r="I644" t="s">
        <v>186</v>
      </c>
      <c r="J644" t="s">
        <v>255</v>
      </c>
      <c r="K644">
        <v>4.2910835378324984E-2</v>
      </c>
      <c r="L644" t="s">
        <v>154</v>
      </c>
      <c r="N644" t="s">
        <v>215</v>
      </c>
      <c r="O644" t="s">
        <v>255</v>
      </c>
      <c r="P644">
        <v>2.9217317892479222E-2</v>
      </c>
      <c r="Q644" t="s">
        <v>154</v>
      </c>
      <c r="S644" t="s">
        <v>239</v>
      </c>
      <c r="T644" t="s">
        <v>255</v>
      </c>
      <c r="U644">
        <v>2.6701845885881963E-2</v>
      </c>
      <c r="V644" t="s">
        <v>154</v>
      </c>
    </row>
    <row r="645" spans="9:22" x14ac:dyDescent="0.45">
      <c r="I645" t="s">
        <v>186</v>
      </c>
      <c r="J645" t="s">
        <v>256</v>
      </c>
      <c r="K645">
        <v>2.6081256009667507E-2</v>
      </c>
      <c r="L645" t="s">
        <v>154</v>
      </c>
      <c r="N645" t="s">
        <v>215</v>
      </c>
      <c r="O645" t="s">
        <v>256</v>
      </c>
      <c r="P645">
        <v>2.611136633513899E-2</v>
      </c>
      <c r="Q645" t="s">
        <v>154</v>
      </c>
      <c r="S645" t="s">
        <v>239</v>
      </c>
      <c r="T645" t="s">
        <v>256</v>
      </c>
      <c r="U645">
        <v>2.3192663203342803E-2</v>
      </c>
      <c r="V645" t="s">
        <v>154</v>
      </c>
    </row>
    <row r="646" spans="9:22" x14ac:dyDescent="0.45">
      <c r="I646" t="s">
        <v>186</v>
      </c>
      <c r="J646" t="s">
        <v>257</v>
      </c>
      <c r="K646">
        <v>0</v>
      </c>
      <c r="L646" t="s">
        <v>154</v>
      </c>
      <c r="N646" t="s">
        <v>215</v>
      </c>
      <c r="O646" t="s">
        <v>257</v>
      </c>
      <c r="P646">
        <v>0.13592225623985568</v>
      </c>
      <c r="Q646" t="s">
        <v>154</v>
      </c>
      <c r="S646" t="s">
        <v>239</v>
      </c>
      <c r="T646" t="s">
        <v>257</v>
      </c>
      <c r="U646">
        <v>0.12007333505708435</v>
      </c>
      <c r="V646" t="s">
        <v>154</v>
      </c>
    </row>
    <row r="647" spans="9:22" x14ac:dyDescent="0.45">
      <c r="I647" t="s">
        <v>186</v>
      </c>
      <c r="J647" t="s">
        <v>157</v>
      </c>
      <c r="K647">
        <v>0</v>
      </c>
      <c r="L647" t="s">
        <v>154</v>
      </c>
      <c r="N647" t="s">
        <v>215</v>
      </c>
      <c r="O647" t="s">
        <v>157</v>
      </c>
      <c r="P647">
        <v>1.3963792228228947E-2</v>
      </c>
      <c r="Q647" t="s">
        <v>154</v>
      </c>
      <c r="S647" t="s">
        <v>239</v>
      </c>
      <c r="T647" t="s">
        <v>157</v>
      </c>
      <c r="U647">
        <v>9.8275407058144373E-3</v>
      </c>
      <c r="V647" t="s">
        <v>154</v>
      </c>
    </row>
    <row r="648" spans="9:22" x14ac:dyDescent="0.45">
      <c r="I648" t="s">
        <v>186</v>
      </c>
      <c r="J648" t="s">
        <v>158</v>
      </c>
      <c r="K648">
        <v>5.267565061507138E-3</v>
      </c>
      <c r="L648" t="s">
        <v>154</v>
      </c>
      <c r="N648" t="s">
        <v>215</v>
      </c>
      <c r="O648" t="s">
        <v>158</v>
      </c>
      <c r="P648">
        <v>4.1340541640964446E-3</v>
      </c>
      <c r="Q648" t="s">
        <v>154</v>
      </c>
      <c r="S648" t="s">
        <v>239</v>
      </c>
      <c r="T648" t="s">
        <v>158</v>
      </c>
      <c r="U648">
        <v>2.7111608140829207E-3</v>
      </c>
      <c r="V648" t="s">
        <v>154</v>
      </c>
    </row>
    <row r="649" spans="9:22" x14ac:dyDescent="0.45">
      <c r="I649" t="s">
        <v>186</v>
      </c>
      <c r="J649" t="s">
        <v>159</v>
      </c>
      <c r="K649">
        <v>4.9458738394790765E-2</v>
      </c>
      <c r="L649" t="s">
        <v>154</v>
      </c>
      <c r="N649" t="s">
        <v>215</v>
      </c>
      <c r="O649" t="s">
        <v>159</v>
      </c>
      <c r="P649">
        <v>2.5552798119088217E-2</v>
      </c>
      <c r="Q649" t="s">
        <v>154</v>
      </c>
      <c r="S649" t="s">
        <v>239</v>
      </c>
      <c r="T649" t="s">
        <v>159</v>
      </c>
      <c r="U649">
        <v>1.3726509367354478E-2</v>
      </c>
      <c r="V649" t="s">
        <v>154</v>
      </c>
    </row>
    <row r="650" spans="9:22" x14ac:dyDescent="0.45">
      <c r="I650" t="s">
        <v>186</v>
      </c>
      <c r="J650" t="s">
        <v>258</v>
      </c>
      <c r="K650">
        <v>3.0966295622890964E-3</v>
      </c>
      <c r="L650" t="s">
        <v>154</v>
      </c>
      <c r="N650" t="s">
        <v>215</v>
      </c>
      <c r="O650" t="s">
        <v>258</v>
      </c>
      <c r="P650">
        <v>3.0251343507978509E-3</v>
      </c>
      <c r="Q650" t="s">
        <v>154</v>
      </c>
      <c r="S650" t="s">
        <v>239</v>
      </c>
      <c r="T650" t="s">
        <v>258</v>
      </c>
      <c r="U650">
        <v>1.8510539652868726E-3</v>
      </c>
      <c r="V650" t="s">
        <v>154</v>
      </c>
    </row>
    <row r="651" spans="9:22" x14ac:dyDescent="0.45">
      <c r="I651" t="s">
        <v>186</v>
      </c>
      <c r="J651" t="s">
        <v>259</v>
      </c>
      <c r="K651">
        <v>1.6639203160095147E-3</v>
      </c>
      <c r="L651" t="s">
        <v>154</v>
      </c>
      <c r="N651" t="s">
        <v>215</v>
      </c>
      <c r="O651" t="s">
        <v>259</v>
      </c>
      <c r="P651">
        <v>2.4404416001561767E-3</v>
      </c>
      <c r="Q651" t="s">
        <v>154</v>
      </c>
      <c r="S651" t="s">
        <v>239</v>
      </c>
      <c r="T651" t="s">
        <v>259</v>
      </c>
      <c r="U651">
        <v>1.2449791470863648E-3</v>
      </c>
      <c r="V651" t="s">
        <v>154</v>
      </c>
    </row>
    <row r="652" spans="9:22" x14ac:dyDescent="0.45">
      <c r="I652" t="s">
        <v>186</v>
      </c>
      <c r="J652" t="s">
        <v>260</v>
      </c>
      <c r="K652">
        <v>0</v>
      </c>
      <c r="L652" t="s">
        <v>154</v>
      </c>
      <c r="N652" t="s">
        <v>215</v>
      </c>
      <c r="O652" t="s">
        <v>260</v>
      </c>
      <c r="P652">
        <v>9.8805988666147999E-3</v>
      </c>
      <c r="Q652" t="s">
        <v>154</v>
      </c>
      <c r="S652" t="s">
        <v>239</v>
      </c>
      <c r="T652" t="s">
        <v>260</v>
      </c>
      <c r="U652">
        <v>6.1009841415116542E-3</v>
      </c>
      <c r="V652" t="s">
        <v>154</v>
      </c>
    </row>
    <row r="653" spans="9:22" x14ac:dyDescent="0.45">
      <c r="I653" t="s">
        <v>186</v>
      </c>
      <c r="J653" t="s">
        <v>160</v>
      </c>
      <c r="K653">
        <v>0</v>
      </c>
      <c r="L653" t="s">
        <v>154</v>
      </c>
      <c r="N653" t="s">
        <v>215</v>
      </c>
      <c r="O653" t="s">
        <v>160</v>
      </c>
      <c r="P653">
        <v>4.9259495003342181E-2</v>
      </c>
      <c r="Q653" t="s">
        <v>154</v>
      </c>
      <c r="S653" t="s">
        <v>239</v>
      </c>
      <c r="T653" t="s">
        <v>160</v>
      </c>
      <c r="U653">
        <v>2.6083060188053033E-2</v>
      </c>
      <c r="V653" t="s">
        <v>154</v>
      </c>
    </row>
    <row r="654" spans="9:22" x14ac:dyDescent="0.45">
      <c r="I654" t="s">
        <v>186</v>
      </c>
      <c r="J654" t="s">
        <v>161</v>
      </c>
      <c r="K654">
        <v>6.3949145270720776E-3</v>
      </c>
      <c r="L654" t="s">
        <v>154</v>
      </c>
      <c r="N654" t="s">
        <v>215</v>
      </c>
      <c r="O654" t="s">
        <v>161</v>
      </c>
      <c r="P654">
        <v>1.5438643288286933E-2</v>
      </c>
      <c r="Q654" t="s">
        <v>154</v>
      </c>
      <c r="S654" t="s">
        <v>239</v>
      </c>
      <c r="T654" t="s">
        <v>161</v>
      </c>
      <c r="U654">
        <v>7.1350159161738917E-3</v>
      </c>
      <c r="V654" t="s">
        <v>154</v>
      </c>
    </row>
    <row r="655" spans="9:22" x14ac:dyDescent="0.45">
      <c r="I655" t="s">
        <v>186</v>
      </c>
      <c r="J655" t="s">
        <v>162</v>
      </c>
      <c r="K655">
        <v>5.7227149581705203E-2</v>
      </c>
      <c r="L655" t="s">
        <v>154</v>
      </c>
      <c r="N655" t="s">
        <v>215</v>
      </c>
      <c r="O655" t="s">
        <v>162</v>
      </c>
      <c r="P655">
        <v>7.1798597306254236E-2</v>
      </c>
      <c r="Q655" t="s">
        <v>154</v>
      </c>
      <c r="S655" t="s">
        <v>239</v>
      </c>
      <c r="T655" t="s">
        <v>162</v>
      </c>
      <c r="U655">
        <v>3.5020784385673305E-2</v>
      </c>
      <c r="V655" t="s">
        <v>154</v>
      </c>
    </row>
    <row r="656" spans="9:22" x14ac:dyDescent="0.45">
      <c r="I656" t="s">
        <v>186</v>
      </c>
      <c r="J656" t="s">
        <v>261</v>
      </c>
      <c r="K656">
        <v>2.8816321666538763E-3</v>
      </c>
      <c r="L656" t="s">
        <v>154</v>
      </c>
      <c r="N656" t="s">
        <v>215</v>
      </c>
      <c r="O656" t="s">
        <v>261</v>
      </c>
      <c r="P656">
        <v>7.1549122429125974E-3</v>
      </c>
      <c r="Q656" t="s">
        <v>154</v>
      </c>
      <c r="S656" t="s">
        <v>239</v>
      </c>
      <c r="T656" t="s">
        <v>261</v>
      </c>
      <c r="U656">
        <v>4.6703679280116813E-3</v>
      </c>
      <c r="V656" t="s">
        <v>154</v>
      </c>
    </row>
    <row r="657" spans="9:22" x14ac:dyDescent="0.45">
      <c r="I657" t="s">
        <v>186</v>
      </c>
      <c r="J657" t="s">
        <v>262</v>
      </c>
      <c r="K657">
        <v>1.5102154528074628E-3</v>
      </c>
      <c r="L657" t="s">
        <v>154</v>
      </c>
      <c r="N657" t="s">
        <v>215</v>
      </c>
      <c r="O657" t="s">
        <v>262</v>
      </c>
      <c r="P657">
        <v>6.1827733679617755E-3</v>
      </c>
      <c r="Q657" t="s">
        <v>154</v>
      </c>
      <c r="S657" t="s">
        <v>239</v>
      </c>
      <c r="T657" t="s">
        <v>262</v>
      </c>
      <c r="U657">
        <v>3.6014568630113918E-3</v>
      </c>
      <c r="V657" t="s">
        <v>154</v>
      </c>
    </row>
    <row r="658" spans="9:22" x14ac:dyDescent="0.45">
      <c r="I658" t="s">
        <v>186</v>
      </c>
      <c r="J658" t="s">
        <v>263</v>
      </c>
      <c r="K658">
        <v>0</v>
      </c>
      <c r="L658" t="s">
        <v>154</v>
      </c>
      <c r="N658" t="s">
        <v>215</v>
      </c>
      <c r="O658" t="s">
        <v>263</v>
      </c>
      <c r="P658">
        <v>2.4334994671862006E-2</v>
      </c>
      <c r="Q658" t="s">
        <v>154</v>
      </c>
      <c r="S658" t="s">
        <v>239</v>
      </c>
      <c r="T658" t="s">
        <v>263</v>
      </c>
      <c r="U658">
        <v>1.9304530450337504E-2</v>
      </c>
      <c r="V658" t="s">
        <v>154</v>
      </c>
    </row>
    <row r="659" spans="9:22" x14ac:dyDescent="0.45">
      <c r="I659" t="s">
        <v>186</v>
      </c>
      <c r="J659" t="s">
        <v>163</v>
      </c>
      <c r="K659">
        <v>0</v>
      </c>
      <c r="L659" t="s">
        <v>154</v>
      </c>
      <c r="N659" t="s">
        <v>215</v>
      </c>
      <c r="O659" t="s">
        <v>163</v>
      </c>
      <c r="P659">
        <v>1.9990678160302259E-2</v>
      </c>
      <c r="Q659" t="s">
        <v>154</v>
      </c>
      <c r="S659" t="s">
        <v>239</v>
      </c>
      <c r="T659" t="s">
        <v>163</v>
      </c>
      <c r="U659">
        <v>1.712438455418817E-2</v>
      </c>
      <c r="V659" t="s">
        <v>154</v>
      </c>
    </row>
    <row r="660" spans="9:22" x14ac:dyDescent="0.45">
      <c r="I660" t="s">
        <v>186</v>
      </c>
      <c r="J660" t="s">
        <v>164</v>
      </c>
      <c r="K660">
        <v>8.021599358539501E-3</v>
      </c>
      <c r="L660" t="s">
        <v>154</v>
      </c>
      <c r="N660" t="s">
        <v>215</v>
      </c>
      <c r="O660" t="s">
        <v>164</v>
      </c>
      <c r="P660">
        <v>5.0814349022187998E-3</v>
      </c>
      <c r="Q660" t="s">
        <v>154</v>
      </c>
      <c r="S660" t="s">
        <v>239</v>
      </c>
      <c r="T660" t="s">
        <v>164</v>
      </c>
      <c r="U660">
        <v>4.2306733079305395E-3</v>
      </c>
      <c r="V660" t="s">
        <v>154</v>
      </c>
    </row>
    <row r="661" spans="9:22" x14ac:dyDescent="0.45">
      <c r="I661" t="s">
        <v>186</v>
      </c>
      <c r="J661" t="s">
        <v>165</v>
      </c>
      <c r="K661">
        <v>5.3631730502462595E-2</v>
      </c>
      <c r="L661" t="s">
        <v>154</v>
      </c>
      <c r="N661" t="s">
        <v>215</v>
      </c>
      <c r="O661" t="s">
        <v>165</v>
      </c>
      <c r="P661">
        <v>2.5133589624846516E-2</v>
      </c>
      <c r="Q661" t="s">
        <v>154</v>
      </c>
      <c r="S661" t="s">
        <v>239</v>
      </c>
      <c r="T661" t="s">
        <v>165</v>
      </c>
      <c r="U661">
        <v>1.9383650613826901E-2</v>
      </c>
      <c r="V661" t="s">
        <v>154</v>
      </c>
    </row>
    <row r="662" spans="9:22" x14ac:dyDescent="0.45">
      <c r="I662" t="s">
        <v>186</v>
      </c>
      <c r="J662" t="s">
        <v>264</v>
      </c>
      <c r="K662">
        <v>3.6301420977003468E-3</v>
      </c>
      <c r="L662" t="s">
        <v>154</v>
      </c>
      <c r="N662" t="s">
        <v>215</v>
      </c>
      <c r="O662" t="s">
        <v>264</v>
      </c>
      <c r="P662">
        <v>4.1146047144325218E-3</v>
      </c>
      <c r="Q662" t="s">
        <v>154</v>
      </c>
      <c r="S662" t="s">
        <v>239</v>
      </c>
      <c r="T662" t="s">
        <v>264</v>
      </c>
      <c r="U662">
        <v>2.7514293559518076E-3</v>
      </c>
      <c r="V662" t="s">
        <v>154</v>
      </c>
    </row>
    <row r="663" spans="9:22" x14ac:dyDescent="0.45">
      <c r="I663" t="s">
        <v>186</v>
      </c>
      <c r="J663" t="s">
        <v>265</v>
      </c>
      <c r="K663">
        <v>1.9620512211988494E-3</v>
      </c>
      <c r="L663" t="s">
        <v>154</v>
      </c>
      <c r="N663" t="s">
        <v>215</v>
      </c>
      <c r="O663" t="s">
        <v>265</v>
      </c>
      <c r="P663">
        <v>4.0122972099958243E-3</v>
      </c>
      <c r="Q663" t="s">
        <v>154</v>
      </c>
      <c r="S663" t="s">
        <v>239</v>
      </c>
      <c r="T663" t="s">
        <v>265</v>
      </c>
      <c r="U663">
        <v>2.1833708904602221E-3</v>
      </c>
      <c r="V663" t="s">
        <v>154</v>
      </c>
    </row>
    <row r="664" spans="9:22" x14ac:dyDescent="0.45">
      <c r="I664" t="s">
        <v>186</v>
      </c>
      <c r="J664" t="s">
        <v>266</v>
      </c>
      <c r="K664">
        <v>0</v>
      </c>
      <c r="L664" t="s">
        <v>154</v>
      </c>
      <c r="N664" t="s">
        <v>215</v>
      </c>
      <c r="O664" t="s">
        <v>266</v>
      </c>
      <c r="P664">
        <v>1.4825092877130155E-2</v>
      </c>
      <c r="Q664" t="s">
        <v>154</v>
      </c>
      <c r="S664" t="s">
        <v>239</v>
      </c>
      <c r="T664" t="s">
        <v>266</v>
      </c>
      <c r="U664">
        <v>1.1160116261134041E-2</v>
      </c>
      <c r="V664" t="s">
        <v>154</v>
      </c>
    </row>
    <row r="665" spans="9:22" x14ac:dyDescent="0.45">
      <c r="I665" t="s">
        <v>186</v>
      </c>
      <c r="J665" t="s">
        <v>272</v>
      </c>
      <c r="K665">
        <v>0</v>
      </c>
      <c r="L665" t="s">
        <v>154</v>
      </c>
      <c r="N665" t="s">
        <v>215</v>
      </c>
      <c r="O665" t="s">
        <v>272</v>
      </c>
      <c r="P665">
        <v>1.6452117752708918E-2</v>
      </c>
      <c r="Q665" t="s">
        <v>154</v>
      </c>
      <c r="S665" t="s">
        <v>239</v>
      </c>
      <c r="T665" t="s">
        <v>272</v>
      </c>
      <c r="U665">
        <v>6.1411860733622467E-2</v>
      </c>
      <c r="V665" t="s">
        <v>154</v>
      </c>
    </row>
    <row r="666" spans="9:22" x14ac:dyDescent="0.45">
      <c r="I666" t="s">
        <v>186</v>
      </c>
      <c r="J666" t="s">
        <v>273</v>
      </c>
      <c r="K666">
        <v>1.4481953334397901E-2</v>
      </c>
      <c r="L666" t="s">
        <v>154</v>
      </c>
      <c r="N666" t="s">
        <v>215</v>
      </c>
      <c r="O666" t="s">
        <v>273</v>
      </c>
      <c r="P666">
        <v>3.5674754064395687E-3</v>
      </c>
      <c r="Q666" t="s">
        <v>154</v>
      </c>
      <c r="S666" t="s">
        <v>239</v>
      </c>
      <c r="T666" t="s">
        <v>273</v>
      </c>
      <c r="U666">
        <v>1.5747347786136134E-2</v>
      </c>
      <c r="V666" t="s">
        <v>154</v>
      </c>
    </row>
    <row r="667" spans="9:22" x14ac:dyDescent="0.45">
      <c r="I667" t="s">
        <v>186</v>
      </c>
      <c r="J667" t="s">
        <v>274</v>
      </c>
      <c r="K667">
        <v>0.11842545173804478</v>
      </c>
      <c r="L667" t="s">
        <v>154</v>
      </c>
      <c r="N667" t="s">
        <v>215</v>
      </c>
      <c r="O667" t="s">
        <v>274</v>
      </c>
      <c r="P667">
        <v>1.3040583116137332E-2</v>
      </c>
      <c r="Q667" t="s">
        <v>154</v>
      </c>
      <c r="S667" t="s">
        <v>239</v>
      </c>
      <c r="T667" t="s">
        <v>274</v>
      </c>
      <c r="U667">
        <v>6.9415998066435503E-2</v>
      </c>
      <c r="V667" t="s">
        <v>154</v>
      </c>
    </row>
    <row r="668" spans="9:22" x14ac:dyDescent="0.45">
      <c r="I668" t="s">
        <v>186</v>
      </c>
      <c r="J668" t="s">
        <v>275</v>
      </c>
      <c r="K668">
        <v>8.8312052902762665E-3</v>
      </c>
      <c r="L668" t="s">
        <v>154</v>
      </c>
      <c r="N668" t="s">
        <v>215</v>
      </c>
      <c r="O668" t="s">
        <v>275</v>
      </c>
      <c r="P668">
        <v>1.5273022905121247E-3</v>
      </c>
      <c r="Q668" t="s">
        <v>154</v>
      </c>
      <c r="S668" t="s">
        <v>239</v>
      </c>
      <c r="T668" t="s">
        <v>275</v>
      </c>
      <c r="U668">
        <v>9.5321457133874399E-3</v>
      </c>
      <c r="V668" t="s">
        <v>154</v>
      </c>
    </row>
    <row r="669" spans="9:22" x14ac:dyDescent="0.45">
      <c r="I669" t="s">
        <v>186</v>
      </c>
      <c r="J669" t="s">
        <v>276</v>
      </c>
      <c r="K669">
        <v>2.4483010234461013E-3</v>
      </c>
      <c r="L669" t="s">
        <v>154</v>
      </c>
      <c r="N669" t="s">
        <v>215</v>
      </c>
      <c r="O669" t="s">
        <v>276</v>
      </c>
      <c r="P669">
        <v>1.6163400687238261E-3</v>
      </c>
      <c r="Q669" t="s">
        <v>154</v>
      </c>
      <c r="S669" t="s">
        <v>239</v>
      </c>
      <c r="T669" t="s">
        <v>276</v>
      </c>
      <c r="U669">
        <v>5.4578418889620331E-3</v>
      </c>
      <c r="V669" t="s">
        <v>154</v>
      </c>
    </row>
    <row r="670" spans="9:22" x14ac:dyDescent="0.45">
      <c r="I670" t="s">
        <v>186</v>
      </c>
      <c r="J670" t="s">
        <v>277</v>
      </c>
      <c r="K670">
        <v>0</v>
      </c>
      <c r="L670" t="s">
        <v>154</v>
      </c>
      <c r="N670" t="s">
        <v>215</v>
      </c>
      <c r="O670" t="s">
        <v>277</v>
      </c>
      <c r="P670">
        <v>1.005962956740598E-2</v>
      </c>
      <c r="Q670" t="s">
        <v>154</v>
      </c>
      <c r="S670" t="s">
        <v>239</v>
      </c>
      <c r="T670" t="s">
        <v>277</v>
      </c>
      <c r="U670">
        <v>3.0663182843745935E-2</v>
      </c>
      <c r="V670" t="s">
        <v>154</v>
      </c>
    </row>
    <row r="671" spans="9:22" x14ac:dyDescent="0.45">
      <c r="I671" t="s">
        <v>187</v>
      </c>
      <c r="J671" t="s">
        <v>153</v>
      </c>
      <c r="K671">
        <v>0</v>
      </c>
      <c r="L671" t="s">
        <v>154</v>
      </c>
      <c r="N671" t="s">
        <v>216</v>
      </c>
      <c r="O671" t="s">
        <v>153</v>
      </c>
      <c r="P671">
        <v>0.17614380543331659</v>
      </c>
      <c r="Q671" t="s">
        <v>154</v>
      </c>
      <c r="S671" t="s">
        <v>240</v>
      </c>
      <c r="T671" t="s">
        <v>153</v>
      </c>
      <c r="U671">
        <v>0.17415381437375835</v>
      </c>
      <c r="V671" t="s">
        <v>154</v>
      </c>
    </row>
    <row r="672" spans="9:22" x14ac:dyDescent="0.45">
      <c r="I672" t="s">
        <v>187</v>
      </c>
      <c r="J672" t="s">
        <v>155</v>
      </c>
      <c r="K672">
        <v>6.7011411559956366E-2</v>
      </c>
      <c r="L672" t="s">
        <v>154</v>
      </c>
      <c r="N672" t="s">
        <v>216</v>
      </c>
      <c r="O672" t="s">
        <v>155</v>
      </c>
      <c r="P672">
        <v>5.5099030975627405E-2</v>
      </c>
      <c r="Q672" t="s">
        <v>154</v>
      </c>
      <c r="S672" t="s">
        <v>240</v>
      </c>
      <c r="T672" t="s">
        <v>155</v>
      </c>
      <c r="U672">
        <v>4.8164919423278031E-2</v>
      </c>
      <c r="V672" t="s">
        <v>154</v>
      </c>
    </row>
    <row r="673" spans="9:22" x14ac:dyDescent="0.45">
      <c r="I673" t="s">
        <v>187</v>
      </c>
      <c r="J673" t="s">
        <v>156</v>
      </c>
      <c r="K673">
        <v>0.54469228288918836</v>
      </c>
      <c r="L673" t="s">
        <v>154</v>
      </c>
      <c r="N673" t="s">
        <v>216</v>
      </c>
      <c r="O673" t="s">
        <v>156</v>
      </c>
      <c r="P673">
        <v>0.24718640852142632</v>
      </c>
      <c r="Q673" t="s">
        <v>154</v>
      </c>
      <c r="S673" t="s">
        <v>240</v>
      </c>
      <c r="T673" t="s">
        <v>156</v>
      </c>
      <c r="U673">
        <v>0.19072079138180528</v>
      </c>
      <c r="V673" t="s">
        <v>154</v>
      </c>
    </row>
    <row r="674" spans="9:22" x14ac:dyDescent="0.45">
      <c r="I674" t="s">
        <v>187</v>
      </c>
      <c r="J674" t="s">
        <v>255</v>
      </c>
      <c r="K674">
        <v>3.9722629201135583E-2</v>
      </c>
      <c r="L674" t="s">
        <v>154</v>
      </c>
      <c r="N674" t="s">
        <v>216</v>
      </c>
      <c r="O674" t="s">
        <v>255</v>
      </c>
      <c r="P674">
        <v>2.6207334145637896E-2</v>
      </c>
      <c r="Q674" t="s">
        <v>154</v>
      </c>
      <c r="S674" t="s">
        <v>240</v>
      </c>
      <c r="T674" t="s">
        <v>255</v>
      </c>
      <c r="U674">
        <v>2.3345716334051348E-2</v>
      </c>
      <c r="V674" t="s">
        <v>154</v>
      </c>
    </row>
    <row r="675" spans="9:22" x14ac:dyDescent="0.45">
      <c r="I675" t="s">
        <v>187</v>
      </c>
      <c r="J675" t="s">
        <v>256</v>
      </c>
      <c r="K675">
        <v>2.3768260662104201E-2</v>
      </c>
      <c r="L675" t="s">
        <v>154</v>
      </c>
      <c r="N675" t="s">
        <v>216</v>
      </c>
      <c r="O675" t="s">
        <v>256</v>
      </c>
      <c r="P675">
        <v>2.5092482538072738E-2</v>
      </c>
      <c r="Q675" t="s">
        <v>154</v>
      </c>
      <c r="S675" t="s">
        <v>240</v>
      </c>
      <c r="T675" t="s">
        <v>256</v>
      </c>
      <c r="U675">
        <v>2.1568093747740845E-2</v>
      </c>
      <c r="V675" t="s">
        <v>154</v>
      </c>
    </row>
    <row r="676" spans="9:22" x14ac:dyDescent="0.45">
      <c r="I676" t="s">
        <v>187</v>
      </c>
      <c r="J676" t="s">
        <v>257</v>
      </c>
      <c r="K676">
        <v>0</v>
      </c>
      <c r="L676" t="s">
        <v>154</v>
      </c>
      <c r="N676" t="s">
        <v>216</v>
      </c>
      <c r="O676" t="s">
        <v>257</v>
      </c>
      <c r="P676">
        <v>0.13348744594377157</v>
      </c>
      <c r="Q676" t="s">
        <v>154</v>
      </c>
      <c r="S676" t="s">
        <v>240</v>
      </c>
      <c r="T676" t="s">
        <v>257</v>
      </c>
      <c r="U676">
        <v>0.1250731278828425</v>
      </c>
      <c r="V676" t="s">
        <v>154</v>
      </c>
    </row>
    <row r="677" spans="9:22" x14ac:dyDescent="0.45">
      <c r="I677" t="s">
        <v>187</v>
      </c>
      <c r="J677" t="s">
        <v>157</v>
      </c>
      <c r="K677">
        <v>0</v>
      </c>
      <c r="L677" t="s">
        <v>154</v>
      </c>
      <c r="N677" t="s">
        <v>216</v>
      </c>
      <c r="O677" t="s">
        <v>157</v>
      </c>
      <c r="P677">
        <v>5.8637106338631471E-3</v>
      </c>
      <c r="Q677" t="s">
        <v>154</v>
      </c>
      <c r="S677" t="s">
        <v>240</v>
      </c>
      <c r="T677" t="s">
        <v>157</v>
      </c>
      <c r="U677">
        <v>1.5009085394885472E-2</v>
      </c>
      <c r="V677" t="s">
        <v>154</v>
      </c>
    </row>
    <row r="678" spans="9:22" x14ac:dyDescent="0.45">
      <c r="I678" t="s">
        <v>187</v>
      </c>
      <c r="J678" t="s">
        <v>158</v>
      </c>
      <c r="K678">
        <v>5.3112602538638266E-3</v>
      </c>
      <c r="L678" t="s">
        <v>154</v>
      </c>
      <c r="N678" t="s">
        <v>216</v>
      </c>
      <c r="O678" t="s">
        <v>158</v>
      </c>
      <c r="P678">
        <v>1.7426374752095002E-3</v>
      </c>
      <c r="Q678" t="s">
        <v>154</v>
      </c>
      <c r="S678" t="s">
        <v>240</v>
      </c>
      <c r="T678" t="s">
        <v>158</v>
      </c>
      <c r="U678">
        <v>4.4029388466906537E-3</v>
      </c>
      <c r="V678" t="s">
        <v>154</v>
      </c>
    </row>
    <row r="679" spans="9:22" x14ac:dyDescent="0.45">
      <c r="I679" t="s">
        <v>187</v>
      </c>
      <c r="J679" t="s">
        <v>159</v>
      </c>
      <c r="K679">
        <v>4.6235148796731844E-2</v>
      </c>
      <c r="L679" t="s">
        <v>154</v>
      </c>
      <c r="N679" t="s">
        <v>216</v>
      </c>
      <c r="O679" t="s">
        <v>159</v>
      </c>
      <c r="P679">
        <v>7.6966520086314428E-3</v>
      </c>
      <c r="Q679" t="s">
        <v>154</v>
      </c>
      <c r="S679" t="s">
        <v>240</v>
      </c>
      <c r="T679" t="s">
        <v>159</v>
      </c>
      <c r="U679">
        <v>1.8641961729079552E-2</v>
      </c>
      <c r="V679" t="s">
        <v>154</v>
      </c>
    </row>
    <row r="680" spans="9:22" x14ac:dyDescent="0.45">
      <c r="I680" t="s">
        <v>187</v>
      </c>
      <c r="J680" t="s">
        <v>258</v>
      </c>
      <c r="K680">
        <v>2.3089358645253504E-3</v>
      </c>
      <c r="L680" t="s">
        <v>154</v>
      </c>
      <c r="N680" t="s">
        <v>216</v>
      </c>
      <c r="O680" t="s">
        <v>258</v>
      </c>
      <c r="P680">
        <v>7.4699807097400675E-4</v>
      </c>
      <c r="Q680" t="s">
        <v>154</v>
      </c>
      <c r="S680" t="s">
        <v>240</v>
      </c>
      <c r="T680" t="s">
        <v>258</v>
      </c>
      <c r="U680">
        <v>2.4319915329997798E-3</v>
      </c>
      <c r="V680" t="s">
        <v>154</v>
      </c>
    </row>
    <row r="681" spans="9:22" x14ac:dyDescent="0.45">
      <c r="I681" t="s">
        <v>187</v>
      </c>
      <c r="J681" t="s">
        <v>259</v>
      </c>
      <c r="K681">
        <v>1.073196585068143E-3</v>
      </c>
      <c r="L681" t="s">
        <v>154</v>
      </c>
      <c r="N681" t="s">
        <v>216</v>
      </c>
      <c r="O681" t="s">
        <v>259</v>
      </c>
      <c r="P681">
        <v>6.8158376623561243E-4</v>
      </c>
      <c r="Q681" t="s">
        <v>154</v>
      </c>
      <c r="S681" t="s">
        <v>240</v>
      </c>
      <c r="T681" t="s">
        <v>259</v>
      </c>
      <c r="U681">
        <v>2.6032485835229421E-3</v>
      </c>
      <c r="V681" t="s">
        <v>154</v>
      </c>
    </row>
    <row r="682" spans="9:22" x14ac:dyDescent="0.45">
      <c r="I682" t="s">
        <v>187</v>
      </c>
      <c r="J682" t="s">
        <v>260</v>
      </c>
      <c r="K682">
        <v>0</v>
      </c>
      <c r="L682" t="s">
        <v>154</v>
      </c>
      <c r="N682" t="s">
        <v>216</v>
      </c>
      <c r="O682" t="s">
        <v>260</v>
      </c>
      <c r="P682">
        <v>2.9291337703907872E-3</v>
      </c>
      <c r="Q682" t="s">
        <v>154</v>
      </c>
      <c r="S682" t="s">
        <v>240</v>
      </c>
      <c r="T682" t="s">
        <v>260</v>
      </c>
      <c r="U682">
        <v>1.1819288627728354E-2</v>
      </c>
      <c r="V682" t="s">
        <v>154</v>
      </c>
    </row>
    <row r="683" spans="9:22" x14ac:dyDescent="0.45">
      <c r="I683" t="s">
        <v>187</v>
      </c>
      <c r="J683" t="s">
        <v>160</v>
      </c>
      <c r="K683">
        <v>0</v>
      </c>
      <c r="L683" t="s">
        <v>154</v>
      </c>
      <c r="N683" t="s">
        <v>216</v>
      </c>
      <c r="O683" t="s">
        <v>160</v>
      </c>
      <c r="P683">
        <v>2.9719201655406553E-2</v>
      </c>
      <c r="Q683" t="s">
        <v>154</v>
      </c>
      <c r="S683" t="s">
        <v>240</v>
      </c>
      <c r="T683" t="s">
        <v>160</v>
      </c>
      <c r="U683">
        <v>4.0240598473736205E-2</v>
      </c>
      <c r="V683" t="s">
        <v>154</v>
      </c>
    </row>
    <row r="684" spans="9:22" x14ac:dyDescent="0.45">
      <c r="I684" t="s">
        <v>187</v>
      </c>
      <c r="J684" t="s">
        <v>161</v>
      </c>
      <c r="K684">
        <v>6.2825959330888954E-3</v>
      </c>
      <c r="L684" t="s">
        <v>154</v>
      </c>
      <c r="N684" t="s">
        <v>216</v>
      </c>
      <c r="O684" t="s">
        <v>161</v>
      </c>
      <c r="P684">
        <v>9.6646807796734683E-3</v>
      </c>
      <c r="Q684" t="s">
        <v>154</v>
      </c>
      <c r="S684" t="s">
        <v>240</v>
      </c>
      <c r="T684" t="s">
        <v>161</v>
      </c>
      <c r="U684">
        <v>1.0859677799906702E-2</v>
      </c>
      <c r="V684" t="s">
        <v>154</v>
      </c>
    </row>
    <row r="685" spans="9:22" x14ac:dyDescent="0.45">
      <c r="I685" t="s">
        <v>187</v>
      </c>
      <c r="J685" t="s">
        <v>162</v>
      </c>
      <c r="K685">
        <v>5.2705599598788282E-2</v>
      </c>
      <c r="L685" t="s">
        <v>154</v>
      </c>
      <c r="N685" t="s">
        <v>216</v>
      </c>
      <c r="O685" t="s">
        <v>162</v>
      </c>
      <c r="P685">
        <v>5.5927946821187825E-2</v>
      </c>
      <c r="Q685" t="s">
        <v>154</v>
      </c>
      <c r="S685" t="s">
        <v>240</v>
      </c>
      <c r="T685" t="s">
        <v>162</v>
      </c>
      <c r="U685">
        <v>4.5888737044096087E-2</v>
      </c>
      <c r="V685" t="s">
        <v>154</v>
      </c>
    </row>
    <row r="686" spans="9:22" x14ac:dyDescent="0.45">
      <c r="I686" t="s">
        <v>187</v>
      </c>
      <c r="J686" t="s">
        <v>261</v>
      </c>
      <c r="K686">
        <v>2.5850841125256317E-3</v>
      </c>
      <c r="L686" t="s">
        <v>154</v>
      </c>
      <c r="N686" t="s">
        <v>216</v>
      </c>
      <c r="O686" t="s">
        <v>261</v>
      </c>
      <c r="P686">
        <v>5.4989392223531667E-3</v>
      </c>
      <c r="Q686" t="s">
        <v>154</v>
      </c>
      <c r="S686" t="s">
        <v>240</v>
      </c>
      <c r="T686" t="s">
        <v>261</v>
      </c>
      <c r="U686">
        <v>6.3119156310546985E-3</v>
      </c>
      <c r="V686" t="s">
        <v>154</v>
      </c>
    </row>
    <row r="687" spans="9:22" x14ac:dyDescent="0.45">
      <c r="I687" t="s">
        <v>187</v>
      </c>
      <c r="J687" t="s">
        <v>262</v>
      </c>
      <c r="K687">
        <v>1.3296309640573436E-3</v>
      </c>
      <c r="L687" t="s">
        <v>154</v>
      </c>
      <c r="N687" t="s">
        <v>216</v>
      </c>
      <c r="O687" t="s">
        <v>262</v>
      </c>
      <c r="P687">
        <v>4.8892174569548745E-3</v>
      </c>
      <c r="Q687" t="s">
        <v>154</v>
      </c>
      <c r="S687" t="s">
        <v>240</v>
      </c>
      <c r="T687" t="s">
        <v>262</v>
      </c>
      <c r="U687">
        <v>6.1375220385671281E-3</v>
      </c>
      <c r="V687" t="s">
        <v>154</v>
      </c>
    </row>
    <row r="688" spans="9:22" x14ac:dyDescent="0.45">
      <c r="I688" t="s">
        <v>187</v>
      </c>
      <c r="J688" t="s">
        <v>263</v>
      </c>
      <c r="K688">
        <v>0</v>
      </c>
      <c r="L688" t="s">
        <v>154</v>
      </c>
      <c r="N688" t="s">
        <v>216</v>
      </c>
      <c r="O688" t="s">
        <v>263</v>
      </c>
      <c r="P688">
        <v>2.3614471678277533E-2</v>
      </c>
      <c r="Q688" t="s">
        <v>154</v>
      </c>
      <c r="S688" t="s">
        <v>240</v>
      </c>
      <c r="T688" t="s">
        <v>263</v>
      </c>
      <c r="U688">
        <v>3.0262690134371089E-2</v>
      </c>
      <c r="V688" t="s">
        <v>154</v>
      </c>
    </row>
    <row r="689" spans="9:22" x14ac:dyDescent="0.45">
      <c r="I689" t="s">
        <v>187</v>
      </c>
      <c r="J689" t="s">
        <v>163</v>
      </c>
      <c r="K689">
        <v>0</v>
      </c>
      <c r="L689" t="s">
        <v>154</v>
      </c>
      <c r="N689" t="s">
        <v>216</v>
      </c>
      <c r="O689" t="s">
        <v>163</v>
      </c>
      <c r="P689">
        <v>1.519741057647664E-2</v>
      </c>
      <c r="Q689" t="s">
        <v>154</v>
      </c>
      <c r="S689" t="s">
        <v>240</v>
      </c>
      <c r="T689" t="s">
        <v>163</v>
      </c>
      <c r="U689">
        <v>2.0135205231675252E-2</v>
      </c>
      <c r="V689" t="s">
        <v>154</v>
      </c>
    </row>
    <row r="690" spans="9:22" x14ac:dyDescent="0.45">
      <c r="I690" t="s">
        <v>187</v>
      </c>
      <c r="J690" t="s">
        <v>164</v>
      </c>
      <c r="K690">
        <v>9.1121438513353126E-3</v>
      </c>
      <c r="L690" t="s">
        <v>154</v>
      </c>
      <c r="N690" t="s">
        <v>216</v>
      </c>
      <c r="O690" t="s">
        <v>164</v>
      </c>
      <c r="P690">
        <v>4.7791411101115672E-3</v>
      </c>
      <c r="Q690" t="s">
        <v>154</v>
      </c>
      <c r="S690" t="s">
        <v>240</v>
      </c>
      <c r="T690" t="s">
        <v>164</v>
      </c>
      <c r="U690">
        <v>5.5818797143334332E-3</v>
      </c>
      <c r="V690" t="s">
        <v>154</v>
      </c>
    </row>
    <row r="691" spans="9:22" x14ac:dyDescent="0.45">
      <c r="I691" t="s">
        <v>187</v>
      </c>
      <c r="J691" t="s">
        <v>165</v>
      </c>
      <c r="K691">
        <v>5.49626155176259E-2</v>
      </c>
      <c r="L691" t="s">
        <v>154</v>
      </c>
      <c r="N691" t="s">
        <v>216</v>
      </c>
      <c r="O691" t="s">
        <v>165</v>
      </c>
      <c r="P691">
        <v>2.406152310012338E-2</v>
      </c>
      <c r="Q691" t="s">
        <v>154</v>
      </c>
      <c r="S691" t="s">
        <v>240</v>
      </c>
      <c r="T691" t="s">
        <v>165</v>
      </c>
      <c r="U691">
        <v>2.1719913569288644E-2</v>
      </c>
      <c r="V691" t="s">
        <v>154</v>
      </c>
    </row>
    <row r="692" spans="9:22" x14ac:dyDescent="0.45">
      <c r="I692" t="s">
        <v>187</v>
      </c>
      <c r="J692" t="s">
        <v>264</v>
      </c>
      <c r="K692">
        <v>3.2416171846646898E-3</v>
      </c>
      <c r="L692" t="s">
        <v>154</v>
      </c>
      <c r="N692" t="s">
        <v>216</v>
      </c>
      <c r="O692" t="s">
        <v>264</v>
      </c>
      <c r="P692">
        <v>3.508082804358529E-3</v>
      </c>
      <c r="Q692" t="s">
        <v>154</v>
      </c>
      <c r="S692" t="s">
        <v>240</v>
      </c>
      <c r="T692" t="s">
        <v>264</v>
      </c>
      <c r="U692">
        <v>2.7291998632514277E-3</v>
      </c>
      <c r="V692" t="s">
        <v>154</v>
      </c>
    </row>
    <row r="693" spans="9:22" x14ac:dyDescent="0.45">
      <c r="I693" t="s">
        <v>187</v>
      </c>
      <c r="J693" t="s">
        <v>265</v>
      </c>
      <c r="K693">
        <v>4.2947982764273973E-5</v>
      </c>
      <c r="L693" t="s">
        <v>154</v>
      </c>
      <c r="N693" t="s">
        <v>216</v>
      </c>
      <c r="O693" t="s">
        <v>265</v>
      </c>
      <c r="P693">
        <v>3.4887358170548779E-3</v>
      </c>
      <c r="Q693" t="s">
        <v>154</v>
      </c>
      <c r="S693" t="s">
        <v>240</v>
      </c>
      <c r="T693" t="s">
        <v>265</v>
      </c>
      <c r="U693">
        <v>2.9006208023476454E-3</v>
      </c>
      <c r="V693" t="s">
        <v>154</v>
      </c>
    </row>
    <row r="694" spans="9:22" x14ac:dyDescent="0.45">
      <c r="I694" t="s">
        <v>187</v>
      </c>
      <c r="J694" t="s">
        <v>266</v>
      </c>
      <c r="K694">
        <v>0</v>
      </c>
      <c r="L694" t="s">
        <v>154</v>
      </c>
      <c r="N694" t="s">
        <v>216</v>
      </c>
      <c r="O694" t="s">
        <v>266</v>
      </c>
      <c r="P694">
        <v>1.5899282371001584E-2</v>
      </c>
      <c r="Q694" t="s">
        <v>154</v>
      </c>
      <c r="S694" t="s">
        <v>240</v>
      </c>
      <c r="T694" t="s">
        <v>266</v>
      </c>
      <c r="U694">
        <v>1.6729365559147301E-2</v>
      </c>
      <c r="V694" t="s">
        <v>154</v>
      </c>
    </row>
    <row r="695" spans="9:22" x14ac:dyDescent="0.45">
      <c r="I695" t="s">
        <v>187</v>
      </c>
      <c r="J695" t="s">
        <v>272</v>
      </c>
      <c r="K695">
        <v>0</v>
      </c>
      <c r="L695" t="s">
        <v>154</v>
      </c>
      <c r="N695" t="s">
        <v>216</v>
      </c>
      <c r="O695" t="s">
        <v>272</v>
      </c>
      <c r="P695">
        <v>3.2086734936283966E-2</v>
      </c>
      <c r="Q695" t="s">
        <v>154</v>
      </c>
      <c r="S695" t="s">
        <v>240</v>
      </c>
      <c r="T695" t="s">
        <v>272</v>
      </c>
      <c r="U695">
        <v>4.8860460260251988E-2</v>
      </c>
      <c r="V695" t="s">
        <v>154</v>
      </c>
    </row>
    <row r="696" spans="9:22" x14ac:dyDescent="0.45">
      <c r="I696" t="s">
        <v>187</v>
      </c>
      <c r="J696" t="s">
        <v>273</v>
      </c>
      <c r="K696">
        <v>1.5526451774879303E-2</v>
      </c>
      <c r="L696" t="s">
        <v>154</v>
      </c>
      <c r="N696" t="s">
        <v>216</v>
      </c>
      <c r="O696" t="s">
        <v>273</v>
      </c>
      <c r="P696">
        <v>9.9947905595404452E-3</v>
      </c>
      <c r="Q696" t="s">
        <v>154</v>
      </c>
      <c r="S696" t="s">
        <v>240</v>
      </c>
      <c r="T696" t="s">
        <v>273</v>
      </c>
      <c r="U696">
        <v>1.3257187672966592E-2</v>
      </c>
      <c r="V696" t="s">
        <v>154</v>
      </c>
    </row>
    <row r="697" spans="9:22" x14ac:dyDescent="0.45">
      <c r="I697" t="s">
        <v>187</v>
      </c>
      <c r="J697" t="s">
        <v>274</v>
      </c>
      <c r="K697">
        <v>0.1160030280234688</v>
      </c>
      <c r="L697" t="s">
        <v>154</v>
      </c>
      <c r="N697" t="s">
        <v>216</v>
      </c>
      <c r="O697" t="s">
        <v>274</v>
      </c>
      <c r="P697">
        <v>4.4274301471630383E-2</v>
      </c>
      <c r="Q697" t="s">
        <v>154</v>
      </c>
      <c r="S697" t="s">
        <v>240</v>
      </c>
      <c r="T697" t="s">
        <v>274</v>
      </c>
      <c r="U697">
        <v>4.7836718790854729E-2</v>
      </c>
      <c r="V697" t="s">
        <v>154</v>
      </c>
    </row>
    <row r="698" spans="9:22" x14ac:dyDescent="0.45">
      <c r="I698" t="s">
        <v>187</v>
      </c>
      <c r="J698" t="s">
        <v>275</v>
      </c>
      <c r="K698">
        <v>7.7476465397256621E-3</v>
      </c>
      <c r="L698" t="s">
        <v>154</v>
      </c>
      <c r="N698" t="s">
        <v>216</v>
      </c>
      <c r="O698" t="s">
        <v>275</v>
      </c>
      <c r="P698">
        <v>4.9053554469331608E-3</v>
      </c>
      <c r="Q698" t="s">
        <v>154</v>
      </c>
      <c r="S698" t="s">
        <v>240</v>
      </c>
      <c r="T698" t="s">
        <v>275</v>
      </c>
      <c r="U698">
        <v>5.9904903592060202E-3</v>
      </c>
      <c r="V698" t="s">
        <v>154</v>
      </c>
    </row>
    <row r="699" spans="9:22" x14ac:dyDescent="0.45">
      <c r="I699" t="s">
        <v>187</v>
      </c>
      <c r="J699" t="s">
        <v>276</v>
      </c>
      <c r="K699">
        <v>3.3751270450424833E-4</v>
      </c>
      <c r="L699" t="s">
        <v>154</v>
      </c>
      <c r="N699" t="s">
        <v>216</v>
      </c>
      <c r="O699" t="s">
        <v>276</v>
      </c>
      <c r="P699">
        <v>4.3918407079320092E-3</v>
      </c>
      <c r="Q699" t="s">
        <v>154</v>
      </c>
      <c r="S699" t="s">
        <v>240</v>
      </c>
      <c r="T699" t="s">
        <v>276</v>
      </c>
      <c r="U699">
        <v>5.1479624170711257E-3</v>
      </c>
      <c r="V699" t="s">
        <v>154</v>
      </c>
    </row>
    <row r="700" spans="9:22" x14ac:dyDescent="0.45">
      <c r="I700" t="s">
        <v>187</v>
      </c>
      <c r="J700" t="s">
        <v>277</v>
      </c>
      <c r="K700">
        <v>0</v>
      </c>
      <c r="L700" t="s">
        <v>154</v>
      </c>
      <c r="N700" t="s">
        <v>216</v>
      </c>
      <c r="O700" t="s">
        <v>277</v>
      </c>
      <c r="P700">
        <v>2.5221120201544857E-2</v>
      </c>
      <c r="Q700" t="s">
        <v>154</v>
      </c>
      <c r="S700" t="s">
        <v>240</v>
      </c>
      <c r="T700" t="s">
        <v>277</v>
      </c>
      <c r="U700">
        <v>3.1474876779493927E-2</v>
      </c>
      <c r="V700" t="s">
        <v>154</v>
      </c>
    </row>
    <row r="701" spans="9:22" x14ac:dyDescent="0.45">
      <c r="I701" t="s">
        <v>188</v>
      </c>
      <c r="J701" t="s">
        <v>153</v>
      </c>
      <c r="K701">
        <v>3.7930655512245915E-5</v>
      </c>
      <c r="L701" t="s">
        <v>154</v>
      </c>
      <c r="N701" t="s">
        <v>217</v>
      </c>
      <c r="O701" t="s">
        <v>153</v>
      </c>
      <c r="P701">
        <v>0.16994360814654041</v>
      </c>
      <c r="Q701" t="s">
        <v>154</v>
      </c>
    </row>
    <row r="702" spans="9:22" x14ac:dyDescent="0.45">
      <c r="I702" t="s">
        <v>188</v>
      </c>
      <c r="J702" t="s">
        <v>155</v>
      </c>
      <c r="K702">
        <v>7.1314040601393347E-2</v>
      </c>
      <c r="L702" t="s">
        <v>154</v>
      </c>
      <c r="N702" t="s">
        <v>217</v>
      </c>
      <c r="O702" t="s">
        <v>155</v>
      </c>
      <c r="P702">
        <v>4.8246347138300734E-2</v>
      </c>
      <c r="Q702" t="s">
        <v>154</v>
      </c>
    </row>
    <row r="703" spans="9:22" x14ac:dyDescent="0.45">
      <c r="I703" t="s">
        <v>188</v>
      </c>
      <c r="J703" t="s">
        <v>156</v>
      </c>
      <c r="K703">
        <v>0.54786900805688854</v>
      </c>
      <c r="L703" t="s">
        <v>154</v>
      </c>
      <c r="N703" t="s">
        <v>217</v>
      </c>
      <c r="O703" t="s">
        <v>156</v>
      </c>
      <c r="P703">
        <v>0.24693989649958292</v>
      </c>
      <c r="Q703" t="s">
        <v>154</v>
      </c>
    </row>
    <row r="704" spans="9:22" x14ac:dyDescent="0.45">
      <c r="I704" t="s">
        <v>188</v>
      </c>
      <c r="J704" t="s">
        <v>255</v>
      </c>
      <c r="K704">
        <v>3.7554551418658891E-2</v>
      </c>
      <c r="L704" t="s">
        <v>154</v>
      </c>
      <c r="N704" t="s">
        <v>217</v>
      </c>
      <c r="O704" t="s">
        <v>255</v>
      </c>
      <c r="P704">
        <v>2.608747765815523E-2</v>
      </c>
      <c r="Q704" t="s">
        <v>154</v>
      </c>
    </row>
    <row r="705" spans="9:17" x14ac:dyDescent="0.45">
      <c r="I705" t="s">
        <v>188</v>
      </c>
      <c r="J705" t="s">
        <v>256</v>
      </c>
      <c r="K705">
        <v>2.2168194170235429E-2</v>
      </c>
      <c r="L705" t="s">
        <v>154</v>
      </c>
      <c r="N705" t="s">
        <v>217</v>
      </c>
      <c r="O705" t="s">
        <v>256</v>
      </c>
      <c r="P705">
        <v>2.4405720497822643E-2</v>
      </c>
      <c r="Q705" t="s">
        <v>154</v>
      </c>
    </row>
    <row r="706" spans="9:17" x14ac:dyDescent="0.45">
      <c r="I706" t="s">
        <v>188</v>
      </c>
      <c r="J706" t="s">
        <v>257</v>
      </c>
      <c r="K706">
        <v>0</v>
      </c>
      <c r="L706" t="s">
        <v>154</v>
      </c>
      <c r="N706" t="s">
        <v>217</v>
      </c>
      <c r="O706" t="s">
        <v>257</v>
      </c>
      <c r="P706">
        <v>0.12453984136431419</v>
      </c>
      <c r="Q706" t="s">
        <v>154</v>
      </c>
    </row>
    <row r="707" spans="9:17" x14ac:dyDescent="0.45">
      <c r="I707" t="s">
        <v>188</v>
      </c>
      <c r="J707" t="s">
        <v>157</v>
      </c>
      <c r="K707">
        <v>0</v>
      </c>
      <c r="L707" t="s">
        <v>154</v>
      </c>
      <c r="N707" t="s">
        <v>217</v>
      </c>
      <c r="O707" t="s">
        <v>157</v>
      </c>
      <c r="P707">
        <v>7.0653097040803024E-3</v>
      </c>
      <c r="Q707" t="s">
        <v>154</v>
      </c>
    </row>
    <row r="708" spans="9:17" x14ac:dyDescent="0.45">
      <c r="I708" t="s">
        <v>188</v>
      </c>
      <c r="J708" t="s">
        <v>158</v>
      </c>
      <c r="K708">
        <v>5.7628480807617472E-3</v>
      </c>
      <c r="L708" t="s">
        <v>154</v>
      </c>
      <c r="N708" t="s">
        <v>217</v>
      </c>
      <c r="O708" t="s">
        <v>158</v>
      </c>
      <c r="P708">
        <v>1.721067855835383E-3</v>
      </c>
      <c r="Q708" t="s">
        <v>154</v>
      </c>
    </row>
    <row r="709" spans="9:17" x14ac:dyDescent="0.45">
      <c r="I709" t="s">
        <v>188</v>
      </c>
      <c r="J709" t="s">
        <v>159</v>
      </c>
      <c r="K709">
        <v>4.717039163260691E-2</v>
      </c>
      <c r="L709" t="s">
        <v>154</v>
      </c>
      <c r="N709" t="s">
        <v>217</v>
      </c>
      <c r="O709" t="s">
        <v>159</v>
      </c>
      <c r="P709">
        <v>1.0991518606195939E-2</v>
      </c>
      <c r="Q709" t="s">
        <v>154</v>
      </c>
    </row>
    <row r="710" spans="9:17" x14ac:dyDescent="0.45">
      <c r="I710" t="s">
        <v>188</v>
      </c>
      <c r="J710" t="s">
        <v>258</v>
      </c>
      <c r="K710">
        <v>2.1687253301337457E-3</v>
      </c>
      <c r="L710" t="s">
        <v>154</v>
      </c>
      <c r="N710" t="s">
        <v>217</v>
      </c>
      <c r="O710" t="s">
        <v>258</v>
      </c>
      <c r="P710">
        <v>1.1882499239954214E-3</v>
      </c>
      <c r="Q710" t="s">
        <v>154</v>
      </c>
    </row>
    <row r="711" spans="9:17" x14ac:dyDescent="0.45">
      <c r="I711" t="s">
        <v>188</v>
      </c>
      <c r="J711" t="s">
        <v>259</v>
      </c>
      <c r="K711">
        <v>1.0785332823766763E-3</v>
      </c>
      <c r="L711" t="s">
        <v>154</v>
      </c>
      <c r="N711" t="s">
        <v>217</v>
      </c>
      <c r="O711" t="s">
        <v>259</v>
      </c>
      <c r="P711">
        <v>1.0644795758075662E-3</v>
      </c>
      <c r="Q711" t="s">
        <v>154</v>
      </c>
    </row>
    <row r="712" spans="9:17" x14ac:dyDescent="0.45">
      <c r="I712" t="s">
        <v>188</v>
      </c>
      <c r="J712" t="s">
        <v>260</v>
      </c>
      <c r="K712">
        <v>0</v>
      </c>
      <c r="L712" t="s">
        <v>154</v>
      </c>
      <c r="N712" t="s">
        <v>217</v>
      </c>
      <c r="O712" t="s">
        <v>260</v>
      </c>
      <c r="P712">
        <v>4.2974300213270977E-3</v>
      </c>
      <c r="Q712" t="s">
        <v>154</v>
      </c>
    </row>
    <row r="713" spans="9:17" x14ac:dyDescent="0.45">
      <c r="I713" t="s">
        <v>188</v>
      </c>
      <c r="J713" t="s">
        <v>160</v>
      </c>
      <c r="K713">
        <v>0</v>
      </c>
      <c r="L713" t="s">
        <v>154</v>
      </c>
      <c r="N713" t="s">
        <v>217</v>
      </c>
      <c r="O713" t="s">
        <v>160</v>
      </c>
      <c r="P713">
        <v>3.2219402014563393E-2</v>
      </c>
      <c r="Q713" t="s">
        <v>154</v>
      </c>
    </row>
    <row r="714" spans="9:17" x14ac:dyDescent="0.45">
      <c r="I714" t="s">
        <v>188</v>
      </c>
      <c r="J714" t="s">
        <v>161</v>
      </c>
      <c r="K714">
        <v>7.2086906636634725E-3</v>
      </c>
      <c r="L714" t="s">
        <v>154</v>
      </c>
      <c r="N714" t="s">
        <v>217</v>
      </c>
      <c r="O714" t="s">
        <v>161</v>
      </c>
      <c r="P714">
        <v>9.4009933948345694E-3</v>
      </c>
      <c r="Q714" t="s">
        <v>154</v>
      </c>
    </row>
    <row r="715" spans="9:17" x14ac:dyDescent="0.45">
      <c r="I715" t="s">
        <v>188</v>
      </c>
      <c r="J715" t="s">
        <v>162</v>
      </c>
      <c r="K715">
        <v>5.3867036535641254E-2</v>
      </c>
      <c r="L715" t="s">
        <v>154</v>
      </c>
      <c r="N715" t="s">
        <v>217</v>
      </c>
      <c r="O715" t="s">
        <v>162</v>
      </c>
      <c r="P715">
        <v>5.3784081281841048E-2</v>
      </c>
      <c r="Q715" t="s">
        <v>154</v>
      </c>
    </row>
    <row r="716" spans="9:17" x14ac:dyDescent="0.45">
      <c r="I716" t="s">
        <v>188</v>
      </c>
      <c r="J716" t="s">
        <v>261</v>
      </c>
      <c r="K716">
        <v>2.6650953281759388E-3</v>
      </c>
      <c r="L716" t="s">
        <v>154</v>
      </c>
      <c r="N716" t="s">
        <v>217</v>
      </c>
      <c r="O716" t="s">
        <v>261</v>
      </c>
      <c r="P716">
        <v>5.8331573535879439E-3</v>
      </c>
      <c r="Q716" t="s">
        <v>154</v>
      </c>
    </row>
    <row r="717" spans="9:17" x14ac:dyDescent="0.45">
      <c r="I717" t="s">
        <v>188</v>
      </c>
      <c r="J717" t="s">
        <v>262</v>
      </c>
      <c r="K717">
        <v>1.4127758931077423E-3</v>
      </c>
      <c r="L717" t="s">
        <v>154</v>
      </c>
      <c r="N717" t="s">
        <v>217</v>
      </c>
      <c r="O717" t="s">
        <v>262</v>
      </c>
      <c r="P717">
        <v>5.1427458554711746E-3</v>
      </c>
      <c r="Q717" t="s">
        <v>154</v>
      </c>
    </row>
    <row r="718" spans="9:17" x14ac:dyDescent="0.45">
      <c r="I718" t="s">
        <v>188</v>
      </c>
      <c r="J718" t="s">
        <v>263</v>
      </c>
      <c r="K718">
        <v>0</v>
      </c>
      <c r="L718" t="s">
        <v>154</v>
      </c>
      <c r="N718" t="s">
        <v>217</v>
      </c>
      <c r="O718" t="s">
        <v>263</v>
      </c>
      <c r="P718">
        <v>2.3465582588090023E-2</v>
      </c>
      <c r="Q718" t="s">
        <v>154</v>
      </c>
    </row>
    <row r="719" spans="9:17" x14ac:dyDescent="0.45">
      <c r="I719" t="s">
        <v>188</v>
      </c>
      <c r="J719" t="s">
        <v>163</v>
      </c>
      <c r="K719">
        <v>0</v>
      </c>
      <c r="L719" t="s">
        <v>154</v>
      </c>
      <c r="N719" t="s">
        <v>217</v>
      </c>
      <c r="O719" t="s">
        <v>163</v>
      </c>
      <c r="P719">
        <v>1.3303945388157641E-2</v>
      </c>
      <c r="Q719" t="s">
        <v>154</v>
      </c>
    </row>
    <row r="720" spans="9:17" x14ac:dyDescent="0.45">
      <c r="I720" t="s">
        <v>188</v>
      </c>
      <c r="J720" t="s">
        <v>164</v>
      </c>
      <c r="K720">
        <v>8.8286566108268343E-3</v>
      </c>
      <c r="L720" t="s">
        <v>154</v>
      </c>
      <c r="N720" t="s">
        <v>217</v>
      </c>
      <c r="O720" t="s">
        <v>164</v>
      </c>
      <c r="P720">
        <v>3.5882438135537821E-3</v>
      </c>
      <c r="Q720" t="s">
        <v>154</v>
      </c>
    </row>
    <row r="721" spans="9:17" x14ac:dyDescent="0.45">
      <c r="I721" t="s">
        <v>188</v>
      </c>
      <c r="J721" t="s">
        <v>165</v>
      </c>
      <c r="K721">
        <v>5.4043940813658056E-2</v>
      </c>
      <c r="L721" t="s">
        <v>154</v>
      </c>
      <c r="N721" t="s">
        <v>217</v>
      </c>
      <c r="O721" t="s">
        <v>165</v>
      </c>
      <c r="P721">
        <v>1.8374771141222726E-2</v>
      </c>
      <c r="Q721" t="s">
        <v>154</v>
      </c>
    </row>
    <row r="722" spans="9:17" x14ac:dyDescent="0.45">
      <c r="I722" t="s">
        <v>188</v>
      </c>
      <c r="J722" t="s">
        <v>264</v>
      </c>
      <c r="K722">
        <v>3.1233382422099481E-3</v>
      </c>
      <c r="L722" t="s">
        <v>154</v>
      </c>
      <c r="N722" t="s">
        <v>217</v>
      </c>
      <c r="O722" t="s">
        <v>264</v>
      </c>
      <c r="P722">
        <v>2.2141707624276398E-3</v>
      </c>
      <c r="Q722" t="s">
        <v>154</v>
      </c>
    </row>
    <row r="723" spans="9:17" x14ac:dyDescent="0.45">
      <c r="I723" t="s">
        <v>188</v>
      </c>
      <c r="J723" t="s">
        <v>265</v>
      </c>
      <c r="K723">
        <v>0</v>
      </c>
      <c r="L723" t="s">
        <v>154</v>
      </c>
      <c r="N723" t="s">
        <v>217</v>
      </c>
      <c r="O723" t="s">
        <v>265</v>
      </c>
      <c r="P723">
        <v>2.2369124117227017E-3</v>
      </c>
      <c r="Q723" t="s">
        <v>154</v>
      </c>
    </row>
    <row r="724" spans="9:17" x14ac:dyDescent="0.45">
      <c r="I724" t="s">
        <v>188</v>
      </c>
      <c r="J724" t="s">
        <v>266</v>
      </c>
      <c r="K724">
        <v>0</v>
      </c>
      <c r="L724" t="s">
        <v>154</v>
      </c>
      <c r="N724" t="s">
        <v>217</v>
      </c>
      <c r="O724" t="s">
        <v>266</v>
      </c>
      <c r="P724">
        <v>1.1829375919547771E-2</v>
      </c>
      <c r="Q724" t="s">
        <v>154</v>
      </c>
    </row>
    <row r="725" spans="9:17" x14ac:dyDescent="0.45">
      <c r="I725" t="s">
        <v>188</v>
      </c>
      <c r="J725" t="s">
        <v>272</v>
      </c>
      <c r="K725">
        <v>0</v>
      </c>
      <c r="L725" t="s">
        <v>154</v>
      </c>
      <c r="N725" t="s">
        <v>217</v>
      </c>
      <c r="O725" t="s">
        <v>272</v>
      </c>
      <c r="P725">
        <v>4.3772654209916426E-2</v>
      </c>
      <c r="Q725" t="s">
        <v>154</v>
      </c>
    </row>
    <row r="726" spans="9:17" x14ac:dyDescent="0.45">
      <c r="I726" t="s">
        <v>188</v>
      </c>
      <c r="J726" t="s">
        <v>273</v>
      </c>
      <c r="K726">
        <v>1.5388148935864387E-2</v>
      </c>
      <c r="L726" t="s">
        <v>154</v>
      </c>
      <c r="N726" t="s">
        <v>217</v>
      </c>
      <c r="O726" t="s">
        <v>273</v>
      </c>
      <c r="P726">
        <v>1.1693496648247611E-2</v>
      </c>
      <c r="Q726" t="s">
        <v>154</v>
      </c>
    </row>
    <row r="727" spans="9:17" x14ac:dyDescent="0.45">
      <c r="I727" t="s">
        <v>188</v>
      </c>
      <c r="J727" t="s">
        <v>274</v>
      </c>
      <c r="K727">
        <v>0.11154220793415856</v>
      </c>
      <c r="L727" t="s">
        <v>154</v>
      </c>
      <c r="N727" t="s">
        <v>217</v>
      </c>
      <c r="O727" t="s">
        <v>274</v>
      </c>
      <c r="P727">
        <v>5.4940889928227439E-2</v>
      </c>
      <c r="Q727" t="s">
        <v>154</v>
      </c>
    </row>
    <row r="728" spans="9:17" x14ac:dyDescent="0.45">
      <c r="I728" t="s">
        <v>188</v>
      </c>
      <c r="J728" t="s">
        <v>275</v>
      </c>
      <c r="K728">
        <v>6.7725110691787523E-3</v>
      </c>
      <c r="L728" t="s">
        <v>154</v>
      </c>
      <c r="N728" t="s">
        <v>217</v>
      </c>
      <c r="O728" t="s">
        <v>275</v>
      </c>
      <c r="P728">
        <v>5.644873178322728E-3</v>
      </c>
      <c r="Q728" t="s">
        <v>154</v>
      </c>
    </row>
    <row r="729" spans="9:17" x14ac:dyDescent="0.45">
      <c r="I729" t="s">
        <v>188</v>
      </c>
      <c r="J729" t="s">
        <v>276</v>
      </c>
      <c r="K729">
        <v>2.3374744948448519E-5</v>
      </c>
      <c r="L729" t="s">
        <v>154</v>
      </c>
      <c r="N729" t="s">
        <v>217</v>
      </c>
      <c r="O729" t="s">
        <v>276</v>
      </c>
      <c r="P729">
        <v>5.4663624367206889E-3</v>
      </c>
      <c r="Q729" t="s">
        <v>154</v>
      </c>
    </row>
    <row r="730" spans="9:17" x14ac:dyDescent="0.45">
      <c r="I730" t="s">
        <v>188</v>
      </c>
      <c r="J730" t="s">
        <v>277</v>
      </c>
      <c r="K730">
        <v>0</v>
      </c>
      <c r="L730" t="s">
        <v>154</v>
      </c>
      <c r="N730" t="s">
        <v>217</v>
      </c>
      <c r="O730" t="s">
        <v>277</v>
      </c>
      <c r="P730">
        <v>3.0597394681587831E-2</v>
      </c>
      <c r="Q730" t="s">
        <v>154</v>
      </c>
    </row>
    <row r="731" spans="9:17" x14ac:dyDescent="0.45">
      <c r="I731" t="s">
        <v>189</v>
      </c>
      <c r="J731" t="s">
        <v>153</v>
      </c>
      <c r="K731">
        <v>0</v>
      </c>
      <c r="L731" t="s">
        <v>154</v>
      </c>
    </row>
    <row r="732" spans="9:17" x14ac:dyDescent="0.45">
      <c r="I732" t="s">
        <v>189</v>
      </c>
      <c r="J732" t="s">
        <v>155</v>
      </c>
      <c r="K732">
        <v>6.9262465407316273E-2</v>
      </c>
      <c r="L732" t="s">
        <v>154</v>
      </c>
    </row>
    <row r="733" spans="9:17" x14ac:dyDescent="0.45">
      <c r="I733" t="s">
        <v>189</v>
      </c>
      <c r="J733" t="s">
        <v>156</v>
      </c>
      <c r="K733">
        <v>0.54584623930401599</v>
      </c>
      <c r="L733" t="s">
        <v>154</v>
      </c>
    </row>
    <row r="734" spans="9:17" x14ac:dyDescent="0.45">
      <c r="I734" t="s">
        <v>189</v>
      </c>
      <c r="J734" t="s">
        <v>255</v>
      </c>
      <c r="K734">
        <v>3.5501041301301717E-2</v>
      </c>
      <c r="L734" t="s">
        <v>154</v>
      </c>
    </row>
    <row r="735" spans="9:17" x14ac:dyDescent="0.45">
      <c r="I735" t="s">
        <v>189</v>
      </c>
      <c r="J735" t="s">
        <v>256</v>
      </c>
      <c r="K735">
        <v>2.144923560937503E-2</v>
      </c>
      <c r="L735" t="s">
        <v>154</v>
      </c>
    </row>
    <row r="736" spans="9:17" x14ac:dyDescent="0.45">
      <c r="I736" t="s">
        <v>189</v>
      </c>
      <c r="J736" t="s">
        <v>257</v>
      </c>
      <c r="K736">
        <v>1.6991135100064206E-6</v>
      </c>
      <c r="L736" t="s">
        <v>154</v>
      </c>
    </row>
    <row r="737" spans="9:12" x14ac:dyDescent="0.45">
      <c r="I737" t="s">
        <v>189</v>
      </c>
      <c r="J737" t="s">
        <v>157</v>
      </c>
      <c r="K737">
        <v>0</v>
      </c>
      <c r="L737" t="s">
        <v>154</v>
      </c>
    </row>
    <row r="738" spans="9:12" x14ac:dyDescent="0.45">
      <c r="I738" t="s">
        <v>189</v>
      </c>
      <c r="J738" t="s">
        <v>158</v>
      </c>
      <c r="K738">
        <v>5.8793077479721168E-3</v>
      </c>
      <c r="L738" t="s">
        <v>154</v>
      </c>
    </row>
    <row r="739" spans="9:12" x14ac:dyDescent="0.45">
      <c r="I739" t="s">
        <v>189</v>
      </c>
      <c r="J739" t="s">
        <v>159</v>
      </c>
      <c r="K739">
        <v>4.4409961301552114E-2</v>
      </c>
      <c r="L739" t="s">
        <v>154</v>
      </c>
    </row>
    <row r="740" spans="9:12" x14ac:dyDescent="0.45">
      <c r="I740" t="s">
        <v>189</v>
      </c>
      <c r="J740" t="s">
        <v>258</v>
      </c>
      <c r="K740">
        <v>1.8019967282309046E-3</v>
      </c>
      <c r="L740" t="s">
        <v>154</v>
      </c>
    </row>
    <row r="741" spans="9:12" x14ac:dyDescent="0.45">
      <c r="I741" t="s">
        <v>189</v>
      </c>
      <c r="J741" t="s">
        <v>259</v>
      </c>
      <c r="K741">
        <v>7.8793232720143693E-4</v>
      </c>
      <c r="L741" t="s">
        <v>154</v>
      </c>
    </row>
    <row r="742" spans="9:12" x14ac:dyDescent="0.45">
      <c r="I742" t="s">
        <v>189</v>
      </c>
      <c r="J742" t="s">
        <v>260</v>
      </c>
      <c r="K742">
        <v>0</v>
      </c>
      <c r="L742" t="s">
        <v>154</v>
      </c>
    </row>
    <row r="743" spans="9:12" x14ac:dyDescent="0.45">
      <c r="I743" t="s">
        <v>189</v>
      </c>
      <c r="J743" t="s">
        <v>160</v>
      </c>
      <c r="K743">
        <v>0</v>
      </c>
      <c r="L743" t="s">
        <v>154</v>
      </c>
    </row>
    <row r="744" spans="9:12" x14ac:dyDescent="0.45">
      <c r="I744" t="s">
        <v>189</v>
      </c>
      <c r="J744" t="s">
        <v>161</v>
      </c>
      <c r="K744">
        <v>7.301135679321097E-3</v>
      </c>
      <c r="L744" t="s">
        <v>154</v>
      </c>
    </row>
    <row r="745" spans="9:12" x14ac:dyDescent="0.45">
      <c r="I745" t="s">
        <v>189</v>
      </c>
      <c r="J745" t="s">
        <v>162</v>
      </c>
      <c r="K745">
        <v>5.3746169746850161E-2</v>
      </c>
      <c r="L745" t="s">
        <v>154</v>
      </c>
    </row>
    <row r="746" spans="9:12" x14ac:dyDescent="0.45">
      <c r="I746" t="s">
        <v>189</v>
      </c>
      <c r="J746" t="s">
        <v>261</v>
      </c>
      <c r="K746">
        <v>2.7867937089613957E-3</v>
      </c>
      <c r="L746" t="s">
        <v>154</v>
      </c>
    </row>
    <row r="747" spans="9:12" x14ac:dyDescent="0.45">
      <c r="I747" t="s">
        <v>189</v>
      </c>
      <c r="J747" t="s">
        <v>262</v>
      </c>
      <c r="K747">
        <v>1.5979677229239447E-3</v>
      </c>
      <c r="L747" t="s">
        <v>154</v>
      </c>
    </row>
    <row r="748" spans="9:12" x14ac:dyDescent="0.45">
      <c r="I748" t="s">
        <v>189</v>
      </c>
      <c r="J748" t="s">
        <v>263</v>
      </c>
      <c r="K748">
        <v>0</v>
      </c>
      <c r="L748" t="s">
        <v>154</v>
      </c>
    </row>
    <row r="749" spans="9:12" x14ac:dyDescent="0.45">
      <c r="I749" t="s">
        <v>189</v>
      </c>
      <c r="J749" t="s">
        <v>163</v>
      </c>
      <c r="K749">
        <v>0</v>
      </c>
      <c r="L749" t="s">
        <v>154</v>
      </c>
    </row>
    <row r="750" spans="9:12" x14ac:dyDescent="0.45">
      <c r="I750" t="s">
        <v>189</v>
      </c>
      <c r="J750" t="s">
        <v>164</v>
      </c>
      <c r="K750">
        <v>9.1267807300972614E-3</v>
      </c>
      <c r="L750" t="s">
        <v>154</v>
      </c>
    </row>
    <row r="751" spans="9:12" x14ac:dyDescent="0.45">
      <c r="I751" t="s">
        <v>189</v>
      </c>
      <c r="J751" t="s">
        <v>165</v>
      </c>
      <c r="K751">
        <v>5.5978995438876189E-2</v>
      </c>
      <c r="L751" t="s">
        <v>154</v>
      </c>
    </row>
    <row r="752" spans="9:12" x14ac:dyDescent="0.45">
      <c r="I752" t="s">
        <v>189</v>
      </c>
      <c r="J752" t="s">
        <v>264</v>
      </c>
      <c r="K752">
        <v>3.3267113250023774E-3</v>
      </c>
      <c r="L752" t="s">
        <v>154</v>
      </c>
    </row>
    <row r="753" spans="9:12" x14ac:dyDescent="0.45">
      <c r="I753" t="s">
        <v>189</v>
      </c>
      <c r="J753" t="s">
        <v>265</v>
      </c>
      <c r="K753">
        <v>6.6807350795245078E-5</v>
      </c>
      <c r="L753" t="s">
        <v>154</v>
      </c>
    </row>
    <row r="754" spans="9:12" x14ac:dyDescent="0.45">
      <c r="I754" t="s">
        <v>189</v>
      </c>
      <c r="J754" t="s">
        <v>266</v>
      </c>
      <c r="K754">
        <v>0</v>
      </c>
      <c r="L754" t="s">
        <v>154</v>
      </c>
    </row>
    <row r="755" spans="9:12" x14ac:dyDescent="0.45">
      <c r="I755" t="s">
        <v>189</v>
      </c>
      <c r="J755" t="s">
        <v>272</v>
      </c>
      <c r="K755">
        <v>0</v>
      </c>
      <c r="L755" t="s">
        <v>154</v>
      </c>
    </row>
    <row r="756" spans="9:12" x14ac:dyDescent="0.45">
      <c r="I756" t="s">
        <v>189</v>
      </c>
      <c r="J756" t="s">
        <v>273</v>
      </c>
      <c r="K756">
        <v>1.6128903559812498E-2</v>
      </c>
      <c r="L756" t="s">
        <v>154</v>
      </c>
    </row>
    <row r="757" spans="9:12" x14ac:dyDescent="0.45">
      <c r="I757" t="s">
        <v>189</v>
      </c>
      <c r="J757" t="s">
        <v>274</v>
      </c>
      <c r="K757">
        <v>0.11773042696673838</v>
      </c>
      <c r="L757" t="s">
        <v>154</v>
      </c>
    </row>
    <row r="758" spans="9:12" x14ac:dyDescent="0.45">
      <c r="I758" t="s">
        <v>189</v>
      </c>
      <c r="J758" t="s">
        <v>275</v>
      </c>
      <c r="K758">
        <v>7.1302198968227377E-3</v>
      </c>
      <c r="L758" t="s">
        <v>154</v>
      </c>
    </row>
    <row r="759" spans="9:12" x14ac:dyDescent="0.45">
      <c r="I759" t="s">
        <v>189</v>
      </c>
      <c r="J759" t="s">
        <v>276</v>
      </c>
      <c r="K759">
        <v>1.392090333206963E-4</v>
      </c>
      <c r="L759" t="s">
        <v>154</v>
      </c>
    </row>
    <row r="760" spans="9:12" x14ac:dyDescent="0.45">
      <c r="I760" t="s">
        <v>189</v>
      </c>
      <c r="J760" t="s">
        <v>277</v>
      </c>
      <c r="K760">
        <v>0</v>
      </c>
      <c r="L760" t="s">
        <v>154</v>
      </c>
    </row>
    <row r="761" spans="9:12" x14ac:dyDescent="0.45">
      <c r="I761" t="s">
        <v>190</v>
      </c>
      <c r="J761" t="s">
        <v>153</v>
      </c>
      <c r="K761">
        <v>2.2394744538167756E-4</v>
      </c>
      <c r="L761" t="s">
        <v>154</v>
      </c>
    </row>
    <row r="762" spans="9:12" x14ac:dyDescent="0.45">
      <c r="I762" t="s">
        <v>190</v>
      </c>
      <c r="J762" t="s">
        <v>155</v>
      </c>
      <c r="K762">
        <v>6.7794716071423941E-2</v>
      </c>
      <c r="L762" t="s">
        <v>154</v>
      </c>
    </row>
    <row r="763" spans="9:12" x14ac:dyDescent="0.45">
      <c r="I763" t="s">
        <v>190</v>
      </c>
      <c r="J763" t="s">
        <v>156</v>
      </c>
      <c r="K763">
        <v>0.5477133536795401</v>
      </c>
      <c r="L763" t="s">
        <v>154</v>
      </c>
    </row>
    <row r="764" spans="9:12" x14ac:dyDescent="0.45">
      <c r="I764" t="s">
        <v>190</v>
      </c>
      <c r="J764" t="s">
        <v>255</v>
      </c>
      <c r="K764">
        <v>3.9191207899415041E-2</v>
      </c>
      <c r="L764" t="s">
        <v>154</v>
      </c>
    </row>
    <row r="765" spans="9:12" x14ac:dyDescent="0.45">
      <c r="I765" t="s">
        <v>190</v>
      </c>
      <c r="J765" t="s">
        <v>256</v>
      </c>
      <c r="K765">
        <v>2.272142074279063E-2</v>
      </c>
      <c r="L765" t="s">
        <v>154</v>
      </c>
    </row>
    <row r="766" spans="9:12" x14ac:dyDescent="0.45">
      <c r="I766" t="s">
        <v>190</v>
      </c>
      <c r="J766" t="s">
        <v>257</v>
      </c>
      <c r="K766">
        <v>0</v>
      </c>
      <c r="L766" t="s">
        <v>154</v>
      </c>
    </row>
    <row r="767" spans="9:12" x14ac:dyDescent="0.45">
      <c r="I767" t="s">
        <v>190</v>
      </c>
      <c r="J767" t="s">
        <v>157</v>
      </c>
      <c r="K767">
        <v>0</v>
      </c>
      <c r="L767" t="s">
        <v>154</v>
      </c>
    </row>
    <row r="768" spans="9:12" x14ac:dyDescent="0.45">
      <c r="I768" t="s">
        <v>190</v>
      </c>
      <c r="J768" t="s">
        <v>158</v>
      </c>
      <c r="K768">
        <v>5.5009701936499502E-3</v>
      </c>
      <c r="L768" t="s">
        <v>154</v>
      </c>
    </row>
    <row r="769" spans="9:12" x14ac:dyDescent="0.45">
      <c r="I769" t="s">
        <v>190</v>
      </c>
      <c r="J769" t="s">
        <v>159</v>
      </c>
      <c r="K769">
        <v>4.9104661061704122E-2</v>
      </c>
      <c r="L769" t="s">
        <v>154</v>
      </c>
    </row>
    <row r="770" spans="9:12" x14ac:dyDescent="0.45">
      <c r="I770" t="s">
        <v>190</v>
      </c>
      <c r="J770" t="s">
        <v>258</v>
      </c>
      <c r="K770">
        <v>2.7647496709219451E-3</v>
      </c>
      <c r="L770" t="s">
        <v>154</v>
      </c>
    </row>
    <row r="771" spans="9:12" x14ac:dyDescent="0.45">
      <c r="I771" t="s">
        <v>190</v>
      </c>
      <c r="J771" t="s">
        <v>259</v>
      </c>
      <c r="K771">
        <v>1.3402690104221738E-3</v>
      </c>
      <c r="L771" t="s">
        <v>154</v>
      </c>
    </row>
    <row r="772" spans="9:12" x14ac:dyDescent="0.45">
      <c r="I772" t="s">
        <v>190</v>
      </c>
      <c r="J772" t="s">
        <v>260</v>
      </c>
      <c r="K772">
        <v>0</v>
      </c>
      <c r="L772" t="s">
        <v>154</v>
      </c>
    </row>
    <row r="773" spans="9:12" x14ac:dyDescent="0.45">
      <c r="I773" t="s">
        <v>190</v>
      </c>
      <c r="J773" t="s">
        <v>160</v>
      </c>
      <c r="K773">
        <v>0</v>
      </c>
      <c r="L773" t="s">
        <v>154</v>
      </c>
    </row>
    <row r="774" spans="9:12" x14ac:dyDescent="0.45">
      <c r="I774" t="s">
        <v>190</v>
      </c>
      <c r="J774" t="s">
        <v>161</v>
      </c>
      <c r="K774">
        <v>7.1970991908799353E-3</v>
      </c>
      <c r="L774" t="s">
        <v>154</v>
      </c>
    </row>
    <row r="775" spans="9:12" x14ac:dyDescent="0.45">
      <c r="I775" t="s">
        <v>190</v>
      </c>
      <c r="J775" t="s">
        <v>162</v>
      </c>
      <c r="K775">
        <v>5.6145830294718931E-2</v>
      </c>
      <c r="L775" t="s">
        <v>154</v>
      </c>
    </row>
    <row r="776" spans="9:12" x14ac:dyDescent="0.45">
      <c r="I776" t="s">
        <v>190</v>
      </c>
      <c r="J776" t="s">
        <v>261</v>
      </c>
      <c r="K776">
        <v>2.7871085238285256E-3</v>
      </c>
      <c r="L776" t="s">
        <v>154</v>
      </c>
    </row>
    <row r="777" spans="9:12" x14ac:dyDescent="0.45">
      <c r="I777" t="s">
        <v>190</v>
      </c>
      <c r="J777" t="s">
        <v>262</v>
      </c>
      <c r="K777">
        <v>1.2416095171090406E-3</v>
      </c>
      <c r="L777" t="s">
        <v>154</v>
      </c>
    </row>
    <row r="778" spans="9:12" x14ac:dyDescent="0.45">
      <c r="I778" t="s">
        <v>190</v>
      </c>
      <c r="J778" t="s">
        <v>263</v>
      </c>
      <c r="K778">
        <v>0</v>
      </c>
      <c r="L778" t="s">
        <v>154</v>
      </c>
    </row>
    <row r="779" spans="9:12" x14ac:dyDescent="0.45">
      <c r="I779" t="s">
        <v>190</v>
      </c>
      <c r="J779" t="s">
        <v>163</v>
      </c>
      <c r="K779">
        <v>0</v>
      </c>
      <c r="L779" t="s">
        <v>154</v>
      </c>
    </row>
    <row r="780" spans="9:12" x14ac:dyDescent="0.45">
      <c r="I780" t="s">
        <v>190</v>
      </c>
      <c r="J780" t="s">
        <v>164</v>
      </c>
      <c r="K780">
        <v>8.2620307257736322E-3</v>
      </c>
      <c r="L780" t="s">
        <v>154</v>
      </c>
    </row>
    <row r="781" spans="9:12" x14ac:dyDescent="0.45">
      <c r="I781" t="s">
        <v>190</v>
      </c>
      <c r="J781" t="s">
        <v>165</v>
      </c>
      <c r="K781">
        <v>5.3177761568912706E-2</v>
      </c>
      <c r="L781" t="s">
        <v>154</v>
      </c>
    </row>
    <row r="782" spans="9:12" x14ac:dyDescent="0.45">
      <c r="I782" t="s">
        <v>190</v>
      </c>
      <c r="J782" t="s">
        <v>264</v>
      </c>
      <c r="K782">
        <v>3.1019948684034922E-3</v>
      </c>
      <c r="L782" t="s">
        <v>154</v>
      </c>
    </row>
    <row r="783" spans="9:12" x14ac:dyDescent="0.45">
      <c r="I783" t="s">
        <v>190</v>
      </c>
      <c r="J783" t="s">
        <v>265</v>
      </c>
      <c r="K783">
        <v>0</v>
      </c>
      <c r="L783" t="s">
        <v>154</v>
      </c>
    </row>
    <row r="784" spans="9:12" x14ac:dyDescent="0.45">
      <c r="I784" t="s">
        <v>190</v>
      </c>
      <c r="J784" t="s">
        <v>266</v>
      </c>
      <c r="K784">
        <v>0</v>
      </c>
      <c r="L784" t="s">
        <v>154</v>
      </c>
    </row>
    <row r="785" spans="9:12" x14ac:dyDescent="0.45">
      <c r="I785" t="s">
        <v>190</v>
      </c>
      <c r="J785" t="s">
        <v>272</v>
      </c>
      <c r="K785">
        <v>0</v>
      </c>
      <c r="L785" t="s">
        <v>154</v>
      </c>
    </row>
    <row r="786" spans="9:12" x14ac:dyDescent="0.45">
      <c r="I786" t="s">
        <v>190</v>
      </c>
      <c r="J786" t="s">
        <v>273</v>
      </c>
      <c r="K786">
        <v>1.3777531993795685E-2</v>
      </c>
      <c r="L786" t="s">
        <v>154</v>
      </c>
    </row>
    <row r="787" spans="9:12" x14ac:dyDescent="0.45">
      <c r="I787" t="s">
        <v>190</v>
      </c>
      <c r="J787" t="s">
        <v>274</v>
      </c>
      <c r="K787">
        <v>0.11087406786418842</v>
      </c>
      <c r="L787" t="s">
        <v>154</v>
      </c>
    </row>
    <row r="788" spans="9:12" x14ac:dyDescent="0.45">
      <c r="I788" t="s">
        <v>190</v>
      </c>
      <c r="J788" t="s">
        <v>275</v>
      </c>
      <c r="K788">
        <v>7.0139644216983621E-3</v>
      </c>
      <c r="L788" t="s">
        <v>154</v>
      </c>
    </row>
    <row r="789" spans="9:12" x14ac:dyDescent="0.45">
      <c r="I789" t="s">
        <v>190</v>
      </c>
      <c r="J789" t="s">
        <v>276</v>
      </c>
      <c r="K789">
        <v>6.5705255445799789E-5</v>
      </c>
      <c r="L789" t="s">
        <v>154</v>
      </c>
    </row>
    <row r="790" spans="9:12" x14ac:dyDescent="0.45">
      <c r="I790" t="s">
        <v>190</v>
      </c>
      <c r="J790" t="s">
        <v>277</v>
      </c>
      <c r="K790">
        <v>0</v>
      </c>
      <c r="L790" t="s">
        <v>154</v>
      </c>
    </row>
    <row r="791" spans="9:12" x14ac:dyDescent="0.45">
      <c r="I791" t="s">
        <v>191</v>
      </c>
      <c r="J791" t="s">
        <v>153</v>
      </c>
      <c r="K791">
        <v>2.3282573559907458E-3</v>
      </c>
      <c r="L791" t="s">
        <v>154</v>
      </c>
    </row>
    <row r="792" spans="9:12" x14ac:dyDescent="0.45">
      <c r="I792" t="s">
        <v>191</v>
      </c>
      <c r="J792" t="s">
        <v>155</v>
      </c>
      <c r="K792">
        <v>7.208390400075966E-2</v>
      </c>
      <c r="L792" t="s">
        <v>154</v>
      </c>
    </row>
    <row r="793" spans="9:12" x14ac:dyDescent="0.45">
      <c r="I793" t="s">
        <v>191</v>
      </c>
      <c r="J793" t="s">
        <v>156</v>
      </c>
      <c r="K793">
        <v>0.54582073209309057</v>
      </c>
      <c r="L793" t="s">
        <v>154</v>
      </c>
    </row>
    <row r="794" spans="9:12" x14ac:dyDescent="0.45">
      <c r="I794" t="s">
        <v>191</v>
      </c>
      <c r="J794" t="s">
        <v>255</v>
      </c>
      <c r="K794">
        <v>3.7939227666586521E-2</v>
      </c>
      <c r="L794" t="s">
        <v>154</v>
      </c>
    </row>
    <row r="795" spans="9:12" x14ac:dyDescent="0.45">
      <c r="I795" t="s">
        <v>191</v>
      </c>
      <c r="J795" t="s">
        <v>256</v>
      </c>
      <c r="K795">
        <v>2.154910042028187E-2</v>
      </c>
      <c r="L795" t="s">
        <v>154</v>
      </c>
    </row>
    <row r="796" spans="9:12" x14ac:dyDescent="0.45">
      <c r="I796" t="s">
        <v>191</v>
      </c>
      <c r="J796" t="s">
        <v>257</v>
      </c>
      <c r="K796">
        <v>0</v>
      </c>
      <c r="L796" t="s">
        <v>154</v>
      </c>
    </row>
    <row r="797" spans="9:12" x14ac:dyDescent="0.45">
      <c r="I797" t="s">
        <v>191</v>
      </c>
      <c r="J797" t="s">
        <v>157</v>
      </c>
      <c r="K797">
        <v>0</v>
      </c>
      <c r="L797" t="s">
        <v>154</v>
      </c>
    </row>
    <row r="798" spans="9:12" x14ac:dyDescent="0.45">
      <c r="I798" t="s">
        <v>191</v>
      </c>
      <c r="J798" t="s">
        <v>158</v>
      </c>
      <c r="K798">
        <v>5.8373794679176961E-3</v>
      </c>
      <c r="L798" t="s">
        <v>154</v>
      </c>
    </row>
    <row r="799" spans="9:12" x14ac:dyDescent="0.45">
      <c r="I799" t="s">
        <v>191</v>
      </c>
      <c r="J799" t="s">
        <v>159</v>
      </c>
      <c r="K799">
        <v>5.0912707048219617E-2</v>
      </c>
      <c r="L799" t="s">
        <v>154</v>
      </c>
    </row>
    <row r="800" spans="9:12" x14ac:dyDescent="0.45">
      <c r="I800" t="s">
        <v>191</v>
      </c>
      <c r="J800" t="s">
        <v>258</v>
      </c>
      <c r="K800">
        <v>2.9182363929172762E-3</v>
      </c>
      <c r="L800" t="s">
        <v>154</v>
      </c>
    </row>
    <row r="801" spans="9:12" x14ac:dyDescent="0.45">
      <c r="I801" t="s">
        <v>191</v>
      </c>
      <c r="J801" t="s">
        <v>259</v>
      </c>
      <c r="K801">
        <v>1.4650250401580505E-3</v>
      </c>
      <c r="L801" t="s">
        <v>154</v>
      </c>
    </row>
    <row r="802" spans="9:12" x14ac:dyDescent="0.45">
      <c r="I802" t="s">
        <v>191</v>
      </c>
      <c r="J802" t="s">
        <v>260</v>
      </c>
      <c r="K802">
        <v>0</v>
      </c>
      <c r="L802" t="s">
        <v>154</v>
      </c>
    </row>
    <row r="803" spans="9:12" x14ac:dyDescent="0.45">
      <c r="I803" t="s">
        <v>191</v>
      </c>
      <c r="J803" t="s">
        <v>160</v>
      </c>
      <c r="K803">
        <v>0</v>
      </c>
      <c r="L803" t="s">
        <v>154</v>
      </c>
    </row>
    <row r="804" spans="9:12" x14ac:dyDescent="0.45">
      <c r="I804" t="s">
        <v>191</v>
      </c>
      <c r="J804" t="s">
        <v>161</v>
      </c>
      <c r="K804">
        <v>7.4781398149973421E-3</v>
      </c>
      <c r="L804" t="s">
        <v>154</v>
      </c>
    </row>
    <row r="805" spans="9:12" x14ac:dyDescent="0.45">
      <c r="I805" t="s">
        <v>191</v>
      </c>
      <c r="J805" t="s">
        <v>162</v>
      </c>
      <c r="K805">
        <v>5.8081062934628114E-2</v>
      </c>
      <c r="L805" t="s">
        <v>154</v>
      </c>
    </row>
    <row r="806" spans="9:12" x14ac:dyDescent="0.45">
      <c r="I806" t="s">
        <v>191</v>
      </c>
      <c r="J806" t="s">
        <v>261</v>
      </c>
      <c r="K806">
        <v>3.0432207727766098E-3</v>
      </c>
      <c r="L806" t="s">
        <v>154</v>
      </c>
    </row>
    <row r="807" spans="9:12" x14ac:dyDescent="0.45">
      <c r="I807" t="s">
        <v>191</v>
      </c>
      <c r="J807" t="s">
        <v>262</v>
      </c>
      <c r="K807">
        <v>7.3497798760553635E-4</v>
      </c>
      <c r="L807" t="s">
        <v>154</v>
      </c>
    </row>
    <row r="808" spans="9:12" x14ac:dyDescent="0.45">
      <c r="I808" t="s">
        <v>191</v>
      </c>
      <c r="J808" t="s">
        <v>263</v>
      </c>
      <c r="K808">
        <v>0</v>
      </c>
      <c r="L808" t="s">
        <v>154</v>
      </c>
    </row>
    <row r="809" spans="9:12" x14ac:dyDescent="0.45">
      <c r="I809" t="s">
        <v>191</v>
      </c>
      <c r="J809" t="s">
        <v>163</v>
      </c>
      <c r="K809">
        <v>0</v>
      </c>
      <c r="L809" t="s">
        <v>154</v>
      </c>
    </row>
    <row r="810" spans="9:12" x14ac:dyDescent="0.45">
      <c r="I810" t="s">
        <v>191</v>
      </c>
      <c r="J810" t="s">
        <v>164</v>
      </c>
      <c r="K810">
        <v>8.0608892612920782E-3</v>
      </c>
      <c r="L810" t="s">
        <v>154</v>
      </c>
    </row>
    <row r="811" spans="9:12" x14ac:dyDescent="0.45">
      <c r="I811" t="s">
        <v>191</v>
      </c>
      <c r="J811" t="s">
        <v>165</v>
      </c>
      <c r="K811">
        <v>5.1860873567195355E-2</v>
      </c>
      <c r="L811" t="s">
        <v>154</v>
      </c>
    </row>
    <row r="812" spans="9:12" x14ac:dyDescent="0.45">
      <c r="I812" t="s">
        <v>191</v>
      </c>
      <c r="J812" t="s">
        <v>264</v>
      </c>
      <c r="K812">
        <v>2.9951724744180139E-3</v>
      </c>
      <c r="L812" t="s">
        <v>154</v>
      </c>
    </row>
    <row r="813" spans="9:12" x14ac:dyDescent="0.45">
      <c r="I813" t="s">
        <v>191</v>
      </c>
      <c r="J813" t="s">
        <v>265</v>
      </c>
      <c r="K813">
        <v>0</v>
      </c>
      <c r="L813" t="s">
        <v>154</v>
      </c>
    </row>
    <row r="814" spans="9:12" x14ac:dyDescent="0.45">
      <c r="I814" t="s">
        <v>191</v>
      </c>
      <c r="J814" t="s">
        <v>266</v>
      </c>
      <c r="K814">
        <v>0</v>
      </c>
      <c r="L814" t="s">
        <v>154</v>
      </c>
    </row>
    <row r="815" spans="9:12" x14ac:dyDescent="0.45">
      <c r="I815" t="s">
        <v>191</v>
      </c>
      <c r="J815" t="s">
        <v>272</v>
      </c>
      <c r="K815">
        <v>0</v>
      </c>
      <c r="L815" t="s">
        <v>154</v>
      </c>
    </row>
    <row r="816" spans="9:12" x14ac:dyDescent="0.45">
      <c r="I816" t="s">
        <v>191</v>
      </c>
      <c r="J816" t="s">
        <v>273</v>
      </c>
      <c r="K816">
        <v>1.4941924759945449E-2</v>
      </c>
      <c r="L816" t="s">
        <v>154</v>
      </c>
    </row>
    <row r="817" spans="9:12" x14ac:dyDescent="0.45">
      <c r="I817" t="s">
        <v>191</v>
      </c>
      <c r="J817" t="s">
        <v>274</v>
      </c>
      <c r="K817">
        <v>0.10576268684395286</v>
      </c>
      <c r="L817" t="s">
        <v>154</v>
      </c>
    </row>
    <row r="818" spans="9:12" x14ac:dyDescent="0.45">
      <c r="I818" t="s">
        <v>191</v>
      </c>
      <c r="J818" t="s">
        <v>275</v>
      </c>
      <c r="K818">
        <v>6.1864820972665014E-3</v>
      </c>
      <c r="L818" t="s">
        <v>154</v>
      </c>
    </row>
    <row r="819" spans="9:12" x14ac:dyDescent="0.45">
      <c r="I819" t="s">
        <v>191</v>
      </c>
      <c r="J819" t="s">
        <v>276</v>
      </c>
      <c r="K819">
        <v>0</v>
      </c>
      <c r="L819" t="s">
        <v>154</v>
      </c>
    </row>
    <row r="820" spans="9:12" x14ac:dyDescent="0.45">
      <c r="I820" t="s">
        <v>191</v>
      </c>
      <c r="J820" t="s">
        <v>277</v>
      </c>
      <c r="K820">
        <v>0</v>
      </c>
      <c r="L820" t="s">
        <v>154</v>
      </c>
    </row>
    <row r="821" spans="9:12" x14ac:dyDescent="0.45">
      <c r="I821" t="s">
        <v>192</v>
      </c>
      <c r="J821" t="s">
        <v>153</v>
      </c>
      <c r="K821">
        <v>4.1096061133184215E-3</v>
      </c>
      <c r="L821" t="s">
        <v>154</v>
      </c>
    </row>
    <row r="822" spans="9:12" x14ac:dyDescent="0.45">
      <c r="I822" t="s">
        <v>192</v>
      </c>
      <c r="J822" t="s">
        <v>155</v>
      </c>
      <c r="K822">
        <v>7.1199881758720038E-2</v>
      </c>
      <c r="L822" t="s">
        <v>154</v>
      </c>
    </row>
    <row r="823" spans="9:12" x14ac:dyDescent="0.45">
      <c r="I823" t="s">
        <v>192</v>
      </c>
      <c r="J823" t="s">
        <v>156</v>
      </c>
      <c r="K823">
        <v>0.53840305465342153</v>
      </c>
      <c r="L823" t="s">
        <v>154</v>
      </c>
    </row>
    <row r="824" spans="9:12" x14ac:dyDescent="0.45">
      <c r="I824" t="s">
        <v>192</v>
      </c>
      <c r="J824" t="s">
        <v>255</v>
      </c>
      <c r="K824">
        <v>3.7296716682685353E-2</v>
      </c>
      <c r="L824" t="s">
        <v>154</v>
      </c>
    </row>
    <row r="825" spans="9:12" x14ac:dyDescent="0.45">
      <c r="I825" t="s">
        <v>192</v>
      </c>
      <c r="J825" t="s">
        <v>256</v>
      </c>
      <c r="K825">
        <v>2.0919041236858584E-2</v>
      </c>
      <c r="L825" t="s">
        <v>154</v>
      </c>
    </row>
    <row r="826" spans="9:12" x14ac:dyDescent="0.45">
      <c r="I826" t="s">
        <v>192</v>
      </c>
      <c r="J826" t="s">
        <v>257</v>
      </c>
      <c r="K826">
        <v>0</v>
      </c>
      <c r="L826" t="s">
        <v>154</v>
      </c>
    </row>
    <row r="827" spans="9:12" x14ac:dyDescent="0.45">
      <c r="I827" t="s">
        <v>192</v>
      </c>
      <c r="J827" t="s">
        <v>157</v>
      </c>
      <c r="K827">
        <v>0</v>
      </c>
      <c r="L827" t="s">
        <v>154</v>
      </c>
    </row>
    <row r="828" spans="9:12" x14ac:dyDescent="0.45">
      <c r="I828" t="s">
        <v>192</v>
      </c>
      <c r="J828" t="s">
        <v>158</v>
      </c>
      <c r="K828">
        <v>6.9465784077859041E-3</v>
      </c>
      <c r="L828" t="s">
        <v>154</v>
      </c>
    </row>
    <row r="829" spans="9:12" x14ac:dyDescent="0.45">
      <c r="I829" t="s">
        <v>192</v>
      </c>
      <c r="J829" t="s">
        <v>159</v>
      </c>
      <c r="K829">
        <v>5.1632088486471696E-2</v>
      </c>
      <c r="L829" t="s">
        <v>154</v>
      </c>
    </row>
    <row r="830" spans="9:12" x14ac:dyDescent="0.45">
      <c r="I830" t="s">
        <v>192</v>
      </c>
      <c r="J830" t="s">
        <v>258</v>
      </c>
      <c r="K830">
        <v>2.732032120813634E-3</v>
      </c>
      <c r="L830" t="s">
        <v>154</v>
      </c>
    </row>
    <row r="831" spans="9:12" x14ac:dyDescent="0.45">
      <c r="I831" t="s">
        <v>192</v>
      </c>
      <c r="J831" t="s">
        <v>259</v>
      </c>
      <c r="K831">
        <v>1.4370373994817846E-3</v>
      </c>
      <c r="L831" t="s">
        <v>154</v>
      </c>
    </row>
    <row r="832" spans="9:12" x14ac:dyDescent="0.45">
      <c r="I832" t="s">
        <v>192</v>
      </c>
      <c r="J832" t="s">
        <v>260</v>
      </c>
      <c r="K832">
        <v>0</v>
      </c>
      <c r="L832" t="s">
        <v>154</v>
      </c>
    </row>
    <row r="833" spans="9:12" x14ac:dyDescent="0.45">
      <c r="I833" t="s">
        <v>192</v>
      </c>
      <c r="J833" t="s">
        <v>160</v>
      </c>
      <c r="K833">
        <v>0</v>
      </c>
      <c r="L833" t="s">
        <v>154</v>
      </c>
    </row>
    <row r="834" spans="9:12" x14ac:dyDescent="0.45">
      <c r="I834" t="s">
        <v>192</v>
      </c>
      <c r="J834" t="s">
        <v>161</v>
      </c>
      <c r="K834">
        <v>7.4473239638685922E-3</v>
      </c>
      <c r="L834" t="s">
        <v>154</v>
      </c>
    </row>
    <row r="835" spans="9:12" x14ac:dyDescent="0.45">
      <c r="I835" t="s">
        <v>192</v>
      </c>
      <c r="J835" t="s">
        <v>162</v>
      </c>
      <c r="K835">
        <v>5.8066415182315513E-2</v>
      </c>
      <c r="L835" t="s">
        <v>154</v>
      </c>
    </row>
    <row r="836" spans="9:12" x14ac:dyDescent="0.45">
      <c r="I836" t="s">
        <v>192</v>
      </c>
      <c r="J836" t="s">
        <v>261</v>
      </c>
      <c r="K836">
        <v>2.8998080852128279E-3</v>
      </c>
      <c r="L836" t="s">
        <v>154</v>
      </c>
    </row>
    <row r="837" spans="9:12" x14ac:dyDescent="0.45">
      <c r="I837" t="s">
        <v>192</v>
      </c>
      <c r="J837" t="s">
        <v>262</v>
      </c>
      <c r="K837">
        <v>2.7468975820763285E-4</v>
      </c>
      <c r="L837" t="s">
        <v>154</v>
      </c>
    </row>
    <row r="838" spans="9:12" x14ac:dyDescent="0.45">
      <c r="I838" t="s">
        <v>192</v>
      </c>
      <c r="J838" t="s">
        <v>263</v>
      </c>
      <c r="K838">
        <v>0</v>
      </c>
      <c r="L838" t="s">
        <v>154</v>
      </c>
    </row>
    <row r="839" spans="9:12" x14ac:dyDescent="0.45">
      <c r="I839" t="s">
        <v>192</v>
      </c>
      <c r="J839" t="s">
        <v>163</v>
      </c>
      <c r="K839">
        <v>0</v>
      </c>
      <c r="L839" t="s">
        <v>154</v>
      </c>
    </row>
    <row r="840" spans="9:12" x14ac:dyDescent="0.45">
      <c r="I840" t="s">
        <v>192</v>
      </c>
      <c r="J840" t="s">
        <v>164</v>
      </c>
      <c r="K840">
        <v>8.52058273655373E-3</v>
      </c>
      <c r="L840" t="s">
        <v>154</v>
      </c>
    </row>
    <row r="841" spans="9:12" x14ac:dyDescent="0.45">
      <c r="I841" t="s">
        <v>192</v>
      </c>
      <c r="J841" t="s">
        <v>165</v>
      </c>
      <c r="K841">
        <v>5.1474722794759009E-2</v>
      </c>
      <c r="L841" t="s">
        <v>154</v>
      </c>
    </row>
    <row r="842" spans="9:12" x14ac:dyDescent="0.45">
      <c r="I842" t="s">
        <v>192</v>
      </c>
      <c r="J842" t="s">
        <v>264</v>
      </c>
      <c r="K842">
        <v>2.7726237804608861E-3</v>
      </c>
      <c r="L842" t="s">
        <v>154</v>
      </c>
    </row>
    <row r="843" spans="9:12" x14ac:dyDescent="0.45">
      <c r="I843" t="s">
        <v>192</v>
      </c>
      <c r="J843" t="s">
        <v>265</v>
      </c>
      <c r="K843">
        <v>0</v>
      </c>
      <c r="L843" t="s">
        <v>154</v>
      </c>
    </row>
    <row r="844" spans="9:12" x14ac:dyDescent="0.45">
      <c r="I844" t="s">
        <v>192</v>
      </c>
      <c r="J844" t="s">
        <v>266</v>
      </c>
      <c r="K844">
        <v>0</v>
      </c>
      <c r="L844" t="s">
        <v>154</v>
      </c>
    </row>
    <row r="845" spans="9:12" x14ac:dyDescent="0.45">
      <c r="I845" t="s">
        <v>192</v>
      </c>
      <c r="J845" t="s">
        <v>272</v>
      </c>
      <c r="K845">
        <v>0</v>
      </c>
      <c r="L845" t="s">
        <v>154</v>
      </c>
    </row>
    <row r="846" spans="9:12" x14ac:dyDescent="0.45">
      <c r="I846" t="s">
        <v>192</v>
      </c>
      <c r="J846" t="s">
        <v>273</v>
      </c>
      <c r="K846">
        <v>1.6410488002886629E-2</v>
      </c>
      <c r="L846" t="s">
        <v>154</v>
      </c>
    </row>
    <row r="847" spans="9:12" x14ac:dyDescent="0.45">
      <c r="I847" t="s">
        <v>192</v>
      </c>
      <c r="J847" t="s">
        <v>274</v>
      </c>
      <c r="K847">
        <v>0.11126502478427948</v>
      </c>
      <c r="L847" t="s">
        <v>154</v>
      </c>
    </row>
    <row r="848" spans="9:12" x14ac:dyDescent="0.45">
      <c r="I848" t="s">
        <v>192</v>
      </c>
      <c r="J848" t="s">
        <v>275</v>
      </c>
      <c r="K848">
        <v>6.192284051898928E-3</v>
      </c>
      <c r="L848" t="s">
        <v>154</v>
      </c>
    </row>
    <row r="849" spans="9:12" x14ac:dyDescent="0.45">
      <c r="I849" t="s">
        <v>192</v>
      </c>
      <c r="J849" t="s">
        <v>276</v>
      </c>
      <c r="K849">
        <v>0</v>
      </c>
      <c r="L849" t="s">
        <v>154</v>
      </c>
    </row>
    <row r="850" spans="9:12" x14ac:dyDescent="0.45">
      <c r="I850" t="s">
        <v>192</v>
      </c>
      <c r="J850" t="s">
        <v>277</v>
      </c>
      <c r="K850">
        <v>0</v>
      </c>
      <c r="L850" t="s">
        <v>154</v>
      </c>
    </row>
    <row r="851" spans="9:12" x14ac:dyDescent="0.45">
      <c r="I851" t="s">
        <v>193</v>
      </c>
      <c r="J851" t="s">
        <v>153</v>
      </c>
      <c r="K851">
        <v>1.2897840522305482E-3</v>
      </c>
      <c r="L851" t="s">
        <v>154</v>
      </c>
    </row>
    <row r="852" spans="9:12" x14ac:dyDescent="0.45">
      <c r="I852" t="s">
        <v>193</v>
      </c>
      <c r="J852" t="s">
        <v>155</v>
      </c>
      <c r="K852">
        <v>6.8542831971443494E-2</v>
      </c>
      <c r="L852" t="s">
        <v>154</v>
      </c>
    </row>
    <row r="853" spans="9:12" x14ac:dyDescent="0.45">
      <c r="I853" t="s">
        <v>193</v>
      </c>
      <c r="J853" t="s">
        <v>156</v>
      </c>
      <c r="K853">
        <v>0.53186146305667126</v>
      </c>
      <c r="L853" t="s">
        <v>154</v>
      </c>
    </row>
    <row r="854" spans="9:12" x14ac:dyDescent="0.45">
      <c r="I854" t="s">
        <v>193</v>
      </c>
      <c r="J854" t="s">
        <v>255</v>
      </c>
      <c r="K854">
        <v>3.6694473449452279E-2</v>
      </c>
      <c r="L854" t="s">
        <v>154</v>
      </c>
    </row>
    <row r="855" spans="9:12" x14ac:dyDescent="0.45">
      <c r="I855" t="s">
        <v>193</v>
      </c>
      <c r="J855" t="s">
        <v>256</v>
      </c>
      <c r="K855">
        <v>2.139883432184489E-2</v>
      </c>
      <c r="L855" t="s">
        <v>154</v>
      </c>
    </row>
    <row r="856" spans="9:12" x14ac:dyDescent="0.45">
      <c r="I856" t="s">
        <v>193</v>
      </c>
      <c r="J856" t="s">
        <v>257</v>
      </c>
      <c r="K856">
        <v>0</v>
      </c>
      <c r="L856" t="s">
        <v>154</v>
      </c>
    </row>
    <row r="857" spans="9:12" x14ac:dyDescent="0.45">
      <c r="I857" t="s">
        <v>193</v>
      </c>
      <c r="J857" t="s">
        <v>157</v>
      </c>
      <c r="K857">
        <v>0</v>
      </c>
      <c r="L857" t="s">
        <v>154</v>
      </c>
    </row>
    <row r="858" spans="9:12" x14ac:dyDescent="0.45">
      <c r="I858" t="s">
        <v>193</v>
      </c>
      <c r="J858" t="s">
        <v>158</v>
      </c>
      <c r="K858">
        <v>6.7830817239967773E-3</v>
      </c>
      <c r="L858" t="s">
        <v>154</v>
      </c>
    </row>
    <row r="859" spans="9:12" x14ac:dyDescent="0.45">
      <c r="I859" t="s">
        <v>193</v>
      </c>
      <c r="J859" t="s">
        <v>159</v>
      </c>
      <c r="K859">
        <v>5.1883304456093911E-2</v>
      </c>
      <c r="L859" t="s">
        <v>154</v>
      </c>
    </row>
    <row r="860" spans="9:12" x14ac:dyDescent="0.45">
      <c r="I860" t="s">
        <v>193</v>
      </c>
      <c r="J860" t="s">
        <v>258</v>
      </c>
      <c r="K860">
        <v>2.9664691532425109E-3</v>
      </c>
      <c r="L860" t="s">
        <v>154</v>
      </c>
    </row>
    <row r="861" spans="9:12" x14ac:dyDescent="0.45">
      <c r="I861" t="s">
        <v>193</v>
      </c>
      <c r="J861" t="s">
        <v>259</v>
      </c>
      <c r="K861">
        <v>1.5094280429891736E-3</v>
      </c>
      <c r="L861" t="s">
        <v>154</v>
      </c>
    </row>
    <row r="862" spans="9:12" x14ac:dyDescent="0.45">
      <c r="I862" t="s">
        <v>193</v>
      </c>
      <c r="J862" t="s">
        <v>260</v>
      </c>
      <c r="K862">
        <v>0</v>
      </c>
      <c r="L862" t="s">
        <v>154</v>
      </c>
    </row>
    <row r="863" spans="9:12" x14ac:dyDescent="0.45">
      <c r="I863" t="s">
        <v>193</v>
      </c>
      <c r="J863" t="s">
        <v>160</v>
      </c>
      <c r="K863">
        <v>0</v>
      </c>
      <c r="L863" t="s">
        <v>154</v>
      </c>
    </row>
    <row r="864" spans="9:12" x14ac:dyDescent="0.45">
      <c r="I864" t="s">
        <v>193</v>
      </c>
      <c r="J864" t="s">
        <v>161</v>
      </c>
      <c r="K864">
        <v>7.4280667754160383E-3</v>
      </c>
      <c r="L864" t="s">
        <v>154</v>
      </c>
    </row>
    <row r="865" spans="9:12" x14ac:dyDescent="0.45">
      <c r="I865" t="s">
        <v>193</v>
      </c>
      <c r="J865" t="s">
        <v>162</v>
      </c>
      <c r="K865">
        <v>5.8807092882454358E-2</v>
      </c>
      <c r="L865" t="s">
        <v>154</v>
      </c>
    </row>
    <row r="866" spans="9:12" x14ac:dyDescent="0.45">
      <c r="I866" t="s">
        <v>193</v>
      </c>
      <c r="J866" t="s">
        <v>261</v>
      </c>
      <c r="K866">
        <v>2.9095095990148236E-3</v>
      </c>
      <c r="L866" t="s">
        <v>154</v>
      </c>
    </row>
    <row r="867" spans="9:12" x14ac:dyDescent="0.45">
      <c r="I867" t="s">
        <v>193</v>
      </c>
      <c r="J867" t="s">
        <v>262</v>
      </c>
      <c r="K867">
        <v>6.2833662778139735E-4</v>
      </c>
      <c r="L867" t="s">
        <v>154</v>
      </c>
    </row>
    <row r="868" spans="9:12" x14ac:dyDescent="0.45">
      <c r="I868" t="s">
        <v>193</v>
      </c>
      <c r="J868" t="s">
        <v>263</v>
      </c>
      <c r="K868">
        <v>0</v>
      </c>
      <c r="L868" t="s">
        <v>154</v>
      </c>
    </row>
    <row r="869" spans="9:12" x14ac:dyDescent="0.45">
      <c r="I869" t="s">
        <v>193</v>
      </c>
      <c r="J869" t="s">
        <v>163</v>
      </c>
      <c r="K869">
        <v>0</v>
      </c>
      <c r="L869" t="s">
        <v>154</v>
      </c>
    </row>
    <row r="870" spans="9:12" x14ac:dyDescent="0.45">
      <c r="I870" t="s">
        <v>193</v>
      </c>
      <c r="J870" t="s">
        <v>164</v>
      </c>
      <c r="K870">
        <v>8.2659696264356201E-3</v>
      </c>
      <c r="L870" t="s">
        <v>154</v>
      </c>
    </row>
    <row r="871" spans="9:12" x14ac:dyDescent="0.45">
      <c r="I871" t="s">
        <v>193</v>
      </c>
      <c r="J871" t="s">
        <v>165</v>
      </c>
      <c r="K871">
        <v>5.4031602096389714E-2</v>
      </c>
      <c r="L871" t="s">
        <v>154</v>
      </c>
    </row>
    <row r="872" spans="9:12" x14ac:dyDescent="0.45">
      <c r="I872" t="s">
        <v>193</v>
      </c>
      <c r="J872" t="s">
        <v>264</v>
      </c>
      <c r="K872">
        <v>3.0890982183743865E-3</v>
      </c>
      <c r="L872" t="s">
        <v>154</v>
      </c>
    </row>
    <row r="873" spans="9:12" x14ac:dyDescent="0.45">
      <c r="I873" t="s">
        <v>193</v>
      </c>
      <c r="J873" t="s">
        <v>265</v>
      </c>
      <c r="K873">
        <v>0</v>
      </c>
      <c r="L873" t="s">
        <v>154</v>
      </c>
    </row>
    <row r="874" spans="9:12" x14ac:dyDescent="0.45">
      <c r="I874" t="s">
        <v>193</v>
      </c>
      <c r="J874" t="s">
        <v>266</v>
      </c>
      <c r="K874">
        <v>0</v>
      </c>
      <c r="L874" t="s">
        <v>154</v>
      </c>
    </row>
    <row r="875" spans="9:12" x14ac:dyDescent="0.45">
      <c r="I875" t="s">
        <v>193</v>
      </c>
      <c r="J875" t="s">
        <v>272</v>
      </c>
      <c r="K875">
        <v>0</v>
      </c>
      <c r="L875" t="s">
        <v>154</v>
      </c>
    </row>
    <row r="876" spans="9:12" x14ac:dyDescent="0.45">
      <c r="I876" t="s">
        <v>193</v>
      </c>
      <c r="J876" t="s">
        <v>273</v>
      </c>
      <c r="K876">
        <v>1.6156943123946516E-2</v>
      </c>
      <c r="L876" t="s">
        <v>154</v>
      </c>
    </row>
    <row r="877" spans="9:12" x14ac:dyDescent="0.45">
      <c r="I877" t="s">
        <v>193</v>
      </c>
      <c r="J877" t="s">
        <v>274</v>
      </c>
      <c r="K877">
        <v>0.11884117534959068</v>
      </c>
      <c r="L877" t="s">
        <v>154</v>
      </c>
    </row>
    <row r="878" spans="9:12" x14ac:dyDescent="0.45">
      <c r="I878" t="s">
        <v>193</v>
      </c>
      <c r="J878" t="s">
        <v>275</v>
      </c>
      <c r="K878">
        <v>6.9037570276006535E-3</v>
      </c>
      <c r="L878" t="s">
        <v>154</v>
      </c>
    </row>
    <row r="879" spans="9:12" x14ac:dyDescent="0.45">
      <c r="I879" t="s">
        <v>193</v>
      </c>
      <c r="J879" t="s">
        <v>276</v>
      </c>
      <c r="K879">
        <v>8.7784450310337493E-6</v>
      </c>
      <c r="L879" t="s">
        <v>154</v>
      </c>
    </row>
    <row r="880" spans="9:12" x14ac:dyDescent="0.45">
      <c r="I880" t="s">
        <v>193</v>
      </c>
      <c r="J880" t="s">
        <v>277</v>
      </c>
      <c r="K880">
        <v>0</v>
      </c>
      <c r="L880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AE85-A2E0-4188-8D61-F4D3D07410FE}">
  <dimension ref="A9:AN117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119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241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247</v>
      </c>
      <c r="AK10" t="s">
        <v>47</v>
      </c>
      <c r="AL10" t="s">
        <v>115</v>
      </c>
      <c r="AM10" t="s">
        <v>248</v>
      </c>
      <c r="AN10" t="s">
        <v>249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269</v>
      </c>
      <c r="G11" t="s">
        <v>143</v>
      </c>
      <c r="I11" t="s">
        <v>152</v>
      </c>
      <c r="J11" t="s">
        <v>153</v>
      </c>
      <c r="K11">
        <v>6.7256335235093157E-3</v>
      </c>
      <c r="L11" t="s">
        <v>154</v>
      </c>
      <c r="N11" t="s">
        <v>194</v>
      </c>
      <c r="O11" t="s">
        <v>153</v>
      </c>
      <c r="P11">
        <v>0.15167700171055809</v>
      </c>
      <c r="Q11" t="s">
        <v>154</v>
      </c>
      <c r="S11" t="s">
        <v>218</v>
      </c>
      <c r="T11" t="s">
        <v>153</v>
      </c>
      <c r="U11">
        <v>0.18646594686146978</v>
      </c>
      <c r="V11" t="s">
        <v>154</v>
      </c>
      <c r="X11">
        <v>0.18938356164383563</v>
      </c>
      <c r="Y11">
        <v>7.4791039952266131E-2</v>
      </c>
      <c r="Z11" t="s">
        <v>153</v>
      </c>
      <c r="AA11" t="s">
        <v>25</v>
      </c>
      <c r="AC11" t="s">
        <v>22</v>
      </c>
      <c r="AD11" t="s">
        <v>153</v>
      </c>
      <c r="AE11">
        <v>0.13273114382191817</v>
      </c>
      <c r="AG11" t="s">
        <v>96</v>
      </c>
      <c r="AH11" t="s">
        <v>153</v>
      </c>
      <c r="AI11">
        <v>0.34938176629727469</v>
      </c>
      <c r="AK11">
        <v>2020</v>
      </c>
      <c r="AL11" t="s">
        <v>142</v>
      </c>
      <c r="AM11">
        <v>0.22790000000000002</v>
      </c>
      <c r="AN11" t="s">
        <v>250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7.2992112542513726E-2</v>
      </c>
      <c r="L12" t="s">
        <v>154</v>
      </c>
      <c r="N12" t="s">
        <v>194</v>
      </c>
      <c r="O12" t="s">
        <v>155</v>
      </c>
      <c r="P12">
        <v>3.6324343306363929E-2</v>
      </c>
      <c r="Q12" t="s">
        <v>154</v>
      </c>
      <c r="S12" t="s">
        <v>218</v>
      </c>
      <c r="T12" t="s">
        <v>155</v>
      </c>
      <c r="U12">
        <v>5.3016624688604221E-2</v>
      </c>
      <c r="V12" t="s">
        <v>154</v>
      </c>
      <c r="X12">
        <v>5.410958904109589E-2</v>
      </c>
      <c r="Y12">
        <v>7.9740447007930787E-2</v>
      </c>
      <c r="Z12" t="s">
        <v>155</v>
      </c>
      <c r="AA12" t="s">
        <v>25</v>
      </c>
      <c r="AC12" t="s">
        <v>22</v>
      </c>
      <c r="AD12" t="s">
        <v>155</v>
      </c>
      <c r="AE12">
        <v>5.4431068615952129E-2</v>
      </c>
      <c r="AG12" t="s">
        <v>96</v>
      </c>
      <c r="AH12" t="s">
        <v>155</v>
      </c>
      <c r="AI12">
        <v>0.15574360317762648</v>
      </c>
      <c r="AK12">
        <v>2020</v>
      </c>
      <c r="AL12" t="s">
        <v>146</v>
      </c>
      <c r="AM12">
        <v>0.29220000000000002</v>
      </c>
      <c r="AN12" t="s">
        <v>250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5.728343299603806E-2</v>
      </c>
      <c r="L13" t="s">
        <v>154</v>
      </c>
      <c r="N13" t="s">
        <v>194</v>
      </c>
      <c r="O13" t="s">
        <v>156</v>
      </c>
      <c r="P13">
        <v>2.0151281020123053E-2</v>
      </c>
      <c r="Q13" t="s">
        <v>154</v>
      </c>
      <c r="S13" t="s">
        <v>218</v>
      </c>
      <c r="T13" t="s">
        <v>156</v>
      </c>
      <c r="U13">
        <v>2.7525181552780015E-2</v>
      </c>
      <c r="V13" t="s">
        <v>154</v>
      </c>
      <c r="X13">
        <v>2.7054794520547945E-2</v>
      </c>
      <c r="Y13">
        <v>3.4253039305869794E-2</v>
      </c>
      <c r="Z13" t="s">
        <v>156</v>
      </c>
      <c r="AA13" t="s">
        <v>25</v>
      </c>
      <c r="AC13" t="s">
        <v>22</v>
      </c>
      <c r="AD13" t="s">
        <v>156</v>
      </c>
      <c r="AE13">
        <v>3.0846836386163826E-2</v>
      </c>
      <c r="AG13" t="s">
        <v>96</v>
      </c>
      <c r="AH13" t="s">
        <v>156</v>
      </c>
      <c r="AI13">
        <v>0.11554622972011996</v>
      </c>
      <c r="AK13">
        <v>2020</v>
      </c>
      <c r="AL13" t="s">
        <v>148</v>
      </c>
      <c r="AM13">
        <v>0.29885</v>
      </c>
      <c r="AN13" t="s">
        <v>250</v>
      </c>
    </row>
    <row r="14" spans="1:40" x14ac:dyDescent="0.45">
      <c r="C14" t="s">
        <v>150</v>
      </c>
      <c r="E14" t="s">
        <v>251</v>
      </c>
      <c r="G14" t="s">
        <v>143</v>
      </c>
      <c r="I14" t="s">
        <v>152</v>
      </c>
      <c r="J14" t="s">
        <v>255</v>
      </c>
      <c r="K14">
        <v>0.40766280161482776</v>
      </c>
      <c r="L14" t="s">
        <v>154</v>
      </c>
      <c r="N14" t="s">
        <v>194</v>
      </c>
      <c r="O14" t="s">
        <v>255</v>
      </c>
      <c r="P14">
        <v>0.14555970415114317</v>
      </c>
      <c r="Q14" t="s">
        <v>154</v>
      </c>
      <c r="S14" t="s">
        <v>218</v>
      </c>
      <c r="T14" t="s">
        <v>255</v>
      </c>
      <c r="U14">
        <v>0.15950575364296216</v>
      </c>
      <c r="V14" t="s">
        <v>154</v>
      </c>
      <c r="X14">
        <v>0.16232876712328767</v>
      </c>
      <c r="Y14">
        <v>0.21227456927628474</v>
      </c>
      <c r="Z14" t="s">
        <v>255</v>
      </c>
      <c r="AA14" t="s">
        <v>25</v>
      </c>
      <c r="AC14" t="s">
        <v>22</v>
      </c>
      <c r="AD14" t="s">
        <v>255</v>
      </c>
      <c r="AE14">
        <v>0.19315967287101302</v>
      </c>
      <c r="AG14" t="s">
        <v>96</v>
      </c>
      <c r="AH14" t="s">
        <v>255</v>
      </c>
      <c r="AI14">
        <v>8.9778913084685552E-2</v>
      </c>
      <c r="AK14">
        <v>2020</v>
      </c>
      <c r="AL14" t="s">
        <v>150</v>
      </c>
      <c r="AM14">
        <v>0.34450000000000003</v>
      </c>
      <c r="AN14" t="s">
        <v>250</v>
      </c>
    </row>
    <row r="15" spans="1:40" x14ac:dyDescent="0.45">
      <c r="C15" t="s">
        <v>270</v>
      </c>
      <c r="E15" t="s">
        <v>252</v>
      </c>
      <c r="G15" t="s">
        <v>143</v>
      </c>
      <c r="I15" t="s">
        <v>152</v>
      </c>
      <c r="J15" t="s">
        <v>256</v>
      </c>
      <c r="K15">
        <v>4.6856732183476558E-2</v>
      </c>
      <c r="L15" t="s">
        <v>154</v>
      </c>
      <c r="N15" t="s">
        <v>194</v>
      </c>
      <c r="O15" t="s">
        <v>256</v>
      </c>
      <c r="P15">
        <v>2.6948812507702504E-2</v>
      </c>
      <c r="Q15" t="s">
        <v>154</v>
      </c>
      <c r="S15" t="s">
        <v>218</v>
      </c>
      <c r="T15" t="s">
        <v>256</v>
      </c>
      <c r="U15">
        <v>2.612739170721257E-2</v>
      </c>
      <c r="V15" t="s">
        <v>154</v>
      </c>
      <c r="X15">
        <v>2.7054794520547945E-2</v>
      </c>
      <c r="Y15">
        <v>5.2636551226909987E-2</v>
      </c>
      <c r="Z15" t="s">
        <v>256</v>
      </c>
      <c r="AA15" t="s">
        <v>25</v>
      </c>
      <c r="AC15" t="s">
        <v>22</v>
      </c>
      <c r="AD15" t="s">
        <v>256</v>
      </c>
      <c r="AE15">
        <v>3.1787384129288679E-2</v>
      </c>
      <c r="AG15" t="s">
        <v>96</v>
      </c>
      <c r="AH15" t="s">
        <v>256</v>
      </c>
      <c r="AI15">
        <v>8.7088046913567974E-2</v>
      </c>
      <c r="AK15">
        <v>2020</v>
      </c>
      <c r="AL15" t="s">
        <v>270</v>
      </c>
      <c r="AM15">
        <v>0.38205</v>
      </c>
      <c r="AN15" t="s">
        <v>250</v>
      </c>
    </row>
    <row r="16" spans="1:40" x14ac:dyDescent="0.45">
      <c r="E16" t="s">
        <v>253</v>
      </c>
      <c r="G16" t="s">
        <v>143</v>
      </c>
      <c r="I16" t="s">
        <v>152</v>
      </c>
      <c r="J16" t="s">
        <v>257</v>
      </c>
      <c r="K16">
        <v>3.3646501709249127E-2</v>
      </c>
      <c r="L16" t="s">
        <v>154</v>
      </c>
      <c r="N16" t="s">
        <v>194</v>
      </c>
      <c r="O16" t="s">
        <v>257</v>
      </c>
      <c r="P16">
        <v>2.6741755119231145E-2</v>
      </c>
      <c r="Q16" t="s">
        <v>154</v>
      </c>
      <c r="S16" t="s">
        <v>218</v>
      </c>
      <c r="T16" t="s">
        <v>257</v>
      </c>
      <c r="U16">
        <v>2.3496006151304202E-2</v>
      </c>
      <c r="V16" t="s">
        <v>154</v>
      </c>
      <c r="X16">
        <v>2.7054794520547945E-2</v>
      </c>
      <c r="Y16">
        <v>5.2636551226909987E-2</v>
      </c>
      <c r="Z16" t="s">
        <v>257</v>
      </c>
      <c r="AA16" t="s">
        <v>25</v>
      </c>
      <c r="AC16" t="s">
        <v>22</v>
      </c>
      <c r="AD16" t="s">
        <v>257</v>
      </c>
      <c r="AE16">
        <v>3.1891629037646051E-2</v>
      </c>
      <c r="AG16" t="s">
        <v>96</v>
      </c>
      <c r="AH16" t="s">
        <v>257</v>
      </c>
      <c r="AI16">
        <v>8.6047025969881341E-2</v>
      </c>
      <c r="AK16">
        <v>2021</v>
      </c>
      <c r="AL16" t="s">
        <v>142</v>
      </c>
      <c r="AM16">
        <v>0.31198749999999997</v>
      </c>
      <c r="AN16" t="s">
        <v>250</v>
      </c>
    </row>
    <row r="17" spans="5:40" x14ac:dyDescent="0.45">
      <c r="E17" t="s">
        <v>280</v>
      </c>
      <c r="G17" t="s">
        <v>143</v>
      </c>
      <c r="I17" t="s">
        <v>152</v>
      </c>
      <c r="J17" t="s">
        <v>282</v>
      </c>
      <c r="K17">
        <v>2.0174608491864979E-2</v>
      </c>
      <c r="L17" t="s">
        <v>154</v>
      </c>
      <c r="N17" t="s">
        <v>194</v>
      </c>
      <c r="O17" t="s">
        <v>282</v>
      </c>
      <c r="P17">
        <v>2.2619746030630536E-2</v>
      </c>
      <c r="Q17" t="s">
        <v>154</v>
      </c>
      <c r="S17" t="s">
        <v>218</v>
      </c>
      <c r="T17" t="s">
        <v>282</v>
      </c>
      <c r="U17">
        <v>2.3794737889001983E-2</v>
      </c>
      <c r="V17" t="s">
        <v>154</v>
      </c>
      <c r="X17">
        <v>2.7054794520547945E-2</v>
      </c>
      <c r="Y17">
        <v>4.0852248713422662E-2</v>
      </c>
      <c r="Z17" t="s">
        <v>282</v>
      </c>
      <c r="AA17" t="s">
        <v>25</v>
      </c>
      <c r="AC17" t="s">
        <v>22</v>
      </c>
      <c r="AD17" t="s">
        <v>282</v>
      </c>
      <c r="AE17">
        <v>3.7245779372241189E-2</v>
      </c>
      <c r="AG17" t="s">
        <v>96</v>
      </c>
      <c r="AH17" t="s">
        <v>282</v>
      </c>
      <c r="AI17">
        <v>9.7004877867604256E-2</v>
      </c>
      <c r="AK17">
        <v>2021</v>
      </c>
      <c r="AL17" t="s">
        <v>146</v>
      </c>
      <c r="AM17">
        <v>0.44574999999999998</v>
      </c>
      <c r="AN17" t="s">
        <v>250</v>
      </c>
    </row>
    <row r="18" spans="5:40" x14ac:dyDescent="0.45">
      <c r="E18" t="s">
        <v>281</v>
      </c>
      <c r="G18" t="s">
        <v>143</v>
      </c>
      <c r="I18" t="s">
        <v>152</v>
      </c>
      <c r="J18" t="s">
        <v>283</v>
      </c>
      <c r="K18">
        <v>0</v>
      </c>
      <c r="L18" t="s">
        <v>154</v>
      </c>
      <c r="N18" t="s">
        <v>194</v>
      </c>
      <c r="O18" t="s">
        <v>283</v>
      </c>
      <c r="P18">
        <v>0.12099996743194945</v>
      </c>
      <c r="Q18" t="s">
        <v>154</v>
      </c>
      <c r="S18" t="s">
        <v>218</v>
      </c>
      <c r="T18" t="s">
        <v>283</v>
      </c>
      <c r="U18">
        <v>0.12714405149060706</v>
      </c>
      <c r="V18" t="s">
        <v>154</v>
      </c>
      <c r="X18">
        <v>0.13527397260273974</v>
      </c>
      <c r="Y18">
        <v>0.10213062178355667</v>
      </c>
      <c r="Z18" t="s">
        <v>283</v>
      </c>
      <c r="AA18" t="s">
        <v>25</v>
      </c>
      <c r="AC18" t="s">
        <v>22</v>
      </c>
      <c r="AD18" t="s">
        <v>283</v>
      </c>
      <c r="AE18">
        <v>0.14618500369615148</v>
      </c>
      <c r="AG18" t="s">
        <v>96</v>
      </c>
      <c r="AH18" t="s">
        <v>283</v>
      </c>
      <c r="AI18">
        <v>0.32023656382465471</v>
      </c>
      <c r="AK18">
        <v>2021</v>
      </c>
      <c r="AL18" t="s">
        <v>148</v>
      </c>
      <c r="AM18">
        <v>0.45894999999999997</v>
      </c>
      <c r="AN18" t="s">
        <v>250</v>
      </c>
    </row>
    <row r="19" spans="5:40" x14ac:dyDescent="0.45">
      <c r="I19" t="s">
        <v>152</v>
      </c>
      <c r="J19" t="s">
        <v>157</v>
      </c>
      <c r="K19">
        <v>0</v>
      </c>
      <c r="L19" t="s">
        <v>154</v>
      </c>
      <c r="N19" t="s">
        <v>194</v>
      </c>
      <c r="O19" t="s">
        <v>157</v>
      </c>
      <c r="P19">
        <v>7.8842640249971903E-3</v>
      </c>
      <c r="Q19" t="s">
        <v>154</v>
      </c>
      <c r="S19" t="s">
        <v>218</v>
      </c>
      <c r="T19" t="s">
        <v>157</v>
      </c>
      <c r="U19">
        <v>9.4526017987001023E-3</v>
      </c>
      <c r="V19" t="s">
        <v>154</v>
      </c>
      <c r="X19">
        <v>1.8378995433789954E-2</v>
      </c>
      <c r="Y19">
        <v>7.2582021894604257E-3</v>
      </c>
      <c r="Z19" t="s">
        <v>157</v>
      </c>
      <c r="AA19" t="s">
        <v>25</v>
      </c>
      <c r="AC19" t="s">
        <v>22</v>
      </c>
      <c r="AD19" t="s">
        <v>157</v>
      </c>
      <c r="AE19">
        <v>1.1768856794900806E-2</v>
      </c>
      <c r="AG19" t="s">
        <v>96</v>
      </c>
      <c r="AH19" t="s">
        <v>157</v>
      </c>
      <c r="AI19">
        <v>0.21855371991148798</v>
      </c>
      <c r="AK19">
        <v>2021</v>
      </c>
      <c r="AL19" t="s">
        <v>150</v>
      </c>
      <c r="AM19">
        <v>0.42710000000000004</v>
      </c>
      <c r="AN19" t="s">
        <v>250</v>
      </c>
    </row>
    <row r="20" spans="5:40" x14ac:dyDescent="0.45">
      <c r="I20" t="s">
        <v>152</v>
      </c>
      <c r="J20" t="s">
        <v>158</v>
      </c>
      <c r="K20">
        <v>9.658978264831284E-3</v>
      </c>
      <c r="L20" t="s">
        <v>154</v>
      </c>
      <c r="N20" t="s">
        <v>194</v>
      </c>
      <c r="O20" t="s">
        <v>158</v>
      </c>
      <c r="P20">
        <v>2.0146806098285518E-3</v>
      </c>
      <c r="Q20" t="s">
        <v>154</v>
      </c>
      <c r="S20" t="s">
        <v>218</v>
      </c>
      <c r="T20" t="s">
        <v>158</v>
      </c>
      <c r="U20">
        <v>2.8288821724080739E-3</v>
      </c>
      <c r="V20" t="s">
        <v>154</v>
      </c>
      <c r="X20">
        <v>5.2511415525114159E-3</v>
      </c>
      <c r="Y20">
        <v>7.7385243931747186E-3</v>
      </c>
      <c r="Z20" t="s">
        <v>158</v>
      </c>
      <c r="AA20" t="s">
        <v>25</v>
      </c>
      <c r="AC20" t="s">
        <v>22</v>
      </c>
      <c r="AD20" t="s">
        <v>158</v>
      </c>
      <c r="AE20">
        <v>5.2531399179980868E-3</v>
      </c>
      <c r="AG20" t="s">
        <v>96</v>
      </c>
      <c r="AH20" t="s">
        <v>158</v>
      </c>
      <c r="AI20">
        <v>0.12650096424563739</v>
      </c>
      <c r="AK20">
        <v>2021</v>
      </c>
      <c r="AL20" t="s">
        <v>270</v>
      </c>
      <c r="AM20">
        <v>0.3654</v>
      </c>
      <c r="AN20" t="s">
        <v>250</v>
      </c>
    </row>
    <row r="21" spans="5:40" x14ac:dyDescent="0.45">
      <c r="I21" t="s">
        <v>152</v>
      </c>
      <c r="J21" t="s">
        <v>159</v>
      </c>
      <c r="K21">
        <v>6.9857263158192573E-3</v>
      </c>
      <c r="L21" t="s">
        <v>154</v>
      </c>
      <c r="N21" t="s">
        <v>194</v>
      </c>
      <c r="O21" t="s">
        <v>159</v>
      </c>
      <c r="P21">
        <v>1.1429045668774035E-3</v>
      </c>
      <c r="Q21" t="s">
        <v>154</v>
      </c>
      <c r="S21" t="s">
        <v>218</v>
      </c>
      <c r="T21" t="s">
        <v>159</v>
      </c>
      <c r="U21">
        <v>1.4818813301289799E-3</v>
      </c>
      <c r="V21" t="s">
        <v>154</v>
      </c>
      <c r="X21">
        <v>2.625570776255708E-3</v>
      </c>
      <c r="Y21">
        <v>3.3241346161814555E-3</v>
      </c>
      <c r="Z21" t="s">
        <v>159</v>
      </c>
      <c r="AA21" t="s">
        <v>25</v>
      </c>
      <c r="AC21" t="s">
        <v>22</v>
      </c>
      <c r="AD21" t="s">
        <v>159</v>
      </c>
      <c r="AE21">
        <v>2.9676530830498112E-3</v>
      </c>
      <c r="AG21" t="s">
        <v>96</v>
      </c>
      <c r="AH21" t="s">
        <v>159</v>
      </c>
      <c r="AI21">
        <v>6.1719274267526103E-2</v>
      </c>
      <c r="AK21">
        <v>2022</v>
      </c>
      <c r="AL21" t="s">
        <v>142</v>
      </c>
      <c r="AM21">
        <v>0.35178749999999998</v>
      </c>
      <c r="AN21" t="s">
        <v>250</v>
      </c>
    </row>
    <row r="22" spans="5:40" x14ac:dyDescent="0.45">
      <c r="I22" t="s">
        <v>152</v>
      </c>
      <c r="J22" t="s">
        <v>258</v>
      </c>
      <c r="K22">
        <v>4.5444054546293619E-2</v>
      </c>
      <c r="L22" t="s">
        <v>154</v>
      </c>
      <c r="N22" t="s">
        <v>194</v>
      </c>
      <c r="O22" t="s">
        <v>258</v>
      </c>
      <c r="P22">
        <v>8.5621741578707448E-3</v>
      </c>
      <c r="Q22" t="s">
        <v>154</v>
      </c>
      <c r="S22" t="s">
        <v>218</v>
      </c>
      <c r="T22" t="s">
        <v>258</v>
      </c>
      <c r="U22">
        <v>9.8124617700095073E-3</v>
      </c>
      <c r="V22" t="s">
        <v>154</v>
      </c>
      <c r="X22">
        <v>1.5753424657534248E-2</v>
      </c>
      <c r="Y22">
        <v>2.0600485625968563E-2</v>
      </c>
      <c r="Z22" t="s">
        <v>258</v>
      </c>
      <c r="AA22" t="s">
        <v>25</v>
      </c>
      <c r="AC22" t="s">
        <v>22</v>
      </c>
      <c r="AD22" t="s">
        <v>258</v>
      </c>
      <c r="AE22">
        <v>1.8239365769331342E-2</v>
      </c>
      <c r="AG22" t="s">
        <v>96</v>
      </c>
      <c r="AH22" t="s">
        <v>258</v>
      </c>
      <c r="AI22">
        <v>4.5156255828654457E-2</v>
      </c>
      <c r="AK22">
        <v>2022</v>
      </c>
      <c r="AL22" t="s">
        <v>146</v>
      </c>
      <c r="AM22">
        <v>0.46965000000000001</v>
      </c>
      <c r="AN22" t="s">
        <v>250</v>
      </c>
    </row>
    <row r="23" spans="5:40" x14ac:dyDescent="0.45">
      <c r="I23" t="s">
        <v>152</v>
      </c>
      <c r="J23" t="s">
        <v>259</v>
      </c>
      <c r="K23">
        <v>4.9251060725736739E-3</v>
      </c>
      <c r="L23" t="s">
        <v>154</v>
      </c>
      <c r="N23" t="s">
        <v>194</v>
      </c>
      <c r="O23" t="s">
        <v>259</v>
      </c>
      <c r="P23">
        <v>1.5270168180890713E-3</v>
      </c>
      <c r="Q23" t="s">
        <v>154</v>
      </c>
      <c r="S23" t="s">
        <v>218</v>
      </c>
      <c r="T23" t="s">
        <v>259</v>
      </c>
      <c r="U23">
        <v>1.53041014414219E-3</v>
      </c>
      <c r="V23" t="s">
        <v>154</v>
      </c>
      <c r="X23">
        <v>2.625570776255708E-3</v>
      </c>
      <c r="Y23">
        <v>5.1081885156916869E-3</v>
      </c>
      <c r="Z23" t="s">
        <v>259</v>
      </c>
      <c r="AA23" t="s">
        <v>25</v>
      </c>
      <c r="AC23" t="s">
        <v>22</v>
      </c>
      <c r="AD23" t="s">
        <v>259</v>
      </c>
      <c r="AE23">
        <v>3.0124691196314374E-3</v>
      </c>
      <c r="AG23" t="s">
        <v>96</v>
      </c>
      <c r="AH23" t="s">
        <v>259</v>
      </c>
      <c r="AI23">
        <v>4.1335549912615566E-2</v>
      </c>
      <c r="AK23">
        <v>2022</v>
      </c>
      <c r="AL23" t="s">
        <v>148</v>
      </c>
      <c r="AM23">
        <v>0.44755</v>
      </c>
      <c r="AN23" t="s">
        <v>250</v>
      </c>
    </row>
    <row r="24" spans="5:40" x14ac:dyDescent="0.45">
      <c r="I24" t="s">
        <v>152</v>
      </c>
      <c r="J24" t="s">
        <v>260</v>
      </c>
      <c r="K24">
        <v>3.2615075801045758E-3</v>
      </c>
      <c r="L24" t="s">
        <v>154</v>
      </c>
      <c r="N24" t="s">
        <v>194</v>
      </c>
      <c r="O24" t="s">
        <v>260</v>
      </c>
      <c r="P24">
        <v>1.4549754768709631E-3</v>
      </c>
      <c r="Q24" t="s">
        <v>154</v>
      </c>
      <c r="S24" t="s">
        <v>218</v>
      </c>
      <c r="T24" t="s">
        <v>260</v>
      </c>
      <c r="U24">
        <v>1.374262751677843E-3</v>
      </c>
      <c r="V24" t="s">
        <v>154</v>
      </c>
      <c r="X24">
        <v>2.625570776255708E-3</v>
      </c>
      <c r="Y24">
        <v>5.1081885156916869E-3</v>
      </c>
      <c r="Z24" t="s">
        <v>260</v>
      </c>
      <c r="AA24" t="s">
        <v>25</v>
      </c>
      <c r="AC24" t="s">
        <v>22</v>
      </c>
      <c r="AD24" t="s">
        <v>260</v>
      </c>
      <c r="AE24">
        <v>3.0588141149555021E-3</v>
      </c>
      <c r="AG24" t="s">
        <v>96</v>
      </c>
      <c r="AH24" t="s">
        <v>260</v>
      </c>
      <c r="AI24">
        <v>4.2275360398877693E-2</v>
      </c>
      <c r="AK24">
        <v>2022</v>
      </c>
      <c r="AL24" t="s">
        <v>150</v>
      </c>
      <c r="AM24">
        <v>0.43845000000000001</v>
      </c>
      <c r="AN24" t="s">
        <v>250</v>
      </c>
    </row>
    <row r="25" spans="5:40" x14ac:dyDescent="0.45">
      <c r="I25" t="s">
        <v>152</v>
      </c>
      <c r="J25" t="s">
        <v>284</v>
      </c>
      <c r="K25">
        <v>2.0292332803459952E-3</v>
      </c>
      <c r="L25" t="s">
        <v>154</v>
      </c>
      <c r="N25" t="s">
        <v>194</v>
      </c>
      <c r="O25" t="s">
        <v>284</v>
      </c>
      <c r="P25">
        <v>1.4465025544802361E-3</v>
      </c>
      <c r="Q25" t="s">
        <v>154</v>
      </c>
      <c r="S25" t="s">
        <v>218</v>
      </c>
      <c r="T25" t="s">
        <v>284</v>
      </c>
      <c r="U25">
        <v>1.2602947164741861E-3</v>
      </c>
      <c r="V25" t="s">
        <v>154</v>
      </c>
      <c r="X25">
        <v>2.625570776255708E-3</v>
      </c>
      <c r="Y25">
        <v>3.964564221133845E-3</v>
      </c>
      <c r="Z25" t="s">
        <v>284</v>
      </c>
      <c r="AA25" t="s">
        <v>25</v>
      </c>
      <c r="AC25" t="s">
        <v>22</v>
      </c>
      <c r="AD25" t="s">
        <v>284</v>
      </c>
      <c r="AE25">
        <v>3.7476476257699643E-3</v>
      </c>
      <c r="AG25" t="s">
        <v>96</v>
      </c>
      <c r="AH25" t="s">
        <v>284</v>
      </c>
      <c r="AI25">
        <v>5.4766776200219081E-2</v>
      </c>
      <c r="AK25">
        <v>2022</v>
      </c>
      <c r="AL25" t="s">
        <v>270</v>
      </c>
      <c r="AM25">
        <v>0.40529999999999999</v>
      </c>
      <c r="AN25" t="s">
        <v>250</v>
      </c>
    </row>
    <row r="26" spans="5:40" x14ac:dyDescent="0.45">
      <c r="I26" t="s">
        <v>152</v>
      </c>
      <c r="J26" t="s">
        <v>285</v>
      </c>
      <c r="K26">
        <v>0</v>
      </c>
      <c r="L26" t="s">
        <v>154</v>
      </c>
      <c r="N26" t="s">
        <v>194</v>
      </c>
      <c r="O26" t="s">
        <v>285</v>
      </c>
      <c r="P26">
        <v>6.6939245695134186E-3</v>
      </c>
      <c r="Q26" t="s">
        <v>154</v>
      </c>
      <c r="S26" t="s">
        <v>218</v>
      </c>
      <c r="T26" t="s">
        <v>285</v>
      </c>
      <c r="U26">
        <v>6.5094603141376333E-3</v>
      </c>
      <c r="V26" t="s">
        <v>154</v>
      </c>
      <c r="X26">
        <v>1.3127853881278538E-2</v>
      </c>
      <c r="Y26">
        <v>9.9114105528346139E-3</v>
      </c>
      <c r="Z26" t="s">
        <v>285</v>
      </c>
      <c r="AA26" t="s">
        <v>25</v>
      </c>
      <c r="AC26" t="s">
        <v>22</v>
      </c>
      <c r="AD26" t="s">
        <v>285</v>
      </c>
      <c r="AE26">
        <v>1.3512432601478523E-2</v>
      </c>
      <c r="AG26" t="s">
        <v>96</v>
      </c>
      <c r="AH26" t="s">
        <v>285</v>
      </c>
      <c r="AI26">
        <v>0.35326816367226033</v>
      </c>
      <c r="AK26">
        <v>2025</v>
      </c>
      <c r="AL26" t="s">
        <v>142</v>
      </c>
      <c r="AM26">
        <v>0.2951375</v>
      </c>
      <c r="AN26" t="s">
        <v>250</v>
      </c>
    </row>
    <row r="27" spans="5:40" x14ac:dyDescent="0.45">
      <c r="I27" t="s">
        <v>152</v>
      </c>
      <c r="J27" t="s">
        <v>160</v>
      </c>
      <c r="K27">
        <v>2.9138751692925184E-4</v>
      </c>
      <c r="L27" t="s">
        <v>154</v>
      </c>
      <c r="N27" t="s">
        <v>194</v>
      </c>
      <c r="O27" t="s">
        <v>160</v>
      </c>
      <c r="P27">
        <v>1.9243507636402091E-2</v>
      </c>
      <c r="Q27" t="s">
        <v>154</v>
      </c>
      <c r="S27" t="s">
        <v>218</v>
      </c>
      <c r="T27" t="s">
        <v>160</v>
      </c>
      <c r="U27">
        <v>4.5233096382037284E-2</v>
      </c>
      <c r="V27" t="s">
        <v>154</v>
      </c>
      <c r="X27">
        <v>2.3173515981735161E-2</v>
      </c>
      <c r="Y27">
        <v>9.151646238884887E-3</v>
      </c>
      <c r="Z27" t="s">
        <v>160</v>
      </c>
      <c r="AA27" t="s">
        <v>25</v>
      </c>
      <c r="AC27" t="s">
        <v>22</v>
      </c>
      <c r="AD27" t="s">
        <v>160</v>
      </c>
      <c r="AE27">
        <v>1.5004486416880283E-2</v>
      </c>
      <c r="AG27" t="s">
        <v>96</v>
      </c>
      <c r="AH27" t="s">
        <v>160</v>
      </c>
      <c r="AI27">
        <v>0.20847837482621601</v>
      </c>
      <c r="AK27">
        <v>2025</v>
      </c>
      <c r="AL27" t="s">
        <v>146</v>
      </c>
      <c r="AM27">
        <v>0.379</v>
      </c>
      <c r="AN27" t="s">
        <v>250</v>
      </c>
    </row>
    <row r="28" spans="5:40" x14ac:dyDescent="0.45">
      <c r="I28" t="s">
        <v>152</v>
      </c>
      <c r="J28" t="s">
        <v>161</v>
      </c>
      <c r="K28">
        <v>8.8239967553590867E-3</v>
      </c>
      <c r="L28" t="s">
        <v>154</v>
      </c>
      <c r="N28" t="s">
        <v>194</v>
      </c>
      <c r="O28" t="s">
        <v>161</v>
      </c>
      <c r="P28">
        <v>5.3484134274757048E-3</v>
      </c>
      <c r="Q28" t="s">
        <v>154</v>
      </c>
      <c r="S28" t="s">
        <v>218</v>
      </c>
      <c r="T28" t="s">
        <v>161</v>
      </c>
      <c r="U28">
        <v>1.3011895302440703E-2</v>
      </c>
      <c r="V28" t="s">
        <v>154</v>
      </c>
      <c r="X28">
        <v>6.6210045662100456E-3</v>
      </c>
      <c r="Y28">
        <v>9.757269887046385E-3</v>
      </c>
      <c r="Z28" t="s">
        <v>161</v>
      </c>
      <c r="AA28" t="s">
        <v>25</v>
      </c>
      <c r="AC28" t="s">
        <v>22</v>
      </c>
      <c r="AD28" t="s">
        <v>161</v>
      </c>
      <c r="AE28">
        <v>6.6029138650491445E-3</v>
      </c>
      <c r="AG28" t="s">
        <v>96</v>
      </c>
      <c r="AH28" t="s">
        <v>161</v>
      </c>
      <c r="AI28">
        <v>0.12899409548174834</v>
      </c>
      <c r="AK28">
        <v>2025</v>
      </c>
      <c r="AL28" t="s">
        <v>148</v>
      </c>
      <c r="AM28">
        <v>0.35699999999999998</v>
      </c>
      <c r="AN28" t="s">
        <v>250</v>
      </c>
    </row>
    <row r="29" spans="5:40" x14ac:dyDescent="0.45">
      <c r="I29" t="s">
        <v>152</v>
      </c>
      <c r="J29" t="s">
        <v>162</v>
      </c>
      <c r="K29">
        <v>7.7372973018999935E-3</v>
      </c>
      <c r="L29" t="s">
        <v>154</v>
      </c>
      <c r="N29" t="s">
        <v>194</v>
      </c>
      <c r="O29" t="s">
        <v>162</v>
      </c>
      <c r="P29">
        <v>2.8916199634381138E-3</v>
      </c>
      <c r="Q29" t="s">
        <v>154</v>
      </c>
      <c r="S29" t="s">
        <v>218</v>
      </c>
      <c r="T29" t="s">
        <v>162</v>
      </c>
      <c r="U29">
        <v>6.5227316227728397E-3</v>
      </c>
      <c r="V29" t="s">
        <v>154</v>
      </c>
      <c r="X29">
        <v>3.3105022831050228E-3</v>
      </c>
      <c r="Y29">
        <v>4.1913001682287914E-3</v>
      </c>
      <c r="Z29" t="s">
        <v>162</v>
      </c>
      <c r="AA29" t="s">
        <v>25</v>
      </c>
      <c r="AC29" t="s">
        <v>22</v>
      </c>
      <c r="AD29" t="s">
        <v>162</v>
      </c>
      <c r="AE29">
        <v>3.7327611548278925E-3</v>
      </c>
      <c r="AG29" t="s">
        <v>96</v>
      </c>
      <c r="AH29" t="s">
        <v>162</v>
      </c>
      <c r="AI29">
        <v>6.3613729412973274E-2</v>
      </c>
      <c r="AK29">
        <v>2025</v>
      </c>
      <c r="AL29" t="s">
        <v>150</v>
      </c>
      <c r="AM29">
        <v>0.34094999999999998</v>
      </c>
      <c r="AN29" t="s">
        <v>250</v>
      </c>
    </row>
    <row r="30" spans="5:40" x14ac:dyDescent="0.45">
      <c r="I30" t="s">
        <v>152</v>
      </c>
      <c r="J30" t="s">
        <v>261</v>
      </c>
      <c r="K30">
        <v>5.2526197279026639E-2</v>
      </c>
      <c r="L30" t="s">
        <v>154</v>
      </c>
      <c r="N30" t="s">
        <v>194</v>
      </c>
      <c r="O30" t="s">
        <v>261</v>
      </c>
      <c r="P30">
        <v>1.8959811823431066E-2</v>
      </c>
      <c r="Q30" t="s">
        <v>154</v>
      </c>
      <c r="S30" t="s">
        <v>218</v>
      </c>
      <c r="T30" t="s">
        <v>261</v>
      </c>
      <c r="U30">
        <v>4.0556137120037403E-2</v>
      </c>
      <c r="V30" t="s">
        <v>154</v>
      </c>
      <c r="X30">
        <v>1.9863013698630139E-2</v>
      </c>
      <c r="Y30">
        <v>2.5974525354482102E-2</v>
      </c>
      <c r="Z30" t="s">
        <v>261</v>
      </c>
      <c r="AA30" t="s">
        <v>25</v>
      </c>
      <c r="AC30" t="s">
        <v>22</v>
      </c>
      <c r="AD30" t="s">
        <v>261</v>
      </c>
      <c r="AE30">
        <v>2.2927767299926197E-2</v>
      </c>
      <c r="AG30" t="s">
        <v>96</v>
      </c>
      <c r="AH30" t="s">
        <v>261</v>
      </c>
      <c r="AI30">
        <v>5.405528864455067E-2</v>
      </c>
      <c r="AK30">
        <v>2025</v>
      </c>
      <c r="AL30" t="s">
        <v>270</v>
      </c>
      <c r="AM30">
        <v>0.28625</v>
      </c>
      <c r="AN30" t="s">
        <v>250</v>
      </c>
    </row>
    <row r="31" spans="5:40" x14ac:dyDescent="0.45">
      <c r="I31" t="s">
        <v>152</v>
      </c>
      <c r="J31" t="s">
        <v>262</v>
      </c>
      <c r="K31">
        <v>5.3643384050109872E-3</v>
      </c>
      <c r="L31" t="s">
        <v>154</v>
      </c>
      <c r="N31" t="s">
        <v>194</v>
      </c>
      <c r="O31" t="s">
        <v>262</v>
      </c>
      <c r="P31">
        <v>3.3296025415036489E-3</v>
      </c>
      <c r="Q31" t="s">
        <v>154</v>
      </c>
      <c r="S31" t="s">
        <v>218</v>
      </c>
      <c r="T31" t="s">
        <v>262</v>
      </c>
      <c r="U31">
        <v>6.6168226085110918E-3</v>
      </c>
      <c r="V31" t="s">
        <v>154</v>
      </c>
      <c r="X31">
        <v>3.3105022831050228E-3</v>
      </c>
      <c r="Y31">
        <v>6.4407594328286487E-3</v>
      </c>
      <c r="Z31" t="s">
        <v>262</v>
      </c>
      <c r="AA31" t="s">
        <v>25</v>
      </c>
      <c r="AC31" t="s">
        <v>22</v>
      </c>
      <c r="AD31" t="s">
        <v>262</v>
      </c>
      <c r="AE31">
        <v>3.8014389737505193E-3</v>
      </c>
      <c r="AG31" t="s">
        <v>96</v>
      </c>
      <c r="AH31" t="s">
        <v>262</v>
      </c>
      <c r="AI31">
        <v>4.8987097988676398E-2</v>
      </c>
      <c r="AK31">
        <v>2026</v>
      </c>
      <c r="AL31" t="s">
        <v>142</v>
      </c>
      <c r="AM31">
        <v>0.35625000000000001</v>
      </c>
      <c r="AN31" t="s">
        <v>250</v>
      </c>
    </row>
    <row r="32" spans="5:40" x14ac:dyDescent="0.45">
      <c r="I32" t="s">
        <v>152</v>
      </c>
      <c r="J32" t="s">
        <v>263</v>
      </c>
      <c r="K32">
        <v>3.3073003660982021E-3</v>
      </c>
      <c r="L32" t="s">
        <v>154</v>
      </c>
      <c r="N32" t="s">
        <v>194</v>
      </c>
      <c r="O32" t="s">
        <v>263</v>
      </c>
      <c r="P32">
        <v>3.3131898696637276E-3</v>
      </c>
      <c r="Q32" t="s">
        <v>154</v>
      </c>
      <c r="S32" t="s">
        <v>218</v>
      </c>
      <c r="T32" t="s">
        <v>263</v>
      </c>
      <c r="U32">
        <v>6.1459018341701961E-3</v>
      </c>
      <c r="V32" t="s">
        <v>154</v>
      </c>
      <c r="X32">
        <v>3.3105022831050228E-3</v>
      </c>
      <c r="Y32">
        <v>6.4407594328286487E-3</v>
      </c>
      <c r="Z32" t="s">
        <v>263</v>
      </c>
      <c r="AA32" t="s">
        <v>25</v>
      </c>
      <c r="AC32" t="s">
        <v>22</v>
      </c>
      <c r="AD32" t="s">
        <v>263</v>
      </c>
      <c r="AE32">
        <v>3.8483855266125922E-3</v>
      </c>
      <c r="AG32" t="s">
        <v>96</v>
      </c>
      <c r="AH32" t="s">
        <v>263</v>
      </c>
      <c r="AI32">
        <v>4.499880411384849E-2</v>
      </c>
      <c r="AK32">
        <v>2026</v>
      </c>
      <c r="AL32" t="s">
        <v>146</v>
      </c>
      <c r="AM32">
        <v>0.52334999999999998</v>
      </c>
      <c r="AN32" t="s">
        <v>250</v>
      </c>
    </row>
    <row r="33" spans="9:40" x14ac:dyDescent="0.45">
      <c r="I33" t="s">
        <v>152</v>
      </c>
      <c r="J33" t="s">
        <v>286</v>
      </c>
      <c r="K33">
        <v>4.239543635356798E-6</v>
      </c>
      <c r="L33" t="s">
        <v>154</v>
      </c>
      <c r="N33" t="s">
        <v>194</v>
      </c>
      <c r="O33" t="s">
        <v>286</v>
      </c>
      <c r="P33">
        <v>3.0861536770921197E-3</v>
      </c>
      <c r="Q33" t="s">
        <v>154</v>
      </c>
      <c r="S33" t="s">
        <v>218</v>
      </c>
      <c r="T33" t="s">
        <v>286</v>
      </c>
      <c r="U33">
        <v>5.9695966445072381E-3</v>
      </c>
      <c r="V33" t="s">
        <v>154</v>
      </c>
      <c r="X33">
        <v>3.3105022831050228E-3</v>
      </c>
      <c r="Y33">
        <v>4.9987983657774574E-3</v>
      </c>
      <c r="Z33" t="s">
        <v>286</v>
      </c>
      <c r="AA33" t="s">
        <v>25</v>
      </c>
      <c r="AC33" t="s">
        <v>22</v>
      </c>
      <c r="AD33" t="s">
        <v>286</v>
      </c>
      <c r="AE33">
        <v>4.6254349438862464E-3</v>
      </c>
      <c r="AG33" t="s">
        <v>96</v>
      </c>
      <c r="AH33" t="s">
        <v>286</v>
      </c>
      <c r="AI33">
        <v>7.2286571839792924E-2</v>
      </c>
      <c r="AK33">
        <v>2026</v>
      </c>
      <c r="AL33" t="s">
        <v>148</v>
      </c>
      <c r="AM33">
        <v>0.48325000000000001</v>
      </c>
      <c r="AN33" t="s">
        <v>250</v>
      </c>
    </row>
    <row r="34" spans="9:40" x14ac:dyDescent="0.45">
      <c r="I34" t="s">
        <v>152</v>
      </c>
      <c r="J34" t="s">
        <v>287</v>
      </c>
      <c r="K34">
        <v>0</v>
      </c>
      <c r="L34" t="s">
        <v>154</v>
      </c>
      <c r="N34" t="s">
        <v>194</v>
      </c>
      <c r="O34" t="s">
        <v>287</v>
      </c>
      <c r="P34">
        <v>1.5748845288646635E-2</v>
      </c>
      <c r="Q34" t="s">
        <v>154</v>
      </c>
      <c r="S34" t="s">
        <v>218</v>
      </c>
      <c r="T34" t="s">
        <v>287</v>
      </c>
      <c r="U34">
        <v>2.9935177751362289E-2</v>
      </c>
      <c r="V34" t="s">
        <v>154</v>
      </c>
      <c r="X34">
        <v>1.6552511415525113E-2</v>
      </c>
      <c r="Y34">
        <v>1.2496995914443643E-2</v>
      </c>
      <c r="Z34" t="s">
        <v>287</v>
      </c>
      <c r="AA34" t="s">
        <v>25</v>
      </c>
      <c r="AC34" t="s">
        <v>22</v>
      </c>
      <c r="AD34" t="s">
        <v>287</v>
      </c>
      <c r="AE34">
        <v>1.7040916328631153E-2</v>
      </c>
      <c r="AG34" t="s">
        <v>96</v>
      </c>
      <c r="AH34" t="s">
        <v>287</v>
      </c>
      <c r="AI34">
        <v>0.3499131797114694</v>
      </c>
      <c r="AK34">
        <v>2026</v>
      </c>
      <c r="AL34" t="s">
        <v>150</v>
      </c>
      <c r="AM34">
        <v>0.44</v>
      </c>
      <c r="AN34" t="s">
        <v>250</v>
      </c>
    </row>
    <row r="35" spans="9:40" x14ac:dyDescent="0.45">
      <c r="I35" t="s">
        <v>152</v>
      </c>
      <c r="J35" t="s">
        <v>163</v>
      </c>
      <c r="K35">
        <v>1.6773747219454588E-4</v>
      </c>
      <c r="L35" t="s">
        <v>154</v>
      </c>
      <c r="N35" t="s">
        <v>194</v>
      </c>
      <c r="O35" t="s">
        <v>163</v>
      </c>
      <c r="P35">
        <v>2.8215245883020282E-2</v>
      </c>
      <c r="Q35" t="s">
        <v>154</v>
      </c>
      <c r="S35" t="s">
        <v>218</v>
      </c>
      <c r="T35" t="s">
        <v>163</v>
      </c>
      <c r="U35">
        <v>5.1497994998714854E-3</v>
      </c>
      <c r="V35" t="s">
        <v>154</v>
      </c>
      <c r="X35">
        <v>1.8378995433789954E-2</v>
      </c>
      <c r="Y35">
        <v>7.2582021894604257E-3</v>
      </c>
      <c r="Z35" t="s">
        <v>163</v>
      </c>
      <c r="AA35" t="s">
        <v>25</v>
      </c>
      <c r="AC35" t="s">
        <v>22</v>
      </c>
      <c r="AD35" t="s">
        <v>163</v>
      </c>
      <c r="AE35">
        <v>1.1973693381552721E-2</v>
      </c>
      <c r="AG35" t="s">
        <v>96</v>
      </c>
      <c r="AH35" t="s">
        <v>163</v>
      </c>
      <c r="AI35">
        <v>0.19712275075717089</v>
      </c>
      <c r="AK35">
        <v>2026</v>
      </c>
      <c r="AL35" t="s">
        <v>270</v>
      </c>
      <c r="AM35">
        <v>0.43859999999999999</v>
      </c>
      <c r="AN35" t="s">
        <v>250</v>
      </c>
    </row>
    <row r="36" spans="9:40" x14ac:dyDescent="0.45">
      <c r="I36" t="s">
        <v>152</v>
      </c>
      <c r="J36" t="s">
        <v>164</v>
      </c>
      <c r="K36">
        <v>8.6824687636709308E-3</v>
      </c>
      <c r="L36" t="s">
        <v>154</v>
      </c>
      <c r="N36" t="s">
        <v>194</v>
      </c>
      <c r="O36" t="s">
        <v>164</v>
      </c>
      <c r="P36">
        <v>7.5611794857203757E-3</v>
      </c>
      <c r="Q36" t="s">
        <v>154</v>
      </c>
      <c r="S36" t="s">
        <v>218</v>
      </c>
      <c r="T36" t="s">
        <v>164</v>
      </c>
      <c r="U36">
        <v>1.5419941072429325E-3</v>
      </c>
      <c r="V36" t="s">
        <v>154</v>
      </c>
      <c r="X36">
        <v>5.2511415525114159E-3</v>
      </c>
      <c r="Y36">
        <v>7.7385243931747186E-3</v>
      </c>
      <c r="Z36" t="s">
        <v>164</v>
      </c>
      <c r="AA36" t="s">
        <v>25</v>
      </c>
      <c r="AC36" t="s">
        <v>22</v>
      </c>
      <c r="AD36" t="s">
        <v>164</v>
      </c>
      <c r="AE36">
        <v>5.1997230348272772E-3</v>
      </c>
      <c r="AG36" t="s">
        <v>96</v>
      </c>
      <c r="AH36" t="s">
        <v>164</v>
      </c>
      <c r="AI36">
        <v>0.12788405404719394</v>
      </c>
      <c r="AK36">
        <v>2027</v>
      </c>
      <c r="AL36" t="s">
        <v>142</v>
      </c>
      <c r="AM36">
        <v>0.40931250000000002</v>
      </c>
      <c r="AN36" t="s">
        <v>250</v>
      </c>
    </row>
    <row r="37" spans="9:40" x14ac:dyDescent="0.45">
      <c r="I37" t="s">
        <v>152</v>
      </c>
      <c r="J37" t="s">
        <v>165</v>
      </c>
      <c r="K37">
        <v>6.2018973062821971E-3</v>
      </c>
      <c r="L37" t="s">
        <v>154</v>
      </c>
      <c r="N37" t="s">
        <v>194</v>
      </c>
      <c r="O37" t="s">
        <v>165</v>
      </c>
      <c r="P37">
        <v>4.2597035480274794E-3</v>
      </c>
      <c r="Q37" t="s">
        <v>154</v>
      </c>
      <c r="S37" t="s">
        <v>218</v>
      </c>
      <c r="T37" t="s">
        <v>165</v>
      </c>
      <c r="U37">
        <v>7.1016521908629534E-4</v>
      </c>
      <c r="V37" t="s">
        <v>154</v>
      </c>
      <c r="X37">
        <v>2.625570776255708E-3</v>
      </c>
      <c r="Y37">
        <v>3.3241346161814555E-3</v>
      </c>
      <c r="Z37" t="s">
        <v>165</v>
      </c>
      <c r="AA37" t="s">
        <v>25</v>
      </c>
      <c r="AC37" t="s">
        <v>22</v>
      </c>
      <c r="AD37" t="s">
        <v>165</v>
      </c>
      <c r="AE37">
        <v>2.9631208094541119E-3</v>
      </c>
      <c r="AG37" t="s">
        <v>96</v>
      </c>
      <c r="AH37" t="s">
        <v>165</v>
      </c>
      <c r="AI37">
        <v>6.4696672707324154E-2</v>
      </c>
      <c r="AK37">
        <v>2027</v>
      </c>
      <c r="AL37" t="s">
        <v>146</v>
      </c>
      <c r="AM37">
        <v>0.66395000000000004</v>
      </c>
      <c r="AN37" t="s">
        <v>250</v>
      </c>
    </row>
    <row r="38" spans="9:40" x14ac:dyDescent="0.45">
      <c r="I38" t="s">
        <v>152</v>
      </c>
      <c r="J38" t="s">
        <v>264</v>
      </c>
      <c r="K38">
        <v>4.0257185815715815E-2</v>
      </c>
      <c r="L38" t="s">
        <v>154</v>
      </c>
      <c r="N38" t="s">
        <v>194</v>
      </c>
      <c r="O38" t="s">
        <v>264</v>
      </c>
      <c r="P38">
        <v>2.7791996291287594E-2</v>
      </c>
      <c r="Q38" t="s">
        <v>154</v>
      </c>
      <c r="S38" t="s">
        <v>218</v>
      </c>
      <c r="T38" t="s">
        <v>264</v>
      </c>
      <c r="U38">
        <v>3.6074264331452176E-3</v>
      </c>
      <c r="V38" t="s">
        <v>154</v>
      </c>
      <c r="X38">
        <v>1.5753424657534248E-2</v>
      </c>
      <c r="Y38">
        <v>2.0600485625968563E-2</v>
      </c>
      <c r="Z38" t="s">
        <v>264</v>
      </c>
      <c r="AA38" t="s">
        <v>25</v>
      </c>
      <c r="AC38" t="s">
        <v>22</v>
      </c>
      <c r="AD38" t="s">
        <v>264</v>
      </c>
      <c r="AE38">
        <v>1.8271400480353559E-2</v>
      </c>
      <c r="AG38" t="s">
        <v>96</v>
      </c>
      <c r="AH38" t="s">
        <v>264</v>
      </c>
      <c r="AI38">
        <v>5.1613195577306481E-2</v>
      </c>
      <c r="AK38">
        <v>2027</v>
      </c>
      <c r="AL38" t="s">
        <v>148</v>
      </c>
      <c r="AM38">
        <v>0.55425000000000002</v>
      </c>
      <c r="AN38" t="s">
        <v>250</v>
      </c>
    </row>
    <row r="39" spans="9:40" x14ac:dyDescent="0.45">
      <c r="I39" t="s">
        <v>152</v>
      </c>
      <c r="J39" t="s">
        <v>265</v>
      </c>
      <c r="K39">
        <v>4.4469161783961993E-3</v>
      </c>
      <c r="L39" t="s">
        <v>154</v>
      </c>
      <c r="N39" t="s">
        <v>194</v>
      </c>
      <c r="O39" t="s">
        <v>265</v>
      </c>
      <c r="P39">
        <v>4.655722133043873E-3</v>
      </c>
      <c r="Q39" t="s">
        <v>154</v>
      </c>
      <c r="S39" t="s">
        <v>218</v>
      </c>
      <c r="T39" t="s">
        <v>265</v>
      </c>
      <c r="U39">
        <v>6.9576539176906965E-4</v>
      </c>
      <c r="V39" t="s">
        <v>154</v>
      </c>
      <c r="X39">
        <v>2.625570776255708E-3</v>
      </c>
      <c r="Y39">
        <v>5.1081885156916869E-3</v>
      </c>
      <c r="Z39" t="s">
        <v>265</v>
      </c>
      <c r="AA39" t="s">
        <v>25</v>
      </c>
      <c r="AC39" t="s">
        <v>22</v>
      </c>
      <c r="AD39" t="s">
        <v>265</v>
      </c>
      <c r="AE39">
        <v>3.0295553200579157E-3</v>
      </c>
      <c r="AG39" t="s">
        <v>96</v>
      </c>
      <c r="AH39" t="s">
        <v>265</v>
      </c>
      <c r="AI39">
        <v>4.6814588393693679E-2</v>
      </c>
      <c r="AK39">
        <v>2027</v>
      </c>
      <c r="AL39" t="s">
        <v>150</v>
      </c>
      <c r="AM39">
        <v>0.42784999999999995</v>
      </c>
      <c r="AN39" t="s">
        <v>250</v>
      </c>
    </row>
    <row r="40" spans="9:40" x14ac:dyDescent="0.45">
      <c r="I40" t="s">
        <v>152</v>
      </c>
      <c r="J40" t="s">
        <v>266</v>
      </c>
      <c r="K40">
        <v>2.6060296281202313E-3</v>
      </c>
      <c r="L40" t="s">
        <v>154</v>
      </c>
      <c r="N40" t="s">
        <v>194</v>
      </c>
      <c r="O40" t="s">
        <v>266</v>
      </c>
      <c r="P40">
        <v>4.5027964705041763E-3</v>
      </c>
      <c r="Q40" t="s">
        <v>154</v>
      </c>
      <c r="S40" t="s">
        <v>218</v>
      </c>
      <c r="T40" t="s">
        <v>266</v>
      </c>
      <c r="U40">
        <v>6.2519575359674126E-4</v>
      </c>
      <c r="V40" t="s">
        <v>154</v>
      </c>
      <c r="X40">
        <v>2.625570776255708E-3</v>
      </c>
      <c r="Y40">
        <v>5.1081885156916869E-3</v>
      </c>
      <c r="Z40" t="s">
        <v>266</v>
      </c>
      <c r="AA40" t="s">
        <v>25</v>
      </c>
      <c r="AC40" t="s">
        <v>22</v>
      </c>
      <c r="AD40" t="s">
        <v>266</v>
      </c>
      <c r="AE40">
        <v>3.0554097617435686E-3</v>
      </c>
      <c r="AG40" t="s">
        <v>96</v>
      </c>
      <c r="AH40" t="s">
        <v>266</v>
      </c>
      <c r="AI40">
        <v>4.4257335037006573E-2</v>
      </c>
      <c r="AK40">
        <v>2027</v>
      </c>
      <c r="AL40" t="s">
        <v>270</v>
      </c>
      <c r="AM40">
        <v>0.37709999999999999</v>
      </c>
      <c r="AN40" t="s">
        <v>250</v>
      </c>
    </row>
    <row r="41" spans="9:40" x14ac:dyDescent="0.45">
      <c r="I41" t="s">
        <v>152</v>
      </c>
      <c r="J41" t="s">
        <v>288</v>
      </c>
      <c r="K41">
        <v>0</v>
      </c>
      <c r="L41" t="s">
        <v>154</v>
      </c>
      <c r="N41" t="s">
        <v>194</v>
      </c>
      <c r="O41" t="s">
        <v>288</v>
      </c>
      <c r="P41">
        <v>3.8232971373741058E-3</v>
      </c>
      <c r="Q41" t="s">
        <v>154</v>
      </c>
      <c r="S41" t="s">
        <v>218</v>
      </c>
      <c r="T41" t="s">
        <v>288</v>
      </c>
      <c r="U41">
        <v>7.0567705766442124E-4</v>
      </c>
      <c r="V41" t="s">
        <v>154</v>
      </c>
      <c r="X41">
        <v>2.625570776255708E-3</v>
      </c>
      <c r="Y41">
        <v>3.964564221133845E-3</v>
      </c>
      <c r="Z41" t="s">
        <v>288</v>
      </c>
      <c r="AA41" t="s">
        <v>25</v>
      </c>
      <c r="AC41" t="s">
        <v>22</v>
      </c>
      <c r="AD41" t="s">
        <v>288</v>
      </c>
      <c r="AE41">
        <v>3.6641859902080787E-3</v>
      </c>
      <c r="AG41" t="s">
        <v>96</v>
      </c>
      <c r="AH41" t="s">
        <v>288</v>
      </c>
      <c r="AI41">
        <v>5.6744337658514166E-2</v>
      </c>
      <c r="AK41">
        <v>2028</v>
      </c>
      <c r="AL41" t="s">
        <v>142</v>
      </c>
      <c r="AM41">
        <v>0.39554999999999996</v>
      </c>
      <c r="AN41" t="s">
        <v>250</v>
      </c>
    </row>
    <row r="42" spans="9:40" x14ac:dyDescent="0.45">
      <c r="I42" t="s">
        <v>152</v>
      </c>
      <c r="J42" t="s">
        <v>289</v>
      </c>
      <c r="K42">
        <v>0</v>
      </c>
      <c r="L42" t="s">
        <v>154</v>
      </c>
      <c r="N42" t="s">
        <v>194</v>
      </c>
      <c r="O42" t="s">
        <v>289</v>
      </c>
      <c r="P42">
        <v>2.0883915158389228E-2</v>
      </c>
      <c r="Q42" t="s">
        <v>154</v>
      </c>
      <c r="S42" t="s">
        <v>218</v>
      </c>
      <c r="T42" t="s">
        <v>289</v>
      </c>
      <c r="U42">
        <v>4.038897774331059E-3</v>
      </c>
      <c r="V42" t="s">
        <v>154</v>
      </c>
      <c r="X42">
        <v>1.3127853881278538E-2</v>
      </c>
      <c r="Y42">
        <v>9.9114105528346139E-3</v>
      </c>
      <c r="Z42" t="s">
        <v>289</v>
      </c>
      <c r="AA42" t="s">
        <v>25</v>
      </c>
      <c r="AC42" t="s">
        <v>22</v>
      </c>
      <c r="AD42" t="s">
        <v>289</v>
      </c>
      <c r="AE42">
        <v>1.3696594234536544E-2</v>
      </c>
      <c r="AG42" t="s">
        <v>96</v>
      </c>
      <c r="AH42" t="s">
        <v>289</v>
      </c>
      <c r="AI42">
        <v>0.32031811074778327</v>
      </c>
      <c r="AK42">
        <v>2028</v>
      </c>
      <c r="AL42" t="s">
        <v>146</v>
      </c>
      <c r="AM42">
        <v>0.55774999999999997</v>
      </c>
      <c r="AN42" t="s">
        <v>250</v>
      </c>
    </row>
    <row r="43" spans="9:40" x14ac:dyDescent="0.45">
      <c r="I43" t="s">
        <v>152</v>
      </c>
      <c r="J43" t="s">
        <v>272</v>
      </c>
      <c r="K43">
        <v>0</v>
      </c>
      <c r="L43" t="s">
        <v>154</v>
      </c>
      <c r="N43" t="s">
        <v>194</v>
      </c>
      <c r="O43" t="s">
        <v>272</v>
      </c>
      <c r="P43">
        <v>6.9789072753107903E-2</v>
      </c>
      <c r="Q43" t="s">
        <v>154</v>
      </c>
      <c r="S43" t="s">
        <v>218</v>
      </c>
      <c r="T43" t="s">
        <v>272</v>
      </c>
      <c r="U43">
        <v>4.7145709796356225E-2</v>
      </c>
      <c r="V43" t="s">
        <v>154</v>
      </c>
      <c r="X43">
        <v>4.2351598173515984E-2</v>
      </c>
      <c r="Y43">
        <v>1.6725422436582722E-2</v>
      </c>
      <c r="Z43" t="s">
        <v>272</v>
      </c>
      <c r="AA43" t="s">
        <v>25</v>
      </c>
      <c r="AC43" t="s">
        <v>22</v>
      </c>
      <c r="AD43" t="s">
        <v>272</v>
      </c>
      <c r="AE43">
        <v>2.7288543667554961E-2</v>
      </c>
      <c r="AG43" t="s">
        <v>96</v>
      </c>
      <c r="AH43" t="s">
        <v>272</v>
      </c>
      <c r="AI43">
        <v>0.20699588717504991</v>
      </c>
      <c r="AK43">
        <v>2028</v>
      </c>
      <c r="AL43" t="s">
        <v>148</v>
      </c>
      <c r="AM43">
        <v>0.57574999999999998</v>
      </c>
      <c r="AN43" t="s">
        <v>250</v>
      </c>
    </row>
    <row r="44" spans="9:40" x14ac:dyDescent="0.45">
      <c r="I44" t="s">
        <v>152</v>
      </c>
      <c r="J44" t="s">
        <v>273</v>
      </c>
      <c r="K44">
        <v>1.886455209774137E-2</v>
      </c>
      <c r="L44" t="s">
        <v>154</v>
      </c>
      <c r="N44" t="s">
        <v>194</v>
      </c>
      <c r="O44" t="s">
        <v>273</v>
      </c>
      <c r="P44">
        <v>1.7963366112217567E-2</v>
      </c>
      <c r="Q44" t="s">
        <v>154</v>
      </c>
      <c r="S44" t="s">
        <v>218</v>
      </c>
      <c r="T44" t="s">
        <v>273</v>
      </c>
      <c r="U44">
        <v>1.4611784337173689E-2</v>
      </c>
      <c r="V44" t="s">
        <v>154</v>
      </c>
      <c r="X44">
        <v>1.2100456621004566E-2</v>
      </c>
      <c r="Y44">
        <v>1.7832251862533045E-2</v>
      </c>
      <c r="Z44" t="s">
        <v>273</v>
      </c>
      <c r="AA44" t="s">
        <v>25</v>
      </c>
      <c r="AC44" t="s">
        <v>22</v>
      </c>
      <c r="AD44" t="s">
        <v>273</v>
      </c>
      <c r="AE44">
        <v>1.1958298229401101E-2</v>
      </c>
      <c r="AG44" t="s">
        <v>96</v>
      </c>
      <c r="AH44" t="s">
        <v>273</v>
      </c>
      <c r="AI44">
        <v>0.13147625922974449</v>
      </c>
      <c r="AK44">
        <v>2028</v>
      </c>
      <c r="AL44" t="s">
        <v>150</v>
      </c>
      <c r="AM44">
        <v>0.5452999999999999</v>
      </c>
      <c r="AN44" t="s">
        <v>250</v>
      </c>
    </row>
    <row r="45" spans="9:40" x14ac:dyDescent="0.45">
      <c r="I45" t="s">
        <v>152</v>
      </c>
      <c r="J45" t="s">
        <v>274</v>
      </c>
      <c r="K45">
        <v>1.4376230314331025E-2</v>
      </c>
      <c r="L45" t="s">
        <v>154</v>
      </c>
      <c r="N45" t="s">
        <v>194</v>
      </c>
      <c r="O45" t="s">
        <v>274</v>
      </c>
      <c r="P45">
        <v>1.0002301405115432E-2</v>
      </c>
      <c r="Q45" t="s">
        <v>154</v>
      </c>
      <c r="S45" t="s">
        <v>218</v>
      </c>
      <c r="T45" t="s">
        <v>274</v>
      </c>
      <c r="U45">
        <v>7.3750112228643189E-3</v>
      </c>
      <c r="V45" t="s">
        <v>154</v>
      </c>
      <c r="X45">
        <v>6.0502283105022831E-3</v>
      </c>
      <c r="Y45">
        <v>7.6599623764181364E-3</v>
      </c>
      <c r="Z45" t="s">
        <v>274</v>
      </c>
      <c r="AA45" t="s">
        <v>25</v>
      </c>
      <c r="AC45" t="s">
        <v>22</v>
      </c>
      <c r="AD45" t="s">
        <v>274</v>
      </c>
      <c r="AE45">
        <v>6.712848791891473E-3</v>
      </c>
      <c r="AG45" t="s">
        <v>96</v>
      </c>
      <c r="AH45" t="s">
        <v>274</v>
      </c>
      <c r="AI45">
        <v>7.6025948919832942E-2</v>
      </c>
      <c r="AK45">
        <v>2028</v>
      </c>
      <c r="AL45" t="s">
        <v>270</v>
      </c>
      <c r="AM45">
        <v>0.51014999999999999</v>
      </c>
      <c r="AN45" t="s">
        <v>250</v>
      </c>
    </row>
    <row r="46" spans="9:40" x14ac:dyDescent="0.45">
      <c r="I46" t="s">
        <v>152</v>
      </c>
      <c r="J46" t="s">
        <v>275</v>
      </c>
      <c r="K46">
        <v>9.1032243973991872E-2</v>
      </c>
      <c r="L46" t="s">
        <v>154</v>
      </c>
      <c r="N46" t="s">
        <v>194</v>
      </c>
      <c r="O46" t="s">
        <v>275</v>
      </c>
      <c r="P46">
        <v>6.5594480652956505E-2</v>
      </c>
      <c r="Q46" t="s">
        <v>154</v>
      </c>
      <c r="S46" t="s">
        <v>218</v>
      </c>
      <c r="T46" t="s">
        <v>275</v>
      </c>
      <c r="U46">
        <v>4.0360133366590605E-2</v>
      </c>
      <c r="V46" t="s">
        <v>154</v>
      </c>
      <c r="X46">
        <v>3.6301369863013695E-2</v>
      </c>
      <c r="Y46">
        <v>4.7470684268536262E-2</v>
      </c>
      <c r="Z46" t="s">
        <v>275</v>
      </c>
      <c r="AA46" t="s">
        <v>25</v>
      </c>
      <c r="AC46" t="s">
        <v>22</v>
      </c>
      <c r="AD46" t="s">
        <v>275</v>
      </c>
      <c r="AE46">
        <v>4.1363618457030404E-2</v>
      </c>
      <c r="AG46" t="s">
        <v>96</v>
      </c>
      <c r="AH46" t="s">
        <v>275</v>
      </c>
      <c r="AI46">
        <v>6.6007729061923426E-2</v>
      </c>
      <c r="AK46">
        <v>2029</v>
      </c>
      <c r="AL46" t="s">
        <v>142</v>
      </c>
      <c r="AM46">
        <v>0.41341249999999996</v>
      </c>
      <c r="AN46" t="s">
        <v>250</v>
      </c>
    </row>
    <row r="47" spans="9:40" x14ac:dyDescent="0.45">
      <c r="I47" t="s">
        <v>152</v>
      </c>
      <c r="J47" t="s">
        <v>276</v>
      </c>
      <c r="K47">
        <v>1.0835680575771727E-2</v>
      </c>
      <c r="L47" t="s">
        <v>154</v>
      </c>
      <c r="N47" t="s">
        <v>194</v>
      </c>
      <c r="O47" t="s">
        <v>276</v>
      </c>
      <c r="P47">
        <v>1.1238452114366701E-2</v>
      </c>
      <c r="Q47" t="s">
        <v>154</v>
      </c>
      <c r="S47" t="s">
        <v>218</v>
      </c>
      <c r="T47" t="s">
        <v>276</v>
      </c>
      <c r="U47">
        <v>7.2244204262026717E-3</v>
      </c>
      <c r="V47" t="s">
        <v>154</v>
      </c>
      <c r="X47">
        <v>6.0502283105022831E-3</v>
      </c>
      <c r="Y47">
        <v>1.1771043101376489E-2</v>
      </c>
      <c r="Z47" t="s">
        <v>276</v>
      </c>
      <c r="AA47" t="s">
        <v>25</v>
      </c>
      <c r="AC47" t="s">
        <v>22</v>
      </c>
      <c r="AD47" t="s">
        <v>276</v>
      </c>
      <c r="AE47">
        <v>6.8626867486504001E-3</v>
      </c>
      <c r="AG47" t="s">
        <v>96</v>
      </c>
      <c r="AH47" t="s">
        <v>276</v>
      </c>
      <c r="AI47">
        <v>5.9875732376991175E-2</v>
      </c>
      <c r="AK47">
        <v>2029</v>
      </c>
      <c r="AL47" t="s">
        <v>146</v>
      </c>
      <c r="AM47">
        <v>0.57014999999999993</v>
      </c>
      <c r="AN47" t="s">
        <v>250</v>
      </c>
    </row>
    <row r="48" spans="9:40" x14ac:dyDescent="0.45">
      <c r="I48" t="s">
        <v>152</v>
      </c>
      <c r="J48" t="s">
        <v>277</v>
      </c>
      <c r="K48">
        <v>6.8278715843759609E-3</v>
      </c>
      <c r="L48" t="s">
        <v>154</v>
      </c>
      <c r="N48" t="s">
        <v>194</v>
      </c>
      <c r="O48" t="s">
        <v>277</v>
      </c>
      <c r="P48">
        <v>1.1161161206095132E-2</v>
      </c>
      <c r="Q48" t="s">
        <v>154</v>
      </c>
      <c r="S48" t="s">
        <v>218</v>
      </c>
      <c r="T48" t="s">
        <v>277</v>
      </c>
      <c r="U48">
        <v>6.2955677963140695E-3</v>
      </c>
      <c r="V48" t="s">
        <v>154</v>
      </c>
      <c r="X48">
        <v>6.0502283105022831E-3</v>
      </c>
      <c r="Y48">
        <v>1.1771043101376489E-2</v>
      </c>
      <c r="Z48" t="s">
        <v>277</v>
      </c>
      <c r="AA48" t="s">
        <v>25</v>
      </c>
      <c r="AC48" t="s">
        <v>22</v>
      </c>
      <c r="AD48" t="s">
        <v>277</v>
      </c>
      <c r="AE48">
        <v>6.939673581066768E-3</v>
      </c>
      <c r="AG48" t="s">
        <v>96</v>
      </c>
      <c r="AH48" t="s">
        <v>277</v>
      </c>
      <c r="AI48">
        <v>5.5124269768929146E-2</v>
      </c>
      <c r="AK48">
        <v>2029</v>
      </c>
      <c r="AL48" t="s">
        <v>148</v>
      </c>
      <c r="AM48">
        <v>0.495</v>
      </c>
      <c r="AN48" t="s">
        <v>250</v>
      </c>
    </row>
    <row r="49" spans="9:40" x14ac:dyDescent="0.45">
      <c r="I49" t="s">
        <v>152</v>
      </c>
      <c r="J49" t="s">
        <v>290</v>
      </c>
      <c r="K49">
        <v>0</v>
      </c>
      <c r="L49" t="s">
        <v>154</v>
      </c>
      <c r="N49" t="s">
        <v>194</v>
      </c>
      <c r="O49" t="s">
        <v>290</v>
      </c>
      <c r="P49">
        <v>9.1032881801218993E-3</v>
      </c>
      <c r="Q49" t="s">
        <v>154</v>
      </c>
      <c r="S49" t="s">
        <v>218</v>
      </c>
      <c r="T49" t="s">
        <v>290</v>
      </c>
      <c r="U49">
        <v>6.8816096764425629E-3</v>
      </c>
      <c r="V49" t="s">
        <v>154</v>
      </c>
      <c r="X49">
        <v>6.0502283105022831E-3</v>
      </c>
      <c r="Y49">
        <v>9.1357349443519087E-3</v>
      </c>
      <c r="Z49" t="s">
        <v>290</v>
      </c>
      <c r="AA49" t="s">
        <v>25</v>
      </c>
      <c r="AC49" t="s">
        <v>22</v>
      </c>
      <c r="AD49" t="s">
        <v>290</v>
      </c>
      <c r="AE49">
        <v>8.3168518371960608E-3</v>
      </c>
      <c r="AG49" t="s">
        <v>96</v>
      </c>
      <c r="AH49" t="s">
        <v>290</v>
      </c>
      <c r="AI49">
        <v>5.9853231333725665E-2</v>
      </c>
      <c r="AK49">
        <v>2029</v>
      </c>
      <c r="AL49" t="s">
        <v>150</v>
      </c>
      <c r="AM49">
        <v>0.44735000000000003</v>
      </c>
      <c r="AN49" t="s">
        <v>250</v>
      </c>
    </row>
    <row r="50" spans="9:40" x14ac:dyDescent="0.45">
      <c r="I50" t="s">
        <v>152</v>
      </c>
      <c r="J50" t="s">
        <v>291</v>
      </c>
      <c r="K50">
        <v>0</v>
      </c>
      <c r="L50" t="s">
        <v>154</v>
      </c>
      <c r="N50" t="s">
        <v>194</v>
      </c>
      <c r="O50" t="s">
        <v>291</v>
      </c>
      <c r="P50">
        <v>4.9783823184768497E-2</v>
      </c>
      <c r="Q50" t="s">
        <v>154</v>
      </c>
      <c r="S50" t="s">
        <v>218</v>
      </c>
      <c r="T50" t="s">
        <v>291</v>
      </c>
      <c r="U50">
        <v>3.7713533893888311E-2</v>
      </c>
      <c r="V50" t="s">
        <v>154</v>
      </c>
      <c r="X50">
        <v>3.0251141552511414E-2</v>
      </c>
      <c r="Y50">
        <v>2.2839337360879761E-2</v>
      </c>
      <c r="Z50" t="s">
        <v>291</v>
      </c>
      <c r="AA50" t="s">
        <v>25</v>
      </c>
      <c r="AC50" t="s">
        <v>22</v>
      </c>
      <c r="AD50" t="s">
        <v>291</v>
      </c>
      <c r="AE50">
        <v>3.1280794207420984E-2</v>
      </c>
      <c r="AG50" t="s">
        <v>96</v>
      </c>
      <c r="AH50" t="s">
        <v>291</v>
      </c>
      <c r="AI50">
        <v>0.31729915097571859</v>
      </c>
      <c r="AK50">
        <v>2029</v>
      </c>
      <c r="AL50" t="s">
        <v>270</v>
      </c>
      <c r="AM50">
        <v>0.42589999999999995</v>
      </c>
      <c r="AN50" t="s">
        <v>250</v>
      </c>
    </row>
    <row r="51" spans="9:40" x14ac:dyDescent="0.45">
      <c r="I51" t="s">
        <v>166</v>
      </c>
      <c r="J51" t="s">
        <v>153</v>
      </c>
      <c r="K51">
        <v>1.2210910260312892E-3</v>
      </c>
      <c r="L51" t="s">
        <v>154</v>
      </c>
      <c r="N51" t="s">
        <v>195</v>
      </c>
      <c r="O51" t="s">
        <v>153</v>
      </c>
      <c r="P51">
        <v>0.11616350275611212</v>
      </c>
      <c r="Q51" t="s">
        <v>154</v>
      </c>
      <c r="S51" t="s">
        <v>219</v>
      </c>
      <c r="T51" t="s">
        <v>153</v>
      </c>
      <c r="U51">
        <v>0.18261875461601029</v>
      </c>
      <c r="V51" t="s">
        <v>154</v>
      </c>
      <c r="AC51" t="s">
        <v>19</v>
      </c>
      <c r="AD51" t="s">
        <v>153</v>
      </c>
      <c r="AE51">
        <v>0.18522873061513781</v>
      </c>
      <c r="AK51">
        <v>2030</v>
      </c>
      <c r="AL51" t="s">
        <v>142</v>
      </c>
      <c r="AM51">
        <v>0.41156250000000005</v>
      </c>
      <c r="AN51" t="s">
        <v>250</v>
      </c>
    </row>
    <row r="52" spans="9:40" x14ac:dyDescent="0.45">
      <c r="I52" t="s">
        <v>166</v>
      </c>
      <c r="J52" t="s">
        <v>155</v>
      </c>
      <c r="K52">
        <v>6.9459130152193946E-2</v>
      </c>
      <c r="L52" t="s">
        <v>154</v>
      </c>
      <c r="N52" t="s">
        <v>195</v>
      </c>
      <c r="O52" t="s">
        <v>155</v>
      </c>
      <c r="P52">
        <v>2.7596372046907403E-2</v>
      </c>
      <c r="Q52" t="s">
        <v>154</v>
      </c>
      <c r="S52" t="s">
        <v>219</v>
      </c>
      <c r="T52" t="s">
        <v>155</v>
      </c>
      <c r="U52">
        <v>4.8240984441945169E-2</v>
      </c>
      <c r="V52" t="s">
        <v>154</v>
      </c>
      <c r="AC52" t="s">
        <v>19</v>
      </c>
      <c r="AD52" t="s">
        <v>155</v>
      </c>
      <c r="AE52">
        <v>5.4085281452119598E-2</v>
      </c>
      <c r="AK52">
        <v>2030</v>
      </c>
      <c r="AL52" t="s">
        <v>146</v>
      </c>
      <c r="AM52">
        <v>0.53625</v>
      </c>
      <c r="AN52" t="s">
        <v>250</v>
      </c>
    </row>
    <row r="53" spans="9:40" x14ac:dyDescent="0.45">
      <c r="I53" t="s">
        <v>166</v>
      </c>
      <c r="J53" t="s">
        <v>156</v>
      </c>
      <c r="K53">
        <v>5.6591665425403129E-2</v>
      </c>
      <c r="L53" t="s">
        <v>154</v>
      </c>
      <c r="N53" t="s">
        <v>195</v>
      </c>
      <c r="O53" t="s">
        <v>156</v>
      </c>
      <c r="P53">
        <v>1.5679552293545541E-2</v>
      </c>
      <c r="Q53" t="s">
        <v>154</v>
      </c>
      <c r="S53" t="s">
        <v>219</v>
      </c>
      <c r="T53" t="s">
        <v>156</v>
      </c>
      <c r="U53">
        <v>2.5018271514783964E-2</v>
      </c>
      <c r="V53" t="s">
        <v>154</v>
      </c>
      <c r="AC53" t="s">
        <v>19</v>
      </c>
      <c r="AD53" t="s">
        <v>156</v>
      </c>
      <c r="AE53">
        <v>2.729842339603003E-2</v>
      </c>
      <c r="AK53">
        <v>2030</v>
      </c>
      <c r="AL53" t="s">
        <v>148</v>
      </c>
      <c r="AM53">
        <v>0.52190000000000003</v>
      </c>
      <c r="AN53" t="s">
        <v>250</v>
      </c>
    </row>
    <row r="54" spans="9:40" x14ac:dyDescent="0.45">
      <c r="I54" t="s">
        <v>166</v>
      </c>
      <c r="J54" t="s">
        <v>255</v>
      </c>
      <c r="K54">
        <v>0.42071277108070299</v>
      </c>
      <c r="L54" t="s">
        <v>154</v>
      </c>
      <c r="N54" t="s">
        <v>195</v>
      </c>
      <c r="O54" t="s">
        <v>255</v>
      </c>
      <c r="P54">
        <v>0.1459398906787179</v>
      </c>
      <c r="Q54" t="s">
        <v>154</v>
      </c>
      <c r="S54" t="s">
        <v>219</v>
      </c>
      <c r="T54" t="s">
        <v>255</v>
      </c>
      <c r="U54">
        <v>0.16063609797492645</v>
      </c>
      <c r="V54" t="s">
        <v>154</v>
      </c>
      <c r="AC54" t="s">
        <v>19</v>
      </c>
      <c r="AD54" t="s">
        <v>255</v>
      </c>
      <c r="AE54">
        <v>0.16435958690194546</v>
      </c>
      <c r="AK54">
        <v>2030</v>
      </c>
      <c r="AL54" t="s">
        <v>150</v>
      </c>
      <c r="AM54">
        <v>0.47060000000000002</v>
      </c>
      <c r="AN54" t="s">
        <v>250</v>
      </c>
    </row>
    <row r="55" spans="9:40" x14ac:dyDescent="0.45">
      <c r="I55" t="s">
        <v>166</v>
      </c>
      <c r="J55" t="s">
        <v>256</v>
      </c>
      <c r="K55">
        <v>4.882664489602101E-2</v>
      </c>
      <c r="L55" t="s">
        <v>154</v>
      </c>
      <c r="N55" t="s">
        <v>195</v>
      </c>
      <c r="O55" t="s">
        <v>256</v>
      </c>
      <c r="P55">
        <v>2.7783202277129958E-2</v>
      </c>
      <c r="Q55" t="s">
        <v>154</v>
      </c>
      <c r="S55" t="s">
        <v>219</v>
      </c>
      <c r="T55" t="s">
        <v>256</v>
      </c>
      <c r="U55">
        <v>2.8642054094324514E-2</v>
      </c>
      <c r="V55" t="s">
        <v>154</v>
      </c>
      <c r="AC55" t="s">
        <v>19</v>
      </c>
      <c r="AD55" t="s">
        <v>256</v>
      </c>
      <c r="AE55">
        <v>2.7364673960645961E-2</v>
      </c>
      <c r="AK55">
        <v>2030</v>
      </c>
      <c r="AL55" t="s">
        <v>270</v>
      </c>
      <c r="AM55">
        <v>0.44289999999999996</v>
      </c>
      <c r="AN55" t="s">
        <v>250</v>
      </c>
    </row>
    <row r="56" spans="9:40" x14ac:dyDescent="0.45">
      <c r="I56" t="s">
        <v>166</v>
      </c>
      <c r="J56" t="s">
        <v>257</v>
      </c>
      <c r="K56">
        <v>3.437881742446338E-2</v>
      </c>
      <c r="L56" t="s">
        <v>154</v>
      </c>
      <c r="N56" t="s">
        <v>195</v>
      </c>
      <c r="O56" t="s">
        <v>257</v>
      </c>
      <c r="P56">
        <v>2.606621197281847E-2</v>
      </c>
      <c r="Q56" t="s">
        <v>154</v>
      </c>
      <c r="S56" t="s">
        <v>219</v>
      </c>
      <c r="T56" t="s">
        <v>257</v>
      </c>
      <c r="U56">
        <v>2.9594342045624042E-2</v>
      </c>
      <c r="V56" t="s">
        <v>154</v>
      </c>
      <c r="AC56" t="s">
        <v>19</v>
      </c>
      <c r="AD56" t="s">
        <v>257</v>
      </c>
      <c r="AE56">
        <v>2.7372016792615413E-2</v>
      </c>
      <c r="AK56">
        <v>2031</v>
      </c>
      <c r="AL56" t="s">
        <v>142</v>
      </c>
      <c r="AM56">
        <v>0.35183749999999997</v>
      </c>
      <c r="AN56" t="s">
        <v>250</v>
      </c>
    </row>
    <row r="57" spans="9:40" x14ac:dyDescent="0.45">
      <c r="I57" t="s">
        <v>166</v>
      </c>
      <c r="J57" t="s">
        <v>282</v>
      </c>
      <c r="K57">
        <v>1.9017799762416403E-2</v>
      </c>
      <c r="L57" t="s">
        <v>154</v>
      </c>
      <c r="N57" t="s">
        <v>195</v>
      </c>
      <c r="O57" t="s">
        <v>282</v>
      </c>
      <c r="P57">
        <v>2.1432445079201782E-2</v>
      </c>
      <c r="Q57" t="s">
        <v>154</v>
      </c>
      <c r="S57" t="s">
        <v>219</v>
      </c>
      <c r="T57" t="s">
        <v>282</v>
      </c>
      <c r="U57">
        <v>2.5636931360878037E-2</v>
      </c>
      <c r="V57" t="s">
        <v>154</v>
      </c>
      <c r="AC57" t="s">
        <v>19</v>
      </c>
      <c r="AD57" t="s">
        <v>282</v>
      </c>
      <c r="AE57">
        <v>2.7749153929244982E-2</v>
      </c>
      <c r="AK57">
        <v>2031</v>
      </c>
      <c r="AL57" t="s">
        <v>146</v>
      </c>
      <c r="AM57">
        <v>0.50865000000000005</v>
      </c>
      <c r="AN57" t="s">
        <v>250</v>
      </c>
    </row>
    <row r="58" spans="9:40" x14ac:dyDescent="0.45">
      <c r="I58" t="s">
        <v>166</v>
      </c>
      <c r="J58" t="s">
        <v>283</v>
      </c>
      <c r="K58">
        <v>0</v>
      </c>
      <c r="L58" t="s">
        <v>154</v>
      </c>
      <c r="N58" t="s">
        <v>195</v>
      </c>
      <c r="O58" t="s">
        <v>283</v>
      </c>
      <c r="P58">
        <v>9.7356539665885367E-2</v>
      </c>
      <c r="Q58" t="s">
        <v>154</v>
      </c>
      <c r="S58" t="s">
        <v>219</v>
      </c>
      <c r="T58" t="s">
        <v>283</v>
      </c>
      <c r="U58">
        <v>0.13057524265639925</v>
      </c>
      <c r="V58" t="s">
        <v>154</v>
      </c>
      <c r="AC58" t="s">
        <v>19</v>
      </c>
      <c r="AD58" t="s">
        <v>283</v>
      </c>
      <c r="AE58">
        <v>0.13592514671560058</v>
      </c>
      <c r="AK58">
        <v>2031</v>
      </c>
      <c r="AL58" t="s">
        <v>148</v>
      </c>
      <c r="AM58">
        <v>0.44274999999999998</v>
      </c>
      <c r="AN58" t="s">
        <v>250</v>
      </c>
    </row>
    <row r="59" spans="9:40" x14ac:dyDescent="0.45">
      <c r="I59" t="s">
        <v>166</v>
      </c>
      <c r="J59" t="s">
        <v>157</v>
      </c>
      <c r="K59">
        <v>0</v>
      </c>
      <c r="L59" t="s">
        <v>154</v>
      </c>
      <c r="N59" t="s">
        <v>195</v>
      </c>
      <c r="O59" t="s">
        <v>157</v>
      </c>
      <c r="P59">
        <v>1.2680737849795941E-2</v>
      </c>
      <c r="Q59" t="s">
        <v>154</v>
      </c>
      <c r="S59" t="s">
        <v>219</v>
      </c>
      <c r="T59" t="s">
        <v>157</v>
      </c>
      <c r="U59">
        <v>8.3829363273170941E-3</v>
      </c>
      <c r="V59" t="s">
        <v>154</v>
      </c>
      <c r="AC59" t="s">
        <v>19</v>
      </c>
      <c r="AD59" t="s">
        <v>157</v>
      </c>
      <c r="AE59">
        <v>1.7939850802502922E-2</v>
      </c>
      <c r="AK59">
        <v>2031</v>
      </c>
      <c r="AL59" t="s">
        <v>150</v>
      </c>
      <c r="AM59">
        <v>0.42569999999999997</v>
      </c>
      <c r="AN59" t="s">
        <v>250</v>
      </c>
    </row>
    <row r="60" spans="9:40" x14ac:dyDescent="0.45">
      <c r="I60" t="s">
        <v>166</v>
      </c>
      <c r="J60" t="s">
        <v>158</v>
      </c>
      <c r="K60">
        <v>7.570580145447931E-3</v>
      </c>
      <c r="L60" t="s">
        <v>154</v>
      </c>
      <c r="N60" t="s">
        <v>195</v>
      </c>
      <c r="O60" t="s">
        <v>158</v>
      </c>
      <c r="P60">
        <v>3.0237596175313841E-3</v>
      </c>
      <c r="Q60" t="s">
        <v>154</v>
      </c>
      <c r="S60" t="s">
        <v>219</v>
      </c>
      <c r="T60" t="s">
        <v>158</v>
      </c>
      <c r="U60">
        <v>2.5961284716121353E-3</v>
      </c>
      <c r="V60" t="s">
        <v>154</v>
      </c>
      <c r="AC60" t="s">
        <v>19</v>
      </c>
      <c r="AD60" t="s">
        <v>158</v>
      </c>
      <c r="AE60">
        <v>5.2588429311678439E-3</v>
      </c>
      <c r="AK60">
        <v>2031</v>
      </c>
      <c r="AL60" t="s">
        <v>270</v>
      </c>
      <c r="AM60">
        <v>0.40249999999999997</v>
      </c>
      <c r="AN60" t="s">
        <v>250</v>
      </c>
    </row>
    <row r="61" spans="9:40" x14ac:dyDescent="0.45">
      <c r="I61" t="s">
        <v>166</v>
      </c>
      <c r="J61" t="s">
        <v>159</v>
      </c>
      <c r="K61">
        <v>6.0607149782340554E-3</v>
      </c>
      <c r="L61" t="s">
        <v>154</v>
      </c>
      <c r="N61" t="s">
        <v>195</v>
      </c>
      <c r="O61" t="s">
        <v>159</v>
      </c>
      <c r="P61">
        <v>1.7889898414395243E-3</v>
      </c>
      <c r="Q61" t="s">
        <v>154</v>
      </c>
      <c r="S61" t="s">
        <v>219</v>
      </c>
      <c r="T61" t="s">
        <v>159</v>
      </c>
      <c r="U61">
        <v>1.3199858901081307E-3</v>
      </c>
      <c r="V61" t="s">
        <v>154</v>
      </c>
      <c r="AC61" t="s">
        <v>19</v>
      </c>
      <c r="AD61" t="s">
        <v>159</v>
      </c>
      <c r="AE61">
        <v>2.6534467739369608E-3</v>
      </c>
      <c r="AK61">
        <v>2032</v>
      </c>
      <c r="AL61" t="s">
        <v>142</v>
      </c>
      <c r="AM61">
        <v>0.31106250000000002</v>
      </c>
      <c r="AN61" t="s">
        <v>250</v>
      </c>
    </row>
    <row r="62" spans="9:40" x14ac:dyDescent="0.45">
      <c r="I62" t="s">
        <v>166</v>
      </c>
      <c r="J62" t="s">
        <v>258</v>
      </c>
      <c r="K62">
        <v>4.4922787101222002E-2</v>
      </c>
      <c r="L62" t="s">
        <v>154</v>
      </c>
      <c r="N62" t="s">
        <v>195</v>
      </c>
      <c r="O62" t="s">
        <v>258</v>
      </c>
      <c r="P62">
        <v>1.6724265952094856E-2</v>
      </c>
      <c r="Q62" t="s">
        <v>154</v>
      </c>
      <c r="S62" t="s">
        <v>219</v>
      </c>
      <c r="T62" t="s">
        <v>258</v>
      </c>
      <c r="U62">
        <v>7.0843055753403274E-3</v>
      </c>
      <c r="V62" t="s">
        <v>154</v>
      </c>
      <c r="AC62" t="s">
        <v>19</v>
      </c>
      <c r="AD62" t="s">
        <v>258</v>
      </c>
      <c r="AE62">
        <v>1.5951211923556297E-2</v>
      </c>
      <c r="AK62">
        <v>2032</v>
      </c>
      <c r="AL62" t="s">
        <v>146</v>
      </c>
      <c r="AM62">
        <v>0.39685000000000004</v>
      </c>
      <c r="AN62" t="s">
        <v>250</v>
      </c>
    </row>
    <row r="63" spans="9:40" x14ac:dyDescent="0.45">
      <c r="I63" t="s">
        <v>166</v>
      </c>
      <c r="J63" t="s">
        <v>259</v>
      </c>
      <c r="K63">
        <v>5.0395881467880802E-3</v>
      </c>
      <c r="L63" t="s">
        <v>154</v>
      </c>
      <c r="N63" t="s">
        <v>195</v>
      </c>
      <c r="O63" t="s">
        <v>259</v>
      </c>
      <c r="P63">
        <v>2.4980565908440809E-3</v>
      </c>
      <c r="Q63" t="s">
        <v>154</v>
      </c>
      <c r="S63" t="s">
        <v>219</v>
      </c>
      <c r="T63" t="s">
        <v>259</v>
      </c>
      <c r="U63">
        <v>1.1983064556107125E-3</v>
      </c>
      <c r="V63" t="s">
        <v>154</v>
      </c>
      <c r="AC63" t="s">
        <v>19</v>
      </c>
      <c r="AD63" t="s">
        <v>259</v>
      </c>
      <c r="AE63">
        <v>2.6566035384383746E-3</v>
      </c>
      <c r="AK63">
        <v>2032</v>
      </c>
      <c r="AL63" t="s">
        <v>148</v>
      </c>
      <c r="AM63">
        <v>0.40315000000000001</v>
      </c>
      <c r="AN63" t="s">
        <v>250</v>
      </c>
    </row>
    <row r="64" spans="9:40" x14ac:dyDescent="0.45">
      <c r="I64" t="s">
        <v>166</v>
      </c>
      <c r="J64" t="s">
        <v>260</v>
      </c>
      <c r="K64">
        <v>3.4121564459082304E-3</v>
      </c>
      <c r="L64" t="s">
        <v>154</v>
      </c>
      <c r="N64" t="s">
        <v>195</v>
      </c>
      <c r="O64" t="s">
        <v>260</v>
      </c>
      <c r="P64">
        <v>2.161576204215141E-3</v>
      </c>
      <c r="Q64" t="s">
        <v>154</v>
      </c>
      <c r="S64" t="s">
        <v>219</v>
      </c>
      <c r="T64" t="s">
        <v>260</v>
      </c>
      <c r="U64">
        <v>1.250086397245412E-3</v>
      </c>
      <c r="V64" t="s">
        <v>154</v>
      </c>
      <c r="AC64" t="s">
        <v>19</v>
      </c>
      <c r="AD64" t="s">
        <v>260</v>
      </c>
      <c r="AE64">
        <v>2.6598680001627107E-3</v>
      </c>
      <c r="AK64">
        <v>2032</v>
      </c>
      <c r="AL64" t="s">
        <v>150</v>
      </c>
      <c r="AM64">
        <v>0.39939999999999998</v>
      </c>
      <c r="AN64" t="s">
        <v>250</v>
      </c>
    </row>
    <row r="65" spans="9:40" x14ac:dyDescent="0.45">
      <c r="I65" t="s">
        <v>166</v>
      </c>
      <c r="J65" t="s">
        <v>284</v>
      </c>
      <c r="K65">
        <v>1.6837912185981641E-3</v>
      </c>
      <c r="L65" t="s">
        <v>154</v>
      </c>
      <c r="N65" t="s">
        <v>195</v>
      </c>
      <c r="O65" t="s">
        <v>284</v>
      </c>
      <c r="P65">
        <v>1.7719353721317597E-3</v>
      </c>
      <c r="Q65" t="s">
        <v>154</v>
      </c>
      <c r="S65" t="s">
        <v>219</v>
      </c>
      <c r="T65" t="s">
        <v>284</v>
      </c>
      <c r="U65">
        <v>1.1707727500745745E-3</v>
      </c>
      <c r="V65" t="s">
        <v>154</v>
      </c>
      <c r="AC65" t="s">
        <v>19</v>
      </c>
      <c r="AD65" t="s">
        <v>284</v>
      </c>
      <c r="AE65">
        <v>2.7083882473818623E-3</v>
      </c>
      <c r="AK65">
        <v>2032</v>
      </c>
      <c r="AL65" t="s">
        <v>270</v>
      </c>
      <c r="AM65">
        <v>0.38865</v>
      </c>
      <c r="AN65" t="s">
        <v>250</v>
      </c>
    </row>
    <row r="66" spans="9:40" x14ac:dyDescent="0.45">
      <c r="I66" t="s">
        <v>166</v>
      </c>
      <c r="J66" t="s">
        <v>285</v>
      </c>
      <c r="K66">
        <v>0</v>
      </c>
      <c r="L66" t="s">
        <v>154</v>
      </c>
      <c r="N66" t="s">
        <v>195</v>
      </c>
      <c r="O66" t="s">
        <v>285</v>
      </c>
      <c r="P66">
        <v>8.7374305350698279E-3</v>
      </c>
      <c r="Q66" t="s">
        <v>154</v>
      </c>
      <c r="S66" t="s">
        <v>219</v>
      </c>
      <c r="T66" t="s">
        <v>285</v>
      </c>
      <c r="U66">
        <v>5.7216312149691263E-3</v>
      </c>
      <c r="V66" t="s">
        <v>154</v>
      </c>
      <c r="AC66" t="s">
        <v>19</v>
      </c>
      <c r="AD66" t="s">
        <v>285</v>
      </c>
      <c r="AE66">
        <v>1.3173844487656414E-2</v>
      </c>
      <c r="AK66">
        <v>2033</v>
      </c>
      <c r="AL66" t="s">
        <v>142</v>
      </c>
      <c r="AM66">
        <v>0.29919999999999997</v>
      </c>
      <c r="AN66" t="s">
        <v>250</v>
      </c>
    </row>
    <row r="67" spans="9:40" x14ac:dyDescent="0.45">
      <c r="I67" t="s">
        <v>166</v>
      </c>
      <c r="J67" t="s">
        <v>160</v>
      </c>
      <c r="K67">
        <v>0</v>
      </c>
      <c r="L67" t="s">
        <v>154</v>
      </c>
      <c r="N67" t="s">
        <v>195</v>
      </c>
      <c r="O67" t="s">
        <v>160</v>
      </c>
      <c r="P67">
        <v>2.4419428593664496E-2</v>
      </c>
      <c r="Q67" t="s">
        <v>154</v>
      </c>
      <c r="S67" t="s">
        <v>219</v>
      </c>
      <c r="T67" t="s">
        <v>160</v>
      </c>
      <c r="U67">
        <v>6.0695048461323606E-2</v>
      </c>
      <c r="V67" t="s">
        <v>154</v>
      </c>
      <c r="AC67" t="s">
        <v>19</v>
      </c>
      <c r="AD67" t="s">
        <v>160</v>
      </c>
      <c r="AE67">
        <v>2.2630213986389834E-2</v>
      </c>
      <c r="AK67">
        <v>2033</v>
      </c>
      <c r="AL67" t="s">
        <v>146</v>
      </c>
      <c r="AM67">
        <v>0.51755000000000007</v>
      </c>
      <c r="AN67" t="s">
        <v>250</v>
      </c>
    </row>
    <row r="68" spans="9:40" x14ac:dyDescent="0.45">
      <c r="I68" t="s">
        <v>166</v>
      </c>
      <c r="J68" t="s">
        <v>161</v>
      </c>
      <c r="K68">
        <v>7.4595355618066166E-3</v>
      </c>
      <c r="L68" t="s">
        <v>154</v>
      </c>
      <c r="N68" t="s">
        <v>195</v>
      </c>
      <c r="O68" t="s">
        <v>161</v>
      </c>
      <c r="P68">
        <v>6.2033420088237279E-3</v>
      </c>
      <c r="Q68" t="s">
        <v>154</v>
      </c>
      <c r="S68" t="s">
        <v>219</v>
      </c>
      <c r="T68" t="s">
        <v>161</v>
      </c>
      <c r="U68">
        <v>1.6541762251100257E-2</v>
      </c>
      <c r="V68" t="s">
        <v>154</v>
      </c>
      <c r="AC68" t="s">
        <v>19</v>
      </c>
      <c r="AD68" t="s">
        <v>161</v>
      </c>
      <c r="AE68">
        <v>6.6289046856843415E-3</v>
      </c>
      <c r="AK68">
        <v>2033</v>
      </c>
      <c r="AL68" t="s">
        <v>148</v>
      </c>
      <c r="AM68">
        <v>0.503</v>
      </c>
      <c r="AN68" t="s">
        <v>250</v>
      </c>
    </row>
    <row r="69" spans="9:40" x14ac:dyDescent="0.45">
      <c r="I69" t="s">
        <v>166</v>
      </c>
      <c r="J69" t="s">
        <v>162</v>
      </c>
      <c r="K69">
        <v>6.6992610872944128E-3</v>
      </c>
      <c r="L69" t="s">
        <v>154</v>
      </c>
      <c r="N69" t="s">
        <v>195</v>
      </c>
      <c r="O69" t="s">
        <v>162</v>
      </c>
      <c r="P69">
        <v>3.2886875964582476E-3</v>
      </c>
      <c r="Q69" t="s">
        <v>154</v>
      </c>
      <c r="S69" t="s">
        <v>219</v>
      </c>
      <c r="T69" t="s">
        <v>162</v>
      </c>
      <c r="U69">
        <v>8.3935359517778012E-3</v>
      </c>
      <c r="V69" t="s">
        <v>154</v>
      </c>
      <c r="AC69" t="s">
        <v>19</v>
      </c>
      <c r="AD69" t="s">
        <v>162</v>
      </c>
      <c r="AE69">
        <v>3.3448326701117853E-3</v>
      </c>
      <c r="AK69">
        <v>2033</v>
      </c>
      <c r="AL69" t="s">
        <v>150</v>
      </c>
      <c r="AM69">
        <v>0.44020000000000004</v>
      </c>
      <c r="AN69" t="s">
        <v>250</v>
      </c>
    </row>
    <row r="70" spans="9:40" x14ac:dyDescent="0.45">
      <c r="I70" t="s">
        <v>166</v>
      </c>
      <c r="J70" t="s">
        <v>261</v>
      </c>
      <c r="K70">
        <v>4.8044882990110414E-2</v>
      </c>
      <c r="L70" t="s">
        <v>154</v>
      </c>
      <c r="N70" t="s">
        <v>195</v>
      </c>
      <c r="O70" t="s">
        <v>261</v>
      </c>
      <c r="P70">
        <v>2.6059380358057226E-2</v>
      </c>
      <c r="Q70" t="s">
        <v>154</v>
      </c>
      <c r="S70" t="s">
        <v>219</v>
      </c>
      <c r="T70" t="s">
        <v>261</v>
      </c>
      <c r="U70">
        <v>5.2318173354005321E-2</v>
      </c>
      <c r="V70" t="s">
        <v>154</v>
      </c>
      <c r="AC70" t="s">
        <v>19</v>
      </c>
      <c r="AD70" t="s">
        <v>261</v>
      </c>
      <c r="AE70">
        <v>2.0106412860759332E-2</v>
      </c>
      <c r="AK70">
        <v>2033</v>
      </c>
      <c r="AL70" t="s">
        <v>270</v>
      </c>
      <c r="AM70">
        <v>0.36194999999999999</v>
      </c>
      <c r="AN70" t="s">
        <v>250</v>
      </c>
    </row>
    <row r="71" spans="9:40" x14ac:dyDescent="0.45">
      <c r="I71" t="s">
        <v>166</v>
      </c>
      <c r="J71" t="s">
        <v>262</v>
      </c>
      <c r="K71">
        <v>4.851584701734489E-3</v>
      </c>
      <c r="L71" t="s">
        <v>154</v>
      </c>
      <c r="N71" t="s">
        <v>195</v>
      </c>
      <c r="O71" t="s">
        <v>262</v>
      </c>
      <c r="P71">
        <v>4.7821384194526176E-3</v>
      </c>
      <c r="Q71" t="s">
        <v>154</v>
      </c>
      <c r="S71" t="s">
        <v>219</v>
      </c>
      <c r="T71" t="s">
        <v>262</v>
      </c>
      <c r="U71">
        <v>8.8362927909684096E-3</v>
      </c>
      <c r="V71" t="s">
        <v>154</v>
      </c>
      <c r="AC71" t="s">
        <v>19</v>
      </c>
      <c r="AD71" t="s">
        <v>262</v>
      </c>
      <c r="AE71">
        <v>3.3496702175020944E-3</v>
      </c>
      <c r="AK71">
        <v>2034</v>
      </c>
      <c r="AL71" t="s">
        <v>142</v>
      </c>
      <c r="AM71">
        <v>0.34939999999999999</v>
      </c>
      <c r="AN71" t="s">
        <v>250</v>
      </c>
    </row>
    <row r="72" spans="9:40" x14ac:dyDescent="0.45">
      <c r="I72" t="s">
        <v>166</v>
      </c>
      <c r="J72" t="s">
        <v>263</v>
      </c>
      <c r="K72">
        <v>2.8300989534061484E-3</v>
      </c>
      <c r="L72" t="s">
        <v>154</v>
      </c>
      <c r="N72" t="s">
        <v>195</v>
      </c>
      <c r="O72" t="s">
        <v>263</v>
      </c>
      <c r="P72">
        <v>4.7436459977612203E-3</v>
      </c>
      <c r="Q72" t="s">
        <v>154</v>
      </c>
      <c r="S72" t="s">
        <v>219</v>
      </c>
      <c r="T72" t="s">
        <v>263</v>
      </c>
      <c r="U72">
        <v>8.7735317212644902E-3</v>
      </c>
      <c r="V72" t="s">
        <v>154</v>
      </c>
      <c r="AC72" t="s">
        <v>19</v>
      </c>
      <c r="AD72" t="s">
        <v>263</v>
      </c>
      <c r="AE72">
        <v>3.3529770519043021E-3</v>
      </c>
      <c r="AK72">
        <v>2034</v>
      </c>
      <c r="AL72" t="s">
        <v>146</v>
      </c>
      <c r="AM72">
        <v>0.45889999999999997</v>
      </c>
      <c r="AN72" t="s">
        <v>250</v>
      </c>
    </row>
    <row r="73" spans="9:40" x14ac:dyDescent="0.45">
      <c r="I73" t="s">
        <v>166</v>
      </c>
      <c r="J73" t="s">
        <v>286</v>
      </c>
      <c r="K73">
        <v>7.708881417104207E-4</v>
      </c>
      <c r="L73" t="s">
        <v>154</v>
      </c>
      <c r="N73" t="s">
        <v>195</v>
      </c>
      <c r="O73" t="s">
        <v>286</v>
      </c>
      <c r="P73">
        <v>4.2530973192602961E-3</v>
      </c>
      <c r="Q73" t="s">
        <v>154</v>
      </c>
      <c r="S73" t="s">
        <v>219</v>
      </c>
      <c r="T73" t="s">
        <v>286</v>
      </c>
      <c r="U73">
        <v>8.2721036871890342E-3</v>
      </c>
      <c r="V73" t="s">
        <v>154</v>
      </c>
      <c r="AC73" t="s">
        <v>19</v>
      </c>
      <c r="AD73" t="s">
        <v>286</v>
      </c>
      <c r="AE73">
        <v>3.4077110757804586E-3</v>
      </c>
      <c r="AK73">
        <v>2034</v>
      </c>
      <c r="AL73" t="s">
        <v>148</v>
      </c>
      <c r="AM73">
        <v>0.43519999999999998</v>
      </c>
      <c r="AN73" t="s">
        <v>250</v>
      </c>
    </row>
    <row r="74" spans="9:40" x14ac:dyDescent="0.45">
      <c r="I74" t="s">
        <v>166</v>
      </c>
      <c r="J74" t="s">
        <v>287</v>
      </c>
      <c r="K74">
        <v>0</v>
      </c>
      <c r="L74" t="s">
        <v>154</v>
      </c>
      <c r="N74" t="s">
        <v>195</v>
      </c>
      <c r="O74" t="s">
        <v>287</v>
      </c>
      <c r="P74">
        <v>2.0967795318359451E-2</v>
      </c>
      <c r="Q74" t="s">
        <v>154</v>
      </c>
      <c r="S74" t="s">
        <v>219</v>
      </c>
      <c r="T74" t="s">
        <v>287</v>
      </c>
      <c r="U74">
        <v>3.9582240702799289E-2</v>
      </c>
      <c r="V74" t="s">
        <v>154</v>
      </c>
      <c r="AC74" t="s">
        <v>19</v>
      </c>
      <c r="AD74" t="s">
        <v>287</v>
      </c>
      <c r="AE74">
        <v>1.6609849810539205E-2</v>
      </c>
      <c r="AK74">
        <v>2034</v>
      </c>
      <c r="AL74" t="s">
        <v>150</v>
      </c>
      <c r="AM74">
        <v>0.41254999999999997</v>
      </c>
      <c r="AN74" t="s">
        <v>250</v>
      </c>
    </row>
    <row r="75" spans="9:40" x14ac:dyDescent="0.45">
      <c r="I75" t="s">
        <v>166</v>
      </c>
      <c r="J75" t="s">
        <v>163</v>
      </c>
      <c r="K75">
        <v>0</v>
      </c>
      <c r="L75" t="s">
        <v>154</v>
      </c>
      <c r="N75" t="s">
        <v>195</v>
      </c>
      <c r="O75" t="s">
        <v>163</v>
      </c>
      <c r="P75">
        <v>3.3296876238405652E-2</v>
      </c>
      <c r="Q75" t="s">
        <v>154</v>
      </c>
      <c r="S75" t="s">
        <v>219</v>
      </c>
      <c r="T75" t="s">
        <v>163</v>
      </c>
      <c r="U75">
        <v>6.3257275700486105E-3</v>
      </c>
      <c r="V75" t="s">
        <v>154</v>
      </c>
      <c r="AC75" t="s">
        <v>19</v>
      </c>
      <c r="AD75" t="s">
        <v>163</v>
      </c>
      <c r="AE75">
        <v>1.7948769159557332E-2</v>
      </c>
      <c r="AK75">
        <v>2034</v>
      </c>
      <c r="AL75" t="s">
        <v>270</v>
      </c>
      <c r="AM75">
        <v>0.3755</v>
      </c>
      <c r="AN75" t="s">
        <v>250</v>
      </c>
    </row>
    <row r="76" spans="9:40" x14ac:dyDescent="0.45">
      <c r="I76" t="s">
        <v>166</v>
      </c>
      <c r="J76" t="s">
        <v>164</v>
      </c>
      <c r="K76">
        <v>7.4075198633958084E-3</v>
      </c>
      <c r="L76" t="s">
        <v>154</v>
      </c>
      <c r="N76" t="s">
        <v>195</v>
      </c>
      <c r="O76" t="s">
        <v>164</v>
      </c>
      <c r="P76">
        <v>7.6908555690458754E-3</v>
      </c>
      <c r="Q76" t="s">
        <v>154</v>
      </c>
      <c r="S76" t="s">
        <v>219</v>
      </c>
      <c r="T76" t="s">
        <v>164</v>
      </c>
      <c r="U76">
        <v>1.5799671099190583E-3</v>
      </c>
      <c r="V76" t="s">
        <v>154</v>
      </c>
      <c r="AC76" t="s">
        <v>19</v>
      </c>
      <c r="AD76" t="s">
        <v>164</v>
      </c>
      <c r="AE76">
        <v>5.253506057933675E-3</v>
      </c>
      <c r="AK76">
        <v>2035</v>
      </c>
      <c r="AL76" t="s">
        <v>142</v>
      </c>
      <c r="AM76">
        <v>0.37425000000000008</v>
      </c>
      <c r="AN76" t="s">
        <v>250</v>
      </c>
    </row>
    <row r="77" spans="9:40" x14ac:dyDescent="0.45">
      <c r="I77" t="s">
        <v>166</v>
      </c>
      <c r="J77" t="s">
        <v>165</v>
      </c>
      <c r="K77">
        <v>5.9578350712385262E-3</v>
      </c>
      <c r="L77" t="s">
        <v>154</v>
      </c>
      <c r="N77" t="s">
        <v>195</v>
      </c>
      <c r="O77" t="s">
        <v>165</v>
      </c>
      <c r="P77">
        <v>4.4555999556440814E-3</v>
      </c>
      <c r="Q77" t="s">
        <v>154</v>
      </c>
      <c r="S77" t="s">
        <v>219</v>
      </c>
      <c r="T77" t="s">
        <v>165</v>
      </c>
      <c r="U77">
        <v>7.5406000094179783E-4</v>
      </c>
      <c r="V77" t="s">
        <v>154</v>
      </c>
      <c r="AC77" t="s">
        <v>19</v>
      </c>
      <c r="AD77" t="s">
        <v>165</v>
      </c>
      <c r="AE77">
        <v>2.6523403884343203E-3</v>
      </c>
      <c r="AK77">
        <v>2035</v>
      </c>
      <c r="AL77" t="s">
        <v>146</v>
      </c>
      <c r="AM77">
        <v>0.4728</v>
      </c>
      <c r="AN77" t="s">
        <v>250</v>
      </c>
    </row>
    <row r="78" spans="9:40" x14ac:dyDescent="0.45">
      <c r="I78" t="s">
        <v>166</v>
      </c>
      <c r="J78" t="s">
        <v>264</v>
      </c>
      <c r="K78">
        <v>3.9036528004045987E-2</v>
      </c>
      <c r="L78" t="s">
        <v>154</v>
      </c>
      <c r="N78" t="s">
        <v>195</v>
      </c>
      <c r="O78" t="s">
        <v>264</v>
      </c>
      <c r="P78">
        <v>3.6587874325518091E-2</v>
      </c>
      <c r="Q78" t="s">
        <v>154</v>
      </c>
      <c r="S78" t="s">
        <v>219</v>
      </c>
      <c r="T78" t="s">
        <v>264</v>
      </c>
      <c r="U78">
        <v>6.8940395470197657E-3</v>
      </c>
      <c r="V78" t="s">
        <v>154</v>
      </c>
      <c r="AC78" t="s">
        <v>19</v>
      </c>
      <c r="AD78" t="s">
        <v>264</v>
      </c>
      <c r="AE78">
        <v>1.5948745553782534E-2</v>
      </c>
      <c r="AK78">
        <v>2035</v>
      </c>
      <c r="AL78" t="s">
        <v>148</v>
      </c>
      <c r="AM78">
        <v>0.45540000000000003</v>
      </c>
      <c r="AN78" t="s">
        <v>250</v>
      </c>
    </row>
    <row r="79" spans="9:40" x14ac:dyDescent="0.45">
      <c r="I79" t="s">
        <v>166</v>
      </c>
      <c r="J79" t="s">
        <v>265</v>
      </c>
      <c r="K79">
        <v>4.2889859832841385E-3</v>
      </c>
      <c r="L79" t="s">
        <v>154</v>
      </c>
      <c r="N79" t="s">
        <v>195</v>
      </c>
      <c r="O79" t="s">
        <v>265</v>
      </c>
      <c r="P79">
        <v>6.9919886360968256E-3</v>
      </c>
      <c r="Q79" t="s">
        <v>154</v>
      </c>
      <c r="S79" t="s">
        <v>219</v>
      </c>
      <c r="T79" t="s">
        <v>265</v>
      </c>
      <c r="U79">
        <v>1.4435579001706143E-3</v>
      </c>
      <c r="V79" t="s">
        <v>154</v>
      </c>
      <c r="AC79" t="s">
        <v>19</v>
      </c>
      <c r="AD79" t="s">
        <v>265</v>
      </c>
      <c r="AE79">
        <v>2.6570199210467342E-3</v>
      </c>
      <c r="AK79">
        <v>2035</v>
      </c>
      <c r="AL79" t="s">
        <v>150</v>
      </c>
      <c r="AM79">
        <v>0.45484999999999998</v>
      </c>
      <c r="AN79" t="s">
        <v>250</v>
      </c>
    </row>
    <row r="80" spans="9:40" x14ac:dyDescent="0.45">
      <c r="I80" t="s">
        <v>166</v>
      </c>
      <c r="J80" t="s">
        <v>266</v>
      </c>
      <c r="K80">
        <v>2.638410993237071E-3</v>
      </c>
      <c r="L80" t="s">
        <v>154</v>
      </c>
      <c r="N80" t="s">
        <v>195</v>
      </c>
      <c r="O80" t="s">
        <v>266</v>
      </c>
      <c r="P80">
        <v>7.0694143592371734E-3</v>
      </c>
      <c r="Q80" t="s">
        <v>154</v>
      </c>
      <c r="S80" t="s">
        <v>219</v>
      </c>
      <c r="T80" t="s">
        <v>266</v>
      </c>
      <c r="U80">
        <v>1.4066105636299214E-3</v>
      </c>
      <c r="V80" t="s">
        <v>154</v>
      </c>
      <c r="AC80" t="s">
        <v>19</v>
      </c>
      <c r="AD80" t="s">
        <v>266</v>
      </c>
      <c r="AE80">
        <v>2.6588410634310789E-3</v>
      </c>
      <c r="AK80">
        <v>2035</v>
      </c>
      <c r="AL80" t="s">
        <v>270</v>
      </c>
      <c r="AM80">
        <v>0.41420000000000001</v>
      </c>
      <c r="AN80" t="s">
        <v>250</v>
      </c>
    </row>
    <row r="81" spans="9:40" x14ac:dyDescent="0.45">
      <c r="I81" t="s">
        <v>166</v>
      </c>
      <c r="J81" t="s">
        <v>288</v>
      </c>
      <c r="K81">
        <v>0</v>
      </c>
      <c r="L81" t="s">
        <v>154</v>
      </c>
      <c r="N81" t="s">
        <v>195</v>
      </c>
      <c r="O81" t="s">
        <v>288</v>
      </c>
      <c r="P81">
        <v>6.1439778791424794E-3</v>
      </c>
      <c r="Q81" t="s">
        <v>154</v>
      </c>
      <c r="S81" t="s">
        <v>219</v>
      </c>
      <c r="T81" t="s">
        <v>288</v>
      </c>
      <c r="U81">
        <v>1.3178561934918155E-3</v>
      </c>
      <c r="V81" t="s">
        <v>154</v>
      </c>
      <c r="AC81" t="s">
        <v>19</v>
      </c>
      <c r="AD81" t="s">
        <v>288</v>
      </c>
      <c r="AE81">
        <v>2.7017222134368556E-3</v>
      </c>
      <c r="AK81">
        <v>2036</v>
      </c>
      <c r="AL81" t="s">
        <v>142</v>
      </c>
      <c r="AM81">
        <v>0.308</v>
      </c>
      <c r="AN81" t="s">
        <v>250</v>
      </c>
    </row>
    <row r="82" spans="9:40" x14ac:dyDescent="0.45">
      <c r="I82" t="s">
        <v>166</v>
      </c>
      <c r="J82" t="s">
        <v>289</v>
      </c>
      <c r="K82">
        <v>0</v>
      </c>
      <c r="L82" t="s">
        <v>154</v>
      </c>
      <c r="N82" t="s">
        <v>195</v>
      </c>
      <c r="O82" t="s">
        <v>289</v>
      </c>
      <c r="P82">
        <v>3.0766550078966625E-2</v>
      </c>
      <c r="Q82" t="s">
        <v>154</v>
      </c>
      <c r="S82" t="s">
        <v>219</v>
      </c>
      <c r="T82" t="s">
        <v>289</v>
      </c>
      <c r="U82">
        <v>5.9964837148800739E-3</v>
      </c>
      <c r="V82" t="s">
        <v>154</v>
      </c>
      <c r="AC82" t="s">
        <v>19</v>
      </c>
      <c r="AD82" t="s">
        <v>289</v>
      </c>
      <c r="AE82">
        <v>1.3182880816453843E-2</v>
      </c>
      <c r="AK82">
        <v>2036</v>
      </c>
      <c r="AL82" t="s">
        <v>146</v>
      </c>
      <c r="AM82">
        <v>0.49155000000000004</v>
      </c>
      <c r="AN82" t="s">
        <v>250</v>
      </c>
    </row>
    <row r="83" spans="9:40" x14ac:dyDescent="0.45">
      <c r="I83" t="s">
        <v>166</v>
      </c>
      <c r="J83" t="s">
        <v>272</v>
      </c>
      <c r="K83">
        <v>0</v>
      </c>
      <c r="L83" t="s">
        <v>154</v>
      </c>
      <c r="N83" t="s">
        <v>195</v>
      </c>
      <c r="O83" t="s">
        <v>272</v>
      </c>
      <c r="P83">
        <v>6.6437112884382782E-2</v>
      </c>
      <c r="Q83" t="s">
        <v>154</v>
      </c>
      <c r="S83" t="s">
        <v>219</v>
      </c>
      <c r="T83" t="s">
        <v>272</v>
      </c>
      <c r="U83">
        <v>3.5292042256358742E-2</v>
      </c>
      <c r="V83" t="s">
        <v>154</v>
      </c>
      <c r="AC83" t="s">
        <v>19</v>
      </c>
      <c r="AD83" t="s">
        <v>272</v>
      </c>
      <c r="AE83">
        <v>4.1375390001319595E-2</v>
      </c>
      <c r="AK83">
        <v>2036</v>
      </c>
      <c r="AL83" t="s">
        <v>148</v>
      </c>
      <c r="AM83">
        <v>0.46689999999999998</v>
      </c>
      <c r="AN83" t="s">
        <v>250</v>
      </c>
    </row>
    <row r="84" spans="9:40" x14ac:dyDescent="0.45">
      <c r="I84" t="s">
        <v>166</v>
      </c>
      <c r="J84" t="s">
        <v>273</v>
      </c>
      <c r="K84">
        <v>1.8747019633539284E-2</v>
      </c>
      <c r="L84" t="s">
        <v>154</v>
      </c>
      <c r="N84" t="s">
        <v>195</v>
      </c>
      <c r="O84" t="s">
        <v>273</v>
      </c>
      <c r="P84">
        <v>1.6052393011074525E-2</v>
      </c>
      <c r="Q84" t="s">
        <v>154</v>
      </c>
      <c r="S84" t="s">
        <v>219</v>
      </c>
      <c r="T84" t="s">
        <v>273</v>
      </c>
      <c r="U84">
        <v>9.9958184364296356E-3</v>
      </c>
      <c r="V84" t="s">
        <v>154</v>
      </c>
      <c r="AC84" t="s">
        <v>19</v>
      </c>
      <c r="AD84" t="s">
        <v>273</v>
      </c>
      <c r="AE84">
        <v>1.2114673933672503E-2</v>
      </c>
      <c r="AK84">
        <v>2036</v>
      </c>
      <c r="AL84" t="s">
        <v>150</v>
      </c>
      <c r="AM84">
        <v>0.36985000000000001</v>
      </c>
      <c r="AN84" t="s">
        <v>250</v>
      </c>
    </row>
    <row r="85" spans="9:40" x14ac:dyDescent="0.45">
      <c r="I85" t="s">
        <v>166</v>
      </c>
      <c r="J85" t="s">
        <v>274</v>
      </c>
      <c r="K85">
        <v>1.5153079261719795E-2</v>
      </c>
      <c r="L85" t="s">
        <v>154</v>
      </c>
      <c r="N85" t="s">
        <v>195</v>
      </c>
      <c r="O85" t="s">
        <v>274</v>
      </c>
      <c r="P85">
        <v>9.2891744251679502E-3</v>
      </c>
      <c r="Q85" t="s">
        <v>154</v>
      </c>
      <c r="S85" t="s">
        <v>219</v>
      </c>
      <c r="T85" t="s">
        <v>274</v>
      </c>
      <c r="U85">
        <v>4.4855591933932182E-3</v>
      </c>
      <c r="V85" t="s">
        <v>154</v>
      </c>
      <c r="AC85" t="s">
        <v>19</v>
      </c>
      <c r="AD85" t="s">
        <v>274</v>
      </c>
      <c r="AE85">
        <v>6.109017509613306E-3</v>
      </c>
      <c r="AK85">
        <v>2036</v>
      </c>
      <c r="AL85" t="s">
        <v>270</v>
      </c>
      <c r="AM85">
        <v>0.37519999999999998</v>
      </c>
      <c r="AN85" t="s">
        <v>250</v>
      </c>
    </row>
    <row r="86" spans="9:40" x14ac:dyDescent="0.45">
      <c r="I86" t="s">
        <v>166</v>
      </c>
      <c r="J86" t="s">
        <v>275</v>
      </c>
      <c r="K86">
        <v>9.8107160187806644E-2</v>
      </c>
      <c r="L86" t="s">
        <v>154</v>
      </c>
      <c r="N86" t="s">
        <v>195</v>
      </c>
      <c r="O86" t="s">
        <v>275</v>
      </c>
      <c r="P86">
        <v>6.6635596428373717E-2</v>
      </c>
      <c r="Q86" t="s">
        <v>154</v>
      </c>
      <c r="S86" t="s">
        <v>219</v>
      </c>
      <c r="T86" t="s">
        <v>275</v>
      </c>
      <c r="U86">
        <v>2.5794997347163433E-2</v>
      </c>
      <c r="V86" t="s">
        <v>154</v>
      </c>
      <c r="AC86" t="s">
        <v>19</v>
      </c>
      <c r="AD86" t="s">
        <v>275</v>
      </c>
      <c r="AE86">
        <v>3.6730638058792543E-2</v>
      </c>
      <c r="AK86">
        <v>2037</v>
      </c>
      <c r="AL86" t="s">
        <v>142</v>
      </c>
      <c r="AM86">
        <v>0.3515875</v>
      </c>
      <c r="AN86" t="s">
        <v>250</v>
      </c>
    </row>
    <row r="87" spans="9:40" x14ac:dyDescent="0.45">
      <c r="I87" t="s">
        <v>166</v>
      </c>
      <c r="J87" t="s">
        <v>276</v>
      </c>
      <c r="K87">
        <v>1.1651735014328127E-2</v>
      </c>
      <c r="L87" t="s">
        <v>154</v>
      </c>
      <c r="N87" t="s">
        <v>195</v>
      </c>
      <c r="O87" t="s">
        <v>276</v>
      </c>
      <c r="P87">
        <v>1.2629078328703261E-2</v>
      </c>
      <c r="Q87" t="s">
        <v>154</v>
      </c>
      <c r="S87" t="s">
        <v>219</v>
      </c>
      <c r="T87" t="s">
        <v>276</v>
      </c>
      <c r="U87">
        <v>4.4534837577977649E-3</v>
      </c>
      <c r="V87" t="s">
        <v>154</v>
      </c>
      <c r="AC87" t="s">
        <v>19</v>
      </c>
      <c r="AD87" t="s">
        <v>276</v>
      </c>
      <c r="AE87">
        <v>6.1195718374597542E-3</v>
      </c>
      <c r="AK87">
        <v>2037</v>
      </c>
      <c r="AL87" t="s">
        <v>146</v>
      </c>
      <c r="AM87">
        <v>0.50285000000000002</v>
      </c>
      <c r="AN87" t="s">
        <v>250</v>
      </c>
    </row>
    <row r="88" spans="9:40" x14ac:dyDescent="0.45">
      <c r="I88" t="s">
        <v>166</v>
      </c>
      <c r="J88" t="s">
        <v>277</v>
      </c>
      <c r="K88">
        <v>7.4182319483032996E-3</v>
      </c>
      <c r="L88" t="s">
        <v>154</v>
      </c>
      <c r="N88" t="s">
        <v>195</v>
      </c>
      <c r="O88" t="s">
        <v>277</v>
      </c>
      <c r="P88">
        <v>1.3072569730417124E-2</v>
      </c>
      <c r="Q88" t="s">
        <v>154</v>
      </c>
      <c r="S88" t="s">
        <v>219</v>
      </c>
      <c r="T88" t="s">
        <v>277</v>
      </c>
      <c r="U88">
        <v>4.6289858816218462E-3</v>
      </c>
      <c r="V88" t="s">
        <v>154</v>
      </c>
      <c r="AC88" t="s">
        <v>19</v>
      </c>
      <c r="AD88" t="s">
        <v>277</v>
      </c>
      <c r="AE88">
        <v>6.1249946574631611E-3</v>
      </c>
      <c r="AK88">
        <v>2037</v>
      </c>
      <c r="AL88" t="s">
        <v>148</v>
      </c>
      <c r="AM88">
        <v>0.44699999999999995</v>
      </c>
      <c r="AN88" t="s">
        <v>250</v>
      </c>
    </row>
    <row r="89" spans="9:40" x14ac:dyDescent="0.45">
      <c r="I89" t="s">
        <v>166</v>
      </c>
      <c r="J89" t="s">
        <v>290</v>
      </c>
      <c r="K89">
        <v>3.9704799607249579E-5</v>
      </c>
      <c r="L89" t="s">
        <v>154</v>
      </c>
      <c r="N89" t="s">
        <v>195</v>
      </c>
      <c r="O89" t="s">
        <v>290</v>
      </c>
      <c r="P89">
        <v>1.0723737110995408E-2</v>
      </c>
      <c r="Q89" t="s">
        <v>154</v>
      </c>
      <c r="S89" t="s">
        <v>219</v>
      </c>
      <c r="T89" t="s">
        <v>290</v>
      </c>
      <c r="U89">
        <v>3.7411427298461282E-3</v>
      </c>
      <c r="V89" t="s">
        <v>154</v>
      </c>
      <c r="AC89" t="s">
        <v>19</v>
      </c>
      <c r="AD89" t="s">
        <v>290</v>
      </c>
      <c r="AE89">
        <v>6.2220007241006944E-3</v>
      </c>
      <c r="AK89">
        <v>2037</v>
      </c>
      <c r="AL89" t="s">
        <v>150</v>
      </c>
      <c r="AM89">
        <v>0.38470000000000004</v>
      </c>
      <c r="AN89" t="s">
        <v>250</v>
      </c>
    </row>
    <row r="90" spans="9:40" x14ac:dyDescent="0.45">
      <c r="I90" t="s">
        <v>166</v>
      </c>
      <c r="J90" t="s">
        <v>291</v>
      </c>
      <c r="K90">
        <v>0</v>
      </c>
      <c r="L90" t="s">
        <v>154</v>
      </c>
      <c r="N90" t="s">
        <v>195</v>
      </c>
      <c r="O90" t="s">
        <v>291</v>
      </c>
      <c r="P90">
        <v>5.0035216693546797E-2</v>
      </c>
      <c r="Q90" t="s">
        <v>154</v>
      </c>
      <c r="S90" t="s">
        <v>219</v>
      </c>
      <c r="T90" t="s">
        <v>291</v>
      </c>
      <c r="U90">
        <v>2.2790147089693784E-2</v>
      </c>
      <c r="V90" t="s">
        <v>154</v>
      </c>
      <c r="AC90" t="s">
        <v>19</v>
      </c>
      <c r="AD90" t="s">
        <v>291</v>
      </c>
      <c r="AE90">
        <v>3.0384245276687608E-2</v>
      </c>
      <c r="AK90">
        <v>2037</v>
      </c>
      <c r="AL90" t="s">
        <v>270</v>
      </c>
      <c r="AM90">
        <v>0.37204999999999999</v>
      </c>
      <c r="AN90" t="s">
        <v>250</v>
      </c>
    </row>
    <row r="91" spans="9:40" x14ac:dyDescent="0.45">
      <c r="I91" t="s">
        <v>167</v>
      </c>
      <c r="J91" t="s">
        <v>153</v>
      </c>
      <c r="K91">
        <v>7.5007191460297702E-3</v>
      </c>
      <c r="L91" t="s">
        <v>154</v>
      </c>
      <c r="N91" t="s">
        <v>196</v>
      </c>
      <c r="O91" t="s">
        <v>153</v>
      </c>
      <c r="P91">
        <v>0.1322950088336973</v>
      </c>
      <c r="Q91" t="s">
        <v>154</v>
      </c>
      <c r="S91" t="s">
        <v>220</v>
      </c>
      <c r="T91" t="s">
        <v>153</v>
      </c>
      <c r="U91">
        <v>0.1828570422210376</v>
      </c>
      <c r="V91" t="s">
        <v>154</v>
      </c>
      <c r="AK91">
        <v>2038</v>
      </c>
      <c r="AL91" t="s">
        <v>142</v>
      </c>
      <c r="AM91">
        <v>0.30561250000000001</v>
      </c>
      <c r="AN91" t="s">
        <v>250</v>
      </c>
    </row>
    <row r="92" spans="9:40" x14ac:dyDescent="0.45">
      <c r="I92" t="s">
        <v>167</v>
      </c>
      <c r="J92" t="s">
        <v>155</v>
      </c>
      <c r="K92">
        <v>7.7979874272847194E-2</v>
      </c>
      <c r="L92" t="s">
        <v>154</v>
      </c>
      <c r="N92" t="s">
        <v>196</v>
      </c>
      <c r="O92" t="s">
        <v>155</v>
      </c>
      <c r="P92">
        <v>3.2905397646873315E-2</v>
      </c>
      <c r="Q92" t="s">
        <v>154</v>
      </c>
      <c r="S92" t="s">
        <v>220</v>
      </c>
      <c r="T92" t="s">
        <v>155</v>
      </c>
      <c r="U92">
        <v>4.8333921952840947E-2</v>
      </c>
      <c r="V92" t="s">
        <v>154</v>
      </c>
      <c r="AK92">
        <v>2038</v>
      </c>
      <c r="AL92" t="s">
        <v>146</v>
      </c>
      <c r="AM92">
        <v>0.44869999999999999</v>
      </c>
      <c r="AN92" t="s">
        <v>250</v>
      </c>
    </row>
    <row r="93" spans="9:40" x14ac:dyDescent="0.45">
      <c r="I93" t="s">
        <v>167</v>
      </c>
      <c r="J93" t="s">
        <v>156</v>
      </c>
      <c r="K93">
        <v>5.9705933536410731E-2</v>
      </c>
      <c r="L93" t="s">
        <v>154</v>
      </c>
      <c r="N93" t="s">
        <v>196</v>
      </c>
      <c r="O93" t="s">
        <v>156</v>
      </c>
      <c r="P93">
        <v>2.0235233950104067E-2</v>
      </c>
      <c r="Q93" t="s">
        <v>154</v>
      </c>
      <c r="S93" t="s">
        <v>220</v>
      </c>
      <c r="T93" t="s">
        <v>156</v>
      </c>
      <c r="U93">
        <v>2.5052806057778536E-2</v>
      </c>
      <c r="V93" t="s">
        <v>154</v>
      </c>
      <c r="AK93">
        <v>2038</v>
      </c>
      <c r="AL93" t="s">
        <v>148</v>
      </c>
      <c r="AM93">
        <v>0.44799999999999995</v>
      </c>
      <c r="AN93" t="s">
        <v>250</v>
      </c>
    </row>
    <row r="94" spans="9:40" x14ac:dyDescent="0.45">
      <c r="I94" t="s">
        <v>167</v>
      </c>
      <c r="J94" t="s">
        <v>255</v>
      </c>
      <c r="K94">
        <v>0.41966503543458866</v>
      </c>
      <c r="L94" t="s">
        <v>154</v>
      </c>
      <c r="N94" t="s">
        <v>196</v>
      </c>
      <c r="O94" t="s">
        <v>255</v>
      </c>
      <c r="P94">
        <v>0.15368502548361843</v>
      </c>
      <c r="Q94" t="s">
        <v>154</v>
      </c>
      <c r="S94" t="s">
        <v>220</v>
      </c>
      <c r="T94" t="s">
        <v>255</v>
      </c>
      <c r="U94">
        <v>0.15469634548789679</v>
      </c>
      <c r="V94" t="s">
        <v>154</v>
      </c>
      <c r="AK94">
        <v>2038</v>
      </c>
      <c r="AL94" t="s">
        <v>150</v>
      </c>
      <c r="AM94">
        <v>0.37544999999999995</v>
      </c>
      <c r="AN94" t="s">
        <v>250</v>
      </c>
    </row>
    <row r="95" spans="9:40" x14ac:dyDescent="0.45">
      <c r="I95" t="s">
        <v>167</v>
      </c>
      <c r="J95" t="s">
        <v>256</v>
      </c>
      <c r="K95">
        <v>4.6961004800650727E-2</v>
      </c>
      <c r="L95" t="s">
        <v>154</v>
      </c>
      <c r="N95" t="s">
        <v>196</v>
      </c>
      <c r="O95" t="s">
        <v>256</v>
      </c>
      <c r="P95">
        <v>2.5966927299189917E-2</v>
      </c>
      <c r="Q95" t="s">
        <v>154</v>
      </c>
      <c r="S95" t="s">
        <v>220</v>
      </c>
      <c r="T95" t="s">
        <v>256</v>
      </c>
      <c r="U95">
        <v>2.7164116352167235E-2</v>
      </c>
      <c r="V95" t="s">
        <v>154</v>
      </c>
      <c r="AK95">
        <v>2038</v>
      </c>
      <c r="AL95" t="s">
        <v>270</v>
      </c>
      <c r="AM95">
        <v>0.32055</v>
      </c>
      <c r="AN95" t="s">
        <v>250</v>
      </c>
    </row>
    <row r="96" spans="9:40" x14ac:dyDescent="0.45">
      <c r="I96" t="s">
        <v>167</v>
      </c>
      <c r="J96" t="s">
        <v>257</v>
      </c>
      <c r="K96">
        <v>3.3639726846766589E-2</v>
      </c>
      <c r="L96" t="s">
        <v>154</v>
      </c>
      <c r="N96" t="s">
        <v>196</v>
      </c>
      <c r="O96" t="s">
        <v>257</v>
      </c>
      <c r="P96">
        <v>2.4818324069823212E-2</v>
      </c>
      <c r="Q96" t="s">
        <v>154</v>
      </c>
      <c r="S96" t="s">
        <v>220</v>
      </c>
      <c r="T96" t="s">
        <v>257</v>
      </c>
      <c r="U96">
        <v>2.7230459485329463E-2</v>
      </c>
      <c r="V96" t="s">
        <v>154</v>
      </c>
      <c r="AK96">
        <v>2039</v>
      </c>
      <c r="AL96" t="s">
        <v>142</v>
      </c>
      <c r="AM96">
        <v>0.32023750000000006</v>
      </c>
      <c r="AN96" t="s">
        <v>250</v>
      </c>
    </row>
    <row r="97" spans="9:40" x14ac:dyDescent="0.45">
      <c r="I97" t="s">
        <v>167</v>
      </c>
      <c r="J97" t="s">
        <v>282</v>
      </c>
      <c r="K97">
        <v>1.9349353739164667E-2</v>
      </c>
      <c r="L97" t="s">
        <v>154</v>
      </c>
      <c r="N97" t="s">
        <v>196</v>
      </c>
      <c r="O97" t="s">
        <v>282</v>
      </c>
      <c r="P97">
        <v>1.7716809602036095E-2</v>
      </c>
      <c r="Q97" t="s">
        <v>154</v>
      </c>
      <c r="S97" t="s">
        <v>220</v>
      </c>
      <c r="T97" t="s">
        <v>282</v>
      </c>
      <c r="U97">
        <v>2.5251683919803043E-2</v>
      </c>
      <c r="V97" t="s">
        <v>154</v>
      </c>
      <c r="AK97">
        <v>2039</v>
      </c>
      <c r="AL97" t="s">
        <v>146</v>
      </c>
      <c r="AM97">
        <v>0.4718</v>
      </c>
      <c r="AN97" t="s">
        <v>250</v>
      </c>
    </row>
    <row r="98" spans="9:40" x14ac:dyDescent="0.45">
      <c r="I98" t="s">
        <v>167</v>
      </c>
      <c r="J98" t="s">
        <v>283</v>
      </c>
      <c r="K98">
        <v>0</v>
      </c>
      <c r="L98" t="s">
        <v>154</v>
      </c>
      <c r="N98" t="s">
        <v>196</v>
      </c>
      <c r="O98" t="s">
        <v>283</v>
      </c>
      <c r="P98">
        <v>0.10491983949663036</v>
      </c>
      <c r="Q98" t="s">
        <v>154</v>
      </c>
      <c r="S98" t="s">
        <v>220</v>
      </c>
      <c r="T98" t="s">
        <v>283</v>
      </c>
      <c r="U98">
        <v>0.13708441166651755</v>
      </c>
      <c r="V98" t="s">
        <v>154</v>
      </c>
      <c r="AK98">
        <v>2039</v>
      </c>
      <c r="AL98" t="s">
        <v>148</v>
      </c>
      <c r="AM98">
        <v>0.46905000000000002</v>
      </c>
      <c r="AN98" t="s">
        <v>250</v>
      </c>
    </row>
    <row r="99" spans="9:40" x14ac:dyDescent="0.45">
      <c r="I99" t="s">
        <v>167</v>
      </c>
      <c r="J99" t="s">
        <v>157</v>
      </c>
      <c r="K99">
        <v>0</v>
      </c>
      <c r="L99" t="s">
        <v>154</v>
      </c>
      <c r="N99" t="s">
        <v>196</v>
      </c>
      <c r="O99" t="s">
        <v>157</v>
      </c>
      <c r="P99">
        <v>5.0927560620555633E-3</v>
      </c>
      <c r="Q99" t="s">
        <v>154</v>
      </c>
      <c r="S99" t="s">
        <v>220</v>
      </c>
      <c r="T99" t="s">
        <v>157</v>
      </c>
      <c r="U99">
        <v>9.9291349959503006E-3</v>
      </c>
      <c r="V99" t="s">
        <v>154</v>
      </c>
      <c r="AK99">
        <v>2039</v>
      </c>
      <c r="AL99" t="s">
        <v>150</v>
      </c>
      <c r="AM99">
        <v>0.48199999999999998</v>
      </c>
      <c r="AN99" t="s">
        <v>250</v>
      </c>
    </row>
    <row r="100" spans="9:40" x14ac:dyDescent="0.45">
      <c r="I100" t="s">
        <v>167</v>
      </c>
      <c r="J100" t="s">
        <v>158</v>
      </c>
      <c r="K100">
        <v>8.1177493253142621E-3</v>
      </c>
      <c r="L100" t="s">
        <v>154</v>
      </c>
      <c r="N100" t="s">
        <v>196</v>
      </c>
      <c r="O100" t="s">
        <v>158</v>
      </c>
      <c r="P100">
        <v>1.3731200206450183E-3</v>
      </c>
      <c r="Q100" t="s">
        <v>154</v>
      </c>
      <c r="S100" t="s">
        <v>220</v>
      </c>
      <c r="T100" t="s">
        <v>158</v>
      </c>
      <c r="U100">
        <v>2.707838598974169E-3</v>
      </c>
      <c r="V100" t="s">
        <v>154</v>
      </c>
      <c r="AK100">
        <v>2039</v>
      </c>
      <c r="AL100" t="s">
        <v>270</v>
      </c>
      <c r="AM100">
        <v>0.44624999999999998</v>
      </c>
      <c r="AN100" t="s">
        <v>250</v>
      </c>
    </row>
    <row r="101" spans="9:40" x14ac:dyDescent="0.45">
      <c r="I101" t="s">
        <v>167</v>
      </c>
      <c r="J101" t="s">
        <v>159</v>
      </c>
      <c r="K101">
        <v>6.2134548724912557E-3</v>
      </c>
      <c r="L101" t="s">
        <v>154</v>
      </c>
      <c r="N101" t="s">
        <v>196</v>
      </c>
      <c r="O101" t="s">
        <v>159</v>
      </c>
      <c r="P101">
        <v>6.8695952513319041E-4</v>
      </c>
      <c r="Q101" t="s">
        <v>154</v>
      </c>
      <c r="S101" t="s">
        <v>220</v>
      </c>
      <c r="T101" t="s">
        <v>159</v>
      </c>
      <c r="U101">
        <v>1.3067112050857452E-3</v>
      </c>
      <c r="V101" t="s">
        <v>154</v>
      </c>
      <c r="AK101">
        <v>2040</v>
      </c>
      <c r="AL101" t="s">
        <v>142</v>
      </c>
      <c r="AM101">
        <v>0.32792499999999997</v>
      </c>
      <c r="AN101" t="s">
        <v>250</v>
      </c>
    </row>
    <row r="102" spans="9:40" x14ac:dyDescent="0.45">
      <c r="I102" t="s">
        <v>167</v>
      </c>
      <c r="J102" t="s">
        <v>258</v>
      </c>
      <c r="K102">
        <v>4.2140701615473362E-2</v>
      </c>
      <c r="L102" t="s">
        <v>154</v>
      </c>
      <c r="N102" t="s">
        <v>196</v>
      </c>
      <c r="O102" t="s">
        <v>258</v>
      </c>
      <c r="P102">
        <v>3.9138982632420383E-3</v>
      </c>
      <c r="Q102" t="s">
        <v>154</v>
      </c>
      <c r="S102" t="s">
        <v>220</v>
      </c>
      <c r="T102" t="s">
        <v>258</v>
      </c>
      <c r="U102">
        <v>9.0061145567577813E-3</v>
      </c>
      <c r="V102" t="s">
        <v>154</v>
      </c>
      <c r="AK102">
        <v>2040</v>
      </c>
      <c r="AL102" t="s">
        <v>146</v>
      </c>
      <c r="AM102">
        <v>0.46110000000000001</v>
      </c>
      <c r="AN102" t="s">
        <v>250</v>
      </c>
    </row>
    <row r="103" spans="9:40" x14ac:dyDescent="0.45">
      <c r="I103" t="s">
        <v>167</v>
      </c>
      <c r="J103" t="s">
        <v>259</v>
      </c>
      <c r="K103">
        <v>4.3803652047671934E-3</v>
      </c>
      <c r="L103" t="s">
        <v>154</v>
      </c>
      <c r="N103" t="s">
        <v>196</v>
      </c>
      <c r="O103" t="s">
        <v>259</v>
      </c>
      <c r="P103">
        <v>6.2182886721094026E-4</v>
      </c>
      <c r="Q103" t="s">
        <v>154</v>
      </c>
      <c r="S103" t="s">
        <v>220</v>
      </c>
      <c r="T103" t="s">
        <v>259</v>
      </c>
      <c r="U103">
        <v>1.5347850918359476E-3</v>
      </c>
      <c r="V103" t="s">
        <v>154</v>
      </c>
      <c r="AK103">
        <v>2040</v>
      </c>
      <c r="AL103" t="s">
        <v>148</v>
      </c>
      <c r="AM103">
        <v>0.42845</v>
      </c>
      <c r="AN103" t="s">
        <v>250</v>
      </c>
    </row>
    <row r="104" spans="9:40" x14ac:dyDescent="0.45">
      <c r="I104" t="s">
        <v>167</v>
      </c>
      <c r="J104" t="s">
        <v>260</v>
      </c>
      <c r="K104">
        <v>3.0659210688839967E-3</v>
      </c>
      <c r="L104" t="s">
        <v>154</v>
      </c>
      <c r="N104" t="s">
        <v>196</v>
      </c>
      <c r="O104" t="s">
        <v>260</v>
      </c>
      <c r="P104">
        <v>6.0729788288225919E-4</v>
      </c>
      <c r="Q104" t="s">
        <v>154</v>
      </c>
      <c r="S104" t="s">
        <v>220</v>
      </c>
      <c r="T104" t="s">
        <v>260</v>
      </c>
      <c r="U104">
        <v>1.6049124306728719E-3</v>
      </c>
      <c r="V104" t="s">
        <v>154</v>
      </c>
      <c r="AK104">
        <v>2040</v>
      </c>
      <c r="AL104" t="s">
        <v>150</v>
      </c>
      <c r="AM104">
        <v>0.37085000000000001</v>
      </c>
      <c r="AN104" t="s">
        <v>250</v>
      </c>
    </row>
    <row r="105" spans="9:40" x14ac:dyDescent="0.45">
      <c r="I105" t="s">
        <v>167</v>
      </c>
      <c r="J105" t="s">
        <v>284</v>
      </c>
      <c r="K105">
        <v>2.0064275632596888E-3</v>
      </c>
      <c r="L105" t="s">
        <v>154</v>
      </c>
      <c r="N105" t="s">
        <v>196</v>
      </c>
      <c r="O105" t="s">
        <v>284</v>
      </c>
      <c r="P105">
        <v>6.7903692136297403E-4</v>
      </c>
      <c r="Q105" t="s">
        <v>154</v>
      </c>
      <c r="S105" t="s">
        <v>220</v>
      </c>
      <c r="T105" t="s">
        <v>284</v>
      </c>
      <c r="U105">
        <v>1.6005484449893327E-3</v>
      </c>
      <c r="V105" t="s">
        <v>154</v>
      </c>
      <c r="AK105">
        <v>2040</v>
      </c>
      <c r="AL105" t="s">
        <v>270</v>
      </c>
      <c r="AM105">
        <v>0.35099999999999998</v>
      </c>
      <c r="AN105" t="s">
        <v>250</v>
      </c>
    </row>
    <row r="106" spans="9:40" x14ac:dyDescent="0.45">
      <c r="I106" t="s">
        <v>167</v>
      </c>
      <c r="J106" t="s">
        <v>285</v>
      </c>
      <c r="K106">
        <v>0</v>
      </c>
      <c r="L106" t="s">
        <v>154</v>
      </c>
      <c r="N106" t="s">
        <v>196</v>
      </c>
      <c r="O106" t="s">
        <v>285</v>
      </c>
      <c r="P106">
        <v>3.5198183770603843E-3</v>
      </c>
      <c r="Q106" t="s">
        <v>154</v>
      </c>
      <c r="S106" t="s">
        <v>220</v>
      </c>
      <c r="T106" t="s">
        <v>285</v>
      </c>
      <c r="U106">
        <v>7.9804235458455913E-3</v>
      </c>
      <c r="V106" t="s">
        <v>154</v>
      </c>
      <c r="AK106">
        <v>2041</v>
      </c>
      <c r="AL106" t="s">
        <v>142</v>
      </c>
      <c r="AM106">
        <v>0.38823750000000001</v>
      </c>
      <c r="AN106" t="s">
        <v>250</v>
      </c>
    </row>
    <row r="107" spans="9:40" x14ac:dyDescent="0.45">
      <c r="I107" t="s">
        <v>167</v>
      </c>
      <c r="J107" t="s">
        <v>160</v>
      </c>
      <c r="K107">
        <v>0</v>
      </c>
      <c r="L107" t="s">
        <v>154</v>
      </c>
      <c r="N107" t="s">
        <v>196</v>
      </c>
      <c r="O107" t="s">
        <v>160</v>
      </c>
      <c r="P107">
        <v>2.6373725417805038E-2</v>
      </c>
      <c r="Q107" t="s">
        <v>154</v>
      </c>
      <c r="S107" t="s">
        <v>220</v>
      </c>
      <c r="T107" t="s">
        <v>160</v>
      </c>
      <c r="U107">
        <v>5.9045375058430369E-2</v>
      </c>
      <c r="V107" t="s">
        <v>154</v>
      </c>
      <c r="AK107">
        <v>2041</v>
      </c>
      <c r="AL107" t="s">
        <v>146</v>
      </c>
      <c r="AM107">
        <v>0.49460000000000004</v>
      </c>
      <c r="AN107" t="s">
        <v>250</v>
      </c>
    </row>
    <row r="108" spans="9:40" x14ac:dyDescent="0.45">
      <c r="I108" t="s">
        <v>167</v>
      </c>
      <c r="J108" t="s">
        <v>161</v>
      </c>
      <c r="K108">
        <v>7.4801089416601831E-3</v>
      </c>
      <c r="L108" t="s">
        <v>154</v>
      </c>
      <c r="N108" t="s">
        <v>196</v>
      </c>
      <c r="O108" t="s">
        <v>161</v>
      </c>
      <c r="P108">
        <v>7.9133588756050578E-3</v>
      </c>
      <c r="Q108" t="s">
        <v>154</v>
      </c>
      <c r="S108" t="s">
        <v>220</v>
      </c>
      <c r="T108" t="s">
        <v>161</v>
      </c>
      <c r="U108">
        <v>1.736306905979346E-2</v>
      </c>
      <c r="V108" t="s">
        <v>154</v>
      </c>
      <c r="AK108">
        <v>2041</v>
      </c>
      <c r="AL108" t="s">
        <v>148</v>
      </c>
      <c r="AM108">
        <v>0.41500000000000004</v>
      </c>
      <c r="AN108" t="s">
        <v>250</v>
      </c>
    </row>
    <row r="109" spans="9:40" x14ac:dyDescent="0.45">
      <c r="I109" t="s">
        <v>167</v>
      </c>
      <c r="J109" t="s">
        <v>162</v>
      </c>
      <c r="K109">
        <v>6.7242060524321167E-3</v>
      </c>
      <c r="L109" t="s">
        <v>154</v>
      </c>
      <c r="N109" t="s">
        <v>196</v>
      </c>
      <c r="O109" t="s">
        <v>162</v>
      </c>
      <c r="P109">
        <v>4.0322338271140852E-3</v>
      </c>
      <c r="Q109" t="s">
        <v>154</v>
      </c>
      <c r="S109" t="s">
        <v>220</v>
      </c>
      <c r="T109" t="s">
        <v>162</v>
      </c>
      <c r="U109">
        <v>8.7246398975799784E-3</v>
      </c>
      <c r="V109" t="s">
        <v>154</v>
      </c>
      <c r="AK109">
        <v>2041</v>
      </c>
      <c r="AL109" t="s">
        <v>150</v>
      </c>
      <c r="AM109">
        <v>0.36014999999999997</v>
      </c>
      <c r="AN109" t="s">
        <v>250</v>
      </c>
    </row>
    <row r="110" spans="9:40" x14ac:dyDescent="0.45">
      <c r="I110" t="s">
        <v>167</v>
      </c>
      <c r="J110" t="s">
        <v>261</v>
      </c>
      <c r="K110">
        <v>4.7701427529159061E-2</v>
      </c>
      <c r="L110" t="s">
        <v>154</v>
      </c>
      <c r="N110" t="s">
        <v>196</v>
      </c>
      <c r="O110" t="s">
        <v>261</v>
      </c>
      <c r="P110">
        <v>2.7733156252417505E-2</v>
      </c>
      <c r="Q110" t="s">
        <v>154</v>
      </c>
      <c r="S110" t="s">
        <v>220</v>
      </c>
      <c r="T110" t="s">
        <v>261</v>
      </c>
      <c r="U110">
        <v>5.4163505093323294E-2</v>
      </c>
      <c r="V110" t="s">
        <v>154</v>
      </c>
      <c r="AK110">
        <v>2041</v>
      </c>
      <c r="AL110" t="s">
        <v>270</v>
      </c>
      <c r="AM110">
        <v>0.3805</v>
      </c>
      <c r="AN110" t="s">
        <v>250</v>
      </c>
    </row>
    <row r="111" spans="9:40" x14ac:dyDescent="0.45">
      <c r="I111" t="s">
        <v>167</v>
      </c>
      <c r="J111" t="s">
        <v>262</v>
      </c>
      <c r="K111">
        <v>4.4920685092046672E-3</v>
      </c>
      <c r="L111" t="s">
        <v>154</v>
      </c>
      <c r="N111" t="s">
        <v>196</v>
      </c>
      <c r="O111" t="s">
        <v>262</v>
      </c>
      <c r="P111">
        <v>4.9901505684758181E-3</v>
      </c>
      <c r="Q111" t="s">
        <v>154</v>
      </c>
      <c r="S111" t="s">
        <v>220</v>
      </c>
      <c r="T111" t="s">
        <v>262</v>
      </c>
      <c r="U111">
        <v>8.8402178005799869E-3</v>
      </c>
      <c r="V111" t="s">
        <v>154</v>
      </c>
      <c r="AK111">
        <v>2042</v>
      </c>
      <c r="AL111" t="s">
        <v>142</v>
      </c>
      <c r="AM111">
        <v>0.36522500000000002</v>
      </c>
      <c r="AN111" t="s">
        <v>250</v>
      </c>
    </row>
    <row r="112" spans="9:40" x14ac:dyDescent="0.45">
      <c r="I112" t="s">
        <v>167</v>
      </c>
      <c r="J112" t="s">
        <v>263</v>
      </c>
      <c r="K112">
        <v>2.4432629222408807E-3</v>
      </c>
      <c r="L112" t="s">
        <v>154</v>
      </c>
      <c r="N112" t="s">
        <v>196</v>
      </c>
      <c r="O112" t="s">
        <v>263</v>
      </c>
      <c r="P112">
        <v>4.7144073355617454E-3</v>
      </c>
      <c r="Q112" t="s">
        <v>154</v>
      </c>
      <c r="S112" t="s">
        <v>220</v>
      </c>
      <c r="T112" t="s">
        <v>263</v>
      </c>
      <c r="U112">
        <v>8.7476101801723001E-3</v>
      </c>
      <c r="V112" t="s">
        <v>154</v>
      </c>
      <c r="AK112">
        <v>2042</v>
      </c>
      <c r="AL112" t="s">
        <v>146</v>
      </c>
      <c r="AM112">
        <v>0.49844999999999995</v>
      </c>
      <c r="AN112" t="s">
        <v>250</v>
      </c>
    </row>
    <row r="113" spans="9:40" x14ac:dyDescent="0.45">
      <c r="I113" t="s">
        <v>167</v>
      </c>
      <c r="J113" t="s">
        <v>286</v>
      </c>
      <c r="K113">
        <v>1.0687346490046394E-4</v>
      </c>
      <c r="L113" t="s">
        <v>154</v>
      </c>
      <c r="N113" t="s">
        <v>196</v>
      </c>
      <c r="O113" t="s">
        <v>286</v>
      </c>
      <c r="P113">
        <v>4.4216341467715001E-3</v>
      </c>
      <c r="Q113" t="s">
        <v>154</v>
      </c>
      <c r="S113" t="s">
        <v>220</v>
      </c>
      <c r="T113" t="s">
        <v>286</v>
      </c>
      <c r="U113">
        <v>8.3334017014195117E-3</v>
      </c>
      <c r="V113" t="s">
        <v>154</v>
      </c>
      <c r="AK113">
        <v>2042</v>
      </c>
      <c r="AL113" t="s">
        <v>148</v>
      </c>
      <c r="AM113">
        <v>0.44279999999999997</v>
      </c>
      <c r="AN113" t="s">
        <v>250</v>
      </c>
    </row>
    <row r="114" spans="9:40" x14ac:dyDescent="0.45">
      <c r="I114" t="s">
        <v>167</v>
      </c>
      <c r="J114" t="s">
        <v>287</v>
      </c>
      <c r="K114">
        <v>0</v>
      </c>
      <c r="L114" t="s">
        <v>154</v>
      </c>
      <c r="N114" t="s">
        <v>196</v>
      </c>
      <c r="O114" t="s">
        <v>287</v>
      </c>
      <c r="P114">
        <v>2.1240811431522906E-2</v>
      </c>
      <c r="Q114" t="s">
        <v>154</v>
      </c>
      <c r="S114" t="s">
        <v>220</v>
      </c>
      <c r="T114" t="s">
        <v>287</v>
      </c>
      <c r="U114">
        <v>3.8939370927916085E-2</v>
      </c>
      <c r="V114" t="s">
        <v>154</v>
      </c>
      <c r="AK114">
        <v>2042</v>
      </c>
      <c r="AL114" t="s">
        <v>150</v>
      </c>
      <c r="AM114">
        <v>0.40900000000000003</v>
      </c>
      <c r="AN114" t="s">
        <v>250</v>
      </c>
    </row>
    <row r="115" spans="9:40" x14ac:dyDescent="0.45">
      <c r="I115" t="s">
        <v>167</v>
      </c>
      <c r="J115" t="s">
        <v>163</v>
      </c>
      <c r="K115">
        <v>0</v>
      </c>
      <c r="L115" t="s">
        <v>154</v>
      </c>
      <c r="N115" t="s">
        <v>196</v>
      </c>
      <c r="O115" t="s">
        <v>163</v>
      </c>
      <c r="P115">
        <v>3.3369132985289839E-2</v>
      </c>
      <c r="Q115" t="s">
        <v>154</v>
      </c>
      <c r="S115" t="s">
        <v>220</v>
      </c>
      <c r="T115" t="s">
        <v>163</v>
      </c>
      <c r="U115">
        <v>6.6407601091270745E-3</v>
      </c>
      <c r="V115" t="s">
        <v>154</v>
      </c>
      <c r="AK115">
        <v>2042</v>
      </c>
      <c r="AL115" t="s">
        <v>270</v>
      </c>
      <c r="AM115">
        <v>0.39624999999999999</v>
      </c>
      <c r="AN115" t="s">
        <v>250</v>
      </c>
    </row>
    <row r="116" spans="9:40" x14ac:dyDescent="0.45">
      <c r="I116" t="s">
        <v>167</v>
      </c>
      <c r="J116" t="s">
        <v>164</v>
      </c>
      <c r="K116">
        <v>9.0617281728459561E-3</v>
      </c>
      <c r="L116" t="s">
        <v>154</v>
      </c>
      <c r="N116" t="s">
        <v>196</v>
      </c>
      <c r="O116" t="s">
        <v>164</v>
      </c>
      <c r="P116">
        <v>8.9643624501358314E-3</v>
      </c>
      <c r="Q116" t="s">
        <v>154</v>
      </c>
      <c r="S116" t="s">
        <v>220</v>
      </c>
      <c r="T116" t="s">
        <v>164</v>
      </c>
      <c r="U116">
        <v>1.8501755196782699E-3</v>
      </c>
      <c r="V116" t="s">
        <v>154</v>
      </c>
      <c r="AK116">
        <v>2043</v>
      </c>
      <c r="AL116" t="s">
        <v>142</v>
      </c>
      <c r="AM116">
        <v>0.3268875</v>
      </c>
      <c r="AN116" t="s">
        <v>250</v>
      </c>
    </row>
    <row r="117" spans="9:40" x14ac:dyDescent="0.45">
      <c r="I117" t="s">
        <v>167</v>
      </c>
      <c r="J117" t="s">
        <v>165</v>
      </c>
      <c r="K117">
        <v>6.4888797068319241E-3</v>
      </c>
      <c r="L117" t="s">
        <v>154</v>
      </c>
      <c r="N117" t="s">
        <v>196</v>
      </c>
      <c r="O117" t="s">
        <v>165</v>
      </c>
      <c r="P117">
        <v>5.2227342222739698E-3</v>
      </c>
      <c r="Q117" t="s">
        <v>154</v>
      </c>
      <c r="S117" t="s">
        <v>220</v>
      </c>
      <c r="T117" t="s">
        <v>165</v>
      </c>
      <c r="U117">
        <v>1.0649607626553258E-3</v>
      </c>
      <c r="V117" t="s">
        <v>154</v>
      </c>
      <c r="AK117">
        <v>2043</v>
      </c>
      <c r="AL117" t="s">
        <v>146</v>
      </c>
      <c r="AM117">
        <v>0.50719999999999998</v>
      </c>
      <c r="AN117" t="s">
        <v>250</v>
      </c>
    </row>
    <row r="118" spans="9:40" x14ac:dyDescent="0.45">
      <c r="I118" t="s">
        <v>167</v>
      </c>
      <c r="J118" t="s">
        <v>264</v>
      </c>
      <c r="K118">
        <v>4.018158339759044E-2</v>
      </c>
      <c r="L118" t="s">
        <v>154</v>
      </c>
      <c r="N118" t="s">
        <v>196</v>
      </c>
      <c r="O118" t="s">
        <v>264</v>
      </c>
      <c r="P118">
        <v>3.6677189178923007E-2</v>
      </c>
      <c r="Q118" t="s">
        <v>154</v>
      </c>
      <c r="S118" t="s">
        <v>220</v>
      </c>
      <c r="T118" t="s">
        <v>264</v>
      </c>
      <c r="U118">
        <v>8.6471680651564933E-3</v>
      </c>
      <c r="V118" t="s">
        <v>154</v>
      </c>
      <c r="AK118">
        <v>2043</v>
      </c>
      <c r="AL118" t="s">
        <v>148</v>
      </c>
      <c r="AM118">
        <v>0.41609999999999997</v>
      </c>
      <c r="AN118" t="s">
        <v>250</v>
      </c>
    </row>
    <row r="119" spans="9:40" x14ac:dyDescent="0.45">
      <c r="I119" t="s">
        <v>167</v>
      </c>
      <c r="J119" t="s">
        <v>265</v>
      </c>
      <c r="K119">
        <v>4.3255326342843837E-3</v>
      </c>
      <c r="L119" t="s">
        <v>154</v>
      </c>
      <c r="N119" t="s">
        <v>196</v>
      </c>
      <c r="O119" t="s">
        <v>265</v>
      </c>
      <c r="P119">
        <v>6.5268474666939401E-3</v>
      </c>
      <c r="Q119" t="s">
        <v>154</v>
      </c>
      <c r="S119" t="s">
        <v>220</v>
      </c>
      <c r="T119" t="s">
        <v>265</v>
      </c>
      <c r="U119">
        <v>1.5870130698321563E-3</v>
      </c>
      <c r="V119" t="s">
        <v>154</v>
      </c>
      <c r="AK119">
        <v>2043</v>
      </c>
      <c r="AL119" t="s">
        <v>150</v>
      </c>
      <c r="AM119">
        <v>0.35085</v>
      </c>
      <c r="AN119" t="s">
        <v>250</v>
      </c>
    </row>
    <row r="120" spans="9:40" x14ac:dyDescent="0.45">
      <c r="I120" t="s">
        <v>167</v>
      </c>
      <c r="J120" t="s">
        <v>266</v>
      </c>
      <c r="K120">
        <v>2.6285901358595117E-3</v>
      </c>
      <c r="L120" t="s">
        <v>154</v>
      </c>
      <c r="N120" t="s">
        <v>196</v>
      </c>
      <c r="O120" t="s">
        <v>266</v>
      </c>
      <c r="P120">
        <v>6.2324016739745648E-3</v>
      </c>
      <c r="Q120" t="s">
        <v>154</v>
      </c>
      <c r="S120" t="s">
        <v>220</v>
      </c>
      <c r="T120" t="s">
        <v>266</v>
      </c>
      <c r="U120">
        <v>1.5506335512080545E-3</v>
      </c>
      <c r="V120" t="s">
        <v>154</v>
      </c>
      <c r="AK120">
        <v>2043</v>
      </c>
      <c r="AL120" t="s">
        <v>270</v>
      </c>
      <c r="AM120">
        <v>0.3755</v>
      </c>
      <c r="AN120" t="s">
        <v>250</v>
      </c>
    </row>
    <row r="121" spans="9:40" x14ac:dyDescent="0.45">
      <c r="I121" t="s">
        <v>167</v>
      </c>
      <c r="J121" t="s">
        <v>288</v>
      </c>
      <c r="K121">
        <v>0</v>
      </c>
      <c r="L121" t="s">
        <v>154</v>
      </c>
      <c r="N121" t="s">
        <v>196</v>
      </c>
      <c r="O121" t="s">
        <v>288</v>
      </c>
      <c r="P121">
        <v>5.1689867355670443E-3</v>
      </c>
      <c r="Q121" t="s">
        <v>154</v>
      </c>
      <c r="S121" t="s">
        <v>220</v>
      </c>
      <c r="T121" t="s">
        <v>288</v>
      </c>
      <c r="U121">
        <v>1.3947195026565312E-3</v>
      </c>
      <c r="V121" t="s">
        <v>154</v>
      </c>
      <c r="AK121">
        <v>2044</v>
      </c>
      <c r="AL121" t="s">
        <v>142</v>
      </c>
      <c r="AM121">
        <v>0.33727499999999999</v>
      </c>
      <c r="AN121" t="s">
        <v>250</v>
      </c>
    </row>
    <row r="122" spans="9:40" x14ac:dyDescent="0.45">
      <c r="I122" t="s">
        <v>167</v>
      </c>
      <c r="J122" t="s">
        <v>289</v>
      </c>
      <c r="K122">
        <v>0</v>
      </c>
      <c r="L122" t="s">
        <v>154</v>
      </c>
      <c r="N122" t="s">
        <v>196</v>
      </c>
      <c r="O122" t="s">
        <v>289</v>
      </c>
      <c r="P122">
        <v>2.5910793980886474E-2</v>
      </c>
      <c r="Q122" t="s">
        <v>154</v>
      </c>
      <c r="S122" t="s">
        <v>220</v>
      </c>
      <c r="T122" t="s">
        <v>289</v>
      </c>
      <c r="U122">
        <v>5.9967724348823559E-3</v>
      </c>
      <c r="V122" t="s">
        <v>154</v>
      </c>
      <c r="AK122">
        <v>2044</v>
      </c>
      <c r="AL122" t="s">
        <v>146</v>
      </c>
      <c r="AM122">
        <v>0.55459999999999998</v>
      </c>
      <c r="AN122" t="s">
        <v>250</v>
      </c>
    </row>
    <row r="123" spans="9:40" x14ac:dyDescent="0.45">
      <c r="I123" t="s">
        <v>167</v>
      </c>
      <c r="J123" t="s">
        <v>272</v>
      </c>
      <c r="K123">
        <v>0</v>
      </c>
      <c r="L123" t="s">
        <v>154</v>
      </c>
      <c r="N123" t="s">
        <v>196</v>
      </c>
      <c r="O123" t="s">
        <v>272</v>
      </c>
      <c r="P123">
        <v>6.7830235997655378E-2</v>
      </c>
      <c r="Q123" t="s">
        <v>154</v>
      </c>
      <c r="S123" t="s">
        <v>220</v>
      </c>
      <c r="T123" t="s">
        <v>272</v>
      </c>
      <c r="U123">
        <v>3.1455604046603129E-2</v>
      </c>
      <c r="V123" t="s">
        <v>154</v>
      </c>
      <c r="AK123">
        <v>2044</v>
      </c>
      <c r="AL123" t="s">
        <v>148</v>
      </c>
      <c r="AM123">
        <v>0.51339999999999997</v>
      </c>
      <c r="AN123" t="s">
        <v>250</v>
      </c>
    </row>
    <row r="124" spans="9:40" x14ac:dyDescent="0.45">
      <c r="I124" t="s">
        <v>167</v>
      </c>
      <c r="J124" t="s">
        <v>273</v>
      </c>
      <c r="K124">
        <v>1.8881030574491503E-2</v>
      </c>
      <c r="L124" t="s">
        <v>154</v>
      </c>
      <c r="N124" t="s">
        <v>196</v>
      </c>
      <c r="O124" t="s">
        <v>273</v>
      </c>
      <c r="P124">
        <v>1.7559661669438949E-2</v>
      </c>
      <c r="Q124" t="s">
        <v>154</v>
      </c>
      <c r="S124" t="s">
        <v>220</v>
      </c>
      <c r="T124" t="s">
        <v>273</v>
      </c>
      <c r="U124">
        <v>8.8357420159598035E-3</v>
      </c>
      <c r="V124" t="s">
        <v>154</v>
      </c>
      <c r="AK124">
        <v>2044</v>
      </c>
      <c r="AL124" t="s">
        <v>150</v>
      </c>
      <c r="AM124">
        <v>0.38995000000000002</v>
      </c>
      <c r="AN124" t="s">
        <v>250</v>
      </c>
    </row>
    <row r="125" spans="9:40" x14ac:dyDescent="0.45">
      <c r="I125" t="s">
        <v>167</v>
      </c>
      <c r="J125" t="s">
        <v>274</v>
      </c>
      <c r="K125">
        <v>1.4329146905558834E-2</v>
      </c>
      <c r="L125" t="s">
        <v>154</v>
      </c>
      <c r="N125" t="s">
        <v>196</v>
      </c>
      <c r="O125" t="s">
        <v>274</v>
      </c>
      <c r="P125">
        <v>1.0303769066887741E-2</v>
      </c>
      <c r="Q125" t="s">
        <v>154</v>
      </c>
      <c r="S125" t="s">
        <v>220</v>
      </c>
      <c r="T125" t="s">
        <v>274</v>
      </c>
      <c r="U125">
        <v>4.3839375258480778E-3</v>
      </c>
      <c r="V125" t="s">
        <v>154</v>
      </c>
      <c r="AK125">
        <v>2044</v>
      </c>
      <c r="AL125" t="s">
        <v>270</v>
      </c>
      <c r="AM125">
        <v>0.34870000000000001</v>
      </c>
      <c r="AN125" t="s">
        <v>250</v>
      </c>
    </row>
    <row r="126" spans="9:40" x14ac:dyDescent="0.45">
      <c r="I126" t="s">
        <v>167</v>
      </c>
      <c r="J126" t="s">
        <v>275</v>
      </c>
      <c r="K126">
        <v>8.9440016685406562E-2</v>
      </c>
      <c r="L126" t="s">
        <v>154</v>
      </c>
      <c r="N126" t="s">
        <v>196</v>
      </c>
      <c r="O126" t="s">
        <v>275</v>
      </c>
      <c r="P126">
        <v>6.8121756169877576E-2</v>
      </c>
      <c r="Q126" t="s">
        <v>154</v>
      </c>
      <c r="S126" t="s">
        <v>220</v>
      </c>
      <c r="T126" t="s">
        <v>275</v>
      </c>
      <c r="U126">
        <v>2.2420799150574249E-2</v>
      </c>
      <c r="V126" t="s">
        <v>154</v>
      </c>
      <c r="AK126">
        <v>2045</v>
      </c>
      <c r="AL126" t="s">
        <v>142</v>
      </c>
      <c r="AM126">
        <v>0.36561250000000001</v>
      </c>
      <c r="AN126" t="s">
        <v>250</v>
      </c>
    </row>
    <row r="127" spans="9:40" x14ac:dyDescent="0.45">
      <c r="I127" t="s">
        <v>167</v>
      </c>
      <c r="J127" t="s">
        <v>276</v>
      </c>
      <c r="K127">
        <v>9.1009373949922125E-3</v>
      </c>
      <c r="L127" t="s">
        <v>154</v>
      </c>
      <c r="N127" t="s">
        <v>196</v>
      </c>
      <c r="O127" t="s">
        <v>276</v>
      </c>
      <c r="P127">
        <v>1.1228017033794396E-2</v>
      </c>
      <c r="Q127" t="s">
        <v>154</v>
      </c>
      <c r="S127" t="s">
        <v>220</v>
      </c>
      <c r="T127" t="s">
        <v>276</v>
      </c>
      <c r="U127">
        <v>4.1764985977195091E-3</v>
      </c>
      <c r="V127" t="s">
        <v>154</v>
      </c>
      <c r="AK127">
        <v>2045</v>
      </c>
      <c r="AL127" t="s">
        <v>146</v>
      </c>
      <c r="AM127">
        <v>0.4274</v>
      </c>
      <c r="AN127" t="s">
        <v>250</v>
      </c>
    </row>
    <row r="128" spans="9:40" x14ac:dyDescent="0.45">
      <c r="I128" t="s">
        <v>167</v>
      </c>
      <c r="J128" t="s">
        <v>277</v>
      </c>
      <c r="K128">
        <v>5.8883395458952138E-3</v>
      </c>
      <c r="L128" t="s">
        <v>154</v>
      </c>
      <c r="N128" t="s">
        <v>196</v>
      </c>
      <c r="O128" t="s">
        <v>277</v>
      </c>
      <c r="P128">
        <v>1.1155622867576674E-2</v>
      </c>
      <c r="Q128" t="s">
        <v>154</v>
      </c>
      <c r="S128" t="s">
        <v>220</v>
      </c>
      <c r="T128" t="s">
        <v>277</v>
      </c>
      <c r="U128">
        <v>4.2238178515262275E-3</v>
      </c>
      <c r="V128" t="s">
        <v>154</v>
      </c>
      <c r="AK128">
        <v>2045</v>
      </c>
      <c r="AL128" t="s">
        <v>148</v>
      </c>
      <c r="AM128">
        <v>0.42530000000000001</v>
      </c>
      <c r="AN128" t="s">
        <v>250</v>
      </c>
    </row>
    <row r="129" spans="9:40" x14ac:dyDescent="0.45">
      <c r="I129" t="s">
        <v>167</v>
      </c>
      <c r="J129" t="s">
        <v>290</v>
      </c>
      <c r="K129">
        <v>0</v>
      </c>
      <c r="L129" t="s">
        <v>154</v>
      </c>
      <c r="N129" t="s">
        <v>196</v>
      </c>
      <c r="O129" t="s">
        <v>290</v>
      </c>
      <c r="P129">
        <v>7.5444626391545531E-3</v>
      </c>
      <c r="Q129" t="s">
        <v>154</v>
      </c>
      <c r="S129" t="s">
        <v>220</v>
      </c>
      <c r="T129" t="s">
        <v>290</v>
      </c>
      <c r="U129">
        <v>3.9480267738978949E-3</v>
      </c>
      <c r="V129" t="s">
        <v>154</v>
      </c>
      <c r="AK129">
        <v>2045</v>
      </c>
      <c r="AL129" t="s">
        <v>150</v>
      </c>
      <c r="AM129">
        <v>0.36745</v>
      </c>
      <c r="AN129" t="s">
        <v>250</v>
      </c>
    </row>
    <row r="130" spans="9:40" x14ac:dyDescent="0.45">
      <c r="I130" t="s">
        <v>167</v>
      </c>
      <c r="J130" t="s">
        <v>291</v>
      </c>
      <c r="K130">
        <v>0</v>
      </c>
      <c r="L130" t="s">
        <v>154</v>
      </c>
      <c r="N130" t="s">
        <v>196</v>
      </c>
      <c r="O130" t="s">
        <v>291</v>
      </c>
      <c r="P130">
        <v>4.7727265705028582E-2</v>
      </c>
      <c r="Q130" t="s">
        <v>154</v>
      </c>
      <c r="S130" t="s">
        <v>220</v>
      </c>
      <c r="T130" t="s">
        <v>291</v>
      </c>
      <c r="U130">
        <v>2.4324925289971554E-2</v>
      </c>
      <c r="V130" t="s">
        <v>154</v>
      </c>
      <c r="AK130">
        <v>2045</v>
      </c>
      <c r="AL130" t="s">
        <v>270</v>
      </c>
      <c r="AM130">
        <v>0.38439999999999996</v>
      </c>
      <c r="AN130" t="s">
        <v>250</v>
      </c>
    </row>
    <row r="131" spans="9:40" x14ac:dyDescent="0.45">
      <c r="I131" t="s">
        <v>168</v>
      </c>
      <c r="J131" t="s">
        <v>153</v>
      </c>
      <c r="K131">
        <v>6.2632685271096908E-3</v>
      </c>
      <c r="L131" t="s">
        <v>154</v>
      </c>
      <c r="N131" t="s">
        <v>197</v>
      </c>
      <c r="O131" t="s">
        <v>153</v>
      </c>
      <c r="P131">
        <v>0.13840641133568293</v>
      </c>
      <c r="Q131" t="s">
        <v>154</v>
      </c>
      <c r="S131" t="s">
        <v>221</v>
      </c>
      <c r="T131" t="s">
        <v>153</v>
      </c>
      <c r="U131">
        <v>0.17560921343119568</v>
      </c>
      <c r="V131" t="s">
        <v>154</v>
      </c>
      <c r="AK131">
        <v>2046</v>
      </c>
      <c r="AL131" t="s">
        <v>142</v>
      </c>
      <c r="AM131">
        <v>0.33384999999999998</v>
      </c>
      <c r="AN131" t="s">
        <v>250</v>
      </c>
    </row>
    <row r="132" spans="9:40" x14ac:dyDescent="0.45">
      <c r="I132" t="s">
        <v>168</v>
      </c>
      <c r="J132" t="s">
        <v>155</v>
      </c>
      <c r="K132">
        <v>7.4273280560966437E-2</v>
      </c>
      <c r="L132" t="s">
        <v>154</v>
      </c>
      <c r="N132" t="s">
        <v>197</v>
      </c>
      <c r="O132" t="s">
        <v>155</v>
      </c>
      <c r="P132">
        <v>3.7442968488742977E-2</v>
      </c>
      <c r="Q132" t="s">
        <v>154</v>
      </c>
      <c r="S132" t="s">
        <v>221</v>
      </c>
      <c r="T132" t="s">
        <v>155</v>
      </c>
      <c r="U132">
        <v>5.0400096672238361E-2</v>
      </c>
      <c r="V132" t="s">
        <v>154</v>
      </c>
      <c r="AK132">
        <v>2046</v>
      </c>
      <c r="AL132" t="s">
        <v>146</v>
      </c>
      <c r="AM132">
        <v>0.45904999999999996</v>
      </c>
      <c r="AN132" t="s">
        <v>250</v>
      </c>
    </row>
    <row r="133" spans="9:40" x14ac:dyDescent="0.45">
      <c r="I133" t="s">
        <v>168</v>
      </c>
      <c r="J133" t="s">
        <v>156</v>
      </c>
      <c r="K133">
        <v>5.8181187443512104E-2</v>
      </c>
      <c r="L133" t="s">
        <v>154</v>
      </c>
      <c r="N133" t="s">
        <v>197</v>
      </c>
      <c r="O133" t="s">
        <v>156</v>
      </c>
      <c r="P133">
        <v>2.1813991503396871E-2</v>
      </c>
      <c r="Q133" t="s">
        <v>154</v>
      </c>
      <c r="S133" t="s">
        <v>221</v>
      </c>
      <c r="T133" t="s">
        <v>156</v>
      </c>
      <c r="U133">
        <v>2.6053030434520886E-2</v>
      </c>
      <c r="V133" t="s">
        <v>154</v>
      </c>
      <c r="AK133">
        <v>2046</v>
      </c>
      <c r="AL133" t="s">
        <v>148</v>
      </c>
      <c r="AM133">
        <v>0.46179999999999999</v>
      </c>
      <c r="AN133" t="s">
        <v>250</v>
      </c>
    </row>
    <row r="134" spans="9:40" x14ac:dyDescent="0.45">
      <c r="I134" t="s">
        <v>168</v>
      </c>
      <c r="J134" t="s">
        <v>255</v>
      </c>
      <c r="K134">
        <v>0.41607088737556819</v>
      </c>
      <c r="L134" t="s">
        <v>154</v>
      </c>
      <c r="N134" t="s">
        <v>197</v>
      </c>
      <c r="O134" t="s">
        <v>255</v>
      </c>
      <c r="P134">
        <v>0.15509991598431244</v>
      </c>
      <c r="Q134" t="s">
        <v>154</v>
      </c>
      <c r="S134" t="s">
        <v>221</v>
      </c>
      <c r="T134" t="s">
        <v>255</v>
      </c>
      <c r="U134">
        <v>0.15565481862941674</v>
      </c>
      <c r="V134" t="s">
        <v>154</v>
      </c>
      <c r="AK134">
        <v>2046</v>
      </c>
      <c r="AL134" t="s">
        <v>150</v>
      </c>
      <c r="AM134">
        <v>0.45960000000000001</v>
      </c>
      <c r="AN134" t="s">
        <v>250</v>
      </c>
    </row>
    <row r="135" spans="9:40" x14ac:dyDescent="0.45">
      <c r="I135" t="s">
        <v>168</v>
      </c>
      <c r="J135" t="s">
        <v>256</v>
      </c>
      <c r="K135">
        <v>4.7918781715751708E-2</v>
      </c>
      <c r="L135" t="s">
        <v>154</v>
      </c>
      <c r="N135" t="s">
        <v>197</v>
      </c>
      <c r="O135" t="s">
        <v>256</v>
      </c>
      <c r="P135">
        <v>2.6898591079655483E-2</v>
      </c>
      <c r="Q135" t="s">
        <v>154</v>
      </c>
      <c r="S135" t="s">
        <v>221</v>
      </c>
      <c r="T135" t="s">
        <v>256</v>
      </c>
      <c r="U135">
        <v>2.509381400826333E-2</v>
      </c>
      <c r="V135" t="s">
        <v>154</v>
      </c>
      <c r="AK135">
        <v>2046</v>
      </c>
      <c r="AL135" t="s">
        <v>270</v>
      </c>
      <c r="AM135">
        <v>0.37404999999999999</v>
      </c>
      <c r="AN135" t="s">
        <v>250</v>
      </c>
    </row>
    <row r="136" spans="9:40" x14ac:dyDescent="0.45">
      <c r="I136" t="s">
        <v>168</v>
      </c>
      <c r="J136" t="s">
        <v>257</v>
      </c>
      <c r="K136">
        <v>3.3998913397499268E-2</v>
      </c>
      <c r="L136" t="s">
        <v>154</v>
      </c>
      <c r="N136" t="s">
        <v>197</v>
      </c>
      <c r="O136" t="s">
        <v>257</v>
      </c>
      <c r="P136">
        <v>2.6599407921404156E-2</v>
      </c>
      <c r="Q136" t="s">
        <v>154</v>
      </c>
      <c r="S136" t="s">
        <v>221</v>
      </c>
      <c r="T136" t="s">
        <v>257</v>
      </c>
      <c r="U136">
        <v>2.2338319271663108E-2</v>
      </c>
      <c r="V136" t="s">
        <v>154</v>
      </c>
      <c r="AK136">
        <v>2047</v>
      </c>
      <c r="AL136" t="s">
        <v>142</v>
      </c>
      <c r="AM136">
        <v>0.35043749999999996</v>
      </c>
      <c r="AN136" t="s">
        <v>250</v>
      </c>
    </row>
    <row r="137" spans="9:40" x14ac:dyDescent="0.45">
      <c r="I137" t="s">
        <v>168</v>
      </c>
      <c r="J137" t="s">
        <v>282</v>
      </c>
      <c r="K137">
        <v>1.9439120485262341E-2</v>
      </c>
      <c r="L137" t="s">
        <v>154</v>
      </c>
      <c r="N137" t="s">
        <v>197</v>
      </c>
      <c r="O137" t="s">
        <v>282</v>
      </c>
      <c r="P137">
        <v>2.0244263797284476E-2</v>
      </c>
      <c r="Q137" t="s">
        <v>154</v>
      </c>
      <c r="S137" t="s">
        <v>221</v>
      </c>
      <c r="T137" t="s">
        <v>282</v>
      </c>
      <c r="U137">
        <v>2.2740576825590029E-2</v>
      </c>
      <c r="V137" t="s">
        <v>154</v>
      </c>
      <c r="AK137">
        <v>2047</v>
      </c>
      <c r="AL137" t="s">
        <v>146</v>
      </c>
      <c r="AM137">
        <v>0.47499999999999998</v>
      </c>
      <c r="AN137" t="s">
        <v>250</v>
      </c>
    </row>
    <row r="138" spans="9:40" x14ac:dyDescent="0.45">
      <c r="I138" t="s">
        <v>168</v>
      </c>
      <c r="J138" t="s">
        <v>283</v>
      </c>
      <c r="K138">
        <v>0</v>
      </c>
      <c r="L138" t="s">
        <v>154</v>
      </c>
      <c r="N138" t="s">
        <v>197</v>
      </c>
      <c r="O138" t="s">
        <v>283</v>
      </c>
      <c r="P138">
        <v>0.11135034394829851</v>
      </c>
      <c r="Q138" t="s">
        <v>154</v>
      </c>
      <c r="S138" t="s">
        <v>221</v>
      </c>
      <c r="T138" t="s">
        <v>283</v>
      </c>
      <c r="U138">
        <v>0.1209998889809972</v>
      </c>
      <c r="V138" t="s">
        <v>154</v>
      </c>
      <c r="AK138">
        <v>2047</v>
      </c>
      <c r="AL138" t="s">
        <v>148</v>
      </c>
      <c r="AM138">
        <v>0.40405000000000002</v>
      </c>
      <c r="AN138" t="s">
        <v>250</v>
      </c>
    </row>
    <row r="139" spans="9:40" x14ac:dyDescent="0.45">
      <c r="I139" t="s">
        <v>168</v>
      </c>
      <c r="J139" t="s">
        <v>157</v>
      </c>
      <c r="K139">
        <v>0</v>
      </c>
      <c r="L139" t="s">
        <v>154</v>
      </c>
      <c r="N139" t="s">
        <v>197</v>
      </c>
      <c r="O139" t="s">
        <v>157</v>
      </c>
      <c r="P139">
        <v>9.780724322147126E-3</v>
      </c>
      <c r="Q139" t="s">
        <v>154</v>
      </c>
      <c r="S139" t="s">
        <v>221</v>
      </c>
      <c r="T139" t="s">
        <v>157</v>
      </c>
      <c r="U139">
        <v>1.2578922713844354E-2</v>
      </c>
      <c r="V139" t="s">
        <v>154</v>
      </c>
      <c r="AK139">
        <v>2047</v>
      </c>
      <c r="AL139" t="s">
        <v>150</v>
      </c>
      <c r="AM139">
        <v>0.34735000000000005</v>
      </c>
      <c r="AN139" t="s">
        <v>250</v>
      </c>
    </row>
    <row r="140" spans="9:40" x14ac:dyDescent="0.45">
      <c r="I140" t="s">
        <v>168</v>
      </c>
      <c r="J140" t="s">
        <v>158</v>
      </c>
      <c r="K140">
        <v>8.1929295042055955E-3</v>
      </c>
      <c r="L140" t="s">
        <v>154</v>
      </c>
      <c r="N140" t="s">
        <v>197</v>
      </c>
      <c r="O140" t="s">
        <v>158</v>
      </c>
      <c r="P140">
        <v>2.5569861440452443E-3</v>
      </c>
      <c r="Q140" t="s">
        <v>154</v>
      </c>
      <c r="S140" t="s">
        <v>221</v>
      </c>
      <c r="T140" t="s">
        <v>158</v>
      </c>
      <c r="U140">
        <v>3.6586709227871945E-3</v>
      </c>
      <c r="V140" t="s">
        <v>154</v>
      </c>
      <c r="AK140">
        <v>2047</v>
      </c>
      <c r="AL140" t="s">
        <v>270</v>
      </c>
      <c r="AM140">
        <v>0.33584999999999998</v>
      </c>
      <c r="AN140" t="s">
        <v>250</v>
      </c>
    </row>
    <row r="141" spans="9:40" x14ac:dyDescent="0.45">
      <c r="I141" t="s">
        <v>168</v>
      </c>
      <c r="J141" t="s">
        <v>159</v>
      </c>
      <c r="K141">
        <v>6.3289143131013033E-3</v>
      </c>
      <c r="L141" t="s">
        <v>154</v>
      </c>
      <c r="N141" t="s">
        <v>197</v>
      </c>
      <c r="O141" t="s">
        <v>159</v>
      </c>
      <c r="P141">
        <v>1.3268648520623381E-3</v>
      </c>
      <c r="Q141" t="s">
        <v>154</v>
      </c>
      <c r="S141" t="s">
        <v>221</v>
      </c>
      <c r="T141" t="s">
        <v>159</v>
      </c>
      <c r="U141">
        <v>1.8611771272613962E-3</v>
      </c>
      <c r="V141" t="s">
        <v>154</v>
      </c>
      <c r="AK141">
        <v>2048</v>
      </c>
      <c r="AL141" t="s">
        <v>142</v>
      </c>
      <c r="AM141">
        <v>0.31357499999999999</v>
      </c>
      <c r="AN141" t="s">
        <v>250</v>
      </c>
    </row>
    <row r="142" spans="9:40" x14ac:dyDescent="0.45">
      <c r="I142" t="s">
        <v>168</v>
      </c>
      <c r="J142" t="s">
        <v>258</v>
      </c>
      <c r="K142">
        <v>4.3654565842676088E-2</v>
      </c>
      <c r="L142" t="s">
        <v>154</v>
      </c>
      <c r="N142" t="s">
        <v>197</v>
      </c>
      <c r="O142" t="s">
        <v>258</v>
      </c>
      <c r="P142">
        <v>8.8073406622725947E-3</v>
      </c>
      <c r="Q142" t="s">
        <v>154</v>
      </c>
      <c r="S142" t="s">
        <v>221</v>
      </c>
      <c r="T142" t="s">
        <v>258</v>
      </c>
      <c r="U142">
        <v>1.1662501194093167E-2</v>
      </c>
      <c r="V142" t="s">
        <v>154</v>
      </c>
      <c r="AK142">
        <v>2048</v>
      </c>
      <c r="AL142" t="s">
        <v>146</v>
      </c>
      <c r="AM142">
        <v>0.43740000000000001</v>
      </c>
      <c r="AN142" t="s">
        <v>250</v>
      </c>
    </row>
    <row r="143" spans="9:40" x14ac:dyDescent="0.45">
      <c r="I143" t="s">
        <v>168</v>
      </c>
      <c r="J143" t="s">
        <v>259</v>
      </c>
      <c r="K143">
        <v>4.5633431796927486E-3</v>
      </c>
      <c r="L143" t="s">
        <v>154</v>
      </c>
      <c r="N143" t="s">
        <v>197</v>
      </c>
      <c r="O143" t="s">
        <v>259</v>
      </c>
      <c r="P143">
        <v>1.5805726427496199E-3</v>
      </c>
      <c r="Q143" t="s">
        <v>154</v>
      </c>
      <c r="S143" t="s">
        <v>221</v>
      </c>
      <c r="T143" t="s">
        <v>259</v>
      </c>
      <c r="U143">
        <v>1.7108802524142507E-3</v>
      </c>
      <c r="V143" t="s">
        <v>154</v>
      </c>
      <c r="AK143">
        <v>2048</v>
      </c>
      <c r="AL143" t="s">
        <v>148</v>
      </c>
      <c r="AM143">
        <v>0.44690000000000002</v>
      </c>
      <c r="AN143" t="s">
        <v>250</v>
      </c>
    </row>
    <row r="144" spans="9:40" x14ac:dyDescent="0.45">
      <c r="I144" t="s">
        <v>168</v>
      </c>
      <c r="J144" t="s">
        <v>260</v>
      </c>
      <c r="K144">
        <v>3.1751434725312551E-3</v>
      </c>
      <c r="L144" t="s">
        <v>154</v>
      </c>
      <c r="N144" t="s">
        <v>197</v>
      </c>
      <c r="O144" t="s">
        <v>260</v>
      </c>
      <c r="P144">
        <v>1.5575344157360148E-3</v>
      </c>
      <c r="Q144" t="s">
        <v>154</v>
      </c>
      <c r="S144" t="s">
        <v>221</v>
      </c>
      <c r="T144" t="s">
        <v>260</v>
      </c>
      <c r="U144">
        <v>1.5300249878221924E-3</v>
      </c>
      <c r="V144" t="s">
        <v>154</v>
      </c>
      <c r="AK144">
        <v>2048</v>
      </c>
      <c r="AL144" t="s">
        <v>150</v>
      </c>
      <c r="AM144">
        <v>0.41400000000000003</v>
      </c>
      <c r="AN144" t="s">
        <v>250</v>
      </c>
    </row>
    <row r="145" spans="9:40" x14ac:dyDescent="0.45">
      <c r="I145" t="s">
        <v>168</v>
      </c>
      <c r="J145" t="s">
        <v>284</v>
      </c>
      <c r="K145">
        <v>2.0082533149255104E-3</v>
      </c>
      <c r="L145" t="s">
        <v>154</v>
      </c>
      <c r="N145" t="s">
        <v>197</v>
      </c>
      <c r="O145" t="s">
        <v>284</v>
      </c>
      <c r="P145">
        <v>1.4950487609828164E-3</v>
      </c>
      <c r="Q145" t="s">
        <v>154</v>
      </c>
      <c r="S145" t="s">
        <v>221</v>
      </c>
      <c r="T145" t="s">
        <v>284</v>
      </c>
      <c r="U145">
        <v>1.4453040216122941E-3</v>
      </c>
      <c r="V145" t="s">
        <v>154</v>
      </c>
      <c r="AK145">
        <v>2048</v>
      </c>
      <c r="AL145" t="s">
        <v>270</v>
      </c>
      <c r="AM145">
        <v>0.38064999999999999</v>
      </c>
      <c r="AN145" t="s">
        <v>250</v>
      </c>
    </row>
    <row r="146" spans="9:40" x14ac:dyDescent="0.45">
      <c r="I146" t="s">
        <v>168</v>
      </c>
      <c r="J146" t="s">
        <v>285</v>
      </c>
      <c r="K146">
        <v>0</v>
      </c>
      <c r="L146" t="s">
        <v>154</v>
      </c>
      <c r="N146" t="s">
        <v>197</v>
      </c>
      <c r="O146" t="s">
        <v>285</v>
      </c>
      <c r="P146">
        <v>8.1916048219009101E-3</v>
      </c>
      <c r="Q146" t="s">
        <v>154</v>
      </c>
      <c r="S146" t="s">
        <v>221</v>
      </c>
      <c r="T146" t="s">
        <v>285</v>
      </c>
      <c r="U146">
        <v>7.9123766182536484E-3</v>
      </c>
      <c r="V146" t="s">
        <v>154</v>
      </c>
      <c r="AK146">
        <v>2049</v>
      </c>
      <c r="AL146" t="s">
        <v>142</v>
      </c>
      <c r="AM146">
        <v>0.30232499999999995</v>
      </c>
      <c r="AN146" t="s">
        <v>250</v>
      </c>
    </row>
    <row r="147" spans="9:40" x14ac:dyDescent="0.45">
      <c r="I147" t="s">
        <v>168</v>
      </c>
      <c r="J147" t="s">
        <v>160</v>
      </c>
      <c r="K147">
        <v>0</v>
      </c>
      <c r="L147" t="s">
        <v>154</v>
      </c>
      <c r="N147" t="s">
        <v>197</v>
      </c>
      <c r="O147" t="s">
        <v>160</v>
      </c>
      <c r="P147">
        <v>1.8988721415448939E-2</v>
      </c>
      <c r="Q147" t="s">
        <v>154</v>
      </c>
      <c r="S147" t="s">
        <v>221</v>
      </c>
      <c r="T147" t="s">
        <v>160</v>
      </c>
      <c r="U147">
        <v>3.8332346072585115E-2</v>
      </c>
      <c r="V147" t="s">
        <v>154</v>
      </c>
      <c r="AK147">
        <v>2049</v>
      </c>
      <c r="AL147" t="s">
        <v>146</v>
      </c>
      <c r="AM147">
        <v>0.34770000000000001</v>
      </c>
      <c r="AN147" t="s">
        <v>250</v>
      </c>
    </row>
    <row r="148" spans="9:40" x14ac:dyDescent="0.45">
      <c r="I148" t="s">
        <v>168</v>
      </c>
      <c r="J148" t="s">
        <v>161</v>
      </c>
      <c r="K148">
        <v>8.0826208292703282E-3</v>
      </c>
      <c r="L148" t="s">
        <v>154</v>
      </c>
      <c r="N148" t="s">
        <v>197</v>
      </c>
      <c r="O148" t="s">
        <v>161</v>
      </c>
      <c r="P148">
        <v>5.2093636299557159E-3</v>
      </c>
      <c r="Q148" t="s">
        <v>154</v>
      </c>
      <c r="S148" t="s">
        <v>221</v>
      </c>
      <c r="T148" t="s">
        <v>161</v>
      </c>
      <c r="U148">
        <v>1.0385111532809728E-2</v>
      </c>
      <c r="V148" t="s">
        <v>154</v>
      </c>
      <c r="AK148">
        <v>2049</v>
      </c>
      <c r="AL148" t="s">
        <v>148</v>
      </c>
      <c r="AM148">
        <v>0.34375</v>
      </c>
      <c r="AN148" t="s">
        <v>250</v>
      </c>
    </row>
    <row r="149" spans="9:40" x14ac:dyDescent="0.45">
      <c r="I149" t="s">
        <v>168</v>
      </c>
      <c r="J149" t="s">
        <v>162</v>
      </c>
      <c r="K149">
        <v>7.110692123136155E-3</v>
      </c>
      <c r="L149" t="s">
        <v>154</v>
      </c>
      <c r="N149" t="s">
        <v>197</v>
      </c>
      <c r="O149" t="s">
        <v>162</v>
      </c>
      <c r="P149">
        <v>2.8001470038420033E-3</v>
      </c>
      <c r="Q149" t="s">
        <v>154</v>
      </c>
      <c r="S149" t="s">
        <v>221</v>
      </c>
      <c r="T149" t="s">
        <v>162</v>
      </c>
      <c r="U149">
        <v>5.1615801757702697E-3</v>
      </c>
      <c r="V149" t="s">
        <v>154</v>
      </c>
      <c r="AK149">
        <v>2049</v>
      </c>
      <c r="AL149" t="s">
        <v>150</v>
      </c>
      <c r="AM149">
        <v>0.37404999999999999</v>
      </c>
      <c r="AN149" t="s">
        <v>250</v>
      </c>
    </row>
    <row r="150" spans="9:40" x14ac:dyDescent="0.45">
      <c r="I150" t="s">
        <v>168</v>
      </c>
      <c r="J150" t="s">
        <v>261</v>
      </c>
      <c r="K150">
        <v>4.8834839586665291E-2</v>
      </c>
      <c r="L150" t="s">
        <v>154</v>
      </c>
      <c r="N150" t="s">
        <v>197</v>
      </c>
      <c r="O150" t="s">
        <v>261</v>
      </c>
      <c r="P150">
        <v>1.8204012324090982E-2</v>
      </c>
      <c r="Q150" t="s">
        <v>154</v>
      </c>
      <c r="S150" t="s">
        <v>221</v>
      </c>
      <c r="T150" t="s">
        <v>261</v>
      </c>
      <c r="U150">
        <v>3.3470095978154618E-2</v>
      </c>
      <c r="V150" t="s">
        <v>154</v>
      </c>
      <c r="AK150">
        <v>2049</v>
      </c>
      <c r="AL150" t="s">
        <v>270</v>
      </c>
      <c r="AM150">
        <v>0.32679999999999998</v>
      </c>
      <c r="AN150" t="s">
        <v>250</v>
      </c>
    </row>
    <row r="151" spans="9:40" x14ac:dyDescent="0.45">
      <c r="I151" t="s">
        <v>168</v>
      </c>
      <c r="J151" t="s">
        <v>262</v>
      </c>
      <c r="K151">
        <v>4.7312165259707209E-3</v>
      </c>
      <c r="L151" t="s">
        <v>154</v>
      </c>
      <c r="N151" t="s">
        <v>197</v>
      </c>
      <c r="O151" t="s">
        <v>262</v>
      </c>
      <c r="P151">
        <v>3.1141648047830748E-3</v>
      </c>
      <c r="Q151" t="s">
        <v>154</v>
      </c>
      <c r="S151" t="s">
        <v>221</v>
      </c>
      <c r="T151" t="s">
        <v>262</v>
      </c>
      <c r="U151">
        <v>5.6079514573299238E-3</v>
      </c>
      <c r="V151" t="s">
        <v>154</v>
      </c>
      <c r="AK151">
        <v>2050</v>
      </c>
      <c r="AL151" t="s">
        <v>142</v>
      </c>
      <c r="AM151">
        <v>0.33196249999999999</v>
      </c>
      <c r="AN151" t="s">
        <v>250</v>
      </c>
    </row>
    <row r="152" spans="9:40" x14ac:dyDescent="0.45">
      <c r="I152" t="s">
        <v>168</v>
      </c>
      <c r="J152" t="s">
        <v>263</v>
      </c>
      <c r="K152">
        <v>2.775446074439295E-3</v>
      </c>
      <c r="L152" t="s">
        <v>154</v>
      </c>
      <c r="N152" t="s">
        <v>197</v>
      </c>
      <c r="O152" t="s">
        <v>263</v>
      </c>
      <c r="P152">
        <v>3.1057721343088641E-3</v>
      </c>
      <c r="Q152" t="s">
        <v>154</v>
      </c>
      <c r="S152" t="s">
        <v>221</v>
      </c>
      <c r="T152" t="s">
        <v>263</v>
      </c>
      <c r="U152">
        <v>5.1472705390006495E-3</v>
      </c>
      <c r="V152" t="s">
        <v>154</v>
      </c>
      <c r="AK152">
        <v>2050</v>
      </c>
      <c r="AL152" t="s">
        <v>146</v>
      </c>
      <c r="AM152">
        <v>0.43274999999999997</v>
      </c>
      <c r="AN152" t="s">
        <v>250</v>
      </c>
    </row>
    <row r="153" spans="9:40" x14ac:dyDescent="0.45">
      <c r="I153" t="s">
        <v>168</v>
      </c>
      <c r="J153" t="s">
        <v>286</v>
      </c>
      <c r="K153">
        <v>1.3689495039214018E-4</v>
      </c>
      <c r="L153" t="s">
        <v>154</v>
      </c>
      <c r="N153" t="s">
        <v>197</v>
      </c>
      <c r="O153" t="s">
        <v>286</v>
      </c>
      <c r="P153">
        <v>3.1780040916018471E-3</v>
      </c>
      <c r="Q153" t="s">
        <v>154</v>
      </c>
      <c r="S153" t="s">
        <v>221</v>
      </c>
      <c r="T153" t="s">
        <v>286</v>
      </c>
      <c r="U153">
        <v>5.0885273533767513E-3</v>
      </c>
      <c r="V153" t="s">
        <v>154</v>
      </c>
      <c r="AK153">
        <v>2050</v>
      </c>
      <c r="AL153" t="s">
        <v>148</v>
      </c>
      <c r="AM153">
        <v>0.43710000000000004</v>
      </c>
      <c r="AN153" t="s">
        <v>250</v>
      </c>
    </row>
    <row r="154" spans="9:40" x14ac:dyDescent="0.45">
      <c r="I154" t="s">
        <v>168</v>
      </c>
      <c r="J154" t="s">
        <v>287</v>
      </c>
      <c r="K154">
        <v>0</v>
      </c>
      <c r="L154" t="s">
        <v>154</v>
      </c>
      <c r="N154" t="s">
        <v>197</v>
      </c>
      <c r="O154" t="s">
        <v>287</v>
      </c>
      <c r="P154">
        <v>1.6335540411492201E-2</v>
      </c>
      <c r="Q154" t="s">
        <v>154</v>
      </c>
      <c r="S154" t="s">
        <v>221</v>
      </c>
      <c r="T154" t="s">
        <v>287</v>
      </c>
      <c r="U154">
        <v>2.5659203283128196E-2</v>
      </c>
      <c r="V154" t="s">
        <v>154</v>
      </c>
      <c r="AK154">
        <v>2050</v>
      </c>
      <c r="AL154" t="s">
        <v>150</v>
      </c>
      <c r="AM154">
        <v>0.41720000000000002</v>
      </c>
      <c r="AN154" t="s">
        <v>250</v>
      </c>
    </row>
    <row r="155" spans="9:40" x14ac:dyDescent="0.45">
      <c r="I155" t="s">
        <v>168</v>
      </c>
      <c r="J155" t="s">
        <v>163</v>
      </c>
      <c r="K155">
        <v>0</v>
      </c>
      <c r="L155" t="s">
        <v>154</v>
      </c>
      <c r="N155" t="s">
        <v>197</v>
      </c>
      <c r="O155" t="s">
        <v>163</v>
      </c>
      <c r="P155">
        <v>3.2568410463375178E-2</v>
      </c>
      <c r="Q155" t="s">
        <v>154</v>
      </c>
      <c r="S155" t="s">
        <v>221</v>
      </c>
      <c r="T155" t="s">
        <v>163</v>
      </c>
      <c r="U155">
        <v>7.4927151314401691E-3</v>
      </c>
      <c r="V155" t="s">
        <v>154</v>
      </c>
      <c r="AK155">
        <v>2050</v>
      </c>
      <c r="AL155" t="s">
        <v>270</v>
      </c>
      <c r="AM155">
        <v>0.33094999999999997</v>
      </c>
      <c r="AN155" t="s">
        <v>250</v>
      </c>
    </row>
    <row r="156" spans="9:40" x14ac:dyDescent="0.45">
      <c r="I156" t="s">
        <v>168</v>
      </c>
      <c r="J156" t="s">
        <v>164</v>
      </c>
      <c r="K156">
        <v>8.7754459671259607E-3</v>
      </c>
      <c r="L156" t="s">
        <v>154</v>
      </c>
      <c r="N156" t="s">
        <v>197</v>
      </c>
      <c r="O156" t="s">
        <v>164</v>
      </c>
      <c r="P156">
        <v>8.8983607541957884E-3</v>
      </c>
      <c r="Q156" t="s">
        <v>154</v>
      </c>
      <c r="S156" t="s">
        <v>221</v>
      </c>
      <c r="T156" t="s">
        <v>164</v>
      </c>
      <c r="U156">
        <v>2.2950094524205687E-3</v>
      </c>
      <c r="V156" t="s">
        <v>154</v>
      </c>
    </row>
    <row r="157" spans="9:40" x14ac:dyDescent="0.45">
      <c r="I157" t="s">
        <v>168</v>
      </c>
      <c r="J157" t="s">
        <v>165</v>
      </c>
      <c r="K157">
        <v>6.4852268300569652E-3</v>
      </c>
      <c r="L157" t="s">
        <v>154</v>
      </c>
      <c r="N157" t="s">
        <v>197</v>
      </c>
      <c r="O157" t="s">
        <v>165</v>
      </c>
      <c r="P157">
        <v>5.0062634021328283E-3</v>
      </c>
      <c r="Q157" t="s">
        <v>154</v>
      </c>
      <c r="S157" t="s">
        <v>221</v>
      </c>
      <c r="T157" t="s">
        <v>165</v>
      </c>
      <c r="U157">
        <v>1.117685500044511E-3</v>
      </c>
      <c r="V157" t="s">
        <v>154</v>
      </c>
    </row>
    <row r="158" spans="9:40" x14ac:dyDescent="0.45">
      <c r="I158" t="s">
        <v>168</v>
      </c>
      <c r="J158" t="s">
        <v>264</v>
      </c>
      <c r="K158">
        <v>4.1115967633756377E-2</v>
      </c>
      <c r="L158" t="s">
        <v>154</v>
      </c>
      <c r="N158" t="s">
        <v>197</v>
      </c>
      <c r="O158" t="s">
        <v>264</v>
      </c>
      <c r="P158">
        <v>3.2506747388487599E-2</v>
      </c>
      <c r="Q158" t="s">
        <v>154</v>
      </c>
      <c r="S158" t="s">
        <v>221</v>
      </c>
      <c r="T158" t="s">
        <v>264</v>
      </c>
      <c r="U158">
        <v>5.8036858325253883E-3</v>
      </c>
      <c r="V158" t="s">
        <v>154</v>
      </c>
    </row>
    <row r="159" spans="9:40" x14ac:dyDescent="0.45">
      <c r="I159" t="s">
        <v>168</v>
      </c>
      <c r="J159" t="s">
        <v>265</v>
      </c>
      <c r="K159">
        <v>4.441128271821128E-3</v>
      </c>
      <c r="L159" t="s">
        <v>154</v>
      </c>
      <c r="N159" t="s">
        <v>197</v>
      </c>
      <c r="O159" t="s">
        <v>265</v>
      </c>
      <c r="P159">
        <v>5.7313684668133229E-3</v>
      </c>
      <c r="Q159" t="s">
        <v>154</v>
      </c>
      <c r="S159" t="s">
        <v>221</v>
      </c>
      <c r="T159" t="s">
        <v>265</v>
      </c>
      <c r="U159">
        <v>9.991385181402912E-4</v>
      </c>
      <c r="V159" t="s">
        <v>154</v>
      </c>
    </row>
    <row r="160" spans="9:40" x14ac:dyDescent="0.45">
      <c r="I160" t="s">
        <v>168</v>
      </c>
      <c r="J160" t="s">
        <v>266</v>
      </c>
      <c r="K160">
        <v>2.6777109673198065E-3</v>
      </c>
      <c r="L160" t="s">
        <v>154</v>
      </c>
      <c r="N160" t="s">
        <v>197</v>
      </c>
      <c r="O160" t="s">
        <v>266</v>
      </c>
      <c r="P160">
        <v>5.8539422047732661E-3</v>
      </c>
      <c r="Q160" t="s">
        <v>154</v>
      </c>
      <c r="S160" t="s">
        <v>221</v>
      </c>
      <c r="T160" t="s">
        <v>266</v>
      </c>
      <c r="U160">
        <v>9.6888962351072581E-4</v>
      </c>
      <c r="V160" t="s">
        <v>154</v>
      </c>
    </row>
    <row r="161" spans="9:22" x14ac:dyDescent="0.45">
      <c r="I161" t="s">
        <v>168</v>
      </c>
      <c r="J161" t="s">
        <v>288</v>
      </c>
      <c r="K161">
        <v>0</v>
      </c>
      <c r="L161" t="s">
        <v>154</v>
      </c>
      <c r="N161" t="s">
        <v>197</v>
      </c>
      <c r="O161" t="s">
        <v>288</v>
      </c>
      <c r="P161">
        <v>4.9897518732529272E-3</v>
      </c>
      <c r="Q161" t="s">
        <v>154</v>
      </c>
      <c r="S161" t="s">
        <v>221</v>
      </c>
      <c r="T161" t="s">
        <v>288</v>
      </c>
      <c r="U161">
        <v>1.1055629835880238E-3</v>
      </c>
      <c r="V161" t="s">
        <v>154</v>
      </c>
    </row>
    <row r="162" spans="9:22" x14ac:dyDescent="0.45">
      <c r="I162" t="s">
        <v>168</v>
      </c>
      <c r="J162" t="s">
        <v>289</v>
      </c>
      <c r="K162">
        <v>0</v>
      </c>
      <c r="L162" t="s">
        <v>154</v>
      </c>
      <c r="N162" t="s">
        <v>197</v>
      </c>
      <c r="O162" t="s">
        <v>289</v>
      </c>
      <c r="P162">
        <v>2.663596482958187E-2</v>
      </c>
      <c r="Q162" t="s">
        <v>154</v>
      </c>
      <c r="S162" t="s">
        <v>221</v>
      </c>
      <c r="T162" t="s">
        <v>289</v>
      </c>
      <c r="U162">
        <v>5.9933680716731897E-3</v>
      </c>
      <c r="V162" t="s">
        <v>154</v>
      </c>
    </row>
    <row r="163" spans="9:22" x14ac:dyDescent="0.45">
      <c r="I163" t="s">
        <v>168</v>
      </c>
      <c r="J163" t="s">
        <v>272</v>
      </c>
      <c r="K163">
        <v>0</v>
      </c>
      <c r="L163" t="s">
        <v>154</v>
      </c>
      <c r="N163" t="s">
        <v>197</v>
      </c>
      <c r="O163" t="s">
        <v>272</v>
      </c>
      <c r="P163">
        <v>6.6960448081937102E-2</v>
      </c>
      <c r="Q163" t="s">
        <v>154</v>
      </c>
      <c r="S163" t="s">
        <v>221</v>
      </c>
      <c r="T163" t="s">
        <v>272</v>
      </c>
      <c r="U163">
        <v>5.8871677373293116E-2</v>
      </c>
      <c r="V163" t="s">
        <v>154</v>
      </c>
    </row>
    <row r="164" spans="9:22" x14ac:dyDescent="0.45">
      <c r="I164" t="s">
        <v>168</v>
      </c>
      <c r="J164" t="s">
        <v>273</v>
      </c>
      <c r="K164">
        <v>1.7726680678152449E-2</v>
      </c>
      <c r="L164" t="s">
        <v>154</v>
      </c>
      <c r="N164" t="s">
        <v>197</v>
      </c>
      <c r="O164" t="s">
        <v>273</v>
      </c>
      <c r="P164">
        <v>1.6594950474164004E-2</v>
      </c>
      <c r="Q164" t="s">
        <v>154</v>
      </c>
      <c r="S164" t="s">
        <v>221</v>
      </c>
      <c r="T164" t="s">
        <v>273</v>
      </c>
      <c r="U164">
        <v>1.8168656332940434E-2</v>
      </c>
      <c r="V164" t="s">
        <v>154</v>
      </c>
    </row>
    <row r="165" spans="9:22" x14ac:dyDescent="0.45">
      <c r="I165" t="s">
        <v>168</v>
      </c>
      <c r="J165" t="s">
        <v>274</v>
      </c>
      <c r="K165">
        <v>1.4479562278206905E-2</v>
      </c>
      <c r="L165" t="s">
        <v>154</v>
      </c>
      <c r="N165" t="s">
        <v>197</v>
      </c>
      <c r="O165" t="s">
        <v>274</v>
      </c>
      <c r="P165">
        <v>9.6565977298499125E-3</v>
      </c>
      <c r="Q165" t="s">
        <v>154</v>
      </c>
      <c r="S165" t="s">
        <v>221</v>
      </c>
      <c r="T165" t="s">
        <v>274</v>
      </c>
      <c r="U165">
        <v>9.2309064989491083E-3</v>
      </c>
      <c r="V165" t="s">
        <v>154</v>
      </c>
    </row>
    <row r="166" spans="9:22" x14ac:dyDescent="0.45">
      <c r="I166" t="s">
        <v>168</v>
      </c>
      <c r="J166" t="s">
        <v>275</v>
      </c>
      <c r="K166">
        <v>9.1939074071070409E-2</v>
      </c>
      <c r="L166" t="s">
        <v>154</v>
      </c>
      <c r="N166" t="s">
        <v>197</v>
      </c>
      <c r="O166" t="s">
        <v>275</v>
      </c>
      <c r="P166">
        <v>6.4812265830257676E-2</v>
      </c>
      <c r="Q166" t="s">
        <v>154</v>
      </c>
      <c r="S166" t="s">
        <v>221</v>
      </c>
      <c r="T166" t="s">
        <v>275</v>
      </c>
      <c r="U166">
        <v>4.9657446402998372E-2</v>
      </c>
      <c r="V166" t="s">
        <v>154</v>
      </c>
    </row>
    <row r="167" spans="9:22" x14ac:dyDescent="0.45">
      <c r="I167" t="s">
        <v>168</v>
      </c>
      <c r="J167" t="s">
        <v>276</v>
      </c>
      <c r="K167">
        <v>1.0192568311918044E-2</v>
      </c>
      <c r="L167" t="s">
        <v>154</v>
      </c>
      <c r="N167" t="s">
        <v>197</v>
      </c>
      <c r="O167" t="s">
        <v>276</v>
      </c>
      <c r="P167">
        <v>1.1056346277845788E-2</v>
      </c>
      <c r="Q167" t="s">
        <v>154</v>
      </c>
      <c r="S167" t="s">
        <v>221</v>
      </c>
      <c r="T167" t="s">
        <v>276</v>
      </c>
      <c r="U167">
        <v>8.1936631682324734E-3</v>
      </c>
      <c r="V167" t="s">
        <v>154</v>
      </c>
    </row>
    <row r="168" spans="9:22" x14ac:dyDescent="0.45">
      <c r="I168" t="s">
        <v>168</v>
      </c>
      <c r="J168" t="s">
        <v>277</v>
      </c>
      <c r="K168">
        <v>6.4263357678972267E-3</v>
      </c>
      <c r="L168" t="s">
        <v>154</v>
      </c>
      <c r="N168" t="s">
        <v>197</v>
      </c>
      <c r="O168" t="s">
        <v>277</v>
      </c>
      <c r="P168">
        <v>1.109803570772153E-2</v>
      </c>
      <c r="Q168" t="s">
        <v>154</v>
      </c>
      <c r="S168" t="s">
        <v>221</v>
      </c>
      <c r="T168" t="s">
        <v>277</v>
      </c>
      <c r="U168">
        <v>7.7713304831430801E-3</v>
      </c>
      <c r="V168" t="s">
        <v>154</v>
      </c>
    </row>
    <row r="169" spans="9:22" x14ac:dyDescent="0.45">
      <c r="I169" t="s">
        <v>168</v>
      </c>
      <c r="J169" t="s">
        <v>290</v>
      </c>
      <c r="K169">
        <v>0</v>
      </c>
      <c r="L169" t="s">
        <v>154</v>
      </c>
      <c r="N169" t="s">
        <v>197</v>
      </c>
      <c r="O169" t="s">
        <v>290</v>
      </c>
      <c r="P169">
        <v>7.1506567948983078E-3</v>
      </c>
      <c r="Q169" t="s">
        <v>154</v>
      </c>
      <c r="S169" t="s">
        <v>221</v>
      </c>
      <c r="T169" t="s">
        <v>290</v>
      </c>
      <c r="U169">
        <v>8.2726205077544666E-3</v>
      </c>
      <c r="V169" t="s">
        <v>154</v>
      </c>
    </row>
    <row r="170" spans="9:22" x14ac:dyDescent="0.45">
      <c r="I170" t="s">
        <v>168</v>
      </c>
      <c r="J170" t="s">
        <v>291</v>
      </c>
      <c r="K170">
        <v>0</v>
      </c>
      <c r="L170" t="s">
        <v>154</v>
      </c>
      <c r="N170" t="s">
        <v>197</v>
      </c>
      <c r="O170" t="s">
        <v>291</v>
      </c>
      <c r="P170">
        <v>4.6391593224510891E-2</v>
      </c>
      <c r="Q170" t="s">
        <v>154</v>
      </c>
      <c r="S170" t="s">
        <v>221</v>
      </c>
      <c r="T170" t="s">
        <v>291</v>
      </c>
      <c r="U170">
        <v>4.395594163522102E-2</v>
      </c>
      <c r="V170" t="s">
        <v>154</v>
      </c>
    </row>
    <row r="171" spans="9:22" x14ac:dyDescent="0.45">
      <c r="I171" t="s">
        <v>169</v>
      </c>
      <c r="J171" t="s">
        <v>153</v>
      </c>
      <c r="K171">
        <v>0</v>
      </c>
      <c r="L171" t="s">
        <v>154</v>
      </c>
      <c r="N171" t="s">
        <v>198</v>
      </c>
      <c r="O171" t="s">
        <v>153</v>
      </c>
      <c r="P171">
        <v>0.17173807409577627</v>
      </c>
      <c r="Q171" t="s">
        <v>154</v>
      </c>
      <c r="S171" t="s">
        <v>222</v>
      </c>
      <c r="T171" t="s">
        <v>153</v>
      </c>
      <c r="U171">
        <v>0.16995539750721014</v>
      </c>
      <c r="V171" t="s">
        <v>154</v>
      </c>
    </row>
    <row r="172" spans="9:22" x14ac:dyDescent="0.45">
      <c r="I172" t="s">
        <v>169</v>
      </c>
      <c r="J172" t="s">
        <v>155</v>
      </c>
      <c r="K172">
        <v>7.2685888109234736E-2</v>
      </c>
      <c r="L172" t="s">
        <v>154</v>
      </c>
      <c r="N172" t="s">
        <v>198</v>
      </c>
      <c r="O172" t="s">
        <v>155</v>
      </c>
      <c r="P172">
        <v>4.5347315332271883E-2</v>
      </c>
      <c r="Q172" t="s">
        <v>154</v>
      </c>
      <c r="S172" t="s">
        <v>222</v>
      </c>
      <c r="T172" t="s">
        <v>155</v>
      </c>
      <c r="U172">
        <v>5.1015858491762676E-2</v>
      </c>
      <c r="V172" t="s">
        <v>154</v>
      </c>
    </row>
    <row r="173" spans="9:22" x14ac:dyDescent="0.45">
      <c r="I173" t="s">
        <v>169</v>
      </c>
      <c r="J173" t="s">
        <v>156</v>
      </c>
      <c r="K173">
        <v>5.9533139861976274E-2</v>
      </c>
      <c r="L173" t="s">
        <v>154</v>
      </c>
      <c r="N173" t="s">
        <v>198</v>
      </c>
      <c r="O173" t="s">
        <v>156</v>
      </c>
      <c r="P173">
        <v>2.567090503253918E-2</v>
      </c>
      <c r="Q173" t="s">
        <v>154</v>
      </c>
      <c r="S173" t="s">
        <v>222</v>
      </c>
      <c r="T173" t="s">
        <v>156</v>
      </c>
      <c r="U173">
        <v>2.6775335340240458E-2</v>
      </c>
      <c r="V173" t="s">
        <v>154</v>
      </c>
    </row>
    <row r="174" spans="9:22" x14ac:dyDescent="0.45">
      <c r="I174" t="s">
        <v>169</v>
      </c>
      <c r="J174" t="s">
        <v>255</v>
      </c>
      <c r="K174">
        <v>0.42205129210075149</v>
      </c>
      <c r="L174" t="s">
        <v>154</v>
      </c>
      <c r="N174" t="s">
        <v>198</v>
      </c>
      <c r="O174" t="s">
        <v>255</v>
      </c>
      <c r="P174">
        <v>0.17470374449240239</v>
      </c>
      <c r="Q174" t="s">
        <v>154</v>
      </c>
      <c r="S174" t="s">
        <v>222</v>
      </c>
      <c r="T174" t="s">
        <v>255</v>
      </c>
      <c r="U174">
        <v>0.15618518339821488</v>
      </c>
      <c r="V174" t="s">
        <v>154</v>
      </c>
    </row>
    <row r="175" spans="9:22" x14ac:dyDescent="0.45">
      <c r="I175" t="s">
        <v>169</v>
      </c>
      <c r="J175" t="s">
        <v>256</v>
      </c>
      <c r="K175">
        <v>4.735240570171468E-2</v>
      </c>
      <c r="L175" t="s">
        <v>154</v>
      </c>
      <c r="N175" t="s">
        <v>198</v>
      </c>
      <c r="O175" t="s">
        <v>256</v>
      </c>
      <c r="P175">
        <v>2.9539230364755142E-2</v>
      </c>
      <c r="Q175" t="s">
        <v>154</v>
      </c>
      <c r="S175" t="s">
        <v>222</v>
      </c>
      <c r="T175" t="s">
        <v>256</v>
      </c>
      <c r="U175">
        <v>2.5438521236754556E-2</v>
      </c>
      <c r="V175" t="s">
        <v>154</v>
      </c>
    </row>
    <row r="176" spans="9:22" x14ac:dyDescent="0.45">
      <c r="I176" t="s">
        <v>169</v>
      </c>
      <c r="J176" t="s">
        <v>257</v>
      </c>
      <c r="K176">
        <v>3.4143627929834497E-2</v>
      </c>
      <c r="L176" t="s">
        <v>154</v>
      </c>
      <c r="N176" t="s">
        <v>198</v>
      </c>
      <c r="O176" t="s">
        <v>257</v>
      </c>
      <c r="P176">
        <v>2.9287406616988535E-2</v>
      </c>
      <c r="Q176" t="s">
        <v>154</v>
      </c>
      <c r="S176" t="s">
        <v>222</v>
      </c>
      <c r="T176" t="s">
        <v>257</v>
      </c>
      <c r="U176">
        <v>2.5032535255982861E-2</v>
      </c>
      <c r="V176" t="s">
        <v>154</v>
      </c>
    </row>
    <row r="177" spans="9:22" x14ac:dyDescent="0.45">
      <c r="I177" t="s">
        <v>169</v>
      </c>
      <c r="J177" t="s">
        <v>282</v>
      </c>
      <c r="K177">
        <v>1.982223151490874E-2</v>
      </c>
      <c r="L177" t="s">
        <v>154</v>
      </c>
      <c r="N177" t="s">
        <v>198</v>
      </c>
      <c r="O177" t="s">
        <v>282</v>
      </c>
      <c r="P177">
        <v>2.3720801246330893E-2</v>
      </c>
      <c r="Q177" t="s">
        <v>154</v>
      </c>
      <c r="S177" t="s">
        <v>222</v>
      </c>
      <c r="T177" t="s">
        <v>282</v>
      </c>
      <c r="U177">
        <v>2.1955230538866416E-2</v>
      </c>
      <c r="V177" t="s">
        <v>154</v>
      </c>
    </row>
    <row r="178" spans="9:22" x14ac:dyDescent="0.45">
      <c r="I178" t="s">
        <v>169</v>
      </c>
      <c r="J178" t="s">
        <v>283</v>
      </c>
      <c r="K178">
        <v>0</v>
      </c>
      <c r="L178" t="s">
        <v>154</v>
      </c>
      <c r="N178" t="s">
        <v>198</v>
      </c>
      <c r="O178" t="s">
        <v>283</v>
      </c>
      <c r="P178">
        <v>0.11842866310639086</v>
      </c>
      <c r="Q178" t="s">
        <v>154</v>
      </c>
      <c r="S178" t="s">
        <v>222</v>
      </c>
      <c r="T178" t="s">
        <v>283</v>
      </c>
      <c r="U178">
        <v>0.11245295889434989</v>
      </c>
      <c r="V178" t="s">
        <v>154</v>
      </c>
    </row>
    <row r="179" spans="9:22" x14ac:dyDescent="0.45">
      <c r="I179" t="s">
        <v>169</v>
      </c>
      <c r="J179" t="s">
        <v>157</v>
      </c>
      <c r="K179">
        <v>0</v>
      </c>
      <c r="L179" t="s">
        <v>154</v>
      </c>
      <c r="N179" t="s">
        <v>198</v>
      </c>
      <c r="O179" t="s">
        <v>157</v>
      </c>
      <c r="P179">
        <v>8.8734380951498541E-3</v>
      </c>
      <c r="Q179" t="s">
        <v>154</v>
      </c>
      <c r="S179" t="s">
        <v>222</v>
      </c>
      <c r="T179" t="s">
        <v>157</v>
      </c>
      <c r="U179">
        <v>1.2975265666459065E-2</v>
      </c>
      <c r="V179" t="s">
        <v>154</v>
      </c>
    </row>
    <row r="180" spans="9:22" x14ac:dyDescent="0.45">
      <c r="I180" t="s">
        <v>169</v>
      </c>
      <c r="J180" t="s">
        <v>158</v>
      </c>
      <c r="K180">
        <v>6.9612357525489455E-3</v>
      </c>
      <c r="L180" t="s">
        <v>154</v>
      </c>
      <c r="N180" t="s">
        <v>198</v>
      </c>
      <c r="O180" t="s">
        <v>158</v>
      </c>
      <c r="P180">
        <v>2.6417581709834298E-3</v>
      </c>
      <c r="Q180" t="s">
        <v>154</v>
      </c>
      <c r="S180" t="s">
        <v>222</v>
      </c>
      <c r="T180" t="s">
        <v>158</v>
      </c>
      <c r="U180">
        <v>4.214314947110883E-3</v>
      </c>
      <c r="V180" t="s">
        <v>154</v>
      </c>
    </row>
    <row r="181" spans="9:22" x14ac:dyDescent="0.45">
      <c r="I181" t="s">
        <v>169</v>
      </c>
      <c r="J181" t="s">
        <v>159</v>
      </c>
      <c r="K181">
        <v>5.857899121302349E-3</v>
      </c>
      <c r="L181" t="s">
        <v>154</v>
      </c>
      <c r="N181" t="s">
        <v>198</v>
      </c>
      <c r="O181" t="s">
        <v>159</v>
      </c>
      <c r="P181">
        <v>1.5057089878181694E-3</v>
      </c>
      <c r="Q181" t="s">
        <v>154</v>
      </c>
      <c r="S181" t="s">
        <v>222</v>
      </c>
      <c r="T181" t="s">
        <v>159</v>
      </c>
      <c r="U181">
        <v>2.2014144770518013E-3</v>
      </c>
      <c r="V181" t="s">
        <v>154</v>
      </c>
    </row>
    <row r="182" spans="9:22" x14ac:dyDescent="0.45">
      <c r="I182" t="s">
        <v>169</v>
      </c>
      <c r="J182" t="s">
        <v>258</v>
      </c>
      <c r="K182">
        <v>4.1868063857203409E-2</v>
      </c>
      <c r="L182" t="s">
        <v>154</v>
      </c>
      <c r="N182" t="s">
        <v>198</v>
      </c>
      <c r="O182" t="s">
        <v>258</v>
      </c>
      <c r="P182">
        <v>9.6123777861589366E-3</v>
      </c>
      <c r="Q182" t="s">
        <v>154</v>
      </c>
      <c r="S182" t="s">
        <v>222</v>
      </c>
      <c r="T182" t="s">
        <v>258</v>
      </c>
      <c r="U182">
        <v>1.3219853031746907E-2</v>
      </c>
      <c r="V182" t="s">
        <v>154</v>
      </c>
    </row>
    <row r="183" spans="9:22" x14ac:dyDescent="0.45">
      <c r="I183" t="s">
        <v>169</v>
      </c>
      <c r="J183" t="s">
        <v>259</v>
      </c>
      <c r="K183">
        <v>4.4344289453548853E-3</v>
      </c>
      <c r="L183" t="s">
        <v>154</v>
      </c>
      <c r="N183" t="s">
        <v>198</v>
      </c>
      <c r="O183" t="s">
        <v>259</v>
      </c>
      <c r="P183">
        <v>1.5941442150132423E-3</v>
      </c>
      <c r="Q183" t="s">
        <v>154</v>
      </c>
      <c r="S183" t="s">
        <v>222</v>
      </c>
      <c r="T183" t="s">
        <v>259</v>
      </c>
      <c r="U183">
        <v>1.9041485580611516E-3</v>
      </c>
      <c r="V183" t="s">
        <v>154</v>
      </c>
    </row>
    <row r="184" spans="9:22" x14ac:dyDescent="0.45">
      <c r="I184" t="s">
        <v>169</v>
      </c>
      <c r="J184" t="s">
        <v>260</v>
      </c>
      <c r="K184">
        <v>2.9429316908386525E-3</v>
      </c>
      <c r="L184" t="s">
        <v>154</v>
      </c>
      <c r="N184" t="s">
        <v>198</v>
      </c>
      <c r="O184" t="s">
        <v>260</v>
      </c>
      <c r="P184">
        <v>1.5261081984327773E-3</v>
      </c>
      <c r="Q184" t="s">
        <v>154</v>
      </c>
      <c r="S184" t="s">
        <v>222</v>
      </c>
      <c r="T184" t="s">
        <v>260</v>
      </c>
      <c r="U184">
        <v>1.9039916356027257E-3</v>
      </c>
      <c r="V184" t="s">
        <v>154</v>
      </c>
    </row>
    <row r="185" spans="9:22" x14ac:dyDescent="0.45">
      <c r="I185" t="s">
        <v>169</v>
      </c>
      <c r="J185" t="s">
        <v>284</v>
      </c>
      <c r="K185">
        <v>1.4458738083115987E-3</v>
      </c>
      <c r="L185" t="s">
        <v>154</v>
      </c>
      <c r="N185" t="s">
        <v>198</v>
      </c>
      <c r="O185" t="s">
        <v>284</v>
      </c>
      <c r="P185">
        <v>1.3404995749880511E-3</v>
      </c>
      <c r="Q185" t="s">
        <v>154</v>
      </c>
      <c r="S185" t="s">
        <v>222</v>
      </c>
      <c r="T185" t="s">
        <v>284</v>
      </c>
      <c r="U185">
        <v>1.8460349547720176E-3</v>
      </c>
      <c r="V185" t="s">
        <v>154</v>
      </c>
    </row>
    <row r="186" spans="9:22" x14ac:dyDescent="0.45">
      <c r="I186" t="s">
        <v>169</v>
      </c>
      <c r="J186" t="s">
        <v>285</v>
      </c>
      <c r="K186">
        <v>0</v>
      </c>
      <c r="L186" t="s">
        <v>154</v>
      </c>
      <c r="N186" t="s">
        <v>198</v>
      </c>
      <c r="O186" t="s">
        <v>285</v>
      </c>
      <c r="P186">
        <v>6.0785739456063583E-3</v>
      </c>
      <c r="Q186" t="s">
        <v>154</v>
      </c>
      <c r="S186" t="s">
        <v>222</v>
      </c>
      <c r="T186" t="s">
        <v>285</v>
      </c>
      <c r="U186">
        <v>7.879415833137747E-3</v>
      </c>
      <c r="V186" t="s">
        <v>154</v>
      </c>
    </row>
    <row r="187" spans="9:22" x14ac:dyDescent="0.45">
      <c r="I187" t="s">
        <v>169</v>
      </c>
      <c r="J187" t="s">
        <v>160</v>
      </c>
      <c r="K187">
        <v>0</v>
      </c>
      <c r="L187" t="s">
        <v>154</v>
      </c>
      <c r="N187" t="s">
        <v>198</v>
      </c>
      <c r="O187" t="s">
        <v>160</v>
      </c>
      <c r="P187">
        <v>6.2803354940272949E-2</v>
      </c>
      <c r="Q187" t="s">
        <v>154</v>
      </c>
      <c r="S187" t="s">
        <v>222</v>
      </c>
      <c r="T187" t="s">
        <v>160</v>
      </c>
      <c r="U187">
        <v>3.7308103407225783E-2</v>
      </c>
      <c r="V187" t="s">
        <v>154</v>
      </c>
    </row>
    <row r="188" spans="9:22" x14ac:dyDescent="0.45">
      <c r="I188" t="s">
        <v>169</v>
      </c>
      <c r="J188" t="s">
        <v>161</v>
      </c>
      <c r="K188">
        <v>6.6599903695419198E-3</v>
      </c>
      <c r="L188" t="s">
        <v>154</v>
      </c>
      <c r="N188" t="s">
        <v>198</v>
      </c>
      <c r="O188" t="s">
        <v>161</v>
      </c>
      <c r="P188">
        <v>1.6727586161183468E-2</v>
      </c>
      <c r="Q188" t="s">
        <v>154</v>
      </c>
      <c r="S188" t="s">
        <v>222</v>
      </c>
      <c r="T188" t="s">
        <v>161</v>
      </c>
      <c r="U188">
        <v>9.985188862963788E-3</v>
      </c>
      <c r="V188" t="s">
        <v>154</v>
      </c>
    </row>
    <row r="189" spans="9:22" x14ac:dyDescent="0.45">
      <c r="I189" t="s">
        <v>169</v>
      </c>
      <c r="J189" t="s">
        <v>162</v>
      </c>
      <c r="K189">
        <v>6.1345463875417394E-3</v>
      </c>
      <c r="L189" t="s">
        <v>154</v>
      </c>
      <c r="N189" t="s">
        <v>198</v>
      </c>
      <c r="O189" t="s">
        <v>162</v>
      </c>
      <c r="P189">
        <v>8.8247909716772325E-3</v>
      </c>
      <c r="Q189" t="s">
        <v>154</v>
      </c>
      <c r="S189" t="s">
        <v>222</v>
      </c>
      <c r="T189" t="s">
        <v>162</v>
      </c>
      <c r="U189">
        <v>5.2564614021427952E-3</v>
      </c>
      <c r="V189" t="s">
        <v>154</v>
      </c>
    </row>
    <row r="190" spans="9:22" x14ac:dyDescent="0.45">
      <c r="I190" t="s">
        <v>169</v>
      </c>
      <c r="J190" t="s">
        <v>261</v>
      </c>
      <c r="K190">
        <v>4.595333936361802E-2</v>
      </c>
      <c r="L190" t="s">
        <v>154</v>
      </c>
      <c r="N190" t="s">
        <v>198</v>
      </c>
      <c r="O190" t="s">
        <v>261</v>
      </c>
      <c r="P190">
        <v>5.9364444224645291E-2</v>
      </c>
      <c r="Q190" t="s">
        <v>154</v>
      </c>
      <c r="S190" t="s">
        <v>222</v>
      </c>
      <c r="T190" t="s">
        <v>261</v>
      </c>
      <c r="U190">
        <v>3.4849483608958176E-2</v>
      </c>
      <c r="V190" t="s">
        <v>154</v>
      </c>
    </row>
    <row r="191" spans="9:22" x14ac:dyDescent="0.45">
      <c r="I191" t="s">
        <v>169</v>
      </c>
      <c r="J191" t="s">
        <v>262</v>
      </c>
      <c r="K191">
        <v>4.1311038248437798E-3</v>
      </c>
      <c r="L191" t="s">
        <v>154</v>
      </c>
      <c r="N191" t="s">
        <v>198</v>
      </c>
      <c r="O191" t="s">
        <v>262</v>
      </c>
      <c r="P191">
        <v>9.9757007198113014E-3</v>
      </c>
      <c r="Q191" t="s">
        <v>154</v>
      </c>
      <c r="S191" t="s">
        <v>222</v>
      </c>
      <c r="T191" t="s">
        <v>262</v>
      </c>
      <c r="U191">
        <v>6.0343120536097399E-3</v>
      </c>
      <c r="V191" t="s">
        <v>154</v>
      </c>
    </row>
    <row r="192" spans="9:22" x14ac:dyDescent="0.45">
      <c r="I192" t="s">
        <v>169</v>
      </c>
      <c r="J192" t="s">
        <v>263</v>
      </c>
      <c r="K192">
        <v>2.4130876737092008E-3</v>
      </c>
      <c r="L192" t="s">
        <v>154</v>
      </c>
      <c r="N192" t="s">
        <v>198</v>
      </c>
      <c r="O192" t="s">
        <v>263</v>
      </c>
      <c r="P192">
        <v>9.6069490476749803E-3</v>
      </c>
      <c r="Q192" t="s">
        <v>154</v>
      </c>
      <c r="S192" t="s">
        <v>222</v>
      </c>
      <c r="T192" t="s">
        <v>263</v>
      </c>
      <c r="U192">
        <v>5.880477955904905E-3</v>
      </c>
      <c r="V192" t="s">
        <v>154</v>
      </c>
    </row>
    <row r="193" spans="9:22" x14ac:dyDescent="0.45">
      <c r="I193" t="s">
        <v>169</v>
      </c>
      <c r="J193" t="s">
        <v>286</v>
      </c>
      <c r="K193">
        <v>8.3249500779382249E-4</v>
      </c>
      <c r="L193" t="s">
        <v>154</v>
      </c>
      <c r="N193" t="s">
        <v>198</v>
      </c>
      <c r="O193" t="s">
        <v>286</v>
      </c>
      <c r="P193">
        <v>8.6324024947473862E-3</v>
      </c>
      <c r="Q193" t="s">
        <v>154</v>
      </c>
      <c r="S193" t="s">
        <v>222</v>
      </c>
      <c r="T193" t="s">
        <v>286</v>
      </c>
      <c r="U193">
        <v>5.3020885231576578E-3</v>
      </c>
      <c r="V193" t="s">
        <v>154</v>
      </c>
    </row>
    <row r="194" spans="9:22" x14ac:dyDescent="0.45">
      <c r="I194" t="s">
        <v>169</v>
      </c>
      <c r="J194" t="s">
        <v>287</v>
      </c>
      <c r="K194">
        <v>0</v>
      </c>
      <c r="L194" t="s">
        <v>154</v>
      </c>
      <c r="N194" t="s">
        <v>198</v>
      </c>
      <c r="O194" t="s">
        <v>287</v>
      </c>
      <c r="P194">
        <v>4.0072290272838977E-2</v>
      </c>
      <c r="Q194" t="s">
        <v>154</v>
      </c>
      <c r="S194" t="s">
        <v>222</v>
      </c>
      <c r="T194" t="s">
        <v>287</v>
      </c>
      <c r="U194">
        <v>2.5923467584859503E-2</v>
      </c>
      <c r="V194" t="s">
        <v>154</v>
      </c>
    </row>
    <row r="195" spans="9:22" x14ac:dyDescent="0.45">
      <c r="I195" t="s">
        <v>169</v>
      </c>
      <c r="J195" t="s">
        <v>163</v>
      </c>
      <c r="K195">
        <v>0</v>
      </c>
      <c r="L195" t="s">
        <v>154</v>
      </c>
      <c r="N195" t="s">
        <v>198</v>
      </c>
      <c r="O195" t="s">
        <v>163</v>
      </c>
      <c r="P195">
        <v>5.2312064540041784E-3</v>
      </c>
      <c r="Q195" t="s">
        <v>154</v>
      </c>
      <c r="S195" t="s">
        <v>222</v>
      </c>
      <c r="T195" t="s">
        <v>163</v>
      </c>
      <c r="U195">
        <v>7.8631257016123068E-3</v>
      </c>
      <c r="V195" t="s">
        <v>154</v>
      </c>
    </row>
    <row r="196" spans="9:22" x14ac:dyDescent="0.45">
      <c r="I196" t="s">
        <v>169</v>
      </c>
      <c r="J196" t="s">
        <v>164</v>
      </c>
      <c r="K196">
        <v>8.0802119942624748E-3</v>
      </c>
      <c r="L196" t="s">
        <v>154</v>
      </c>
      <c r="N196" t="s">
        <v>198</v>
      </c>
      <c r="O196" t="s">
        <v>164</v>
      </c>
      <c r="P196">
        <v>1.4724582790429919E-3</v>
      </c>
      <c r="Q196" t="s">
        <v>154</v>
      </c>
      <c r="S196" t="s">
        <v>222</v>
      </c>
      <c r="T196" t="s">
        <v>164</v>
      </c>
      <c r="U196">
        <v>2.574422394215434E-3</v>
      </c>
      <c r="V196" t="s">
        <v>154</v>
      </c>
    </row>
    <row r="197" spans="9:22" x14ac:dyDescent="0.45">
      <c r="I197" t="s">
        <v>169</v>
      </c>
      <c r="J197" t="s">
        <v>165</v>
      </c>
      <c r="K197">
        <v>6.4268929506922914E-3</v>
      </c>
      <c r="L197" t="s">
        <v>154</v>
      </c>
      <c r="N197" t="s">
        <v>198</v>
      </c>
      <c r="O197" t="s">
        <v>165</v>
      </c>
      <c r="P197">
        <v>7.5175166112480577E-4</v>
      </c>
      <c r="Q197" t="s">
        <v>154</v>
      </c>
      <c r="S197" t="s">
        <v>222</v>
      </c>
      <c r="T197" t="s">
        <v>165</v>
      </c>
      <c r="U197">
        <v>1.394752391635036E-3</v>
      </c>
      <c r="V197" t="s">
        <v>154</v>
      </c>
    </row>
    <row r="198" spans="9:22" x14ac:dyDescent="0.45">
      <c r="I198" t="s">
        <v>169</v>
      </c>
      <c r="J198" t="s">
        <v>264</v>
      </c>
      <c r="K198">
        <v>4.0783509197019736E-2</v>
      </c>
      <c r="L198" t="s">
        <v>154</v>
      </c>
      <c r="N198" t="s">
        <v>198</v>
      </c>
      <c r="O198" t="s">
        <v>264</v>
      </c>
      <c r="P198">
        <v>6.0835581049277767E-3</v>
      </c>
      <c r="Q198" t="s">
        <v>154</v>
      </c>
      <c r="S198" t="s">
        <v>222</v>
      </c>
      <c r="T198" t="s">
        <v>264</v>
      </c>
      <c r="U198">
        <v>7.8518190749147041E-3</v>
      </c>
      <c r="V198" t="s">
        <v>154</v>
      </c>
    </row>
    <row r="199" spans="9:22" x14ac:dyDescent="0.45">
      <c r="I199" t="s">
        <v>169</v>
      </c>
      <c r="J199" t="s">
        <v>265</v>
      </c>
      <c r="K199">
        <v>4.2981151504825335E-3</v>
      </c>
      <c r="L199" t="s">
        <v>154</v>
      </c>
      <c r="N199" t="s">
        <v>198</v>
      </c>
      <c r="O199" t="s">
        <v>265</v>
      </c>
      <c r="P199">
        <v>1.2422118496000125E-3</v>
      </c>
      <c r="Q199" t="s">
        <v>154</v>
      </c>
      <c r="S199" t="s">
        <v>222</v>
      </c>
      <c r="T199" t="s">
        <v>265</v>
      </c>
      <c r="U199">
        <v>1.2049036954134775E-3</v>
      </c>
      <c r="V199" t="s">
        <v>154</v>
      </c>
    </row>
    <row r="200" spans="9:22" x14ac:dyDescent="0.45">
      <c r="I200" t="s">
        <v>169</v>
      </c>
      <c r="J200" t="s">
        <v>266</v>
      </c>
      <c r="K200">
        <v>2.7142073648851782E-3</v>
      </c>
      <c r="L200" t="s">
        <v>154</v>
      </c>
      <c r="N200" t="s">
        <v>198</v>
      </c>
      <c r="O200" t="s">
        <v>266</v>
      </c>
      <c r="P200">
        <v>1.2081938037475544E-3</v>
      </c>
      <c r="Q200" t="s">
        <v>154</v>
      </c>
      <c r="S200" t="s">
        <v>222</v>
      </c>
      <c r="T200" t="s">
        <v>266</v>
      </c>
      <c r="U200">
        <v>1.2109380946319344E-3</v>
      </c>
      <c r="V200" t="s">
        <v>154</v>
      </c>
    </row>
    <row r="201" spans="9:22" x14ac:dyDescent="0.45">
      <c r="I201" t="s">
        <v>169</v>
      </c>
      <c r="J201" t="s">
        <v>288</v>
      </c>
      <c r="K201">
        <v>3.303622943602027E-8</v>
      </c>
      <c r="L201" t="s">
        <v>154</v>
      </c>
      <c r="N201" t="s">
        <v>198</v>
      </c>
      <c r="O201" t="s">
        <v>288</v>
      </c>
      <c r="P201">
        <v>1.1352083821079822E-3</v>
      </c>
      <c r="Q201" t="s">
        <v>154</v>
      </c>
      <c r="S201" t="s">
        <v>222</v>
      </c>
      <c r="T201" t="s">
        <v>288</v>
      </c>
      <c r="U201">
        <v>1.1778070481833461E-3</v>
      </c>
      <c r="V201" t="s">
        <v>154</v>
      </c>
    </row>
    <row r="202" spans="9:22" x14ac:dyDescent="0.45">
      <c r="I202" t="s">
        <v>169</v>
      </c>
      <c r="J202" t="s">
        <v>289</v>
      </c>
      <c r="K202">
        <v>0</v>
      </c>
      <c r="L202" t="s">
        <v>154</v>
      </c>
      <c r="N202" t="s">
        <v>198</v>
      </c>
      <c r="O202" t="s">
        <v>289</v>
      </c>
      <c r="P202">
        <v>5.2967531624546716E-3</v>
      </c>
      <c r="Q202" t="s">
        <v>154</v>
      </c>
      <c r="S202" t="s">
        <v>222</v>
      </c>
      <c r="T202" t="s">
        <v>289</v>
      </c>
      <c r="U202">
        <v>6.8479985072525517E-3</v>
      </c>
      <c r="V202" t="s">
        <v>154</v>
      </c>
    </row>
    <row r="203" spans="9:22" x14ac:dyDescent="0.45">
      <c r="I203" t="s">
        <v>169</v>
      </c>
      <c r="J203" t="s">
        <v>272</v>
      </c>
      <c r="K203">
        <v>0</v>
      </c>
      <c r="L203" t="s">
        <v>154</v>
      </c>
      <c r="N203" t="s">
        <v>198</v>
      </c>
      <c r="O203" t="s">
        <v>272</v>
      </c>
      <c r="P203">
        <v>3.349822712583201E-2</v>
      </c>
      <c r="Q203" t="s">
        <v>154</v>
      </c>
      <c r="S203" t="s">
        <v>222</v>
      </c>
      <c r="T203" t="s">
        <v>272</v>
      </c>
      <c r="U203">
        <v>6.0205442460671069E-2</v>
      </c>
      <c r="V203" t="s">
        <v>154</v>
      </c>
    </row>
    <row r="204" spans="9:22" x14ac:dyDescent="0.45">
      <c r="I204" t="s">
        <v>169</v>
      </c>
      <c r="J204" t="s">
        <v>273</v>
      </c>
      <c r="K204">
        <v>1.8468212047191922E-2</v>
      </c>
      <c r="L204" t="s">
        <v>154</v>
      </c>
      <c r="N204" t="s">
        <v>198</v>
      </c>
      <c r="O204" t="s">
        <v>273</v>
      </c>
      <c r="P204">
        <v>9.6860534301019229E-3</v>
      </c>
      <c r="Q204" t="s">
        <v>154</v>
      </c>
      <c r="S204" t="s">
        <v>222</v>
      </c>
      <c r="T204" t="s">
        <v>273</v>
      </c>
      <c r="U204">
        <v>1.6895204829625424E-2</v>
      </c>
      <c r="V204" t="s">
        <v>154</v>
      </c>
    </row>
    <row r="205" spans="9:22" x14ac:dyDescent="0.45">
      <c r="I205" t="s">
        <v>169</v>
      </c>
      <c r="J205" t="s">
        <v>274</v>
      </c>
      <c r="K205">
        <v>1.517491078650007E-2</v>
      </c>
      <c r="L205" t="s">
        <v>154</v>
      </c>
      <c r="N205" t="s">
        <v>198</v>
      </c>
      <c r="O205" t="s">
        <v>274</v>
      </c>
      <c r="P205">
        <v>4.8711772853963844E-3</v>
      </c>
      <c r="Q205" t="s">
        <v>154</v>
      </c>
      <c r="S205" t="s">
        <v>222</v>
      </c>
      <c r="T205" t="s">
        <v>274</v>
      </c>
      <c r="U205">
        <v>8.7142718896449037E-3</v>
      </c>
      <c r="V205" t="s">
        <v>154</v>
      </c>
    </row>
    <row r="206" spans="9:22" x14ac:dyDescent="0.45">
      <c r="I206" t="s">
        <v>169</v>
      </c>
      <c r="J206" t="s">
        <v>275</v>
      </c>
      <c r="K206">
        <v>9.9840443753026406E-2</v>
      </c>
      <c r="L206" t="s">
        <v>154</v>
      </c>
      <c r="N206" t="s">
        <v>198</v>
      </c>
      <c r="O206" t="s">
        <v>275</v>
      </c>
      <c r="P206">
        <v>2.7993253405104817E-2</v>
      </c>
      <c r="Q206" t="s">
        <v>154</v>
      </c>
      <c r="S206" t="s">
        <v>222</v>
      </c>
      <c r="T206" t="s">
        <v>275</v>
      </c>
      <c r="U206">
        <v>5.0911558108436714E-2</v>
      </c>
      <c r="V206" t="s">
        <v>154</v>
      </c>
    </row>
    <row r="207" spans="9:22" x14ac:dyDescent="0.45">
      <c r="I207" t="s">
        <v>169</v>
      </c>
      <c r="J207" t="s">
        <v>276</v>
      </c>
      <c r="K207">
        <v>1.1198097054868694E-2</v>
      </c>
      <c r="L207" t="s">
        <v>154</v>
      </c>
      <c r="N207" t="s">
        <v>198</v>
      </c>
      <c r="O207" t="s">
        <v>276</v>
      </c>
      <c r="P207">
        <v>4.6568925590502906E-3</v>
      </c>
      <c r="Q207" t="s">
        <v>154</v>
      </c>
      <c r="S207" t="s">
        <v>222</v>
      </c>
      <c r="T207" t="s">
        <v>276</v>
      </c>
      <c r="U207">
        <v>8.0501554392576214E-3</v>
      </c>
      <c r="V207" t="s">
        <v>154</v>
      </c>
    </row>
    <row r="208" spans="9:22" x14ac:dyDescent="0.45">
      <c r="I208" t="s">
        <v>169</v>
      </c>
      <c r="J208" t="s">
        <v>277</v>
      </c>
      <c r="K208">
        <v>7.5922804120922257E-3</v>
      </c>
      <c r="L208" t="s">
        <v>154</v>
      </c>
      <c r="N208" t="s">
        <v>198</v>
      </c>
      <c r="O208" t="s">
        <v>277</v>
      </c>
      <c r="P208">
        <v>4.7288155519205864E-3</v>
      </c>
      <c r="Q208" t="s">
        <v>154</v>
      </c>
      <c r="S208" t="s">
        <v>222</v>
      </c>
      <c r="T208" t="s">
        <v>277</v>
      </c>
      <c r="U208">
        <v>8.0456809206233028E-3</v>
      </c>
      <c r="V208" t="s">
        <v>154</v>
      </c>
    </row>
    <row r="209" spans="9:22" x14ac:dyDescent="0.45">
      <c r="I209" t="s">
        <v>169</v>
      </c>
      <c r="J209" t="s">
        <v>290</v>
      </c>
      <c r="K209">
        <v>1.9950523172074439E-4</v>
      </c>
      <c r="L209" t="s">
        <v>154</v>
      </c>
      <c r="N209" t="s">
        <v>198</v>
      </c>
      <c r="O209" t="s">
        <v>290</v>
      </c>
      <c r="P209">
        <v>3.6300808358636556E-3</v>
      </c>
      <c r="Q209" t="s">
        <v>154</v>
      </c>
      <c r="S209" t="s">
        <v>222</v>
      </c>
      <c r="T209" t="s">
        <v>290</v>
      </c>
      <c r="U209">
        <v>7.4784696819957929E-3</v>
      </c>
      <c r="V209" t="s">
        <v>154</v>
      </c>
    </row>
    <row r="210" spans="9:22" x14ac:dyDescent="0.45">
      <c r="I210" t="s">
        <v>169</v>
      </c>
      <c r="J210" t="s">
        <v>291</v>
      </c>
      <c r="K210">
        <v>0</v>
      </c>
      <c r="L210" t="s">
        <v>154</v>
      </c>
      <c r="N210" t="s">
        <v>198</v>
      </c>
      <c r="O210" t="s">
        <v>291</v>
      </c>
      <c r="P210">
        <v>2.0897890015263564E-2</v>
      </c>
      <c r="Q210" t="s">
        <v>154</v>
      </c>
      <c r="S210" t="s">
        <v>222</v>
      </c>
      <c r="T210" t="s">
        <v>291</v>
      </c>
      <c r="U210">
        <v>4.4078406595739354E-2</v>
      </c>
      <c r="V210" t="s">
        <v>154</v>
      </c>
    </row>
    <row r="211" spans="9:22" x14ac:dyDescent="0.45">
      <c r="I211" t="s">
        <v>170</v>
      </c>
      <c r="J211" t="s">
        <v>153</v>
      </c>
      <c r="K211">
        <v>1.985353865943507E-3</v>
      </c>
      <c r="L211" t="s">
        <v>154</v>
      </c>
      <c r="N211" t="s">
        <v>199</v>
      </c>
      <c r="O211" t="s">
        <v>153</v>
      </c>
      <c r="P211">
        <v>0.1922815925216001</v>
      </c>
      <c r="Q211" t="s">
        <v>154</v>
      </c>
      <c r="S211" t="s">
        <v>223</v>
      </c>
      <c r="T211" t="s">
        <v>153</v>
      </c>
      <c r="U211">
        <v>0.17376022179304826</v>
      </c>
      <c r="V211" t="s">
        <v>154</v>
      </c>
    </row>
    <row r="212" spans="9:22" x14ac:dyDescent="0.45">
      <c r="I212" t="s">
        <v>170</v>
      </c>
      <c r="J212" t="s">
        <v>155</v>
      </c>
      <c r="K212">
        <v>7.1088640081545501E-2</v>
      </c>
      <c r="L212" t="s">
        <v>154</v>
      </c>
      <c r="N212" t="s">
        <v>199</v>
      </c>
      <c r="O212" t="s">
        <v>155</v>
      </c>
      <c r="P212">
        <v>4.9459852056639789E-2</v>
      </c>
      <c r="Q212" t="s">
        <v>154</v>
      </c>
      <c r="S212" t="s">
        <v>223</v>
      </c>
      <c r="T212" t="s">
        <v>155</v>
      </c>
      <c r="U212">
        <v>5.1005457795804308E-2</v>
      </c>
      <c r="V212" t="s">
        <v>154</v>
      </c>
    </row>
    <row r="213" spans="9:22" x14ac:dyDescent="0.45">
      <c r="I213" t="s">
        <v>170</v>
      </c>
      <c r="J213" t="s">
        <v>156</v>
      </c>
      <c r="K213">
        <v>5.6949318761854932E-2</v>
      </c>
      <c r="L213" t="s">
        <v>154</v>
      </c>
      <c r="N213" t="s">
        <v>199</v>
      </c>
      <c r="O213" t="s">
        <v>156</v>
      </c>
      <c r="P213">
        <v>2.857576587382844E-2</v>
      </c>
      <c r="Q213" t="s">
        <v>154</v>
      </c>
      <c r="S213" t="s">
        <v>223</v>
      </c>
      <c r="T213" t="s">
        <v>156</v>
      </c>
      <c r="U213">
        <v>2.6896565241958582E-2</v>
      </c>
      <c r="V213" t="s">
        <v>154</v>
      </c>
    </row>
    <row r="214" spans="9:22" x14ac:dyDescent="0.45">
      <c r="I214" t="s">
        <v>170</v>
      </c>
      <c r="J214" t="s">
        <v>255</v>
      </c>
      <c r="K214">
        <v>0.42069198765906207</v>
      </c>
      <c r="L214" t="s">
        <v>154</v>
      </c>
      <c r="N214" t="s">
        <v>199</v>
      </c>
      <c r="O214" t="s">
        <v>255</v>
      </c>
      <c r="P214">
        <v>0.18141074996851883</v>
      </c>
      <c r="Q214" t="s">
        <v>154</v>
      </c>
      <c r="S214" t="s">
        <v>223</v>
      </c>
      <c r="T214" t="s">
        <v>255</v>
      </c>
      <c r="U214">
        <v>0.15954236777140823</v>
      </c>
      <c r="V214" t="s">
        <v>154</v>
      </c>
    </row>
    <row r="215" spans="9:22" x14ac:dyDescent="0.45">
      <c r="I215" t="s">
        <v>170</v>
      </c>
      <c r="J215" t="s">
        <v>256</v>
      </c>
      <c r="K215">
        <v>4.918900646117217E-2</v>
      </c>
      <c r="L215" t="s">
        <v>154</v>
      </c>
      <c r="N215" t="s">
        <v>199</v>
      </c>
      <c r="O215" t="s">
        <v>256</v>
      </c>
      <c r="P215">
        <v>2.8493721359687283E-2</v>
      </c>
      <c r="Q215" t="s">
        <v>154</v>
      </c>
      <c r="S215" t="s">
        <v>223</v>
      </c>
      <c r="T215" t="s">
        <v>256</v>
      </c>
      <c r="U215">
        <v>2.5870654231364046E-2</v>
      </c>
      <c r="V215" t="s">
        <v>154</v>
      </c>
    </row>
    <row r="216" spans="9:22" x14ac:dyDescent="0.45">
      <c r="I216" t="s">
        <v>170</v>
      </c>
      <c r="J216" t="s">
        <v>257</v>
      </c>
      <c r="K216">
        <v>3.5359514467151527E-2</v>
      </c>
      <c r="L216" t="s">
        <v>154</v>
      </c>
      <c r="N216" t="s">
        <v>199</v>
      </c>
      <c r="O216" t="s">
        <v>257</v>
      </c>
      <c r="P216">
        <v>2.7345659499463566E-2</v>
      </c>
      <c r="Q216" t="s">
        <v>154</v>
      </c>
      <c r="S216" t="s">
        <v>223</v>
      </c>
      <c r="T216" t="s">
        <v>257</v>
      </c>
      <c r="U216">
        <v>2.5006049234003604E-2</v>
      </c>
      <c r="V216" t="s">
        <v>154</v>
      </c>
    </row>
    <row r="217" spans="9:22" x14ac:dyDescent="0.45">
      <c r="I217" t="s">
        <v>170</v>
      </c>
      <c r="J217" t="s">
        <v>282</v>
      </c>
      <c r="K217">
        <v>1.9832207416791568E-2</v>
      </c>
      <c r="L217" t="s">
        <v>154</v>
      </c>
      <c r="N217" t="s">
        <v>199</v>
      </c>
      <c r="O217" t="s">
        <v>282</v>
      </c>
      <c r="P217">
        <v>2.0071414634559106E-2</v>
      </c>
      <c r="Q217" t="s">
        <v>154</v>
      </c>
      <c r="S217" t="s">
        <v>223</v>
      </c>
      <c r="T217" t="s">
        <v>282</v>
      </c>
      <c r="U217">
        <v>2.2496782948743091E-2</v>
      </c>
      <c r="V217" t="s">
        <v>154</v>
      </c>
    </row>
    <row r="218" spans="9:22" x14ac:dyDescent="0.45">
      <c r="I218" t="s">
        <v>170</v>
      </c>
      <c r="J218" t="s">
        <v>283</v>
      </c>
      <c r="K218">
        <v>0</v>
      </c>
      <c r="L218" t="s">
        <v>154</v>
      </c>
      <c r="N218" t="s">
        <v>199</v>
      </c>
      <c r="O218" t="s">
        <v>283</v>
      </c>
      <c r="P218">
        <v>0.10676029560868079</v>
      </c>
      <c r="Q218" t="s">
        <v>154</v>
      </c>
      <c r="S218" t="s">
        <v>223</v>
      </c>
      <c r="T218" t="s">
        <v>283</v>
      </c>
      <c r="U218">
        <v>0.11888894797027662</v>
      </c>
      <c r="V218" t="s">
        <v>154</v>
      </c>
    </row>
    <row r="219" spans="9:22" x14ac:dyDescent="0.45">
      <c r="I219" t="s">
        <v>170</v>
      </c>
      <c r="J219" t="s">
        <v>157</v>
      </c>
      <c r="K219">
        <v>0</v>
      </c>
      <c r="L219" t="s">
        <v>154</v>
      </c>
      <c r="N219" t="s">
        <v>199</v>
      </c>
      <c r="O219" t="s">
        <v>157</v>
      </c>
      <c r="P219">
        <v>7.6581387341179419E-3</v>
      </c>
      <c r="Q219" t="s">
        <v>154</v>
      </c>
      <c r="S219" t="s">
        <v>223</v>
      </c>
      <c r="T219" t="s">
        <v>157</v>
      </c>
      <c r="U219">
        <v>1.1926314986747072E-2</v>
      </c>
      <c r="V219" t="s">
        <v>154</v>
      </c>
    </row>
    <row r="220" spans="9:22" x14ac:dyDescent="0.45">
      <c r="I220" t="s">
        <v>170</v>
      </c>
      <c r="J220" t="s">
        <v>158</v>
      </c>
      <c r="K220">
        <v>7.1083407654375982E-3</v>
      </c>
      <c r="L220" t="s">
        <v>154</v>
      </c>
      <c r="N220" t="s">
        <v>199</v>
      </c>
      <c r="O220" t="s">
        <v>158</v>
      </c>
      <c r="P220">
        <v>1.576968269707289E-3</v>
      </c>
      <c r="Q220" t="s">
        <v>154</v>
      </c>
      <c r="S220" t="s">
        <v>223</v>
      </c>
      <c r="T220" t="s">
        <v>158</v>
      </c>
      <c r="U220">
        <v>3.8195600066323427E-3</v>
      </c>
      <c r="V220" t="s">
        <v>154</v>
      </c>
    </row>
    <row r="221" spans="9:22" x14ac:dyDescent="0.45">
      <c r="I221" t="s">
        <v>170</v>
      </c>
      <c r="J221" t="s">
        <v>159</v>
      </c>
      <c r="K221">
        <v>5.7126794180964663E-3</v>
      </c>
      <c r="L221" t="s">
        <v>154</v>
      </c>
      <c r="N221" t="s">
        <v>199</v>
      </c>
      <c r="O221" t="s">
        <v>159</v>
      </c>
      <c r="P221">
        <v>8.970226644371632E-4</v>
      </c>
      <c r="Q221" t="s">
        <v>154</v>
      </c>
      <c r="S221" t="s">
        <v>223</v>
      </c>
      <c r="T221" t="s">
        <v>159</v>
      </c>
      <c r="U221">
        <v>2.022530893057897E-3</v>
      </c>
      <c r="V221" t="s">
        <v>154</v>
      </c>
    </row>
    <row r="222" spans="9:22" x14ac:dyDescent="0.45">
      <c r="I222" t="s">
        <v>170</v>
      </c>
      <c r="J222" t="s">
        <v>258</v>
      </c>
      <c r="K222">
        <v>4.2733588279704159E-2</v>
      </c>
      <c r="L222" t="s">
        <v>154</v>
      </c>
      <c r="N222" t="s">
        <v>199</v>
      </c>
      <c r="O222" t="s">
        <v>258</v>
      </c>
      <c r="P222">
        <v>6.7787835708597996E-3</v>
      </c>
      <c r="Q222" t="s">
        <v>154</v>
      </c>
      <c r="S222" t="s">
        <v>223</v>
      </c>
      <c r="T222" t="s">
        <v>258</v>
      </c>
      <c r="U222">
        <v>1.2098052151797151E-2</v>
      </c>
      <c r="V222" t="s">
        <v>154</v>
      </c>
    </row>
    <row r="223" spans="9:22" x14ac:dyDescent="0.45">
      <c r="I223" t="s">
        <v>170</v>
      </c>
      <c r="J223" t="s">
        <v>259</v>
      </c>
      <c r="K223">
        <v>4.7415788386015673E-3</v>
      </c>
      <c r="L223" t="s">
        <v>154</v>
      </c>
      <c r="N223" t="s">
        <v>199</v>
      </c>
      <c r="O223" t="s">
        <v>259</v>
      </c>
      <c r="P223">
        <v>1.0007159464665133E-3</v>
      </c>
      <c r="Q223" t="s">
        <v>154</v>
      </c>
      <c r="S223" t="s">
        <v>223</v>
      </c>
      <c r="T223" t="s">
        <v>259</v>
      </c>
      <c r="U223">
        <v>1.6871540613708118E-3</v>
      </c>
      <c r="V223" t="s">
        <v>154</v>
      </c>
    </row>
    <row r="224" spans="9:22" x14ac:dyDescent="0.45">
      <c r="I224" t="s">
        <v>170</v>
      </c>
      <c r="J224" t="s">
        <v>260</v>
      </c>
      <c r="K224">
        <v>3.2026997827048769E-3</v>
      </c>
      <c r="L224" t="s">
        <v>154</v>
      </c>
      <c r="N224" t="s">
        <v>199</v>
      </c>
      <c r="O224" t="s">
        <v>260</v>
      </c>
      <c r="P224">
        <v>8.7689496357370024E-4</v>
      </c>
      <c r="Q224" t="s">
        <v>154</v>
      </c>
      <c r="S224" t="s">
        <v>223</v>
      </c>
      <c r="T224" t="s">
        <v>260</v>
      </c>
      <c r="U224">
        <v>1.6274493651061567E-3</v>
      </c>
      <c r="V224" t="s">
        <v>154</v>
      </c>
    </row>
    <row r="225" spans="9:22" x14ac:dyDescent="0.45">
      <c r="I225" t="s">
        <v>170</v>
      </c>
      <c r="J225" t="s">
        <v>284</v>
      </c>
      <c r="K225">
        <v>1.6978749656370322E-3</v>
      </c>
      <c r="L225" t="s">
        <v>154</v>
      </c>
      <c r="N225" t="s">
        <v>199</v>
      </c>
      <c r="O225" t="s">
        <v>284</v>
      </c>
      <c r="P225">
        <v>6.9576332703013416E-4</v>
      </c>
      <c r="Q225" t="s">
        <v>154</v>
      </c>
      <c r="S225" t="s">
        <v>223</v>
      </c>
      <c r="T225" t="s">
        <v>284</v>
      </c>
      <c r="U225">
        <v>1.5469570657227136E-3</v>
      </c>
      <c r="V225" t="s">
        <v>154</v>
      </c>
    </row>
    <row r="226" spans="9:22" x14ac:dyDescent="0.45">
      <c r="I226" t="s">
        <v>170</v>
      </c>
      <c r="J226" t="s">
        <v>285</v>
      </c>
      <c r="K226">
        <v>0</v>
      </c>
      <c r="L226" t="s">
        <v>154</v>
      </c>
      <c r="N226" t="s">
        <v>199</v>
      </c>
      <c r="O226" t="s">
        <v>285</v>
      </c>
      <c r="P226">
        <v>3.5399587687002894E-3</v>
      </c>
      <c r="Q226" t="s">
        <v>154</v>
      </c>
      <c r="S226" t="s">
        <v>223</v>
      </c>
      <c r="T226" t="s">
        <v>285</v>
      </c>
      <c r="U226">
        <v>7.1686375751894198E-3</v>
      </c>
      <c r="V226" t="s">
        <v>154</v>
      </c>
    </row>
    <row r="227" spans="9:22" x14ac:dyDescent="0.45">
      <c r="I227" t="s">
        <v>170</v>
      </c>
      <c r="J227" t="s">
        <v>160</v>
      </c>
      <c r="K227">
        <v>0</v>
      </c>
      <c r="L227" t="s">
        <v>154</v>
      </c>
      <c r="N227" t="s">
        <v>199</v>
      </c>
      <c r="O227" t="s">
        <v>160</v>
      </c>
      <c r="P227">
        <v>3.296665323867682E-2</v>
      </c>
      <c r="Q227" t="s">
        <v>154</v>
      </c>
      <c r="S227" t="s">
        <v>223</v>
      </c>
      <c r="T227" t="s">
        <v>160</v>
      </c>
      <c r="U227">
        <v>4.2375695253287556E-2</v>
      </c>
      <c r="V227" t="s">
        <v>154</v>
      </c>
    </row>
    <row r="228" spans="9:22" x14ac:dyDescent="0.45">
      <c r="I228" t="s">
        <v>170</v>
      </c>
      <c r="J228" t="s">
        <v>161</v>
      </c>
      <c r="K228">
        <v>7.2888232027570506E-3</v>
      </c>
      <c r="L228" t="s">
        <v>154</v>
      </c>
      <c r="N228" t="s">
        <v>199</v>
      </c>
      <c r="O228" t="s">
        <v>161</v>
      </c>
      <c r="P228">
        <v>8.0851896910071695E-3</v>
      </c>
      <c r="Q228" t="s">
        <v>154</v>
      </c>
      <c r="S228" t="s">
        <v>223</v>
      </c>
      <c r="T228" t="s">
        <v>161</v>
      </c>
      <c r="U228">
        <v>1.1215869546802981E-2</v>
      </c>
      <c r="V228" t="s">
        <v>154</v>
      </c>
    </row>
    <row r="229" spans="9:22" x14ac:dyDescent="0.45">
      <c r="I229" t="s">
        <v>170</v>
      </c>
      <c r="J229" t="s">
        <v>162</v>
      </c>
      <c r="K229">
        <v>6.7582484982840049E-3</v>
      </c>
      <c r="L229" t="s">
        <v>154</v>
      </c>
      <c r="N229" t="s">
        <v>199</v>
      </c>
      <c r="O229" t="s">
        <v>162</v>
      </c>
      <c r="P229">
        <v>4.51774488229324E-3</v>
      </c>
      <c r="Q229" t="s">
        <v>154</v>
      </c>
      <c r="S229" t="s">
        <v>223</v>
      </c>
      <c r="T229" t="s">
        <v>162</v>
      </c>
      <c r="U229">
        <v>5.8729147063351552E-3</v>
      </c>
      <c r="V229" t="s">
        <v>154</v>
      </c>
    </row>
    <row r="230" spans="9:22" x14ac:dyDescent="0.45">
      <c r="I230" t="s">
        <v>170</v>
      </c>
      <c r="J230" t="s">
        <v>261</v>
      </c>
      <c r="K230">
        <v>4.8920680472936524E-2</v>
      </c>
      <c r="L230" t="s">
        <v>154</v>
      </c>
      <c r="N230" t="s">
        <v>199</v>
      </c>
      <c r="O230" t="s">
        <v>261</v>
      </c>
      <c r="P230">
        <v>3.6654739998524283E-2</v>
      </c>
      <c r="Q230" t="s">
        <v>154</v>
      </c>
      <c r="S230" t="s">
        <v>223</v>
      </c>
      <c r="T230" t="s">
        <v>261</v>
      </c>
      <c r="U230">
        <v>3.8263863848519271E-2</v>
      </c>
      <c r="V230" t="s">
        <v>154</v>
      </c>
    </row>
    <row r="231" spans="9:22" x14ac:dyDescent="0.45">
      <c r="I231" t="s">
        <v>170</v>
      </c>
      <c r="J231" t="s">
        <v>262</v>
      </c>
      <c r="K231">
        <v>4.6984782145164201E-3</v>
      </c>
      <c r="L231" t="s">
        <v>154</v>
      </c>
      <c r="N231" t="s">
        <v>199</v>
      </c>
      <c r="O231" t="s">
        <v>262</v>
      </c>
      <c r="P231">
        <v>6.3267313641734088E-3</v>
      </c>
      <c r="Q231" t="s">
        <v>154</v>
      </c>
      <c r="S231" t="s">
        <v>223</v>
      </c>
      <c r="T231" t="s">
        <v>262</v>
      </c>
      <c r="U231">
        <v>6.6323498335050454E-3</v>
      </c>
      <c r="V231" t="s">
        <v>154</v>
      </c>
    </row>
    <row r="232" spans="9:22" x14ac:dyDescent="0.45">
      <c r="I232" t="s">
        <v>170</v>
      </c>
      <c r="J232" t="s">
        <v>263</v>
      </c>
      <c r="K232">
        <v>2.7204434706729185E-3</v>
      </c>
      <c r="L232" t="s">
        <v>154</v>
      </c>
      <c r="N232" t="s">
        <v>199</v>
      </c>
      <c r="O232" t="s">
        <v>263</v>
      </c>
      <c r="P232">
        <v>5.9033855787433377E-3</v>
      </c>
      <c r="Q232" t="s">
        <v>154</v>
      </c>
      <c r="S232" t="s">
        <v>223</v>
      </c>
      <c r="T232" t="s">
        <v>263</v>
      </c>
      <c r="U232">
        <v>6.405304133420821E-3</v>
      </c>
      <c r="V232" t="s">
        <v>154</v>
      </c>
    </row>
    <row r="233" spans="9:22" x14ac:dyDescent="0.45">
      <c r="I233" t="s">
        <v>170</v>
      </c>
      <c r="J233" t="s">
        <v>286</v>
      </c>
      <c r="K233">
        <v>5.1912463239580774E-4</v>
      </c>
      <c r="L233" t="s">
        <v>154</v>
      </c>
      <c r="N233" t="s">
        <v>199</v>
      </c>
      <c r="O233" t="s">
        <v>286</v>
      </c>
      <c r="P233">
        <v>4.6075215950044249E-3</v>
      </c>
      <c r="Q233" t="s">
        <v>154</v>
      </c>
      <c r="S233" t="s">
        <v>223</v>
      </c>
      <c r="T233" t="s">
        <v>286</v>
      </c>
      <c r="U233">
        <v>5.9725822862376635E-3</v>
      </c>
      <c r="V233" t="s">
        <v>154</v>
      </c>
    </row>
    <row r="234" spans="9:22" x14ac:dyDescent="0.45">
      <c r="I234" t="s">
        <v>170</v>
      </c>
      <c r="J234" t="s">
        <v>287</v>
      </c>
      <c r="K234">
        <v>0</v>
      </c>
      <c r="L234" t="s">
        <v>154</v>
      </c>
      <c r="N234" t="s">
        <v>199</v>
      </c>
      <c r="O234" t="s">
        <v>287</v>
      </c>
      <c r="P234">
        <v>2.2350854694358612E-2</v>
      </c>
      <c r="Q234" t="s">
        <v>154</v>
      </c>
      <c r="S234" t="s">
        <v>223</v>
      </c>
      <c r="T234" t="s">
        <v>287</v>
      </c>
      <c r="U234">
        <v>2.8816440362416554E-2</v>
      </c>
      <c r="V234" t="s">
        <v>154</v>
      </c>
    </row>
    <row r="235" spans="9:22" x14ac:dyDescent="0.45">
      <c r="I235" t="s">
        <v>170</v>
      </c>
      <c r="J235" t="s">
        <v>163</v>
      </c>
      <c r="K235">
        <v>0</v>
      </c>
      <c r="L235" t="s">
        <v>154</v>
      </c>
      <c r="N235" t="s">
        <v>199</v>
      </c>
      <c r="O235" t="s">
        <v>163</v>
      </c>
      <c r="P235">
        <v>7.7766264392609618E-3</v>
      </c>
      <c r="Q235" t="s">
        <v>154</v>
      </c>
      <c r="S235" t="s">
        <v>223</v>
      </c>
      <c r="T235" t="s">
        <v>163</v>
      </c>
      <c r="U235">
        <v>6.3195363169497448E-3</v>
      </c>
      <c r="V235" t="s">
        <v>154</v>
      </c>
    </row>
    <row r="236" spans="9:22" x14ac:dyDescent="0.45">
      <c r="I236" t="s">
        <v>170</v>
      </c>
      <c r="J236" t="s">
        <v>164</v>
      </c>
      <c r="K236">
        <v>7.9275612180062967E-3</v>
      </c>
      <c r="L236" t="s">
        <v>154</v>
      </c>
      <c r="N236" t="s">
        <v>199</v>
      </c>
      <c r="O236" t="s">
        <v>164</v>
      </c>
      <c r="P236">
        <v>2.3191437094373497E-3</v>
      </c>
      <c r="Q236" t="s">
        <v>154</v>
      </c>
      <c r="S236" t="s">
        <v>223</v>
      </c>
      <c r="T236" t="s">
        <v>164</v>
      </c>
      <c r="U236">
        <v>1.830211821286706E-3</v>
      </c>
      <c r="V236" t="s">
        <v>154</v>
      </c>
    </row>
    <row r="237" spans="9:22" x14ac:dyDescent="0.45">
      <c r="I237" t="s">
        <v>170</v>
      </c>
      <c r="J237" t="s">
        <v>165</v>
      </c>
      <c r="K237">
        <v>6.4034591434019208E-3</v>
      </c>
      <c r="L237" t="s">
        <v>154</v>
      </c>
      <c r="N237" t="s">
        <v>199</v>
      </c>
      <c r="O237" t="s">
        <v>165</v>
      </c>
      <c r="P237">
        <v>1.3666738173599184E-3</v>
      </c>
      <c r="Q237" t="s">
        <v>154</v>
      </c>
      <c r="S237" t="s">
        <v>223</v>
      </c>
      <c r="T237" t="s">
        <v>165</v>
      </c>
      <c r="U237">
        <v>9.3243707901735531E-4</v>
      </c>
      <c r="V237" t="s">
        <v>154</v>
      </c>
    </row>
    <row r="238" spans="9:22" x14ac:dyDescent="0.45">
      <c r="I238" t="s">
        <v>170</v>
      </c>
      <c r="J238" t="s">
        <v>264</v>
      </c>
      <c r="K238">
        <v>4.148698911870672E-2</v>
      </c>
      <c r="L238" t="s">
        <v>154</v>
      </c>
      <c r="N238" t="s">
        <v>199</v>
      </c>
      <c r="O238" t="s">
        <v>264</v>
      </c>
      <c r="P238">
        <v>8.8759845844748244E-3</v>
      </c>
      <c r="Q238" t="s">
        <v>154</v>
      </c>
      <c r="S238" t="s">
        <v>223</v>
      </c>
      <c r="T238" t="s">
        <v>264</v>
      </c>
      <c r="U238">
        <v>5.2523934779477935E-3</v>
      </c>
      <c r="V238" t="s">
        <v>154</v>
      </c>
    </row>
    <row r="239" spans="9:22" x14ac:dyDescent="0.45">
      <c r="I239" t="s">
        <v>170</v>
      </c>
      <c r="J239" t="s">
        <v>265</v>
      </c>
      <c r="K239">
        <v>4.8495587367903426E-3</v>
      </c>
      <c r="L239" t="s">
        <v>154</v>
      </c>
      <c r="N239" t="s">
        <v>199</v>
      </c>
      <c r="O239" t="s">
        <v>265</v>
      </c>
      <c r="P239">
        <v>1.3967457569945608E-3</v>
      </c>
      <c r="Q239" t="s">
        <v>154</v>
      </c>
      <c r="S239" t="s">
        <v>223</v>
      </c>
      <c r="T239" t="s">
        <v>265</v>
      </c>
      <c r="U239">
        <v>9.4160385843838424E-4</v>
      </c>
      <c r="V239" t="s">
        <v>154</v>
      </c>
    </row>
    <row r="240" spans="9:22" x14ac:dyDescent="0.45">
      <c r="I240" t="s">
        <v>170</v>
      </c>
      <c r="J240" t="s">
        <v>266</v>
      </c>
      <c r="K240">
        <v>2.9593278642995983E-3</v>
      </c>
      <c r="L240" t="s">
        <v>154</v>
      </c>
      <c r="N240" t="s">
        <v>199</v>
      </c>
      <c r="O240" t="s">
        <v>266</v>
      </c>
      <c r="P240">
        <v>1.5045988050931458E-3</v>
      </c>
      <c r="Q240" t="s">
        <v>154</v>
      </c>
      <c r="S240" t="s">
        <v>223</v>
      </c>
      <c r="T240" t="s">
        <v>266</v>
      </c>
      <c r="U240">
        <v>9.5262146585246279E-4</v>
      </c>
      <c r="V240" t="s">
        <v>154</v>
      </c>
    </row>
    <row r="241" spans="9:22" x14ac:dyDescent="0.45">
      <c r="I241" t="s">
        <v>170</v>
      </c>
      <c r="J241" t="s">
        <v>288</v>
      </c>
      <c r="K241">
        <v>0</v>
      </c>
      <c r="L241" t="s">
        <v>154</v>
      </c>
      <c r="N241" t="s">
        <v>199</v>
      </c>
      <c r="O241" t="s">
        <v>288</v>
      </c>
      <c r="P241">
        <v>1.2782219621045954E-3</v>
      </c>
      <c r="Q241" t="s">
        <v>154</v>
      </c>
      <c r="S241" t="s">
        <v>223</v>
      </c>
      <c r="T241" t="s">
        <v>288</v>
      </c>
      <c r="U241">
        <v>9.4973304456713603E-4</v>
      </c>
      <c r="V241" t="s">
        <v>154</v>
      </c>
    </row>
    <row r="242" spans="9:22" x14ac:dyDescent="0.45">
      <c r="I242" t="s">
        <v>170</v>
      </c>
      <c r="J242" t="s">
        <v>289</v>
      </c>
      <c r="K242">
        <v>0</v>
      </c>
      <c r="L242" t="s">
        <v>154</v>
      </c>
      <c r="N242" t="s">
        <v>199</v>
      </c>
      <c r="O242" t="s">
        <v>289</v>
      </c>
      <c r="P242">
        <v>6.2040022438938957E-3</v>
      </c>
      <c r="Q242" t="s">
        <v>154</v>
      </c>
      <c r="S242" t="s">
        <v>223</v>
      </c>
      <c r="T242" t="s">
        <v>289</v>
      </c>
      <c r="U242">
        <v>5.8640015219150014E-3</v>
      </c>
      <c r="V242" t="s">
        <v>154</v>
      </c>
    </row>
    <row r="243" spans="9:22" x14ac:dyDescent="0.45">
      <c r="I243" t="s">
        <v>170</v>
      </c>
      <c r="J243" t="s">
        <v>272</v>
      </c>
      <c r="K243">
        <v>0</v>
      </c>
      <c r="L243" t="s">
        <v>154</v>
      </c>
      <c r="N243" t="s">
        <v>199</v>
      </c>
      <c r="O243" t="s">
        <v>272</v>
      </c>
      <c r="P243">
        <v>6.0388173791432374E-2</v>
      </c>
      <c r="Q243" t="s">
        <v>154</v>
      </c>
      <c r="S243" t="s">
        <v>223</v>
      </c>
      <c r="T243" t="s">
        <v>272</v>
      </c>
      <c r="U243">
        <v>5.5542797615710113E-2</v>
      </c>
      <c r="V243" t="s">
        <v>154</v>
      </c>
    </row>
    <row r="244" spans="9:22" x14ac:dyDescent="0.45">
      <c r="I244" t="s">
        <v>170</v>
      </c>
      <c r="J244" t="s">
        <v>273</v>
      </c>
      <c r="K244">
        <v>1.7856653795537868E-2</v>
      </c>
      <c r="L244" t="s">
        <v>154</v>
      </c>
      <c r="N244" t="s">
        <v>199</v>
      </c>
      <c r="O244" t="s">
        <v>273</v>
      </c>
      <c r="P244">
        <v>1.552045987812456E-2</v>
      </c>
      <c r="Q244" t="s">
        <v>154</v>
      </c>
      <c r="S244" t="s">
        <v>223</v>
      </c>
      <c r="T244" t="s">
        <v>273</v>
      </c>
      <c r="U244">
        <v>1.6502215733237832E-2</v>
      </c>
      <c r="V244" t="s">
        <v>154</v>
      </c>
    </row>
    <row r="245" spans="9:22" x14ac:dyDescent="0.45">
      <c r="I245" t="s">
        <v>170</v>
      </c>
      <c r="J245" t="s">
        <v>274</v>
      </c>
      <c r="K245">
        <v>1.4324574073419801E-2</v>
      </c>
      <c r="L245" t="s">
        <v>154</v>
      </c>
      <c r="N245" t="s">
        <v>199</v>
      </c>
      <c r="O245" t="s">
        <v>274</v>
      </c>
      <c r="P245">
        <v>9.4371964738571359E-3</v>
      </c>
      <c r="Q245" t="s">
        <v>154</v>
      </c>
      <c r="S245" t="s">
        <v>223</v>
      </c>
      <c r="T245" t="s">
        <v>274</v>
      </c>
      <c r="U245">
        <v>8.1686643181978734E-3</v>
      </c>
      <c r="V245" t="s">
        <v>154</v>
      </c>
    </row>
    <row r="246" spans="9:22" x14ac:dyDescent="0.45">
      <c r="I246" t="s">
        <v>170</v>
      </c>
      <c r="J246" t="s">
        <v>275</v>
      </c>
      <c r="K246">
        <v>9.4864282059808402E-2</v>
      </c>
      <c r="L246" t="s">
        <v>154</v>
      </c>
      <c r="N246" t="s">
        <v>199</v>
      </c>
      <c r="O246" t="s">
        <v>275</v>
      </c>
      <c r="P246">
        <v>5.1853763465662464E-2</v>
      </c>
      <c r="Q246" t="s">
        <v>154</v>
      </c>
      <c r="S246" t="s">
        <v>223</v>
      </c>
      <c r="T246" t="s">
        <v>275</v>
      </c>
      <c r="U246">
        <v>4.5012227413555338E-2</v>
      </c>
      <c r="V246" t="s">
        <v>154</v>
      </c>
    </row>
    <row r="247" spans="9:22" x14ac:dyDescent="0.45">
      <c r="I247" t="s">
        <v>170</v>
      </c>
      <c r="J247" t="s">
        <v>276</v>
      </c>
      <c r="K247">
        <v>1.1195340198364228E-2</v>
      </c>
      <c r="L247" t="s">
        <v>154</v>
      </c>
      <c r="N247" t="s">
        <v>199</v>
      </c>
      <c r="O247" t="s">
        <v>276</v>
      </c>
      <c r="P247">
        <v>7.3085868032406855E-3</v>
      </c>
      <c r="Q247" t="s">
        <v>154</v>
      </c>
      <c r="S247" t="s">
        <v>223</v>
      </c>
      <c r="T247" t="s">
        <v>276</v>
      </c>
      <c r="U247">
        <v>6.9789660114963062E-3</v>
      </c>
      <c r="V247" t="s">
        <v>154</v>
      </c>
    </row>
    <row r="248" spans="9:22" x14ac:dyDescent="0.45">
      <c r="I248" t="s">
        <v>170</v>
      </c>
      <c r="J248" t="s">
        <v>277</v>
      </c>
      <c r="K248">
        <v>6.9336645363999947E-3</v>
      </c>
      <c r="L248" t="s">
        <v>154</v>
      </c>
      <c r="N248" t="s">
        <v>199</v>
      </c>
      <c r="O248" t="s">
        <v>277</v>
      </c>
      <c r="P248">
        <v>7.3404883621311775E-3</v>
      </c>
      <c r="Q248" t="s">
        <v>154</v>
      </c>
      <c r="S248" t="s">
        <v>223</v>
      </c>
      <c r="T248" t="s">
        <v>277</v>
      </c>
      <c r="U248">
        <v>6.9395499630370925E-3</v>
      </c>
      <c r="V248" t="s">
        <v>154</v>
      </c>
    </row>
    <row r="249" spans="9:22" x14ac:dyDescent="0.45">
      <c r="I249" t="s">
        <v>170</v>
      </c>
      <c r="J249" t="s">
        <v>290</v>
      </c>
      <c r="K249">
        <v>0</v>
      </c>
      <c r="L249" t="s">
        <v>154</v>
      </c>
      <c r="N249" t="s">
        <v>199</v>
      </c>
      <c r="O249" t="s">
        <v>290</v>
      </c>
      <c r="P249">
        <v>5.2776973083820886E-3</v>
      </c>
      <c r="Q249" t="s">
        <v>154</v>
      </c>
      <c r="S249" t="s">
        <v>223</v>
      </c>
      <c r="T249" t="s">
        <v>290</v>
      </c>
      <c r="U249">
        <v>6.6157039103562762E-3</v>
      </c>
      <c r="V249" t="s">
        <v>154</v>
      </c>
    </row>
    <row r="250" spans="9:22" x14ac:dyDescent="0.45">
      <c r="I250" t="s">
        <v>170</v>
      </c>
      <c r="J250" t="s">
        <v>291</v>
      </c>
      <c r="K250">
        <v>0</v>
      </c>
      <c r="L250" t="s">
        <v>154</v>
      </c>
      <c r="N250" t="s">
        <v>199</v>
      </c>
      <c r="O250" t="s">
        <v>291</v>
      </c>
      <c r="P250">
        <v>3.3315517787895689E-2</v>
      </c>
      <c r="Q250" t="s">
        <v>154</v>
      </c>
      <c r="S250" t="s">
        <v>223</v>
      </c>
      <c r="T250" t="s">
        <v>291</v>
      </c>
      <c r="U250">
        <v>4.0278613385681096E-2</v>
      </c>
      <c r="V250" t="s">
        <v>154</v>
      </c>
    </row>
    <row r="251" spans="9:22" x14ac:dyDescent="0.45">
      <c r="I251" t="s">
        <v>171</v>
      </c>
      <c r="J251" t="s">
        <v>153</v>
      </c>
      <c r="K251">
        <v>0</v>
      </c>
      <c r="L251" t="s">
        <v>154</v>
      </c>
      <c r="N251" t="s">
        <v>200</v>
      </c>
      <c r="O251" t="s">
        <v>153</v>
      </c>
      <c r="P251">
        <v>0.1929977022459344</v>
      </c>
      <c r="Q251" t="s">
        <v>154</v>
      </c>
      <c r="S251" t="s">
        <v>224</v>
      </c>
      <c r="T251" t="s">
        <v>153</v>
      </c>
      <c r="U251">
        <v>0.1653401925349901</v>
      </c>
      <c r="V251" t="s">
        <v>154</v>
      </c>
    </row>
    <row r="252" spans="9:22" x14ac:dyDescent="0.45">
      <c r="I252" t="s">
        <v>171</v>
      </c>
      <c r="J252" t="s">
        <v>155</v>
      </c>
      <c r="K252">
        <v>6.0017979388181611E-2</v>
      </c>
      <c r="L252" t="s">
        <v>154</v>
      </c>
      <c r="N252" t="s">
        <v>200</v>
      </c>
      <c r="O252" t="s">
        <v>155</v>
      </c>
      <c r="P252">
        <v>5.2340187303836293E-2</v>
      </c>
      <c r="Q252" t="s">
        <v>154</v>
      </c>
      <c r="S252" t="s">
        <v>224</v>
      </c>
      <c r="T252" t="s">
        <v>155</v>
      </c>
      <c r="U252">
        <v>4.5120927404915488E-2</v>
      </c>
      <c r="V252" t="s">
        <v>154</v>
      </c>
    </row>
    <row r="253" spans="9:22" x14ac:dyDescent="0.45">
      <c r="I253" t="s">
        <v>171</v>
      </c>
      <c r="J253" t="s">
        <v>156</v>
      </c>
      <c r="K253">
        <v>5.302695726434474E-2</v>
      </c>
      <c r="L253" t="s">
        <v>154</v>
      </c>
      <c r="N253" t="s">
        <v>200</v>
      </c>
      <c r="O253" t="s">
        <v>156</v>
      </c>
      <c r="P253">
        <v>2.7425367210759874E-2</v>
      </c>
      <c r="Q253" t="s">
        <v>154</v>
      </c>
      <c r="S253" t="s">
        <v>224</v>
      </c>
      <c r="T253" t="s">
        <v>156</v>
      </c>
      <c r="U253">
        <v>2.4200059148009264E-2</v>
      </c>
      <c r="V253" t="s">
        <v>154</v>
      </c>
    </row>
    <row r="254" spans="9:22" x14ac:dyDescent="0.45">
      <c r="I254" t="s">
        <v>171</v>
      </c>
      <c r="J254" t="s">
        <v>255</v>
      </c>
      <c r="K254">
        <v>0.41689615235772065</v>
      </c>
      <c r="L254" t="s">
        <v>154</v>
      </c>
      <c r="N254" t="s">
        <v>200</v>
      </c>
      <c r="O254" t="s">
        <v>255</v>
      </c>
      <c r="P254">
        <v>0.15878710084965464</v>
      </c>
      <c r="Q254" t="s">
        <v>154</v>
      </c>
      <c r="S254" t="s">
        <v>224</v>
      </c>
      <c r="T254" t="s">
        <v>255</v>
      </c>
      <c r="U254">
        <v>0.1491165841607901</v>
      </c>
      <c r="V254" t="s">
        <v>154</v>
      </c>
    </row>
    <row r="255" spans="9:22" x14ac:dyDescent="0.45">
      <c r="I255" t="s">
        <v>171</v>
      </c>
      <c r="J255" t="s">
        <v>256</v>
      </c>
      <c r="K255">
        <v>5.0790125790442633E-2</v>
      </c>
      <c r="L255" t="s">
        <v>154</v>
      </c>
      <c r="N255" t="s">
        <v>200</v>
      </c>
      <c r="O255" t="s">
        <v>256</v>
      </c>
      <c r="P255">
        <v>2.5208196295987254E-2</v>
      </c>
      <c r="Q255" t="s">
        <v>154</v>
      </c>
      <c r="S255" t="s">
        <v>224</v>
      </c>
      <c r="T255" t="s">
        <v>256</v>
      </c>
      <c r="U255">
        <v>2.3424235404746446E-2</v>
      </c>
      <c r="V255" t="s">
        <v>154</v>
      </c>
    </row>
    <row r="256" spans="9:22" x14ac:dyDescent="0.45">
      <c r="I256" t="s">
        <v>171</v>
      </c>
      <c r="J256" t="s">
        <v>257</v>
      </c>
      <c r="K256">
        <v>3.6959703969593749E-2</v>
      </c>
      <c r="L256" t="s">
        <v>154</v>
      </c>
      <c r="N256" t="s">
        <v>200</v>
      </c>
      <c r="O256" t="s">
        <v>257</v>
      </c>
      <c r="P256">
        <v>2.5159278628548346E-2</v>
      </c>
      <c r="Q256" t="s">
        <v>154</v>
      </c>
      <c r="S256" t="s">
        <v>224</v>
      </c>
      <c r="T256" t="s">
        <v>257</v>
      </c>
      <c r="U256">
        <v>2.2950611282645007E-2</v>
      </c>
      <c r="V256" t="s">
        <v>154</v>
      </c>
    </row>
    <row r="257" spans="9:22" x14ac:dyDescent="0.45">
      <c r="I257" t="s">
        <v>171</v>
      </c>
      <c r="J257" t="s">
        <v>282</v>
      </c>
      <c r="K257">
        <v>2.1072979855610775E-2</v>
      </c>
      <c r="L257" t="s">
        <v>154</v>
      </c>
      <c r="N257" t="s">
        <v>200</v>
      </c>
      <c r="O257" t="s">
        <v>282</v>
      </c>
      <c r="P257">
        <v>2.0286293709896819E-2</v>
      </c>
      <c r="Q257" t="s">
        <v>154</v>
      </c>
      <c r="S257" t="s">
        <v>224</v>
      </c>
      <c r="T257" t="s">
        <v>282</v>
      </c>
      <c r="U257">
        <v>1.8603669034386993E-2</v>
      </c>
      <c r="V257" t="s">
        <v>154</v>
      </c>
    </row>
    <row r="258" spans="9:22" x14ac:dyDescent="0.45">
      <c r="I258" t="s">
        <v>171</v>
      </c>
      <c r="J258" t="s">
        <v>283</v>
      </c>
      <c r="K258">
        <v>0</v>
      </c>
      <c r="L258" t="s">
        <v>154</v>
      </c>
      <c r="N258" t="s">
        <v>200</v>
      </c>
      <c r="O258" t="s">
        <v>283</v>
      </c>
      <c r="P258">
        <v>0.10812783313258144</v>
      </c>
      <c r="Q258" t="s">
        <v>154</v>
      </c>
      <c r="S258" t="s">
        <v>224</v>
      </c>
      <c r="T258" t="s">
        <v>283</v>
      </c>
      <c r="U258">
        <v>0.1009723126195393</v>
      </c>
      <c r="V258" t="s">
        <v>154</v>
      </c>
    </row>
    <row r="259" spans="9:22" x14ac:dyDescent="0.45">
      <c r="I259" t="s">
        <v>171</v>
      </c>
      <c r="J259" t="s">
        <v>157</v>
      </c>
      <c r="K259">
        <v>0</v>
      </c>
      <c r="L259" t="s">
        <v>154</v>
      </c>
      <c r="N259" t="s">
        <v>200</v>
      </c>
      <c r="O259" t="s">
        <v>157</v>
      </c>
      <c r="P259">
        <v>1.3068812202149529E-2</v>
      </c>
      <c r="Q259" t="s">
        <v>154</v>
      </c>
      <c r="S259" t="s">
        <v>224</v>
      </c>
      <c r="T259" t="s">
        <v>157</v>
      </c>
      <c r="U259">
        <v>1.5876747549628506E-2</v>
      </c>
      <c r="V259" t="s">
        <v>154</v>
      </c>
    </row>
    <row r="260" spans="9:22" x14ac:dyDescent="0.45">
      <c r="I260" t="s">
        <v>171</v>
      </c>
      <c r="J260" t="s">
        <v>158</v>
      </c>
      <c r="K260">
        <v>7.1343699082493505E-3</v>
      </c>
      <c r="L260" t="s">
        <v>154</v>
      </c>
      <c r="N260" t="s">
        <v>200</v>
      </c>
      <c r="O260" t="s">
        <v>158</v>
      </c>
      <c r="P260">
        <v>2.7605202914288999E-3</v>
      </c>
      <c r="Q260" t="s">
        <v>154</v>
      </c>
      <c r="S260" t="s">
        <v>224</v>
      </c>
      <c r="T260" t="s">
        <v>158</v>
      </c>
      <c r="U260">
        <v>3.9940454817748898E-3</v>
      </c>
      <c r="V260" t="s">
        <v>154</v>
      </c>
    </row>
    <row r="261" spans="9:22" x14ac:dyDescent="0.45">
      <c r="I261" t="s">
        <v>171</v>
      </c>
      <c r="J261" t="s">
        <v>159</v>
      </c>
      <c r="K261">
        <v>5.8091539167079769E-3</v>
      </c>
      <c r="L261" t="s">
        <v>154</v>
      </c>
      <c r="N261" t="s">
        <v>200</v>
      </c>
      <c r="O261" t="s">
        <v>159</v>
      </c>
      <c r="P261">
        <v>1.3922840835834916E-3</v>
      </c>
      <c r="Q261" t="s">
        <v>154</v>
      </c>
      <c r="S261" t="s">
        <v>224</v>
      </c>
      <c r="T261" t="s">
        <v>159</v>
      </c>
      <c r="U261">
        <v>2.1619082721915451E-3</v>
      </c>
      <c r="V261" t="s">
        <v>154</v>
      </c>
    </row>
    <row r="262" spans="9:22" x14ac:dyDescent="0.45">
      <c r="I262" t="s">
        <v>171</v>
      </c>
      <c r="J262" t="s">
        <v>258</v>
      </c>
      <c r="K262">
        <v>4.3943410584269676E-2</v>
      </c>
      <c r="L262" t="s">
        <v>154</v>
      </c>
      <c r="N262" t="s">
        <v>200</v>
      </c>
      <c r="O262" t="s">
        <v>258</v>
      </c>
      <c r="P262">
        <v>1.0136624706882851E-2</v>
      </c>
      <c r="Q262" t="s">
        <v>154</v>
      </c>
      <c r="S262" t="s">
        <v>224</v>
      </c>
      <c r="T262" t="s">
        <v>258</v>
      </c>
      <c r="U262">
        <v>1.3672049937318817E-2</v>
      </c>
      <c r="V262" t="s">
        <v>154</v>
      </c>
    </row>
    <row r="263" spans="9:22" x14ac:dyDescent="0.45">
      <c r="I263" t="s">
        <v>171</v>
      </c>
      <c r="J263" t="s">
        <v>259</v>
      </c>
      <c r="K263">
        <v>5.2555468230315039E-3</v>
      </c>
      <c r="L263" t="s">
        <v>154</v>
      </c>
      <c r="N263" t="s">
        <v>200</v>
      </c>
      <c r="O263" t="s">
        <v>259</v>
      </c>
      <c r="P263">
        <v>1.8320566290650781E-3</v>
      </c>
      <c r="Q263" t="s">
        <v>154</v>
      </c>
      <c r="S263" t="s">
        <v>224</v>
      </c>
      <c r="T263" t="s">
        <v>259</v>
      </c>
      <c r="U263">
        <v>2.0443052523125534E-3</v>
      </c>
      <c r="V263" t="s">
        <v>154</v>
      </c>
    </row>
    <row r="264" spans="9:22" x14ac:dyDescent="0.45">
      <c r="I264" t="s">
        <v>171</v>
      </c>
      <c r="J264" t="s">
        <v>260</v>
      </c>
      <c r="K264">
        <v>3.8269453066281994E-3</v>
      </c>
      <c r="L264" t="s">
        <v>154</v>
      </c>
      <c r="N264" t="s">
        <v>200</v>
      </c>
      <c r="O264" t="s">
        <v>260</v>
      </c>
      <c r="P264">
        <v>1.672041874854198E-3</v>
      </c>
      <c r="Q264" t="s">
        <v>154</v>
      </c>
      <c r="S264" t="s">
        <v>224</v>
      </c>
      <c r="T264" t="s">
        <v>260</v>
      </c>
      <c r="U264">
        <v>1.9710896349895489E-3</v>
      </c>
      <c r="V264" t="s">
        <v>154</v>
      </c>
    </row>
    <row r="265" spans="9:22" x14ac:dyDescent="0.45">
      <c r="I265" t="s">
        <v>171</v>
      </c>
      <c r="J265" t="s">
        <v>284</v>
      </c>
      <c r="K265">
        <v>2.0566467214092918E-3</v>
      </c>
      <c r="L265" t="s">
        <v>154</v>
      </c>
      <c r="N265" t="s">
        <v>200</v>
      </c>
      <c r="O265" t="s">
        <v>284</v>
      </c>
      <c r="P265">
        <v>1.2440657850535935E-3</v>
      </c>
      <c r="Q265" t="s">
        <v>154</v>
      </c>
      <c r="S265" t="s">
        <v>224</v>
      </c>
      <c r="T265" t="s">
        <v>284</v>
      </c>
      <c r="U265">
        <v>1.6362127768349793E-3</v>
      </c>
      <c r="V265" t="s">
        <v>154</v>
      </c>
    </row>
    <row r="266" spans="9:22" x14ac:dyDescent="0.45">
      <c r="I266" t="s">
        <v>171</v>
      </c>
      <c r="J266" t="s">
        <v>285</v>
      </c>
      <c r="K266">
        <v>0</v>
      </c>
      <c r="L266" t="s">
        <v>154</v>
      </c>
      <c r="N266" t="s">
        <v>200</v>
      </c>
      <c r="O266" t="s">
        <v>285</v>
      </c>
      <c r="P266">
        <v>6.4439150829917417E-3</v>
      </c>
      <c r="Q266" t="s">
        <v>154</v>
      </c>
      <c r="S266" t="s">
        <v>224</v>
      </c>
      <c r="T266" t="s">
        <v>285</v>
      </c>
      <c r="U266">
        <v>8.7133974435396559E-3</v>
      </c>
      <c r="V266" t="s">
        <v>154</v>
      </c>
    </row>
    <row r="267" spans="9:22" x14ac:dyDescent="0.45">
      <c r="I267" t="s">
        <v>171</v>
      </c>
      <c r="J267" t="s">
        <v>160</v>
      </c>
      <c r="K267">
        <v>0</v>
      </c>
      <c r="L267" t="s">
        <v>154</v>
      </c>
      <c r="N267" t="s">
        <v>200</v>
      </c>
      <c r="O267" t="s">
        <v>160</v>
      </c>
      <c r="P267">
        <v>4.4044207839657422E-2</v>
      </c>
      <c r="Q267" t="s">
        <v>154</v>
      </c>
      <c r="S267" t="s">
        <v>224</v>
      </c>
      <c r="T267" t="s">
        <v>160</v>
      </c>
      <c r="U267">
        <v>4.8821167430950697E-2</v>
      </c>
      <c r="V267" t="s">
        <v>154</v>
      </c>
    </row>
    <row r="268" spans="9:22" x14ac:dyDescent="0.45">
      <c r="I268" t="s">
        <v>171</v>
      </c>
      <c r="J268" t="s">
        <v>161</v>
      </c>
      <c r="K268">
        <v>7.5892350851618608E-3</v>
      </c>
      <c r="L268" t="s">
        <v>154</v>
      </c>
      <c r="N268" t="s">
        <v>200</v>
      </c>
      <c r="O268" t="s">
        <v>161</v>
      </c>
      <c r="P268">
        <v>1.1445422055656039E-2</v>
      </c>
      <c r="Q268" t="s">
        <v>154</v>
      </c>
      <c r="S268" t="s">
        <v>224</v>
      </c>
      <c r="T268" t="s">
        <v>161</v>
      </c>
      <c r="U268">
        <v>1.3184442831833088E-2</v>
      </c>
      <c r="V268" t="s">
        <v>154</v>
      </c>
    </row>
    <row r="269" spans="9:22" x14ac:dyDescent="0.45">
      <c r="I269" t="s">
        <v>171</v>
      </c>
      <c r="J269" t="s">
        <v>162</v>
      </c>
      <c r="K269">
        <v>6.694264304947949E-3</v>
      </c>
      <c r="L269" t="s">
        <v>154</v>
      </c>
      <c r="N269" t="s">
        <v>200</v>
      </c>
      <c r="O269" t="s">
        <v>162</v>
      </c>
      <c r="P269">
        <v>5.9297123498753242E-3</v>
      </c>
      <c r="Q269" t="s">
        <v>154</v>
      </c>
      <c r="S269" t="s">
        <v>224</v>
      </c>
      <c r="T269" t="s">
        <v>162</v>
      </c>
      <c r="U269">
        <v>6.9321438081128544E-3</v>
      </c>
      <c r="V269" t="s">
        <v>154</v>
      </c>
    </row>
    <row r="270" spans="9:22" x14ac:dyDescent="0.45">
      <c r="I270" t="s">
        <v>171</v>
      </c>
      <c r="J270" t="s">
        <v>261</v>
      </c>
      <c r="K270">
        <v>4.8176547372167942E-2</v>
      </c>
      <c r="L270" t="s">
        <v>154</v>
      </c>
      <c r="N270" t="s">
        <v>200</v>
      </c>
      <c r="O270" t="s">
        <v>261</v>
      </c>
      <c r="P270">
        <v>4.0678294426016039E-2</v>
      </c>
      <c r="Q270" t="s">
        <v>154</v>
      </c>
      <c r="S270" t="s">
        <v>224</v>
      </c>
      <c r="T270" t="s">
        <v>261</v>
      </c>
      <c r="U270">
        <v>4.6089977246756571E-2</v>
      </c>
      <c r="V270" t="s">
        <v>154</v>
      </c>
    </row>
    <row r="271" spans="9:22" x14ac:dyDescent="0.45">
      <c r="I271" t="s">
        <v>171</v>
      </c>
      <c r="J271" t="s">
        <v>262</v>
      </c>
      <c r="K271">
        <v>5.1053731019636665E-3</v>
      </c>
      <c r="L271" t="s">
        <v>154</v>
      </c>
      <c r="N271" t="s">
        <v>200</v>
      </c>
      <c r="O271" t="s">
        <v>262</v>
      </c>
      <c r="P271">
        <v>7.253578575894871E-3</v>
      </c>
      <c r="Q271" t="s">
        <v>154</v>
      </c>
      <c r="S271" t="s">
        <v>224</v>
      </c>
      <c r="T271" t="s">
        <v>262</v>
      </c>
      <c r="U271">
        <v>7.8106950013870765E-3</v>
      </c>
      <c r="V271" t="s">
        <v>154</v>
      </c>
    </row>
    <row r="272" spans="9:22" x14ac:dyDescent="0.45">
      <c r="I272" t="s">
        <v>171</v>
      </c>
      <c r="J272" t="s">
        <v>263</v>
      </c>
      <c r="K272">
        <v>3.5146879923377626E-3</v>
      </c>
      <c r="L272" t="s">
        <v>154</v>
      </c>
      <c r="N272" t="s">
        <v>200</v>
      </c>
      <c r="O272" t="s">
        <v>263</v>
      </c>
      <c r="P272">
        <v>6.9439105005104059E-3</v>
      </c>
      <c r="Q272" t="s">
        <v>154</v>
      </c>
      <c r="S272" t="s">
        <v>224</v>
      </c>
      <c r="T272" t="s">
        <v>263</v>
      </c>
      <c r="U272">
        <v>7.7258052951922063E-3</v>
      </c>
      <c r="V272" t="s">
        <v>154</v>
      </c>
    </row>
    <row r="273" spans="9:22" x14ac:dyDescent="0.45">
      <c r="I273" t="s">
        <v>171</v>
      </c>
      <c r="J273" t="s">
        <v>286</v>
      </c>
      <c r="K273">
        <v>1.8044031077181894E-3</v>
      </c>
      <c r="L273" t="s">
        <v>154</v>
      </c>
      <c r="N273" t="s">
        <v>200</v>
      </c>
      <c r="O273" t="s">
        <v>286</v>
      </c>
      <c r="P273">
        <v>5.9972120909288686E-3</v>
      </c>
      <c r="Q273" t="s">
        <v>154</v>
      </c>
      <c r="S273" t="s">
        <v>224</v>
      </c>
      <c r="T273" t="s">
        <v>286</v>
      </c>
      <c r="U273">
        <v>6.9647032054372723E-3</v>
      </c>
      <c r="V273" t="s">
        <v>154</v>
      </c>
    </row>
    <row r="274" spans="9:22" x14ac:dyDescent="0.45">
      <c r="I274" t="s">
        <v>171</v>
      </c>
      <c r="J274" t="s">
        <v>287</v>
      </c>
      <c r="K274">
        <v>0</v>
      </c>
      <c r="L274" t="s">
        <v>154</v>
      </c>
      <c r="N274" t="s">
        <v>200</v>
      </c>
      <c r="O274" t="s">
        <v>287</v>
      </c>
      <c r="P274">
        <v>3.082955484576665E-2</v>
      </c>
      <c r="Q274" t="s">
        <v>154</v>
      </c>
      <c r="S274" t="s">
        <v>224</v>
      </c>
      <c r="T274" t="s">
        <v>287</v>
      </c>
      <c r="U274">
        <v>3.4303658204374352E-2</v>
      </c>
      <c r="V274" t="s">
        <v>154</v>
      </c>
    </row>
    <row r="275" spans="9:22" x14ac:dyDescent="0.45">
      <c r="I275" t="s">
        <v>171</v>
      </c>
      <c r="J275" t="s">
        <v>163</v>
      </c>
      <c r="K275">
        <v>0</v>
      </c>
      <c r="L275" t="s">
        <v>154</v>
      </c>
      <c r="N275" t="s">
        <v>200</v>
      </c>
      <c r="O275" t="s">
        <v>163</v>
      </c>
      <c r="P275">
        <v>8.665393781867356E-3</v>
      </c>
      <c r="Q275" t="s">
        <v>154</v>
      </c>
      <c r="S275" t="s">
        <v>224</v>
      </c>
      <c r="T275" t="s">
        <v>163</v>
      </c>
      <c r="U275">
        <v>1.3579824510686933E-2</v>
      </c>
      <c r="V275" t="s">
        <v>154</v>
      </c>
    </row>
    <row r="276" spans="9:22" x14ac:dyDescent="0.45">
      <c r="I276" t="s">
        <v>171</v>
      </c>
      <c r="J276" t="s">
        <v>164</v>
      </c>
      <c r="K276">
        <v>7.4883796741876431E-3</v>
      </c>
      <c r="L276" t="s">
        <v>154</v>
      </c>
      <c r="N276" t="s">
        <v>200</v>
      </c>
      <c r="O276" t="s">
        <v>164</v>
      </c>
      <c r="P276">
        <v>3.5400729407385799E-3</v>
      </c>
      <c r="Q276" t="s">
        <v>154</v>
      </c>
      <c r="S276" t="s">
        <v>224</v>
      </c>
      <c r="T276" t="s">
        <v>164</v>
      </c>
      <c r="U276">
        <v>3.9676322899383221E-3</v>
      </c>
      <c r="V276" t="s">
        <v>154</v>
      </c>
    </row>
    <row r="277" spans="9:22" x14ac:dyDescent="0.45">
      <c r="I277" t="s">
        <v>171</v>
      </c>
      <c r="J277" t="s">
        <v>165</v>
      </c>
      <c r="K277">
        <v>6.3292954135565193E-3</v>
      </c>
      <c r="L277" t="s">
        <v>154</v>
      </c>
      <c r="N277" t="s">
        <v>200</v>
      </c>
      <c r="O277" t="s">
        <v>165</v>
      </c>
      <c r="P277">
        <v>1.9768822451226731E-3</v>
      </c>
      <c r="Q277" t="s">
        <v>154</v>
      </c>
      <c r="S277" t="s">
        <v>224</v>
      </c>
      <c r="T277" t="s">
        <v>165</v>
      </c>
      <c r="U277">
        <v>1.8730057549350033E-3</v>
      </c>
      <c r="V277" t="s">
        <v>154</v>
      </c>
    </row>
    <row r="278" spans="9:22" x14ac:dyDescent="0.45">
      <c r="I278" t="s">
        <v>171</v>
      </c>
      <c r="J278" t="s">
        <v>264</v>
      </c>
      <c r="K278">
        <v>4.328972804349953E-2</v>
      </c>
      <c r="L278" t="s">
        <v>154</v>
      </c>
      <c r="N278" t="s">
        <v>200</v>
      </c>
      <c r="O278" t="s">
        <v>264</v>
      </c>
      <c r="P278">
        <v>1.0249375165659559E-2</v>
      </c>
      <c r="Q278" t="s">
        <v>154</v>
      </c>
      <c r="S278" t="s">
        <v>224</v>
      </c>
      <c r="T278" t="s">
        <v>264</v>
      </c>
      <c r="U278">
        <v>1.1001373334836157E-2</v>
      </c>
      <c r="V278" t="s">
        <v>154</v>
      </c>
    </row>
    <row r="279" spans="9:22" x14ac:dyDescent="0.45">
      <c r="I279" t="s">
        <v>171</v>
      </c>
      <c r="J279" t="s">
        <v>265</v>
      </c>
      <c r="K279">
        <v>5.0911189989724962E-3</v>
      </c>
      <c r="L279" t="s">
        <v>154</v>
      </c>
      <c r="N279" t="s">
        <v>200</v>
      </c>
      <c r="O279" t="s">
        <v>265</v>
      </c>
      <c r="P279">
        <v>1.3064183224011576E-3</v>
      </c>
      <c r="Q279" t="s">
        <v>154</v>
      </c>
      <c r="S279" t="s">
        <v>224</v>
      </c>
      <c r="T279" t="s">
        <v>265</v>
      </c>
      <c r="U279">
        <v>1.6784579668175947E-3</v>
      </c>
      <c r="V279" t="s">
        <v>154</v>
      </c>
    </row>
    <row r="280" spans="9:22" x14ac:dyDescent="0.45">
      <c r="I280" t="s">
        <v>171</v>
      </c>
      <c r="J280" t="s">
        <v>266</v>
      </c>
      <c r="K280">
        <v>3.3537258896668204E-3</v>
      </c>
      <c r="L280" t="s">
        <v>154</v>
      </c>
      <c r="N280" t="s">
        <v>200</v>
      </c>
      <c r="O280" t="s">
        <v>266</v>
      </c>
      <c r="P280">
        <v>1.1874473256666186E-3</v>
      </c>
      <c r="Q280" t="s">
        <v>154</v>
      </c>
      <c r="S280" t="s">
        <v>224</v>
      </c>
      <c r="T280" t="s">
        <v>266</v>
      </c>
      <c r="U280">
        <v>1.6317570388623935E-3</v>
      </c>
      <c r="V280" t="s">
        <v>154</v>
      </c>
    </row>
    <row r="281" spans="9:22" x14ac:dyDescent="0.45">
      <c r="I281" t="s">
        <v>171</v>
      </c>
      <c r="J281" t="s">
        <v>288</v>
      </c>
      <c r="K281">
        <v>4.096984733620142E-4</v>
      </c>
      <c r="L281" t="s">
        <v>154</v>
      </c>
      <c r="N281" t="s">
        <v>200</v>
      </c>
      <c r="O281" t="s">
        <v>288</v>
      </c>
      <c r="P281">
        <v>9.6716892709432234E-4</v>
      </c>
      <c r="Q281" t="s">
        <v>154</v>
      </c>
      <c r="S281" t="s">
        <v>224</v>
      </c>
      <c r="T281" t="s">
        <v>288</v>
      </c>
      <c r="U281">
        <v>1.3774833007782611E-3</v>
      </c>
      <c r="V281" t="s">
        <v>154</v>
      </c>
    </row>
    <row r="282" spans="9:22" x14ac:dyDescent="0.45">
      <c r="I282" t="s">
        <v>171</v>
      </c>
      <c r="J282" t="s">
        <v>289</v>
      </c>
      <c r="K282">
        <v>0</v>
      </c>
      <c r="L282" t="s">
        <v>154</v>
      </c>
      <c r="N282" t="s">
        <v>200</v>
      </c>
      <c r="O282" t="s">
        <v>289</v>
      </c>
      <c r="P282">
        <v>4.428759193522429E-3</v>
      </c>
      <c r="Q282" t="s">
        <v>154</v>
      </c>
      <c r="S282" t="s">
        <v>224</v>
      </c>
      <c r="T282" t="s">
        <v>289</v>
      </c>
      <c r="U282">
        <v>6.1437608237475683E-3</v>
      </c>
      <c r="V282" t="s">
        <v>154</v>
      </c>
    </row>
    <row r="283" spans="9:22" x14ac:dyDescent="0.45">
      <c r="I283" t="s">
        <v>171</v>
      </c>
      <c r="J283" t="s">
        <v>272</v>
      </c>
      <c r="K283">
        <v>0</v>
      </c>
      <c r="L283" t="s">
        <v>154</v>
      </c>
      <c r="N283" t="s">
        <v>200</v>
      </c>
      <c r="O283" t="s">
        <v>272</v>
      </c>
      <c r="P283">
        <v>5.3282438148006192E-2</v>
      </c>
      <c r="Q283" t="s">
        <v>154</v>
      </c>
      <c r="S283" t="s">
        <v>224</v>
      </c>
      <c r="T283" t="s">
        <v>272</v>
      </c>
      <c r="U283">
        <v>5.7064514920369278E-2</v>
      </c>
      <c r="V283" t="s">
        <v>154</v>
      </c>
    </row>
    <row r="284" spans="9:22" x14ac:dyDescent="0.45">
      <c r="I284" t="s">
        <v>171</v>
      </c>
      <c r="J284" t="s">
        <v>273</v>
      </c>
      <c r="K284">
        <v>1.7080182676784159E-2</v>
      </c>
      <c r="L284" t="s">
        <v>154</v>
      </c>
      <c r="N284" t="s">
        <v>200</v>
      </c>
      <c r="O284" t="s">
        <v>273</v>
      </c>
      <c r="P284">
        <v>1.4594843542265531E-2</v>
      </c>
      <c r="Q284" t="s">
        <v>154</v>
      </c>
      <c r="S284" t="s">
        <v>224</v>
      </c>
      <c r="T284" t="s">
        <v>273</v>
      </c>
      <c r="U284">
        <v>1.5732613721605282E-2</v>
      </c>
      <c r="V284" t="s">
        <v>154</v>
      </c>
    </row>
    <row r="285" spans="9:22" x14ac:dyDescent="0.45">
      <c r="I285" t="s">
        <v>171</v>
      </c>
      <c r="J285" t="s">
        <v>274</v>
      </c>
      <c r="K285">
        <v>1.4181776142890942E-2</v>
      </c>
      <c r="L285" t="s">
        <v>154</v>
      </c>
      <c r="N285" t="s">
        <v>200</v>
      </c>
      <c r="O285" t="s">
        <v>274</v>
      </c>
      <c r="P285">
        <v>7.854886640399036E-3</v>
      </c>
      <c r="Q285" t="s">
        <v>154</v>
      </c>
      <c r="S285" t="s">
        <v>224</v>
      </c>
      <c r="T285" t="s">
        <v>274</v>
      </c>
      <c r="U285">
        <v>8.7490846799816047E-3</v>
      </c>
      <c r="V285" t="s">
        <v>154</v>
      </c>
    </row>
    <row r="286" spans="9:22" x14ac:dyDescent="0.45">
      <c r="I286" t="s">
        <v>171</v>
      </c>
      <c r="J286" t="s">
        <v>275</v>
      </c>
      <c r="K286">
        <v>9.8652480100062959E-2</v>
      </c>
      <c r="L286" t="s">
        <v>154</v>
      </c>
      <c r="N286" t="s">
        <v>200</v>
      </c>
      <c r="O286" t="s">
        <v>275</v>
      </c>
      <c r="P286">
        <v>4.3339426183153174E-2</v>
      </c>
      <c r="Q286" t="s">
        <v>154</v>
      </c>
      <c r="S286" t="s">
        <v>224</v>
      </c>
      <c r="T286" t="s">
        <v>275</v>
      </c>
      <c r="U286">
        <v>4.9833030288398715E-2</v>
      </c>
      <c r="V286" t="s">
        <v>154</v>
      </c>
    </row>
    <row r="287" spans="9:22" x14ac:dyDescent="0.45">
      <c r="I287" t="s">
        <v>171</v>
      </c>
      <c r="J287" t="s">
        <v>276</v>
      </c>
      <c r="K287">
        <v>1.2699797200433719E-2</v>
      </c>
      <c r="L287" t="s">
        <v>154</v>
      </c>
      <c r="N287" t="s">
        <v>200</v>
      </c>
      <c r="O287" t="s">
        <v>276</v>
      </c>
      <c r="P287">
        <v>6.7450834744773652E-3</v>
      </c>
      <c r="Q287" t="s">
        <v>154</v>
      </c>
      <c r="S287" t="s">
        <v>224</v>
      </c>
      <c r="T287" t="s">
        <v>276</v>
      </c>
      <c r="U287">
        <v>7.0039266315544578E-3</v>
      </c>
      <c r="V287" t="s">
        <v>154</v>
      </c>
    </row>
    <row r="288" spans="9:22" x14ac:dyDescent="0.45">
      <c r="I288" t="s">
        <v>171</v>
      </c>
      <c r="J288" t="s">
        <v>277</v>
      </c>
      <c r="K288">
        <v>9.0674230877991271E-3</v>
      </c>
      <c r="L288" t="s">
        <v>154</v>
      </c>
      <c r="N288" t="s">
        <v>200</v>
      </c>
      <c r="O288" t="s">
        <v>277</v>
      </c>
      <c r="P288">
        <v>6.7359973350559705E-3</v>
      </c>
      <c r="Q288" t="s">
        <v>154</v>
      </c>
      <c r="S288" t="s">
        <v>224</v>
      </c>
      <c r="T288" t="s">
        <v>277</v>
      </c>
      <c r="U288">
        <v>6.8007880227713329E-3</v>
      </c>
      <c r="V288" t="s">
        <v>154</v>
      </c>
    </row>
    <row r="289" spans="9:22" x14ac:dyDescent="0.45">
      <c r="I289" t="s">
        <v>171</v>
      </c>
      <c r="J289" t="s">
        <v>290</v>
      </c>
      <c r="K289">
        <v>2.6819114482975301E-3</v>
      </c>
      <c r="L289" t="s">
        <v>154</v>
      </c>
      <c r="N289" t="s">
        <v>200</v>
      </c>
      <c r="O289" t="s">
        <v>290</v>
      </c>
      <c r="P289">
        <v>4.871250617207154E-3</v>
      </c>
      <c r="Q289" t="s">
        <v>154</v>
      </c>
      <c r="S289" t="s">
        <v>224</v>
      </c>
      <c r="T289" t="s">
        <v>290</v>
      </c>
      <c r="U289">
        <v>5.3774702920186285E-3</v>
      </c>
      <c r="V289" t="s">
        <v>154</v>
      </c>
    </row>
    <row r="290" spans="9:22" x14ac:dyDescent="0.45">
      <c r="I290" t="s">
        <v>171</v>
      </c>
      <c r="J290" t="s">
        <v>291</v>
      </c>
      <c r="K290">
        <v>0</v>
      </c>
      <c r="L290" t="s">
        <v>154</v>
      </c>
      <c r="N290" t="s">
        <v>200</v>
      </c>
      <c r="O290" t="s">
        <v>291</v>
      </c>
      <c r="P290">
        <v>2.8250383439844557E-2</v>
      </c>
      <c r="Q290" t="s">
        <v>154</v>
      </c>
      <c r="S290" t="s">
        <v>224</v>
      </c>
      <c r="T290" t="s">
        <v>291</v>
      </c>
      <c r="U290">
        <v>3.6554335460040027E-2</v>
      </c>
      <c r="V290" t="s">
        <v>154</v>
      </c>
    </row>
    <row r="291" spans="9:22" x14ac:dyDescent="0.45">
      <c r="I291" t="s">
        <v>172</v>
      </c>
      <c r="J291" t="s">
        <v>153</v>
      </c>
      <c r="K291">
        <v>0</v>
      </c>
      <c r="L291" t="s">
        <v>154</v>
      </c>
      <c r="N291" t="s">
        <v>201</v>
      </c>
      <c r="O291" t="s">
        <v>153</v>
      </c>
      <c r="P291">
        <v>0.17821345751775769</v>
      </c>
      <c r="Q291" t="s">
        <v>154</v>
      </c>
      <c r="S291" t="s">
        <v>225</v>
      </c>
      <c r="T291" t="s">
        <v>153</v>
      </c>
      <c r="U291">
        <v>0.18932936862385111</v>
      </c>
      <c r="V291" t="s">
        <v>154</v>
      </c>
    </row>
    <row r="292" spans="9:22" x14ac:dyDescent="0.45">
      <c r="I292" t="s">
        <v>172</v>
      </c>
      <c r="J292" t="s">
        <v>155</v>
      </c>
      <c r="K292">
        <v>5.1218952791158748E-2</v>
      </c>
      <c r="L292" t="s">
        <v>154</v>
      </c>
      <c r="N292" t="s">
        <v>201</v>
      </c>
      <c r="O292" t="s">
        <v>155</v>
      </c>
      <c r="P292">
        <v>4.419009361274346E-2</v>
      </c>
      <c r="Q292" t="s">
        <v>154</v>
      </c>
      <c r="S292" t="s">
        <v>225</v>
      </c>
      <c r="T292" t="s">
        <v>155</v>
      </c>
      <c r="U292">
        <v>5.3504553144629957E-2</v>
      </c>
      <c r="V292" t="s">
        <v>154</v>
      </c>
    </row>
    <row r="293" spans="9:22" x14ac:dyDescent="0.45">
      <c r="I293" t="s">
        <v>172</v>
      </c>
      <c r="J293" t="s">
        <v>156</v>
      </c>
      <c r="K293">
        <v>5.058200001479371E-2</v>
      </c>
      <c r="L293" t="s">
        <v>154</v>
      </c>
      <c r="N293" t="s">
        <v>201</v>
      </c>
      <c r="O293" t="s">
        <v>156</v>
      </c>
      <c r="P293">
        <v>2.3573107765921371E-2</v>
      </c>
      <c r="Q293" t="s">
        <v>154</v>
      </c>
      <c r="S293" t="s">
        <v>225</v>
      </c>
      <c r="T293" t="s">
        <v>156</v>
      </c>
      <c r="U293">
        <v>2.7505442557941785E-2</v>
      </c>
      <c r="V293" t="s">
        <v>154</v>
      </c>
    </row>
    <row r="294" spans="9:22" x14ac:dyDescent="0.45">
      <c r="I294" t="s">
        <v>172</v>
      </c>
      <c r="J294" t="s">
        <v>255</v>
      </c>
      <c r="K294">
        <v>0.4230184324572111</v>
      </c>
      <c r="L294" t="s">
        <v>154</v>
      </c>
      <c r="N294" t="s">
        <v>201</v>
      </c>
      <c r="O294" t="s">
        <v>255</v>
      </c>
      <c r="P294">
        <v>0.14839347128170083</v>
      </c>
      <c r="Q294" t="s">
        <v>154</v>
      </c>
      <c r="S294" t="s">
        <v>225</v>
      </c>
      <c r="T294" t="s">
        <v>255</v>
      </c>
      <c r="U294">
        <v>0.157327221200252</v>
      </c>
      <c r="V294" t="s">
        <v>154</v>
      </c>
    </row>
    <row r="295" spans="9:22" x14ac:dyDescent="0.45">
      <c r="I295" t="s">
        <v>172</v>
      </c>
      <c r="J295" t="s">
        <v>256</v>
      </c>
      <c r="K295">
        <v>5.2738735411558525E-2</v>
      </c>
      <c r="L295" t="s">
        <v>154</v>
      </c>
      <c r="N295" t="s">
        <v>201</v>
      </c>
      <c r="O295" t="s">
        <v>256</v>
      </c>
      <c r="P295">
        <v>2.9059118024851189E-2</v>
      </c>
      <c r="Q295" t="s">
        <v>154</v>
      </c>
      <c r="S295" t="s">
        <v>225</v>
      </c>
      <c r="T295" t="s">
        <v>256</v>
      </c>
      <c r="U295">
        <v>2.4534155246566696E-2</v>
      </c>
      <c r="V295" t="s">
        <v>154</v>
      </c>
    </row>
    <row r="296" spans="9:22" x14ac:dyDescent="0.45">
      <c r="I296" t="s">
        <v>172</v>
      </c>
      <c r="J296" t="s">
        <v>257</v>
      </c>
      <c r="K296">
        <v>3.9172592008986769E-2</v>
      </c>
      <c r="L296" t="s">
        <v>154</v>
      </c>
      <c r="N296" t="s">
        <v>201</v>
      </c>
      <c r="O296" t="s">
        <v>257</v>
      </c>
      <c r="P296">
        <v>2.9265184774678158E-2</v>
      </c>
      <c r="Q296" t="s">
        <v>154</v>
      </c>
      <c r="S296" t="s">
        <v>225</v>
      </c>
      <c r="T296" t="s">
        <v>257</v>
      </c>
      <c r="U296">
        <v>2.4693540618054437E-2</v>
      </c>
      <c r="V296" t="s">
        <v>154</v>
      </c>
    </row>
    <row r="297" spans="9:22" x14ac:dyDescent="0.45">
      <c r="I297" t="s">
        <v>172</v>
      </c>
      <c r="J297" t="s">
        <v>282</v>
      </c>
      <c r="K297">
        <v>2.3658067770789871E-2</v>
      </c>
      <c r="L297" t="s">
        <v>154</v>
      </c>
      <c r="N297" t="s">
        <v>201</v>
      </c>
      <c r="O297" t="s">
        <v>282</v>
      </c>
      <c r="P297">
        <v>2.7616878567071099E-2</v>
      </c>
      <c r="Q297" t="s">
        <v>154</v>
      </c>
      <c r="S297" t="s">
        <v>225</v>
      </c>
      <c r="T297" t="s">
        <v>282</v>
      </c>
      <c r="U297">
        <v>1.9726993805395485E-2</v>
      </c>
      <c r="V297" t="s">
        <v>154</v>
      </c>
    </row>
    <row r="298" spans="9:22" x14ac:dyDescent="0.45">
      <c r="I298" t="s">
        <v>172</v>
      </c>
      <c r="J298" t="s">
        <v>283</v>
      </c>
      <c r="K298">
        <v>0</v>
      </c>
      <c r="L298" t="s">
        <v>154</v>
      </c>
      <c r="N298" t="s">
        <v>201</v>
      </c>
      <c r="O298" t="s">
        <v>283</v>
      </c>
      <c r="P298">
        <v>0.11871150264608565</v>
      </c>
      <c r="Q298" t="s">
        <v>154</v>
      </c>
      <c r="S298" t="s">
        <v>225</v>
      </c>
      <c r="T298" t="s">
        <v>283</v>
      </c>
      <c r="U298">
        <v>0.10531628576491242</v>
      </c>
      <c r="V298" t="s">
        <v>154</v>
      </c>
    </row>
    <row r="299" spans="9:22" x14ac:dyDescent="0.45">
      <c r="I299" t="s">
        <v>172</v>
      </c>
      <c r="J299" t="s">
        <v>157</v>
      </c>
      <c r="K299">
        <v>0</v>
      </c>
      <c r="L299" t="s">
        <v>154</v>
      </c>
      <c r="N299" t="s">
        <v>201</v>
      </c>
      <c r="O299" t="s">
        <v>157</v>
      </c>
      <c r="P299">
        <v>1.1416408446449136E-2</v>
      </c>
      <c r="Q299" t="s">
        <v>154</v>
      </c>
      <c r="S299" t="s">
        <v>225</v>
      </c>
      <c r="T299" t="s">
        <v>157</v>
      </c>
      <c r="U299">
        <v>1.2559758973904133E-2</v>
      </c>
      <c r="V299" t="s">
        <v>154</v>
      </c>
    </row>
    <row r="300" spans="9:22" x14ac:dyDescent="0.45">
      <c r="I300" t="s">
        <v>172</v>
      </c>
      <c r="J300" t="s">
        <v>158</v>
      </c>
      <c r="K300">
        <v>6.0162695260374544E-3</v>
      </c>
      <c r="L300" t="s">
        <v>154</v>
      </c>
      <c r="N300" t="s">
        <v>201</v>
      </c>
      <c r="O300" t="s">
        <v>158</v>
      </c>
      <c r="P300">
        <v>2.784713963424498E-3</v>
      </c>
      <c r="Q300" t="s">
        <v>154</v>
      </c>
      <c r="S300" t="s">
        <v>225</v>
      </c>
      <c r="T300" t="s">
        <v>158</v>
      </c>
      <c r="U300">
        <v>2.6765536218797338E-3</v>
      </c>
      <c r="V300" t="s">
        <v>154</v>
      </c>
    </row>
    <row r="301" spans="9:22" x14ac:dyDescent="0.45">
      <c r="I301" t="s">
        <v>172</v>
      </c>
      <c r="J301" t="s">
        <v>159</v>
      </c>
      <c r="K301">
        <v>5.5908361493955143E-3</v>
      </c>
      <c r="L301" t="s">
        <v>154</v>
      </c>
      <c r="N301" t="s">
        <v>201</v>
      </c>
      <c r="O301" t="s">
        <v>159</v>
      </c>
      <c r="P301">
        <v>1.575093170522698E-3</v>
      </c>
      <c r="Q301" t="s">
        <v>154</v>
      </c>
      <c r="S301" t="s">
        <v>225</v>
      </c>
      <c r="T301" t="s">
        <v>159</v>
      </c>
      <c r="U301">
        <v>1.395825434722497E-3</v>
      </c>
      <c r="V301" t="s">
        <v>154</v>
      </c>
    </row>
    <row r="302" spans="9:22" x14ac:dyDescent="0.45">
      <c r="I302" t="s">
        <v>172</v>
      </c>
      <c r="J302" t="s">
        <v>258</v>
      </c>
      <c r="K302">
        <v>4.5861913800532735E-2</v>
      </c>
      <c r="L302" t="s">
        <v>154</v>
      </c>
      <c r="N302" t="s">
        <v>201</v>
      </c>
      <c r="O302" t="s">
        <v>258</v>
      </c>
      <c r="P302">
        <v>1.2695021206441504E-2</v>
      </c>
      <c r="Q302" t="s">
        <v>154</v>
      </c>
      <c r="S302" t="s">
        <v>225</v>
      </c>
      <c r="T302" t="s">
        <v>258</v>
      </c>
      <c r="U302">
        <v>9.4711705112459337E-3</v>
      </c>
      <c r="V302" t="s">
        <v>154</v>
      </c>
    </row>
    <row r="303" spans="9:22" x14ac:dyDescent="0.45">
      <c r="I303" t="s">
        <v>172</v>
      </c>
      <c r="J303" t="s">
        <v>259</v>
      </c>
      <c r="K303">
        <v>5.7134270567679498E-3</v>
      </c>
      <c r="L303" t="s">
        <v>154</v>
      </c>
      <c r="N303" t="s">
        <v>201</v>
      </c>
      <c r="O303" t="s">
        <v>259</v>
      </c>
      <c r="P303">
        <v>2.3276662996973563E-3</v>
      </c>
      <c r="Q303" t="s">
        <v>154</v>
      </c>
      <c r="S303" t="s">
        <v>225</v>
      </c>
      <c r="T303" t="s">
        <v>259</v>
      </c>
      <c r="U303">
        <v>1.5827808480432986E-3</v>
      </c>
      <c r="V303" t="s">
        <v>154</v>
      </c>
    </row>
    <row r="304" spans="9:22" x14ac:dyDescent="0.45">
      <c r="I304" t="s">
        <v>172</v>
      </c>
      <c r="J304" t="s">
        <v>260</v>
      </c>
      <c r="K304">
        <v>4.2093008194308635E-3</v>
      </c>
      <c r="L304" t="s">
        <v>154</v>
      </c>
      <c r="N304" t="s">
        <v>201</v>
      </c>
      <c r="O304" t="s">
        <v>260</v>
      </c>
      <c r="P304">
        <v>2.1733378882505838E-3</v>
      </c>
      <c r="Q304" t="s">
        <v>154</v>
      </c>
      <c r="S304" t="s">
        <v>225</v>
      </c>
      <c r="T304" t="s">
        <v>260</v>
      </c>
      <c r="U304">
        <v>1.4499762309694488E-3</v>
      </c>
      <c r="V304" t="s">
        <v>154</v>
      </c>
    </row>
    <row r="305" spans="9:22" x14ac:dyDescent="0.45">
      <c r="I305" t="s">
        <v>172</v>
      </c>
      <c r="J305" t="s">
        <v>284</v>
      </c>
      <c r="K305">
        <v>2.6516206750848339E-3</v>
      </c>
      <c r="L305" t="s">
        <v>154</v>
      </c>
      <c r="N305" t="s">
        <v>201</v>
      </c>
      <c r="O305" t="s">
        <v>284</v>
      </c>
      <c r="P305">
        <v>1.4792106602972577E-3</v>
      </c>
      <c r="Q305" t="s">
        <v>154</v>
      </c>
      <c r="S305" t="s">
        <v>225</v>
      </c>
      <c r="T305" t="s">
        <v>284</v>
      </c>
      <c r="U305">
        <v>1.1168583289218779E-3</v>
      </c>
      <c r="V305" t="s">
        <v>154</v>
      </c>
    </row>
    <row r="306" spans="9:22" x14ac:dyDescent="0.45">
      <c r="I306" t="s">
        <v>172</v>
      </c>
      <c r="J306" t="s">
        <v>285</v>
      </c>
      <c r="K306">
        <v>0</v>
      </c>
      <c r="L306" t="s">
        <v>154</v>
      </c>
      <c r="N306" t="s">
        <v>201</v>
      </c>
      <c r="O306" t="s">
        <v>285</v>
      </c>
      <c r="P306">
        <v>7.9165133986333382E-3</v>
      </c>
      <c r="Q306" t="s">
        <v>154</v>
      </c>
      <c r="S306" t="s">
        <v>225</v>
      </c>
      <c r="T306" t="s">
        <v>285</v>
      </c>
      <c r="U306">
        <v>6.0674083024365505E-3</v>
      </c>
      <c r="V306" t="s">
        <v>154</v>
      </c>
    </row>
    <row r="307" spans="9:22" x14ac:dyDescent="0.45">
      <c r="I307" t="s">
        <v>172</v>
      </c>
      <c r="J307" t="s">
        <v>160</v>
      </c>
      <c r="K307">
        <v>0</v>
      </c>
      <c r="L307" t="s">
        <v>154</v>
      </c>
      <c r="N307" t="s">
        <v>201</v>
      </c>
      <c r="O307" t="s">
        <v>160</v>
      </c>
      <c r="P307">
        <v>4.2845371159710217E-2</v>
      </c>
      <c r="Q307" t="s">
        <v>154</v>
      </c>
      <c r="S307" t="s">
        <v>225</v>
      </c>
      <c r="T307" t="s">
        <v>160</v>
      </c>
      <c r="U307">
        <v>4.4959133020773007E-2</v>
      </c>
      <c r="V307" t="s">
        <v>154</v>
      </c>
    </row>
    <row r="308" spans="9:22" x14ac:dyDescent="0.45">
      <c r="I308" t="s">
        <v>172</v>
      </c>
      <c r="J308" t="s">
        <v>161</v>
      </c>
      <c r="K308">
        <v>7.1389339993113915E-3</v>
      </c>
      <c r="L308" t="s">
        <v>154</v>
      </c>
      <c r="N308" t="s">
        <v>201</v>
      </c>
      <c r="O308" t="s">
        <v>161</v>
      </c>
      <c r="P308">
        <v>1.0481546105151512E-2</v>
      </c>
      <c r="Q308" t="s">
        <v>154</v>
      </c>
      <c r="S308" t="s">
        <v>225</v>
      </c>
      <c r="T308" t="s">
        <v>161</v>
      </c>
      <c r="U308">
        <v>1.1690085054767336E-2</v>
      </c>
      <c r="V308" t="s">
        <v>154</v>
      </c>
    </row>
    <row r="309" spans="9:22" x14ac:dyDescent="0.45">
      <c r="I309" t="s">
        <v>172</v>
      </c>
      <c r="J309" t="s">
        <v>162</v>
      </c>
      <c r="K309">
        <v>7.148705288917671E-3</v>
      </c>
      <c r="L309" t="s">
        <v>154</v>
      </c>
      <c r="N309" t="s">
        <v>201</v>
      </c>
      <c r="O309" t="s">
        <v>162</v>
      </c>
      <c r="P309">
        <v>5.3768054786156767E-3</v>
      </c>
      <c r="Q309" t="s">
        <v>154</v>
      </c>
      <c r="S309" t="s">
        <v>225</v>
      </c>
      <c r="T309" t="s">
        <v>162</v>
      </c>
      <c r="U309">
        <v>5.9692985955205197E-3</v>
      </c>
      <c r="V309" t="s">
        <v>154</v>
      </c>
    </row>
    <row r="310" spans="9:22" x14ac:dyDescent="0.45">
      <c r="I310" t="s">
        <v>172</v>
      </c>
      <c r="J310" t="s">
        <v>261</v>
      </c>
      <c r="K310">
        <v>5.7716686329355733E-2</v>
      </c>
      <c r="L310" t="s">
        <v>154</v>
      </c>
      <c r="N310" t="s">
        <v>201</v>
      </c>
      <c r="O310" t="s">
        <v>261</v>
      </c>
      <c r="P310">
        <v>3.8327658519735866E-2</v>
      </c>
      <c r="Q310" t="s">
        <v>154</v>
      </c>
      <c r="S310" t="s">
        <v>225</v>
      </c>
      <c r="T310" t="s">
        <v>261</v>
      </c>
      <c r="U310">
        <v>4.2490499168421611E-2</v>
      </c>
      <c r="V310" t="s">
        <v>154</v>
      </c>
    </row>
    <row r="311" spans="9:22" x14ac:dyDescent="0.45">
      <c r="I311" t="s">
        <v>172</v>
      </c>
      <c r="J311" t="s">
        <v>262</v>
      </c>
      <c r="K311">
        <v>6.3625876777916399E-3</v>
      </c>
      <c r="L311" t="s">
        <v>154</v>
      </c>
      <c r="N311" t="s">
        <v>201</v>
      </c>
      <c r="O311" t="s">
        <v>262</v>
      </c>
      <c r="P311">
        <v>6.4175803270171148E-3</v>
      </c>
      <c r="Q311" t="s">
        <v>154</v>
      </c>
      <c r="S311" t="s">
        <v>225</v>
      </c>
      <c r="T311" t="s">
        <v>262</v>
      </c>
      <c r="U311">
        <v>7.5170872672623923E-3</v>
      </c>
      <c r="V311" t="s">
        <v>154</v>
      </c>
    </row>
    <row r="312" spans="9:22" x14ac:dyDescent="0.45">
      <c r="I312" t="s">
        <v>172</v>
      </c>
      <c r="J312" t="s">
        <v>263</v>
      </c>
      <c r="K312">
        <v>3.8402051115140356E-3</v>
      </c>
      <c r="L312" t="s">
        <v>154</v>
      </c>
      <c r="N312" t="s">
        <v>201</v>
      </c>
      <c r="O312" t="s">
        <v>263</v>
      </c>
      <c r="P312">
        <v>6.4523524259921684E-3</v>
      </c>
      <c r="Q312" t="s">
        <v>154</v>
      </c>
      <c r="S312" t="s">
        <v>225</v>
      </c>
      <c r="T312" t="s">
        <v>263</v>
      </c>
      <c r="U312">
        <v>7.2524366404937346E-3</v>
      </c>
      <c r="V312" t="s">
        <v>154</v>
      </c>
    </row>
    <row r="313" spans="9:22" x14ac:dyDescent="0.45">
      <c r="I313" t="s">
        <v>172</v>
      </c>
      <c r="J313" t="s">
        <v>286</v>
      </c>
      <c r="K313">
        <v>1.9289741181683184E-3</v>
      </c>
      <c r="L313" t="s">
        <v>154</v>
      </c>
      <c r="N313" t="s">
        <v>201</v>
      </c>
      <c r="O313" t="s">
        <v>286</v>
      </c>
      <c r="P313">
        <v>5.8175592663245934E-3</v>
      </c>
      <c r="Q313" t="s">
        <v>154</v>
      </c>
      <c r="S313" t="s">
        <v>225</v>
      </c>
      <c r="T313" t="s">
        <v>286</v>
      </c>
      <c r="U313">
        <v>6.4146399606085178E-3</v>
      </c>
      <c r="V313" t="s">
        <v>154</v>
      </c>
    </row>
    <row r="314" spans="9:22" x14ac:dyDescent="0.45">
      <c r="I314" t="s">
        <v>172</v>
      </c>
      <c r="J314" t="s">
        <v>287</v>
      </c>
      <c r="K314">
        <v>0</v>
      </c>
      <c r="L314" t="s">
        <v>154</v>
      </c>
      <c r="N314" t="s">
        <v>201</v>
      </c>
      <c r="O314" t="s">
        <v>287</v>
      </c>
      <c r="P314">
        <v>3.0607528801070118E-2</v>
      </c>
      <c r="Q314" t="s">
        <v>154</v>
      </c>
      <c r="S314" t="s">
        <v>225</v>
      </c>
      <c r="T314" t="s">
        <v>287</v>
      </c>
      <c r="U314">
        <v>3.215735560528836E-2</v>
      </c>
      <c r="V314" t="s">
        <v>154</v>
      </c>
    </row>
    <row r="315" spans="9:22" x14ac:dyDescent="0.45">
      <c r="I315" t="s">
        <v>172</v>
      </c>
      <c r="J315" t="s">
        <v>163</v>
      </c>
      <c r="K315">
        <v>0</v>
      </c>
      <c r="L315" t="s">
        <v>154</v>
      </c>
      <c r="N315" t="s">
        <v>201</v>
      </c>
      <c r="O315" t="s">
        <v>163</v>
      </c>
      <c r="P315">
        <v>1.5514021117506851E-2</v>
      </c>
      <c r="Q315" t="s">
        <v>154</v>
      </c>
      <c r="S315" t="s">
        <v>225</v>
      </c>
      <c r="T315" t="s">
        <v>163</v>
      </c>
      <c r="U315">
        <v>8.0073547495649062E-3</v>
      </c>
      <c r="V315" t="s">
        <v>154</v>
      </c>
    </row>
    <row r="316" spans="9:22" x14ac:dyDescent="0.45">
      <c r="I316" t="s">
        <v>172</v>
      </c>
      <c r="J316" t="s">
        <v>164</v>
      </c>
      <c r="K316">
        <v>6.9949339020852069E-3</v>
      </c>
      <c r="L316" t="s">
        <v>154</v>
      </c>
      <c r="N316" t="s">
        <v>201</v>
      </c>
      <c r="O316" t="s">
        <v>164</v>
      </c>
      <c r="P316">
        <v>3.1787265473202531E-3</v>
      </c>
      <c r="Q316" t="s">
        <v>154</v>
      </c>
      <c r="S316" t="s">
        <v>225</v>
      </c>
      <c r="T316" t="s">
        <v>164</v>
      </c>
      <c r="U316">
        <v>3.5911253829100137E-3</v>
      </c>
      <c r="V316" t="s">
        <v>154</v>
      </c>
    </row>
    <row r="317" spans="9:22" x14ac:dyDescent="0.45">
      <c r="I317" t="s">
        <v>172</v>
      </c>
      <c r="J317" t="s">
        <v>165</v>
      </c>
      <c r="K317">
        <v>5.983631475204634E-3</v>
      </c>
      <c r="L317" t="s">
        <v>154</v>
      </c>
      <c r="N317" t="s">
        <v>201</v>
      </c>
      <c r="O317" t="s">
        <v>165</v>
      </c>
      <c r="P317">
        <v>1.5545529996162288E-3</v>
      </c>
      <c r="Q317" t="s">
        <v>154</v>
      </c>
      <c r="S317" t="s">
        <v>225</v>
      </c>
      <c r="T317" t="s">
        <v>165</v>
      </c>
      <c r="U317">
        <v>2.1032457307530138E-3</v>
      </c>
      <c r="V317" t="s">
        <v>154</v>
      </c>
    </row>
    <row r="318" spans="9:22" x14ac:dyDescent="0.45">
      <c r="I318" t="s">
        <v>172</v>
      </c>
      <c r="J318" t="s">
        <v>264</v>
      </c>
      <c r="K318">
        <v>4.4358523330935748E-2</v>
      </c>
      <c r="L318" t="s">
        <v>154</v>
      </c>
      <c r="N318" t="s">
        <v>201</v>
      </c>
      <c r="O318" t="s">
        <v>264</v>
      </c>
      <c r="P318">
        <v>1.3627894370743686E-2</v>
      </c>
      <c r="Q318" t="s">
        <v>154</v>
      </c>
      <c r="S318" t="s">
        <v>225</v>
      </c>
      <c r="T318" t="s">
        <v>264</v>
      </c>
      <c r="U318">
        <v>1.11494800220333E-2</v>
      </c>
      <c r="V318" t="s">
        <v>154</v>
      </c>
    </row>
    <row r="319" spans="9:22" x14ac:dyDescent="0.45">
      <c r="I319" t="s">
        <v>172</v>
      </c>
      <c r="J319" t="s">
        <v>265</v>
      </c>
      <c r="K319">
        <v>4.6587972035221047E-3</v>
      </c>
      <c r="L319" t="s">
        <v>154</v>
      </c>
      <c r="N319" t="s">
        <v>201</v>
      </c>
      <c r="O319" t="s">
        <v>265</v>
      </c>
      <c r="P319">
        <v>3.3961757779852322E-3</v>
      </c>
      <c r="Q319" t="s">
        <v>154</v>
      </c>
      <c r="S319" t="s">
        <v>225</v>
      </c>
      <c r="T319" t="s">
        <v>265</v>
      </c>
      <c r="U319">
        <v>1.3070533208110638E-3</v>
      </c>
      <c r="V319" t="s">
        <v>154</v>
      </c>
    </row>
    <row r="320" spans="9:22" x14ac:dyDescent="0.45">
      <c r="I320" t="s">
        <v>172</v>
      </c>
      <c r="J320" t="s">
        <v>266</v>
      </c>
      <c r="K320">
        <v>3.1015970681531513E-3</v>
      </c>
      <c r="L320" t="s">
        <v>154</v>
      </c>
      <c r="N320" t="s">
        <v>201</v>
      </c>
      <c r="O320" t="s">
        <v>266</v>
      </c>
      <c r="P320">
        <v>3.6894546498057634E-3</v>
      </c>
      <c r="Q320" t="s">
        <v>154</v>
      </c>
      <c r="S320" t="s">
        <v>225</v>
      </c>
      <c r="T320" t="s">
        <v>266</v>
      </c>
      <c r="U320">
        <v>1.2757957194755966E-3</v>
      </c>
      <c r="V320" t="s">
        <v>154</v>
      </c>
    </row>
    <row r="321" spans="9:22" x14ac:dyDescent="0.45">
      <c r="I321" t="s">
        <v>172</v>
      </c>
      <c r="J321" t="s">
        <v>288</v>
      </c>
      <c r="K321">
        <v>1.5334505950766334E-3</v>
      </c>
      <c r="L321" t="s">
        <v>154</v>
      </c>
      <c r="N321" t="s">
        <v>201</v>
      </c>
      <c r="O321" t="s">
        <v>288</v>
      </c>
      <c r="P321">
        <v>3.6181941574224825E-3</v>
      </c>
      <c r="Q321" t="s">
        <v>154</v>
      </c>
      <c r="S321" t="s">
        <v>225</v>
      </c>
      <c r="T321" t="s">
        <v>288</v>
      </c>
      <c r="U321">
        <v>9.1037719505063859E-4</v>
      </c>
      <c r="V321" t="s">
        <v>154</v>
      </c>
    </row>
    <row r="322" spans="9:22" x14ac:dyDescent="0.45">
      <c r="I322" t="s">
        <v>172</v>
      </c>
      <c r="J322" t="s">
        <v>289</v>
      </c>
      <c r="K322">
        <v>0</v>
      </c>
      <c r="L322" t="s">
        <v>154</v>
      </c>
      <c r="N322" t="s">
        <v>201</v>
      </c>
      <c r="O322" t="s">
        <v>289</v>
      </c>
      <c r="P322">
        <v>1.6808774961649068E-2</v>
      </c>
      <c r="Q322" t="s">
        <v>154</v>
      </c>
      <c r="S322" t="s">
        <v>225</v>
      </c>
      <c r="T322" t="s">
        <v>289</v>
      </c>
      <c r="U322">
        <v>4.2552044912982818E-3</v>
      </c>
      <c r="V322" t="s">
        <v>154</v>
      </c>
    </row>
    <row r="323" spans="9:22" x14ac:dyDescent="0.45">
      <c r="I323" t="s">
        <v>172</v>
      </c>
      <c r="J323" t="s">
        <v>272</v>
      </c>
      <c r="K323">
        <v>0</v>
      </c>
      <c r="L323" t="s">
        <v>154</v>
      </c>
      <c r="N323" t="s">
        <v>201</v>
      </c>
      <c r="O323" t="s">
        <v>272</v>
      </c>
      <c r="P323">
        <v>4.1419753231355182E-2</v>
      </c>
      <c r="Q323" t="s">
        <v>154</v>
      </c>
      <c r="S323" t="s">
        <v>225</v>
      </c>
      <c r="T323" t="s">
        <v>272</v>
      </c>
      <c r="U323">
        <v>5.4127938596647704E-2</v>
      </c>
      <c r="V323" t="s">
        <v>154</v>
      </c>
    </row>
    <row r="324" spans="9:22" x14ac:dyDescent="0.45">
      <c r="I324" t="s">
        <v>172</v>
      </c>
      <c r="J324" t="s">
        <v>273</v>
      </c>
      <c r="K324">
        <v>1.2234299174040656E-2</v>
      </c>
      <c r="L324" t="s">
        <v>154</v>
      </c>
      <c r="N324" t="s">
        <v>201</v>
      </c>
      <c r="O324" t="s">
        <v>273</v>
      </c>
      <c r="P324">
        <v>1.0746892965881959E-2</v>
      </c>
      <c r="Q324" t="s">
        <v>154</v>
      </c>
      <c r="S324" t="s">
        <v>225</v>
      </c>
      <c r="T324" t="s">
        <v>273</v>
      </c>
      <c r="U324">
        <v>1.5353847945845472E-2</v>
      </c>
      <c r="V324" t="s">
        <v>154</v>
      </c>
    </row>
    <row r="325" spans="9:22" x14ac:dyDescent="0.45">
      <c r="I325" t="s">
        <v>172</v>
      </c>
      <c r="J325" t="s">
        <v>274</v>
      </c>
      <c r="K325">
        <v>1.1875304038936616E-2</v>
      </c>
      <c r="L325" t="s">
        <v>154</v>
      </c>
      <c r="N325" t="s">
        <v>201</v>
      </c>
      <c r="O325" t="s">
        <v>274</v>
      </c>
      <c r="P325">
        <v>5.747080723033933E-3</v>
      </c>
      <c r="Q325" t="s">
        <v>154</v>
      </c>
      <c r="S325" t="s">
        <v>225</v>
      </c>
      <c r="T325" t="s">
        <v>274</v>
      </c>
      <c r="U325">
        <v>8.0560259450454426E-3</v>
      </c>
      <c r="V325" t="s">
        <v>154</v>
      </c>
    </row>
    <row r="326" spans="9:22" x14ac:dyDescent="0.45">
      <c r="I326" t="s">
        <v>172</v>
      </c>
      <c r="J326" t="s">
        <v>275</v>
      </c>
      <c r="K326">
        <v>9.1750696509666524E-2</v>
      </c>
      <c r="L326" t="s">
        <v>154</v>
      </c>
      <c r="N326" t="s">
        <v>201</v>
      </c>
      <c r="O326" t="s">
        <v>275</v>
      </c>
      <c r="P326">
        <v>4.0225343166056492E-2</v>
      </c>
      <c r="Q326" t="s">
        <v>154</v>
      </c>
      <c r="S326" t="s">
        <v>225</v>
      </c>
      <c r="T326" t="s">
        <v>275</v>
      </c>
      <c r="U326">
        <v>4.5603555448335428E-2</v>
      </c>
      <c r="V326" t="s">
        <v>154</v>
      </c>
    </row>
    <row r="327" spans="9:22" x14ac:dyDescent="0.45">
      <c r="I327" t="s">
        <v>172</v>
      </c>
      <c r="J327" t="s">
        <v>276</v>
      </c>
      <c r="K327">
        <v>1.08460805711003E-2</v>
      </c>
      <c r="L327" t="s">
        <v>154</v>
      </c>
      <c r="N327" t="s">
        <v>201</v>
      </c>
      <c r="O327" t="s">
        <v>276</v>
      </c>
      <c r="P327">
        <v>7.5109309902669907E-3</v>
      </c>
      <c r="Q327" t="s">
        <v>154</v>
      </c>
      <c r="S327" t="s">
        <v>225</v>
      </c>
      <c r="T327" t="s">
        <v>276</v>
      </c>
      <c r="U327">
        <v>7.0871367880649926E-3</v>
      </c>
      <c r="V327" t="s">
        <v>154</v>
      </c>
    </row>
    <row r="328" spans="9:22" x14ac:dyDescent="0.45">
      <c r="I328" t="s">
        <v>172</v>
      </c>
      <c r="J328" t="s">
        <v>277</v>
      </c>
      <c r="K328">
        <v>7.7002017579023436E-3</v>
      </c>
      <c r="L328" t="s">
        <v>154</v>
      </c>
      <c r="N328" t="s">
        <v>201</v>
      </c>
      <c r="O328" t="s">
        <v>277</v>
      </c>
      <c r="P328">
        <v>7.7029276961696168E-3</v>
      </c>
      <c r="Q328" t="s">
        <v>154</v>
      </c>
      <c r="S328" t="s">
        <v>225</v>
      </c>
      <c r="T328" t="s">
        <v>277</v>
      </c>
      <c r="U328">
        <v>7.0562256119354027E-3</v>
      </c>
      <c r="V328" t="s">
        <v>154</v>
      </c>
    </row>
    <row r="329" spans="9:22" x14ac:dyDescent="0.45">
      <c r="I329" t="s">
        <v>172</v>
      </c>
      <c r="J329" t="s">
        <v>290</v>
      </c>
      <c r="K329">
        <v>4.394243366572812E-3</v>
      </c>
      <c r="L329" t="s">
        <v>154</v>
      </c>
      <c r="N329" t="s">
        <v>201</v>
      </c>
      <c r="O329" t="s">
        <v>290</v>
      </c>
      <c r="P329">
        <v>7.3925801203137131E-3</v>
      </c>
      <c r="Q329" t="s">
        <v>154</v>
      </c>
      <c r="S329" t="s">
        <v>225</v>
      </c>
      <c r="T329" t="s">
        <v>290</v>
      </c>
      <c r="U329">
        <v>4.7746812082211498E-3</v>
      </c>
      <c r="V329" t="s">
        <v>154</v>
      </c>
    </row>
    <row r="330" spans="9:22" x14ac:dyDescent="0.45">
      <c r="I330" t="s">
        <v>172</v>
      </c>
      <c r="J330" t="s">
        <v>291</v>
      </c>
      <c r="K330">
        <v>0</v>
      </c>
      <c r="L330" t="s">
        <v>154</v>
      </c>
      <c r="N330" t="s">
        <v>201</v>
      </c>
      <c r="O330" t="s">
        <v>291</v>
      </c>
      <c r="P330">
        <v>3.0149515216731076E-2</v>
      </c>
      <c r="Q330" t="s">
        <v>154</v>
      </c>
      <c r="S330" t="s">
        <v>225</v>
      </c>
      <c r="T330" t="s">
        <v>291</v>
      </c>
      <c r="U330">
        <v>2.8632523317146597E-2</v>
      </c>
      <c r="V330" t="s">
        <v>154</v>
      </c>
    </row>
    <row r="331" spans="9:22" x14ac:dyDescent="0.45">
      <c r="I331" t="s">
        <v>173</v>
      </c>
      <c r="J331" t="s">
        <v>153</v>
      </c>
      <c r="K331">
        <v>0</v>
      </c>
      <c r="L331" t="s">
        <v>154</v>
      </c>
      <c r="N331" t="s">
        <v>202</v>
      </c>
      <c r="O331" t="s">
        <v>153</v>
      </c>
      <c r="P331">
        <v>0.16426667005849743</v>
      </c>
      <c r="Q331" t="s">
        <v>154</v>
      </c>
      <c r="S331" t="s">
        <v>226</v>
      </c>
      <c r="T331" t="s">
        <v>153</v>
      </c>
      <c r="U331">
        <v>0.1756388567863558</v>
      </c>
      <c r="V331" t="s">
        <v>154</v>
      </c>
    </row>
    <row r="332" spans="9:22" x14ac:dyDescent="0.45">
      <c r="I332" t="s">
        <v>173</v>
      </c>
      <c r="J332" t="s">
        <v>155</v>
      </c>
      <c r="K332">
        <v>5.8173182777042885E-2</v>
      </c>
      <c r="L332" t="s">
        <v>154</v>
      </c>
      <c r="N332" t="s">
        <v>202</v>
      </c>
      <c r="O332" t="s">
        <v>155</v>
      </c>
      <c r="P332">
        <v>4.1346494522609564E-2</v>
      </c>
      <c r="Q332" t="s">
        <v>154</v>
      </c>
      <c r="S332" t="s">
        <v>226</v>
      </c>
      <c r="T332" t="s">
        <v>155</v>
      </c>
      <c r="U332">
        <v>5.0992696175204695E-2</v>
      </c>
      <c r="V332" t="s">
        <v>154</v>
      </c>
    </row>
    <row r="333" spans="9:22" x14ac:dyDescent="0.45">
      <c r="I333" t="s">
        <v>173</v>
      </c>
      <c r="J333" t="s">
        <v>156</v>
      </c>
      <c r="K333">
        <v>5.0639790689918369E-2</v>
      </c>
      <c r="L333" t="s">
        <v>154</v>
      </c>
      <c r="N333" t="s">
        <v>202</v>
      </c>
      <c r="O333" t="s">
        <v>156</v>
      </c>
      <c r="P333">
        <v>2.2348636993389577E-2</v>
      </c>
      <c r="Q333" t="s">
        <v>154</v>
      </c>
      <c r="S333" t="s">
        <v>226</v>
      </c>
      <c r="T333" t="s">
        <v>156</v>
      </c>
      <c r="U333">
        <v>2.6839099267723748E-2</v>
      </c>
      <c r="V333" t="s">
        <v>154</v>
      </c>
    </row>
    <row r="334" spans="9:22" x14ac:dyDescent="0.45">
      <c r="I334" t="s">
        <v>173</v>
      </c>
      <c r="J334" t="s">
        <v>255</v>
      </c>
      <c r="K334">
        <v>0.41060478342737328</v>
      </c>
      <c r="L334" t="s">
        <v>154</v>
      </c>
      <c r="N334" t="s">
        <v>202</v>
      </c>
      <c r="O334" t="s">
        <v>255</v>
      </c>
      <c r="P334">
        <v>0.15660227087847539</v>
      </c>
      <c r="Q334" t="s">
        <v>154</v>
      </c>
      <c r="S334" t="s">
        <v>226</v>
      </c>
      <c r="T334" t="s">
        <v>255</v>
      </c>
      <c r="U334">
        <v>0.15769815507497165</v>
      </c>
      <c r="V334" t="s">
        <v>154</v>
      </c>
    </row>
    <row r="335" spans="9:22" x14ac:dyDescent="0.45">
      <c r="I335" t="s">
        <v>173</v>
      </c>
      <c r="J335" t="s">
        <v>256</v>
      </c>
      <c r="K335">
        <v>5.2713086371084891E-2</v>
      </c>
      <c r="L335" t="s">
        <v>154</v>
      </c>
      <c r="N335" t="s">
        <v>202</v>
      </c>
      <c r="O335" t="s">
        <v>256</v>
      </c>
      <c r="P335">
        <v>2.7026907673062477E-2</v>
      </c>
      <c r="Q335" t="s">
        <v>154</v>
      </c>
      <c r="S335" t="s">
        <v>226</v>
      </c>
      <c r="T335" t="s">
        <v>256</v>
      </c>
      <c r="U335">
        <v>2.5841401457324938E-2</v>
      </c>
      <c r="V335" t="s">
        <v>154</v>
      </c>
    </row>
    <row r="336" spans="9:22" x14ac:dyDescent="0.45">
      <c r="I336" t="s">
        <v>173</v>
      </c>
      <c r="J336" t="s">
        <v>257</v>
      </c>
      <c r="K336">
        <v>4.118919695802653E-2</v>
      </c>
      <c r="L336" t="s">
        <v>154</v>
      </c>
      <c r="N336" t="s">
        <v>202</v>
      </c>
      <c r="O336" t="s">
        <v>257</v>
      </c>
      <c r="P336">
        <v>2.6704726408585504E-2</v>
      </c>
      <c r="Q336" t="s">
        <v>154</v>
      </c>
      <c r="S336" t="s">
        <v>226</v>
      </c>
      <c r="T336" t="s">
        <v>257</v>
      </c>
      <c r="U336">
        <v>2.6318596622621922E-2</v>
      </c>
      <c r="V336" t="s">
        <v>154</v>
      </c>
    </row>
    <row r="337" spans="9:22" x14ac:dyDescent="0.45">
      <c r="I337" t="s">
        <v>173</v>
      </c>
      <c r="J337" t="s">
        <v>282</v>
      </c>
      <c r="K337">
        <v>2.5283797698949308E-2</v>
      </c>
      <c r="L337" t="s">
        <v>154</v>
      </c>
      <c r="N337" t="s">
        <v>202</v>
      </c>
      <c r="O337" t="s">
        <v>282</v>
      </c>
      <c r="P337">
        <v>2.5262454590083847E-2</v>
      </c>
      <c r="Q337" t="s">
        <v>154</v>
      </c>
      <c r="S337" t="s">
        <v>226</v>
      </c>
      <c r="T337" t="s">
        <v>282</v>
      </c>
      <c r="U337">
        <v>2.1802035552306757E-2</v>
      </c>
      <c r="V337" t="s">
        <v>154</v>
      </c>
    </row>
    <row r="338" spans="9:22" x14ac:dyDescent="0.45">
      <c r="I338" t="s">
        <v>173</v>
      </c>
      <c r="J338" t="s">
        <v>283</v>
      </c>
      <c r="K338">
        <v>0</v>
      </c>
      <c r="L338" t="s">
        <v>154</v>
      </c>
      <c r="N338" t="s">
        <v>202</v>
      </c>
      <c r="O338" t="s">
        <v>283</v>
      </c>
      <c r="P338">
        <v>0.12053189111700227</v>
      </c>
      <c r="Q338" t="s">
        <v>154</v>
      </c>
      <c r="S338" t="s">
        <v>226</v>
      </c>
      <c r="T338" t="s">
        <v>283</v>
      </c>
      <c r="U338">
        <v>0.11133333245354564</v>
      </c>
      <c r="V338" t="s">
        <v>154</v>
      </c>
    </row>
    <row r="339" spans="9:22" x14ac:dyDescent="0.45">
      <c r="I339" t="s">
        <v>173</v>
      </c>
      <c r="J339" t="s">
        <v>157</v>
      </c>
      <c r="K339">
        <v>0</v>
      </c>
      <c r="L339" t="s">
        <v>154</v>
      </c>
      <c r="N339" t="s">
        <v>202</v>
      </c>
      <c r="O339" t="s">
        <v>157</v>
      </c>
      <c r="P339">
        <v>6.5271882443561687E-3</v>
      </c>
      <c r="Q339" t="s">
        <v>154</v>
      </c>
      <c r="S339" t="s">
        <v>226</v>
      </c>
      <c r="T339" t="s">
        <v>157</v>
      </c>
      <c r="U339">
        <v>1.2298440883769074E-2</v>
      </c>
      <c r="V339" t="s">
        <v>154</v>
      </c>
    </row>
    <row r="340" spans="9:22" x14ac:dyDescent="0.45">
      <c r="I340" t="s">
        <v>173</v>
      </c>
      <c r="J340" t="s">
        <v>158</v>
      </c>
      <c r="K340">
        <v>6.6437936894363295E-3</v>
      </c>
      <c r="L340" t="s">
        <v>154</v>
      </c>
      <c r="N340" t="s">
        <v>202</v>
      </c>
      <c r="O340" t="s">
        <v>158</v>
      </c>
      <c r="P340">
        <v>2.08960820140914E-3</v>
      </c>
      <c r="Q340" t="s">
        <v>154</v>
      </c>
      <c r="S340" t="s">
        <v>226</v>
      </c>
      <c r="T340" t="s">
        <v>158</v>
      </c>
      <c r="U340">
        <v>3.5205502117089072E-3</v>
      </c>
      <c r="V340" t="s">
        <v>154</v>
      </c>
    </row>
    <row r="341" spans="9:22" x14ac:dyDescent="0.45">
      <c r="I341" t="s">
        <v>173</v>
      </c>
      <c r="J341" t="s">
        <v>159</v>
      </c>
      <c r="K341">
        <v>5.4174323086353992E-3</v>
      </c>
      <c r="L341" t="s">
        <v>154</v>
      </c>
      <c r="N341" t="s">
        <v>202</v>
      </c>
      <c r="O341" t="s">
        <v>159</v>
      </c>
      <c r="P341">
        <v>1.2409741113583825E-3</v>
      </c>
      <c r="Q341" t="s">
        <v>154</v>
      </c>
      <c r="S341" t="s">
        <v>226</v>
      </c>
      <c r="T341" t="s">
        <v>159</v>
      </c>
      <c r="U341">
        <v>1.8495053318912586E-3</v>
      </c>
      <c r="V341" t="s">
        <v>154</v>
      </c>
    </row>
    <row r="342" spans="9:22" x14ac:dyDescent="0.45">
      <c r="I342" t="s">
        <v>173</v>
      </c>
      <c r="J342" t="s">
        <v>258</v>
      </c>
      <c r="K342">
        <v>4.1888397253805221E-2</v>
      </c>
      <c r="L342" t="s">
        <v>154</v>
      </c>
      <c r="N342" t="s">
        <v>202</v>
      </c>
      <c r="O342" t="s">
        <v>258</v>
      </c>
      <c r="P342">
        <v>1.025350398041338E-2</v>
      </c>
      <c r="Q342" t="s">
        <v>154</v>
      </c>
      <c r="S342" t="s">
        <v>226</v>
      </c>
      <c r="T342" t="s">
        <v>258</v>
      </c>
      <c r="U342">
        <v>1.1403256417359977E-2</v>
      </c>
      <c r="V342" t="s">
        <v>154</v>
      </c>
    </row>
    <row r="343" spans="9:22" x14ac:dyDescent="0.45">
      <c r="I343" t="s">
        <v>173</v>
      </c>
      <c r="J343" t="s">
        <v>259</v>
      </c>
      <c r="K343">
        <v>5.649640748047211E-3</v>
      </c>
      <c r="L343" t="s">
        <v>154</v>
      </c>
      <c r="N343" t="s">
        <v>202</v>
      </c>
      <c r="O343" t="s">
        <v>259</v>
      </c>
      <c r="P343">
        <v>2.0700673770383928E-3</v>
      </c>
      <c r="Q343" t="s">
        <v>154</v>
      </c>
      <c r="S343" t="s">
        <v>226</v>
      </c>
      <c r="T343" t="s">
        <v>259</v>
      </c>
      <c r="U343">
        <v>1.6376590173379684E-3</v>
      </c>
      <c r="V343" t="s">
        <v>154</v>
      </c>
    </row>
    <row r="344" spans="9:22" x14ac:dyDescent="0.45">
      <c r="I344" t="s">
        <v>173</v>
      </c>
      <c r="J344" t="s">
        <v>260</v>
      </c>
      <c r="K344">
        <v>4.4045854730381528E-3</v>
      </c>
      <c r="L344" t="s">
        <v>154</v>
      </c>
      <c r="N344" t="s">
        <v>202</v>
      </c>
      <c r="O344" t="s">
        <v>260</v>
      </c>
      <c r="P344">
        <v>2.0946124040897721E-3</v>
      </c>
      <c r="Q344" t="s">
        <v>154</v>
      </c>
      <c r="S344" t="s">
        <v>226</v>
      </c>
      <c r="T344" t="s">
        <v>260</v>
      </c>
      <c r="U344">
        <v>1.5216930532586275E-3</v>
      </c>
      <c r="V344" t="s">
        <v>154</v>
      </c>
    </row>
    <row r="345" spans="9:22" x14ac:dyDescent="0.45">
      <c r="I345" t="s">
        <v>173</v>
      </c>
      <c r="J345" t="s">
        <v>284</v>
      </c>
      <c r="K345">
        <v>2.8031220586505205E-3</v>
      </c>
      <c r="L345" t="s">
        <v>154</v>
      </c>
      <c r="N345" t="s">
        <v>202</v>
      </c>
      <c r="O345" t="s">
        <v>284</v>
      </c>
      <c r="P345">
        <v>1.9122523563730683E-3</v>
      </c>
      <c r="Q345" t="s">
        <v>154</v>
      </c>
      <c r="S345" t="s">
        <v>226</v>
      </c>
      <c r="T345" t="s">
        <v>284</v>
      </c>
      <c r="U345">
        <v>1.4369970589296717E-3</v>
      </c>
      <c r="V345" t="s">
        <v>154</v>
      </c>
    </row>
    <row r="346" spans="9:22" x14ac:dyDescent="0.45">
      <c r="I346" t="s">
        <v>173</v>
      </c>
      <c r="J346" t="s">
        <v>285</v>
      </c>
      <c r="K346">
        <v>0</v>
      </c>
      <c r="L346" t="s">
        <v>154</v>
      </c>
      <c r="N346" t="s">
        <v>202</v>
      </c>
      <c r="O346" t="s">
        <v>285</v>
      </c>
      <c r="P346">
        <v>6.0303502046617384E-3</v>
      </c>
      <c r="Q346" t="s">
        <v>154</v>
      </c>
      <c r="S346" t="s">
        <v>226</v>
      </c>
      <c r="T346" t="s">
        <v>285</v>
      </c>
      <c r="U346">
        <v>6.9869573219507285E-3</v>
      </c>
      <c r="V346" t="s">
        <v>154</v>
      </c>
    </row>
    <row r="347" spans="9:22" x14ac:dyDescent="0.45">
      <c r="I347" t="s">
        <v>173</v>
      </c>
      <c r="J347" t="s">
        <v>160</v>
      </c>
      <c r="K347">
        <v>0</v>
      </c>
      <c r="L347" t="s">
        <v>154</v>
      </c>
      <c r="N347" t="s">
        <v>202</v>
      </c>
      <c r="O347" t="s">
        <v>160</v>
      </c>
      <c r="P347">
        <v>5.0250072036420637E-2</v>
      </c>
      <c r="Q347" t="s">
        <v>154</v>
      </c>
      <c r="S347" t="s">
        <v>226</v>
      </c>
      <c r="T347" t="s">
        <v>160</v>
      </c>
      <c r="U347">
        <v>4.9411614315955033E-2</v>
      </c>
      <c r="V347" t="s">
        <v>154</v>
      </c>
    </row>
    <row r="348" spans="9:22" x14ac:dyDescent="0.45">
      <c r="I348" t="s">
        <v>173</v>
      </c>
      <c r="J348" t="s">
        <v>161</v>
      </c>
      <c r="K348">
        <v>7.1233651168173852E-3</v>
      </c>
      <c r="L348" t="s">
        <v>154</v>
      </c>
      <c r="N348" t="s">
        <v>202</v>
      </c>
      <c r="O348" t="s">
        <v>161</v>
      </c>
      <c r="P348">
        <v>1.2050998378888339E-2</v>
      </c>
      <c r="Q348" t="s">
        <v>154</v>
      </c>
      <c r="S348" t="s">
        <v>226</v>
      </c>
      <c r="T348" t="s">
        <v>161</v>
      </c>
      <c r="U348">
        <v>1.2729776256307725E-2</v>
      </c>
      <c r="V348" t="s">
        <v>154</v>
      </c>
    </row>
    <row r="349" spans="9:22" x14ac:dyDescent="0.45">
      <c r="I349" t="s">
        <v>173</v>
      </c>
      <c r="J349" t="s">
        <v>162</v>
      </c>
      <c r="K349">
        <v>6.386954436262437E-3</v>
      </c>
      <c r="L349" t="s">
        <v>154</v>
      </c>
      <c r="N349" t="s">
        <v>202</v>
      </c>
      <c r="O349" t="s">
        <v>162</v>
      </c>
      <c r="P349">
        <v>6.4672987685370576E-3</v>
      </c>
      <c r="Q349" t="s">
        <v>154</v>
      </c>
      <c r="S349" t="s">
        <v>226</v>
      </c>
      <c r="T349" t="s">
        <v>162</v>
      </c>
      <c r="U349">
        <v>6.6336581349362789E-3</v>
      </c>
      <c r="V349" t="s">
        <v>154</v>
      </c>
    </row>
    <row r="350" spans="9:22" x14ac:dyDescent="0.45">
      <c r="I350" t="s">
        <v>173</v>
      </c>
      <c r="J350" t="s">
        <v>261</v>
      </c>
      <c r="K350">
        <v>5.0396896583611558E-2</v>
      </c>
      <c r="L350" t="s">
        <v>154</v>
      </c>
      <c r="N350" t="s">
        <v>202</v>
      </c>
      <c r="O350" t="s">
        <v>261</v>
      </c>
      <c r="P350">
        <v>5.4164919669076425E-2</v>
      </c>
      <c r="Q350" t="s">
        <v>154</v>
      </c>
      <c r="S350" t="s">
        <v>226</v>
      </c>
      <c r="T350" t="s">
        <v>261</v>
      </c>
      <c r="U350">
        <v>4.4914036159516765E-2</v>
      </c>
      <c r="V350" t="s">
        <v>154</v>
      </c>
    </row>
    <row r="351" spans="9:22" x14ac:dyDescent="0.45">
      <c r="I351" t="s">
        <v>173</v>
      </c>
      <c r="J351" t="s">
        <v>262</v>
      </c>
      <c r="K351">
        <v>5.8808055455498841E-3</v>
      </c>
      <c r="L351" t="s">
        <v>154</v>
      </c>
      <c r="N351" t="s">
        <v>202</v>
      </c>
      <c r="O351" t="s">
        <v>262</v>
      </c>
      <c r="P351">
        <v>9.7101374261300503E-3</v>
      </c>
      <c r="Q351" t="s">
        <v>154</v>
      </c>
      <c r="S351" t="s">
        <v>226</v>
      </c>
      <c r="T351" t="s">
        <v>262</v>
      </c>
      <c r="U351">
        <v>7.9929854939837282E-3</v>
      </c>
      <c r="V351" t="s">
        <v>154</v>
      </c>
    </row>
    <row r="352" spans="9:22" x14ac:dyDescent="0.45">
      <c r="I352" t="s">
        <v>173</v>
      </c>
      <c r="J352" t="s">
        <v>263</v>
      </c>
      <c r="K352">
        <v>4.2529213820654676E-3</v>
      </c>
      <c r="L352" t="s">
        <v>154</v>
      </c>
      <c r="N352" t="s">
        <v>202</v>
      </c>
      <c r="O352" t="s">
        <v>263</v>
      </c>
      <c r="P352">
        <v>9.3503599341623923E-3</v>
      </c>
      <c r="Q352" t="s">
        <v>154</v>
      </c>
      <c r="S352" t="s">
        <v>226</v>
      </c>
      <c r="T352" t="s">
        <v>263</v>
      </c>
      <c r="U352">
        <v>7.8387050759221623E-3</v>
      </c>
      <c r="V352" t="s">
        <v>154</v>
      </c>
    </row>
    <row r="353" spans="9:22" x14ac:dyDescent="0.45">
      <c r="I353" t="s">
        <v>173</v>
      </c>
      <c r="J353" t="s">
        <v>286</v>
      </c>
      <c r="K353">
        <v>2.4348653642617844E-3</v>
      </c>
      <c r="L353" t="s">
        <v>154</v>
      </c>
      <c r="N353" t="s">
        <v>202</v>
      </c>
      <c r="O353" t="s">
        <v>286</v>
      </c>
      <c r="P353">
        <v>9.3531616860398851E-3</v>
      </c>
      <c r="Q353" t="s">
        <v>154</v>
      </c>
      <c r="S353" t="s">
        <v>226</v>
      </c>
      <c r="T353" t="s">
        <v>286</v>
      </c>
      <c r="U353">
        <v>7.1150941728587939E-3</v>
      </c>
      <c r="V353" t="s">
        <v>154</v>
      </c>
    </row>
    <row r="354" spans="9:22" x14ac:dyDescent="0.45">
      <c r="I354" t="s">
        <v>173</v>
      </c>
      <c r="J354" t="s">
        <v>287</v>
      </c>
      <c r="K354">
        <v>0</v>
      </c>
      <c r="L354" t="s">
        <v>154</v>
      </c>
      <c r="N354" t="s">
        <v>202</v>
      </c>
      <c r="O354" t="s">
        <v>287</v>
      </c>
      <c r="P354">
        <v>3.9489325335703165E-2</v>
      </c>
      <c r="Q354" t="s">
        <v>154</v>
      </c>
      <c r="S354" t="s">
        <v>226</v>
      </c>
      <c r="T354" t="s">
        <v>287</v>
      </c>
      <c r="U354">
        <v>3.4070312612673244E-2</v>
      </c>
      <c r="V354" t="s">
        <v>154</v>
      </c>
    </row>
    <row r="355" spans="9:22" x14ac:dyDescent="0.45">
      <c r="I355" t="s">
        <v>173</v>
      </c>
      <c r="J355" t="s">
        <v>163</v>
      </c>
      <c r="K355">
        <v>0</v>
      </c>
      <c r="L355" t="s">
        <v>154</v>
      </c>
      <c r="N355" t="s">
        <v>202</v>
      </c>
      <c r="O355" t="s">
        <v>163</v>
      </c>
      <c r="P355">
        <v>1.403996463067376E-2</v>
      </c>
      <c r="Q355" t="s">
        <v>154</v>
      </c>
      <c r="S355" t="s">
        <v>226</v>
      </c>
      <c r="T355" t="s">
        <v>163</v>
      </c>
      <c r="U355">
        <v>6.6588430872536524E-3</v>
      </c>
      <c r="V355" t="s">
        <v>154</v>
      </c>
    </row>
    <row r="356" spans="9:22" x14ac:dyDescent="0.45">
      <c r="I356" t="s">
        <v>173</v>
      </c>
      <c r="J356" t="s">
        <v>164</v>
      </c>
      <c r="K356">
        <v>7.269140381550669E-3</v>
      </c>
      <c r="L356" t="s">
        <v>154</v>
      </c>
      <c r="N356" t="s">
        <v>202</v>
      </c>
      <c r="O356" t="s">
        <v>164</v>
      </c>
      <c r="P356">
        <v>3.0413263839686269E-3</v>
      </c>
      <c r="Q356" t="s">
        <v>154</v>
      </c>
      <c r="S356" t="s">
        <v>226</v>
      </c>
      <c r="T356" t="s">
        <v>164</v>
      </c>
      <c r="U356">
        <v>2.2065512117308518E-3</v>
      </c>
      <c r="V356" t="s">
        <v>154</v>
      </c>
    </row>
    <row r="357" spans="9:22" x14ac:dyDescent="0.45">
      <c r="I357" t="s">
        <v>173</v>
      </c>
      <c r="J357" t="s">
        <v>165</v>
      </c>
      <c r="K357">
        <v>6.0062465059602162E-3</v>
      </c>
      <c r="L357" t="s">
        <v>154</v>
      </c>
      <c r="N357" t="s">
        <v>202</v>
      </c>
      <c r="O357" t="s">
        <v>165</v>
      </c>
      <c r="P357">
        <v>1.512732083677555E-3</v>
      </c>
      <c r="Q357" t="s">
        <v>154</v>
      </c>
      <c r="S357" t="s">
        <v>226</v>
      </c>
      <c r="T357" t="s">
        <v>165</v>
      </c>
      <c r="U357">
        <v>1.2198217100768917E-3</v>
      </c>
      <c r="V357" t="s">
        <v>154</v>
      </c>
    </row>
    <row r="358" spans="9:22" x14ac:dyDescent="0.45">
      <c r="I358" t="s">
        <v>173</v>
      </c>
      <c r="J358" t="s">
        <v>264</v>
      </c>
      <c r="K358">
        <v>4.3040648778098184E-2</v>
      </c>
      <c r="L358" t="s">
        <v>154</v>
      </c>
      <c r="N358" t="s">
        <v>202</v>
      </c>
      <c r="O358" t="s">
        <v>264</v>
      </c>
      <c r="P358">
        <v>1.5013796122290986E-2</v>
      </c>
      <c r="Q358" t="s">
        <v>154</v>
      </c>
      <c r="S358" t="s">
        <v>226</v>
      </c>
      <c r="T358" t="s">
        <v>264</v>
      </c>
      <c r="U358">
        <v>6.917377669669449E-3</v>
      </c>
      <c r="V358" t="s">
        <v>154</v>
      </c>
    </row>
    <row r="359" spans="9:22" x14ac:dyDescent="0.45">
      <c r="I359" t="s">
        <v>173</v>
      </c>
      <c r="J359" t="s">
        <v>265</v>
      </c>
      <c r="K359">
        <v>5.3131562702384803E-3</v>
      </c>
      <c r="L359" t="s">
        <v>154</v>
      </c>
      <c r="N359" t="s">
        <v>202</v>
      </c>
      <c r="O359" t="s">
        <v>265</v>
      </c>
      <c r="P359">
        <v>3.2999396642907734E-3</v>
      </c>
      <c r="Q359" t="s">
        <v>154</v>
      </c>
      <c r="S359" t="s">
        <v>226</v>
      </c>
      <c r="T359" t="s">
        <v>265</v>
      </c>
      <c r="U359">
        <v>1.1135237752959129E-3</v>
      </c>
      <c r="V359" t="s">
        <v>154</v>
      </c>
    </row>
    <row r="360" spans="9:22" x14ac:dyDescent="0.45">
      <c r="I360" t="s">
        <v>173</v>
      </c>
      <c r="J360" t="s">
        <v>266</v>
      </c>
      <c r="K360">
        <v>3.7248678907836974E-3</v>
      </c>
      <c r="L360" t="s">
        <v>154</v>
      </c>
      <c r="N360" t="s">
        <v>202</v>
      </c>
      <c r="O360" t="s">
        <v>266</v>
      </c>
      <c r="P360">
        <v>3.150668777043052E-3</v>
      </c>
      <c r="Q360" t="s">
        <v>154</v>
      </c>
      <c r="S360" t="s">
        <v>226</v>
      </c>
      <c r="T360" t="s">
        <v>266</v>
      </c>
      <c r="U360">
        <v>1.1694811778428576E-3</v>
      </c>
      <c r="V360" t="s">
        <v>154</v>
      </c>
    </row>
    <row r="361" spans="9:22" x14ac:dyDescent="0.45">
      <c r="I361" t="s">
        <v>173</v>
      </c>
      <c r="J361" t="s">
        <v>288</v>
      </c>
      <c r="K361">
        <v>2.3887848139733628E-3</v>
      </c>
      <c r="L361" t="s">
        <v>154</v>
      </c>
      <c r="N361" t="s">
        <v>202</v>
      </c>
      <c r="O361" t="s">
        <v>288</v>
      </c>
      <c r="P361">
        <v>2.865334927348234E-3</v>
      </c>
      <c r="Q361" t="s">
        <v>154</v>
      </c>
      <c r="S361" t="s">
        <v>226</v>
      </c>
      <c r="T361" t="s">
        <v>288</v>
      </c>
      <c r="U361">
        <v>1.0548058091018877E-3</v>
      </c>
      <c r="V361" t="s">
        <v>154</v>
      </c>
    </row>
    <row r="362" spans="9:22" x14ac:dyDescent="0.45">
      <c r="I362" t="s">
        <v>173</v>
      </c>
      <c r="J362" t="s">
        <v>289</v>
      </c>
      <c r="K362">
        <v>0</v>
      </c>
      <c r="L362" t="s">
        <v>154</v>
      </c>
      <c r="N362" t="s">
        <v>202</v>
      </c>
      <c r="O362" t="s">
        <v>289</v>
      </c>
      <c r="P362">
        <v>1.2403795736842443E-2</v>
      </c>
      <c r="Q362" t="s">
        <v>154</v>
      </c>
      <c r="S362" t="s">
        <v>226</v>
      </c>
      <c r="T362" t="s">
        <v>289</v>
      </c>
      <c r="U362">
        <v>5.5525239968079393E-3</v>
      </c>
      <c r="V362" t="s">
        <v>154</v>
      </c>
    </row>
    <row r="363" spans="9:22" x14ac:dyDescent="0.45">
      <c r="I363" t="s">
        <v>173</v>
      </c>
      <c r="J363" t="s">
        <v>272</v>
      </c>
      <c r="K363">
        <v>0</v>
      </c>
      <c r="L363" t="s">
        <v>154</v>
      </c>
      <c r="N363" t="s">
        <v>202</v>
      </c>
      <c r="O363" t="s">
        <v>272</v>
      </c>
      <c r="P363">
        <v>4.0835650456313689E-2</v>
      </c>
      <c r="Q363" t="s">
        <v>154</v>
      </c>
      <c r="S363" t="s">
        <v>226</v>
      </c>
      <c r="T363" t="s">
        <v>272</v>
      </c>
      <c r="U363">
        <v>5.0473448751828832E-2</v>
      </c>
      <c r="V363" t="s">
        <v>154</v>
      </c>
    </row>
    <row r="364" spans="9:22" x14ac:dyDescent="0.45">
      <c r="I364" t="s">
        <v>173</v>
      </c>
      <c r="J364" t="s">
        <v>273</v>
      </c>
      <c r="K364">
        <v>1.630769473257172E-2</v>
      </c>
      <c r="L364" t="s">
        <v>154</v>
      </c>
      <c r="N364" t="s">
        <v>202</v>
      </c>
      <c r="O364" t="s">
        <v>273</v>
      </c>
      <c r="P364">
        <v>8.2266513411541429E-3</v>
      </c>
      <c r="Q364" t="s">
        <v>154</v>
      </c>
      <c r="S364" t="s">
        <v>226</v>
      </c>
      <c r="T364" t="s">
        <v>273</v>
      </c>
      <c r="U364">
        <v>1.4715754377242733E-2</v>
      </c>
      <c r="V364" t="s">
        <v>154</v>
      </c>
    </row>
    <row r="365" spans="9:22" x14ac:dyDescent="0.45">
      <c r="I365" t="s">
        <v>173</v>
      </c>
      <c r="J365" t="s">
        <v>274</v>
      </c>
      <c r="K365">
        <v>1.3352458864409679E-2</v>
      </c>
      <c r="L365" t="s">
        <v>154</v>
      </c>
      <c r="N365" t="s">
        <v>202</v>
      </c>
      <c r="O365" t="s">
        <v>274</v>
      </c>
      <c r="P365">
        <v>4.5697201378888828E-3</v>
      </c>
      <c r="Q365" t="s">
        <v>154</v>
      </c>
      <c r="S365" t="s">
        <v>226</v>
      </c>
      <c r="T365" t="s">
        <v>274</v>
      </c>
      <c r="U365">
        <v>7.673857882344948E-3</v>
      </c>
      <c r="V365" t="s">
        <v>154</v>
      </c>
    </row>
    <row r="366" spans="9:22" x14ac:dyDescent="0.45">
      <c r="I366" t="s">
        <v>173</v>
      </c>
      <c r="J366" t="s">
        <v>275</v>
      </c>
      <c r="K366">
        <v>9.3880244285999878E-2</v>
      </c>
      <c r="L366" t="s">
        <v>154</v>
      </c>
      <c r="N366" t="s">
        <v>202</v>
      </c>
      <c r="O366" t="s">
        <v>275</v>
      </c>
      <c r="P366">
        <v>3.5839985912066399E-2</v>
      </c>
      <c r="Q366" t="s">
        <v>154</v>
      </c>
      <c r="S366" t="s">
        <v>226</v>
      </c>
      <c r="T366" t="s">
        <v>275</v>
      </c>
      <c r="U366">
        <v>4.2746837598598E-2</v>
      </c>
      <c r="V366" t="s">
        <v>154</v>
      </c>
    </row>
    <row r="367" spans="9:22" x14ac:dyDescent="0.45">
      <c r="I367" t="s">
        <v>173</v>
      </c>
      <c r="J367" t="s">
        <v>276</v>
      </c>
      <c r="K367">
        <v>1.2441457272482748E-2</v>
      </c>
      <c r="L367" t="s">
        <v>154</v>
      </c>
      <c r="N367" t="s">
        <v>202</v>
      </c>
      <c r="O367" t="s">
        <v>276</v>
      </c>
      <c r="P367">
        <v>6.234508410374799E-3</v>
      </c>
      <c r="Q367" t="s">
        <v>154</v>
      </c>
      <c r="S367" t="s">
        <v>226</v>
      </c>
      <c r="T367" t="s">
        <v>276</v>
      </c>
      <c r="U367">
        <v>6.5807070463202349E-3</v>
      </c>
      <c r="V367" t="s">
        <v>154</v>
      </c>
    </row>
    <row r="368" spans="9:22" x14ac:dyDescent="0.45">
      <c r="I368" t="s">
        <v>173</v>
      </c>
      <c r="J368" t="s">
        <v>277</v>
      </c>
      <c r="K368">
        <v>9.098901626098289E-3</v>
      </c>
      <c r="L368" t="s">
        <v>154</v>
      </c>
      <c r="N368" t="s">
        <v>202</v>
      </c>
      <c r="O368" t="s">
        <v>277</v>
      </c>
      <c r="P368">
        <v>6.5153597247620352E-3</v>
      </c>
      <c r="Q368" t="s">
        <v>154</v>
      </c>
      <c r="S368" t="s">
        <v>226</v>
      </c>
      <c r="T368" t="s">
        <v>277</v>
      </c>
      <c r="U368">
        <v>6.7320770250723083E-3</v>
      </c>
      <c r="V368" t="s">
        <v>154</v>
      </c>
    </row>
    <row r="369" spans="9:22" x14ac:dyDescent="0.45">
      <c r="I369" t="s">
        <v>173</v>
      </c>
      <c r="J369" t="s">
        <v>290</v>
      </c>
      <c r="K369">
        <v>5.2897806952563577E-3</v>
      </c>
      <c r="L369" t="s">
        <v>154</v>
      </c>
      <c r="N369" t="s">
        <v>202</v>
      </c>
      <c r="O369" t="s">
        <v>290</v>
      </c>
      <c r="P369">
        <v>5.3667139103776859E-3</v>
      </c>
      <c r="Q369" t="s">
        <v>154</v>
      </c>
      <c r="S369" t="s">
        <v>226</v>
      </c>
      <c r="T369" t="s">
        <v>290</v>
      </c>
      <c r="U369">
        <v>5.1641069665046002E-3</v>
      </c>
      <c r="V369" t="s">
        <v>154</v>
      </c>
    </row>
    <row r="370" spans="9:22" x14ac:dyDescent="0.45">
      <c r="I370" t="s">
        <v>173</v>
      </c>
      <c r="J370" t="s">
        <v>291</v>
      </c>
      <c r="K370">
        <v>0</v>
      </c>
      <c r="L370" t="s">
        <v>154</v>
      </c>
      <c r="N370" t="s">
        <v>202</v>
      </c>
      <c r="O370" t="s">
        <v>291</v>
      </c>
      <c r="P370">
        <v>2.9938969424562693E-2</v>
      </c>
      <c r="Q370" t="s">
        <v>154</v>
      </c>
      <c r="S370" t="s">
        <v>226</v>
      </c>
      <c r="T370" t="s">
        <v>291</v>
      </c>
      <c r="U370">
        <v>3.2194867005893288E-2</v>
      </c>
      <c r="V370" t="s">
        <v>154</v>
      </c>
    </row>
    <row r="371" spans="9:22" x14ac:dyDescent="0.45">
      <c r="I371" t="s">
        <v>174</v>
      </c>
      <c r="J371" t="s">
        <v>153</v>
      </c>
      <c r="K371">
        <v>0</v>
      </c>
      <c r="L371" t="s">
        <v>154</v>
      </c>
      <c r="N371" t="s">
        <v>203</v>
      </c>
      <c r="O371" t="s">
        <v>153</v>
      </c>
      <c r="P371">
        <v>0.16992240564327035</v>
      </c>
      <c r="Q371" t="s">
        <v>154</v>
      </c>
      <c r="S371" t="s">
        <v>227</v>
      </c>
      <c r="T371" t="s">
        <v>153</v>
      </c>
      <c r="U371">
        <v>0.13924357044831689</v>
      </c>
      <c r="V371" t="s">
        <v>154</v>
      </c>
    </row>
    <row r="372" spans="9:22" x14ac:dyDescent="0.45">
      <c r="I372" t="s">
        <v>174</v>
      </c>
      <c r="J372" t="s">
        <v>155</v>
      </c>
      <c r="K372">
        <v>6.7744838102910682E-2</v>
      </c>
      <c r="L372" t="s">
        <v>154</v>
      </c>
      <c r="N372" t="s">
        <v>203</v>
      </c>
      <c r="O372" t="s">
        <v>155</v>
      </c>
      <c r="P372">
        <v>4.5375666769248223E-2</v>
      </c>
      <c r="Q372" t="s">
        <v>154</v>
      </c>
      <c r="S372" t="s">
        <v>227</v>
      </c>
      <c r="T372" t="s">
        <v>155</v>
      </c>
      <c r="U372">
        <v>3.4832881100757107E-2</v>
      </c>
      <c r="V372" t="s">
        <v>154</v>
      </c>
    </row>
    <row r="373" spans="9:22" x14ac:dyDescent="0.45">
      <c r="I373" t="s">
        <v>174</v>
      </c>
      <c r="J373" t="s">
        <v>156</v>
      </c>
      <c r="K373">
        <v>5.9279067288272778E-2</v>
      </c>
      <c r="L373" t="s">
        <v>154</v>
      </c>
      <c r="N373" t="s">
        <v>203</v>
      </c>
      <c r="O373" t="s">
        <v>156</v>
      </c>
      <c r="P373">
        <v>2.2720986538450651E-2</v>
      </c>
      <c r="Q373" t="s">
        <v>154</v>
      </c>
      <c r="S373" t="s">
        <v>227</v>
      </c>
      <c r="T373" t="s">
        <v>156</v>
      </c>
      <c r="U373">
        <v>1.8028776051286634E-2</v>
      </c>
      <c r="V373" t="s">
        <v>154</v>
      </c>
    </row>
    <row r="374" spans="9:22" x14ac:dyDescent="0.45">
      <c r="I374" t="s">
        <v>174</v>
      </c>
      <c r="J374" t="s">
        <v>255</v>
      </c>
      <c r="K374">
        <v>0.42445861217552722</v>
      </c>
      <c r="L374" t="s">
        <v>154</v>
      </c>
      <c r="N374" t="s">
        <v>203</v>
      </c>
      <c r="O374" t="s">
        <v>255</v>
      </c>
      <c r="P374">
        <v>0.14832232637629242</v>
      </c>
      <c r="Q374" t="s">
        <v>154</v>
      </c>
      <c r="S374" t="s">
        <v>227</v>
      </c>
      <c r="T374" t="s">
        <v>255</v>
      </c>
      <c r="U374">
        <v>0.1258060531347529</v>
      </c>
      <c r="V374" t="s">
        <v>154</v>
      </c>
    </row>
    <row r="375" spans="9:22" x14ac:dyDescent="0.45">
      <c r="I375" t="s">
        <v>174</v>
      </c>
      <c r="J375" t="s">
        <v>256</v>
      </c>
      <c r="K375">
        <v>4.4412435093706584E-2</v>
      </c>
      <c r="L375" t="s">
        <v>154</v>
      </c>
      <c r="N375" t="s">
        <v>203</v>
      </c>
      <c r="O375" t="s">
        <v>256</v>
      </c>
      <c r="P375">
        <v>3.0309568415679718E-2</v>
      </c>
      <c r="Q375" t="s">
        <v>154</v>
      </c>
      <c r="S375" t="s">
        <v>227</v>
      </c>
      <c r="T375" t="s">
        <v>256</v>
      </c>
      <c r="U375">
        <v>2.3961681963273408E-2</v>
      </c>
      <c r="V375" t="s">
        <v>154</v>
      </c>
    </row>
    <row r="376" spans="9:22" x14ac:dyDescent="0.45">
      <c r="I376" t="s">
        <v>174</v>
      </c>
      <c r="J376" t="s">
        <v>257</v>
      </c>
      <c r="K376">
        <v>2.9005278068484242E-2</v>
      </c>
      <c r="L376" t="s">
        <v>154</v>
      </c>
      <c r="N376" t="s">
        <v>203</v>
      </c>
      <c r="O376" t="s">
        <v>257</v>
      </c>
      <c r="P376">
        <v>3.1342160457151269E-2</v>
      </c>
      <c r="Q376" t="s">
        <v>154</v>
      </c>
      <c r="S376" t="s">
        <v>227</v>
      </c>
      <c r="T376" t="s">
        <v>257</v>
      </c>
      <c r="U376">
        <v>2.4093739366959421E-2</v>
      </c>
      <c r="V376" t="s">
        <v>154</v>
      </c>
    </row>
    <row r="377" spans="9:22" x14ac:dyDescent="0.45">
      <c r="I377" t="s">
        <v>174</v>
      </c>
      <c r="J377" t="s">
        <v>282</v>
      </c>
      <c r="K377">
        <v>1.5648501010654736E-2</v>
      </c>
      <c r="L377" t="s">
        <v>154</v>
      </c>
      <c r="N377" t="s">
        <v>203</v>
      </c>
      <c r="O377" t="s">
        <v>282</v>
      </c>
      <c r="P377">
        <v>3.0182695646474918E-2</v>
      </c>
      <c r="Q377" t="s">
        <v>154</v>
      </c>
      <c r="S377" t="s">
        <v>227</v>
      </c>
      <c r="T377" t="s">
        <v>282</v>
      </c>
      <c r="U377">
        <v>2.2609173367532039E-2</v>
      </c>
      <c r="V377" t="s">
        <v>154</v>
      </c>
    </row>
    <row r="378" spans="9:22" x14ac:dyDescent="0.45">
      <c r="I378" t="s">
        <v>174</v>
      </c>
      <c r="J378" t="s">
        <v>283</v>
      </c>
      <c r="K378">
        <v>0</v>
      </c>
      <c r="L378" t="s">
        <v>154</v>
      </c>
      <c r="N378" t="s">
        <v>203</v>
      </c>
      <c r="O378" t="s">
        <v>283</v>
      </c>
      <c r="P378">
        <v>0.15247126972357056</v>
      </c>
      <c r="Q378" t="s">
        <v>154</v>
      </c>
      <c r="S378" t="s">
        <v>227</v>
      </c>
      <c r="T378" t="s">
        <v>283</v>
      </c>
      <c r="U378">
        <v>0.11218333258826479</v>
      </c>
      <c r="V378" t="s">
        <v>154</v>
      </c>
    </row>
    <row r="379" spans="9:22" x14ac:dyDescent="0.45">
      <c r="I379" t="s">
        <v>174</v>
      </c>
      <c r="J379" t="s">
        <v>157</v>
      </c>
      <c r="K379">
        <v>0</v>
      </c>
      <c r="L379" t="s">
        <v>154</v>
      </c>
      <c r="N379" t="s">
        <v>203</v>
      </c>
      <c r="O379" t="s">
        <v>157</v>
      </c>
      <c r="P379">
        <v>8.2330119169851165E-3</v>
      </c>
      <c r="Q379" t="s">
        <v>154</v>
      </c>
      <c r="S379" t="s">
        <v>227</v>
      </c>
      <c r="T379" t="s">
        <v>157</v>
      </c>
      <c r="U379">
        <v>1.0201161222122059E-2</v>
      </c>
      <c r="V379" t="s">
        <v>154</v>
      </c>
    </row>
    <row r="380" spans="9:22" x14ac:dyDescent="0.45">
      <c r="I380" t="s">
        <v>174</v>
      </c>
      <c r="J380" t="s">
        <v>158</v>
      </c>
      <c r="K380">
        <v>8.3362360237597237E-3</v>
      </c>
      <c r="L380" t="s">
        <v>154</v>
      </c>
      <c r="N380" t="s">
        <v>203</v>
      </c>
      <c r="O380" t="s">
        <v>158</v>
      </c>
      <c r="P380">
        <v>2.8322756744428024E-3</v>
      </c>
      <c r="Q380" t="s">
        <v>154</v>
      </c>
      <c r="S380" t="s">
        <v>227</v>
      </c>
      <c r="T380" t="s">
        <v>158</v>
      </c>
      <c r="U380">
        <v>2.4614445802555503E-3</v>
      </c>
      <c r="V380" t="s">
        <v>154</v>
      </c>
    </row>
    <row r="381" spans="9:22" x14ac:dyDescent="0.45">
      <c r="I381" t="s">
        <v>174</v>
      </c>
      <c r="J381" t="s">
        <v>159</v>
      </c>
      <c r="K381">
        <v>6.7333434909946392E-3</v>
      </c>
      <c r="L381" t="s">
        <v>154</v>
      </c>
      <c r="N381" t="s">
        <v>203</v>
      </c>
      <c r="O381" t="s">
        <v>159</v>
      </c>
      <c r="P381">
        <v>1.439579811968344E-3</v>
      </c>
      <c r="Q381" t="s">
        <v>154</v>
      </c>
      <c r="S381" t="s">
        <v>227</v>
      </c>
      <c r="T381" t="s">
        <v>159</v>
      </c>
      <c r="U381">
        <v>1.3749338790500845E-3</v>
      </c>
      <c r="V381" t="s">
        <v>154</v>
      </c>
    </row>
    <row r="382" spans="9:22" x14ac:dyDescent="0.45">
      <c r="I382" t="s">
        <v>174</v>
      </c>
      <c r="J382" t="s">
        <v>258</v>
      </c>
      <c r="K382">
        <v>4.5877538932509697E-2</v>
      </c>
      <c r="L382" t="s">
        <v>154</v>
      </c>
      <c r="N382" t="s">
        <v>203</v>
      </c>
      <c r="O382" t="s">
        <v>258</v>
      </c>
      <c r="P382">
        <v>1.2474093485041794E-2</v>
      </c>
      <c r="Q382" t="s">
        <v>154</v>
      </c>
      <c r="S382" t="s">
        <v>227</v>
      </c>
      <c r="T382" t="s">
        <v>258</v>
      </c>
      <c r="U382">
        <v>1.078247544938649E-2</v>
      </c>
      <c r="V382" t="s">
        <v>154</v>
      </c>
    </row>
    <row r="383" spans="9:22" x14ac:dyDescent="0.45">
      <c r="I383" t="s">
        <v>174</v>
      </c>
      <c r="J383" t="s">
        <v>259</v>
      </c>
      <c r="K383">
        <v>4.3623554348681884E-3</v>
      </c>
      <c r="L383" t="s">
        <v>154</v>
      </c>
      <c r="N383" t="s">
        <v>203</v>
      </c>
      <c r="O383" t="s">
        <v>259</v>
      </c>
      <c r="P383">
        <v>3.0078243263544449E-3</v>
      </c>
      <c r="Q383" t="s">
        <v>154</v>
      </c>
      <c r="S383" t="s">
        <v>227</v>
      </c>
      <c r="T383" t="s">
        <v>259</v>
      </c>
      <c r="U383">
        <v>1.6362860856077644E-3</v>
      </c>
      <c r="V383" t="s">
        <v>154</v>
      </c>
    </row>
    <row r="384" spans="9:22" x14ac:dyDescent="0.45">
      <c r="I384" t="s">
        <v>174</v>
      </c>
      <c r="J384" t="s">
        <v>260</v>
      </c>
      <c r="K384">
        <v>2.6865785697495186E-3</v>
      </c>
      <c r="L384" t="s">
        <v>154</v>
      </c>
      <c r="N384" t="s">
        <v>203</v>
      </c>
      <c r="O384" t="s">
        <v>260</v>
      </c>
      <c r="P384">
        <v>2.8544857858698882E-3</v>
      </c>
      <c r="Q384" t="s">
        <v>154</v>
      </c>
      <c r="S384" t="s">
        <v>227</v>
      </c>
      <c r="T384" t="s">
        <v>260</v>
      </c>
      <c r="U384">
        <v>1.5516237656473411E-3</v>
      </c>
      <c r="V384" t="s">
        <v>154</v>
      </c>
    </row>
    <row r="385" spans="9:22" x14ac:dyDescent="0.45">
      <c r="I385" t="s">
        <v>174</v>
      </c>
      <c r="J385" t="s">
        <v>284</v>
      </c>
      <c r="K385">
        <v>1.2851912409184492E-3</v>
      </c>
      <c r="L385" t="s">
        <v>154</v>
      </c>
      <c r="N385" t="s">
        <v>203</v>
      </c>
      <c r="O385" t="s">
        <v>284</v>
      </c>
      <c r="P385">
        <v>2.7692963548716469E-3</v>
      </c>
      <c r="Q385" t="s">
        <v>154</v>
      </c>
      <c r="S385" t="s">
        <v>227</v>
      </c>
      <c r="T385" t="s">
        <v>284</v>
      </c>
      <c r="U385">
        <v>1.2268225783874922E-3</v>
      </c>
      <c r="V385" t="s">
        <v>154</v>
      </c>
    </row>
    <row r="386" spans="9:22" x14ac:dyDescent="0.45">
      <c r="I386" t="s">
        <v>174</v>
      </c>
      <c r="J386" t="s">
        <v>285</v>
      </c>
      <c r="K386">
        <v>0</v>
      </c>
      <c r="L386" t="s">
        <v>154</v>
      </c>
      <c r="N386" t="s">
        <v>203</v>
      </c>
      <c r="O386" t="s">
        <v>285</v>
      </c>
      <c r="P386">
        <v>8.155072351226627E-3</v>
      </c>
      <c r="Q386" t="s">
        <v>154</v>
      </c>
      <c r="S386" t="s">
        <v>227</v>
      </c>
      <c r="T386" t="s">
        <v>285</v>
      </c>
      <c r="U386">
        <v>6.6223150307716892E-3</v>
      </c>
      <c r="V386" t="s">
        <v>154</v>
      </c>
    </row>
    <row r="387" spans="9:22" x14ac:dyDescent="0.45">
      <c r="I387" t="s">
        <v>174</v>
      </c>
      <c r="J387" t="s">
        <v>160</v>
      </c>
      <c r="K387">
        <v>0</v>
      </c>
      <c r="L387" t="s">
        <v>154</v>
      </c>
      <c r="N387" t="s">
        <v>203</v>
      </c>
      <c r="O387" t="s">
        <v>160</v>
      </c>
      <c r="P387">
        <v>4.5576710140776237E-2</v>
      </c>
      <c r="Q387" t="s">
        <v>154</v>
      </c>
      <c r="S387" t="s">
        <v>227</v>
      </c>
      <c r="T387" t="s">
        <v>160</v>
      </c>
      <c r="U387">
        <v>2.0897828699703115E-2</v>
      </c>
      <c r="V387" t="s">
        <v>154</v>
      </c>
    </row>
    <row r="388" spans="9:22" x14ac:dyDescent="0.45">
      <c r="I388" t="s">
        <v>174</v>
      </c>
      <c r="J388" t="s">
        <v>161</v>
      </c>
      <c r="K388">
        <v>7.4969359124248082E-3</v>
      </c>
      <c r="L388" t="s">
        <v>154</v>
      </c>
      <c r="N388" t="s">
        <v>203</v>
      </c>
      <c r="O388" t="s">
        <v>161</v>
      </c>
      <c r="P388">
        <v>9.2894881536338108E-3</v>
      </c>
      <c r="Q388" t="s">
        <v>154</v>
      </c>
      <c r="S388" t="s">
        <v>227</v>
      </c>
      <c r="T388" t="s">
        <v>161</v>
      </c>
      <c r="U388">
        <v>5.4747331181615212E-3</v>
      </c>
      <c r="V388" t="s">
        <v>154</v>
      </c>
    </row>
    <row r="389" spans="9:22" x14ac:dyDescent="0.45">
      <c r="I389" t="s">
        <v>174</v>
      </c>
      <c r="J389" t="s">
        <v>162</v>
      </c>
      <c r="K389">
        <v>6.8332680045701498E-3</v>
      </c>
      <c r="L389" t="s">
        <v>154</v>
      </c>
      <c r="N389" t="s">
        <v>203</v>
      </c>
      <c r="O389" t="s">
        <v>162</v>
      </c>
      <c r="P389">
        <v>4.7042892362633305E-3</v>
      </c>
      <c r="Q389" t="s">
        <v>154</v>
      </c>
      <c r="S389" t="s">
        <v>227</v>
      </c>
      <c r="T389" t="s">
        <v>162</v>
      </c>
      <c r="U389">
        <v>2.784911395597652E-3</v>
      </c>
      <c r="V389" t="s">
        <v>154</v>
      </c>
    </row>
    <row r="390" spans="9:22" x14ac:dyDescent="0.45">
      <c r="I390" t="s">
        <v>174</v>
      </c>
      <c r="J390" t="s">
        <v>261</v>
      </c>
      <c r="K390">
        <v>4.8234498473230802E-2</v>
      </c>
      <c r="L390" t="s">
        <v>154</v>
      </c>
      <c r="N390" t="s">
        <v>203</v>
      </c>
      <c r="O390" t="s">
        <v>261</v>
      </c>
      <c r="P390">
        <v>3.6035674176945511E-2</v>
      </c>
      <c r="Q390" t="s">
        <v>154</v>
      </c>
      <c r="S390" t="s">
        <v>227</v>
      </c>
      <c r="T390" t="s">
        <v>261</v>
      </c>
      <c r="U390">
        <v>1.8447006562357628E-2</v>
      </c>
      <c r="V390" t="s">
        <v>154</v>
      </c>
    </row>
    <row r="391" spans="9:22" x14ac:dyDescent="0.45">
      <c r="I391" t="s">
        <v>174</v>
      </c>
      <c r="J391" t="s">
        <v>262</v>
      </c>
      <c r="K391">
        <v>4.3868725779318916E-3</v>
      </c>
      <c r="L391" t="s">
        <v>154</v>
      </c>
      <c r="N391" t="s">
        <v>203</v>
      </c>
      <c r="O391" t="s">
        <v>262</v>
      </c>
      <c r="P391">
        <v>8.2138193366474849E-3</v>
      </c>
      <c r="Q391" t="s">
        <v>154</v>
      </c>
      <c r="S391" t="s">
        <v>227</v>
      </c>
      <c r="T391" t="s">
        <v>262</v>
      </c>
      <c r="U391">
        <v>3.4410641286344926E-3</v>
      </c>
      <c r="V391" t="s">
        <v>154</v>
      </c>
    </row>
    <row r="392" spans="9:22" x14ac:dyDescent="0.45">
      <c r="I392" t="s">
        <v>174</v>
      </c>
      <c r="J392" t="s">
        <v>263</v>
      </c>
      <c r="K392">
        <v>2.4598741864210742E-3</v>
      </c>
      <c r="L392" t="s">
        <v>154</v>
      </c>
      <c r="N392" t="s">
        <v>203</v>
      </c>
      <c r="O392" t="s">
        <v>263</v>
      </c>
      <c r="P392">
        <v>8.1347951221177311E-3</v>
      </c>
      <c r="Q392" t="s">
        <v>154</v>
      </c>
      <c r="S392" t="s">
        <v>227</v>
      </c>
      <c r="T392" t="s">
        <v>263</v>
      </c>
      <c r="U392">
        <v>3.4671125689921794E-3</v>
      </c>
      <c r="V392" t="s">
        <v>154</v>
      </c>
    </row>
    <row r="393" spans="9:22" x14ac:dyDescent="0.45">
      <c r="I393" t="s">
        <v>174</v>
      </c>
      <c r="J393" t="s">
        <v>286</v>
      </c>
      <c r="K393">
        <v>8.0996915074914939E-4</v>
      </c>
      <c r="L393" t="s">
        <v>154</v>
      </c>
      <c r="N393" t="s">
        <v>203</v>
      </c>
      <c r="O393" t="s">
        <v>286</v>
      </c>
      <c r="P393">
        <v>8.2703759134208632E-3</v>
      </c>
      <c r="Q393" t="s">
        <v>154</v>
      </c>
      <c r="S393" t="s">
        <v>227</v>
      </c>
      <c r="T393" t="s">
        <v>286</v>
      </c>
      <c r="U393">
        <v>3.3364355558563423E-3</v>
      </c>
      <c r="V393" t="s">
        <v>154</v>
      </c>
    </row>
    <row r="394" spans="9:22" x14ac:dyDescent="0.45">
      <c r="I394" t="s">
        <v>174</v>
      </c>
      <c r="J394" t="s">
        <v>287</v>
      </c>
      <c r="K394">
        <v>0</v>
      </c>
      <c r="L394" t="s">
        <v>154</v>
      </c>
      <c r="N394" t="s">
        <v>203</v>
      </c>
      <c r="O394" t="s">
        <v>287</v>
      </c>
      <c r="P394">
        <v>3.988844607037096E-2</v>
      </c>
      <c r="Q394" t="s">
        <v>154</v>
      </c>
      <c r="S394" t="s">
        <v>227</v>
      </c>
      <c r="T394" t="s">
        <v>287</v>
      </c>
      <c r="U394">
        <v>1.6995419572087632E-2</v>
      </c>
      <c r="V394" t="s">
        <v>154</v>
      </c>
    </row>
    <row r="395" spans="9:22" x14ac:dyDescent="0.45">
      <c r="I395" t="s">
        <v>174</v>
      </c>
      <c r="J395" t="s">
        <v>163</v>
      </c>
      <c r="K395">
        <v>0</v>
      </c>
      <c r="L395" t="s">
        <v>154</v>
      </c>
      <c r="N395" t="s">
        <v>203</v>
      </c>
      <c r="O395" t="s">
        <v>163</v>
      </c>
      <c r="P395">
        <v>6.7230844125257651E-3</v>
      </c>
      <c r="Q395" t="s">
        <v>154</v>
      </c>
      <c r="S395" t="s">
        <v>227</v>
      </c>
      <c r="T395" t="s">
        <v>163</v>
      </c>
      <c r="U395">
        <v>3.7456440427727049E-2</v>
      </c>
      <c r="V395" t="s">
        <v>154</v>
      </c>
    </row>
    <row r="396" spans="9:22" x14ac:dyDescent="0.45">
      <c r="I396" t="s">
        <v>174</v>
      </c>
      <c r="J396" t="s">
        <v>164</v>
      </c>
      <c r="K396">
        <v>7.7795878805740574E-3</v>
      </c>
      <c r="L396" t="s">
        <v>154</v>
      </c>
      <c r="N396" t="s">
        <v>203</v>
      </c>
      <c r="O396" t="s">
        <v>164</v>
      </c>
      <c r="P396">
        <v>2.0204545104639746E-3</v>
      </c>
      <c r="Q396" t="s">
        <v>154</v>
      </c>
      <c r="S396" t="s">
        <v>227</v>
      </c>
      <c r="T396" t="s">
        <v>164</v>
      </c>
      <c r="U396">
        <v>9.5874683850247673E-3</v>
      </c>
      <c r="V396" t="s">
        <v>154</v>
      </c>
    </row>
    <row r="397" spans="9:22" x14ac:dyDescent="0.45">
      <c r="I397" t="s">
        <v>174</v>
      </c>
      <c r="J397" t="s">
        <v>165</v>
      </c>
      <c r="K397">
        <v>6.5885004204242438E-3</v>
      </c>
      <c r="L397" t="s">
        <v>154</v>
      </c>
      <c r="N397" t="s">
        <v>203</v>
      </c>
      <c r="O397" t="s">
        <v>165</v>
      </c>
      <c r="P397">
        <v>9.3536439769496132E-4</v>
      </c>
      <c r="Q397" t="s">
        <v>154</v>
      </c>
      <c r="S397" t="s">
        <v>227</v>
      </c>
      <c r="T397" t="s">
        <v>165</v>
      </c>
      <c r="U397">
        <v>4.8521917078563435E-3</v>
      </c>
      <c r="V397" t="s">
        <v>154</v>
      </c>
    </row>
    <row r="398" spans="9:22" x14ac:dyDescent="0.45">
      <c r="I398" t="s">
        <v>174</v>
      </c>
      <c r="J398" t="s">
        <v>264</v>
      </c>
      <c r="K398">
        <v>4.0921182130962255E-2</v>
      </c>
      <c r="L398" t="s">
        <v>154</v>
      </c>
      <c r="N398" t="s">
        <v>203</v>
      </c>
      <c r="O398" t="s">
        <v>264</v>
      </c>
      <c r="P398">
        <v>6.5833075027650571E-3</v>
      </c>
      <c r="Q398" t="s">
        <v>154</v>
      </c>
      <c r="S398" t="s">
        <v>227</v>
      </c>
      <c r="T398" t="s">
        <v>264</v>
      </c>
      <c r="U398">
        <v>3.1539064393572729E-2</v>
      </c>
      <c r="V398" t="s">
        <v>154</v>
      </c>
    </row>
    <row r="399" spans="9:22" x14ac:dyDescent="0.45">
      <c r="I399" t="s">
        <v>174</v>
      </c>
      <c r="J399" t="s">
        <v>265</v>
      </c>
      <c r="K399">
        <v>3.6340866822041724E-3</v>
      </c>
      <c r="L399" t="s">
        <v>154</v>
      </c>
      <c r="N399" t="s">
        <v>203</v>
      </c>
      <c r="O399" t="s">
        <v>265</v>
      </c>
      <c r="P399">
        <v>1.6145261406203242E-3</v>
      </c>
      <c r="Q399" t="s">
        <v>154</v>
      </c>
      <c r="S399" t="s">
        <v>227</v>
      </c>
      <c r="T399" t="s">
        <v>265</v>
      </c>
      <c r="U399">
        <v>6.0802338147839235E-3</v>
      </c>
      <c r="V399" t="s">
        <v>154</v>
      </c>
    </row>
    <row r="400" spans="9:22" x14ac:dyDescent="0.45">
      <c r="I400" t="s">
        <v>174</v>
      </c>
      <c r="J400" t="s">
        <v>266</v>
      </c>
      <c r="K400">
        <v>2.0679470913050001E-3</v>
      </c>
      <c r="L400" t="s">
        <v>154</v>
      </c>
      <c r="N400" t="s">
        <v>203</v>
      </c>
      <c r="O400" t="s">
        <v>266</v>
      </c>
      <c r="P400">
        <v>1.5588211702763171E-3</v>
      </c>
      <c r="Q400" t="s">
        <v>154</v>
      </c>
      <c r="S400" t="s">
        <v>227</v>
      </c>
      <c r="T400" t="s">
        <v>266</v>
      </c>
      <c r="U400">
        <v>6.2865047378347222E-3</v>
      </c>
      <c r="V400" t="s">
        <v>154</v>
      </c>
    </row>
    <row r="401" spans="9:22" x14ac:dyDescent="0.45">
      <c r="I401" t="s">
        <v>174</v>
      </c>
      <c r="J401" t="s">
        <v>288</v>
      </c>
      <c r="K401">
        <v>0</v>
      </c>
      <c r="L401" t="s">
        <v>154</v>
      </c>
      <c r="N401" t="s">
        <v>203</v>
      </c>
      <c r="O401" t="s">
        <v>288</v>
      </c>
      <c r="P401">
        <v>1.5041578807830811E-3</v>
      </c>
      <c r="Q401" t="s">
        <v>154</v>
      </c>
      <c r="S401" t="s">
        <v>227</v>
      </c>
      <c r="T401" t="s">
        <v>288</v>
      </c>
      <c r="U401">
        <v>5.8650632610136987E-3</v>
      </c>
      <c r="V401" t="s">
        <v>154</v>
      </c>
    </row>
    <row r="402" spans="9:22" x14ac:dyDescent="0.45">
      <c r="I402" t="s">
        <v>174</v>
      </c>
      <c r="J402" t="s">
        <v>289</v>
      </c>
      <c r="K402">
        <v>0</v>
      </c>
      <c r="L402" t="s">
        <v>154</v>
      </c>
      <c r="N402" t="s">
        <v>203</v>
      </c>
      <c r="O402" t="s">
        <v>289</v>
      </c>
      <c r="P402">
        <v>5.9215618293939256E-3</v>
      </c>
      <c r="Q402" t="s">
        <v>154</v>
      </c>
      <c r="S402" t="s">
        <v>227</v>
      </c>
      <c r="T402" t="s">
        <v>289</v>
      </c>
      <c r="U402">
        <v>2.9808655414211589E-2</v>
      </c>
      <c r="V402" t="s">
        <v>154</v>
      </c>
    </row>
    <row r="403" spans="9:22" x14ac:dyDescent="0.45">
      <c r="I403" t="s">
        <v>174</v>
      </c>
      <c r="J403" t="s">
        <v>272</v>
      </c>
      <c r="K403">
        <v>0</v>
      </c>
      <c r="L403" t="s">
        <v>154</v>
      </c>
      <c r="N403" t="s">
        <v>203</v>
      </c>
      <c r="O403" t="s">
        <v>272</v>
      </c>
      <c r="P403">
        <v>4.3132755717741958E-2</v>
      </c>
      <c r="Q403" t="s">
        <v>154</v>
      </c>
      <c r="S403" t="s">
        <v>227</v>
      </c>
      <c r="T403" t="s">
        <v>272</v>
      </c>
      <c r="U403">
        <v>7.2053335404838978E-2</v>
      </c>
      <c r="V403" t="s">
        <v>154</v>
      </c>
    </row>
    <row r="404" spans="9:22" x14ac:dyDescent="0.45">
      <c r="I404" t="s">
        <v>174</v>
      </c>
      <c r="J404" t="s">
        <v>273</v>
      </c>
      <c r="K404">
        <v>1.9775996407104316E-2</v>
      </c>
      <c r="L404" t="s">
        <v>154</v>
      </c>
      <c r="N404" t="s">
        <v>203</v>
      </c>
      <c r="O404" t="s">
        <v>273</v>
      </c>
      <c r="P404">
        <v>1.0458742081570029E-2</v>
      </c>
      <c r="Q404" t="s">
        <v>154</v>
      </c>
      <c r="S404" t="s">
        <v>227</v>
      </c>
      <c r="T404" t="s">
        <v>273</v>
      </c>
      <c r="U404">
        <v>1.8705192818474953E-2</v>
      </c>
      <c r="V404" t="s">
        <v>154</v>
      </c>
    </row>
    <row r="405" spans="9:22" x14ac:dyDescent="0.45">
      <c r="I405" t="s">
        <v>174</v>
      </c>
      <c r="J405" t="s">
        <v>274</v>
      </c>
      <c r="K405">
        <v>1.6413774727537401E-2</v>
      </c>
      <c r="L405" t="s">
        <v>154</v>
      </c>
      <c r="N405" t="s">
        <v>203</v>
      </c>
      <c r="O405" t="s">
        <v>274</v>
      </c>
      <c r="P405">
        <v>5.3450165376459626E-3</v>
      </c>
      <c r="Q405" t="s">
        <v>154</v>
      </c>
      <c r="S405" t="s">
        <v>227</v>
      </c>
      <c r="T405" t="s">
        <v>274</v>
      </c>
      <c r="U405">
        <v>9.8081412644083661E-3</v>
      </c>
      <c r="V405" t="s">
        <v>154</v>
      </c>
    </row>
    <row r="406" spans="9:22" x14ac:dyDescent="0.45">
      <c r="I406" t="s">
        <v>174</v>
      </c>
      <c r="J406" t="s">
        <v>275</v>
      </c>
      <c r="K406">
        <v>0.10378652076184663</v>
      </c>
      <c r="L406" t="s">
        <v>154</v>
      </c>
      <c r="N406" t="s">
        <v>203</v>
      </c>
      <c r="O406" t="s">
        <v>275</v>
      </c>
      <c r="P406">
        <v>3.0788236121083595E-2</v>
      </c>
      <c r="Q406" t="s">
        <v>154</v>
      </c>
      <c r="S406" t="s">
        <v>227</v>
      </c>
      <c r="T406" t="s">
        <v>275</v>
      </c>
      <c r="U406">
        <v>6.3407364996958107E-2</v>
      </c>
      <c r="V406" t="s">
        <v>154</v>
      </c>
    </row>
    <row r="407" spans="9:22" x14ac:dyDescent="0.45">
      <c r="I407" t="s">
        <v>174</v>
      </c>
      <c r="J407" t="s">
        <v>276</v>
      </c>
      <c r="K407">
        <v>1.1129010705760011E-2</v>
      </c>
      <c r="L407" t="s">
        <v>154</v>
      </c>
      <c r="N407" t="s">
        <v>203</v>
      </c>
      <c r="O407" t="s">
        <v>276</v>
      </c>
      <c r="P407">
        <v>5.4555452978828078E-3</v>
      </c>
      <c r="Q407" t="s">
        <v>154</v>
      </c>
      <c r="S407" t="s">
        <v>227</v>
      </c>
      <c r="T407" t="s">
        <v>276</v>
      </c>
      <c r="U407">
        <v>1.176614724381954E-2</v>
      </c>
      <c r="V407" t="s">
        <v>154</v>
      </c>
    </row>
    <row r="408" spans="9:22" x14ac:dyDescent="0.45">
      <c r="I408" t="s">
        <v>174</v>
      </c>
      <c r="J408" t="s">
        <v>277</v>
      </c>
      <c r="K408">
        <v>7.0309882061012326E-3</v>
      </c>
      <c r="L408" t="s">
        <v>154</v>
      </c>
      <c r="N408" t="s">
        <v>203</v>
      </c>
      <c r="O408" t="s">
        <v>277</v>
      </c>
      <c r="P408">
        <v>5.9437491844566356E-3</v>
      </c>
      <c r="Q408" t="s">
        <v>154</v>
      </c>
      <c r="S408" t="s">
        <v>227</v>
      </c>
      <c r="T408" t="s">
        <v>277</v>
      </c>
      <c r="U408">
        <v>1.2219413136888086E-2</v>
      </c>
      <c r="V408" t="s">
        <v>154</v>
      </c>
    </row>
    <row r="409" spans="9:22" x14ac:dyDescent="0.45">
      <c r="I409" t="s">
        <v>174</v>
      </c>
      <c r="J409" t="s">
        <v>290</v>
      </c>
      <c r="K409">
        <v>8.2101124849565034E-4</v>
      </c>
      <c r="L409" t="s">
        <v>154</v>
      </c>
      <c r="N409" t="s">
        <v>203</v>
      </c>
      <c r="O409" t="s">
        <v>290</v>
      </c>
      <c r="P409">
        <v>5.627395668794514E-3</v>
      </c>
      <c r="Q409" t="s">
        <v>154</v>
      </c>
      <c r="S409" t="s">
        <v>227</v>
      </c>
      <c r="T409" t="s">
        <v>290</v>
      </c>
      <c r="U409">
        <v>1.1630448159645155E-2</v>
      </c>
      <c r="V409" t="s">
        <v>154</v>
      </c>
    </row>
    <row r="410" spans="9:22" x14ac:dyDescent="0.45">
      <c r="I410" t="s">
        <v>174</v>
      </c>
      <c r="J410" t="s">
        <v>291</v>
      </c>
      <c r="K410">
        <v>0</v>
      </c>
      <c r="L410" t="s">
        <v>154</v>
      </c>
      <c r="N410" t="s">
        <v>203</v>
      </c>
      <c r="O410" t="s">
        <v>291</v>
      </c>
      <c r="P410">
        <v>3.3860964119223534E-2</v>
      </c>
      <c r="Q410" t="s">
        <v>154</v>
      </c>
      <c r="S410" t="s">
        <v>227</v>
      </c>
      <c r="T410" t="s">
        <v>291</v>
      </c>
      <c r="U410">
        <v>5.7473552619181419E-2</v>
      </c>
      <c r="V410" t="s">
        <v>154</v>
      </c>
    </row>
    <row r="411" spans="9:22" x14ac:dyDescent="0.45">
      <c r="I411" t="s">
        <v>175</v>
      </c>
      <c r="J411" t="s">
        <v>153</v>
      </c>
      <c r="K411">
        <v>2.8545792194167854E-3</v>
      </c>
      <c r="L411" t="s">
        <v>154</v>
      </c>
      <c r="N411" t="s">
        <v>204</v>
      </c>
      <c r="O411" t="s">
        <v>153</v>
      </c>
      <c r="P411">
        <v>0.17962503841909758</v>
      </c>
      <c r="Q411" t="s">
        <v>154</v>
      </c>
      <c r="S411" t="s">
        <v>228</v>
      </c>
      <c r="T411" t="s">
        <v>153</v>
      </c>
      <c r="U411">
        <v>0.17295076658679537</v>
      </c>
      <c r="V411" t="s">
        <v>154</v>
      </c>
    </row>
    <row r="412" spans="9:22" x14ac:dyDescent="0.45">
      <c r="I412" t="s">
        <v>175</v>
      </c>
      <c r="J412" t="s">
        <v>155</v>
      </c>
      <c r="K412">
        <v>7.432234146908237E-2</v>
      </c>
      <c r="L412" t="s">
        <v>154</v>
      </c>
      <c r="N412" t="s">
        <v>204</v>
      </c>
      <c r="O412" t="s">
        <v>155</v>
      </c>
      <c r="P412">
        <v>5.208377804569328E-2</v>
      </c>
      <c r="Q412" t="s">
        <v>154</v>
      </c>
      <c r="S412" t="s">
        <v>228</v>
      </c>
      <c r="T412" t="s">
        <v>155</v>
      </c>
      <c r="U412">
        <v>4.5574384347603275E-2</v>
      </c>
      <c r="V412" t="s">
        <v>154</v>
      </c>
    </row>
    <row r="413" spans="9:22" x14ac:dyDescent="0.45">
      <c r="I413" t="s">
        <v>175</v>
      </c>
      <c r="J413" t="s">
        <v>156</v>
      </c>
      <c r="K413">
        <v>5.9794718051290136E-2</v>
      </c>
      <c r="L413" t="s">
        <v>154</v>
      </c>
      <c r="N413" t="s">
        <v>204</v>
      </c>
      <c r="O413" t="s">
        <v>156</v>
      </c>
      <c r="P413">
        <v>2.9534473336431048E-2</v>
      </c>
      <c r="Q413" t="s">
        <v>154</v>
      </c>
      <c r="S413" t="s">
        <v>228</v>
      </c>
      <c r="T413" t="s">
        <v>156</v>
      </c>
      <c r="U413">
        <v>2.2828555119261275E-2</v>
      </c>
      <c r="V413" t="s">
        <v>154</v>
      </c>
    </row>
    <row r="414" spans="9:22" x14ac:dyDescent="0.45">
      <c r="I414" t="s">
        <v>175</v>
      </c>
      <c r="J414" t="s">
        <v>255</v>
      </c>
      <c r="K414">
        <v>0.40746835079493943</v>
      </c>
      <c r="L414" t="s">
        <v>154</v>
      </c>
      <c r="N414" t="s">
        <v>204</v>
      </c>
      <c r="O414" t="s">
        <v>255</v>
      </c>
      <c r="P414">
        <v>0.16821141659046124</v>
      </c>
      <c r="Q414" t="s">
        <v>154</v>
      </c>
      <c r="S414" t="s">
        <v>228</v>
      </c>
      <c r="T414" t="s">
        <v>255</v>
      </c>
      <c r="U414">
        <v>0.1380978567960755</v>
      </c>
      <c r="V414" t="s">
        <v>154</v>
      </c>
    </row>
    <row r="415" spans="9:22" x14ac:dyDescent="0.45">
      <c r="I415" t="s">
        <v>175</v>
      </c>
      <c r="J415" t="s">
        <v>256</v>
      </c>
      <c r="K415">
        <v>4.2538682779536249E-2</v>
      </c>
      <c r="L415" t="s">
        <v>154</v>
      </c>
      <c r="N415" t="s">
        <v>204</v>
      </c>
      <c r="O415" t="s">
        <v>256</v>
      </c>
      <c r="P415">
        <v>2.5510621387436948E-2</v>
      </c>
      <c r="Q415" t="s">
        <v>154</v>
      </c>
      <c r="S415" t="s">
        <v>228</v>
      </c>
      <c r="T415" t="s">
        <v>256</v>
      </c>
      <c r="U415">
        <v>2.1370533141703091E-2</v>
      </c>
      <c r="V415" t="s">
        <v>154</v>
      </c>
    </row>
    <row r="416" spans="9:22" x14ac:dyDescent="0.45">
      <c r="I416" t="s">
        <v>175</v>
      </c>
      <c r="J416" t="s">
        <v>257</v>
      </c>
      <c r="K416">
        <v>2.9189090532432231E-2</v>
      </c>
      <c r="L416" t="s">
        <v>154</v>
      </c>
      <c r="N416" t="s">
        <v>204</v>
      </c>
      <c r="O416" t="s">
        <v>257</v>
      </c>
      <c r="P416">
        <v>2.4624938174459376E-2</v>
      </c>
      <c r="Q416" t="s">
        <v>154</v>
      </c>
      <c r="S416" t="s">
        <v>228</v>
      </c>
      <c r="T416" t="s">
        <v>257</v>
      </c>
      <c r="U416">
        <v>2.1361664489482891E-2</v>
      </c>
      <c r="V416" t="s">
        <v>154</v>
      </c>
    </row>
    <row r="417" spans="9:22" x14ac:dyDescent="0.45">
      <c r="I417" t="s">
        <v>175</v>
      </c>
      <c r="J417" t="s">
        <v>282</v>
      </c>
      <c r="K417">
        <v>1.7780820058986527E-2</v>
      </c>
      <c r="L417" t="s">
        <v>154</v>
      </c>
      <c r="N417" t="s">
        <v>204</v>
      </c>
      <c r="O417" t="s">
        <v>282</v>
      </c>
      <c r="P417">
        <v>2.2677221580203376E-2</v>
      </c>
      <c r="Q417" t="s">
        <v>154</v>
      </c>
      <c r="S417" t="s">
        <v>228</v>
      </c>
      <c r="T417" t="s">
        <v>282</v>
      </c>
      <c r="U417">
        <v>2.0090765567776298E-2</v>
      </c>
      <c r="V417" t="s">
        <v>154</v>
      </c>
    </row>
    <row r="418" spans="9:22" x14ac:dyDescent="0.45">
      <c r="I418" t="s">
        <v>175</v>
      </c>
      <c r="J418" t="s">
        <v>283</v>
      </c>
      <c r="K418">
        <v>0</v>
      </c>
      <c r="L418" t="s">
        <v>154</v>
      </c>
      <c r="N418" t="s">
        <v>204</v>
      </c>
      <c r="O418" t="s">
        <v>283</v>
      </c>
      <c r="P418">
        <v>0.12548967824846202</v>
      </c>
      <c r="Q418" t="s">
        <v>154</v>
      </c>
      <c r="S418" t="s">
        <v>228</v>
      </c>
      <c r="T418" t="s">
        <v>283</v>
      </c>
      <c r="U418">
        <v>0.1165229173282193</v>
      </c>
      <c r="V418" t="s">
        <v>154</v>
      </c>
    </row>
    <row r="419" spans="9:22" x14ac:dyDescent="0.45">
      <c r="I419" t="s">
        <v>175</v>
      </c>
      <c r="J419" t="s">
        <v>157</v>
      </c>
      <c r="K419">
        <v>0</v>
      </c>
      <c r="L419" t="s">
        <v>154</v>
      </c>
      <c r="N419" t="s">
        <v>204</v>
      </c>
      <c r="O419" t="s">
        <v>157</v>
      </c>
      <c r="P419">
        <v>5.8398634524648363E-3</v>
      </c>
      <c r="Q419" t="s">
        <v>154</v>
      </c>
      <c r="S419" t="s">
        <v>228</v>
      </c>
      <c r="T419" t="s">
        <v>157</v>
      </c>
      <c r="U419">
        <v>1.3547173603276797E-2</v>
      </c>
      <c r="V419" t="s">
        <v>154</v>
      </c>
    </row>
    <row r="420" spans="9:22" x14ac:dyDescent="0.45">
      <c r="I420" t="s">
        <v>175</v>
      </c>
      <c r="J420" t="s">
        <v>158</v>
      </c>
      <c r="K420">
        <v>9.4243478273947686E-3</v>
      </c>
      <c r="L420" t="s">
        <v>154</v>
      </c>
      <c r="N420" t="s">
        <v>204</v>
      </c>
      <c r="O420" t="s">
        <v>158</v>
      </c>
      <c r="P420">
        <v>1.498855106936141E-3</v>
      </c>
      <c r="Q420" t="s">
        <v>154</v>
      </c>
      <c r="S420" t="s">
        <v>228</v>
      </c>
      <c r="T420" t="s">
        <v>158</v>
      </c>
      <c r="U420">
        <v>3.6186369257705281E-3</v>
      </c>
      <c r="V420" t="s">
        <v>154</v>
      </c>
    </row>
    <row r="421" spans="9:22" x14ac:dyDescent="0.45">
      <c r="I421" t="s">
        <v>175</v>
      </c>
      <c r="J421" t="s">
        <v>159</v>
      </c>
      <c r="K421">
        <v>7.0407943810963918E-3</v>
      </c>
      <c r="L421" t="s">
        <v>154</v>
      </c>
      <c r="N421" t="s">
        <v>204</v>
      </c>
      <c r="O421" t="s">
        <v>159</v>
      </c>
      <c r="P421">
        <v>8.1054444030219581E-4</v>
      </c>
      <c r="Q421" t="s">
        <v>154</v>
      </c>
      <c r="S421" t="s">
        <v>228</v>
      </c>
      <c r="T421" t="s">
        <v>159</v>
      </c>
      <c r="U421">
        <v>1.9640578851530068E-3</v>
      </c>
      <c r="V421" t="s">
        <v>154</v>
      </c>
    </row>
    <row r="422" spans="9:22" x14ac:dyDescent="0.45">
      <c r="I422" t="s">
        <v>175</v>
      </c>
      <c r="J422" t="s">
        <v>258</v>
      </c>
      <c r="K422">
        <v>4.5771453501157973E-2</v>
      </c>
      <c r="L422" t="s">
        <v>154</v>
      </c>
      <c r="N422" t="s">
        <v>204</v>
      </c>
      <c r="O422" t="s">
        <v>258</v>
      </c>
      <c r="P422">
        <v>5.4441534233004201E-3</v>
      </c>
      <c r="Q422" t="s">
        <v>154</v>
      </c>
      <c r="S422" t="s">
        <v>228</v>
      </c>
      <c r="T422" t="s">
        <v>258</v>
      </c>
      <c r="U422">
        <v>1.2693933605344052E-2</v>
      </c>
      <c r="V422" t="s">
        <v>154</v>
      </c>
    </row>
    <row r="423" spans="9:22" x14ac:dyDescent="0.45">
      <c r="I423" t="s">
        <v>175</v>
      </c>
      <c r="J423" t="s">
        <v>259</v>
      </c>
      <c r="K423">
        <v>4.7443678212207218E-3</v>
      </c>
      <c r="L423" t="s">
        <v>154</v>
      </c>
      <c r="N423" t="s">
        <v>204</v>
      </c>
      <c r="O423" t="s">
        <v>259</v>
      </c>
      <c r="P423">
        <v>8.9152021745541037E-4</v>
      </c>
      <c r="Q423" t="s">
        <v>154</v>
      </c>
      <c r="S423" t="s">
        <v>228</v>
      </c>
      <c r="T423" t="s">
        <v>259</v>
      </c>
      <c r="U423">
        <v>2.1637518042064096E-3</v>
      </c>
      <c r="V423" t="s">
        <v>154</v>
      </c>
    </row>
    <row r="424" spans="9:22" x14ac:dyDescent="0.45">
      <c r="I424" t="s">
        <v>175</v>
      </c>
      <c r="J424" t="s">
        <v>260</v>
      </c>
      <c r="K424">
        <v>3.4524877489637801E-3</v>
      </c>
      <c r="L424" t="s">
        <v>154</v>
      </c>
      <c r="N424" t="s">
        <v>204</v>
      </c>
      <c r="O424" t="s">
        <v>260</v>
      </c>
      <c r="P424">
        <v>8.3934290954467924E-4</v>
      </c>
      <c r="Q424" t="s">
        <v>154</v>
      </c>
      <c r="S424" t="s">
        <v>228</v>
      </c>
      <c r="T424" t="s">
        <v>260</v>
      </c>
      <c r="U424">
        <v>2.3114032546772459E-3</v>
      </c>
      <c r="V424" t="s">
        <v>154</v>
      </c>
    </row>
    <row r="425" spans="9:22" x14ac:dyDescent="0.45">
      <c r="I425" t="s">
        <v>175</v>
      </c>
      <c r="J425" t="s">
        <v>284</v>
      </c>
      <c r="K425">
        <v>2.0496926036252671E-3</v>
      </c>
      <c r="L425" t="s">
        <v>154</v>
      </c>
      <c r="N425" t="s">
        <v>204</v>
      </c>
      <c r="O425" t="s">
        <v>284</v>
      </c>
      <c r="P425">
        <v>8.6976228332407823E-4</v>
      </c>
      <c r="Q425" t="s">
        <v>154</v>
      </c>
      <c r="S425" t="s">
        <v>228</v>
      </c>
      <c r="T425" t="s">
        <v>284</v>
      </c>
      <c r="U425">
        <v>1.7089589618308374E-3</v>
      </c>
      <c r="V425" t="s">
        <v>154</v>
      </c>
    </row>
    <row r="426" spans="9:22" x14ac:dyDescent="0.45">
      <c r="I426" t="s">
        <v>175</v>
      </c>
      <c r="J426" t="s">
        <v>285</v>
      </c>
      <c r="K426">
        <v>0</v>
      </c>
      <c r="L426" t="s">
        <v>154</v>
      </c>
      <c r="N426" t="s">
        <v>204</v>
      </c>
      <c r="O426" t="s">
        <v>285</v>
      </c>
      <c r="P426">
        <v>3.7619370010235501E-3</v>
      </c>
      <c r="Q426" t="s">
        <v>154</v>
      </c>
      <c r="S426" t="s">
        <v>228</v>
      </c>
      <c r="T426" t="s">
        <v>285</v>
      </c>
      <c r="U426">
        <v>8.7718441981659082E-3</v>
      </c>
      <c r="V426" t="s">
        <v>154</v>
      </c>
    </row>
    <row r="427" spans="9:22" x14ac:dyDescent="0.45">
      <c r="I427" t="s">
        <v>175</v>
      </c>
      <c r="J427" t="s">
        <v>160</v>
      </c>
      <c r="K427">
        <v>1.6466171826046665E-4</v>
      </c>
      <c r="L427" t="s">
        <v>154</v>
      </c>
      <c r="N427" t="s">
        <v>204</v>
      </c>
      <c r="O427" t="s">
        <v>160</v>
      </c>
      <c r="P427">
        <v>3.5929761504056287E-2</v>
      </c>
      <c r="Q427" t="s">
        <v>154</v>
      </c>
      <c r="S427" t="s">
        <v>228</v>
      </c>
      <c r="T427" t="s">
        <v>160</v>
      </c>
      <c r="U427">
        <v>3.2252171867092012E-2</v>
      </c>
      <c r="V427" t="s">
        <v>154</v>
      </c>
    </row>
    <row r="428" spans="9:22" x14ac:dyDescent="0.45">
      <c r="I428" t="s">
        <v>175</v>
      </c>
      <c r="J428" t="s">
        <v>161</v>
      </c>
      <c r="K428">
        <v>9.0975114030279088E-3</v>
      </c>
      <c r="L428" t="s">
        <v>154</v>
      </c>
      <c r="N428" t="s">
        <v>204</v>
      </c>
      <c r="O428" t="s">
        <v>161</v>
      </c>
      <c r="P428">
        <v>1.0219941729591378E-2</v>
      </c>
      <c r="Q428" t="s">
        <v>154</v>
      </c>
      <c r="S428" t="s">
        <v>228</v>
      </c>
      <c r="T428" t="s">
        <v>161</v>
      </c>
      <c r="U428">
        <v>8.7495643643482716E-3</v>
      </c>
      <c r="V428" t="s">
        <v>154</v>
      </c>
    </row>
    <row r="429" spans="9:22" x14ac:dyDescent="0.45">
      <c r="I429" t="s">
        <v>175</v>
      </c>
      <c r="J429" t="s">
        <v>162</v>
      </c>
      <c r="K429">
        <v>7.6225197037110594E-3</v>
      </c>
      <c r="L429" t="s">
        <v>154</v>
      </c>
      <c r="N429" t="s">
        <v>204</v>
      </c>
      <c r="O429" t="s">
        <v>162</v>
      </c>
      <c r="P429">
        <v>6.1895293777499251E-3</v>
      </c>
      <c r="Q429" t="s">
        <v>154</v>
      </c>
      <c r="S429" t="s">
        <v>228</v>
      </c>
      <c r="T429" t="s">
        <v>162</v>
      </c>
      <c r="U429">
        <v>4.5314385945647104E-3</v>
      </c>
      <c r="V429" t="s">
        <v>154</v>
      </c>
    </row>
    <row r="430" spans="9:22" x14ac:dyDescent="0.45">
      <c r="I430" t="s">
        <v>175</v>
      </c>
      <c r="J430" t="s">
        <v>261</v>
      </c>
      <c r="K430">
        <v>5.2458023520069237E-2</v>
      </c>
      <c r="L430" t="s">
        <v>154</v>
      </c>
      <c r="N430" t="s">
        <v>204</v>
      </c>
      <c r="O430" t="s">
        <v>261</v>
      </c>
      <c r="P430">
        <v>4.523734613139397E-2</v>
      </c>
      <c r="Q430" t="s">
        <v>154</v>
      </c>
      <c r="S430" t="s">
        <v>228</v>
      </c>
      <c r="T430" t="s">
        <v>261</v>
      </c>
      <c r="U430">
        <v>2.5423173138917874E-2</v>
      </c>
      <c r="V430" t="s">
        <v>154</v>
      </c>
    </row>
    <row r="431" spans="9:22" x14ac:dyDescent="0.45">
      <c r="I431" t="s">
        <v>175</v>
      </c>
      <c r="J431" t="s">
        <v>262</v>
      </c>
      <c r="K431">
        <v>5.0113128822871439E-3</v>
      </c>
      <c r="L431" t="s">
        <v>154</v>
      </c>
      <c r="N431" t="s">
        <v>204</v>
      </c>
      <c r="O431" t="s">
        <v>262</v>
      </c>
      <c r="P431">
        <v>7.1731902801109842E-3</v>
      </c>
      <c r="Q431" t="s">
        <v>154</v>
      </c>
      <c r="S431" t="s">
        <v>228</v>
      </c>
      <c r="T431" t="s">
        <v>262</v>
      </c>
      <c r="U431">
        <v>3.9447906184155888E-3</v>
      </c>
      <c r="V431" t="s">
        <v>154</v>
      </c>
    </row>
    <row r="432" spans="9:22" x14ac:dyDescent="0.45">
      <c r="I432" t="s">
        <v>175</v>
      </c>
      <c r="J432" t="s">
        <v>263</v>
      </c>
      <c r="K432">
        <v>3.0514829891887365E-3</v>
      </c>
      <c r="L432" t="s">
        <v>154</v>
      </c>
      <c r="N432" t="s">
        <v>204</v>
      </c>
      <c r="O432" t="s">
        <v>263</v>
      </c>
      <c r="P432">
        <v>6.3717874207496021E-3</v>
      </c>
      <c r="Q432" t="s">
        <v>154</v>
      </c>
      <c r="S432" t="s">
        <v>228</v>
      </c>
      <c r="T432" t="s">
        <v>263</v>
      </c>
      <c r="U432">
        <v>3.8603692658016209E-3</v>
      </c>
      <c r="V432" t="s">
        <v>154</v>
      </c>
    </row>
    <row r="433" spans="9:22" x14ac:dyDescent="0.45">
      <c r="I433" t="s">
        <v>175</v>
      </c>
      <c r="J433" t="s">
        <v>286</v>
      </c>
      <c r="K433">
        <v>1.7974555251155649E-5</v>
      </c>
      <c r="L433" t="s">
        <v>154</v>
      </c>
      <c r="N433" t="s">
        <v>204</v>
      </c>
      <c r="O433" t="s">
        <v>286</v>
      </c>
      <c r="P433">
        <v>5.6344137107154366E-3</v>
      </c>
      <c r="Q433" t="s">
        <v>154</v>
      </c>
      <c r="S433" t="s">
        <v>228</v>
      </c>
      <c r="T433" t="s">
        <v>286</v>
      </c>
      <c r="U433">
        <v>3.5965364594833043E-3</v>
      </c>
      <c r="V433" t="s">
        <v>154</v>
      </c>
    </row>
    <row r="434" spans="9:22" x14ac:dyDescent="0.45">
      <c r="I434" t="s">
        <v>175</v>
      </c>
      <c r="J434" t="s">
        <v>287</v>
      </c>
      <c r="K434">
        <v>0</v>
      </c>
      <c r="L434" t="s">
        <v>154</v>
      </c>
      <c r="N434" t="s">
        <v>204</v>
      </c>
      <c r="O434" t="s">
        <v>287</v>
      </c>
      <c r="P434">
        <v>2.6318287756168037E-2</v>
      </c>
      <c r="Q434" t="s">
        <v>154</v>
      </c>
      <c r="S434" t="s">
        <v>228</v>
      </c>
      <c r="T434" t="s">
        <v>287</v>
      </c>
      <c r="U434">
        <v>1.9618033166362854E-2</v>
      </c>
      <c r="V434" t="s">
        <v>154</v>
      </c>
    </row>
    <row r="435" spans="9:22" x14ac:dyDescent="0.45">
      <c r="I435" t="s">
        <v>175</v>
      </c>
      <c r="J435" t="s">
        <v>163</v>
      </c>
      <c r="K435">
        <v>3.3876566373855629E-4</v>
      </c>
      <c r="L435" t="s">
        <v>154</v>
      </c>
      <c r="N435" t="s">
        <v>204</v>
      </c>
      <c r="O435" t="s">
        <v>163</v>
      </c>
      <c r="P435">
        <v>7.0423974950624803E-3</v>
      </c>
      <c r="Q435" t="s">
        <v>154</v>
      </c>
      <c r="S435" t="s">
        <v>228</v>
      </c>
      <c r="T435" t="s">
        <v>163</v>
      </c>
      <c r="U435">
        <v>1.6397363899076069E-2</v>
      </c>
      <c r="V435" t="s">
        <v>154</v>
      </c>
    </row>
    <row r="436" spans="9:22" x14ac:dyDescent="0.45">
      <c r="I436" t="s">
        <v>175</v>
      </c>
      <c r="J436" t="s">
        <v>164</v>
      </c>
      <c r="K436">
        <v>9.0515169040206057E-3</v>
      </c>
      <c r="L436" t="s">
        <v>154</v>
      </c>
      <c r="N436" t="s">
        <v>204</v>
      </c>
      <c r="O436" t="s">
        <v>164</v>
      </c>
      <c r="P436">
        <v>2.6350459005056253E-3</v>
      </c>
      <c r="Q436" t="s">
        <v>154</v>
      </c>
      <c r="S436" t="s">
        <v>228</v>
      </c>
      <c r="T436" t="s">
        <v>164</v>
      </c>
      <c r="U436">
        <v>4.3053378124318746E-3</v>
      </c>
      <c r="V436" t="s">
        <v>154</v>
      </c>
    </row>
    <row r="437" spans="9:22" x14ac:dyDescent="0.45">
      <c r="I437" t="s">
        <v>175</v>
      </c>
      <c r="J437" t="s">
        <v>165</v>
      </c>
      <c r="K437">
        <v>6.7698654535420285E-3</v>
      </c>
      <c r="L437" t="s">
        <v>154</v>
      </c>
      <c r="N437" t="s">
        <v>204</v>
      </c>
      <c r="O437" t="s">
        <v>165</v>
      </c>
      <c r="P437">
        <v>1.5062925217419381E-3</v>
      </c>
      <c r="Q437" t="s">
        <v>154</v>
      </c>
      <c r="S437" t="s">
        <v>228</v>
      </c>
      <c r="T437" t="s">
        <v>165</v>
      </c>
      <c r="U437">
        <v>2.15851896864228E-3</v>
      </c>
      <c r="V437" t="s">
        <v>154</v>
      </c>
    </row>
    <row r="438" spans="9:22" x14ac:dyDescent="0.45">
      <c r="I438" t="s">
        <v>175</v>
      </c>
      <c r="J438" t="s">
        <v>264</v>
      </c>
      <c r="K438">
        <v>4.2768682213354739E-2</v>
      </c>
      <c r="L438" t="s">
        <v>154</v>
      </c>
      <c r="N438" t="s">
        <v>204</v>
      </c>
      <c r="O438" t="s">
        <v>264</v>
      </c>
      <c r="P438">
        <v>1.0110578512868841E-2</v>
      </c>
      <c r="Q438" t="s">
        <v>154</v>
      </c>
      <c r="S438" t="s">
        <v>228</v>
      </c>
      <c r="T438" t="s">
        <v>264</v>
      </c>
      <c r="U438">
        <v>1.2849856146472572E-2</v>
      </c>
      <c r="V438" t="s">
        <v>154</v>
      </c>
    </row>
    <row r="439" spans="9:22" x14ac:dyDescent="0.45">
      <c r="I439" t="s">
        <v>175</v>
      </c>
      <c r="J439" t="s">
        <v>265</v>
      </c>
      <c r="K439">
        <v>4.2779472007273677E-3</v>
      </c>
      <c r="L439" t="s">
        <v>154</v>
      </c>
      <c r="N439" t="s">
        <v>204</v>
      </c>
      <c r="O439" t="s">
        <v>265</v>
      </c>
      <c r="P439">
        <v>1.737006546515007E-3</v>
      </c>
      <c r="Q439" t="s">
        <v>154</v>
      </c>
      <c r="S439" t="s">
        <v>228</v>
      </c>
      <c r="T439" t="s">
        <v>265</v>
      </c>
      <c r="U439">
        <v>2.4121966028380517E-3</v>
      </c>
      <c r="V439" t="s">
        <v>154</v>
      </c>
    </row>
    <row r="440" spans="9:22" x14ac:dyDescent="0.45">
      <c r="I440" t="s">
        <v>175</v>
      </c>
      <c r="J440" t="s">
        <v>266</v>
      </c>
      <c r="K440">
        <v>2.6711716681303622E-3</v>
      </c>
      <c r="L440" t="s">
        <v>154</v>
      </c>
      <c r="N440" t="s">
        <v>204</v>
      </c>
      <c r="O440" t="s">
        <v>266</v>
      </c>
      <c r="P440">
        <v>1.7155433445636943E-3</v>
      </c>
      <c r="Q440" t="s">
        <v>154</v>
      </c>
      <c r="S440" t="s">
        <v>228</v>
      </c>
      <c r="T440" t="s">
        <v>266</v>
      </c>
      <c r="U440">
        <v>2.5853880346308057E-3</v>
      </c>
      <c r="V440" t="s">
        <v>154</v>
      </c>
    </row>
    <row r="441" spans="9:22" x14ac:dyDescent="0.45">
      <c r="I441" t="s">
        <v>175</v>
      </c>
      <c r="J441" t="s">
        <v>288</v>
      </c>
      <c r="K441">
        <v>0</v>
      </c>
      <c r="L441" t="s">
        <v>154</v>
      </c>
      <c r="N441" t="s">
        <v>204</v>
      </c>
      <c r="O441" t="s">
        <v>288</v>
      </c>
      <c r="P441">
        <v>1.6431795926302383E-3</v>
      </c>
      <c r="Q441" t="s">
        <v>154</v>
      </c>
      <c r="S441" t="s">
        <v>228</v>
      </c>
      <c r="T441" t="s">
        <v>288</v>
      </c>
      <c r="U441">
        <v>2.3230501008089013E-3</v>
      </c>
      <c r="V441" t="s">
        <v>154</v>
      </c>
    </row>
    <row r="442" spans="9:22" x14ac:dyDescent="0.45">
      <c r="I442" t="s">
        <v>175</v>
      </c>
      <c r="J442" t="s">
        <v>289</v>
      </c>
      <c r="K442">
        <v>0</v>
      </c>
      <c r="L442" t="s">
        <v>154</v>
      </c>
      <c r="N442" t="s">
        <v>204</v>
      </c>
      <c r="O442" t="s">
        <v>289</v>
      </c>
      <c r="P442">
        <v>6.4283425760087937E-3</v>
      </c>
      <c r="Q442" t="s">
        <v>154</v>
      </c>
      <c r="S442" t="s">
        <v>228</v>
      </c>
      <c r="T442" t="s">
        <v>289</v>
      </c>
      <c r="U442">
        <v>1.3938516067307054E-2</v>
      </c>
      <c r="V442" t="s">
        <v>154</v>
      </c>
    </row>
    <row r="443" spans="9:22" x14ac:dyDescent="0.45">
      <c r="I443" t="s">
        <v>175</v>
      </c>
      <c r="J443" t="s">
        <v>272</v>
      </c>
      <c r="K443">
        <v>4.5025942113125587E-6</v>
      </c>
      <c r="L443" t="s">
        <v>154</v>
      </c>
      <c r="N443" t="s">
        <v>204</v>
      </c>
      <c r="O443" t="s">
        <v>272</v>
      </c>
      <c r="P443">
        <v>5.12658574401577E-2</v>
      </c>
      <c r="Q443" t="s">
        <v>154</v>
      </c>
      <c r="S443" t="s">
        <v>228</v>
      </c>
      <c r="T443" t="s">
        <v>272</v>
      </c>
      <c r="U443">
        <v>6.9423352151268686E-2</v>
      </c>
      <c r="V443" t="s">
        <v>154</v>
      </c>
    </row>
    <row r="444" spans="9:22" x14ac:dyDescent="0.45">
      <c r="I444" t="s">
        <v>175</v>
      </c>
      <c r="J444" t="s">
        <v>273</v>
      </c>
      <c r="K444">
        <v>2.1213980843245224E-2</v>
      </c>
      <c r="L444" t="s">
        <v>154</v>
      </c>
      <c r="N444" t="s">
        <v>204</v>
      </c>
      <c r="O444" t="s">
        <v>273</v>
      </c>
      <c r="P444">
        <v>1.4266756698140932E-2</v>
      </c>
      <c r="Q444" t="s">
        <v>154</v>
      </c>
      <c r="S444" t="s">
        <v>228</v>
      </c>
      <c r="T444" t="s">
        <v>273</v>
      </c>
      <c r="U444">
        <v>1.8832896270535894E-2</v>
      </c>
      <c r="V444" t="s">
        <v>154</v>
      </c>
    </row>
    <row r="445" spans="9:22" x14ac:dyDescent="0.45">
      <c r="I445" t="s">
        <v>175</v>
      </c>
      <c r="J445" t="s">
        <v>274</v>
      </c>
      <c r="K445">
        <v>1.5470472174928458E-2</v>
      </c>
      <c r="L445" t="s">
        <v>154</v>
      </c>
      <c r="N445" t="s">
        <v>204</v>
      </c>
      <c r="O445" t="s">
        <v>274</v>
      </c>
      <c r="P445">
        <v>8.6439256034486472E-3</v>
      </c>
      <c r="Q445" t="s">
        <v>154</v>
      </c>
      <c r="S445" t="s">
        <v>228</v>
      </c>
      <c r="T445" t="s">
        <v>274</v>
      </c>
      <c r="U445">
        <v>9.7146711439456551E-3</v>
      </c>
      <c r="V445" t="s">
        <v>154</v>
      </c>
    </row>
    <row r="446" spans="9:22" x14ac:dyDescent="0.45">
      <c r="I446" t="s">
        <v>175</v>
      </c>
      <c r="J446" t="s">
        <v>275</v>
      </c>
      <c r="K446">
        <v>9.5414029013902474E-2</v>
      </c>
      <c r="L446" t="s">
        <v>154</v>
      </c>
      <c r="N446" t="s">
        <v>204</v>
      </c>
      <c r="O446" t="s">
        <v>275</v>
      </c>
      <c r="P446">
        <v>4.654129759550394E-2</v>
      </c>
      <c r="Q446" t="s">
        <v>154</v>
      </c>
      <c r="S446" t="s">
        <v>228</v>
      </c>
      <c r="T446" t="s">
        <v>275</v>
      </c>
      <c r="U446">
        <v>5.642299015517762E-2</v>
      </c>
      <c r="V446" t="s">
        <v>154</v>
      </c>
    </row>
    <row r="447" spans="9:22" x14ac:dyDescent="0.45">
      <c r="I447" t="s">
        <v>175</v>
      </c>
      <c r="J447" t="s">
        <v>276</v>
      </c>
      <c r="K447">
        <v>1.0881866309112122E-2</v>
      </c>
      <c r="L447" t="s">
        <v>154</v>
      </c>
      <c r="N447" t="s">
        <v>204</v>
      </c>
      <c r="O447" t="s">
        <v>276</v>
      </c>
      <c r="P447">
        <v>7.2858848665317399E-3</v>
      </c>
      <c r="Q447" t="s">
        <v>154</v>
      </c>
      <c r="S447" t="s">
        <v>228</v>
      </c>
      <c r="T447" t="s">
        <v>276</v>
      </c>
      <c r="U447">
        <v>9.1003527548544159E-3</v>
      </c>
      <c r="V447" t="s">
        <v>154</v>
      </c>
    </row>
    <row r="448" spans="9:22" x14ac:dyDescent="0.45">
      <c r="I448" t="s">
        <v>175</v>
      </c>
      <c r="J448" t="s">
        <v>277</v>
      </c>
      <c r="K448">
        <v>7.2818762482660514E-3</v>
      </c>
      <c r="L448" t="s">
        <v>154</v>
      </c>
      <c r="N448" t="s">
        <v>204</v>
      </c>
      <c r="O448" t="s">
        <v>277</v>
      </c>
      <c r="P448">
        <v>7.4324525575420394E-3</v>
      </c>
      <c r="Q448" t="s">
        <v>154</v>
      </c>
      <c r="S448" t="s">
        <v>228</v>
      </c>
      <c r="T448" t="s">
        <v>277</v>
      </c>
      <c r="U448">
        <v>9.1420366089162639E-3</v>
      </c>
      <c r="V448" t="s">
        <v>154</v>
      </c>
    </row>
    <row r="449" spans="9:22" x14ac:dyDescent="0.45">
      <c r="I449" t="s">
        <v>175</v>
      </c>
      <c r="J449" t="s">
        <v>290</v>
      </c>
      <c r="K449">
        <v>1.1015188294375806E-7</v>
      </c>
      <c r="L449" t="s">
        <v>154</v>
      </c>
      <c r="N449" t="s">
        <v>204</v>
      </c>
      <c r="O449" t="s">
        <v>290</v>
      </c>
      <c r="P449">
        <v>6.1046341478071427E-3</v>
      </c>
      <c r="Q449" t="s">
        <v>154</v>
      </c>
      <c r="S449" t="s">
        <v>228</v>
      </c>
      <c r="T449" t="s">
        <v>290</v>
      </c>
      <c r="U449">
        <v>9.200751908309367E-3</v>
      </c>
      <c r="V449" t="s">
        <v>154</v>
      </c>
    </row>
    <row r="450" spans="9:22" x14ac:dyDescent="0.45">
      <c r="I450" t="s">
        <v>175</v>
      </c>
      <c r="J450" t="s">
        <v>291</v>
      </c>
      <c r="K450">
        <v>0</v>
      </c>
      <c r="L450" t="s">
        <v>154</v>
      </c>
      <c r="N450" t="s">
        <v>204</v>
      </c>
      <c r="O450" t="s">
        <v>291</v>
      </c>
      <c r="P450">
        <v>3.4853402073841432E-2</v>
      </c>
      <c r="Q450" t="s">
        <v>154</v>
      </c>
      <c r="S450" t="s">
        <v>228</v>
      </c>
      <c r="T450" t="s">
        <v>291</v>
      </c>
      <c r="U450">
        <v>5.3639440284454915E-2</v>
      </c>
      <c r="V450" t="s">
        <v>154</v>
      </c>
    </row>
    <row r="451" spans="9:22" x14ac:dyDescent="0.45">
      <c r="I451" t="s">
        <v>176</v>
      </c>
      <c r="J451" t="s">
        <v>153</v>
      </c>
      <c r="K451">
        <v>2.1987519979182611E-4</v>
      </c>
      <c r="L451" t="s">
        <v>154</v>
      </c>
      <c r="N451" t="s">
        <v>205</v>
      </c>
      <c r="O451" t="s">
        <v>153</v>
      </c>
      <c r="P451">
        <v>0.17786618047072489</v>
      </c>
      <c r="Q451" t="s">
        <v>154</v>
      </c>
      <c r="S451" t="s">
        <v>229</v>
      </c>
      <c r="T451" t="s">
        <v>153</v>
      </c>
      <c r="U451">
        <v>0.16326532085156129</v>
      </c>
      <c r="V451" t="s">
        <v>154</v>
      </c>
    </row>
    <row r="452" spans="9:22" x14ac:dyDescent="0.45">
      <c r="I452" t="s">
        <v>176</v>
      </c>
      <c r="J452" t="s">
        <v>155</v>
      </c>
      <c r="K452">
        <v>7.9406789924040905E-2</v>
      </c>
      <c r="L452" t="s">
        <v>154</v>
      </c>
      <c r="N452" t="s">
        <v>205</v>
      </c>
      <c r="O452" t="s">
        <v>155</v>
      </c>
      <c r="P452">
        <v>4.8143601097485049E-2</v>
      </c>
      <c r="Q452" t="s">
        <v>154</v>
      </c>
      <c r="S452" t="s">
        <v>229</v>
      </c>
      <c r="T452" t="s">
        <v>155</v>
      </c>
      <c r="U452">
        <v>4.2229616697483617E-2</v>
      </c>
      <c r="V452" t="s">
        <v>154</v>
      </c>
    </row>
    <row r="453" spans="9:22" x14ac:dyDescent="0.45">
      <c r="I453" t="s">
        <v>176</v>
      </c>
      <c r="J453" t="s">
        <v>156</v>
      </c>
      <c r="K453">
        <v>6.4869391401150847E-2</v>
      </c>
      <c r="L453" t="s">
        <v>154</v>
      </c>
      <c r="N453" t="s">
        <v>205</v>
      </c>
      <c r="O453" t="s">
        <v>156</v>
      </c>
      <c r="P453">
        <v>2.6553269171809044E-2</v>
      </c>
      <c r="Q453" t="s">
        <v>154</v>
      </c>
      <c r="S453" t="s">
        <v>229</v>
      </c>
      <c r="T453" t="s">
        <v>156</v>
      </c>
      <c r="U453">
        <v>2.2130005662700659E-2</v>
      </c>
      <c r="V453" t="s">
        <v>154</v>
      </c>
    </row>
    <row r="454" spans="9:22" x14ac:dyDescent="0.45">
      <c r="I454" t="s">
        <v>176</v>
      </c>
      <c r="J454" t="s">
        <v>255</v>
      </c>
      <c r="K454">
        <v>0.41576931380548138</v>
      </c>
      <c r="L454" t="s">
        <v>154</v>
      </c>
      <c r="N454" t="s">
        <v>205</v>
      </c>
      <c r="O454" t="s">
        <v>255</v>
      </c>
      <c r="P454">
        <v>0.18007504306333921</v>
      </c>
      <c r="Q454" t="s">
        <v>154</v>
      </c>
      <c r="S454" t="s">
        <v>229</v>
      </c>
      <c r="T454" t="s">
        <v>255</v>
      </c>
      <c r="U454">
        <v>0.13383066216185646</v>
      </c>
      <c r="V454" t="s">
        <v>154</v>
      </c>
    </row>
    <row r="455" spans="9:22" x14ac:dyDescent="0.45">
      <c r="I455" t="s">
        <v>176</v>
      </c>
      <c r="J455" t="s">
        <v>256</v>
      </c>
      <c r="K455">
        <v>3.7965858801873545E-2</v>
      </c>
      <c r="L455" t="s">
        <v>154</v>
      </c>
      <c r="N455" t="s">
        <v>205</v>
      </c>
      <c r="O455" t="s">
        <v>256</v>
      </c>
      <c r="P455">
        <v>3.0604710367474346E-2</v>
      </c>
      <c r="Q455" t="s">
        <v>154</v>
      </c>
      <c r="S455" t="s">
        <v>229</v>
      </c>
      <c r="T455" t="s">
        <v>256</v>
      </c>
      <c r="U455">
        <v>2.2361655911663638E-2</v>
      </c>
      <c r="V455" t="s">
        <v>154</v>
      </c>
    </row>
    <row r="456" spans="9:22" x14ac:dyDescent="0.45">
      <c r="I456" t="s">
        <v>176</v>
      </c>
      <c r="J456" t="s">
        <v>257</v>
      </c>
      <c r="K456">
        <v>2.4639854519869362E-2</v>
      </c>
      <c r="L456" t="s">
        <v>154</v>
      </c>
      <c r="N456" t="s">
        <v>205</v>
      </c>
      <c r="O456" t="s">
        <v>257</v>
      </c>
      <c r="P456">
        <v>2.9118612288696583E-2</v>
      </c>
      <c r="Q456" t="s">
        <v>154</v>
      </c>
      <c r="S456" t="s">
        <v>229</v>
      </c>
      <c r="T456" t="s">
        <v>257</v>
      </c>
      <c r="U456">
        <v>2.2719712787182034E-2</v>
      </c>
      <c r="V456" t="s">
        <v>154</v>
      </c>
    </row>
    <row r="457" spans="9:22" x14ac:dyDescent="0.45">
      <c r="I457" t="s">
        <v>176</v>
      </c>
      <c r="J457" t="s">
        <v>282</v>
      </c>
      <c r="K457">
        <v>1.4136174758615706E-2</v>
      </c>
      <c r="L457" t="s">
        <v>154</v>
      </c>
      <c r="N457" t="s">
        <v>205</v>
      </c>
      <c r="O457" t="s">
        <v>282</v>
      </c>
      <c r="P457">
        <v>2.65791670548138E-2</v>
      </c>
      <c r="Q457" t="s">
        <v>154</v>
      </c>
      <c r="S457" t="s">
        <v>229</v>
      </c>
      <c r="T457" t="s">
        <v>282</v>
      </c>
      <c r="U457">
        <v>2.0682013833721664E-2</v>
      </c>
      <c r="V457" t="s">
        <v>154</v>
      </c>
    </row>
    <row r="458" spans="9:22" x14ac:dyDescent="0.45">
      <c r="I458" t="s">
        <v>176</v>
      </c>
      <c r="J458" t="s">
        <v>283</v>
      </c>
      <c r="K458">
        <v>0</v>
      </c>
      <c r="L458" t="s">
        <v>154</v>
      </c>
      <c r="N458" t="s">
        <v>205</v>
      </c>
      <c r="O458" t="s">
        <v>283</v>
      </c>
      <c r="P458">
        <v>0.12940659922957207</v>
      </c>
      <c r="Q458" t="s">
        <v>154</v>
      </c>
      <c r="S458" t="s">
        <v>229</v>
      </c>
      <c r="T458" t="s">
        <v>283</v>
      </c>
      <c r="U458">
        <v>0.11740598603723626</v>
      </c>
      <c r="V458" t="s">
        <v>154</v>
      </c>
    </row>
    <row r="459" spans="9:22" x14ac:dyDescent="0.45">
      <c r="I459" t="s">
        <v>176</v>
      </c>
      <c r="J459" t="s">
        <v>157</v>
      </c>
      <c r="K459">
        <v>0</v>
      </c>
      <c r="L459" t="s">
        <v>154</v>
      </c>
      <c r="N459" t="s">
        <v>205</v>
      </c>
      <c r="O459" t="s">
        <v>157</v>
      </c>
      <c r="P459">
        <v>3.4619740554033109E-3</v>
      </c>
      <c r="Q459" t="s">
        <v>154</v>
      </c>
      <c r="S459" t="s">
        <v>229</v>
      </c>
      <c r="T459" t="s">
        <v>157</v>
      </c>
      <c r="U459">
        <v>1.4798634937846692E-2</v>
      </c>
      <c r="V459" t="s">
        <v>154</v>
      </c>
    </row>
    <row r="460" spans="9:22" x14ac:dyDescent="0.45">
      <c r="I460" t="s">
        <v>176</v>
      </c>
      <c r="J460" t="s">
        <v>158</v>
      </c>
      <c r="K460">
        <v>9.682664060910293E-3</v>
      </c>
      <c r="L460" t="s">
        <v>154</v>
      </c>
      <c r="N460" t="s">
        <v>205</v>
      </c>
      <c r="O460" t="s">
        <v>158</v>
      </c>
      <c r="P460">
        <v>6.9209976722539623E-4</v>
      </c>
      <c r="Q460" t="s">
        <v>154</v>
      </c>
      <c r="S460" t="s">
        <v>229</v>
      </c>
      <c r="T460" t="s">
        <v>158</v>
      </c>
      <c r="U460">
        <v>4.3399186949296719E-3</v>
      </c>
      <c r="V460" t="s">
        <v>154</v>
      </c>
    </row>
    <row r="461" spans="9:22" x14ac:dyDescent="0.45">
      <c r="I461" t="s">
        <v>176</v>
      </c>
      <c r="J461" t="s">
        <v>159</v>
      </c>
      <c r="K461">
        <v>7.4940531291366082E-3</v>
      </c>
      <c r="L461" t="s">
        <v>154</v>
      </c>
      <c r="N461" t="s">
        <v>205</v>
      </c>
      <c r="O461" t="s">
        <v>159</v>
      </c>
      <c r="P461">
        <v>3.6967305465283211E-4</v>
      </c>
      <c r="Q461" t="s">
        <v>154</v>
      </c>
      <c r="S461" t="s">
        <v>229</v>
      </c>
      <c r="T461" t="s">
        <v>159</v>
      </c>
      <c r="U461">
        <v>2.2389562730357462E-3</v>
      </c>
      <c r="V461" t="s">
        <v>154</v>
      </c>
    </row>
    <row r="462" spans="9:22" x14ac:dyDescent="0.45">
      <c r="I462" t="s">
        <v>176</v>
      </c>
      <c r="J462" t="s">
        <v>258</v>
      </c>
      <c r="K462">
        <v>4.6051776532740903E-2</v>
      </c>
      <c r="L462" t="s">
        <v>154</v>
      </c>
      <c r="N462" t="s">
        <v>205</v>
      </c>
      <c r="O462" t="s">
        <v>258</v>
      </c>
      <c r="P462">
        <v>4.0047744588712934E-3</v>
      </c>
      <c r="Q462" t="s">
        <v>154</v>
      </c>
      <c r="S462" t="s">
        <v>229</v>
      </c>
      <c r="T462" t="s">
        <v>258</v>
      </c>
      <c r="U462">
        <v>1.30678585559947E-2</v>
      </c>
      <c r="V462" t="s">
        <v>154</v>
      </c>
    </row>
    <row r="463" spans="9:22" x14ac:dyDescent="0.45">
      <c r="I463" t="s">
        <v>176</v>
      </c>
      <c r="J463" t="s">
        <v>259</v>
      </c>
      <c r="K463">
        <v>4.0820563401344897E-3</v>
      </c>
      <c r="L463" t="s">
        <v>154</v>
      </c>
      <c r="N463" t="s">
        <v>205</v>
      </c>
      <c r="O463" t="s">
        <v>259</v>
      </c>
      <c r="P463">
        <v>8.5711401782378712E-4</v>
      </c>
      <c r="Q463" t="s">
        <v>154</v>
      </c>
      <c r="S463" t="s">
        <v>229</v>
      </c>
      <c r="T463" t="s">
        <v>259</v>
      </c>
      <c r="U463">
        <v>2.1194701085734597E-3</v>
      </c>
      <c r="V463" t="s">
        <v>154</v>
      </c>
    </row>
    <row r="464" spans="9:22" x14ac:dyDescent="0.45">
      <c r="I464" t="s">
        <v>176</v>
      </c>
      <c r="J464" t="s">
        <v>260</v>
      </c>
      <c r="K464">
        <v>2.9362279384516159E-3</v>
      </c>
      <c r="L464" t="s">
        <v>154</v>
      </c>
      <c r="N464" t="s">
        <v>205</v>
      </c>
      <c r="O464" t="s">
        <v>260</v>
      </c>
      <c r="P464">
        <v>7.4017306451155767E-4</v>
      </c>
      <c r="Q464" t="s">
        <v>154</v>
      </c>
      <c r="S464" t="s">
        <v>229</v>
      </c>
      <c r="T464" t="s">
        <v>260</v>
      </c>
      <c r="U464">
        <v>2.1647886974550308E-3</v>
      </c>
      <c r="V464" t="s">
        <v>154</v>
      </c>
    </row>
    <row r="465" spans="9:22" x14ac:dyDescent="0.45">
      <c r="I465" t="s">
        <v>176</v>
      </c>
      <c r="J465" t="s">
        <v>284</v>
      </c>
      <c r="K465">
        <v>1.7497534089773589E-3</v>
      </c>
      <c r="L465" t="s">
        <v>154</v>
      </c>
      <c r="N465" t="s">
        <v>205</v>
      </c>
      <c r="O465" t="s">
        <v>284</v>
      </c>
      <c r="P465">
        <v>7.8755254124227936E-4</v>
      </c>
      <c r="Q465" t="s">
        <v>154</v>
      </c>
      <c r="S465" t="s">
        <v>229</v>
      </c>
      <c r="T465" t="s">
        <v>284</v>
      </c>
      <c r="U465">
        <v>2.2100753127474535E-3</v>
      </c>
      <c r="V465" t="s">
        <v>154</v>
      </c>
    </row>
    <row r="466" spans="9:22" x14ac:dyDescent="0.45">
      <c r="I466" t="s">
        <v>176</v>
      </c>
      <c r="J466" t="s">
        <v>285</v>
      </c>
      <c r="K466">
        <v>0</v>
      </c>
      <c r="L466" t="s">
        <v>154</v>
      </c>
      <c r="N466" t="s">
        <v>205</v>
      </c>
      <c r="O466" t="s">
        <v>285</v>
      </c>
      <c r="P466">
        <v>2.6335111088493061E-3</v>
      </c>
      <c r="Q466" t="s">
        <v>154</v>
      </c>
      <c r="S466" t="s">
        <v>229</v>
      </c>
      <c r="T466" t="s">
        <v>285</v>
      </c>
      <c r="U466">
        <v>1.1372280642528272E-2</v>
      </c>
      <c r="V466" t="s">
        <v>154</v>
      </c>
    </row>
    <row r="467" spans="9:22" x14ac:dyDescent="0.45">
      <c r="I467" t="s">
        <v>176</v>
      </c>
      <c r="J467" t="s">
        <v>160</v>
      </c>
      <c r="K467">
        <v>0</v>
      </c>
      <c r="L467" t="s">
        <v>154</v>
      </c>
      <c r="N467" t="s">
        <v>205</v>
      </c>
      <c r="O467" t="s">
        <v>160</v>
      </c>
      <c r="P467">
        <v>3.2650104577982716E-2</v>
      </c>
      <c r="Q467" t="s">
        <v>154</v>
      </c>
      <c r="S467" t="s">
        <v>229</v>
      </c>
      <c r="T467" t="s">
        <v>160</v>
      </c>
      <c r="U467">
        <v>2.6675892622620746E-2</v>
      </c>
      <c r="V467" t="s">
        <v>154</v>
      </c>
    </row>
    <row r="468" spans="9:22" x14ac:dyDescent="0.45">
      <c r="I468" t="s">
        <v>176</v>
      </c>
      <c r="J468" t="s">
        <v>161</v>
      </c>
      <c r="K468">
        <v>8.2861422608881009E-3</v>
      </c>
      <c r="L468" t="s">
        <v>154</v>
      </c>
      <c r="N468" t="s">
        <v>205</v>
      </c>
      <c r="O468" t="s">
        <v>161</v>
      </c>
      <c r="P468">
        <v>9.3878748092754722E-3</v>
      </c>
      <c r="Q468" t="s">
        <v>154</v>
      </c>
      <c r="S468" t="s">
        <v>229</v>
      </c>
      <c r="T468" t="s">
        <v>161</v>
      </c>
      <c r="U468">
        <v>7.8539269227880827E-3</v>
      </c>
      <c r="V468" t="s">
        <v>154</v>
      </c>
    </row>
    <row r="469" spans="9:22" x14ac:dyDescent="0.45">
      <c r="I469" t="s">
        <v>176</v>
      </c>
      <c r="J469" t="s">
        <v>162</v>
      </c>
      <c r="K469">
        <v>7.2186953505389683E-3</v>
      </c>
      <c r="L469" t="s">
        <v>154</v>
      </c>
      <c r="N469" t="s">
        <v>205</v>
      </c>
      <c r="O469" t="s">
        <v>162</v>
      </c>
      <c r="P469">
        <v>5.076664096296082E-3</v>
      </c>
      <c r="Q469" t="s">
        <v>154</v>
      </c>
      <c r="S469" t="s">
        <v>229</v>
      </c>
      <c r="T469" t="s">
        <v>162</v>
      </c>
      <c r="U469">
        <v>3.9039310692944567E-3</v>
      </c>
      <c r="V469" t="s">
        <v>154</v>
      </c>
    </row>
    <row r="470" spans="9:22" x14ac:dyDescent="0.45">
      <c r="I470" t="s">
        <v>176</v>
      </c>
      <c r="J470" t="s">
        <v>261</v>
      </c>
      <c r="K470">
        <v>4.9546633018420085E-2</v>
      </c>
      <c r="L470" t="s">
        <v>154</v>
      </c>
      <c r="N470" t="s">
        <v>205</v>
      </c>
      <c r="O470" t="s">
        <v>261</v>
      </c>
      <c r="P470">
        <v>4.4237062434595083E-2</v>
      </c>
      <c r="Q470" t="s">
        <v>154</v>
      </c>
      <c r="S470" t="s">
        <v>229</v>
      </c>
      <c r="T470" t="s">
        <v>261</v>
      </c>
      <c r="U470">
        <v>2.1535401433469815E-2</v>
      </c>
      <c r="V470" t="s">
        <v>154</v>
      </c>
    </row>
    <row r="471" spans="9:22" x14ac:dyDescent="0.45">
      <c r="I471" t="s">
        <v>176</v>
      </c>
      <c r="J471" t="s">
        <v>262</v>
      </c>
      <c r="K471">
        <v>4.4912909106287896E-3</v>
      </c>
      <c r="L471" t="s">
        <v>154</v>
      </c>
      <c r="N471" t="s">
        <v>205</v>
      </c>
      <c r="O471" t="s">
        <v>262</v>
      </c>
      <c r="P471">
        <v>7.6177187035994555E-3</v>
      </c>
      <c r="Q471" t="s">
        <v>154</v>
      </c>
      <c r="S471" t="s">
        <v>229</v>
      </c>
      <c r="T471" t="s">
        <v>262</v>
      </c>
      <c r="U471">
        <v>3.5276464912970549E-3</v>
      </c>
      <c r="V471" t="s">
        <v>154</v>
      </c>
    </row>
    <row r="472" spans="9:22" x14ac:dyDescent="0.45">
      <c r="I472" t="s">
        <v>176</v>
      </c>
      <c r="J472" t="s">
        <v>263</v>
      </c>
      <c r="K472">
        <v>2.5872649397612264E-3</v>
      </c>
      <c r="L472" t="s">
        <v>154</v>
      </c>
      <c r="N472" t="s">
        <v>205</v>
      </c>
      <c r="O472" t="s">
        <v>263</v>
      </c>
      <c r="P472">
        <v>6.9260887630454814E-3</v>
      </c>
      <c r="Q472" t="s">
        <v>154</v>
      </c>
      <c r="S472" t="s">
        <v>229</v>
      </c>
      <c r="T472" t="s">
        <v>263</v>
      </c>
      <c r="U472">
        <v>3.6384597699588182E-3</v>
      </c>
      <c r="V472" t="s">
        <v>154</v>
      </c>
    </row>
    <row r="473" spans="9:22" x14ac:dyDescent="0.45">
      <c r="I473" t="s">
        <v>176</v>
      </c>
      <c r="J473" t="s">
        <v>286</v>
      </c>
      <c r="K473">
        <v>3.9675623060220878E-4</v>
      </c>
      <c r="L473" t="s">
        <v>154</v>
      </c>
      <c r="N473" t="s">
        <v>205</v>
      </c>
      <c r="O473" t="s">
        <v>286</v>
      </c>
      <c r="P473">
        <v>5.971328986295126E-3</v>
      </c>
      <c r="Q473" t="s">
        <v>154</v>
      </c>
      <c r="S473" t="s">
        <v>229</v>
      </c>
      <c r="T473" t="s">
        <v>286</v>
      </c>
      <c r="U473">
        <v>3.5204614558795849E-3</v>
      </c>
      <c r="V473" t="s">
        <v>154</v>
      </c>
    </row>
    <row r="474" spans="9:22" x14ac:dyDescent="0.45">
      <c r="I474" t="s">
        <v>176</v>
      </c>
      <c r="J474" t="s">
        <v>287</v>
      </c>
      <c r="K474">
        <v>0</v>
      </c>
      <c r="L474" t="s">
        <v>154</v>
      </c>
      <c r="N474" t="s">
        <v>205</v>
      </c>
      <c r="O474" t="s">
        <v>287</v>
      </c>
      <c r="P474">
        <v>2.2905438877180197E-2</v>
      </c>
      <c r="Q474" t="s">
        <v>154</v>
      </c>
      <c r="S474" t="s">
        <v>229</v>
      </c>
      <c r="T474" t="s">
        <v>287</v>
      </c>
      <c r="U474">
        <v>1.9203038185374437E-2</v>
      </c>
      <c r="V474" t="s">
        <v>154</v>
      </c>
    </row>
    <row r="475" spans="9:22" x14ac:dyDescent="0.45">
      <c r="I475" t="s">
        <v>176</v>
      </c>
      <c r="J475" t="s">
        <v>163</v>
      </c>
      <c r="K475">
        <v>0</v>
      </c>
      <c r="L475" t="s">
        <v>154</v>
      </c>
      <c r="N475" t="s">
        <v>205</v>
      </c>
      <c r="O475" t="s">
        <v>163</v>
      </c>
      <c r="P475">
        <v>7.2496553575430566E-3</v>
      </c>
      <c r="Q475" t="s">
        <v>154</v>
      </c>
      <c r="S475" t="s">
        <v>229</v>
      </c>
      <c r="T475" t="s">
        <v>163</v>
      </c>
      <c r="U475">
        <v>2.9437736664119873E-2</v>
      </c>
      <c r="V475" t="s">
        <v>154</v>
      </c>
    </row>
    <row r="476" spans="9:22" x14ac:dyDescent="0.45">
      <c r="I476" t="s">
        <v>176</v>
      </c>
      <c r="J476" t="s">
        <v>164</v>
      </c>
      <c r="K476">
        <v>8.294080528344884E-3</v>
      </c>
      <c r="L476" t="s">
        <v>154</v>
      </c>
      <c r="N476" t="s">
        <v>205</v>
      </c>
      <c r="O476" t="s">
        <v>164</v>
      </c>
      <c r="P476">
        <v>2.632267821427435E-3</v>
      </c>
      <c r="Q476" t="s">
        <v>154</v>
      </c>
      <c r="S476" t="s">
        <v>229</v>
      </c>
      <c r="T476" t="s">
        <v>164</v>
      </c>
      <c r="U476">
        <v>8.2658926850741506E-3</v>
      </c>
      <c r="V476" t="s">
        <v>154</v>
      </c>
    </row>
    <row r="477" spans="9:22" x14ac:dyDescent="0.45">
      <c r="I477" t="s">
        <v>176</v>
      </c>
      <c r="J477" t="s">
        <v>165</v>
      </c>
      <c r="K477">
        <v>6.7490379188426828E-3</v>
      </c>
      <c r="L477" t="s">
        <v>154</v>
      </c>
      <c r="N477" t="s">
        <v>205</v>
      </c>
      <c r="O477" t="s">
        <v>165</v>
      </c>
      <c r="P477">
        <v>1.3531830751377385E-3</v>
      </c>
      <c r="Q477" t="s">
        <v>154</v>
      </c>
      <c r="S477" t="s">
        <v>229</v>
      </c>
      <c r="T477" t="s">
        <v>165</v>
      </c>
      <c r="U477">
        <v>4.2088501826322905E-3</v>
      </c>
      <c r="V477" t="s">
        <v>154</v>
      </c>
    </row>
    <row r="478" spans="9:22" x14ac:dyDescent="0.45">
      <c r="I478" t="s">
        <v>176</v>
      </c>
      <c r="J478" t="s">
        <v>264</v>
      </c>
      <c r="K478">
        <v>4.061529433068322E-2</v>
      </c>
      <c r="L478" t="s">
        <v>154</v>
      </c>
      <c r="N478" t="s">
        <v>205</v>
      </c>
      <c r="O478" t="s">
        <v>264</v>
      </c>
      <c r="P478">
        <v>1.0584731053549862E-2</v>
      </c>
      <c r="Q478" t="s">
        <v>154</v>
      </c>
      <c r="S478" t="s">
        <v>229</v>
      </c>
      <c r="T478" t="s">
        <v>264</v>
      </c>
      <c r="U478">
        <v>2.4692862680291063E-2</v>
      </c>
      <c r="V478" t="s">
        <v>154</v>
      </c>
    </row>
    <row r="479" spans="9:22" x14ac:dyDescent="0.45">
      <c r="I479" t="s">
        <v>176</v>
      </c>
      <c r="J479" t="s">
        <v>265</v>
      </c>
      <c r="K479">
        <v>3.300105224232905E-3</v>
      </c>
      <c r="L479" t="s">
        <v>154</v>
      </c>
      <c r="N479" t="s">
        <v>205</v>
      </c>
      <c r="O479" t="s">
        <v>265</v>
      </c>
      <c r="P479">
        <v>1.682419398789642E-3</v>
      </c>
      <c r="Q479" t="s">
        <v>154</v>
      </c>
      <c r="S479" t="s">
        <v>229</v>
      </c>
      <c r="T479" t="s">
        <v>265</v>
      </c>
      <c r="U479">
        <v>4.1698575159444659E-3</v>
      </c>
      <c r="V479" t="s">
        <v>154</v>
      </c>
    </row>
    <row r="480" spans="9:22" x14ac:dyDescent="0.45">
      <c r="I480" t="s">
        <v>176</v>
      </c>
      <c r="J480" t="s">
        <v>266</v>
      </c>
      <c r="K480">
        <v>1.7817810976314627E-3</v>
      </c>
      <c r="L480" t="s">
        <v>154</v>
      </c>
      <c r="N480" t="s">
        <v>205</v>
      </c>
      <c r="O480" t="s">
        <v>266</v>
      </c>
      <c r="P480">
        <v>1.5661745256636442E-3</v>
      </c>
      <c r="Q480" t="s">
        <v>154</v>
      </c>
      <c r="S480" t="s">
        <v>229</v>
      </c>
      <c r="T480" t="s">
        <v>266</v>
      </c>
      <c r="U480">
        <v>4.1937103061760071E-3</v>
      </c>
      <c r="V480" t="s">
        <v>154</v>
      </c>
    </row>
    <row r="481" spans="9:22" x14ac:dyDescent="0.45">
      <c r="I481" t="s">
        <v>176</v>
      </c>
      <c r="J481" t="s">
        <v>288</v>
      </c>
      <c r="K481">
        <v>0</v>
      </c>
      <c r="L481" t="s">
        <v>154</v>
      </c>
      <c r="N481" t="s">
        <v>205</v>
      </c>
      <c r="O481" t="s">
        <v>288</v>
      </c>
      <c r="P481">
        <v>1.2800631520579373E-3</v>
      </c>
      <c r="Q481" t="s">
        <v>154</v>
      </c>
      <c r="S481" t="s">
        <v>229</v>
      </c>
      <c r="T481" t="s">
        <v>288</v>
      </c>
      <c r="U481">
        <v>3.9894718420423886E-3</v>
      </c>
      <c r="V481" t="s">
        <v>154</v>
      </c>
    </row>
    <row r="482" spans="9:22" x14ac:dyDescent="0.45">
      <c r="I482" t="s">
        <v>176</v>
      </c>
      <c r="J482" t="s">
        <v>289</v>
      </c>
      <c r="K482">
        <v>0</v>
      </c>
      <c r="L482" t="s">
        <v>154</v>
      </c>
      <c r="N482" t="s">
        <v>205</v>
      </c>
      <c r="O482" t="s">
        <v>289</v>
      </c>
      <c r="P482">
        <v>5.9476598075127304E-3</v>
      </c>
      <c r="Q482" t="s">
        <v>154</v>
      </c>
      <c r="S482" t="s">
        <v>229</v>
      </c>
      <c r="T482" t="s">
        <v>289</v>
      </c>
      <c r="U482">
        <v>2.1303830152448629E-2</v>
      </c>
      <c r="V482" t="s">
        <v>154</v>
      </c>
    </row>
    <row r="483" spans="9:22" x14ac:dyDescent="0.45">
      <c r="I483" t="s">
        <v>176</v>
      </c>
      <c r="J483" t="s">
        <v>272</v>
      </c>
      <c r="K483">
        <v>0</v>
      </c>
      <c r="L483" t="s">
        <v>154</v>
      </c>
      <c r="N483" t="s">
        <v>205</v>
      </c>
      <c r="O483" t="s">
        <v>272</v>
      </c>
      <c r="P483">
        <v>4.6803741176105154E-2</v>
      </c>
      <c r="Q483" t="s">
        <v>154</v>
      </c>
      <c r="S483" t="s">
        <v>229</v>
      </c>
      <c r="T483" t="s">
        <v>272</v>
      </c>
      <c r="U483">
        <v>6.4407700892892605E-2</v>
      </c>
      <c r="V483" t="s">
        <v>154</v>
      </c>
    </row>
    <row r="484" spans="9:22" x14ac:dyDescent="0.45">
      <c r="I484" t="s">
        <v>176</v>
      </c>
      <c r="J484" t="s">
        <v>273</v>
      </c>
      <c r="K484">
        <v>2.3272063886588916E-2</v>
      </c>
      <c r="L484" t="s">
        <v>154</v>
      </c>
      <c r="N484" t="s">
        <v>205</v>
      </c>
      <c r="O484" t="s">
        <v>273</v>
      </c>
      <c r="P484">
        <v>1.3244247893967647E-2</v>
      </c>
      <c r="Q484" t="s">
        <v>154</v>
      </c>
      <c r="S484" t="s">
        <v>229</v>
      </c>
      <c r="T484" t="s">
        <v>273</v>
      </c>
      <c r="U484">
        <v>1.7401183880796072E-2</v>
      </c>
      <c r="V484" t="s">
        <v>154</v>
      </c>
    </row>
    <row r="485" spans="9:22" x14ac:dyDescent="0.45">
      <c r="I485" t="s">
        <v>176</v>
      </c>
      <c r="J485" t="s">
        <v>274</v>
      </c>
      <c r="K485">
        <v>1.7286453155797153E-2</v>
      </c>
      <c r="L485" t="s">
        <v>154</v>
      </c>
      <c r="N485" t="s">
        <v>205</v>
      </c>
      <c r="O485" t="s">
        <v>274</v>
      </c>
      <c r="P485">
        <v>7.5942915453746773E-3</v>
      </c>
      <c r="Q485" t="s">
        <v>154</v>
      </c>
      <c r="S485" t="s">
        <v>229</v>
      </c>
      <c r="T485" t="s">
        <v>274</v>
      </c>
      <c r="U485">
        <v>8.860803991817939E-3</v>
      </c>
      <c r="V485" t="s">
        <v>154</v>
      </c>
    </row>
    <row r="486" spans="9:22" x14ac:dyDescent="0.45">
      <c r="I486" t="s">
        <v>176</v>
      </c>
      <c r="J486" t="s">
        <v>275</v>
      </c>
      <c r="K486">
        <v>0.10001022982143165</v>
      </c>
      <c r="L486" t="s">
        <v>154</v>
      </c>
      <c r="N486" t="s">
        <v>205</v>
      </c>
      <c r="O486" t="s">
        <v>275</v>
      </c>
      <c r="P486">
        <v>4.907657378099238E-2</v>
      </c>
      <c r="Q486" t="s">
        <v>154</v>
      </c>
      <c r="S486" t="s">
        <v>229</v>
      </c>
      <c r="T486" t="s">
        <v>275</v>
      </c>
      <c r="U486">
        <v>5.1218947773948059E-2</v>
      </c>
      <c r="V486" t="s">
        <v>154</v>
      </c>
    </row>
    <row r="487" spans="9:22" x14ac:dyDescent="0.45">
      <c r="I487" t="s">
        <v>176</v>
      </c>
      <c r="J487" t="s">
        <v>276</v>
      </c>
      <c r="K487">
        <v>1.0379394889149365E-2</v>
      </c>
      <c r="L487" t="s">
        <v>154</v>
      </c>
      <c r="N487" t="s">
        <v>205</v>
      </c>
      <c r="O487" t="s">
        <v>276</v>
      </c>
      <c r="P487">
        <v>8.016105141268718E-3</v>
      </c>
      <c r="Q487" t="s">
        <v>154</v>
      </c>
      <c r="S487" t="s">
        <v>229</v>
      </c>
      <c r="T487" t="s">
        <v>276</v>
      </c>
      <c r="U487">
        <v>8.6912945144019173E-3</v>
      </c>
      <c r="V487" t="s">
        <v>154</v>
      </c>
    </row>
    <row r="488" spans="9:22" x14ac:dyDescent="0.45">
      <c r="I488" t="s">
        <v>176</v>
      </c>
      <c r="J488" t="s">
        <v>277</v>
      </c>
      <c r="K488">
        <v>6.7557987958733389E-3</v>
      </c>
      <c r="L488" t="s">
        <v>154</v>
      </c>
      <c r="N488" t="s">
        <v>205</v>
      </c>
      <c r="O488" t="s">
        <v>277</v>
      </c>
      <c r="P488">
        <v>7.947293413214122E-3</v>
      </c>
      <c r="Q488" t="s">
        <v>154</v>
      </c>
      <c r="S488" t="s">
        <v>229</v>
      </c>
      <c r="T488" t="s">
        <v>277</v>
      </c>
      <c r="U488">
        <v>8.814936432425112E-3</v>
      </c>
      <c r="V488" t="s">
        <v>154</v>
      </c>
    </row>
    <row r="489" spans="9:22" x14ac:dyDescent="0.45">
      <c r="I489" t="s">
        <v>176</v>
      </c>
      <c r="J489" t="s">
        <v>290</v>
      </c>
      <c r="K489">
        <v>2.5187819409986283E-5</v>
      </c>
      <c r="L489" t="s">
        <v>154</v>
      </c>
      <c r="N489" t="s">
        <v>205</v>
      </c>
      <c r="O489" t="s">
        <v>290</v>
      </c>
      <c r="P489">
        <v>6.6192141638981381E-3</v>
      </c>
      <c r="Q489" t="s">
        <v>154</v>
      </c>
      <c r="S489" t="s">
        <v>229</v>
      </c>
      <c r="T489" t="s">
        <v>290</v>
      </c>
      <c r="U489">
        <v>8.2708444708874014E-3</v>
      </c>
      <c r="V489" t="s">
        <v>154</v>
      </c>
    </row>
    <row r="490" spans="9:22" x14ac:dyDescent="0.45">
      <c r="I490" t="s">
        <v>176</v>
      </c>
      <c r="J490" t="s">
        <v>291</v>
      </c>
      <c r="K490">
        <v>0</v>
      </c>
      <c r="L490" t="s">
        <v>154</v>
      </c>
      <c r="N490" t="s">
        <v>205</v>
      </c>
      <c r="O490" t="s">
        <v>291</v>
      </c>
      <c r="P490">
        <v>3.1736042632736383E-2</v>
      </c>
      <c r="Q490" t="s">
        <v>154</v>
      </c>
      <c r="S490" t="s">
        <v>229</v>
      </c>
      <c r="T490" t="s">
        <v>291</v>
      </c>
      <c r="U490">
        <v>4.5276360896902332E-2</v>
      </c>
      <c r="V490" t="s">
        <v>154</v>
      </c>
    </row>
    <row r="491" spans="9:22" x14ac:dyDescent="0.45">
      <c r="I491" t="s">
        <v>177</v>
      </c>
      <c r="J491" t="s">
        <v>153</v>
      </c>
      <c r="K491">
        <v>6.3243921708965338E-3</v>
      </c>
      <c r="L491" t="s">
        <v>154</v>
      </c>
      <c r="N491" t="s">
        <v>206</v>
      </c>
      <c r="O491" t="s">
        <v>153</v>
      </c>
      <c r="P491">
        <v>0.14923234219481044</v>
      </c>
      <c r="Q491" t="s">
        <v>154</v>
      </c>
      <c r="S491" t="s">
        <v>230</v>
      </c>
      <c r="T491" t="s">
        <v>153</v>
      </c>
      <c r="U491">
        <v>0.14394731671731348</v>
      </c>
      <c r="V491" t="s">
        <v>154</v>
      </c>
    </row>
    <row r="492" spans="9:22" x14ac:dyDescent="0.45">
      <c r="I492" t="s">
        <v>177</v>
      </c>
      <c r="J492" t="s">
        <v>155</v>
      </c>
      <c r="K492">
        <v>7.2340298051620622E-2</v>
      </c>
      <c r="L492" t="s">
        <v>154</v>
      </c>
      <c r="N492" t="s">
        <v>206</v>
      </c>
      <c r="O492" t="s">
        <v>155</v>
      </c>
      <c r="P492">
        <v>4.2582069399179918E-2</v>
      </c>
      <c r="Q492" t="s">
        <v>154</v>
      </c>
      <c r="S492" t="s">
        <v>230</v>
      </c>
      <c r="T492" t="s">
        <v>155</v>
      </c>
      <c r="U492">
        <v>3.5968562231673738E-2</v>
      </c>
      <c r="V492" t="s">
        <v>154</v>
      </c>
    </row>
    <row r="493" spans="9:22" x14ac:dyDescent="0.45">
      <c r="I493" t="s">
        <v>177</v>
      </c>
      <c r="J493" t="s">
        <v>156</v>
      </c>
      <c r="K493">
        <v>5.9119134881141351E-2</v>
      </c>
      <c r="L493" t="s">
        <v>154</v>
      </c>
      <c r="N493" t="s">
        <v>206</v>
      </c>
      <c r="O493" t="s">
        <v>156</v>
      </c>
      <c r="P493">
        <v>2.9504298298387955E-2</v>
      </c>
      <c r="Q493" t="s">
        <v>154</v>
      </c>
      <c r="S493" t="s">
        <v>230</v>
      </c>
      <c r="T493" t="s">
        <v>156</v>
      </c>
      <c r="U493">
        <v>1.8886393059500319E-2</v>
      </c>
      <c r="V493" t="s">
        <v>154</v>
      </c>
    </row>
    <row r="494" spans="9:22" x14ac:dyDescent="0.45">
      <c r="I494" t="s">
        <v>177</v>
      </c>
      <c r="J494" t="s">
        <v>255</v>
      </c>
      <c r="K494">
        <v>0.40882223316866323</v>
      </c>
      <c r="L494" t="s">
        <v>154</v>
      </c>
      <c r="N494" t="s">
        <v>206</v>
      </c>
      <c r="O494" t="s">
        <v>255</v>
      </c>
      <c r="P494">
        <v>0.20125252465037838</v>
      </c>
      <c r="Q494" t="s">
        <v>154</v>
      </c>
      <c r="S494" t="s">
        <v>230</v>
      </c>
      <c r="T494" t="s">
        <v>255</v>
      </c>
      <c r="U494">
        <v>0.13174859982646397</v>
      </c>
      <c r="V494" t="s">
        <v>154</v>
      </c>
    </row>
    <row r="495" spans="9:22" x14ac:dyDescent="0.45">
      <c r="I495" t="s">
        <v>177</v>
      </c>
      <c r="J495" t="s">
        <v>256</v>
      </c>
      <c r="K495">
        <v>4.3027658751357632E-2</v>
      </c>
      <c r="L495" t="s">
        <v>154</v>
      </c>
      <c r="N495" t="s">
        <v>206</v>
      </c>
      <c r="O495" t="s">
        <v>256</v>
      </c>
      <c r="P495">
        <v>3.1344695548071497E-2</v>
      </c>
      <c r="Q495" t="s">
        <v>154</v>
      </c>
      <c r="S495" t="s">
        <v>230</v>
      </c>
      <c r="T495" t="s">
        <v>256</v>
      </c>
      <c r="U495">
        <v>2.4892108371285582E-2</v>
      </c>
      <c r="V495" t="s">
        <v>154</v>
      </c>
    </row>
    <row r="496" spans="9:22" x14ac:dyDescent="0.45">
      <c r="I496" t="s">
        <v>177</v>
      </c>
      <c r="J496" t="s">
        <v>257</v>
      </c>
      <c r="K496">
        <v>2.8990341432226261E-2</v>
      </c>
      <c r="L496" t="s">
        <v>154</v>
      </c>
      <c r="N496" t="s">
        <v>206</v>
      </c>
      <c r="O496" t="s">
        <v>257</v>
      </c>
      <c r="P496">
        <v>2.957950386331145E-2</v>
      </c>
      <c r="Q496" t="s">
        <v>154</v>
      </c>
      <c r="S496" t="s">
        <v>230</v>
      </c>
      <c r="T496" t="s">
        <v>257</v>
      </c>
      <c r="U496">
        <v>2.4939380264038854E-2</v>
      </c>
      <c r="V496" t="s">
        <v>154</v>
      </c>
    </row>
    <row r="497" spans="9:22" x14ac:dyDescent="0.45">
      <c r="I497" t="s">
        <v>177</v>
      </c>
      <c r="J497" t="s">
        <v>282</v>
      </c>
      <c r="K497">
        <v>1.7240299407119714E-2</v>
      </c>
      <c r="L497" t="s">
        <v>154</v>
      </c>
      <c r="N497" t="s">
        <v>206</v>
      </c>
      <c r="O497" t="s">
        <v>282</v>
      </c>
      <c r="P497">
        <v>2.4207111878227036E-2</v>
      </c>
      <c r="Q497" t="s">
        <v>154</v>
      </c>
      <c r="S497" t="s">
        <v>230</v>
      </c>
      <c r="T497" t="s">
        <v>282</v>
      </c>
      <c r="U497">
        <v>2.3051308852687951E-2</v>
      </c>
      <c r="V497" t="s">
        <v>154</v>
      </c>
    </row>
    <row r="498" spans="9:22" x14ac:dyDescent="0.45">
      <c r="I498" t="s">
        <v>177</v>
      </c>
      <c r="J498" t="s">
        <v>283</v>
      </c>
      <c r="K498">
        <v>0</v>
      </c>
      <c r="L498" t="s">
        <v>154</v>
      </c>
      <c r="N498" t="s">
        <v>206</v>
      </c>
      <c r="O498" t="s">
        <v>283</v>
      </c>
      <c r="P498">
        <v>0.12419581888244585</v>
      </c>
      <c r="Q498" t="s">
        <v>154</v>
      </c>
      <c r="S498" t="s">
        <v>230</v>
      </c>
      <c r="T498" t="s">
        <v>283</v>
      </c>
      <c r="U498">
        <v>0.11509293284163837</v>
      </c>
      <c r="V498" t="s">
        <v>154</v>
      </c>
    </row>
    <row r="499" spans="9:22" x14ac:dyDescent="0.45">
      <c r="I499" t="s">
        <v>177</v>
      </c>
      <c r="J499" t="s">
        <v>157</v>
      </c>
      <c r="K499">
        <v>0</v>
      </c>
      <c r="L499" t="s">
        <v>154</v>
      </c>
      <c r="N499" t="s">
        <v>206</v>
      </c>
      <c r="O499" t="s">
        <v>157</v>
      </c>
      <c r="P499">
        <v>5.6541358657254586E-3</v>
      </c>
      <c r="Q499" t="s">
        <v>154</v>
      </c>
      <c r="S499" t="s">
        <v>230</v>
      </c>
      <c r="T499" t="s">
        <v>157</v>
      </c>
      <c r="U499">
        <v>9.9094755077469149E-3</v>
      </c>
      <c r="V499" t="s">
        <v>154</v>
      </c>
    </row>
    <row r="500" spans="9:22" x14ac:dyDescent="0.45">
      <c r="I500" t="s">
        <v>177</v>
      </c>
      <c r="J500" t="s">
        <v>158</v>
      </c>
      <c r="K500">
        <v>1.0717679962408718E-2</v>
      </c>
      <c r="L500" t="s">
        <v>154</v>
      </c>
      <c r="N500" t="s">
        <v>206</v>
      </c>
      <c r="O500" t="s">
        <v>158</v>
      </c>
      <c r="P500">
        <v>1.6430717815618006E-3</v>
      </c>
      <c r="Q500" t="s">
        <v>154</v>
      </c>
      <c r="S500" t="s">
        <v>230</v>
      </c>
      <c r="T500" t="s">
        <v>158</v>
      </c>
      <c r="U500">
        <v>2.4381849644419689E-3</v>
      </c>
      <c r="V500" t="s">
        <v>154</v>
      </c>
    </row>
    <row r="501" spans="9:22" x14ac:dyDescent="0.45">
      <c r="I501" t="s">
        <v>177</v>
      </c>
      <c r="J501" t="s">
        <v>159</v>
      </c>
      <c r="K501">
        <v>7.7952559763538485E-3</v>
      </c>
      <c r="L501" t="s">
        <v>154</v>
      </c>
      <c r="N501" t="s">
        <v>206</v>
      </c>
      <c r="O501" t="s">
        <v>159</v>
      </c>
      <c r="P501">
        <v>9.4744182244926054E-4</v>
      </c>
      <c r="Q501" t="s">
        <v>154</v>
      </c>
      <c r="S501" t="s">
        <v>230</v>
      </c>
      <c r="T501" t="s">
        <v>159</v>
      </c>
      <c r="U501">
        <v>1.3747078080791177E-3</v>
      </c>
      <c r="V501" t="s">
        <v>154</v>
      </c>
    </row>
    <row r="502" spans="9:22" x14ac:dyDescent="0.45">
      <c r="I502" t="s">
        <v>177</v>
      </c>
      <c r="J502" t="s">
        <v>258</v>
      </c>
      <c r="K502">
        <v>4.8609239871735432E-2</v>
      </c>
      <c r="L502" t="s">
        <v>154</v>
      </c>
      <c r="N502" t="s">
        <v>206</v>
      </c>
      <c r="O502" t="s">
        <v>258</v>
      </c>
      <c r="P502">
        <v>6.2891407111280882E-3</v>
      </c>
      <c r="Q502" t="s">
        <v>154</v>
      </c>
      <c r="S502" t="s">
        <v>230</v>
      </c>
      <c r="T502" t="s">
        <v>258</v>
      </c>
      <c r="U502">
        <v>1.0576914479442218E-2</v>
      </c>
      <c r="V502" t="s">
        <v>154</v>
      </c>
    </row>
    <row r="503" spans="9:22" x14ac:dyDescent="0.45">
      <c r="I503" t="s">
        <v>177</v>
      </c>
      <c r="J503" t="s">
        <v>259</v>
      </c>
      <c r="K503">
        <v>5.0171910342860651E-3</v>
      </c>
      <c r="L503" t="s">
        <v>154</v>
      </c>
      <c r="N503" t="s">
        <v>206</v>
      </c>
      <c r="O503" t="s">
        <v>259</v>
      </c>
      <c r="P503">
        <v>8.2644207761951329E-4</v>
      </c>
      <c r="Q503" t="s">
        <v>154</v>
      </c>
      <c r="S503" t="s">
        <v>230</v>
      </c>
      <c r="T503" t="s">
        <v>259</v>
      </c>
      <c r="U503">
        <v>1.7800029264724725E-3</v>
      </c>
      <c r="V503" t="s">
        <v>154</v>
      </c>
    </row>
    <row r="504" spans="9:22" x14ac:dyDescent="0.45">
      <c r="I504" t="s">
        <v>177</v>
      </c>
      <c r="J504" t="s">
        <v>260</v>
      </c>
      <c r="K504">
        <v>3.1572873003100324E-3</v>
      </c>
      <c r="L504" t="s">
        <v>154</v>
      </c>
      <c r="N504" t="s">
        <v>206</v>
      </c>
      <c r="O504" t="s">
        <v>260</v>
      </c>
      <c r="P504">
        <v>5.384230357210882E-4</v>
      </c>
      <c r="Q504" t="s">
        <v>154</v>
      </c>
      <c r="S504" t="s">
        <v>230</v>
      </c>
      <c r="T504" t="s">
        <v>260</v>
      </c>
      <c r="U504">
        <v>1.6629840031549584E-3</v>
      </c>
      <c r="V504" t="s">
        <v>154</v>
      </c>
    </row>
    <row r="505" spans="9:22" x14ac:dyDescent="0.45">
      <c r="I505" t="s">
        <v>177</v>
      </c>
      <c r="J505" t="s">
        <v>284</v>
      </c>
      <c r="K505">
        <v>1.7436662858925031E-3</v>
      </c>
      <c r="L505" t="s">
        <v>154</v>
      </c>
      <c r="N505" t="s">
        <v>206</v>
      </c>
      <c r="O505" t="s">
        <v>284</v>
      </c>
      <c r="P505">
        <v>5.3826870707471188E-4</v>
      </c>
      <c r="Q505" t="s">
        <v>154</v>
      </c>
      <c r="S505" t="s">
        <v>230</v>
      </c>
      <c r="T505" t="s">
        <v>284</v>
      </c>
      <c r="U505">
        <v>1.5114433487681724E-3</v>
      </c>
      <c r="V505" t="s">
        <v>154</v>
      </c>
    </row>
    <row r="506" spans="9:22" x14ac:dyDescent="0.45">
      <c r="I506" t="s">
        <v>177</v>
      </c>
      <c r="J506" t="s">
        <v>285</v>
      </c>
      <c r="K506">
        <v>0</v>
      </c>
      <c r="L506" t="s">
        <v>154</v>
      </c>
      <c r="N506" t="s">
        <v>206</v>
      </c>
      <c r="O506" t="s">
        <v>285</v>
      </c>
      <c r="P506">
        <v>2.5966078982222643E-3</v>
      </c>
      <c r="Q506" t="s">
        <v>154</v>
      </c>
      <c r="S506" t="s">
        <v>230</v>
      </c>
      <c r="T506" t="s">
        <v>285</v>
      </c>
      <c r="U506">
        <v>7.7939907913087752E-3</v>
      </c>
      <c r="V506" t="s">
        <v>154</v>
      </c>
    </row>
    <row r="507" spans="9:22" x14ac:dyDescent="0.45">
      <c r="I507" t="s">
        <v>177</v>
      </c>
      <c r="J507" t="s">
        <v>160</v>
      </c>
      <c r="K507">
        <v>3.0473255256510939E-4</v>
      </c>
      <c r="L507" t="s">
        <v>154</v>
      </c>
      <c r="N507" t="s">
        <v>206</v>
      </c>
      <c r="O507" t="s">
        <v>160</v>
      </c>
      <c r="P507">
        <v>3.8209211609645549E-2</v>
      </c>
      <c r="Q507" t="s">
        <v>154</v>
      </c>
      <c r="S507" t="s">
        <v>230</v>
      </c>
      <c r="T507" t="s">
        <v>160</v>
      </c>
      <c r="U507">
        <v>1.9773650205630433E-2</v>
      </c>
      <c r="V507" t="s">
        <v>154</v>
      </c>
    </row>
    <row r="508" spans="9:22" x14ac:dyDescent="0.45">
      <c r="I508" t="s">
        <v>177</v>
      </c>
      <c r="J508" t="s">
        <v>161</v>
      </c>
      <c r="K508">
        <v>9.7206092820621703E-3</v>
      </c>
      <c r="L508" t="s">
        <v>154</v>
      </c>
      <c r="N508" t="s">
        <v>206</v>
      </c>
      <c r="O508" t="s">
        <v>161</v>
      </c>
      <c r="P508">
        <v>1.0621687847012057E-2</v>
      </c>
      <c r="Q508" t="s">
        <v>154</v>
      </c>
      <c r="S508" t="s">
        <v>230</v>
      </c>
      <c r="T508" t="s">
        <v>161</v>
      </c>
      <c r="U508">
        <v>5.0755363321767387E-3</v>
      </c>
      <c r="V508" t="s">
        <v>154</v>
      </c>
    </row>
    <row r="509" spans="9:22" x14ac:dyDescent="0.45">
      <c r="I509" t="s">
        <v>177</v>
      </c>
      <c r="J509" t="s">
        <v>162</v>
      </c>
      <c r="K509">
        <v>8.4973405772615467E-3</v>
      </c>
      <c r="L509" t="s">
        <v>154</v>
      </c>
      <c r="N509" t="s">
        <v>206</v>
      </c>
      <c r="O509" t="s">
        <v>162</v>
      </c>
      <c r="P509">
        <v>7.3374631557764289E-3</v>
      </c>
      <c r="Q509" t="s">
        <v>154</v>
      </c>
      <c r="S509" t="s">
        <v>230</v>
      </c>
      <c r="T509" t="s">
        <v>162</v>
      </c>
      <c r="U509">
        <v>2.6710772852505359E-3</v>
      </c>
      <c r="V509" t="s">
        <v>154</v>
      </c>
    </row>
    <row r="510" spans="9:22" x14ac:dyDescent="0.45">
      <c r="I510" t="s">
        <v>177</v>
      </c>
      <c r="J510" t="s">
        <v>261</v>
      </c>
      <c r="K510">
        <v>5.3542656781707908E-2</v>
      </c>
      <c r="L510" t="s">
        <v>154</v>
      </c>
      <c r="N510" t="s">
        <v>206</v>
      </c>
      <c r="O510" t="s">
        <v>261</v>
      </c>
      <c r="P510">
        <v>5.30093745290331E-2</v>
      </c>
      <c r="Q510" t="s">
        <v>154</v>
      </c>
      <c r="S510" t="s">
        <v>230</v>
      </c>
      <c r="T510" t="s">
        <v>261</v>
      </c>
      <c r="U510">
        <v>1.7825939061434048E-2</v>
      </c>
      <c r="V510" t="s">
        <v>154</v>
      </c>
    </row>
    <row r="511" spans="9:22" x14ac:dyDescent="0.45">
      <c r="I511" t="s">
        <v>177</v>
      </c>
      <c r="J511" t="s">
        <v>262</v>
      </c>
      <c r="K511">
        <v>5.0172789673248184E-3</v>
      </c>
      <c r="L511" t="s">
        <v>154</v>
      </c>
      <c r="N511" t="s">
        <v>206</v>
      </c>
      <c r="O511" t="s">
        <v>262</v>
      </c>
      <c r="P511">
        <v>7.0701565862734284E-3</v>
      </c>
      <c r="Q511" t="s">
        <v>154</v>
      </c>
      <c r="S511" t="s">
        <v>230</v>
      </c>
      <c r="T511" t="s">
        <v>262</v>
      </c>
      <c r="U511">
        <v>3.2568838121285982E-3</v>
      </c>
      <c r="V511" t="s">
        <v>154</v>
      </c>
    </row>
    <row r="512" spans="9:22" x14ac:dyDescent="0.45">
      <c r="I512" t="s">
        <v>177</v>
      </c>
      <c r="J512" t="s">
        <v>263</v>
      </c>
      <c r="K512">
        <v>2.7976536991906813E-3</v>
      </c>
      <c r="L512" t="s">
        <v>154</v>
      </c>
      <c r="N512" t="s">
        <v>206</v>
      </c>
      <c r="O512" t="s">
        <v>263</v>
      </c>
      <c r="P512">
        <v>6.0210827265490497E-3</v>
      </c>
      <c r="Q512" t="s">
        <v>154</v>
      </c>
      <c r="S512" t="s">
        <v>230</v>
      </c>
      <c r="T512" t="s">
        <v>263</v>
      </c>
      <c r="U512">
        <v>3.323449633586086E-3</v>
      </c>
      <c r="V512" t="s">
        <v>154</v>
      </c>
    </row>
    <row r="513" spans="9:22" x14ac:dyDescent="0.45">
      <c r="I513" t="s">
        <v>177</v>
      </c>
      <c r="J513" t="s">
        <v>286</v>
      </c>
      <c r="K513">
        <v>0</v>
      </c>
      <c r="L513" t="s">
        <v>154</v>
      </c>
      <c r="N513" t="s">
        <v>206</v>
      </c>
      <c r="O513" t="s">
        <v>286</v>
      </c>
      <c r="P513">
        <v>5.3178135049329125E-3</v>
      </c>
      <c r="Q513" t="s">
        <v>154</v>
      </c>
      <c r="S513" t="s">
        <v>230</v>
      </c>
      <c r="T513" t="s">
        <v>286</v>
      </c>
      <c r="U513">
        <v>3.2864729430345263E-3</v>
      </c>
      <c r="V513" t="s">
        <v>154</v>
      </c>
    </row>
    <row r="514" spans="9:22" x14ac:dyDescent="0.45">
      <c r="I514" t="s">
        <v>177</v>
      </c>
      <c r="J514" t="s">
        <v>287</v>
      </c>
      <c r="K514">
        <v>0</v>
      </c>
      <c r="L514" t="s">
        <v>154</v>
      </c>
      <c r="N514" t="s">
        <v>206</v>
      </c>
      <c r="O514" t="s">
        <v>287</v>
      </c>
      <c r="P514">
        <v>2.5097482753447885E-2</v>
      </c>
      <c r="Q514" t="s">
        <v>154</v>
      </c>
      <c r="S514" t="s">
        <v>230</v>
      </c>
      <c r="T514" t="s">
        <v>287</v>
      </c>
      <c r="U514">
        <v>1.6847578840342371E-2</v>
      </c>
      <c r="V514" t="s">
        <v>154</v>
      </c>
    </row>
    <row r="515" spans="9:22" x14ac:dyDescent="0.45">
      <c r="I515" t="s">
        <v>177</v>
      </c>
      <c r="J515" t="s">
        <v>163</v>
      </c>
      <c r="K515">
        <v>3.7282297719562279E-4</v>
      </c>
      <c r="L515" t="s">
        <v>154</v>
      </c>
      <c r="N515" t="s">
        <v>206</v>
      </c>
      <c r="O515" t="s">
        <v>163</v>
      </c>
      <c r="P515">
        <v>9.6441247159197371E-3</v>
      </c>
      <c r="Q515" t="s">
        <v>154</v>
      </c>
      <c r="S515" t="s">
        <v>230</v>
      </c>
      <c r="T515" t="s">
        <v>163</v>
      </c>
      <c r="U515">
        <v>3.0961085910512502E-2</v>
      </c>
      <c r="V515" t="s">
        <v>154</v>
      </c>
    </row>
    <row r="516" spans="9:22" x14ac:dyDescent="0.45">
      <c r="I516" t="s">
        <v>177</v>
      </c>
      <c r="J516" t="s">
        <v>164</v>
      </c>
      <c r="K516">
        <v>1.0059473834438597E-2</v>
      </c>
      <c r="L516" t="s">
        <v>154</v>
      </c>
      <c r="N516" t="s">
        <v>206</v>
      </c>
      <c r="O516" t="s">
        <v>164</v>
      </c>
      <c r="P516">
        <v>2.9903592986389735E-3</v>
      </c>
      <c r="Q516" t="s">
        <v>154</v>
      </c>
      <c r="S516" t="s">
        <v>230</v>
      </c>
      <c r="T516" t="s">
        <v>164</v>
      </c>
      <c r="U516">
        <v>8.088738787000475E-3</v>
      </c>
      <c r="V516" t="s">
        <v>154</v>
      </c>
    </row>
    <row r="517" spans="9:22" x14ac:dyDescent="0.45">
      <c r="I517" t="s">
        <v>177</v>
      </c>
      <c r="J517" t="s">
        <v>165</v>
      </c>
      <c r="K517">
        <v>7.2216103354458558E-3</v>
      </c>
      <c r="L517" t="s">
        <v>154</v>
      </c>
      <c r="N517" t="s">
        <v>206</v>
      </c>
      <c r="O517" t="s">
        <v>165</v>
      </c>
      <c r="P517">
        <v>1.9375434175786272E-3</v>
      </c>
      <c r="Q517" t="s">
        <v>154</v>
      </c>
      <c r="S517" t="s">
        <v>230</v>
      </c>
      <c r="T517" t="s">
        <v>165</v>
      </c>
      <c r="U517">
        <v>4.3761841075410117E-3</v>
      </c>
      <c r="V517" t="s">
        <v>154</v>
      </c>
    </row>
    <row r="518" spans="9:22" x14ac:dyDescent="0.45">
      <c r="I518" t="s">
        <v>177</v>
      </c>
      <c r="J518" t="s">
        <v>264</v>
      </c>
      <c r="K518">
        <v>4.2767353037859786E-2</v>
      </c>
      <c r="L518" t="s">
        <v>154</v>
      </c>
      <c r="N518" t="s">
        <v>206</v>
      </c>
      <c r="O518" t="s">
        <v>264</v>
      </c>
      <c r="P518">
        <v>1.3577613388688221E-2</v>
      </c>
      <c r="Q518" t="s">
        <v>154</v>
      </c>
      <c r="S518" t="s">
        <v>230</v>
      </c>
      <c r="T518" t="s">
        <v>264</v>
      </c>
      <c r="U518">
        <v>2.909151017895386E-2</v>
      </c>
      <c r="V518" t="s">
        <v>154</v>
      </c>
    </row>
    <row r="519" spans="9:22" x14ac:dyDescent="0.45">
      <c r="I519" t="s">
        <v>177</v>
      </c>
      <c r="J519" t="s">
        <v>265</v>
      </c>
      <c r="K519">
        <v>4.2976538122873921E-3</v>
      </c>
      <c r="L519" t="s">
        <v>154</v>
      </c>
      <c r="N519" t="s">
        <v>206</v>
      </c>
      <c r="O519" t="s">
        <v>265</v>
      </c>
      <c r="P519">
        <v>2.1568070325143456E-3</v>
      </c>
      <c r="Q519" t="s">
        <v>154</v>
      </c>
      <c r="S519" t="s">
        <v>230</v>
      </c>
      <c r="T519" t="s">
        <v>265</v>
      </c>
      <c r="U519">
        <v>5.1902294067062418E-3</v>
      </c>
      <c r="V519" t="s">
        <v>154</v>
      </c>
    </row>
    <row r="520" spans="9:22" x14ac:dyDescent="0.45">
      <c r="I520" t="s">
        <v>177</v>
      </c>
      <c r="J520" t="s">
        <v>266</v>
      </c>
      <c r="K520">
        <v>2.2836125011761305E-3</v>
      </c>
      <c r="L520" t="s">
        <v>154</v>
      </c>
      <c r="N520" t="s">
        <v>206</v>
      </c>
      <c r="O520" t="s">
        <v>266</v>
      </c>
      <c r="P520">
        <v>2.0968338702736585E-3</v>
      </c>
      <c r="Q520" t="s">
        <v>154</v>
      </c>
      <c r="S520" t="s">
        <v>230</v>
      </c>
      <c r="T520" t="s">
        <v>266</v>
      </c>
      <c r="U520">
        <v>5.1808506658141025E-3</v>
      </c>
      <c r="V520" t="s">
        <v>154</v>
      </c>
    </row>
    <row r="521" spans="9:22" x14ac:dyDescent="0.45">
      <c r="I521" t="s">
        <v>177</v>
      </c>
      <c r="J521" t="s">
        <v>288</v>
      </c>
      <c r="K521">
        <v>0</v>
      </c>
      <c r="L521" t="s">
        <v>154</v>
      </c>
      <c r="N521" t="s">
        <v>206</v>
      </c>
      <c r="O521" t="s">
        <v>288</v>
      </c>
      <c r="P521">
        <v>1.4336886560588733E-3</v>
      </c>
      <c r="Q521" t="s">
        <v>154</v>
      </c>
      <c r="S521" t="s">
        <v>230</v>
      </c>
      <c r="T521" t="s">
        <v>288</v>
      </c>
      <c r="U521">
        <v>4.7149593173789438E-3</v>
      </c>
      <c r="V521" t="s">
        <v>154</v>
      </c>
    </row>
    <row r="522" spans="9:22" x14ac:dyDescent="0.45">
      <c r="I522" t="s">
        <v>177</v>
      </c>
      <c r="J522" t="s">
        <v>289</v>
      </c>
      <c r="K522">
        <v>0</v>
      </c>
      <c r="L522" t="s">
        <v>154</v>
      </c>
      <c r="N522" t="s">
        <v>206</v>
      </c>
      <c r="O522" t="s">
        <v>289</v>
      </c>
      <c r="P522">
        <v>7.091623830050635E-3</v>
      </c>
      <c r="Q522" t="s">
        <v>154</v>
      </c>
      <c r="S522" t="s">
        <v>230</v>
      </c>
      <c r="T522" t="s">
        <v>289</v>
      </c>
      <c r="U522">
        <v>2.3753785742881336E-2</v>
      </c>
      <c r="V522" t="s">
        <v>154</v>
      </c>
    </row>
    <row r="523" spans="9:22" x14ac:dyDescent="0.45">
      <c r="I523" t="s">
        <v>177</v>
      </c>
      <c r="J523" t="s">
        <v>272</v>
      </c>
      <c r="K523">
        <v>0</v>
      </c>
      <c r="L523" t="s">
        <v>154</v>
      </c>
      <c r="N523" t="s">
        <v>206</v>
      </c>
      <c r="O523" t="s">
        <v>272</v>
      </c>
      <c r="P523">
        <v>3.8169500857705443E-2</v>
      </c>
      <c r="Q523" t="s">
        <v>154</v>
      </c>
      <c r="S523" t="s">
        <v>230</v>
      </c>
      <c r="T523" t="s">
        <v>272</v>
      </c>
      <c r="U523">
        <v>7.4418936931473834E-2</v>
      </c>
      <c r="V523" t="s">
        <v>154</v>
      </c>
    </row>
    <row r="524" spans="9:22" x14ac:dyDescent="0.45">
      <c r="I524" t="s">
        <v>177</v>
      </c>
      <c r="J524" t="s">
        <v>273</v>
      </c>
      <c r="K524">
        <v>1.7713040842321743E-2</v>
      </c>
      <c r="L524" t="s">
        <v>154</v>
      </c>
      <c r="N524" t="s">
        <v>206</v>
      </c>
      <c r="O524" t="s">
        <v>273</v>
      </c>
      <c r="P524">
        <v>1.0686842174288667E-2</v>
      </c>
      <c r="Q524" t="s">
        <v>154</v>
      </c>
      <c r="S524" t="s">
        <v>230</v>
      </c>
      <c r="T524" t="s">
        <v>273</v>
      </c>
      <c r="U524">
        <v>1.9844875040375229E-2</v>
      </c>
      <c r="V524" t="s">
        <v>154</v>
      </c>
    </row>
    <row r="525" spans="9:22" x14ac:dyDescent="0.45">
      <c r="I525" t="s">
        <v>177</v>
      </c>
      <c r="J525" t="s">
        <v>274</v>
      </c>
      <c r="K525">
        <v>1.4291762430317099E-2</v>
      </c>
      <c r="L525" t="s">
        <v>154</v>
      </c>
      <c r="N525" t="s">
        <v>206</v>
      </c>
      <c r="O525" t="s">
        <v>274</v>
      </c>
      <c r="P525">
        <v>7.7696510065157149E-3</v>
      </c>
      <c r="Q525" t="s">
        <v>154</v>
      </c>
      <c r="S525" t="s">
        <v>230</v>
      </c>
      <c r="T525" t="s">
        <v>274</v>
      </c>
      <c r="U525">
        <v>1.0413716988963401E-2</v>
      </c>
      <c r="V525" t="s">
        <v>154</v>
      </c>
    </row>
    <row r="526" spans="9:22" x14ac:dyDescent="0.45">
      <c r="I526" t="s">
        <v>177</v>
      </c>
      <c r="J526" t="s">
        <v>275</v>
      </c>
      <c r="K526">
        <v>9.1314669487107147E-2</v>
      </c>
      <c r="L526" t="s">
        <v>154</v>
      </c>
      <c r="N526" t="s">
        <v>206</v>
      </c>
      <c r="O526" t="s">
        <v>275</v>
      </c>
      <c r="P526">
        <v>4.845281382970635E-2</v>
      </c>
      <c r="Q526" t="s">
        <v>154</v>
      </c>
      <c r="S526" t="s">
        <v>230</v>
      </c>
      <c r="T526" t="s">
        <v>275</v>
      </c>
      <c r="U526">
        <v>6.6158836891347828E-2</v>
      </c>
      <c r="V526" t="s">
        <v>154</v>
      </c>
    </row>
    <row r="527" spans="9:22" x14ac:dyDescent="0.45">
      <c r="I527" t="s">
        <v>177</v>
      </c>
      <c r="J527" t="s">
        <v>276</v>
      </c>
      <c r="K527">
        <v>1.0339081760334011E-2</v>
      </c>
      <c r="L527" t="s">
        <v>154</v>
      </c>
      <c r="N527" t="s">
        <v>206</v>
      </c>
      <c r="O527" t="s">
        <v>276</v>
      </c>
      <c r="P527">
        <v>7.9364490715388009E-3</v>
      </c>
      <c r="Q527" t="s">
        <v>154</v>
      </c>
      <c r="S527" t="s">
        <v>230</v>
      </c>
      <c r="T527" t="s">
        <v>276</v>
      </c>
      <c r="U527">
        <v>1.1766051253007332E-2</v>
      </c>
      <c r="V527" t="s">
        <v>154</v>
      </c>
    </row>
    <row r="528" spans="9:22" x14ac:dyDescent="0.45">
      <c r="I528" t="s">
        <v>177</v>
      </c>
      <c r="J528" t="s">
        <v>277</v>
      </c>
      <c r="K528">
        <v>6.5539688273951379E-3</v>
      </c>
      <c r="L528" t="s">
        <v>154</v>
      </c>
      <c r="N528" t="s">
        <v>206</v>
      </c>
      <c r="O528" t="s">
        <v>277</v>
      </c>
      <c r="P528">
        <v>7.6631869519803251E-3</v>
      </c>
      <c r="Q528" t="s">
        <v>154</v>
      </c>
      <c r="S528" t="s">
        <v>230</v>
      </c>
      <c r="T528" t="s">
        <v>277</v>
      </c>
      <c r="U528">
        <v>1.1913456770321327E-2</v>
      </c>
      <c r="V528" t="s">
        <v>154</v>
      </c>
    </row>
    <row r="529" spans="9:22" x14ac:dyDescent="0.45">
      <c r="I529" t="s">
        <v>177</v>
      </c>
      <c r="J529" t="s">
        <v>290</v>
      </c>
      <c r="K529">
        <v>0</v>
      </c>
      <c r="L529" t="s">
        <v>154</v>
      </c>
      <c r="N529" t="s">
        <v>206</v>
      </c>
      <c r="O529" t="s">
        <v>290</v>
      </c>
      <c r="P529">
        <v>5.3979721569227118E-3</v>
      </c>
      <c r="Q529" t="s">
        <v>154</v>
      </c>
      <c r="S529" t="s">
        <v>230</v>
      </c>
      <c r="T529" t="s">
        <v>290</v>
      </c>
      <c r="U529">
        <v>1.1002441880312724E-2</v>
      </c>
      <c r="V529" t="s">
        <v>154</v>
      </c>
    </row>
    <row r="530" spans="9:22" x14ac:dyDescent="0.45">
      <c r="I530" t="s">
        <v>177</v>
      </c>
      <c r="J530" t="s">
        <v>291</v>
      </c>
      <c r="K530">
        <v>0</v>
      </c>
      <c r="L530" t="s">
        <v>154</v>
      </c>
      <c r="N530" t="s">
        <v>206</v>
      </c>
      <c r="O530" t="s">
        <v>291</v>
      </c>
      <c r="P530">
        <v>2.9378820414635937E-2</v>
      </c>
      <c r="Q530" t="s">
        <v>154</v>
      </c>
      <c r="S530" t="s">
        <v>230</v>
      </c>
      <c r="T530" t="s">
        <v>291</v>
      </c>
      <c r="U530">
        <v>5.5489446019809541E-2</v>
      </c>
      <c r="V530" t="s">
        <v>154</v>
      </c>
    </row>
    <row r="531" spans="9:22" x14ac:dyDescent="0.45">
      <c r="I531" t="s">
        <v>178</v>
      </c>
      <c r="J531" t="s">
        <v>153</v>
      </c>
      <c r="K531">
        <v>2.5126713502618297E-3</v>
      </c>
      <c r="L531" t="s">
        <v>154</v>
      </c>
      <c r="N531" t="s">
        <v>207</v>
      </c>
      <c r="O531" t="s">
        <v>153</v>
      </c>
      <c r="P531">
        <v>0.17647944139251392</v>
      </c>
      <c r="Q531" t="s">
        <v>154</v>
      </c>
      <c r="S531" t="s">
        <v>231</v>
      </c>
      <c r="T531" t="s">
        <v>153</v>
      </c>
      <c r="U531">
        <v>0.16238858373148804</v>
      </c>
      <c r="V531" t="s">
        <v>154</v>
      </c>
    </row>
    <row r="532" spans="9:22" x14ac:dyDescent="0.45">
      <c r="I532" t="s">
        <v>178</v>
      </c>
      <c r="J532" t="s">
        <v>155</v>
      </c>
      <c r="K532">
        <v>7.873135617801251E-2</v>
      </c>
      <c r="L532" t="s">
        <v>154</v>
      </c>
      <c r="N532" t="s">
        <v>207</v>
      </c>
      <c r="O532" t="s">
        <v>155</v>
      </c>
      <c r="P532">
        <v>5.0330266672934734E-2</v>
      </c>
      <c r="Q532" t="s">
        <v>154</v>
      </c>
      <c r="S532" t="s">
        <v>231</v>
      </c>
      <c r="T532" t="s">
        <v>155</v>
      </c>
      <c r="U532">
        <v>3.9581726003518711E-2</v>
      </c>
      <c r="V532" t="s">
        <v>154</v>
      </c>
    </row>
    <row r="533" spans="9:22" x14ac:dyDescent="0.45">
      <c r="I533" t="s">
        <v>178</v>
      </c>
      <c r="J533" t="s">
        <v>156</v>
      </c>
      <c r="K533">
        <v>6.4116330390152659E-2</v>
      </c>
      <c r="L533" t="s">
        <v>154</v>
      </c>
      <c r="N533" t="s">
        <v>207</v>
      </c>
      <c r="O533" t="s">
        <v>156</v>
      </c>
      <c r="P533">
        <v>2.7632742749289174E-2</v>
      </c>
      <c r="Q533" t="s">
        <v>154</v>
      </c>
      <c r="S533" t="s">
        <v>231</v>
      </c>
      <c r="T533" t="s">
        <v>156</v>
      </c>
      <c r="U533">
        <v>2.1475150920930882E-2</v>
      </c>
      <c r="V533" t="s">
        <v>154</v>
      </c>
    </row>
    <row r="534" spans="9:22" x14ac:dyDescent="0.45">
      <c r="I534" t="s">
        <v>178</v>
      </c>
      <c r="J534" t="s">
        <v>255</v>
      </c>
      <c r="K534">
        <v>0.41243360717084526</v>
      </c>
      <c r="L534" t="s">
        <v>154</v>
      </c>
      <c r="N534" t="s">
        <v>207</v>
      </c>
      <c r="O534" t="s">
        <v>255</v>
      </c>
      <c r="P534">
        <v>0.16415779655882654</v>
      </c>
      <c r="Q534" t="s">
        <v>154</v>
      </c>
      <c r="S534" t="s">
        <v>231</v>
      </c>
      <c r="T534" t="s">
        <v>255</v>
      </c>
      <c r="U534">
        <v>0.1399155257207792</v>
      </c>
      <c r="V534" t="s">
        <v>154</v>
      </c>
    </row>
    <row r="535" spans="9:22" x14ac:dyDescent="0.45">
      <c r="I535" t="s">
        <v>178</v>
      </c>
      <c r="J535" t="s">
        <v>256</v>
      </c>
      <c r="K535">
        <v>3.8777631735483827E-2</v>
      </c>
      <c r="L535" t="s">
        <v>154</v>
      </c>
      <c r="N535" t="s">
        <v>207</v>
      </c>
      <c r="O535" t="s">
        <v>256</v>
      </c>
      <c r="P535">
        <v>2.7557927979949624E-2</v>
      </c>
      <c r="Q535" t="s">
        <v>154</v>
      </c>
      <c r="S535" t="s">
        <v>231</v>
      </c>
      <c r="T535" t="s">
        <v>256</v>
      </c>
      <c r="U535">
        <v>2.5798228742355614E-2</v>
      </c>
      <c r="V535" t="s">
        <v>154</v>
      </c>
    </row>
    <row r="536" spans="9:22" x14ac:dyDescent="0.45">
      <c r="I536" t="s">
        <v>178</v>
      </c>
      <c r="J536" t="s">
        <v>257</v>
      </c>
      <c r="K536">
        <v>2.5555472240029457E-2</v>
      </c>
      <c r="L536" t="s">
        <v>154</v>
      </c>
      <c r="N536" t="s">
        <v>207</v>
      </c>
      <c r="O536" t="s">
        <v>257</v>
      </c>
      <c r="P536">
        <v>2.7704057833592248E-2</v>
      </c>
      <c r="Q536" t="s">
        <v>154</v>
      </c>
      <c r="S536" t="s">
        <v>231</v>
      </c>
      <c r="T536" t="s">
        <v>257</v>
      </c>
      <c r="U536">
        <v>2.6562158166467124E-2</v>
      </c>
      <c r="V536" t="s">
        <v>154</v>
      </c>
    </row>
    <row r="537" spans="9:22" x14ac:dyDescent="0.45">
      <c r="I537" t="s">
        <v>178</v>
      </c>
      <c r="J537" t="s">
        <v>282</v>
      </c>
      <c r="K537">
        <v>1.4379435880442945E-2</v>
      </c>
      <c r="L537" t="s">
        <v>154</v>
      </c>
      <c r="N537" t="s">
        <v>207</v>
      </c>
      <c r="O537" t="s">
        <v>282</v>
      </c>
      <c r="P537">
        <v>2.4609680594247587E-2</v>
      </c>
      <c r="Q537" t="s">
        <v>154</v>
      </c>
      <c r="S537" t="s">
        <v>231</v>
      </c>
      <c r="T537" t="s">
        <v>282</v>
      </c>
      <c r="U537">
        <v>2.3328367803727056E-2</v>
      </c>
      <c r="V537" t="s">
        <v>154</v>
      </c>
    </row>
    <row r="538" spans="9:22" x14ac:dyDescent="0.45">
      <c r="I538" t="s">
        <v>178</v>
      </c>
      <c r="J538" t="s">
        <v>283</v>
      </c>
      <c r="K538">
        <v>0</v>
      </c>
      <c r="L538" t="s">
        <v>154</v>
      </c>
      <c r="N538" t="s">
        <v>207</v>
      </c>
      <c r="O538" t="s">
        <v>283</v>
      </c>
      <c r="P538">
        <v>0.13737899005093174</v>
      </c>
      <c r="Q538" t="s">
        <v>154</v>
      </c>
      <c r="S538" t="s">
        <v>231</v>
      </c>
      <c r="T538" t="s">
        <v>283</v>
      </c>
      <c r="U538">
        <v>0.12878670411600315</v>
      </c>
      <c r="V538" t="s">
        <v>154</v>
      </c>
    </row>
    <row r="539" spans="9:22" x14ac:dyDescent="0.45">
      <c r="I539" t="s">
        <v>178</v>
      </c>
      <c r="J539" t="s">
        <v>157</v>
      </c>
      <c r="K539">
        <v>0</v>
      </c>
      <c r="L539" t="s">
        <v>154</v>
      </c>
      <c r="N539" t="s">
        <v>207</v>
      </c>
      <c r="O539" t="s">
        <v>157</v>
      </c>
      <c r="P539">
        <v>7.870390372082656E-3</v>
      </c>
      <c r="Q539" t="s">
        <v>154</v>
      </c>
      <c r="S539" t="s">
        <v>231</v>
      </c>
      <c r="T539" t="s">
        <v>157</v>
      </c>
      <c r="U539">
        <v>7.80269992576243E-3</v>
      </c>
      <c r="V539" t="s">
        <v>154</v>
      </c>
    </row>
    <row r="540" spans="9:22" x14ac:dyDescent="0.45">
      <c r="I540" t="s">
        <v>178</v>
      </c>
      <c r="J540" t="s">
        <v>158</v>
      </c>
      <c r="K540">
        <v>1.0606906622566517E-2</v>
      </c>
      <c r="L540" t="s">
        <v>154</v>
      </c>
      <c r="N540" t="s">
        <v>207</v>
      </c>
      <c r="O540" t="s">
        <v>158</v>
      </c>
      <c r="P540">
        <v>1.8718683992195661E-3</v>
      </c>
      <c r="Q540" t="s">
        <v>154</v>
      </c>
      <c r="S540" t="s">
        <v>231</v>
      </c>
      <c r="T540" t="s">
        <v>158</v>
      </c>
      <c r="U540">
        <v>1.9887916667736482E-3</v>
      </c>
      <c r="V540" t="s">
        <v>154</v>
      </c>
    </row>
    <row r="541" spans="9:22" x14ac:dyDescent="0.45">
      <c r="I541" t="s">
        <v>178</v>
      </c>
      <c r="J541" t="s">
        <v>159</v>
      </c>
      <c r="K541">
        <v>7.7924935748303007E-3</v>
      </c>
      <c r="L541" t="s">
        <v>154</v>
      </c>
      <c r="N541" t="s">
        <v>207</v>
      </c>
      <c r="O541" t="s">
        <v>159</v>
      </c>
      <c r="P541">
        <v>9.0171549329217315E-4</v>
      </c>
      <c r="Q541" t="s">
        <v>154</v>
      </c>
      <c r="S541" t="s">
        <v>231</v>
      </c>
      <c r="T541" t="s">
        <v>159</v>
      </c>
      <c r="U541">
        <v>1.1039726715761707E-3</v>
      </c>
      <c r="V541" t="s">
        <v>154</v>
      </c>
    </row>
    <row r="542" spans="9:22" x14ac:dyDescent="0.45">
      <c r="I542" t="s">
        <v>178</v>
      </c>
      <c r="J542" t="s">
        <v>258</v>
      </c>
      <c r="K542">
        <v>4.6691752754069532E-2</v>
      </c>
      <c r="L542" t="s">
        <v>154</v>
      </c>
      <c r="N542" t="s">
        <v>207</v>
      </c>
      <c r="O542" t="s">
        <v>258</v>
      </c>
      <c r="P542">
        <v>5.7905725113542019E-3</v>
      </c>
      <c r="Q542" t="s">
        <v>154</v>
      </c>
      <c r="S542" t="s">
        <v>231</v>
      </c>
      <c r="T542" t="s">
        <v>258</v>
      </c>
      <c r="U542">
        <v>7.2150196141768513E-3</v>
      </c>
      <c r="V542" t="s">
        <v>154</v>
      </c>
    </row>
    <row r="543" spans="9:22" x14ac:dyDescent="0.45">
      <c r="I543" t="s">
        <v>178</v>
      </c>
      <c r="J543" t="s">
        <v>259</v>
      </c>
      <c r="K543">
        <v>4.3375565152265413E-3</v>
      </c>
      <c r="L543" t="s">
        <v>154</v>
      </c>
      <c r="N543" t="s">
        <v>207</v>
      </c>
      <c r="O543" t="s">
        <v>259</v>
      </c>
      <c r="P543">
        <v>9.0796127154900679E-4</v>
      </c>
      <c r="Q543" t="s">
        <v>154</v>
      </c>
      <c r="S543" t="s">
        <v>231</v>
      </c>
      <c r="T543" t="s">
        <v>259</v>
      </c>
      <c r="U543">
        <v>1.3640720091987154E-3</v>
      </c>
      <c r="V543" t="s">
        <v>154</v>
      </c>
    </row>
    <row r="544" spans="9:22" x14ac:dyDescent="0.45">
      <c r="I544" t="s">
        <v>178</v>
      </c>
      <c r="J544" t="s">
        <v>260</v>
      </c>
      <c r="K544">
        <v>2.6966158453321232E-3</v>
      </c>
      <c r="L544" t="s">
        <v>154</v>
      </c>
      <c r="N544" t="s">
        <v>207</v>
      </c>
      <c r="O544" t="s">
        <v>260</v>
      </c>
      <c r="P544">
        <v>7.7516150836401865E-4</v>
      </c>
      <c r="Q544" t="s">
        <v>154</v>
      </c>
      <c r="S544" t="s">
        <v>231</v>
      </c>
      <c r="T544" t="s">
        <v>260</v>
      </c>
      <c r="U544">
        <v>1.4092611680226305E-3</v>
      </c>
      <c r="V544" t="s">
        <v>154</v>
      </c>
    </row>
    <row r="545" spans="9:22" x14ac:dyDescent="0.45">
      <c r="I545" t="s">
        <v>178</v>
      </c>
      <c r="J545" t="s">
        <v>284</v>
      </c>
      <c r="K545">
        <v>1.4559455103760025E-3</v>
      </c>
      <c r="L545" t="s">
        <v>154</v>
      </c>
      <c r="N545" t="s">
        <v>207</v>
      </c>
      <c r="O545" t="s">
        <v>284</v>
      </c>
      <c r="P545">
        <v>7.8685722817484975E-4</v>
      </c>
      <c r="Q545" t="s">
        <v>154</v>
      </c>
      <c r="S545" t="s">
        <v>231</v>
      </c>
      <c r="T545" t="s">
        <v>284</v>
      </c>
      <c r="U545">
        <v>1.5163832447860103E-3</v>
      </c>
      <c r="V545" t="s">
        <v>154</v>
      </c>
    </row>
    <row r="546" spans="9:22" x14ac:dyDescent="0.45">
      <c r="I546" t="s">
        <v>178</v>
      </c>
      <c r="J546" t="s">
        <v>285</v>
      </c>
      <c r="K546">
        <v>0</v>
      </c>
      <c r="L546" t="s">
        <v>154</v>
      </c>
      <c r="N546" t="s">
        <v>207</v>
      </c>
      <c r="O546" t="s">
        <v>285</v>
      </c>
      <c r="P546">
        <v>3.6538597564132664E-3</v>
      </c>
      <c r="Q546" t="s">
        <v>154</v>
      </c>
      <c r="S546" t="s">
        <v>231</v>
      </c>
      <c r="T546" t="s">
        <v>285</v>
      </c>
      <c r="U546">
        <v>6.8331701908437691E-3</v>
      </c>
      <c r="V546" t="s">
        <v>154</v>
      </c>
    </row>
    <row r="547" spans="9:22" x14ac:dyDescent="0.45">
      <c r="I547" t="s">
        <v>178</v>
      </c>
      <c r="J547" t="s">
        <v>160</v>
      </c>
      <c r="K547">
        <v>0</v>
      </c>
      <c r="L547" t="s">
        <v>154</v>
      </c>
      <c r="N547" t="s">
        <v>207</v>
      </c>
      <c r="O547" t="s">
        <v>160</v>
      </c>
      <c r="P547">
        <v>3.9258485383988594E-2</v>
      </c>
      <c r="Q547" t="s">
        <v>154</v>
      </c>
      <c r="S547" t="s">
        <v>231</v>
      </c>
      <c r="T547" t="s">
        <v>160</v>
      </c>
      <c r="U547">
        <v>1.9225907303894216E-2</v>
      </c>
      <c r="V547" t="s">
        <v>154</v>
      </c>
    </row>
    <row r="548" spans="9:22" x14ac:dyDescent="0.45">
      <c r="I548" t="s">
        <v>178</v>
      </c>
      <c r="J548" t="s">
        <v>161</v>
      </c>
      <c r="K548">
        <v>8.8854222437466761E-3</v>
      </c>
      <c r="L548" t="s">
        <v>154</v>
      </c>
      <c r="N548" t="s">
        <v>207</v>
      </c>
      <c r="O548" t="s">
        <v>161</v>
      </c>
      <c r="P548">
        <v>1.0581084191211929E-2</v>
      </c>
      <c r="Q548" t="s">
        <v>154</v>
      </c>
      <c r="S548" t="s">
        <v>231</v>
      </c>
      <c r="T548" t="s">
        <v>161</v>
      </c>
      <c r="U548">
        <v>5.560486235226092E-3</v>
      </c>
      <c r="V548" t="s">
        <v>154</v>
      </c>
    </row>
    <row r="549" spans="9:22" x14ac:dyDescent="0.45">
      <c r="I549" t="s">
        <v>178</v>
      </c>
      <c r="J549" t="s">
        <v>162</v>
      </c>
      <c r="K549">
        <v>7.8165368569086922E-3</v>
      </c>
      <c r="L549" t="s">
        <v>154</v>
      </c>
      <c r="N549" t="s">
        <v>207</v>
      </c>
      <c r="O549" t="s">
        <v>162</v>
      </c>
      <c r="P549">
        <v>5.7866519712530297E-3</v>
      </c>
      <c r="Q549" t="s">
        <v>154</v>
      </c>
      <c r="S549" t="s">
        <v>231</v>
      </c>
      <c r="T549" t="s">
        <v>162</v>
      </c>
      <c r="U549">
        <v>2.9061557291851304E-3</v>
      </c>
      <c r="V549" t="s">
        <v>154</v>
      </c>
    </row>
    <row r="550" spans="9:22" x14ac:dyDescent="0.45">
      <c r="I550" t="s">
        <v>178</v>
      </c>
      <c r="J550" t="s">
        <v>261</v>
      </c>
      <c r="K550">
        <v>5.1438429596368775E-2</v>
      </c>
      <c r="L550" t="s">
        <v>154</v>
      </c>
      <c r="N550" t="s">
        <v>207</v>
      </c>
      <c r="O550" t="s">
        <v>261</v>
      </c>
      <c r="P550">
        <v>3.7987906510137462E-2</v>
      </c>
      <c r="Q550" t="s">
        <v>154</v>
      </c>
      <c r="S550" t="s">
        <v>231</v>
      </c>
      <c r="T550" t="s">
        <v>261</v>
      </c>
      <c r="U550">
        <v>1.7603949620248905E-2</v>
      </c>
      <c r="V550" t="s">
        <v>154</v>
      </c>
    </row>
    <row r="551" spans="9:22" x14ac:dyDescent="0.45">
      <c r="I551" t="s">
        <v>178</v>
      </c>
      <c r="J551" t="s">
        <v>262</v>
      </c>
      <c r="K551">
        <v>4.5050365361914051E-3</v>
      </c>
      <c r="L551" t="s">
        <v>154</v>
      </c>
      <c r="N551" t="s">
        <v>207</v>
      </c>
      <c r="O551" t="s">
        <v>262</v>
      </c>
      <c r="P551">
        <v>6.1433873682972392E-3</v>
      </c>
      <c r="Q551" t="s">
        <v>154</v>
      </c>
      <c r="S551" t="s">
        <v>231</v>
      </c>
      <c r="T551" t="s">
        <v>262</v>
      </c>
      <c r="U551">
        <v>3.1267526069837142E-3</v>
      </c>
      <c r="V551" t="s">
        <v>154</v>
      </c>
    </row>
    <row r="552" spans="9:22" x14ac:dyDescent="0.45">
      <c r="I552" t="s">
        <v>178</v>
      </c>
      <c r="J552" t="s">
        <v>263</v>
      </c>
      <c r="K552">
        <v>2.5285441794224992E-3</v>
      </c>
      <c r="L552" t="s">
        <v>154</v>
      </c>
      <c r="N552" t="s">
        <v>207</v>
      </c>
      <c r="O552" t="s">
        <v>263</v>
      </c>
      <c r="P552">
        <v>5.816799548751389E-3</v>
      </c>
      <c r="Q552" t="s">
        <v>154</v>
      </c>
      <c r="S552" t="s">
        <v>231</v>
      </c>
      <c r="T552" t="s">
        <v>263</v>
      </c>
      <c r="U552">
        <v>3.1774165083910933E-3</v>
      </c>
      <c r="V552" t="s">
        <v>154</v>
      </c>
    </row>
    <row r="553" spans="9:22" x14ac:dyDescent="0.45">
      <c r="I553" t="s">
        <v>178</v>
      </c>
      <c r="J553" t="s">
        <v>286</v>
      </c>
      <c r="K553">
        <v>2.7691683411686557E-4</v>
      </c>
      <c r="L553" t="s">
        <v>154</v>
      </c>
      <c r="N553" t="s">
        <v>207</v>
      </c>
      <c r="O553" t="s">
        <v>286</v>
      </c>
      <c r="P553">
        <v>5.5950750376698114E-3</v>
      </c>
      <c r="Q553" t="s">
        <v>154</v>
      </c>
      <c r="S553" t="s">
        <v>231</v>
      </c>
      <c r="T553" t="s">
        <v>286</v>
      </c>
      <c r="U553">
        <v>2.8961099436541141E-3</v>
      </c>
      <c r="V553" t="s">
        <v>154</v>
      </c>
    </row>
    <row r="554" spans="9:22" x14ac:dyDescent="0.45">
      <c r="I554" t="s">
        <v>178</v>
      </c>
      <c r="J554" t="s">
        <v>287</v>
      </c>
      <c r="K554">
        <v>0</v>
      </c>
      <c r="L554" t="s">
        <v>154</v>
      </c>
      <c r="N554" t="s">
        <v>207</v>
      </c>
      <c r="O554" t="s">
        <v>287</v>
      </c>
      <c r="P554">
        <v>2.5770876926100743E-2</v>
      </c>
      <c r="Q554" t="s">
        <v>154</v>
      </c>
      <c r="S554" t="s">
        <v>231</v>
      </c>
      <c r="T554" t="s">
        <v>287</v>
      </c>
      <c r="U554">
        <v>1.5058089056650471E-2</v>
      </c>
      <c r="V554" t="s">
        <v>154</v>
      </c>
    </row>
    <row r="555" spans="9:22" x14ac:dyDescent="0.45">
      <c r="I555" t="s">
        <v>178</v>
      </c>
      <c r="J555" t="s">
        <v>163</v>
      </c>
      <c r="K555">
        <v>0</v>
      </c>
      <c r="L555" t="s">
        <v>154</v>
      </c>
      <c r="N555" t="s">
        <v>207</v>
      </c>
      <c r="O555" t="s">
        <v>163</v>
      </c>
      <c r="P555">
        <v>1.1679532818322418E-2</v>
      </c>
      <c r="Q555" t="s">
        <v>154</v>
      </c>
      <c r="S555" t="s">
        <v>231</v>
      </c>
      <c r="T555" t="s">
        <v>163</v>
      </c>
      <c r="U555">
        <v>2.7938027127031778E-2</v>
      </c>
      <c r="V555" t="s">
        <v>154</v>
      </c>
    </row>
    <row r="556" spans="9:22" x14ac:dyDescent="0.45">
      <c r="I556" t="s">
        <v>178</v>
      </c>
      <c r="J556" t="s">
        <v>164</v>
      </c>
      <c r="K556">
        <v>8.9252522361371097E-3</v>
      </c>
      <c r="L556" t="s">
        <v>154</v>
      </c>
      <c r="N556" t="s">
        <v>207</v>
      </c>
      <c r="O556" t="s">
        <v>164</v>
      </c>
      <c r="P556">
        <v>3.3291722342393307E-3</v>
      </c>
      <c r="Q556" t="s">
        <v>154</v>
      </c>
      <c r="S556" t="s">
        <v>231</v>
      </c>
      <c r="T556" t="s">
        <v>164</v>
      </c>
      <c r="U556">
        <v>7.5655419836189869E-3</v>
      </c>
      <c r="V556" t="s">
        <v>154</v>
      </c>
    </row>
    <row r="557" spans="9:22" x14ac:dyDescent="0.45">
      <c r="I557" t="s">
        <v>178</v>
      </c>
      <c r="J557" t="s">
        <v>165</v>
      </c>
      <c r="K557">
        <v>6.793259639845786E-3</v>
      </c>
      <c r="L557" t="s">
        <v>154</v>
      </c>
      <c r="N557" t="s">
        <v>207</v>
      </c>
      <c r="O557" t="s">
        <v>165</v>
      </c>
      <c r="P557">
        <v>1.907909514804292E-3</v>
      </c>
      <c r="Q557" t="s">
        <v>154</v>
      </c>
      <c r="S557" t="s">
        <v>231</v>
      </c>
      <c r="T557" t="s">
        <v>165</v>
      </c>
      <c r="U557">
        <v>4.0126833089725597E-3</v>
      </c>
      <c r="V557" t="s">
        <v>154</v>
      </c>
    </row>
    <row r="558" spans="9:22" x14ac:dyDescent="0.45">
      <c r="I558" t="s">
        <v>178</v>
      </c>
      <c r="J558" t="s">
        <v>264</v>
      </c>
      <c r="K558">
        <v>3.9275427573856089E-2</v>
      </c>
      <c r="L558" t="s">
        <v>154</v>
      </c>
      <c r="N558" t="s">
        <v>207</v>
      </c>
      <c r="O558" t="s">
        <v>264</v>
      </c>
      <c r="P558">
        <v>1.3279006851505381E-2</v>
      </c>
      <c r="Q558" t="s">
        <v>154</v>
      </c>
      <c r="S558" t="s">
        <v>231</v>
      </c>
      <c r="T558" t="s">
        <v>264</v>
      </c>
      <c r="U558">
        <v>2.4820390433291206E-2</v>
      </c>
      <c r="V558" t="s">
        <v>154</v>
      </c>
    </row>
    <row r="559" spans="9:22" x14ac:dyDescent="0.45">
      <c r="I559" t="s">
        <v>178</v>
      </c>
      <c r="J559" t="s">
        <v>265</v>
      </c>
      <c r="K559">
        <v>3.1794282387974438E-3</v>
      </c>
      <c r="L559" t="s">
        <v>154</v>
      </c>
      <c r="N559" t="s">
        <v>207</v>
      </c>
      <c r="O559" t="s">
        <v>265</v>
      </c>
      <c r="P559">
        <v>2.6214669220083961E-3</v>
      </c>
      <c r="Q559" t="s">
        <v>154</v>
      </c>
      <c r="S559" t="s">
        <v>231</v>
      </c>
      <c r="T559" t="s">
        <v>265</v>
      </c>
      <c r="U559">
        <v>4.323965394388847E-3</v>
      </c>
      <c r="V559" t="s">
        <v>154</v>
      </c>
    </row>
    <row r="560" spans="9:22" x14ac:dyDescent="0.45">
      <c r="I560" t="s">
        <v>178</v>
      </c>
      <c r="J560" t="s">
        <v>266</v>
      </c>
      <c r="K560">
        <v>1.8040795807540819E-3</v>
      </c>
      <c r="L560" t="s">
        <v>154</v>
      </c>
      <c r="N560" t="s">
        <v>207</v>
      </c>
      <c r="O560" t="s">
        <v>266</v>
      </c>
      <c r="P560">
        <v>2.6413727477868861E-3</v>
      </c>
      <c r="Q560" t="s">
        <v>154</v>
      </c>
      <c r="S560" t="s">
        <v>231</v>
      </c>
      <c r="T560" t="s">
        <v>266</v>
      </c>
      <c r="U560">
        <v>4.347855210275588E-3</v>
      </c>
      <c r="V560" t="s">
        <v>154</v>
      </c>
    </row>
    <row r="561" spans="9:22" x14ac:dyDescent="0.45">
      <c r="I561" t="s">
        <v>178</v>
      </c>
      <c r="J561" t="s">
        <v>288</v>
      </c>
      <c r="K561">
        <v>0</v>
      </c>
      <c r="L561" t="s">
        <v>154</v>
      </c>
      <c r="N561" t="s">
        <v>207</v>
      </c>
      <c r="O561" t="s">
        <v>288</v>
      </c>
      <c r="P561">
        <v>2.3250679099016572E-3</v>
      </c>
      <c r="Q561" t="s">
        <v>154</v>
      </c>
      <c r="S561" t="s">
        <v>231</v>
      </c>
      <c r="T561" t="s">
        <v>288</v>
      </c>
      <c r="U561">
        <v>3.7674778490538645E-3</v>
      </c>
      <c r="V561" t="s">
        <v>154</v>
      </c>
    </row>
    <row r="562" spans="9:22" x14ac:dyDescent="0.45">
      <c r="I562" t="s">
        <v>178</v>
      </c>
      <c r="J562" t="s">
        <v>289</v>
      </c>
      <c r="K562">
        <v>0</v>
      </c>
      <c r="L562" t="s">
        <v>154</v>
      </c>
      <c r="N562" t="s">
        <v>207</v>
      </c>
      <c r="O562" t="s">
        <v>289</v>
      </c>
      <c r="P562">
        <v>1.1618973625001198E-2</v>
      </c>
      <c r="Q562" t="s">
        <v>154</v>
      </c>
      <c r="S562" t="s">
        <v>231</v>
      </c>
      <c r="T562" t="s">
        <v>289</v>
      </c>
      <c r="U562">
        <v>2.0723133482542979E-2</v>
      </c>
      <c r="V562" t="s">
        <v>154</v>
      </c>
    </row>
    <row r="563" spans="9:22" x14ac:dyDescent="0.45">
      <c r="I563" t="s">
        <v>178</v>
      </c>
      <c r="J563" t="s">
        <v>272</v>
      </c>
      <c r="K563">
        <v>0</v>
      </c>
      <c r="L563" t="s">
        <v>154</v>
      </c>
      <c r="N563" t="s">
        <v>207</v>
      </c>
      <c r="O563" t="s">
        <v>272</v>
      </c>
      <c r="P563">
        <v>4.4063432670713734E-2</v>
      </c>
      <c r="Q563" t="s">
        <v>154</v>
      </c>
      <c r="S563" t="s">
        <v>231</v>
      </c>
      <c r="T563" t="s">
        <v>272</v>
      </c>
      <c r="U563">
        <v>6.9067324406064542E-2</v>
      </c>
      <c r="V563" t="s">
        <v>154</v>
      </c>
    </row>
    <row r="564" spans="9:22" x14ac:dyDescent="0.45">
      <c r="I564" t="s">
        <v>178</v>
      </c>
      <c r="J564" t="s">
        <v>273</v>
      </c>
      <c r="K564">
        <v>2.2030688872623057E-2</v>
      </c>
      <c r="L564" t="s">
        <v>154</v>
      </c>
      <c r="N564" t="s">
        <v>207</v>
      </c>
      <c r="O564" t="s">
        <v>273</v>
      </c>
      <c r="P564">
        <v>1.259591786675756E-2</v>
      </c>
      <c r="Q564" t="s">
        <v>154</v>
      </c>
      <c r="S564" t="s">
        <v>231</v>
      </c>
      <c r="T564" t="s">
        <v>273</v>
      </c>
      <c r="U564">
        <v>1.8297799909545186E-2</v>
      </c>
      <c r="V564" t="s">
        <v>154</v>
      </c>
    </row>
    <row r="565" spans="9:22" x14ac:dyDescent="0.45">
      <c r="I565" t="s">
        <v>178</v>
      </c>
      <c r="J565" t="s">
        <v>274</v>
      </c>
      <c r="K565">
        <v>1.7228197455175759E-2</v>
      </c>
      <c r="L565" t="s">
        <v>154</v>
      </c>
      <c r="N565" t="s">
        <v>207</v>
      </c>
      <c r="O565" t="s">
        <v>274</v>
      </c>
      <c r="P565">
        <v>7.1020907194651525E-3</v>
      </c>
      <c r="Q565" t="s">
        <v>154</v>
      </c>
      <c r="S565" t="s">
        <v>231</v>
      </c>
      <c r="T565" t="s">
        <v>274</v>
      </c>
      <c r="U565">
        <v>9.7934424390109208E-3</v>
      </c>
      <c r="V565" t="s">
        <v>154</v>
      </c>
    </row>
    <row r="566" spans="9:22" x14ac:dyDescent="0.45">
      <c r="I566" t="s">
        <v>178</v>
      </c>
      <c r="J566" t="s">
        <v>275</v>
      </c>
      <c r="K566">
        <v>9.8747777619017957E-2</v>
      </c>
      <c r="L566" t="s">
        <v>154</v>
      </c>
      <c r="N566" t="s">
        <v>207</v>
      </c>
      <c r="O566" t="s">
        <v>275</v>
      </c>
      <c r="P566">
        <v>3.9969755876963338E-2</v>
      </c>
      <c r="Q566" t="s">
        <v>154</v>
      </c>
      <c r="S566" t="s">
        <v>231</v>
      </c>
      <c r="T566" t="s">
        <v>275</v>
      </c>
      <c r="U566">
        <v>6.0629551449505853E-2</v>
      </c>
      <c r="V566" t="s">
        <v>154</v>
      </c>
    </row>
    <row r="567" spans="9:22" x14ac:dyDescent="0.45">
      <c r="I567" t="s">
        <v>178</v>
      </c>
      <c r="J567" t="s">
        <v>276</v>
      </c>
      <c r="K567">
        <v>9.9173119287288853E-3</v>
      </c>
      <c r="L567" t="s">
        <v>154</v>
      </c>
      <c r="N567" t="s">
        <v>207</v>
      </c>
      <c r="O567" t="s">
        <v>276</v>
      </c>
      <c r="P567">
        <v>6.6207872832798375E-3</v>
      </c>
      <c r="Q567" t="s">
        <v>154</v>
      </c>
      <c r="S567" t="s">
        <v>231</v>
      </c>
      <c r="T567" t="s">
        <v>276</v>
      </c>
      <c r="U567">
        <v>1.0311334653875886E-2</v>
      </c>
      <c r="V567" t="s">
        <v>154</v>
      </c>
    </row>
    <row r="568" spans="9:22" x14ac:dyDescent="0.45">
      <c r="I568" t="s">
        <v>178</v>
      </c>
      <c r="J568" t="s">
        <v>277</v>
      </c>
      <c r="K568">
        <v>6.5599148406828697E-3</v>
      </c>
      <c r="L568" t="s">
        <v>154</v>
      </c>
      <c r="N568" t="s">
        <v>207</v>
      </c>
      <c r="O568" t="s">
        <v>277</v>
      </c>
      <c r="P568">
        <v>6.819025300975036E-3</v>
      </c>
      <c r="Q568" t="s">
        <v>154</v>
      </c>
      <c r="S568" t="s">
        <v>231</v>
      </c>
      <c r="T568" t="s">
        <v>277</v>
      </c>
      <c r="U568">
        <v>1.0442765142939035E-2</v>
      </c>
      <c r="V568" t="s">
        <v>154</v>
      </c>
    </row>
    <row r="569" spans="9:22" x14ac:dyDescent="0.45">
      <c r="I569" t="s">
        <v>178</v>
      </c>
      <c r="J569" t="s">
        <v>290</v>
      </c>
      <c r="K569">
        <v>0</v>
      </c>
      <c r="L569" t="s">
        <v>154</v>
      </c>
      <c r="N569" t="s">
        <v>207</v>
      </c>
      <c r="O569" t="s">
        <v>290</v>
      </c>
      <c r="P569">
        <v>5.4313897014206403E-3</v>
      </c>
      <c r="Q569" t="s">
        <v>154</v>
      </c>
      <c r="S569" t="s">
        <v>231</v>
      </c>
      <c r="T569" t="s">
        <v>290</v>
      </c>
      <c r="U569">
        <v>8.6804385596197485E-3</v>
      </c>
      <c r="V569" t="s">
        <v>154</v>
      </c>
    </row>
    <row r="570" spans="9:22" x14ac:dyDescent="0.45">
      <c r="I570" t="s">
        <v>178</v>
      </c>
      <c r="J570" t="s">
        <v>291</v>
      </c>
      <c r="K570">
        <v>0</v>
      </c>
      <c r="L570" t="s">
        <v>154</v>
      </c>
      <c r="N570" t="s">
        <v>207</v>
      </c>
      <c r="O570" t="s">
        <v>291</v>
      </c>
      <c r="P570">
        <v>3.2645540646712816E-2</v>
      </c>
      <c r="Q570" t="s">
        <v>154</v>
      </c>
      <c r="S570" t="s">
        <v>231</v>
      </c>
      <c r="T570" t="s">
        <v>291</v>
      </c>
      <c r="U570">
        <v>4.8653585949617953E-2</v>
      </c>
      <c r="V570" t="s">
        <v>154</v>
      </c>
    </row>
    <row r="571" spans="9:22" x14ac:dyDescent="0.45">
      <c r="I571" t="s">
        <v>179</v>
      </c>
      <c r="J571" t="s">
        <v>153</v>
      </c>
      <c r="K571">
        <v>2.5622470437107782E-3</v>
      </c>
      <c r="L571" t="s">
        <v>154</v>
      </c>
      <c r="N571" t="s">
        <v>208</v>
      </c>
      <c r="O571" t="s">
        <v>153</v>
      </c>
      <c r="P571">
        <v>0.14600578450425247</v>
      </c>
      <c r="Q571" t="s">
        <v>154</v>
      </c>
      <c r="S571" t="s">
        <v>232</v>
      </c>
      <c r="T571" t="s">
        <v>153</v>
      </c>
      <c r="U571">
        <v>0.16105257945714813</v>
      </c>
      <c r="V571" t="s">
        <v>154</v>
      </c>
    </row>
    <row r="572" spans="9:22" x14ac:dyDescent="0.45">
      <c r="I572" t="s">
        <v>179</v>
      </c>
      <c r="J572" t="s">
        <v>155</v>
      </c>
      <c r="K572">
        <v>6.6008823878643999E-2</v>
      </c>
      <c r="L572" t="s">
        <v>154</v>
      </c>
      <c r="N572" t="s">
        <v>208</v>
      </c>
      <c r="O572" t="s">
        <v>155</v>
      </c>
      <c r="P572">
        <v>3.6122127015890543E-2</v>
      </c>
      <c r="Q572" t="s">
        <v>154</v>
      </c>
      <c r="S572" t="s">
        <v>232</v>
      </c>
      <c r="T572" t="s">
        <v>155</v>
      </c>
      <c r="U572">
        <v>4.5481411344762274E-2</v>
      </c>
      <c r="V572" t="s">
        <v>154</v>
      </c>
    </row>
    <row r="573" spans="9:22" x14ac:dyDescent="0.45">
      <c r="I573" t="s">
        <v>179</v>
      </c>
      <c r="J573" t="s">
        <v>156</v>
      </c>
      <c r="K573">
        <v>6.5323666565675051E-2</v>
      </c>
      <c r="L573" t="s">
        <v>154</v>
      </c>
      <c r="N573" t="s">
        <v>208</v>
      </c>
      <c r="O573" t="s">
        <v>156</v>
      </c>
      <c r="P573">
        <v>2.6843316229946148E-2</v>
      </c>
      <c r="Q573" t="s">
        <v>154</v>
      </c>
      <c r="S573" t="s">
        <v>232</v>
      </c>
      <c r="T573" t="s">
        <v>156</v>
      </c>
      <c r="U573">
        <v>2.4439649403277811E-2</v>
      </c>
      <c r="V573" t="s">
        <v>154</v>
      </c>
    </row>
    <row r="574" spans="9:22" x14ac:dyDescent="0.45">
      <c r="I574" t="s">
        <v>179</v>
      </c>
      <c r="J574" t="s">
        <v>255</v>
      </c>
      <c r="K574">
        <v>0.46828404464773438</v>
      </c>
      <c r="L574" t="s">
        <v>154</v>
      </c>
      <c r="N574" t="s">
        <v>208</v>
      </c>
      <c r="O574" t="s">
        <v>255</v>
      </c>
      <c r="P574">
        <v>0.20918646274117705</v>
      </c>
      <c r="Q574" t="s">
        <v>154</v>
      </c>
      <c r="S574" t="s">
        <v>232</v>
      </c>
      <c r="T574" t="s">
        <v>255</v>
      </c>
      <c r="U574">
        <v>0.14820322954987847</v>
      </c>
      <c r="V574" t="s">
        <v>154</v>
      </c>
    </row>
    <row r="575" spans="9:22" x14ac:dyDescent="0.45">
      <c r="I575" t="s">
        <v>179</v>
      </c>
      <c r="J575" t="s">
        <v>256</v>
      </c>
      <c r="K575">
        <v>5.0544604434165599E-2</v>
      </c>
      <c r="L575" t="s">
        <v>154</v>
      </c>
      <c r="N575" t="s">
        <v>208</v>
      </c>
      <c r="O575" t="s">
        <v>256</v>
      </c>
      <c r="P575">
        <v>3.6165145815407466E-2</v>
      </c>
      <c r="Q575" t="s">
        <v>154</v>
      </c>
      <c r="S575" t="s">
        <v>232</v>
      </c>
      <c r="T575" t="s">
        <v>256</v>
      </c>
      <c r="U575">
        <v>2.5575076518762715E-2</v>
      </c>
      <c r="V575" t="s">
        <v>154</v>
      </c>
    </row>
    <row r="576" spans="9:22" x14ac:dyDescent="0.45">
      <c r="I576" t="s">
        <v>179</v>
      </c>
      <c r="J576" t="s">
        <v>257</v>
      </c>
      <c r="K576">
        <v>3.4245806087265997E-2</v>
      </c>
      <c r="L576" t="s">
        <v>154</v>
      </c>
      <c r="N576" t="s">
        <v>208</v>
      </c>
      <c r="O576" t="s">
        <v>257</v>
      </c>
      <c r="P576">
        <v>3.4074265079668944E-2</v>
      </c>
      <c r="Q576" t="s">
        <v>154</v>
      </c>
      <c r="S576" t="s">
        <v>232</v>
      </c>
      <c r="T576" t="s">
        <v>257</v>
      </c>
      <c r="U576">
        <v>2.6343639125179737E-2</v>
      </c>
      <c r="V576" t="s">
        <v>154</v>
      </c>
    </row>
    <row r="577" spans="9:22" x14ac:dyDescent="0.45">
      <c r="I577" t="s">
        <v>179</v>
      </c>
      <c r="J577" t="s">
        <v>282</v>
      </c>
      <c r="K577">
        <v>1.8489967860125387E-2</v>
      </c>
      <c r="L577" t="s">
        <v>154</v>
      </c>
      <c r="N577" t="s">
        <v>208</v>
      </c>
      <c r="O577" t="s">
        <v>282</v>
      </c>
      <c r="P577">
        <v>2.4294735135350461E-2</v>
      </c>
      <c r="Q577" t="s">
        <v>154</v>
      </c>
      <c r="S577" t="s">
        <v>232</v>
      </c>
      <c r="T577" t="s">
        <v>282</v>
      </c>
      <c r="U577">
        <v>2.2944196339562083E-2</v>
      </c>
      <c r="V577" t="s">
        <v>154</v>
      </c>
    </row>
    <row r="578" spans="9:22" x14ac:dyDescent="0.45">
      <c r="I578" t="s">
        <v>179</v>
      </c>
      <c r="J578" t="s">
        <v>283</v>
      </c>
      <c r="K578">
        <v>0</v>
      </c>
      <c r="L578" t="s">
        <v>154</v>
      </c>
      <c r="N578" t="s">
        <v>208</v>
      </c>
      <c r="O578" t="s">
        <v>283</v>
      </c>
      <c r="P578">
        <v>0.11491907800231836</v>
      </c>
      <c r="Q578" t="s">
        <v>154</v>
      </c>
      <c r="S578" t="s">
        <v>232</v>
      </c>
      <c r="T578" t="s">
        <v>283</v>
      </c>
      <c r="U578">
        <v>0.12766752555272082</v>
      </c>
      <c r="V578" t="s">
        <v>154</v>
      </c>
    </row>
    <row r="579" spans="9:22" x14ac:dyDescent="0.45">
      <c r="I579" t="s">
        <v>179</v>
      </c>
      <c r="J579" t="s">
        <v>157</v>
      </c>
      <c r="K579">
        <v>0</v>
      </c>
      <c r="L579" t="s">
        <v>154</v>
      </c>
      <c r="N579" t="s">
        <v>208</v>
      </c>
      <c r="O579" t="s">
        <v>157</v>
      </c>
      <c r="P579">
        <v>6.0290692910531874E-3</v>
      </c>
      <c r="Q579" t="s">
        <v>154</v>
      </c>
      <c r="S579" t="s">
        <v>232</v>
      </c>
      <c r="T579" t="s">
        <v>157</v>
      </c>
      <c r="U579">
        <v>6.9348797756670546E-3</v>
      </c>
      <c r="V579" t="s">
        <v>154</v>
      </c>
    </row>
    <row r="580" spans="9:22" x14ac:dyDescent="0.45">
      <c r="I580" t="s">
        <v>179</v>
      </c>
      <c r="J580" t="s">
        <v>158</v>
      </c>
      <c r="K580">
        <v>6.1573795481776328E-3</v>
      </c>
      <c r="L580" t="s">
        <v>154</v>
      </c>
      <c r="N580" t="s">
        <v>208</v>
      </c>
      <c r="O580" t="s">
        <v>158</v>
      </c>
      <c r="P580">
        <v>1.5894496132808115E-3</v>
      </c>
      <c r="Q580" t="s">
        <v>154</v>
      </c>
      <c r="S580" t="s">
        <v>232</v>
      </c>
      <c r="T580" t="s">
        <v>158</v>
      </c>
      <c r="U580">
        <v>1.6449325091181218E-3</v>
      </c>
      <c r="V580" t="s">
        <v>154</v>
      </c>
    </row>
    <row r="581" spans="9:22" x14ac:dyDescent="0.45">
      <c r="I581" t="s">
        <v>179</v>
      </c>
      <c r="J581" t="s">
        <v>159</v>
      </c>
      <c r="K581">
        <v>5.9210163803662856E-3</v>
      </c>
      <c r="L581" t="s">
        <v>154</v>
      </c>
      <c r="N581" t="s">
        <v>208</v>
      </c>
      <c r="O581" t="s">
        <v>159</v>
      </c>
      <c r="P581">
        <v>8.8305800775879788E-4</v>
      </c>
      <c r="Q581" t="s">
        <v>154</v>
      </c>
      <c r="S581" t="s">
        <v>232</v>
      </c>
      <c r="T581" t="s">
        <v>159</v>
      </c>
      <c r="U581">
        <v>8.1731321164548983E-4</v>
      </c>
      <c r="V581" t="s">
        <v>154</v>
      </c>
    </row>
    <row r="582" spans="9:22" x14ac:dyDescent="0.45">
      <c r="I582" t="s">
        <v>179</v>
      </c>
      <c r="J582" t="s">
        <v>258</v>
      </c>
      <c r="K582">
        <v>4.1835276103797107E-2</v>
      </c>
      <c r="L582" t="s">
        <v>154</v>
      </c>
      <c r="N582" t="s">
        <v>208</v>
      </c>
      <c r="O582" t="s">
        <v>258</v>
      </c>
      <c r="P582">
        <v>9.4451851047168359E-3</v>
      </c>
      <c r="Q582" t="s">
        <v>154</v>
      </c>
      <c r="S582" t="s">
        <v>232</v>
      </c>
      <c r="T582" t="s">
        <v>258</v>
      </c>
      <c r="U582">
        <v>5.3155702232497793E-3</v>
      </c>
      <c r="V582" t="s">
        <v>154</v>
      </c>
    </row>
    <row r="583" spans="9:22" x14ac:dyDescent="0.45">
      <c r="I583" t="s">
        <v>179</v>
      </c>
      <c r="J583" t="s">
        <v>259</v>
      </c>
      <c r="K583">
        <v>3.9556340402620181E-3</v>
      </c>
      <c r="L583" t="s">
        <v>154</v>
      </c>
      <c r="N583" t="s">
        <v>208</v>
      </c>
      <c r="O583" t="s">
        <v>259</v>
      </c>
      <c r="P583">
        <v>1.8848507839091997E-3</v>
      </c>
      <c r="Q583" t="s">
        <v>154</v>
      </c>
      <c r="S583" t="s">
        <v>232</v>
      </c>
      <c r="T583" t="s">
        <v>259</v>
      </c>
      <c r="U583">
        <v>1.0678340048403609E-3</v>
      </c>
      <c r="V583" t="s">
        <v>154</v>
      </c>
    </row>
    <row r="584" spans="9:22" x14ac:dyDescent="0.45">
      <c r="I584" t="s">
        <v>179</v>
      </c>
      <c r="J584" t="s">
        <v>260</v>
      </c>
      <c r="K584">
        <v>2.2548111651423857E-3</v>
      </c>
      <c r="L584" t="s">
        <v>154</v>
      </c>
      <c r="N584" t="s">
        <v>208</v>
      </c>
      <c r="O584" t="s">
        <v>260</v>
      </c>
      <c r="P584">
        <v>1.7264901832246911E-3</v>
      </c>
      <c r="Q584" t="s">
        <v>154</v>
      </c>
      <c r="S584" t="s">
        <v>232</v>
      </c>
      <c r="T584" t="s">
        <v>260</v>
      </c>
      <c r="U584">
        <v>1.0843696202668947E-3</v>
      </c>
      <c r="V584" t="s">
        <v>154</v>
      </c>
    </row>
    <row r="585" spans="9:22" x14ac:dyDescent="0.45">
      <c r="I585" t="s">
        <v>179</v>
      </c>
      <c r="J585" t="s">
        <v>284</v>
      </c>
      <c r="K585">
        <v>9.5449803206559261E-4</v>
      </c>
      <c r="L585" t="s">
        <v>154</v>
      </c>
      <c r="N585" t="s">
        <v>208</v>
      </c>
      <c r="O585" t="s">
        <v>284</v>
      </c>
      <c r="P585">
        <v>1.4107523377253415E-3</v>
      </c>
      <c r="Q585" t="s">
        <v>154</v>
      </c>
      <c r="S585" t="s">
        <v>232</v>
      </c>
      <c r="T585" t="s">
        <v>284</v>
      </c>
      <c r="U585">
        <v>1.2076551308602796E-3</v>
      </c>
      <c r="V585" t="s">
        <v>154</v>
      </c>
    </row>
    <row r="586" spans="9:22" x14ac:dyDescent="0.45">
      <c r="I586" t="s">
        <v>179</v>
      </c>
      <c r="J586" t="s">
        <v>285</v>
      </c>
      <c r="K586">
        <v>0</v>
      </c>
      <c r="L586" t="s">
        <v>154</v>
      </c>
      <c r="N586" t="s">
        <v>208</v>
      </c>
      <c r="O586" t="s">
        <v>285</v>
      </c>
      <c r="P586">
        <v>5.0026403707710363E-3</v>
      </c>
      <c r="Q586" t="s">
        <v>154</v>
      </c>
      <c r="S586" t="s">
        <v>232</v>
      </c>
      <c r="T586" t="s">
        <v>285</v>
      </c>
      <c r="U586">
        <v>5.6834292970228788E-3</v>
      </c>
      <c r="V586" t="s">
        <v>154</v>
      </c>
    </row>
    <row r="587" spans="9:22" x14ac:dyDescent="0.45">
      <c r="I587" t="s">
        <v>179</v>
      </c>
      <c r="J587" t="s">
        <v>160</v>
      </c>
      <c r="K587">
        <v>0</v>
      </c>
      <c r="L587" t="s">
        <v>154</v>
      </c>
      <c r="N587" t="s">
        <v>208</v>
      </c>
      <c r="O587" t="s">
        <v>160</v>
      </c>
      <c r="P587">
        <v>2.1578099771467605E-2</v>
      </c>
      <c r="Q587" t="s">
        <v>154</v>
      </c>
      <c r="S587" t="s">
        <v>232</v>
      </c>
      <c r="T587" t="s">
        <v>160</v>
      </c>
      <c r="U587">
        <v>1.7616548478678603E-2</v>
      </c>
      <c r="V587" t="s">
        <v>154</v>
      </c>
    </row>
    <row r="588" spans="9:22" x14ac:dyDescent="0.45">
      <c r="I588" t="s">
        <v>179</v>
      </c>
      <c r="J588" t="s">
        <v>161</v>
      </c>
      <c r="K588">
        <v>7.8261334222133796E-3</v>
      </c>
      <c r="L588" t="s">
        <v>154</v>
      </c>
      <c r="N588" t="s">
        <v>208</v>
      </c>
      <c r="O588" t="s">
        <v>161</v>
      </c>
      <c r="P588">
        <v>5.7844690264124794E-3</v>
      </c>
      <c r="Q588" t="s">
        <v>154</v>
      </c>
      <c r="S588" t="s">
        <v>232</v>
      </c>
      <c r="T588" t="s">
        <v>161</v>
      </c>
      <c r="U588">
        <v>4.7108388633245995E-3</v>
      </c>
      <c r="V588" t="s">
        <v>154</v>
      </c>
    </row>
    <row r="589" spans="9:22" x14ac:dyDescent="0.45">
      <c r="I589" t="s">
        <v>179</v>
      </c>
      <c r="J589" t="s">
        <v>162</v>
      </c>
      <c r="K589">
        <v>7.6394218276229541E-3</v>
      </c>
      <c r="L589" t="s">
        <v>154</v>
      </c>
      <c r="N589" t="s">
        <v>208</v>
      </c>
      <c r="O589" t="s">
        <v>162</v>
      </c>
      <c r="P589">
        <v>3.0531412598555651E-3</v>
      </c>
      <c r="Q589" t="s">
        <v>154</v>
      </c>
      <c r="S589" t="s">
        <v>232</v>
      </c>
      <c r="T589" t="s">
        <v>162</v>
      </c>
      <c r="U589">
        <v>2.3331285175562529E-3</v>
      </c>
      <c r="V589" t="s">
        <v>154</v>
      </c>
    </row>
    <row r="590" spans="9:22" x14ac:dyDescent="0.45">
      <c r="I590" t="s">
        <v>179</v>
      </c>
      <c r="J590" t="s">
        <v>261</v>
      </c>
      <c r="K590">
        <v>5.05951975694496E-2</v>
      </c>
      <c r="L590" t="s">
        <v>154</v>
      </c>
      <c r="N590" t="s">
        <v>208</v>
      </c>
      <c r="O590" t="s">
        <v>261</v>
      </c>
      <c r="P590">
        <v>2.4608893342257229E-2</v>
      </c>
      <c r="Q590" t="s">
        <v>154</v>
      </c>
      <c r="S590" t="s">
        <v>232</v>
      </c>
      <c r="T590" t="s">
        <v>261</v>
      </c>
      <c r="U590">
        <v>1.43319567486673E-2</v>
      </c>
      <c r="V590" t="s">
        <v>154</v>
      </c>
    </row>
    <row r="591" spans="9:22" x14ac:dyDescent="0.45">
      <c r="I591" t="s">
        <v>179</v>
      </c>
      <c r="J591" t="s">
        <v>262</v>
      </c>
      <c r="K591">
        <v>5.1007567006498816E-3</v>
      </c>
      <c r="L591" t="s">
        <v>154</v>
      </c>
      <c r="N591" t="s">
        <v>208</v>
      </c>
      <c r="O591" t="s">
        <v>262</v>
      </c>
      <c r="P591">
        <v>4.71949349496257E-3</v>
      </c>
      <c r="Q591" t="s">
        <v>154</v>
      </c>
      <c r="S591" t="s">
        <v>232</v>
      </c>
      <c r="T591" t="s">
        <v>262</v>
      </c>
      <c r="U591">
        <v>2.6235993769673205E-3</v>
      </c>
      <c r="V591" t="s">
        <v>154</v>
      </c>
    </row>
    <row r="592" spans="9:22" x14ac:dyDescent="0.45">
      <c r="I592" t="s">
        <v>179</v>
      </c>
      <c r="J592" t="s">
        <v>263</v>
      </c>
      <c r="K592">
        <v>3.1913490796222806E-3</v>
      </c>
      <c r="L592" t="s">
        <v>154</v>
      </c>
      <c r="N592" t="s">
        <v>208</v>
      </c>
      <c r="O592" t="s">
        <v>263</v>
      </c>
      <c r="P592">
        <v>4.4333177007065414E-3</v>
      </c>
      <c r="Q592" t="s">
        <v>154</v>
      </c>
      <c r="S592" t="s">
        <v>232</v>
      </c>
      <c r="T592" t="s">
        <v>263</v>
      </c>
      <c r="U592">
        <v>2.5361094452565828E-3</v>
      </c>
      <c r="V592" t="s">
        <v>154</v>
      </c>
    </row>
    <row r="593" spans="9:22" x14ac:dyDescent="0.45">
      <c r="I593" t="s">
        <v>179</v>
      </c>
      <c r="J593" t="s">
        <v>286</v>
      </c>
      <c r="K593">
        <v>1.7612447854558808E-3</v>
      </c>
      <c r="L593" t="s">
        <v>154</v>
      </c>
      <c r="N593" t="s">
        <v>208</v>
      </c>
      <c r="O593" t="s">
        <v>286</v>
      </c>
      <c r="P593">
        <v>3.6901228505032036E-3</v>
      </c>
      <c r="Q593" t="s">
        <v>154</v>
      </c>
      <c r="S593" t="s">
        <v>232</v>
      </c>
      <c r="T593" t="s">
        <v>286</v>
      </c>
      <c r="U593">
        <v>2.5950871773254597E-3</v>
      </c>
      <c r="V593" t="s">
        <v>154</v>
      </c>
    </row>
    <row r="594" spans="9:22" x14ac:dyDescent="0.45">
      <c r="I594" t="s">
        <v>179</v>
      </c>
      <c r="J594" t="s">
        <v>287</v>
      </c>
      <c r="K594">
        <v>0</v>
      </c>
      <c r="L594" t="s">
        <v>154</v>
      </c>
      <c r="N594" t="s">
        <v>208</v>
      </c>
      <c r="O594" t="s">
        <v>287</v>
      </c>
      <c r="P594">
        <v>1.7444386473976187E-2</v>
      </c>
      <c r="Q594" t="s">
        <v>154</v>
      </c>
      <c r="S594" t="s">
        <v>232</v>
      </c>
      <c r="T594" t="s">
        <v>287</v>
      </c>
      <c r="U594">
        <v>1.3209799427971914E-2</v>
      </c>
      <c r="V594" t="s">
        <v>154</v>
      </c>
    </row>
    <row r="595" spans="9:22" x14ac:dyDescent="0.45">
      <c r="I595" t="s">
        <v>179</v>
      </c>
      <c r="J595" t="s">
        <v>163</v>
      </c>
      <c r="K595">
        <v>0</v>
      </c>
      <c r="L595" t="s">
        <v>154</v>
      </c>
      <c r="N595" t="s">
        <v>208</v>
      </c>
      <c r="O595" t="s">
        <v>163</v>
      </c>
      <c r="P595">
        <v>1.5675653400300495E-2</v>
      </c>
      <c r="Q595" t="s">
        <v>154</v>
      </c>
      <c r="S595" t="s">
        <v>232</v>
      </c>
      <c r="T595" t="s">
        <v>163</v>
      </c>
      <c r="U595">
        <v>3.0903816164325696E-2</v>
      </c>
      <c r="V595" t="s">
        <v>154</v>
      </c>
    </row>
    <row r="596" spans="9:22" x14ac:dyDescent="0.45">
      <c r="I596" t="s">
        <v>179</v>
      </c>
      <c r="J596" t="s">
        <v>164</v>
      </c>
      <c r="K596">
        <v>6.5563729850401731E-3</v>
      </c>
      <c r="L596" t="s">
        <v>154</v>
      </c>
      <c r="N596" t="s">
        <v>208</v>
      </c>
      <c r="O596" t="s">
        <v>164</v>
      </c>
      <c r="P596">
        <v>3.9643167019007492E-3</v>
      </c>
      <c r="Q596" t="s">
        <v>154</v>
      </c>
      <c r="S596" t="s">
        <v>232</v>
      </c>
      <c r="T596" t="s">
        <v>164</v>
      </c>
      <c r="U596">
        <v>9.0768111563250525E-3</v>
      </c>
      <c r="V596" t="s">
        <v>154</v>
      </c>
    </row>
    <row r="597" spans="9:22" x14ac:dyDescent="0.45">
      <c r="I597" t="s">
        <v>179</v>
      </c>
      <c r="J597" t="s">
        <v>165</v>
      </c>
      <c r="K597">
        <v>5.8350737825157923E-3</v>
      </c>
      <c r="L597" t="s">
        <v>154</v>
      </c>
      <c r="N597" t="s">
        <v>208</v>
      </c>
      <c r="O597" t="s">
        <v>165</v>
      </c>
      <c r="P597">
        <v>2.8561703719746871E-3</v>
      </c>
      <c r="Q597" t="s">
        <v>154</v>
      </c>
      <c r="S597" t="s">
        <v>232</v>
      </c>
      <c r="T597" t="s">
        <v>165</v>
      </c>
      <c r="U597">
        <v>4.5563765975179674E-3</v>
      </c>
      <c r="V597" t="s">
        <v>154</v>
      </c>
    </row>
    <row r="598" spans="9:22" x14ac:dyDescent="0.45">
      <c r="I598" t="s">
        <v>179</v>
      </c>
      <c r="J598" t="s">
        <v>264</v>
      </c>
      <c r="K598">
        <v>4.0092488137638105E-2</v>
      </c>
      <c r="L598" t="s">
        <v>154</v>
      </c>
      <c r="N598" t="s">
        <v>208</v>
      </c>
      <c r="O598" t="s">
        <v>264</v>
      </c>
      <c r="P598">
        <v>2.2840105495389972E-2</v>
      </c>
      <c r="Q598" t="s">
        <v>154</v>
      </c>
      <c r="S598" t="s">
        <v>232</v>
      </c>
      <c r="T598" t="s">
        <v>264</v>
      </c>
      <c r="U598">
        <v>2.5789125187273363E-2</v>
      </c>
      <c r="V598" t="s">
        <v>154</v>
      </c>
    </row>
    <row r="599" spans="9:22" x14ac:dyDescent="0.45">
      <c r="I599" t="s">
        <v>179</v>
      </c>
      <c r="J599" t="s">
        <v>265</v>
      </c>
      <c r="K599">
        <v>4.4215063887627993E-3</v>
      </c>
      <c r="L599" t="s">
        <v>154</v>
      </c>
      <c r="N599" t="s">
        <v>208</v>
      </c>
      <c r="O599" t="s">
        <v>265</v>
      </c>
      <c r="P599">
        <v>3.5817250221281166E-3</v>
      </c>
      <c r="Q599" t="s">
        <v>154</v>
      </c>
      <c r="S599" t="s">
        <v>232</v>
      </c>
      <c r="T599" t="s">
        <v>265</v>
      </c>
      <c r="U599">
        <v>4.0958627871442409E-3</v>
      </c>
      <c r="V599" t="s">
        <v>154</v>
      </c>
    </row>
    <row r="600" spans="9:22" x14ac:dyDescent="0.45">
      <c r="I600" t="s">
        <v>179</v>
      </c>
      <c r="J600" t="s">
        <v>266</v>
      </c>
      <c r="K600">
        <v>2.8145774593460685E-3</v>
      </c>
      <c r="L600" t="s">
        <v>154</v>
      </c>
      <c r="N600" t="s">
        <v>208</v>
      </c>
      <c r="O600" t="s">
        <v>266</v>
      </c>
      <c r="P600">
        <v>3.4241831113815016E-3</v>
      </c>
      <c r="Q600" t="s">
        <v>154</v>
      </c>
      <c r="S600" t="s">
        <v>232</v>
      </c>
      <c r="T600" t="s">
        <v>266</v>
      </c>
      <c r="U600">
        <v>4.2215433146301972E-3</v>
      </c>
      <c r="V600" t="s">
        <v>154</v>
      </c>
    </row>
    <row r="601" spans="9:22" x14ac:dyDescent="0.45">
      <c r="I601" t="s">
        <v>179</v>
      </c>
      <c r="J601" t="s">
        <v>288</v>
      </c>
      <c r="K601">
        <v>0</v>
      </c>
      <c r="L601" t="s">
        <v>154</v>
      </c>
      <c r="N601" t="s">
        <v>208</v>
      </c>
      <c r="O601" t="s">
        <v>288</v>
      </c>
      <c r="P601">
        <v>2.5527720286232279E-3</v>
      </c>
      <c r="Q601" t="s">
        <v>154</v>
      </c>
      <c r="S601" t="s">
        <v>232</v>
      </c>
      <c r="T601" t="s">
        <v>288</v>
      </c>
      <c r="U601">
        <v>3.8860576188384445E-3</v>
      </c>
      <c r="V601" t="s">
        <v>154</v>
      </c>
    </row>
    <row r="602" spans="9:22" x14ac:dyDescent="0.45">
      <c r="I602" t="s">
        <v>179</v>
      </c>
      <c r="J602" t="s">
        <v>289</v>
      </c>
      <c r="K602">
        <v>0</v>
      </c>
      <c r="L602" t="s">
        <v>154</v>
      </c>
      <c r="N602" t="s">
        <v>208</v>
      </c>
      <c r="O602" t="s">
        <v>289</v>
      </c>
      <c r="P602">
        <v>1.2977478155068516E-2</v>
      </c>
      <c r="Q602" t="s">
        <v>154</v>
      </c>
      <c r="S602" t="s">
        <v>232</v>
      </c>
      <c r="T602" t="s">
        <v>289</v>
      </c>
      <c r="U602">
        <v>2.3867248357868225E-2</v>
      </c>
      <c r="V602" t="s">
        <v>154</v>
      </c>
    </row>
    <row r="603" spans="9:22" x14ac:dyDescent="0.45">
      <c r="I603" t="s">
        <v>179</v>
      </c>
      <c r="J603" t="s">
        <v>272</v>
      </c>
      <c r="K603">
        <v>0</v>
      </c>
      <c r="L603" t="s">
        <v>154</v>
      </c>
      <c r="N603" t="s">
        <v>208</v>
      </c>
      <c r="O603" t="s">
        <v>272</v>
      </c>
      <c r="P603">
        <v>5.090576788009156E-2</v>
      </c>
      <c r="Q603" t="s">
        <v>154</v>
      </c>
      <c r="S603" t="s">
        <v>232</v>
      </c>
      <c r="T603" t="s">
        <v>272</v>
      </c>
      <c r="U603">
        <v>6.660148869756935E-2</v>
      </c>
      <c r="V603" t="s">
        <v>154</v>
      </c>
    </row>
    <row r="604" spans="9:22" x14ac:dyDescent="0.45">
      <c r="I604" t="s">
        <v>179</v>
      </c>
      <c r="J604" t="s">
        <v>273</v>
      </c>
      <c r="K604">
        <v>7.3183146099077036E-3</v>
      </c>
      <c r="L604" t="s">
        <v>154</v>
      </c>
      <c r="N604" t="s">
        <v>208</v>
      </c>
      <c r="O604" t="s">
        <v>273</v>
      </c>
      <c r="P604">
        <v>1.1579989435777158E-2</v>
      </c>
      <c r="Q604" t="s">
        <v>154</v>
      </c>
      <c r="S604" t="s">
        <v>232</v>
      </c>
      <c r="T604" t="s">
        <v>273</v>
      </c>
      <c r="U604">
        <v>1.7829712152296628E-2</v>
      </c>
      <c r="V604" t="s">
        <v>154</v>
      </c>
    </row>
    <row r="605" spans="9:22" x14ac:dyDescent="0.45">
      <c r="I605" t="s">
        <v>179</v>
      </c>
      <c r="J605" t="s">
        <v>274</v>
      </c>
      <c r="K605">
        <v>8.763806990314477E-3</v>
      </c>
      <c r="L605" t="s">
        <v>154</v>
      </c>
      <c r="N605" t="s">
        <v>208</v>
      </c>
      <c r="O605" t="s">
        <v>274</v>
      </c>
      <c r="P605">
        <v>8.5934562513504814E-3</v>
      </c>
      <c r="Q605" t="s">
        <v>154</v>
      </c>
      <c r="S605" t="s">
        <v>232</v>
      </c>
      <c r="T605" t="s">
        <v>274</v>
      </c>
      <c r="U605">
        <v>9.5413135007258957E-3</v>
      </c>
      <c r="V605" t="s">
        <v>154</v>
      </c>
    </row>
    <row r="606" spans="9:22" x14ac:dyDescent="0.45">
      <c r="I606" t="s">
        <v>179</v>
      </c>
      <c r="J606" t="s">
        <v>275</v>
      </c>
      <c r="K606">
        <v>7.0278927312814071E-2</v>
      </c>
      <c r="L606" t="s">
        <v>154</v>
      </c>
      <c r="N606" t="s">
        <v>208</v>
      </c>
      <c r="O606" t="s">
        <v>275</v>
      </c>
      <c r="P606">
        <v>6.776293524851848E-2</v>
      </c>
      <c r="Q606" t="s">
        <v>154</v>
      </c>
      <c r="S606" t="s">
        <v>232</v>
      </c>
      <c r="T606" t="s">
        <v>275</v>
      </c>
      <c r="U606">
        <v>5.8276312554032199E-2</v>
      </c>
      <c r="V606" t="s">
        <v>154</v>
      </c>
    </row>
    <row r="607" spans="9:22" x14ac:dyDescent="0.45">
      <c r="I607" t="s">
        <v>179</v>
      </c>
      <c r="J607" t="s">
        <v>276</v>
      </c>
      <c r="K607">
        <v>7.0343042341323488E-3</v>
      </c>
      <c r="L607" t="s">
        <v>154</v>
      </c>
      <c r="N607" t="s">
        <v>208</v>
      </c>
      <c r="O607" t="s">
        <v>276</v>
      </c>
      <c r="P607">
        <v>1.0876257949546416E-2</v>
      </c>
      <c r="Q607" t="s">
        <v>154</v>
      </c>
      <c r="S607" t="s">
        <v>232</v>
      </c>
      <c r="T607" t="s">
        <v>276</v>
      </c>
      <c r="U607">
        <v>1.0314270152554308E-2</v>
      </c>
      <c r="V607" t="s">
        <v>154</v>
      </c>
    </row>
    <row r="608" spans="9:22" x14ac:dyDescent="0.45">
      <c r="I608" t="s">
        <v>179</v>
      </c>
      <c r="J608" t="s">
        <v>277</v>
      </c>
      <c r="K608">
        <v>4.2327489273800379E-3</v>
      </c>
      <c r="L608" t="s">
        <v>154</v>
      </c>
      <c r="N608" t="s">
        <v>208</v>
      </c>
      <c r="O608" t="s">
        <v>277</v>
      </c>
      <c r="P608">
        <v>1.0180613322004995E-2</v>
      </c>
      <c r="Q608" t="s">
        <v>154</v>
      </c>
      <c r="S608" t="s">
        <v>232</v>
      </c>
      <c r="T608" t="s">
        <v>277</v>
      </c>
      <c r="U608">
        <v>1.0578542063552411E-2</v>
      </c>
      <c r="V608" t="s">
        <v>154</v>
      </c>
    </row>
    <row r="609" spans="9:22" x14ac:dyDescent="0.45">
      <c r="I609" t="s">
        <v>179</v>
      </c>
      <c r="J609" t="s">
        <v>290</v>
      </c>
      <c r="K609">
        <v>0</v>
      </c>
      <c r="L609" t="s">
        <v>154</v>
      </c>
      <c r="N609" t="s">
        <v>208</v>
      </c>
      <c r="O609" t="s">
        <v>290</v>
      </c>
      <c r="P609">
        <v>4.6124594013916952E-3</v>
      </c>
      <c r="Q609" t="s">
        <v>154</v>
      </c>
      <c r="S609" t="s">
        <v>232</v>
      </c>
      <c r="T609" t="s">
        <v>290</v>
      </c>
      <c r="U609">
        <v>7.8525133673153155E-3</v>
      </c>
      <c r="V609" t="s">
        <v>154</v>
      </c>
    </row>
    <row r="610" spans="9:22" x14ac:dyDescent="0.45">
      <c r="I610" t="s">
        <v>179</v>
      </c>
      <c r="J610" t="s">
        <v>291</v>
      </c>
      <c r="K610">
        <v>0</v>
      </c>
      <c r="L610" t="s">
        <v>154</v>
      </c>
      <c r="N610" t="s">
        <v>208</v>
      </c>
      <c r="O610" t="s">
        <v>291</v>
      </c>
      <c r="P610">
        <v>2.6721782087961398E-2</v>
      </c>
      <c r="Q610" t="s">
        <v>154</v>
      </c>
      <c r="S610" t="s">
        <v>232</v>
      </c>
      <c r="T610" t="s">
        <v>291</v>
      </c>
      <c r="U610">
        <v>4.7188647228319142E-2</v>
      </c>
      <c r="V610" t="s">
        <v>154</v>
      </c>
    </row>
    <row r="611" spans="9:22" x14ac:dyDescent="0.45">
      <c r="I611" t="s">
        <v>180</v>
      </c>
      <c r="J611" t="s">
        <v>153</v>
      </c>
      <c r="K611">
        <v>4.5298696537576736E-3</v>
      </c>
      <c r="L611" t="s">
        <v>154</v>
      </c>
      <c r="N611" t="s">
        <v>209</v>
      </c>
      <c r="O611" t="s">
        <v>153</v>
      </c>
      <c r="P611">
        <v>0.14977315693173623</v>
      </c>
      <c r="Q611" t="s">
        <v>154</v>
      </c>
      <c r="S611" t="s">
        <v>233</v>
      </c>
      <c r="T611" t="s">
        <v>153</v>
      </c>
      <c r="U611">
        <v>0.1746845084856124</v>
      </c>
      <c r="V611" t="s">
        <v>154</v>
      </c>
    </row>
    <row r="612" spans="9:22" x14ac:dyDescent="0.45">
      <c r="I612" t="s">
        <v>180</v>
      </c>
      <c r="J612" t="s">
        <v>155</v>
      </c>
      <c r="K612">
        <v>7.1518486300272605E-2</v>
      </c>
      <c r="L612" t="s">
        <v>154</v>
      </c>
      <c r="N612" t="s">
        <v>209</v>
      </c>
      <c r="O612" t="s">
        <v>155</v>
      </c>
      <c r="P612">
        <v>4.469624724288139E-2</v>
      </c>
      <c r="Q612" t="s">
        <v>154</v>
      </c>
      <c r="S612" t="s">
        <v>233</v>
      </c>
      <c r="T612" t="s">
        <v>155</v>
      </c>
      <c r="U612">
        <v>4.9532470632801584E-2</v>
      </c>
      <c r="V612" t="s">
        <v>154</v>
      </c>
    </row>
    <row r="613" spans="9:22" x14ac:dyDescent="0.45">
      <c r="I613" t="s">
        <v>180</v>
      </c>
      <c r="J613" t="s">
        <v>156</v>
      </c>
      <c r="K613">
        <v>6.3191359695576321E-2</v>
      </c>
      <c r="L613" t="s">
        <v>154</v>
      </c>
      <c r="N613" t="s">
        <v>209</v>
      </c>
      <c r="O613" t="s">
        <v>156</v>
      </c>
      <c r="P613">
        <v>2.7383731848059052E-2</v>
      </c>
      <c r="Q613" t="s">
        <v>154</v>
      </c>
      <c r="S613" t="s">
        <v>233</v>
      </c>
      <c r="T613" t="s">
        <v>156</v>
      </c>
      <c r="U613">
        <v>2.5692833679901009E-2</v>
      </c>
      <c r="V613" t="s">
        <v>154</v>
      </c>
    </row>
    <row r="614" spans="9:22" x14ac:dyDescent="0.45">
      <c r="I614" t="s">
        <v>180</v>
      </c>
      <c r="J614" t="s">
        <v>255</v>
      </c>
      <c r="K614">
        <v>0.46133452789429369</v>
      </c>
      <c r="L614" t="s">
        <v>154</v>
      </c>
      <c r="N614" t="s">
        <v>209</v>
      </c>
      <c r="O614" t="s">
        <v>255</v>
      </c>
      <c r="P614">
        <v>0.17563256171177236</v>
      </c>
      <c r="Q614" t="s">
        <v>154</v>
      </c>
      <c r="S614" t="s">
        <v>233</v>
      </c>
      <c r="T614" t="s">
        <v>255</v>
      </c>
      <c r="U614">
        <v>0.14485074476738216</v>
      </c>
      <c r="V614" t="s">
        <v>154</v>
      </c>
    </row>
    <row r="615" spans="9:22" x14ac:dyDescent="0.45">
      <c r="I615" t="s">
        <v>180</v>
      </c>
      <c r="J615" t="s">
        <v>256</v>
      </c>
      <c r="K615">
        <v>5.2701407229304754E-2</v>
      </c>
      <c r="L615" t="s">
        <v>154</v>
      </c>
      <c r="N615" t="s">
        <v>209</v>
      </c>
      <c r="O615" t="s">
        <v>256</v>
      </c>
      <c r="P615">
        <v>2.7880269730168862E-2</v>
      </c>
      <c r="Q615" t="s">
        <v>154</v>
      </c>
      <c r="S615" t="s">
        <v>233</v>
      </c>
      <c r="T615" t="s">
        <v>256</v>
      </c>
      <c r="U615">
        <v>2.3643312294002686E-2</v>
      </c>
      <c r="V615" t="s">
        <v>154</v>
      </c>
    </row>
    <row r="616" spans="9:22" x14ac:dyDescent="0.45">
      <c r="I616" t="s">
        <v>180</v>
      </c>
      <c r="J616" t="s">
        <v>257</v>
      </c>
      <c r="K616">
        <v>3.6743639956847755E-2</v>
      </c>
      <c r="L616" t="s">
        <v>154</v>
      </c>
      <c r="N616" t="s">
        <v>209</v>
      </c>
      <c r="O616" t="s">
        <v>257</v>
      </c>
      <c r="P616">
        <v>2.6819253103879118E-2</v>
      </c>
      <c r="Q616" t="s">
        <v>154</v>
      </c>
      <c r="S616" t="s">
        <v>233</v>
      </c>
      <c r="T616" t="s">
        <v>257</v>
      </c>
      <c r="U616">
        <v>2.4228123183194301E-2</v>
      </c>
      <c r="V616" t="s">
        <v>154</v>
      </c>
    </row>
    <row r="617" spans="9:22" x14ac:dyDescent="0.45">
      <c r="I617" t="s">
        <v>180</v>
      </c>
      <c r="J617" t="s">
        <v>282</v>
      </c>
      <c r="K617">
        <v>2.0046424825295558E-2</v>
      </c>
      <c r="L617" t="s">
        <v>154</v>
      </c>
      <c r="N617" t="s">
        <v>209</v>
      </c>
      <c r="O617" t="s">
        <v>282</v>
      </c>
      <c r="P617">
        <v>2.4008829764759963E-2</v>
      </c>
      <c r="Q617" t="s">
        <v>154</v>
      </c>
      <c r="S617" t="s">
        <v>233</v>
      </c>
      <c r="T617" t="s">
        <v>282</v>
      </c>
      <c r="U617">
        <v>2.1267269140417603E-2</v>
      </c>
      <c r="V617" t="s">
        <v>154</v>
      </c>
    </row>
    <row r="618" spans="9:22" x14ac:dyDescent="0.45">
      <c r="I618" t="s">
        <v>180</v>
      </c>
      <c r="J618" t="s">
        <v>283</v>
      </c>
      <c r="K618">
        <v>0</v>
      </c>
      <c r="L618" t="s">
        <v>154</v>
      </c>
      <c r="N618" t="s">
        <v>209</v>
      </c>
      <c r="O618" t="s">
        <v>283</v>
      </c>
      <c r="P618">
        <v>0.12490120362742657</v>
      </c>
      <c r="Q618" t="s">
        <v>154</v>
      </c>
      <c r="S618" t="s">
        <v>233</v>
      </c>
      <c r="T618" t="s">
        <v>283</v>
      </c>
      <c r="U618">
        <v>0.12840829683962332</v>
      </c>
      <c r="V618" t="s">
        <v>154</v>
      </c>
    </row>
    <row r="619" spans="9:22" x14ac:dyDescent="0.45">
      <c r="I619" t="s">
        <v>180</v>
      </c>
      <c r="J619" t="s">
        <v>157</v>
      </c>
      <c r="K619">
        <v>0</v>
      </c>
      <c r="L619" t="s">
        <v>154</v>
      </c>
      <c r="N619" t="s">
        <v>209</v>
      </c>
      <c r="O619" t="s">
        <v>157</v>
      </c>
      <c r="P619">
        <v>8.4852468616074313E-3</v>
      </c>
      <c r="Q619" t="s">
        <v>154</v>
      </c>
      <c r="S619" t="s">
        <v>233</v>
      </c>
      <c r="T619" t="s">
        <v>157</v>
      </c>
      <c r="U619">
        <v>9.7816257703802617E-3</v>
      </c>
      <c r="V619" t="s">
        <v>154</v>
      </c>
    </row>
    <row r="620" spans="9:22" x14ac:dyDescent="0.45">
      <c r="I620" t="s">
        <v>180</v>
      </c>
      <c r="J620" t="s">
        <v>158</v>
      </c>
      <c r="K620">
        <v>6.2468937524919766E-3</v>
      </c>
      <c r="L620" t="s">
        <v>154</v>
      </c>
      <c r="N620" t="s">
        <v>209</v>
      </c>
      <c r="O620" t="s">
        <v>158</v>
      </c>
      <c r="P620">
        <v>2.3841615783161316E-3</v>
      </c>
      <c r="Q620" t="s">
        <v>154</v>
      </c>
      <c r="S620" t="s">
        <v>233</v>
      </c>
      <c r="T620" t="s">
        <v>158</v>
      </c>
      <c r="U620">
        <v>2.6632357518554715E-3</v>
      </c>
      <c r="V620" t="s">
        <v>154</v>
      </c>
    </row>
    <row r="621" spans="9:22" x14ac:dyDescent="0.45">
      <c r="I621" t="s">
        <v>180</v>
      </c>
      <c r="J621" t="s">
        <v>159</v>
      </c>
      <c r="K621">
        <v>5.6061974126602873E-3</v>
      </c>
      <c r="L621" t="s">
        <v>154</v>
      </c>
      <c r="N621" t="s">
        <v>209</v>
      </c>
      <c r="O621" t="s">
        <v>159</v>
      </c>
      <c r="P621">
        <v>1.320038797194224E-3</v>
      </c>
      <c r="Q621" t="s">
        <v>154</v>
      </c>
      <c r="S621" t="s">
        <v>233</v>
      </c>
      <c r="T621" t="s">
        <v>159</v>
      </c>
      <c r="U621">
        <v>1.3573034152133407E-3</v>
      </c>
      <c r="V621" t="s">
        <v>154</v>
      </c>
    </row>
    <row r="622" spans="9:22" x14ac:dyDescent="0.45">
      <c r="I622" t="s">
        <v>180</v>
      </c>
      <c r="J622" t="s">
        <v>258</v>
      </c>
      <c r="K622">
        <v>4.2640272693121775E-2</v>
      </c>
      <c r="L622" t="s">
        <v>154</v>
      </c>
      <c r="N622" t="s">
        <v>209</v>
      </c>
      <c r="O622" t="s">
        <v>258</v>
      </c>
      <c r="P622">
        <v>9.2397998331402546E-3</v>
      </c>
      <c r="Q622" t="s">
        <v>154</v>
      </c>
      <c r="S622" t="s">
        <v>233</v>
      </c>
      <c r="T622" t="s">
        <v>258</v>
      </c>
      <c r="U622">
        <v>7.6909935927946616E-3</v>
      </c>
      <c r="V622" t="s">
        <v>154</v>
      </c>
    </row>
    <row r="623" spans="9:22" x14ac:dyDescent="0.45">
      <c r="I623" t="s">
        <v>180</v>
      </c>
      <c r="J623" t="s">
        <v>259</v>
      </c>
      <c r="K623">
        <v>4.2268857211141151E-3</v>
      </c>
      <c r="L623" t="s">
        <v>154</v>
      </c>
      <c r="N623" t="s">
        <v>209</v>
      </c>
      <c r="O623" t="s">
        <v>259</v>
      </c>
      <c r="P623">
        <v>1.3228778344811457E-3</v>
      </c>
      <c r="Q623" t="s">
        <v>154</v>
      </c>
      <c r="S623" t="s">
        <v>233</v>
      </c>
      <c r="T623" t="s">
        <v>259</v>
      </c>
      <c r="U623">
        <v>1.1661368269424168E-3</v>
      </c>
      <c r="V623" t="s">
        <v>154</v>
      </c>
    </row>
    <row r="624" spans="9:22" x14ac:dyDescent="0.45">
      <c r="I624" t="s">
        <v>180</v>
      </c>
      <c r="J624" t="s">
        <v>260</v>
      </c>
      <c r="K624">
        <v>2.5157374341918206E-3</v>
      </c>
      <c r="L624" t="s">
        <v>154</v>
      </c>
      <c r="N624" t="s">
        <v>209</v>
      </c>
      <c r="O624" t="s">
        <v>260</v>
      </c>
      <c r="P624">
        <v>1.159300018942016E-3</v>
      </c>
      <c r="Q624" t="s">
        <v>154</v>
      </c>
      <c r="S624" t="s">
        <v>233</v>
      </c>
      <c r="T624" t="s">
        <v>260</v>
      </c>
      <c r="U624">
        <v>1.1731136647200641E-3</v>
      </c>
      <c r="V624" t="s">
        <v>154</v>
      </c>
    </row>
    <row r="625" spans="9:22" x14ac:dyDescent="0.45">
      <c r="I625" t="s">
        <v>180</v>
      </c>
      <c r="J625" t="s">
        <v>284</v>
      </c>
      <c r="K625">
        <v>1.1308800817966232E-3</v>
      </c>
      <c r="L625" t="s">
        <v>154</v>
      </c>
      <c r="N625" t="s">
        <v>209</v>
      </c>
      <c r="O625" t="s">
        <v>284</v>
      </c>
      <c r="P625">
        <v>1.3283437260303253E-3</v>
      </c>
      <c r="Q625" t="s">
        <v>154</v>
      </c>
      <c r="S625" t="s">
        <v>233</v>
      </c>
      <c r="T625" t="s">
        <v>284</v>
      </c>
      <c r="U625">
        <v>1.1891526169164526E-3</v>
      </c>
      <c r="V625" t="s">
        <v>154</v>
      </c>
    </row>
    <row r="626" spans="9:22" x14ac:dyDescent="0.45">
      <c r="I626" t="s">
        <v>180</v>
      </c>
      <c r="J626" t="s">
        <v>285</v>
      </c>
      <c r="K626">
        <v>0</v>
      </c>
      <c r="L626" t="s">
        <v>154</v>
      </c>
      <c r="N626" t="s">
        <v>209</v>
      </c>
      <c r="O626" t="s">
        <v>285</v>
      </c>
      <c r="P626">
        <v>6.4638600557330268E-3</v>
      </c>
      <c r="Q626" t="s">
        <v>154</v>
      </c>
      <c r="S626" t="s">
        <v>233</v>
      </c>
      <c r="T626" t="s">
        <v>285</v>
      </c>
      <c r="U626">
        <v>6.4304407519522426E-3</v>
      </c>
      <c r="V626" t="s">
        <v>154</v>
      </c>
    </row>
    <row r="627" spans="9:22" x14ac:dyDescent="0.45">
      <c r="I627" t="s">
        <v>180</v>
      </c>
      <c r="J627" t="s">
        <v>160</v>
      </c>
      <c r="K627">
        <v>0</v>
      </c>
      <c r="L627" t="s">
        <v>154</v>
      </c>
      <c r="N627" t="s">
        <v>209</v>
      </c>
      <c r="O627" t="s">
        <v>160</v>
      </c>
      <c r="P627">
        <v>2.9334965403702968E-2</v>
      </c>
      <c r="Q627" t="s">
        <v>154</v>
      </c>
      <c r="S627" t="s">
        <v>233</v>
      </c>
      <c r="T627" t="s">
        <v>160</v>
      </c>
      <c r="U627">
        <v>2.401435436307273E-2</v>
      </c>
      <c r="V627" t="s">
        <v>154</v>
      </c>
    </row>
    <row r="628" spans="9:22" x14ac:dyDescent="0.45">
      <c r="I628" t="s">
        <v>180</v>
      </c>
      <c r="J628" t="s">
        <v>161</v>
      </c>
      <c r="K628">
        <v>8.9795682553897149E-3</v>
      </c>
      <c r="L628" t="s">
        <v>154</v>
      </c>
      <c r="N628" t="s">
        <v>209</v>
      </c>
      <c r="O628" t="s">
        <v>161</v>
      </c>
      <c r="P628">
        <v>7.8774787584955635E-3</v>
      </c>
      <c r="Q628" t="s">
        <v>154</v>
      </c>
      <c r="S628" t="s">
        <v>233</v>
      </c>
      <c r="T628" t="s">
        <v>161</v>
      </c>
      <c r="U628">
        <v>6.338580136391876E-3</v>
      </c>
      <c r="V628" t="s">
        <v>154</v>
      </c>
    </row>
    <row r="629" spans="9:22" x14ac:dyDescent="0.45">
      <c r="I629" t="s">
        <v>180</v>
      </c>
      <c r="J629" t="s">
        <v>162</v>
      </c>
      <c r="K629">
        <v>7.596846286431716E-3</v>
      </c>
      <c r="L629" t="s">
        <v>154</v>
      </c>
      <c r="N629" t="s">
        <v>209</v>
      </c>
      <c r="O629" t="s">
        <v>162</v>
      </c>
      <c r="P629">
        <v>4.0539543704708756E-3</v>
      </c>
      <c r="Q629" t="s">
        <v>154</v>
      </c>
      <c r="S629" t="s">
        <v>233</v>
      </c>
      <c r="T629" t="s">
        <v>162</v>
      </c>
      <c r="U629">
        <v>3.2133909141799154E-3</v>
      </c>
      <c r="V629" t="s">
        <v>154</v>
      </c>
    </row>
    <row r="630" spans="9:22" x14ac:dyDescent="0.45">
      <c r="I630" t="s">
        <v>180</v>
      </c>
      <c r="J630" t="s">
        <v>261</v>
      </c>
      <c r="K630">
        <v>5.2974834296171912E-2</v>
      </c>
      <c r="L630" t="s">
        <v>154</v>
      </c>
      <c r="N630" t="s">
        <v>209</v>
      </c>
      <c r="O630" t="s">
        <v>261</v>
      </c>
      <c r="P630">
        <v>2.5925385818775355E-2</v>
      </c>
      <c r="Q630" t="s">
        <v>154</v>
      </c>
      <c r="S630" t="s">
        <v>233</v>
      </c>
      <c r="T630" t="s">
        <v>261</v>
      </c>
      <c r="U630">
        <v>1.9664541703668402E-2</v>
      </c>
      <c r="V630" t="s">
        <v>154</v>
      </c>
    </row>
    <row r="631" spans="9:22" x14ac:dyDescent="0.45">
      <c r="I631" t="s">
        <v>180</v>
      </c>
      <c r="J631" t="s">
        <v>262</v>
      </c>
      <c r="K631">
        <v>5.5779652315961293E-3</v>
      </c>
      <c r="L631" t="s">
        <v>154</v>
      </c>
      <c r="N631" t="s">
        <v>209</v>
      </c>
      <c r="O631" t="s">
        <v>262</v>
      </c>
      <c r="P631">
        <v>3.9537195439494442E-3</v>
      </c>
      <c r="Q631" t="s">
        <v>154</v>
      </c>
      <c r="S631" t="s">
        <v>233</v>
      </c>
      <c r="T631" t="s">
        <v>262</v>
      </c>
      <c r="U631">
        <v>3.0902601574706221E-3</v>
      </c>
      <c r="V631" t="s">
        <v>154</v>
      </c>
    </row>
    <row r="632" spans="9:22" x14ac:dyDescent="0.45">
      <c r="I632" t="s">
        <v>180</v>
      </c>
      <c r="J632" t="s">
        <v>263</v>
      </c>
      <c r="K632">
        <v>3.7087007880607131E-3</v>
      </c>
      <c r="L632" t="s">
        <v>154</v>
      </c>
      <c r="N632" t="s">
        <v>209</v>
      </c>
      <c r="O632" t="s">
        <v>263</v>
      </c>
      <c r="P632">
        <v>3.9393477487675663E-3</v>
      </c>
      <c r="Q632" t="s">
        <v>154</v>
      </c>
      <c r="S632" t="s">
        <v>233</v>
      </c>
      <c r="T632" t="s">
        <v>263</v>
      </c>
      <c r="U632">
        <v>2.9916111738596575E-3</v>
      </c>
      <c r="V632" t="s">
        <v>154</v>
      </c>
    </row>
    <row r="633" spans="9:22" x14ac:dyDescent="0.45">
      <c r="I633" t="s">
        <v>180</v>
      </c>
      <c r="J633" t="s">
        <v>286</v>
      </c>
      <c r="K633">
        <v>1.7312802369197091E-3</v>
      </c>
      <c r="L633" t="s">
        <v>154</v>
      </c>
      <c r="N633" t="s">
        <v>209</v>
      </c>
      <c r="O633" t="s">
        <v>286</v>
      </c>
      <c r="P633">
        <v>3.8692691522633042E-3</v>
      </c>
      <c r="Q633" t="s">
        <v>154</v>
      </c>
      <c r="S633" t="s">
        <v>233</v>
      </c>
      <c r="T633" t="s">
        <v>286</v>
      </c>
      <c r="U633">
        <v>3.1146944434700561E-3</v>
      </c>
      <c r="V633" t="s">
        <v>154</v>
      </c>
    </row>
    <row r="634" spans="9:22" x14ac:dyDescent="0.45">
      <c r="I634" t="s">
        <v>180</v>
      </c>
      <c r="J634" t="s">
        <v>287</v>
      </c>
      <c r="K634">
        <v>0</v>
      </c>
      <c r="L634" t="s">
        <v>154</v>
      </c>
      <c r="N634" t="s">
        <v>209</v>
      </c>
      <c r="O634" t="s">
        <v>287</v>
      </c>
      <c r="P634">
        <v>2.0149300169534881E-2</v>
      </c>
      <c r="Q634" t="s">
        <v>154</v>
      </c>
      <c r="S634" t="s">
        <v>233</v>
      </c>
      <c r="T634" t="s">
        <v>287</v>
      </c>
      <c r="U634">
        <v>1.626440587751966E-2</v>
      </c>
      <c r="V634" t="s">
        <v>154</v>
      </c>
    </row>
    <row r="635" spans="9:22" x14ac:dyDescent="0.45">
      <c r="I635" t="s">
        <v>180</v>
      </c>
      <c r="J635" t="s">
        <v>163</v>
      </c>
      <c r="K635">
        <v>0</v>
      </c>
      <c r="L635" t="s">
        <v>154</v>
      </c>
      <c r="N635" t="s">
        <v>209</v>
      </c>
      <c r="O635" t="s">
        <v>163</v>
      </c>
      <c r="P635">
        <v>2.3980034575830145E-2</v>
      </c>
      <c r="Q635" t="s">
        <v>154</v>
      </c>
      <c r="S635" t="s">
        <v>233</v>
      </c>
      <c r="T635" t="s">
        <v>163</v>
      </c>
      <c r="U635">
        <v>2.6949534227155514E-2</v>
      </c>
      <c r="V635" t="s">
        <v>154</v>
      </c>
    </row>
    <row r="636" spans="9:22" x14ac:dyDescent="0.45">
      <c r="I636" t="s">
        <v>180</v>
      </c>
      <c r="J636" t="s">
        <v>164</v>
      </c>
      <c r="K636">
        <v>6.754643419115536E-3</v>
      </c>
      <c r="L636" t="s">
        <v>154</v>
      </c>
      <c r="N636" t="s">
        <v>209</v>
      </c>
      <c r="O636" t="s">
        <v>164</v>
      </c>
      <c r="P636">
        <v>7.6863416501173091E-3</v>
      </c>
      <c r="Q636" t="s">
        <v>154</v>
      </c>
      <c r="S636" t="s">
        <v>233</v>
      </c>
      <c r="T636" t="s">
        <v>164</v>
      </c>
      <c r="U636">
        <v>8.1589353343299673E-3</v>
      </c>
      <c r="V636" t="s">
        <v>154</v>
      </c>
    </row>
    <row r="637" spans="9:22" x14ac:dyDescent="0.45">
      <c r="I637" t="s">
        <v>180</v>
      </c>
      <c r="J637" t="s">
        <v>165</v>
      </c>
      <c r="K637">
        <v>5.6099390210289047E-3</v>
      </c>
      <c r="L637" t="s">
        <v>154</v>
      </c>
      <c r="N637" t="s">
        <v>209</v>
      </c>
      <c r="O637" t="s">
        <v>165</v>
      </c>
      <c r="P637">
        <v>4.3687117973850243E-3</v>
      </c>
      <c r="Q637" t="s">
        <v>154</v>
      </c>
      <c r="S637" t="s">
        <v>233</v>
      </c>
      <c r="T637" t="s">
        <v>165</v>
      </c>
      <c r="U637">
        <v>4.1102517226783656E-3</v>
      </c>
      <c r="V637" t="s">
        <v>154</v>
      </c>
    </row>
    <row r="638" spans="9:22" x14ac:dyDescent="0.45">
      <c r="I638" t="s">
        <v>180</v>
      </c>
      <c r="J638" t="s">
        <v>264</v>
      </c>
      <c r="K638">
        <v>3.9560862357747903E-2</v>
      </c>
      <c r="L638" t="s">
        <v>154</v>
      </c>
      <c r="N638" t="s">
        <v>209</v>
      </c>
      <c r="O638" t="s">
        <v>264</v>
      </c>
      <c r="P638">
        <v>2.6288604317678207E-2</v>
      </c>
      <c r="Q638" t="s">
        <v>154</v>
      </c>
      <c r="S638" t="s">
        <v>233</v>
      </c>
      <c r="T638" t="s">
        <v>264</v>
      </c>
      <c r="U638">
        <v>2.2689319304144633E-2</v>
      </c>
      <c r="V638" t="s">
        <v>154</v>
      </c>
    </row>
    <row r="639" spans="9:22" x14ac:dyDescent="0.45">
      <c r="I639" t="s">
        <v>180</v>
      </c>
      <c r="J639" t="s">
        <v>265</v>
      </c>
      <c r="K639">
        <v>4.8265201649998523E-3</v>
      </c>
      <c r="L639" t="s">
        <v>154</v>
      </c>
      <c r="N639" t="s">
        <v>209</v>
      </c>
      <c r="O639" t="s">
        <v>265</v>
      </c>
      <c r="P639">
        <v>4.4392862972217791E-3</v>
      </c>
      <c r="Q639" t="s">
        <v>154</v>
      </c>
      <c r="S639" t="s">
        <v>233</v>
      </c>
      <c r="T639" t="s">
        <v>265</v>
      </c>
      <c r="U639">
        <v>3.8360800387229714E-3</v>
      </c>
      <c r="V639" t="s">
        <v>154</v>
      </c>
    </row>
    <row r="640" spans="9:22" x14ac:dyDescent="0.45">
      <c r="I640" t="s">
        <v>180</v>
      </c>
      <c r="J640" t="s">
        <v>266</v>
      </c>
      <c r="K640">
        <v>3.163044855019705E-3</v>
      </c>
      <c r="L640" t="s">
        <v>154</v>
      </c>
      <c r="N640" t="s">
        <v>209</v>
      </c>
      <c r="O640" t="s">
        <v>266</v>
      </c>
      <c r="P640">
        <v>4.3212481165987218E-3</v>
      </c>
      <c r="Q640" t="s">
        <v>154</v>
      </c>
      <c r="S640" t="s">
        <v>233</v>
      </c>
      <c r="T640" t="s">
        <v>266</v>
      </c>
      <c r="U640">
        <v>3.9101817929199411E-3</v>
      </c>
      <c r="V640" t="s">
        <v>154</v>
      </c>
    </row>
    <row r="641" spans="9:22" x14ac:dyDescent="0.45">
      <c r="I641" t="s">
        <v>180</v>
      </c>
      <c r="J641" t="s">
        <v>288</v>
      </c>
      <c r="K641">
        <v>0</v>
      </c>
      <c r="L641" t="s">
        <v>154</v>
      </c>
      <c r="N641" t="s">
        <v>209</v>
      </c>
      <c r="O641" t="s">
        <v>288</v>
      </c>
      <c r="P641">
        <v>4.028353455634107E-3</v>
      </c>
      <c r="Q641" t="s">
        <v>154</v>
      </c>
      <c r="S641" t="s">
        <v>233</v>
      </c>
      <c r="T641" t="s">
        <v>288</v>
      </c>
      <c r="U641">
        <v>3.7097699321666576E-3</v>
      </c>
      <c r="V641" t="s">
        <v>154</v>
      </c>
    </row>
    <row r="642" spans="9:22" x14ac:dyDescent="0.45">
      <c r="I642" t="s">
        <v>180</v>
      </c>
      <c r="J642" t="s">
        <v>289</v>
      </c>
      <c r="K642">
        <v>0</v>
      </c>
      <c r="L642" t="s">
        <v>154</v>
      </c>
      <c r="N642" t="s">
        <v>209</v>
      </c>
      <c r="O642" t="s">
        <v>289</v>
      </c>
      <c r="P642">
        <v>2.025499198027654E-2</v>
      </c>
      <c r="Q642" t="s">
        <v>154</v>
      </c>
      <c r="S642" t="s">
        <v>233</v>
      </c>
      <c r="T642" t="s">
        <v>289</v>
      </c>
      <c r="U642">
        <v>2.1322877846974706E-2</v>
      </c>
      <c r="V642" t="s">
        <v>154</v>
      </c>
    </row>
    <row r="643" spans="9:22" x14ac:dyDescent="0.45">
      <c r="I643" t="s">
        <v>180</v>
      </c>
      <c r="J643" t="s">
        <v>272</v>
      </c>
      <c r="K643">
        <v>0</v>
      </c>
      <c r="L643" t="s">
        <v>154</v>
      </c>
      <c r="N643" t="s">
        <v>209</v>
      </c>
      <c r="O643" t="s">
        <v>272</v>
      </c>
      <c r="P643">
        <v>4.6955763095555735E-2</v>
      </c>
      <c r="Q643" t="s">
        <v>154</v>
      </c>
      <c r="S643" t="s">
        <v>233</v>
      </c>
      <c r="T643" t="s">
        <v>272</v>
      </c>
      <c r="U643">
        <v>6.0311601457730776E-2</v>
      </c>
      <c r="V643" t="s">
        <v>154</v>
      </c>
    </row>
    <row r="644" spans="9:22" x14ac:dyDescent="0.45">
      <c r="I644" t="s">
        <v>180</v>
      </c>
      <c r="J644" t="s">
        <v>273</v>
      </c>
      <c r="K644">
        <v>7.4761739731712112E-3</v>
      </c>
      <c r="L644" t="s">
        <v>154</v>
      </c>
      <c r="N644" t="s">
        <v>209</v>
      </c>
      <c r="O644" t="s">
        <v>273</v>
      </c>
      <c r="P644">
        <v>1.319595196624356E-2</v>
      </c>
      <c r="Q644" t="s">
        <v>154</v>
      </c>
      <c r="S644" t="s">
        <v>233</v>
      </c>
      <c r="T644" t="s">
        <v>273</v>
      </c>
      <c r="U644">
        <v>1.6966221944768642E-2</v>
      </c>
      <c r="V644" t="s">
        <v>154</v>
      </c>
    </row>
    <row r="645" spans="9:22" x14ac:dyDescent="0.45">
      <c r="I645" t="s">
        <v>180</v>
      </c>
      <c r="J645" t="s">
        <v>274</v>
      </c>
      <c r="K645">
        <v>7.428147957946509E-3</v>
      </c>
      <c r="L645" t="s">
        <v>154</v>
      </c>
      <c r="N645" t="s">
        <v>209</v>
      </c>
      <c r="O645" t="s">
        <v>274</v>
      </c>
      <c r="P645">
        <v>7.7972749040878227E-3</v>
      </c>
      <c r="Q645" t="s">
        <v>154</v>
      </c>
      <c r="S645" t="s">
        <v>233</v>
      </c>
      <c r="T645" t="s">
        <v>274</v>
      </c>
      <c r="U645">
        <v>8.8142562216492575E-3</v>
      </c>
      <c r="V645" t="s">
        <v>154</v>
      </c>
    </row>
    <row r="646" spans="9:22" x14ac:dyDescent="0.45">
      <c r="I646" t="s">
        <v>180</v>
      </c>
      <c r="J646" t="s">
        <v>275</v>
      </c>
      <c r="K646">
        <v>6.1936213461132546E-2</v>
      </c>
      <c r="L646" t="s">
        <v>154</v>
      </c>
      <c r="N646" t="s">
        <v>209</v>
      </c>
      <c r="O646" t="s">
        <v>275</v>
      </c>
      <c r="P646">
        <v>4.7075291346614145E-2</v>
      </c>
      <c r="Q646" t="s">
        <v>154</v>
      </c>
      <c r="S646" t="s">
        <v>233</v>
      </c>
      <c r="T646" t="s">
        <v>275</v>
      </c>
      <c r="U646">
        <v>4.8641898279076702E-2</v>
      </c>
      <c r="V646" t="s">
        <v>154</v>
      </c>
    </row>
    <row r="647" spans="9:22" x14ac:dyDescent="0.45">
      <c r="I647" t="s">
        <v>180</v>
      </c>
      <c r="J647" t="s">
        <v>276</v>
      </c>
      <c r="K647">
        <v>6.5438893696823522E-3</v>
      </c>
      <c r="L647" t="s">
        <v>154</v>
      </c>
      <c r="N647" t="s">
        <v>209</v>
      </c>
      <c r="O647" t="s">
        <v>276</v>
      </c>
      <c r="P647">
        <v>7.8391097601856041E-3</v>
      </c>
      <c r="Q647" t="s">
        <v>154</v>
      </c>
      <c r="S647" t="s">
        <v>233</v>
      </c>
      <c r="T647" t="s">
        <v>276</v>
      </c>
      <c r="U647">
        <v>8.159016643506177E-3</v>
      </c>
      <c r="V647" t="s">
        <v>154</v>
      </c>
    </row>
    <row r="648" spans="9:22" x14ac:dyDescent="0.45">
      <c r="I648" t="s">
        <v>180</v>
      </c>
      <c r="J648" t="s">
        <v>277</v>
      </c>
      <c r="K648">
        <v>3.6987876748619799E-3</v>
      </c>
      <c r="L648" t="s">
        <v>154</v>
      </c>
      <c r="N648" t="s">
        <v>209</v>
      </c>
      <c r="O648" t="s">
        <v>277</v>
      </c>
      <c r="P648">
        <v>7.9085936017019402E-3</v>
      </c>
      <c r="Q648" t="s">
        <v>154</v>
      </c>
      <c r="S648" t="s">
        <v>233</v>
      </c>
      <c r="T648" t="s">
        <v>277</v>
      </c>
      <c r="U648">
        <v>8.5939124315801505E-3</v>
      </c>
      <c r="V648" t="s">
        <v>154</v>
      </c>
    </row>
    <row r="649" spans="9:22" x14ac:dyDescent="0.45">
      <c r="I649" t="s">
        <v>180</v>
      </c>
      <c r="J649" t="s">
        <v>290</v>
      </c>
      <c r="K649">
        <v>0</v>
      </c>
      <c r="L649" t="s">
        <v>154</v>
      </c>
      <c r="N649" t="s">
        <v>209</v>
      </c>
      <c r="O649" t="s">
        <v>290</v>
      </c>
      <c r="P649">
        <v>6.5711090661357162E-3</v>
      </c>
      <c r="Q649" t="s">
        <v>154</v>
      </c>
      <c r="S649" t="s">
        <v>233</v>
      </c>
      <c r="T649" t="s">
        <v>290</v>
      </c>
      <c r="U649">
        <v>6.9642913931698587E-3</v>
      </c>
      <c r="V649" t="s">
        <v>154</v>
      </c>
    </row>
    <row r="650" spans="9:22" x14ac:dyDescent="0.45">
      <c r="I650" t="s">
        <v>180</v>
      </c>
      <c r="J650" t="s">
        <v>291</v>
      </c>
      <c r="K650">
        <v>0</v>
      </c>
      <c r="L650" t="s">
        <v>154</v>
      </c>
      <c r="N650" t="s">
        <v>209</v>
      </c>
      <c r="O650" t="s">
        <v>291</v>
      </c>
      <c r="P650">
        <v>3.5387030436644554E-2</v>
      </c>
      <c r="Q650" t="s">
        <v>154</v>
      </c>
      <c r="S650" t="s">
        <v>233</v>
      </c>
      <c r="T650" t="s">
        <v>291</v>
      </c>
      <c r="U650">
        <v>4.4410451246079341E-2</v>
      </c>
      <c r="V650" t="s">
        <v>154</v>
      </c>
    </row>
    <row r="651" spans="9:22" x14ac:dyDescent="0.45">
      <c r="I651" t="s">
        <v>181</v>
      </c>
      <c r="J651" t="s">
        <v>153</v>
      </c>
      <c r="K651">
        <v>2.4848437026649822E-3</v>
      </c>
      <c r="L651" t="s">
        <v>154</v>
      </c>
      <c r="N651" t="s">
        <v>210</v>
      </c>
      <c r="O651" t="s">
        <v>153</v>
      </c>
      <c r="P651">
        <v>0.16190578688403878</v>
      </c>
      <c r="Q651" t="s">
        <v>154</v>
      </c>
      <c r="S651" t="s">
        <v>234</v>
      </c>
      <c r="T651" t="s">
        <v>153</v>
      </c>
      <c r="U651">
        <v>0.17997731892161453</v>
      </c>
      <c r="V651" t="s">
        <v>154</v>
      </c>
    </row>
    <row r="652" spans="9:22" x14ac:dyDescent="0.45">
      <c r="I652" t="s">
        <v>181</v>
      </c>
      <c r="J652" t="s">
        <v>155</v>
      </c>
      <c r="K652">
        <v>6.6976019883748461E-2</v>
      </c>
      <c r="L652" t="s">
        <v>154</v>
      </c>
      <c r="N652" t="s">
        <v>210</v>
      </c>
      <c r="O652" t="s">
        <v>155</v>
      </c>
      <c r="P652">
        <v>4.5851154209465644E-2</v>
      </c>
      <c r="Q652" t="s">
        <v>154</v>
      </c>
      <c r="S652" t="s">
        <v>234</v>
      </c>
      <c r="T652" t="s">
        <v>155</v>
      </c>
      <c r="U652">
        <v>5.0428561029846282E-2</v>
      </c>
      <c r="V652" t="s">
        <v>154</v>
      </c>
    </row>
    <row r="653" spans="9:22" x14ac:dyDescent="0.45">
      <c r="I653" t="s">
        <v>181</v>
      </c>
      <c r="J653" t="s">
        <v>156</v>
      </c>
      <c r="K653">
        <v>6.3115204137296238E-2</v>
      </c>
      <c r="L653" t="s">
        <v>154</v>
      </c>
      <c r="N653" t="s">
        <v>210</v>
      </c>
      <c r="O653" t="s">
        <v>156</v>
      </c>
      <c r="P653">
        <v>2.5635845983911609E-2</v>
      </c>
      <c r="Q653" t="s">
        <v>154</v>
      </c>
      <c r="S653" t="s">
        <v>234</v>
      </c>
      <c r="T653" t="s">
        <v>156</v>
      </c>
      <c r="U653">
        <v>2.6079961397741026E-2</v>
      </c>
      <c r="V653" t="s">
        <v>154</v>
      </c>
    </row>
    <row r="654" spans="9:22" x14ac:dyDescent="0.45">
      <c r="I654" t="s">
        <v>181</v>
      </c>
      <c r="J654" t="s">
        <v>255</v>
      </c>
      <c r="K654">
        <v>0.45137021807417521</v>
      </c>
      <c r="L654" t="s">
        <v>154</v>
      </c>
      <c r="N654" t="s">
        <v>210</v>
      </c>
      <c r="O654" t="s">
        <v>255</v>
      </c>
      <c r="P654">
        <v>0.15925517982819909</v>
      </c>
      <c r="Q654" t="s">
        <v>154</v>
      </c>
      <c r="S654" t="s">
        <v>234</v>
      </c>
      <c r="T654" t="s">
        <v>255</v>
      </c>
      <c r="U654">
        <v>0.14252699946933653</v>
      </c>
      <c r="V654" t="s">
        <v>154</v>
      </c>
    </row>
    <row r="655" spans="9:22" x14ac:dyDescent="0.45">
      <c r="I655" t="s">
        <v>181</v>
      </c>
      <c r="J655" t="s">
        <v>256</v>
      </c>
      <c r="K655">
        <v>5.2273202213935006E-2</v>
      </c>
      <c r="L655" t="s">
        <v>154</v>
      </c>
      <c r="N655" t="s">
        <v>210</v>
      </c>
      <c r="O655" t="s">
        <v>256</v>
      </c>
      <c r="P655">
        <v>2.7182390896453652E-2</v>
      </c>
      <c r="Q655" t="s">
        <v>154</v>
      </c>
      <c r="S655" t="s">
        <v>234</v>
      </c>
      <c r="T655" t="s">
        <v>256</v>
      </c>
      <c r="U655">
        <v>2.326646529321386E-2</v>
      </c>
      <c r="V655" t="s">
        <v>154</v>
      </c>
    </row>
    <row r="656" spans="9:22" x14ac:dyDescent="0.45">
      <c r="I656" t="s">
        <v>181</v>
      </c>
      <c r="J656" t="s">
        <v>257</v>
      </c>
      <c r="K656">
        <v>3.7187202976281787E-2</v>
      </c>
      <c r="L656" t="s">
        <v>154</v>
      </c>
      <c r="N656" t="s">
        <v>210</v>
      </c>
      <c r="O656" t="s">
        <v>257</v>
      </c>
      <c r="P656">
        <v>2.7212819024596949E-2</v>
      </c>
      <c r="Q656" t="s">
        <v>154</v>
      </c>
      <c r="S656" t="s">
        <v>234</v>
      </c>
      <c r="T656" t="s">
        <v>257</v>
      </c>
      <c r="U656">
        <v>2.410148261436228E-2</v>
      </c>
      <c r="V656" t="s">
        <v>154</v>
      </c>
    </row>
    <row r="657" spans="9:22" x14ac:dyDescent="0.45">
      <c r="I657" t="s">
        <v>181</v>
      </c>
      <c r="J657" t="s">
        <v>282</v>
      </c>
      <c r="K657">
        <v>2.0872591525577123E-2</v>
      </c>
      <c r="L657" t="s">
        <v>154</v>
      </c>
      <c r="N657" t="s">
        <v>210</v>
      </c>
      <c r="O657" t="s">
        <v>282</v>
      </c>
      <c r="P657">
        <v>2.3876814181209852E-2</v>
      </c>
      <c r="Q657" t="s">
        <v>154</v>
      </c>
      <c r="S657" t="s">
        <v>234</v>
      </c>
      <c r="T657" t="s">
        <v>282</v>
      </c>
      <c r="U657">
        <v>2.3078329037190912E-2</v>
      </c>
      <c r="V657" t="s">
        <v>154</v>
      </c>
    </row>
    <row r="658" spans="9:22" x14ac:dyDescent="0.45">
      <c r="I658" t="s">
        <v>181</v>
      </c>
      <c r="J658" t="s">
        <v>283</v>
      </c>
      <c r="K658">
        <v>6.273225775059945E-5</v>
      </c>
      <c r="L658" t="s">
        <v>154</v>
      </c>
      <c r="N658" t="s">
        <v>210</v>
      </c>
      <c r="O658" t="s">
        <v>283</v>
      </c>
      <c r="P658">
        <v>0.12882414038827802</v>
      </c>
      <c r="Q658" t="s">
        <v>154</v>
      </c>
      <c r="S658" t="s">
        <v>234</v>
      </c>
      <c r="T658" t="s">
        <v>283</v>
      </c>
      <c r="U658">
        <v>0.13591747834437992</v>
      </c>
      <c r="V658" t="s">
        <v>154</v>
      </c>
    </row>
    <row r="659" spans="9:22" x14ac:dyDescent="0.45">
      <c r="I659" t="s">
        <v>181</v>
      </c>
      <c r="J659" t="s">
        <v>157</v>
      </c>
      <c r="K659">
        <v>0</v>
      </c>
      <c r="L659" t="s">
        <v>154</v>
      </c>
      <c r="N659" t="s">
        <v>210</v>
      </c>
      <c r="O659" t="s">
        <v>157</v>
      </c>
      <c r="P659">
        <v>6.0308097210544009E-3</v>
      </c>
      <c r="Q659" t="s">
        <v>154</v>
      </c>
      <c r="S659" t="s">
        <v>234</v>
      </c>
      <c r="T659" t="s">
        <v>157</v>
      </c>
      <c r="U659">
        <v>1.1118205275940315E-2</v>
      </c>
      <c r="V659" t="s">
        <v>154</v>
      </c>
    </row>
    <row r="660" spans="9:22" x14ac:dyDescent="0.45">
      <c r="I660" t="s">
        <v>181</v>
      </c>
      <c r="J660" t="s">
        <v>158</v>
      </c>
      <c r="K660">
        <v>5.5556139148188769E-3</v>
      </c>
      <c r="L660" t="s">
        <v>154</v>
      </c>
      <c r="N660" t="s">
        <v>210</v>
      </c>
      <c r="O660" t="s">
        <v>158</v>
      </c>
      <c r="P660">
        <v>1.584120676583539E-3</v>
      </c>
      <c r="Q660" t="s">
        <v>154</v>
      </c>
      <c r="S660" t="s">
        <v>234</v>
      </c>
      <c r="T660" t="s">
        <v>158</v>
      </c>
      <c r="U660">
        <v>3.0240603632842203E-3</v>
      </c>
      <c r="V660" t="s">
        <v>154</v>
      </c>
    </row>
    <row r="661" spans="9:22" x14ac:dyDescent="0.45">
      <c r="I661" t="s">
        <v>181</v>
      </c>
      <c r="J661" t="s">
        <v>159</v>
      </c>
      <c r="K661">
        <v>5.2752747008705178E-3</v>
      </c>
      <c r="L661" t="s">
        <v>154</v>
      </c>
      <c r="N661" t="s">
        <v>210</v>
      </c>
      <c r="O661" t="s">
        <v>159</v>
      </c>
      <c r="P661">
        <v>8.3224313044642502E-4</v>
      </c>
      <c r="Q661" t="s">
        <v>154</v>
      </c>
      <c r="S661" t="s">
        <v>234</v>
      </c>
      <c r="T661" t="s">
        <v>159</v>
      </c>
      <c r="U661">
        <v>1.3824359763548652E-3</v>
      </c>
      <c r="V661" t="s">
        <v>154</v>
      </c>
    </row>
    <row r="662" spans="9:22" x14ac:dyDescent="0.45">
      <c r="I662" t="s">
        <v>181</v>
      </c>
      <c r="J662" t="s">
        <v>258</v>
      </c>
      <c r="K662">
        <v>3.8644248979217165E-2</v>
      </c>
      <c r="L662" t="s">
        <v>154</v>
      </c>
      <c r="N662" t="s">
        <v>210</v>
      </c>
      <c r="O662" t="s">
        <v>258</v>
      </c>
      <c r="P662">
        <v>5.6539747913650715E-3</v>
      </c>
      <c r="Q662" t="s">
        <v>154</v>
      </c>
      <c r="S662" t="s">
        <v>234</v>
      </c>
      <c r="T662" t="s">
        <v>258</v>
      </c>
      <c r="U662">
        <v>8.6077261272063908E-3</v>
      </c>
      <c r="V662" t="s">
        <v>154</v>
      </c>
    </row>
    <row r="663" spans="9:22" x14ac:dyDescent="0.45">
      <c r="I663" t="s">
        <v>181</v>
      </c>
      <c r="J663" t="s">
        <v>259</v>
      </c>
      <c r="K663">
        <v>3.6675000601561611E-3</v>
      </c>
      <c r="L663" t="s">
        <v>154</v>
      </c>
      <c r="N663" t="s">
        <v>210</v>
      </c>
      <c r="O663" t="s">
        <v>259</v>
      </c>
      <c r="P663">
        <v>1.0061426606415025E-3</v>
      </c>
      <c r="Q663" t="s">
        <v>154</v>
      </c>
      <c r="S663" t="s">
        <v>234</v>
      </c>
      <c r="T663" t="s">
        <v>259</v>
      </c>
      <c r="U663">
        <v>1.411959689834175E-3</v>
      </c>
      <c r="V663" t="s">
        <v>154</v>
      </c>
    </row>
    <row r="664" spans="9:22" x14ac:dyDescent="0.45">
      <c r="I664" t="s">
        <v>181</v>
      </c>
      <c r="J664" t="s">
        <v>260</v>
      </c>
      <c r="K664">
        <v>2.3530068393600037E-3</v>
      </c>
      <c r="L664" t="s">
        <v>154</v>
      </c>
      <c r="N664" t="s">
        <v>210</v>
      </c>
      <c r="O664" t="s">
        <v>260</v>
      </c>
      <c r="P664">
        <v>9.5159598472086785E-4</v>
      </c>
      <c r="Q664" t="s">
        <v>154</v>
      </c>
      <c r="S664" t="s">
        <v>234</v>
      </c>
      <c r="T664" t="s">
        <v>260</v>
      </c>
      <c r="U664">
        <v>1.3978449902531263E-3</v>
      </c>
      <c r="V664" t="s">
        <v>154</v>
      </c>
    </row>
    <row r="665" spans="9:22" x14ac:dyDescent="0.45">
      <c r="I665" t="s">
        <v>181</v>
      </c>
      <c r="J665" t="s">
        <v>284</v>
      </c>
      <c r="K665">
        <v>1.1387017030867641E-3</v>
      </c>
      <c r="L665" t="s">
        <v>154</v>
      </c>
      <c r="N665" t="s">
        <v>210</v>
      </c>
      <c r="O665" t="s">
        <v>284</v>
      </c>
      <c r="P665">
        <v>1.0514669810363347E-3</v>
      </c>
      <c r="Q665" t="s">
        <v>154</v>
      </c>
      <c r="S665" t="s">
        <v>234</v>
      </c>
      <c r="T665" t="s">
        <v>284</v>
      </c>
      <c r="U665">
        <v>1.4904299052581557E-3</v>
      </c>
      <c r="V665" t="s">
        <v>154</v>
      </c>
    </row>
    <row r="666" spans="9:22" x14ac:dyDescent="0.45">
      <c r="I666" t="s">
        <v>181</v>
      </c>
      <c r="J666" t="s">
        <v>285</v>
      </c>
      <c r="K666">
        <v>0</v>
      </c>
      <c r="L666" t="s">
        <v>154</v>
      </c>
      <c r="N666" t="s">
        <v>210</v>
      </c>
      <c r="O666" t="s">
        <v>285</v>
      </c>
      <c r="P666">
        <v>4.6499198041703672E-3</v>
      </c>
      <c r="Q666" t="s">
        <v>154</v>
      </c>
      <c r="S666" t="s">
        <v>234</v>
      </c>
      <c r="T666" t="s">
        <v>285</v>
      </c>
      <c r="U666">
        <v>7.6197864717170594E-3</v>
      </c>
      <c r="V666" t="s">
        <v>154</v>
      </c>
    </row>
    <row r="667" spans="9:22" x14ac:dyDescent="0.45">
      <c r="I667" t="s">
        <v>181</v>
      </c>
      <c r="J667" t="s">
        <v>160</v>
      </c>
      <c r="K667">
        <v>0</v>
      </c>
      <c r="L667" t="s">
        <v>154</v>
      </c>
      <c r="N667" t="s">
        <v>210</v>
      </c>
      <c r="O667" t="s">
        <v>160</v>
      </c>
      <c r="P667">
        <v>1.9454980014238614E-2</v>
      </c>
      <c r="Q667" t="s">
        <v>154</v>
      </c>
      <c r="S667" t="s">
        <v>234</v>
      </c>
      <c r="T667" t="s">
        <v>160</v>
      </c>
      <c r="U667">
        <v>3.826196833467873E-2</v>
      </c>
      <c r="V667" t="s">
        <v>154</v>
      </c>
    </row>
    <row r="668" spans="9:22" x14ac:dyDescent="0.45">
      <c r="I668" t="s">
        <v>181</v>
      </c>
      <c r="J668" t="s">
        <v>161</v>
      </c>
      <c r="K668">
        <v>7.952394572939973E-3</v>
      </c>
      <c r="L668" t="s">
        <v>154</v>
      </c>
      <c r="N668" t="s">
        <v>210</v>
      </c>
      <c r="O668" t="s">
        <v>161</v>
      </c>
      <c r="P668">
        <v>5.215592684018033E-3</v>
      </c>
      <c r="Q668" t="s">
        <v>154</v>
      </c>
      <c r="S668" t="s">
        <v>234</v>
      </c>
      <c r="T668" t="s">
        <v>161</v>
      </c>
      <c r="U668">
        <v>1.0157485677359312E-2</v>
      </c>
      <c r="V668" t="s">
        <v>154</v>
      </c>
    </row>
    <row r="669" spans="9:22" x14ac:dyDescent="0.45">
      <c r="I669" t="s">
        <v>181</v>
      </c>
      <c r="J669" t="s">
        <v>162</v>
      </c>
      <c r="K669">
        <v>7.0948865273718258E-3</v>
      </c>
      <c r="L669" t="s">
        <v>154</v>
      </c>
      <c r="N669" t="s">
        <v>210</v>
      </c>
      <c r="O669" t="s">
        <v>162</v>
      </c>
      <c r="P669">
        <v>2.6773855279094874E-3</v>
      </c>
      <c r="Q669" t="s">
        <v>154</v>
      </c>
      <c r="S669" t="s">
        <v>234</v>
      </c>
      <c r="T669" t="s">
        <v>162</v>
      </c>
      <c r="U669">
        <v>5.0772777480554013E-3</v>
      </c>
      <c r="V669" t="s">
        <v>154</v>
      </c>
    </row>
    <row r="670" spans="9:22" x14ac:dyDescent="0.45">
      <c r="I670" t="s">
        <v>181</v>
      </c>
      <c r="J670" t="s">
        <v>261</v>
      </c>
      <c r="K670">
        <v>4.7796919199237425E-2</v>
      </c>
      <c r="L670" t="s">
        <v>154</v>
      </c>
      <c r="N670" t="s">
        <v>210</v>
      </c>
      <c r="O670" t="s">
        <v>261</v>
      </c>
      <c r="P670">
        <v>1.7617117724387218E-2</v>
      </c>
      <c r="Q670" t="s">
        <v>154</v>
      </c>
      <c r="S670" t="s">
        <v>234</v>
      </c>
      <c r="T670" t="s">
        <v>261</v>
      </c>
      <c r="U670">
        <v>3.1820867855072987E-2</v>
      </c>
      <c r="V670" t="s">
        <v>154</v>
      </c>
    </row>
    <row r="671" spans="9:22" x14ac:dyDescent="0.45">
      <c r="I671" t="s">
        <v>181</v>
      </c>
      <c r="J671" t="s">
        <v>262</v>
      </c>
      <c r="K671">
        <v>5.3424150731494219E-3</v>
      </c>
      <c r="L671" t="s">
        <v>154</v>
      </c>
      <c r="N671" t="s">
        <v>210</v>
      </c>
      <c r="O671" t="s">
        <v>262</v>
      </c>
      <c r="P671">
        <v>3.0365044708013282E-3</v>
      </c>
      <c r="Q671" t="s">
        <v>154</v>
      </c>
      <c r="S671" t="s">
        <v>234</v>
      </c>
      <c r="T671" t="s">
        <v>262</v>
      </c>
      <c r="U671">
        <v>5.4659429028583234E-3</v>
      </c>
      <c r="V671" t="s">
        <v>154</v>
      </c>
    </row>
    <row r="672" spans="9:22" x14ac:dyDescent="0.45">
      <c r="I672" t="s">
        <v>181</v>
      </c>
      <c r="J672" t="s">
        <v>263</v>
      </c>
      <c r="K672">
        <v>3.4671442955150674E-3</v>
      </c>
      <c r="L672" t="s">
        <v>154</v>
      </c>
      <c r="N672" t="s">
        <v>210</v>
      </c>
      <c r="O672" t="s">
        <v>263</v>
      </c>
      <c r="P672">
        <v>2.9146989387206332E-3</v>
      </c>
      <c r="Q672" t="s">
        <v>154</v>
      </c>
      <c r="S672" t="s">
        <v>234</v>
      </c>
      <c r="T672" t="s">
        <v>263</v>
      </c>
      <c r="U672">
        <v>5.4820250623097456E-3</v>
      </c>
      <c r="V672" t="s">
        <v>154</v>
      </c>
    </row>
    <row r="673" spans="9:22" x14ac:dyDescent="0.45">
      <c r="I673" t="s">
        <v>181</v>
      </c>
      <c r="J673" t="s">
        <v>286</v>
      </c>
      <c r="K673">
        <v>1.9269424099253919E-3</v>
      </c>
      <c r="L673" t="s">
        <v>154</v>
      </c>
      <c r="N673" t="s">
        <v>210</v>
      </c>
      <c r="O673" t="s">
        <v>286</v>
      </c>
      <c r="P673">
        <v>2.954044127066062E-3</v>
      </c>
      <c r="Q673" t="s">
        <v>154</v>
      </c>
      <c r="S673" t="s">
        <v>234</v>
      </c>
      <c r="T673" t="s">
        <v>286</v>
      </c>
      <c r="U673">
        <v>5.521401001595698E-3</v>
      </c>
      <c r="V673" t="s">
        <v>154</v>
      </c>
    </row>
    <row r="674" spans="9:22" x14ac:dyDescent="0.45">
      <c r="I674" t="s">
        <v>181</v>
      </c>
      <c r="J674" t="s">
        <v>287</v>
      </c>
      <c r="K674">
        <v>0</v>
      </c>
      <c r="L674" t="s">
        <v>154</v>
      </c>
      <c r="N674" t="s">
        <v>210</v>
      </c>
      <c r="O674" t="s">
        <v>287</v>
      </c>
      <c r="P674">
        <v>1.4508252556633646E-2</v>
      </c>
      <c r="Q674" t="s">
        <v>154</v>
      </c>
      <c r="S674" t="s">
        <v>234</v>
      </c>
      <c r="T674" t="s">
        <v>287</v>
      </c>
      <c r="U674">
        <v>2.6714071729862468E-2</v>
      </c>
      <c r="V674" t="s">
        <v>154</v>
      </c>
    </row>
    <row r="675" spans="9:22" x14ac:dyDescent="0.45">
      <c r="I675" t="s">
        <v>181</v>
      </c>
      <c r="J675" t="s">
        <v>163</v>
      </c>
      <c r="K675">
        <v>0</v>
      </c>
      <c r="L675" t="s">
        <v>154</v>
      </c>
      <c r="N675" t="s">
        <v>210</v>
      </c>
      <c r="O675" t="s">
        <v>163</v>
      </c>
      <c r="P675">
        <v>2.6973357865915596E-2</v>
      </c>
      <c r="Q675" t="s">
        <v>154</v>
      </c>
      <c r="S675" t="s">
        <v>234</v>
      </c>
      <c r="T675" t="s">
        <v>163</v>
      </c>
      <c r="U675">
        <v>1.6800783725136142E-2</v>
      </c>
      <c r="V675" t="s">
        <v>154</v>
      </c>
    </row>
    <row r="676" spans="9:22" x14ac:dyDescent="0.45">
      <c r="I676" t="s">
        <v>181</v>
      </c>
      <c r="J676" t="s">
        <v>164</v>
      </c>
      <c r="K676">
        <v>7.3746092260783269E-3</v>
      </c>
      <c r="L676" t="s">
        <v>154</v>
      </c>
      <c r="N676" t="s">
        <v>210</v>
      </c>
      <c r="O676" t="s">
        <v>164</v>
      </c>
      <c r="P676">
        <v>8.0405754922564902E-3</v>
      </c>
      <c r="Q676" t="s">
        <v>154</v>
      </c>
      <c r="S676" t="s">
        <v>234</v>
      </c>
      <c r="T676" t="s">
        <v>164</v>
      </c>
      <c r="U676">
        <v>4.5983804735652192E-3</v>
      </c>
      <c r="V676" t="s">
        <v>154</v>
      </c>
    </row>
    <row r="677" spans="9:22" x14ac:dyDescent="0.45">
      <c r="I677" t="s">
        <v>181</v>
      </c>
      <c r="J677" t="s">
        <v>165</v>
      </c>
      <c r="K677">
        <v>6.2464040510607681E-3</v>
      </c>
      <c r="L677" t="s">
        <v>154</v>
      </c>
      <c r="N677" t="s">
        <v>210</v>
      </c>
      <c r="O677" t="s">
        <v>165</v>
      </c>
      <c r="P677">
        <v>4.2981178963952911E-3</v>
      </c>
      <c r="Q677" t="s">
        <v>154</v>
      </c>
      <c r="S677" t="s">
        <v>234</v>
      </c>
      <c r="T677" t="s">
        <v>165</v>
      </c>
      <c r="U677">
        <v>2.4122348218114922E-3</v>
      </c>
      <c r="V677" t="s">
        <v>154</v>
      </c>
    </row>
    <row r="678" spans="9:22" x14ac:dyDescent="0.45">
      <c r="I678" t="s">
        <v>181</v>
      </c>
      <c r="J678" t="s">
        <v>264</v>
      </c>
      <c r="K678">
        <v>4.1430119362786247E-2</v>
      </c>
      <c r="L678" t="s">
        <v>154</v>
      </c>
      <c r="N678" t="s">
        <v>210</v>
      </c>
      <c r="O678" t="s">
        <v>264</v>
      </c>
      <c r="P678">
        <v>2.5882052698383267E-2</v>
      </c>
      <c r="Q678" t="s">
        <v>154</v>
      </c>
      <c r="S678" t="s">
        <v>234</v>
      </c>
      <c r="T678" t="s">
        <v>264</v>
      </c>
      <c r="U678">
        <v>1.3279996728756556E-2</v>
      </c>
      <c r="V678" t="s">
        <v>154</v>
      </c>
    </row>
    <row r="679" spans="9:22" x14ac:dyDescent="0.45">
      <c r="I679" t="s">
        <v>181</v>
      </c>
      <c r="J679" t="s">
        <v>265</v>
      </c>
      <c r="K679">
        <v>5.0513874243866587E-3</v>
      </c>
      <c r="L679" t="s">
        <v>154</v>
      </c>
      <c r="N679" t="s">
        <v>210</v>
      </c>
      <c r="O679" t="s">
        <v>265</v>
      </c>
      <c r="P679">
        <v>4.2466751811340272E-3</v>
      </c>
      <c r="Q679" t="s">
        <v>154</v>
      </c>
      <c r="S679" t="s">
        <v>234</v>
      </c>
      <c r="T679" t="s">
        <v>265</v>
      </c>
      <c r="U679">
        <v>2.4584033860813818E-3</v>
      </c>
      <c r="V679" t="s">
        <v>154</v>
      </c>
    </row>
    <row r="680" spans="9:22" x14ac:dyDescent="0.45">
      <c r="I680" t="s">
        <v>181</v>
      </c>
      <c r="J680" t="s">
        <v>266</v>
      </c>
      <c r="K680">
        <v>3.3653105245713762E-3</v>
      </c>
      <c r="L680" t="s">
        <v>154</v>
      </c>
      <c r="N680" t="s">
        <v>210</v>
      </c>
      <c r="O680" t="s">
        <v>266</v>
      </c>
      <c r="P680">
        <v>4.1912505054459825E-3</v>
      </c>
      <c r="Q680" t="s">
        <v>154</v>
      </c>
      <c r="S680" t="s">
        <v>234</v>
      </c>
      <c r="T680" t="s">
        <v>266</v>
      </c>
      <c r="U680">
        <v>2.6341978633407583E-3</v>
      </c>
      <c r="V680" t="s">
        <v>154</v>
      </c>
    </row>
    <row r="681" spans="9:22" x14ac:dyDescent="0.45">
      <c r="I681" t="s">
        <v>181</v>
      </c>
      <c r="J681" t="s">
        <v>288</v>
      </c>
      <c r="K681">
        <v>0</v>
      </c>
      <c r="L681" t="s">
        <v>154</v>
      </c>
      <c r="N681" t="s">
        <v>210</v>
      </c>
      <c r="O681" t="s">
        <v>288</v>
      </c>
      <c r="P681">
        <v>3.7827986179992529E-3</v>
      </c>
      <c r="Q681" t="s">
        <v>154</v>
      </c>
      <c r="S681" t="s">
        <v>234</v>
      </c>
      <c r="T681" t="s">
        <v>288</v>
      </c>
      <c r="U681">
        <v>2.6425389074749219E-3</v>
      </c>
      <c r="V681" t="s">
        <v>154</v>
      </c>
    </row>
    <row r="682" spans="9:22" x14ac:dyDescent="0.45">
      <c r="I682" t="s">
        <v>181</v>
      </c>
      <c r="J682" t="s">
        <v>289</v>
      </c>
      <c r="K682">
        <v>0</v>
      </c>
      <c r="L682" t="s">
        <v>154</v>
      </c>
      <c r="N682" t="s">
        <v>210</v>
      </c>
      <c r="O682" t="s">
        <v>289</v>
      </c>
      <c r="P682">
        <v>2.0909973578723515E-2</v>
      </c>
      <c r="Q682" t="s">
        <v>154</v>
      </c>
      <c r="S682" t="s">
        <v>234</v>
      </c>
      <c r="T682" t="s">
        <v>289</v>
      </c>
      <c r="U682">
        <v>1.4969191184465562E-2</v>
      </c>
      <c r="V682" t="s">
        <v>154</v>
      </c>
    </row>
    <row r="683" spans="9:22" x14ac:dyDescent="0.45">
      <c r="I683" t="s">
        <v>181</v>
      </c>
      <c r="J683" t="s">
        <v>272</v>
      </c>
      <c r="K683">
        <v>0</v>
      </c>
      <c r="L683" t="s">
        <v>154</v>
      </c>
      <c r="N683" t="s">
        <v>210</v>
      </c>
      <c r="O683" t="s">
        <v>272</v>
      </c>
      <c r="P683">
        <v>6.0839907501342064E-2</v>
      </c>
      <c r="Q683" t="s">
        <v>154</v>
      </c>
      <c r="S683" t="s">
        <v>234</v>
      </c>
      <c r="T683" t="s">
        <v>272</v>
      </c>
      <c r="U683">
        <v>5.1920093432029982E-2</v>
      </c>
      <c r="V683" t="s">
        <v>154</v>
      </c>
    </row>
    <row r="684" spans="9:22" x14ac:dyDescent="0.45">
      <c r="I684" t="s">
        <v>181</v>
      </c>
      <c r="J684" t="s">
        <v>273</v>
      </c>
      <c r="K684">
        <v>9.1180410211402114E-3</v>
      </c>
      <c r="L684" t="s">
        <v>154</v>
      </c>
      <c r="N684" t="s">
        <v>210</v>
      </c>
      <c r="O684" t="s">
        <v>273</v>
      </c>
      <c r="P684">
        <v>1.6791152280383883E-2</v>
      </c>
      <c r="Q684" t="s">
        <v>154</v>
      </c>
      <c r="S684" t="s">
        <v>234</v>
      </c>
      <c r="T684" t="s">
        <v>273</v>
      </c>
      <c r="U684">
        <v>1.4447676495300887E-2</v>
      </c>
      <c r="V684" t="s">
        <v>154</v>
      </c>
    </row>
    <row r="685" spans="9:22" x14ac:dyDescent="0.45">
      <c r="I685" t="s">
        <v>181</v>
      </c>
      <c r="J685" t="s">
        <v>274</v>
      </c>
      <c r="K685">
        <v>9.8904039203598811E-3</v>
      </c>
      <c r="L685" t="s">
        <v>154</v>
      </c>
      <c r="N685" t="s">
        <v>210</v>
      </c>
      <c r="O685" t="s">
        <v>274</v>
      </c>
      <c r="P685">
        <v>9.1421243505651027E-3</v>
      </c>
      <c r="Q685" t="s">
        <v>154</v>
      </c>
      <c r="S685" t="s">
        <v>234</v>
      </c>
      <c r="T685" t="s">
        <v>274</v>
      </c>
      <c r="U685">
        <v>7.6312621428572171E-3</v>
      </c>
      <c r="V685" t="s">
        <v>154</v>
      </c>
    </row>
    <row r="686" spans="9:22" x14ac:dyDescent="0.45">
      <c r="I686" t="s">
        <v>181</v>
      </c>
      <c r="J686" t="s">
        <v>275</v>
      </c>
      <c r="K686">
        <v>7.7575712082387199E-2</v>
      </c>
      <c r="L686" t="s">
        <v>154</v>
      </c>
      <c r="N686" t="s">
        <v>210</v>
      </c>
      <c r="O686" t="s">
        <v>275</v>
      </c>
      <c r="P686">
        <v>5.5141282108873736E-2</v>
      </c>
      <c r="Q686" t="s">
        <v>154</v>
      </c>
      <c r="S686" t="s">
        <v>234</v>
      </c>
      <c r="T686" t="s">
        <v>275</v>
      </c>
      <c r="U686">
        <v>3.8685264621042721E-2</v>
      </c>
      <c r="V686" t="s">
        <v>154</v>
      </c>
    </row>
    <row r="687" spans="9:22" x14ac:dyDescent="0.45">
      <c r="I687" t="s">
        <v>181</v>
      </c>
      <c r="J687" t="s">
        <v>276</v>
      </c>
      <c r="K687">
        <v>9.5497137537939522E-3</v>
      </c>
      <c r="L687" t="s">
        <v>154</v>
      </c>
      <c r="N687" t="s">
        <v>210</v>
      </c>
      <c r="O687" t="s">
        <v>276</v>
      </c>
      <c r="P687">
        <v>9.509609331658694E-3</v>
      </c>
      <c r="Q687" t="s">
        <v>154</v>
      </c>
      <c r="S687" t="s">
        <v>234</v>
      </c>
      <c r="T687" t="s">
        <v>276</v>
      </c>
      <c r="U687">
        <v>6.5185019280075036E-3</v>
      </c>
      <c r="V687" t="s">
        <v>154</v>
      </c>
    </row>
    <row r="688" spans="9:22" x14ac:dyDescent="0.45">
      <c r="I688" t="s">
        <v>181</v>
      </c>
      <c r="J688" t="s">
        <v>277</v>
      </c>
      <c r="K688">
        <v>5.8412355863578088E-3</v>
      </c>
      <c r="L688" t="s">
        <v>154</v>
      </c>
      <c r="N688" t="s">
        <v>210</v>
      </c>
      <c r="O688" t="s">
        <v>277</v>
      </c>
      <c r="P688">
        <v>9.6553680632950299E-3</v>
      </c>
      <c r="Q688" t="s">
        <v>154</v>
      </c>
      <c r="S688" t="s">
        <v>234</v>
      </c>
      <c r="T688" t="s">
        <v>277</v>
      </c>
      <c r="U688">
        <v>6.9534026078034343E-3</v>
      </c>
      <c r="V688" t="s">
        <v>154</v>
      </c>
    </row>
    <row r="689" spans="9:22" x14ac:dyDescent="0.45">
      <c r="I689" t="s">
        <v>181</v>
      </c>
      <c r="J689" t="s">
        <v>290</v>
      </c>
      <c r="K689">
        <v>0</v>
      </c>
      <c r="L689" t="s">
        <v>154</v>
      </c>
      <c r="N689" t="s">
        <v>210</v>
      </c>
      <c r="O689" t="s">
        <v>290</v>
      </c>
      <c r="P689">
        <v>7.3749648698481773E-3</v>
      </c>
      <c r="Q689" t="s">
        <v>154</v>
      </c>
      <c r="S689" t="s">
        <v>234</v>
      </c>
      <c r="T689" t="s">
        <v>290</v>
      </c>
      <c r="U689">
        <v>6.0512841779539065E-3</v>
      </c>
      <c r="V689" t="s">
        <v>154</v>
      </c>
    </row>
    <row r="690" spans="9:22" x14ac:dyDescent="0.45">
      <c r="I690" t="s">
        <v>181</v>
      </c>
      <c r="J690" t="s">
        <v>291</v>
      </c>
      <c r="K690">
        <v>0</v>
      </c>
      <c r="L690" t="s">
        <v>154</v>
      </c>
      <c r="N690" t="s">
        <v>210</v>
      </c>
      <c r="O690" t="s">
        <v>291</v>
      </c>
      <c r="P690">
        <v>4.3337808467833069E-2</v>
      </c>
      <c r="Q690" t="s">
        <v>154</v>
      </c>
      <c r="S690" t="s">
        <v>234</v>
      </c>
      <c r="T690" t="s">
        <v>291</v>
      </c>
      <c r="U690">
        <v>3.8066702285050318E-2</v>
      </c>
      <c r="V690" t="s">
        <v>154</v>
      </c>
    </row>
    <row r="691" spans="9:22" x14ac:dyDescent="0.45">
      <c r="I691" t="s">
        <v>182</v>
      </c>
      <c r="J691" t="s">
        <v>153</v>
      </c>
      <c r="K691">
        <v>5.9651520653698732E-3</v>
      </c>
      <c r="L691" t="s">
        <v>154</v>
      </c>
      <c r="N691" t="s">
        <v>211</v>
      </c>
      <c r="O691" t="s">
        <v>153</v>
      </c>
      <c r="P691">
        <v>0.17219152774199653</v>
      </c>
      <c r="Q691" t="s">
        <v>154</v>
      </c>
      <c r="S691" t="s">
        <v>235</v>
      </c>
      <c r="T691" t="s">
        <v>153</v>
      </c>
      <c r="U691">
        <v>0.17480718498931475</v>
      </c>
      <c r="V691" t="s">
        <v>154</v>
      </c>
    </row>
    <row r="692" spans="9:22" x14ac:dyDescent="0.45">
      <c r="I692" t="s">
        <v>182</v>
      </c>
      <c r="J692" t="s">
        <v>155</v>
      </c>
      <c r="K692">
        <v>6.3908727255197265E-2</v>
      </c>
      <c r="L692" t="s">
        <v>154</v>
      </c>
      <c r="N692" t="s">
        <v>211</v>
      </c>
      <c r="O692" t="s">
        <v>155</v>
      </c>
      <c r="P692">
        <v>4.9115798695078892E-2</v>
      </c>
      <c r="Q692" t="s">
        <v>154</v>
      </c>
      <c r="S692" t="s">
        <v>235</v>
      </c>
      <c r="T692" t="s">
        <v>155</v>
      </c>
      <c r="U692">
        <v>4.6254250825332049E-2</v>
      </c>
      <c r="V692" t="s">
        <v>154</v>
      </c>
    </row>
    <row r="693" spans="9:22" x14ac:dyDescent="0.45">
      <c r="I693" t="s">
        <v>182</v>
      </c>
      <c r="J693" t="s">
        <v>156</v>
      </c>
      <c r="K693">
        <v>5.5559867288207401E-2</v>
      </c>
      <c r="L693" t="s">
        <v>154</v>
      </c>
      <c r="N693" t="s">
        <v>211</v>
      </c>
      <c r="O693" t="s">
        <v>156</v>
      </c>
      <c r="P693">
        <v>2.7288492748110585E-2</v>
      </c>
      <c r="Q693" t="s">
        <v>154</v>
      </c>
      <c r="S693" t="s">
        <v>235</v>
      </c>
      <c r="T693" t="s">
        <v>156</v>
      </c>
      <c r="U693">
        <v>2.3310583046644053E-2</v>
      </c>
      <c r="V693" t="s">
        <v>154</v>
      </c>
    </row>
    <row r="694" spans="9:22" x14ac:dyDescent="0.45">
      <c r="I694" t="s">
        <v>182</v>
      </c>
      <c r="J694" t="s">
        <v>255</v>
      </c>
      <c r="K694">
        <v>0.44098703871222361</v>
      </c>
      <c r="L694" t="s">
        <v>154</v>
      </c>
      <c r="N694" t="s">
        <v>211</v>
      </c>
      <c r="O694" t="s">
        <v>255</v>
      </c>
      <c r="P694">
        <v>0.15663449912903521</v>
      </c>
      <c r="Q694" t="s">
        <v>154</v>
      </c>
      <c r="S694" t="s">
        <v>235</v>
      </c>
      <c r="T694" t="s">
        <v>255</v>
      </c>
      <c r="U694">
        <v>0.14374310543817145</v>
      </c>
      <c r="V694" t="s">
        <v>154</v>
      </c>
    </row>
    <row r="695" spans="9:22" x14ac:dyDescent="0.45">
      <c r="I695" t="s">
        <v>182</v>
      </c>
      <c r="J695" t="s">
        <v>256</v>
      </c>
      <c r="K695">
        <v>5.6182467418254736E-2</v>
      </c>
      <c r="L695" t="s">
        <v>154</v>
      </c>
      <c r="N695" t="s">
        <v>211</v>
      </c>
      <c r="O695" t="s">
        <v>256</v>
      </c>
      <c r="P695">
        <v>2.5245830220754051E-2</v>
      </c>
      <c r="Q695" t="s">
        <v>154</v>
      </c>
      <c r="S695" t="s">
        <v>235</v>
      </c>
      <c r="T695" t="s">
        <v>256</v>
      </c>
      <c r="U695">
        <v>2.719604460122101E-2</v>
      </c>
      <c r="V695" t="s">
        <v>154</v>
      </c>
    </row>
    <row r="696" spans="9:22" x14ac:dyDescent="0.45">
      <c r="I696" t="s">
        <v>182</v>
      </c>
      <c r="J696" t="s">
        <v>257</v>
      </c>
      <c r="K696">
        <v>4.2351843867982672E-2</v>
      </c>
      <c r="L696" t="s">
        <v>154</v>
      </c>
      <c r="N696" t="s">
        <v>211</v>
      </c>
      <c r="O696" t="s">
        <v>257</v>
      </c>
      <c r="P696">
        <v>2.5374961829150146E-2</v>
      </c>
      <c r="Q696" t="s">
        <v>154</v>
      </c>
      <c r="S696" t="s">
        <v>235</v>
      </c>
      <c r="T696" t="s">
        <v>257</v>
      </c>
      <c r="U696">
        <v>2.8166641922613485E-2</v>
      </c>
      <c r="V696" t="s">
        <v>154</v>
      </c>
    </row>
    <row r="697" spans="9:22" x14ac:dyDescent="0.45">
      <c r="I697" t="s">
        <v>182</v>
      </c>
      <c r="J697" t="s">
        <v>282</v>
      </c>
      <c r="K697">
        <v>2.4012395574125645E-2</v>
      </c>
      <c r="L697" t="s">
        <v>154</v>
      </c>
      <c r="N697" t="s">
        <v>211</v>
      </c>
      <c r="O697" t="s">
        <v>282</v>
      </c>
      <c r="P697">
        <v>2.3775661556703711E-2</v>
      </c>
      <c r="Q697" t="s">
        <v>154</v>
      </c>
      <c r="S697" t="s">
        <v>235</v>
      </c>
      <c r="T697" t="s">
        <v>282</v>
      </c>
      <c r="U697">
        <v>2.8136701217177051E-2</v>
      </c>
      <c r="V697" t="s">
        <v>154</v>
      </c>
    </row>
    <row r="698" spans="9:22" x14ac:dyDescent="0.45">
      <c r="I698" t="s">
        <v>182</v>
      </c>
      <c r="J698" t="s">
        <v>283</v>
      </c>
      <c r="K698">
        <v>4.5799695098755456E-4</v>
      </c>
      <c r="L698" t="s">
        <v>154</v>
      </c>
      <c r="N698" t="s">
        <v>211</v>
      </c>
      <c r="O698" t="s">
        <v>283</v>
      </c>
      <c r="P698">
        <v>0.13551726920404528</v>
      </c>
      <c r="Q698" t="s">
        <v>154</v>
      </c>
      <c r="S698" t="s">
        <v>235</v>
      </c>
      <c r="T698" t="s">
        <v>283</v>
      </c>
      <c r="U698">
        <v>0.14920628539030908</v>
      </c>
      <c r="V698" t="s">
        <v>154</v>
      </c>
    </row>
    <row r="699" spans="9:22" x14ac:dyDescent="0.45">
      <c r="I699" t="s">
        <v>182</v>
      </c>
      <c r="J699" t="s">
        <v>157</v>
      </c>
      <c r="K699">
        <v>0</v>
      </c>
      <c r="L699" t="s">
        <v>154</v>
      </c>
      <c r="N699" t="s">
        <v>211</v>
      </c>
      <c r="O699" t="s">
        <v>157</v>
      </c>
      <c r="P699">
        <v>1.0291748027883121E-2</v>
      </c>
      <c r="Q699" t="s">
        <v>154</v>
      </c>
      <c r="S699" t="s">
        <v>235</v>
      </c>
      <c r="T699" t="s">
        <v>157</v>
      </c>
      <c r="U699">
        <v>8.3387727716464684E-3</v>
      </c>
      <c r="V699" t="s">
        <v>154</v>
      </c>
    </row>
    <row r="700" spans="9:22" x14ac:dyDescent="0.45">
      <c r="I700" t="s">
        <v>182</v>
      </c>
      <c r="J700" t="s">
        <v>158</v>
      </c>
      <c r="K700">
        <v>6.1986463829107E-3</v>
      </c>
      <c r="L700" t="s">
        <v>154</v>
      </c>
      <c r="N700" t="s">
        <v>211</v>
      </c>
      <c r="O700" t="s">
        <v>158</v>
      </c>
      <c r="P700">
        <v>2.6727625530511001E-3</v>
      </c>
      <c r="Q700" t="s">
        <v>154</v>
      </c>
      <c r="S700" t="s">
        <v>235</v>
      </c>
      <c r="T700" t="s">
        <v>158</v>
      </c>
      <c r="U700">
        <v>2.7174583854227704E-3</v>
      </c>
      <c r="V700" t="s">
        <v>154</v>
      </c>
    </row>
    <row r="701" spans="9:22" x14ac:dyDescent="0.45">
      <c r="I701" t="s">
        <v>182</v>
      </c>
      <c r="J701" t="s">
        <v>159</v>
      </c>
      <c r="K701">
        <v>5.4050352709124234E-3</v>
      </c>
      <c r="L701" t="s">
        <v>154</v>
      </c>
      <c r="N701" t="s">
        <v>211</v>
      </c>
      <c r="O701" t="s">
        <v>159</v>
      </c>
      <c r="P701">
        <v>1.2970000192021052E-3</v>
      </c>
      <c r="Q701" t="s">
        <v>154</v>
      </c>
      <c r="S701" t="s">
        <v>235</v>
      </c>
      <c r="T701" t="s">
        <v>159</v>
      </c>
      <c r="U701">
        <v>1.3587789180385832E-3</v>
      </c>
      <c r="V701" t="s">
        <v>154</v>
      </c>
    </row>
    <row r="702" spans="9:22" x14ac:dyDescent="0.45">
      <c r="I702" t="s">
        <v>182</v>
      </c>
      <c r="J702" t="s">
        <v>258</v>
      </c>
      <c r="K702">
        <v>3.9987145059996287E-2</v>
      </c>
      <c r="L702" t="s">
        <v>154</v>
      </c>
      <c r="N702" t="s">
        <v>211</v>
      </c>
      <c r="O702" t="s">
        <v>258</v>
      </c>
      <c r="P702">
        <v>8.4025591382985345E-3</v>
      </c>
      <c r="Q702" t="s">
        <v>154</v>
      </c>
      <c r="S702" t="s">
        <v>235</v>
      </c>
      <c r="T702" t="s">
        <v>258</v>
      </c>
      <c r="U702">
        <v>9.1137610870884074E-3</v>
      </c>
      <c r="V702" t="s">
        <v>154</v>
      </c>
    </row>
    <row r="703" spans="9:22" x14ac:dyDescent="0.45">
      <c r="I703" t="s">
        <v>182</v>
      </c>
      <c r="J703" t="s">
        <v>259</v>
      </c>
      <c r="K703">
        <v>4.8774676635542219E-3</v>
      </c>
      <c r="L703" t="s">
        <v>154</v>
      </c>
      <c r="N703" t="s">
        <v>211</v>
      </c>
      <c r="O703" t="s">
        <v>259</v>
      </c>
      <c r="P703">
        <v>1.2215960052961083E-3</v>
      </c>
      <c r="Q703" t="s">
        <v>154</v>
      </c>
      <c r="S703" t="s">
        <v>235</v>
      </c>
      <c r="T703" t="s">
        <v>259</v>
      </c>
      <c r="U703">
        <v>1.8576374719518796E-3</v>
      </c>
      <c r="V703" t="s">
        <v>154</v>
      </c>
    </row>
    <row r="704" spans="9:22" x14ac:dyDescent="0.45">
      <c r="I704" t="s">
        <v>182</v>
      </c>
      <c r="J704" t="s">
        <v>260</v>
      </c>
      <c r="K704">
        <v>3.675426010090705E-3</v>
      </c>
      <c r="L704" t="s">
        <v>154</v>
      </c>
      <c r="N704" t="s">
        <v>211</v>
      </c>
      <c r="O704" t="s">
        <v>260</v>
      </c>
      <c r="P704">
        <v>1.1243827824691111E-3</v>
      </c>
      <c r="Q704" t="s">
        <v>154</v>
      </c>
      <c r="S704" t="s">
        <v>235</v>
      </c>
      <c r="T704" t="s">
        <v>260</v>
      </c>
      <c r="U704">
        <v>1.8428979347868738E-3</v>
      </c>
      <c r="V704" t="s">
        <v>154</v>
      </c>
    </row>
    <row r="705" spans="9:22" x14ac:dyDescent="0.45">
      <c r="I705" t="s">
        <v>182</v>
      </c>
      <c r="J705" t="s">
        <v>284</v>
      </c>
      <c r="K705">
        <v>1.9182242435139918E-3</v>
      </c>
      <c r="L705" t="s">
        <v>154</v>
      </c>
      <c r="N705" t="s">
        <v>211</v>
      </c>
      <c r="O705" t="s">
        <v>284</v>
      </c>
      <c r="P705">
        <v>1.2018453271905446E-3</v>
      </c>
      <c r="Q705" t="s">
        <v>154</v>
      </c>
      <c r="S705" t="s">
        <v>235</v>
      </c>
      <c r="T705" t="s">
        <v>284</v>
      </c>
      <c r="U705">
        <v>2.1567021303374595E-3</v>
      </c>
      <c r="V705" t="s">
        <v>154</v>
      </c>
    </row>
    <row r="706" spans="9:22" x14ac:dyDescent="0.45">
      <c r="I706" t="s">
        <v>182</v>
      </c>
      <c r="J706" t="s">
        <v>285</v>
      </c>
      <c r="K706">
        <v>0</v>
      </c>
      <c r="L706" t="s">
        <v>154</v>
      </c>
      <c r="N706" t="s">
        <v>211</v>
      </c>
      <c r="O706" t="s">
        <v>285</v>
      </c>
      <c r="P706">
        <v>6.5064307303075285E-3</v>
      </c>
      <c r="Q706" t="s">
        <v>154</v>
      </c>
      <c r="S706" t="s">
        <v>235</v>
      </c>
      <c r="T706" t="s">
        <v>285</v>
      </c>
      <c r="U706">
        <v>7.0139115736787532E-3</v>
      </c>
      <c r="V706" t="s">
        <v>154</v>
      </c>
    </row>
    <row r="707" spans="9:22" x14ac:dyDescent="0.45">
      <c r="I707" t="s">
        <v>182</v>
      </c>
      <c r="J707" t="s">
        <v>160</v>
      </c>
      <c r="K707">
        <v>0</v>
      </c>
      <c r="L707" t="s">
        <v>154</v>
      </c>
      <c r="N707" t="s">
        <v>211</v>
      </c>
      <c r="O707" t="s">
        <v>160</v>
      </c>
      <c r="P707">
        <v>3.7841660807525067E-2</v>
      </c>
      <c r="Q707" t="s">
        <v>154</v>
      </c>
      <c r="S707" t="s">
        <v>235</v>
      </c>
      <c r="T707" t="s">
        <v>160</v>
      </c>
      <c r="U707">
        <v>5.5650791837409834E-2</v>
      </c>
      <c r="V707" t="s">
        <v>154</v>
      </c>
    </row>
    <row r="708" spans="9:22" x14ac:dyDescent="0.45">
      <c r="I708" t="s">
        <v>182</v>
      </c>
      <c r="J708" t="s">
        <v>161</v>
      </c>
      <c r="K708">
        <v>1.0876529083203471E-2</v>
      </c>
      <c r="L708" t="s">
        <v>154</v>
      </c>
      <c r="N708" t="s">
        <v>211</v>
      </c>
      <c r="O708" t="s">
        <v>161</v>
      </c>
      <c r="P708">
        <v>1.0139523197592667E-2</v>
      </c>
      <c r="Q708" t="s">
        <v>154</v>
      </c>
      <c r="S708" t="s">
        <v>235</v>
      </c>
      <c r="T708" t="s">
        <v>161</v>
      </c>
      <c r="U708">
        <v>1.2660737815644208E-2</v>
      </c>
      <c r="V708" t="s">
        <v>154</v>
      </c>
    </row>
    <row r="709" spans="9:22" x14ac:dyDescent="0.45">
      <c r="I709" t="s">
        <v>182</v>
      </c>
      <c r="J709" t="s">
        <v>162</v>
      </c>
      <c r="K709">
        <v>8.5593009402457759E-3</v>
      </c>
      <c r="L709" t="s">
        <v>154</v>
      </c>
      <c r="N709" t="s">
        <v>211</v>
      </c>
      <c r="O709" t="s">
        <v>162</v>
      </c>
      <c r="P709">
        <v>5.2890603406759822E-3</v>
      </c>
      <c r="Q709" t="s">
        <v>154</v>
      </c>
      <c r="S709" t="s">
        <v>235</v>
      </c>
      <c r="T709" t="s">
        <v>162</v>
      </c>
      <c r="U709">
        <v>6.3669822747452059E-3</v>
      </c>
      <c r="V709" t="s">
        <v>154</v>
      </c>
    </row>
    <row r="710" spans="9:22" x14ac:dyDescent="0.45">
      <c r="I710" t="s">
        <v>182</v>
      </c>
      <c r="J710" t="s">
        <v>261</v>
      </c>
      <c r="K710">
        <v>5.8177758918668408E-2</v>
      </c>
      <c r="L710" t="s">
        <v>154</v>
      </c>
      <c r="N710" t="s">
        <v>211</v>
      </c>
      <c r="O710" t="s">
        <v>261</v>
      </c>
      <c r="P710">
        <v>3.2619936184352383E-2</v>
      </c>
      <c r="Q710" t="s">
        <v>154</v>
      </c>
      <c r="S710" t="s">
        <v>235</v>
      </c>
      <c r="T710" t="s">
        <v>261</v>
      </c>
      <c r="U710">
        <v>4.3990727607092259E-2</v>
      </c>
      <c r="V710" t="s">
        <v>154</v>
      </c>
    </row>
    <row r="711" spans="9:22" x14ac:dyDescent="0.45">
      <c r="I711" t="s">
        <v>182</v>
      </c>
      <c r="J711" t="s">
        <v>262</v>
      </c>
      <c r="K711">
        <v>7.6611208182622457E-3</v>
      </c>
      <c r="L711" t="s">
        <v>154</v>
      </c>
      <c r="N711" t="s">
        <v>211</v>
      </c>
      <c r="O711" t="s">
        <v>262</v>
      </c>
      <c r="P711">
        <v>5.1017161516606754E-3</v>
      </c>
      <c r="Q711" t="s">
        <v>154</v>
      </c>
      <c r="S711" t="s">
        <v>235</v>
      </c>
      <c r="T711" t="s">
        <v>262</v>
      </c>
      <c r="U711">
        <v>8.9272482014282929E-3</v>
      </c>
      <c r="V711" t="s">
        <v>154</v>
      </c>
    </row>
    <row r="712" spans="9:22" x14ac:dyDescent="0.45">
      <c r="I712" t="s">
        <v>182</v>
      </c>
      <c r="J712" t="s">
        <v>263</v>
      </c>
      <c r="K712">
        <v>5.3381215390783231E-3</v>
      </c>
      <c r="L712" t="s">
        <v>154</v>
      </c>
      <c r="N712" t="s">
        <v>211</v>
      </c>
      <c r="O712" t="s">
        <v>263</v>
      </c>
      <c r="P712">
        <v>4.9967136657576901E-3</v>
      </c>
      <c r="Q712" t="s">
        <v>154</v>
      </c>
      <c r="S712" t="s">
        <v>235</v>
      </c>
      <c r="T712" t="s">
        <v>263</v>
      </c>
      <c r="U712">
        <v>8.8751158518020207E-3</v>
      </c>
      <c r="V712" t="s">
        <v>154</v>
      </c>
    </row>
    <row r="713" spans="9:22" x14ac:dyDescent="0.45">
      <c r="I713" t="s">
        <v>182</v>
      </c>
      <c r="J713" t="s">
        <v>286</v>
      </c>
      <c r="K713">
        <v>2.0575938283088893E-3</v>
      </c>
      <c r="L713" t="s">
        <v>154</v>
      </c>
      <c r="N713" t="s">
        <v>211</v>
      </c>
      <c r="O713" t="s">
        <v>286</v>
      </c>
      <c r="P713">
        <v>5.0065129123282679E-3</v>
      </c>
      <c r="Q713" t="s">
        <v>154</v>
      </c>
      <c r="S713" t="s">
        <v>235</v>
      </c>
      <c r="T713" t="s">
        <v>286</v>
      </c>
      <c r="U713">
        <v>8.9693102570296487E-3</v>
      </c>
      <c r="V713" t="s">
        <v>154</v>
      </c>
    </row>
    <row r="714" spans="9:22" x14ac:dyDescent="0.45">
      <c r="I714" t="s">
        <v>182</v>
      </c>
      <c r="J714" t="s">
        <v>287</v>
      </c>
      <c r="K714">
        <v>0</v>
      </c>
      <c r="L714" t="s">
        <v>154</v>
      </c>
      <c r="N714" t="s">
        <v>211</v>
      </c>
      <c r="O714" t="s">
        <v>287</v>
      </c>
      <c r="P714">
        <v>2.4804417402733127E-2</v>
      </c>
      <c r="Q714" t="s">
        <v>154</v>
      </c>
      <c r="S714" t="s">
        <v>235</v>
      </c>
      <c r="T714" t="s">
        <v>287</v>
      </c>
      <c r="U714">
        <v>4.4433196062607816E-2</v>
      </c>
      <c r="V714" t="s">
        <v>154</v>
      </c>
    </row>
    <row r="715" spans="9:22" x14ac:dyDescent="0.45">
      <c r="I715" t="s">
        <v>182</v>
      </c>
      <c r="J715" t="s">
        <v>163</v>
      </c>
      <c r="K715">
        <v>0</v>
      </c>
      <c r="L715" t="s">
        <v>154</v>
      </c>
      <c r="N715" t="s">
        <v>211</v>
      </c>
      <c r="O715" t="s">
        <v>163</v>
      </c>
      <c r="P715">
        <v>1.5587696037273223E-2</v>
      </c>
      <c r="Q715" t="s">
        <v>154</v>
      </c>
      <c r="S715" t="s">
        <v>235</v>
      </c>
      <c r="T715" t="s">
        <v>163</v>
      </c>
      <c r="U715">
        <v>7.251664617510087E-3</v>
      </c>
      <c r="V715" t="s">
        <v>154</v>
      </c>
    </row>
    <row r="716" spans="9:22" x14ac:dyDescent="0.45">
      <c r="I716" t="s">
        <v>182</v>
      </c>
      <c r="J716" t="s">
        <v>164</v>
      </c>
      <c r="K716">
        <v>8.0283110858173252E-3</v>
      </c>
      <c r="L716" t="s">
        <v>154</v>
      </c>
      <c r="N716" t="s">
        <v>211</v>
      </c>
      <c r="O716" t="s">
        <v>164</v>
      </c>
      <c r="P716">
        <v>4.1612385494148784E-3</v>
      </c>
      <c r="Q716" t="s">
        <v>154</v>
      </c>
      <c r="S716" t="s">
        <v>235</v>
      </c>
      <c r="T716" t="s">
        <v>164</v>
      </c>
      <c r="U716">
        <v>1.6391350422112093E-3</v>
      </c>
      <c r="V716" t="s">
        <v>154</v>
      </c>
    </row>
    <row r="717" spans="9:22" x14ac:dyDescent="0.45">
      <c r="I717" t="s">
        <v>182</v>
      </c>
      <c r="J717" t="s">
        <v>165</v>
      </c>
      <c r="K717">
        <v>6.5198676636665726E-3</v>
      </c>
      <c r="L717" t="s">
        <v>154</v>
      </c>
      <c r="N717" t="s">
        <v>211</v>
      </c>
      <c r="O717" t="s">
        <v>165</v>
      </c>
      <c r="P717">
        <v>2.3713863810780706E-3</v>
      </c>
      <c r="Q717" t="s">
        <v>154</v>
      </c>
      <c r="S717" t="s">
        <v>235</v>
      </c>
      <c r="T717" t="s">
        <v>165</v>
      </c>
      <c r="U717">
        <v>7.7774587022620852E-4</v>
      </c>
      <c r="V717" t="s">
        <v>154</v>
      </c>
    </row>
    <row r="718" spans="9:22" x14ac:dyDescent="0.45">
      <c r="I718" t="s">
        <v>182</v>
      </c>
      <c r="J718" t="s">
        <v>264</v>
      </c>
      <c r="K718">
        <v>4.5253988341140299E-2</v>
      </c>
      <c r="L718" t="s">
        <v>154</v>
      </c>
      <c r="N718" t="s">
        <v>211</v>
      </c>
      <c r="O718" t="s">
        <v>264</v>
      </c>
      <c r="P718">
        <v>1.5053140427511503E-2</v>
      </c>
      <c r="Q718" t="s">
        <v>154</v>
      </c>
      <c r="S718" t="s">
        <v>235</v>
      </c>
      <c r="T718" t="s">
        <v>264</v>
      </c>
      <c r="U718">
        <v>5.5196415636468623E-3</v>
      </c>
      <c r="V718" t="s">
        <v>154</v>
      </c>
    </row>
    <row r="719" spans="9:22" x14ac:dyDescent="0.45">
      <c r="I719" t="s">
        <v>182</v>
      </c>
      <c r="J719" t="s">
        <v>265</v>
      </c>
      <c r="K719">
        <v>5.8547021863768296E-3</v>
      </c>
      <c r="L719" t="s">
        <v>154</v>
      </c>
      <c r="N719" t="s">
        <v>211</v>
      </c>
      <c r="O719" t="s">
        <v>265</v>
      </c>
      <c r="P719">
        <v>2.815424156841414E-3</v>
      </c>
      <c r="Q719" t="s">
        <v>154</v>
      </c>
      <c r="S719" t="s">
        <v>235</v>
      </c>
      <c r="T719" t="s">
        <v>265</v>
      </c>
      <c r="U719">
        <v>1.1735946719820731E-3</v>
      </c>
      <c r="V719" t="s">
        <v>154</v>
      </c>
    </row>
    <row r="720" spans="9:22" x14ac:dyDescent="0.45">
      <c r="I720" t="s">
        <v>182</v>
      </c>
      <c r="J720" t="s">
        <v>266</v>
      </c>
      <c r="K720">
        <v>3.8293679613599567E-3</v>
      </c>
      <c r="L720" t="s">
        <v>154</v>
      </c>
      <c r="N720" t="s">
        <v>211</v>
      </c>
      <c r="O720" t="s">
        <v>266</v>
      </c>
      <c r="P720">
        <v>2.9704165178359616E-3</v>
      </c>
      <c r="Q720" t="s">
        <v>154</v>
      </c>
      <c r="S720" t="s">
        <v>235</v>
      </c>
      <c r="T720" t="s">
        <v>266</v>
      </c>
      <c r="U720">
        <v>1.2960136470068734E-3</v>
      </c>
      <c r="V720" t="s">
        <v>154</v>
      </c>
    </row>
    <row r="721" spans="9:22" x14ac:dyDescent="0.45">
      <c r="I721" t="s">
        <v>182</v>
      </c>
      <c r="J721" t="s">
        <v>288</v>
      </c>
      <c r="K721">
        <v>0</v>
      </c>
      <c r="L721" t="s">
        <v>154</v>
      </c>
      <c r="N721" t="s">
        <v>211</v>
      </c>
      <c r="O721" t="s">
        <v>288</v>
      </c>
      <c r="P721">
        <v>2.7608938539419414E-3</v>
      </c>
      <c r="Q721" t="s">
        <v>154</v>
      </c>
      <c r="S721" t="s">
        <v>235</v>
      </c>
      <c r="T721" t="s">
        <v>288</v>
      </c>
      <c r="U721">
        <v>1.2750756554406402E-3</v>
      </c>
      <c r="V721" t="s">
        <v>154</v>
      </c>
    </row>
    <row r="722" spans="9:22" x14ac:dyDescent="0.45">
      <c r="I722" t="s">
        <v>182</v>
      </c>
      <c r="J722" t="s">
        <v>289</v>
      </c>
      <c r="K722">
        <v>0</v>
      </c>
      <c r="L722" t="s">
        <v>154</v>
      </c>
      <c r="N722" t="s">
        <v>211</v>
      </c>
      <c r="O722" t="s">
        <v>289</v>
      </c>
      <c r="P722">
        <v>1.4890767483032075E-2</v>
      </c>
      <c r="Q722" t="s">
        <v>154</v>
      </c>
      <c r="S722" t="s">
        <v>235</v>
      </c>
      <c r="T722" t="s">
        <v>289</v>
      </c>
      <c r="U722">
        <v>6.6007957643654481E-3</v>
      </c>
      <c r="V722" t="s">
        <v>154</v>
      </c>
    </row>
    <row r="723" spans="9:22" x14ac:dyDescent="0.45">
      <c r="I723" t="s">
        <v>182</v>
      </c>
      <c r="J723" t="s">
        <v>272</v>
      </c>
      <c r="K723">
        <v>0</v>
      </c>
      <c r="L723" t="s">
        <v>154</v>
      </c>
      <c r="N723" t="s">
        <v>211</v>
      </c>
      <c r="O723" t="s">
        <v>272</v>
      </c>
      <c r="P723">
        <v>4.7380574918004507E-2</v>
      </c>
      <c r="Q723" t="s">
        <v>154</v>
      </c>
      <c r="S723" t="s">
        <v>235</v>
      </c>
      <c r="T723" t="s">
        <v>272</v>
      </c>
      <c r="U723">
        <v>3.9525346923928992E-2</v>
      </c>
      <c r="V723" t="s">
        <v>154</v>
      </c>
    </row>
    <row r="724" spans="9:22" x14ac:dyDescent="0.45">
      <c r="I724" t="s">
        <v>182</v>
      </c>
      <c r="J724" t="s">
        <v>273</v>
      </c>
      <c r="K724">
        <v>7.2104772767440225E-3</v>
      </c>
      <c r="L724" t="s">
        <v>154</v>
      </c>
      <c r="N724" t="s">
        <v>211</v>
      </c>
      <c r="O724" t="s">
        <v>273</v>
      </c>
      <c r="P724">
        <v>1.3379738125233871E-2</v>
      </c>
      <c r="Q724" t="s">
        <v>154</v>
      </c>
      <c r="S724" t="s">
        <v>235</v>
      </c>
      <c r="T724" t="s">
        <v>273</v>
      </c>
      <c r="U724">
        <v>1.0123457117459749E-2</v>
      </c>
      <c r="V724" t="s">
        <v>154</v>
      </c>
    </row>
    <row r="725" spans="9:22" x14ac:dyDescent="0.45">
      <c r="I725" t="s">
        <v>182</v>
      </c>
      <c r="J725" t="s">
        <v>274</v>
      </c>
      <c r="K725">
        <v>7.582713670333442E-3</v>
      </c>
      <c r="L725" t="s">
        <v>154</v>
      </c>
      <c r="N725" t="s">
        <v>211</v>
      </c>
      <c r="O725" t="s">
        <v>274</v>
      </c>
      <c r="P725">
        <v>7.5638089558387024E-3</v>
      </c>
      <c r="Q725" t="s">
        <v>154</v>
      </c>
      <c r="S725" t="s">
        <v>235</v>
      </c>
      <c r="T725" t="s">
        <v>274</v>
      </c>
      <c r="U725">
        <v>5.296330182359023E-3</v>
      </c>
      <c r="V725" t="s">
        <v>154</v>
      </c>
    </row>
    <row r="726" spans="9:22" x14ac:dyDescent="0.45">
      <c r="I726" t="s">
        <v>182</v>
      </c>
      <c r="J726" t="s">
        <v>275</v>
      </c>
      <c r="K726">
        <v>6.1823062506961186E-2</v>
      </c>
      <c r="L726" t="s">
        <v>154</v>
      </c>
      <c r="N726" t="s">
        <v>211</v>
      </c>
      <c r="O726" t="s">
        <v>275</v>
      </c>
      <c r="P726">
        <v>4.140445442972035E-2</v>
      </c>
      <c r="Q726" t="s">
        <v>154</v>
      </c>
      <c r="S726" t="s">
        <v>235</v>
      </c>
      <c r="T726" t="s">
        <v>275</v>
      </c>
      <c r="U726">
        <v>2.8640846690499353E-2</v>
      </c>
      <c r="V726" t="s">
        <v>154</v>
      </c>
    </row>
    <row r="727" spans="9:22" x14ac:dyDescent="0.45">
      <c r="I727" t="s">
        <v>182</v>
      </c>
      <c r="J727" t="s">
        <v>276</v>
      </c>
      <c r="K727">
        <v>6.202359917481374E-3</v>
      </c>
      <c r="L727" t="s">
        <v>154</v>
      </c>
      <c r="N727" t="s">
        <v>211</v>
      </c>
      <c r="O727" t="s">
        <v>276</v>
      </c>
      <c r="P727">
        <v>6.7258325180954747E-3</v>
      </c>
      <c r="Q727" t="s">
        <v>154</v>
      </c>
      <c r="S727" t="s">
        <v>235</v>
      </c>
      <c r="T727" t="s">
        <v>276</v>
      </c>
      <c r="U727">
        <v>4.8449716191527924E-3</v>
      </c>
      <c r="V727" t="s">
        <v>154</v>
      </c>
    </row>
    <row r="728" spans="9:22" x14ac:dyDescent="0.45">
      <c r="I728" t="s">
        <v>182</v>
      </c>
      <c r="J728" t="s">
        <v>277</v>
      </c>
      <c r="K728">
        <v>3.5372904990220635E-3</v>
      </c>
      <c r="L728" t="s">
        <v>154</v>
      </c>
      <c r="N728" t="s">
        <v>211</v>
      </c>
      <c r="O728" t="s">
        <v>277</v>
      </c>
      <c r="P728">
        <v>6.9359814588500057E-3</v>
      </c>
      <c r="Q728" t="s">
        <v>154</v>
      </c>
      <c r="S728" t="s">
        <v>235</v>
      </c>
      <c r="T728" t="s">
        <v>277</v>
      </c>
      <c r="U728">
        <v>5.1338808617410418E-3</v>
      </c>
      <c r="V728" t="s">
        <v>154</v>
      </c>
    </row>
    <row r="729" spans="9:22" x14ac:dyDescent="0.45">
      <c r="I729" t="s">
        <v>182</v>
      </c>
      <c r="J729" t="s">
        <v>290</v>
      </c>
      <c r="K729">
        <v>0</v>
      </c>
      <c r="L729" t="s">
        <v>154</v>
      </c>
      <c r="N729" t="s">
        <v>211</v>
      </c>
      <c r="O729" t="s">
        <v>290</v>
      </c>
      <c r="P729">
        <v>5.9184640092379984E-3</v>
      </c>
      <c r="Q729" t="s">
        <v>154</v>
      </c>
      <c r="S729" t="s">
        <v>235</v>
      </c>
      <c r="T729" t="s">
        <v>290</v>
      </c>
      <c r="U729">
        <v>5.0482375954551345E-3</v>
      </c>
      <c r="V729" t="s">
        <v>154</v>
      </c>
    </row>
    <row r="730" spans="9:22" x14ac:dyDescent="0.45">
      <c r="I730" t="s">
        <v>182</v>
      </c>
      <c r="J730" t="s">
        <v>291</v>
      </c>
      <c r="K730">
        <v>0</v>
      </c>
      <c r="L730" t="s">
        <v>154</v>
      </c>
      <c r="N730" t="s">
        <v>211</v>
      </c>
      <c r="O730" t="s">
        <v>291</v>
      </c>
      <c r="P730">
        <v>3.6418275806890894E-2</v>
      </c>
      <c r="Q730" t="s">
        <v>154</v>
      </c>
      <c r="S730" t="s">
        <v>235</v>
      </c>
      <c r="T730" t="s">
        <v>291</v>
      </c>
      <c r="U730">
        <v>3.0758434565516874E-2</v>
      </c>
      <c r="V730" t="s">
        <v>154</v>
      </c>
    </row>
    <row r="731" spans="9:22" x14ac:dyDescent="0.45">
      <c r="I731" t="s">
        <v>183</v>
      </c>
      <c r="J731" t="s">
        <v>153</v>
      </c>
      <c r="K731">
        <v>5.5324663338914967E-3</v>
      </c>
      <c r="L731" t="s">
        <v>154</v>
      </c>
      <c r="N731" t="s">
        <v>212</v>
      </c>
      <c r="O731" t="s">
        <v>153</v>
      </c>
      <c r="P731">
        <v>0.17658356761443772</v>
      </c>
      <c r="Q731" t="s">
        <v>154</v>
      </c>
      <c r="S731" t="s">
        <v>236</v>
      </c>
      <c r="T731" t="s">
        <v>153</v>
      </c>
      <c r="U731">
        <v>0.1797946701610762</v>
      </c>
      <c r="V731" t="s">
        <v>154</v>
      </c>
    </row>
    <row r="732" spans="9:22" x14ac:dyDescent="0.45">
      <c r="I732" t="s">
        <v>183</v>
      </c>
      <c r="J732" t="s">
        <v>155</v>
      </c>
      <c r="K732">
        <v>7.2981199694500232E-2</v>
      </c>
      <c r="L732" t="s">
        <v>154</v>
      </c>
      <c r="N732" t="s">
        <v>212</v>
      </c>
      <c r="O732" t="s">
        <v>155</v>
      </c>
      <c r="P732">
        <v>4.8444752967675822E-2</v>
      </c>
      <c r="Q732" t="s">
        <v>154</v>
      </c>
      <c r="S732" t="s">
        <v>236</v>
      </c>
      <c r="T732" t="s">
        <v>155</v>
      </c>
      <c r="U732">
        <v>5.1389989205929583E-2</v>
      </c>
      <c r="V732" t="s">
        <v>154</v>
      </c>
    </row>
    <row r="733" spans="9:22" x14ac:dyDescent="0.45">
      <c r="I733" t="s">
        <v>183</v>
      </c>
      <c r="J733" t="s">
        <v>156</v>
      </c>
      <c r="K733">
        <v>6.30512067265286E-2</v>
      </c>
      <c r="L733" t="s">
        <v>154</v>
      </c>
      <c r="N733" t="s">
        <v>212</v>
      </c>
      <c r="O733" t="s">
        <v>156</v>
      </c>
      <c r="P733">
        <v>2.5886310791408747E-2</v>
      </c>
      <c r="Q733" t="s">
        <v>154</v>
      </c>
      <c r="S733" t="s">
        <v>236</v>
      </c>
      <c r="T733" t="s">
        <v>156</v>
      </c>
      <c r="U733">
        <v>2.6751470198691174E-2</v>
      </c>
      <c r="V733" t="s">
        <v>154</v>
      </c>
    </row>
    <row r="734" spans="9:22" x14ac:dyDescent="0.45">
      <c r="I734" t="s">
        <v>183</v>
      </c>
      <c r="J734" t="s">
        <v>255</v>
      </c>
      <c r="K734">
        <v>0.46003121943018144</v>
      </c>
      <c r="L734" t="s">
        <v>154</v>
      </c>
      <c r="N734" t="s">
        <v>212</v>
      </c>
      <c r="O734" t="s">
        <v>255</v>
      </c>
      <c r="P734">
        <v>0.1610122737377635</v>
      </c>
      <c r="Q734" t="s">
        <v>154</v>
      </c>
      <c r="S734" t="s">
        <v>236</v>
      </c>
      <c r="T734" t="s">
        <v>255</v>
      </c>
      <c r="U734">
        <v>0.14931391543602868</v>
      </c>
      <c r="V734" t="s">
        <v>154</v>
      </c>
    </row>
    <row r="735" spans="9:22" x14ac:dyDescent="0.45">
      <c r="I735" t="s">
        <v>183</v>
      </c>
      <c r="J735" t="s">
        <v>256</v>
      </c>
      <c r="K735">
        <v>5.4018721411642816E-2</v>
      </c>
      <c r="L735" t="s">
        <v>154</v>
      </c>
      <c r="N735" t="s">
        <v>212</v>
      </c>
      <c r="O735" t="s">
        <v>256</v>
      </c>
      <c r="P735">
        <v>2.6293777478206794E-2</v>
      </c>
      <c r="Q735" t="s">
        <v>154</v>
      </c>
      <c r="S735" t="s">
        <v>236</v>
      </c>
      <c r="T735" t="s">
        <v>256</v>
      </c>
      <c r="U735">
        <v>2.5023794846994043E-2</v>
      </c>
      <c r="V735" t="s">
        <v>154</v>
      </c>
    </row>
    <row r="736" spans="9:22" x14ac:dyDescent="0.45">
      <c r="I736" t="s">
        <v>183</v>
      </c>
      <c r="J736" t="s">
        <v>257</v>
      </c>
      <c r="K736">
        <v>3.7882974279893969E-2</v>
      </c>
      <c r="L736" t="s">
        <v>154</v>
      </c>
      <c r="N736" t="s">
        <v>212</v>
      </c>
      <c r="O736" t="s">
        <v>257</v>
      </c>
      <c r="P736">
        <v>2.5953523391384282E-2</v>
      </c>
      <c r="Q736" t="s">
        <v>154</v>
      </c>
      <c r="S736" t="s">
        <v>236</v>
      </c>
      <c r="T736" t="s">
        <v>257</v>
      </c>
      <c r="U736">
        <v>2.5667445091937118E-2</v>
      </c>
      <c r="V736" t="s">
        <v>154</v>
      </c>
    </row>
    <row r="737" spans="9:22" x14ac:dyDescent="0.45">
      <c r="I737" t="s">
        <v>183</v>
      </c>
      <c r="J737" t="s">
        <v>282</v>
      </c>
      <c r="K737">
        <v>2.0820747073895106E-2</v>
      </c>
      <c r="L737" t="s">
        <v>154</v>
      </c>
      <c r="N737" t="s">
        <v>212</v>
      </c>
      <c r="O737" t="s">
        <v>282</v>
      </c>
      <c r="P737">
        <v>2.3221925309632959E-2</v>
      </c>
      <c r="Q737" t="s">
        <v>154</v>
      </c>
      <c r="S737" t="s">
        <v>236</v>
      </c>
      <c r="T737" t="s">
        <v>282</v>
      </c>
      <c r="U737">
        <v>2.3090992148190239E-2</v>
      </c>
      <c r="V737" t="s">
        <v>154</v>
      </c>
    </row>
    <row r="738" spans="9:22" x14ac:dyDescent="0.45">
      <c r="I738" t="s">
        <v>183</v>
      </c>
      <c r="J738" t="s">
        <v>283</v>
      </c>
      <c r="K738">
        <v>3.1499117353136961E-6</v>
      </c>
      <c r="L738" t="s">
        <v>154</v>
      </c>
      <c r="N738" t="s">
        <v>212</v>
      </c>
      <c r="O738" t="s">
        <v>283</v>
      </c>
      <c r="P738">
        <v>0.11919757016595847</v>
      </c>
      <c r="Q738" t="s">
        <v>154</v>
      </c>
      <c r="S738" t="s">
        <v>236</v>
      </c>
      <c r="T738" t="s">
        <v>283</v>
      </c>
      <c r="U738">
        <v>0.13427263029397377</v>
      </c>
      <c r="V738" t="s">
        <v>154</v>
      </c>
    </row>
    <row r="739" spans="9:22" x14ac:dyDescent="0.45">
      <c r="I739" t="s">
        <v>183</v>
      </c>
      <c r="J739" t="s">
        <v>157</v>
      </c>
      <c r="K739">
        <v>0</v>
      </c>
      <c r="L739" t="s">
        <v>154</v>
      </c>
      <c r="N739" t="s">
        <v>212</v>
      </c>
      <c r="O739" t="s">
        <v>157</v>
      </c>
      <c r="P739">
        <v>1.0115010185064506E-2</v>
      </c>
      <c r="Q739" t="s">
        <v>154</v>
      </c>
      <c r="S739" t="s">
        <v>236</v>
      </c>
      <c r="T739" t="s">
        <v>157</v>
      </c>
      <c r="U739">
        <v>1.0114244119463342E-2</v>
      </c>
      <c r="V739" t="s">
        <v>154</v>
      </c>
    </row>
    <row r="740" spans="9:22" x14ac:dyDescent="0.45">
      <c r="I740" t="s">
        <v>183</v>
      </c>
      <c r="J740" t="s">
        <v>158</v>
      </c>
      <c r="K740">
        <v>5.9331114946356601E-3</v>
      </c>
      <c r="L740" t="s">
        <v>154</v>
      </c>
      <c r="N740" t="s">
        <v>212</v>
      </c>
      <c r="O740" t="s">
        <v>158</v>
      </c>
      <c r="P740">
        <v>2.6929658301289611E-3</v>
      </c>
      <c r="Q740" t="s">
        <v>154</v>
      </c>
      <c r="S740" t="s">
        <v>236</v>
      </c>
      <c r="T740" t="s">
        <v>158</v>
      </c>
      <c r="U740">
        <v>2.4672278698409304E-3</v>
      </c>
      <c r="V740" t="s">
        <v>154</v>
      </c>
    </row>
    <row r="741" spans="9:22" x14ac:dyDescent="0.45">
      <c r="I741" t="s">
        <v>183</v>
      </c>
      <c r="J741" t="s">
        <v>159</v>
      </c>
      <c r="K741">
        <v>5.2260482765008167E-3</v>
      </c>
      <c r="L741" t="s">
        <v>154</v>
      </c>
      <c r="N741" t="s">
        <v>212</v>
      </c>
      <c r="O741" t="s">
        <v>159</v>
      </c>
      <c r="P741">
        <v>1.3459700717961631E-3</v>
      </c>
      <c r="Q741" t="s">
        <v>154</v>
      </c>
      <c r="S741" t="s">
        <v>236</v>
      </c>
      <c r="T741" t="s">
        <v>159</v>
      </c>
      <c r="U741">
        <v>1.1368628112505292E-3</v>
      </c>
      <c r="V741" t="s">
        <v>154</v>
      </c>
    </row>
    <row r="742" spans="9:22" x14ac:dyDescent="0.45">
      <c r="I742" t="s">
        <v>183</v>
      </c>
      <c r="J742" t="s">
        <v>258</v>
      </c>
      <c r="K742">
        <v>4.1088936397709178E-2</v>
      </c>
      <c r="L742" t="s">
        <v>154</v>
      </c>
      <c r="N742" t="s">
        <v>212</v>
      </c>
      <c r="O742" t="s">
        <v>258</v>
      </c>
      <c r="P742">
        <v>1.0057483577619998E-2</v>
      </c>
      <c r="Q742" t="s">
        <v>154</v>
      </c>
      <c r="S742" t="s">
        <v>236</v>
      </c>
      <c r="T742" t="s">
        <v>258</v>
      </c>
      <c r="U742">
        <v>6.2031321813638268E-3</v>
      </c>
      <c r="V742" t="s">
        <v>154</v>
      </c>
    </row>
    <row r="743" spans="9:22" x14ac:dyDescent="0.45">
      <c r="I743" t="s">
        <v>183</v>
      </c>
      <c r="J743" t="s">
        <v>259</v>
      </c>
      <c r="K743">
        <v>4.2491485010954025E-3</v>
      </c>
      <c r="L743" t="s">
        <v>154</v>
      </c>
      <c r="N743" t="s">
        <v>212</v>
      </c>
      <c r="O743" t="s">
        <v>259</v>
      </c>
      <c r="P743">
        <v>1.8386169567033545E-3</v>
      </c>
      <c r="Q743" t="s">
        <v>154</v>
      </c>
      <c r="S743" t="s">
        <v>236</v>
      </c>
      <c r="T743" t="s">
        <v>259</v>
      </c>
      <c r="U743">
        <v>9.9040273282692244E-4</v>
      </c>
      <c r="V743" t="s">
        <v>154</v>
      </c>
    </row>
    <row r="744" spans="9:22" x14ac:dyDescent="0.45">
      <c r="I744" t="s">
        <v>183</v>
      </c>
      <c r="J744" t="s">
        <v>260</v>
      </c>
      <c r="K744">
        <v>2.7299375910131794E-3</v>
      </c>
      <c r="L744" t="s">
        <v>154</v>
      </c>
      <c r="N744" t="s">
        <v>212</v>
      </c>
      <c r="O744" t="s">
        <v>260</v>
      </c>
      <c r="P744">
        <v>1.726238345044818E-3</v>
      </c>
      <c r="Q744" t="s">
        <v>154</v>
      </c>
      <c r="S744" t="s">
        <v>236</v>
      </c>
      <c r="T744" t="s">
        <v>260</v>
      </c>
      <c r="U744">
        <v>9.2975348195678553E-4</v>
      </c>
      <c r="V744" t="s">
        <v>154</v>
      </c>
    </row>
    <row r="745" spans="9:22" x14ac:dyDescent="0.45">
      <c r="I745" t="s">
        <v>183</v>
      </c>
      <c r="J745" t="s">
        <v>284</v>
      </c>
      <c r="K745">
        <v>1.3662741256045437E-3</v>
      </c>
      <c r="L745" t="s">
        <v>154</v>
      </c>
      <c r="N745" t="s">
        <v>212</v>
      </c>
      <c r="O745" t="s">
        <v>284</v>
      </c>
      <c r="P745">
        <v>1.5157063379883568E-3</v>
      </c>
      <c r="Q745" t="s">
        <v>154</v>
      </c>
      <c r="S745" t="s">
        <v>236</v>
      </c>
      <c r="T745" t="s">
        <v>284</v>
      </c>
      <c r="U745">
        <v>9.9830753280885686E-4</v>
      </c>
      <c r="V745" t="s">
        <v>154</v>
      </c>
    </row>
    <row r="746" spans="9:22" x14ac:dyDescent="0.45">
      <c r="I746" t="s">
        <v>183</v>
      </c>
      <c r="J746" t="s">
        <v>285</v>
      </c>
      <c r="K746">
        <v>0</v>
      </c>
      <c r="L746" t="s">
        <v>154</v>
      </c>
      <c r="N746" t="s">
        <v>212</v>
      </c>
      <c r="O746" t="s">
        <v>285</v>
      </c>
      <c r="P746">
        <v>6.5022574928818725E-3</v>
      </c>
      <c r="Q746" t="s">
        <v>154</v>
      </c>
      <c r="S746" t="s">
        <v>236</v>
      </c>
      <c r="T746" t="s">
        <v>285</v>
      </c>
      <c r="U746">
        <v>4.7522717772580042E-3</v>
      </c>
      <c r="V746" t="s">
        <v>154</v>
      </c>
    </row>
    <row r="747" spans="9:22" x14ac:dyDescent="0.45">
      <c r="I747" t="s">
        <v>183</v>
      </c>
      <c r="J747" t="s">
        <v>160</v>
      </c>
      <c r="K747">
        <v>0</v>
      </c>
      <c r="L747" t="s">
        <v>154</v>
      </c>
      <c r="N747" t="s">
        <v>212</v>
      </c>
      <c r="O747" t="s">
        <v>160</v>
      </c>
      <c r="P747">
        <v>2.6388368114331553E-2</v>
      </c>
      <c r="Q747" t="s">
        <v>154</v>
      </c>
      <c r="S747" t="s">
        <v>236</v>
      </c>
      <c r="T747" t="s">
        <v>160</v>
      </c>
      <c r="U747">
        <v>5.0003007525554248E-2</v>
      </c>
      <c r="V747" t="s">
        <v>154</v>
      </c>
    </row>
    <row r="748" spans="9:22" x14ac:dyDescent="0.45">
      <c r="I748" t="s">
        <v>183</v>
      </c>
      <c r="J748" t="s">
        <v>161</v>
      </c>
      <c r="K748">
        <v>8.7381514174407118E-3</v>
      </c>
      <c r="L748" t="s">
        <v>154</v>
      </c>
      <c r="N748" t="s">
        <v>212</v>
      </c>
      <c r="O748" t="s">
        <v>161</v>
      </c>
      <c r="P748">
        <v>7.1451551338348532E-3</v>
      </c>
      <c r="Q748" t="s">
        <v>154</v>
      </c>
      <c r="S748" t="s">
        <v>236</v>
      </c>
      <c r="T748" t="s">
        <v>161</v>
      </c>
      <c r="U748">
        <v>1.3475242294981133E-2</v>
      </c>
      <c r="V748" t="s">
        <v>154</v>
      </c>
    </row>
    <row r="749" spans="9:22" x14ac:dyDescent="0.45">
      <c r="I749" t="s">
        <v>183</v>
      </c>
      <c r="J749" t="s">
        <v>162</v>
      </c>
      <c r="K749">
        <v>7.3151043476825722E-3</v>
      </c>
      <c r="L749" t="s">
        <v>154</v>
      </c>
      <c r="N749" t="s">
        <v>212</v>
      </c>
      <c r="O749" t="s">
        <v>162</v>
      </c>
      <c r="P749">
        <v>3.7828203353398909E-3</v>
      </c>
      <c r="Q749" t="s">
        <v>154</v>
      </c>
      <c r="S749" t="s">
        <v>236</v>
      </c>
      <c r="T749" t="s">
        <v>162</v>
      </c>
      <c r="U749">
        <v>6.7862481082315365E-3</v>
      </c>
      <c r="V749" t="s">
        <v>154</v>
      </c>
    </row>
    <row r="750" spans="9:22" x14ac:dyDescent="0.45">
      <c r="I750" t="s">
        <v>183</v>
      </c>
      <c r="J750" t="s">
        <v>261</v>
      </c>
      <c r="K750">
        <v>5.1222024228345944E-2</v>
      </c>
      <c r="L750" t="s">
        <v>154</v>
      </c>
      <c r="N750" t="s">
        <v>212</v>
      </c>
      <c r="O750" t="s">
        <v>261</v>
      </c>
      <c r="P750">
        <v>2.7146798911896367E-2</v>
      </c>
      <c r="Q750" t="s">
        <v>154</v>
      </c>
      <c r="S750" t="s">
        <v>236</v>
      </c>
      <c r="T750" t="s">
        <v>261</v>
      </c>
      <c r="U750">
        <v>4.3301142907457013E-2</v>
      </c>
      <c r="V750" t="s">
        <v>154</v>
      </c>
    </row>
    <row r="751" spans="9:22" x14ac:dyDescent="0.45">
      <c r="I751" t="s">
        <v>183</v>
      </c>
      <c r="J751" t="s">
        <v>262</v>
      </c>
      <c r="K751">
        <v>6.1033079992045009E-3</v>
      </c>
      <c r="L751" t="s">
        <v>154</v>
      </c>
      <c r="N751" t="s">
        <v>212</v>
      </c>
      <c r="O751" t="s">
        <v>262</v>
      </c>
      <c r="P751">
        <v>4.7937605325938234E-3</v>
      </c>
      <c r="Q751" t="s">
        <v>154</v>
      </c>
      <c r="S751" t="s">
        <v>236</v>
      </c>
      <c r="T751" t="s">
        <v>262</v>
      </c>
      <c r="U751">
        <v>7.1199028973279637E-3</v>
      </c>
      <c r="V751" t="s">
        <v>154</v>
      </c>
    </row>
    <row r="752" spans="9:22" x14ac:dyDescent="0.45">
      <c r="I752" t="s">
        <v>183</v>
      </c>
      <c r="J752" t="s">
        <v>263</v>
      </c>
      <c r="K752">
        <v>4.0668575285210829E-3</v>
      </c>
      <c r="L752" t="s">
        <v>154</v>
      </c>
      <c r="N752" t="s">
        <v>212</v>
      </c>
      <c r="O752" t="s">
        <v>263</v>
      </c>
      <c r="P752">
        <v>4.6023115239926631E-3</v>
      </c>
      <c r="Q752" t="s">
        <v>154</v>
      </c>
      <c r="S752" t="s">
        <v>236</v>
      </c>
      <c r="T752" t="s">
        <v>263</v>
      </c>
      <c r="U752">
        <v>6.9277102576790562E-3</v>
      </c>
      <c r="V752" t="s">
        <v>154</v>
      </c>
    </row>
    <row r="753" spans="9:22" x14ac:dyDescent="0.45">
      <c r="I753" t="s">
        <v>183</v>
      </c>
      <c r="J753" t="s">
        <v>286</v>
      </c>
      <c r="K753">
        <v>1.958396030813981E-3</v>
      </c>
      <c r="L753" t="s">
        <v>154</v>
      </c>
      <c r="N753" t="s">
        <v>212</v>
      </c>
      <c r="O753" t="s">
        <v>286</v>
      </c>
      <c r="P753">
        <v>4.0285350854567994E-3</v>
      </c>
      <c r="Q753" t="s">
        <v>154</v>
      </c>
      <c r="S753" t="s">
        <v>236</v>
      </c>
      <c r="T753" t="s">
        <v>286</v>
      </c>
      <c r="U753">
        <v>6.8726615625189997E-3</v>
      </c>
      <c r="V753" t="s">
        <v>154</v>
      </c>
    </row>
    <row r="754" spans="9:22" x14ac:dyDescent="0.45">
      <c r="I754" t="s">
        <v>183</v>
      </c>
      <c r="J754" t="s">
        <v>287</v>
      </c>
      <c r="K754">
        <v>0</v>
      </c>
      <c r="L754" t="s">
        <v>154</v>
      </c>
      <c r="N754" t="s">
        <v>212</v>
      </c>
      <c r="O754" t="s">
        <v>287</v>
      </c>
      <c r="P754">
        <v>1.9777626512689165E-2</v>
      </c>
      <c r="Q754" t="s">
        <v>154</v>
      </c>
      <c r="S754" t="s">
        <v>236</v>
      </c>
      <c r="T754" t="s">
        <v>287</v>
      </c>
      <c r="U754">
        <v>3.2931818158868094E-2</v>
      </c>
      <c r="V754" t="s">
        <v>154</v>
      </c>
    </row>
    <row r="755" spans="9:22" x14ac:dyDescent="0.45">
      <c r="I755" t="s">
        <v>183</v>
      </c>
      <c r="J755" t="s">
        <v>163</v>
      </c>
      <c r="K755">
        <v>0</v>
      </c>
      <c r="L755" t="s">
        <v>154</v>
      </c>
      <c r="N755" t="s">
        <v>212</v>
      </c>
      <c r="O755" t="s">
        <v>163</v>
      </c>
      <c r="P755">
        <v>1.8436790843017022E-2</v>
      </c>
      <c r="Q755" t="s">
        <v>154</v>
      </c>
      <c r="S755" t="s">
        <v>236</v>
      </c>
      <c r="T755" t="s">
        <v>163</v>
      </c>
      <c r="U755">
        <v>1.1878509026053237E-2</v>
      </c>
      <c r="V755" t="s">
        <v>154</v>
      </c>
    </row>
    <row r="756" spans="9:22" x14ac:dyDescent="0.45">
      <c r="I756" t="s">
        <v>183</v>
      </c>
      <c r="J756" t="s">
        <v>164</v>
      </c>
      <c r="K756">
        <v>7.0261488547809399E-3</v>
      </c>
      <c r="L756" t="s">
        <v>154</v>
      </c>
      <c r="N756" t="s">
        <v>212</v>
      </c>
      <c r="O756" t="s">
        <v>164</v>
      </c>
      <c r="P756">
        <v>5.0820756200196313E-3</v>
      </c>
      <c r="Q756" t="s">
        <v>154</v>
      </c>
      <c r="S756" t="s">
        <v>236</v>
      </c>
      <c r="T756" t="s">
        <v>164</v>
      </c>
      <c r="U756">
        <v>3.4899614299572419E-3</v>
      </c>
      <c r="V756" t="s">
        <v>154</v>
      </c>
    </row>
    <row r="757" spans="9:22" x14ac:dyDescent="0.45">
      <c r="I757" t="s">
        <v>183</v>
      </c>
      <c r="J757" t="s">
        <v>165</v>
      </c>
      <c r="K757">
        <v>5.8993823710021438E-3</v>
      </c>
      <c r="L757" t="s">
        <v>154</v>
      </c>
      <c r="N757" t="s">
        <v>212</v>
      </c>
      <c r="O757" t="s">
        <v>165</v>
      </c>
      <c r="P757">
        <v>2.7374732430937659E-3</v>
      </c>
      <c r="Q757" t="s">
        <v>154</v>
      </c>
      <c r="S757" t="s">
        <v>236</v>
      </c>
      <c r="T757" t="s">
        <v>165</v>
      </c>
      <c r="U757">
        <v>2.1900302568116075E-3</v>
      </c>
      <c r="V757" t="s">
        <v>154</v>
      </c>
    </row>
    <row r="758" spans="9:22" x14ac:dyDescent="0.45">
      <c r="I758" t="s">
        <v>183</v>
      </c>
      <c r="J758" t="s">
        <v>264</v>
      </c>
      <c r="K758">
        <v>4.0745950090019134E-2</v>
      </c>
      <c r="L758" t="s">
        <v>154</v>
      </c>
      <c r="N758" t="s">
        <v>212</v>
      </c>
      <c r="O758" t="s">
        <v>264</v>
      </c>
      <c r="P758">
        <v>1.6170563020702217E-2</v>
      </c>
      <c r="Q758" t="s">
        <v>154</v>
      </c>
      <c r="S758" t="s">
        <v>236</v>
      </c>
      <c r="T758" t="s">
        <v>264</v>
      </c>
      <c r="U758">
        <v>1.3344195113550332E-2</v>
      </c>
      <c r="V758" t="s">
        <v>154</v>
      </c>
    </row>
    <row r="759" spans="9:22" x14ac:dyDescent="0.45">
      <c r="I759" t="s">
        <v>183</v>
      </c>
      <c r="J759" t="s">
        <v>265</v>
      </c>
      <c r="K759">
        <v>5.0127817310691384E-3</v>
      </c>
      <c r="L759" t="s">
        <v>154</v>
      </c>
      <c r="N759" t="s">
        <v>212</v>
      </c>
      <c r="O759" t="s">
        <v>265</v>
      </c>
      <c r="P759">
        <v>2.5003165798093995E-3</v>
      </c>
      <c r="Q759" t="s">
        <v>154</v>
      </c>
      <c r="S759" t="s">
        <v>236</v>
      </c>
      <c r="T759" t="s">
        <v>265</v>
      </c>
      <c r="U759">
        <v>2.5159029809293989E-3</v>
      </c>
      <c r="V759" t="s">
        <v>154</v>
      </c>
    </row>
    <row r="760" spans="9:22" x14ac:dyDescent="0.45">
      <c r="I760" t="s">
        <v>183</v>
      </c>
      <c r="J760" t="s">
        <v>266</v>
      </c>
      <c r="K760">
        <v>3.2689074054968342E-3</v>
      </c>
      <c r="L760" t="s">
        <v>154</v>
      </c>
      <c r="N760" t="s">
        <v>212</v>
      </c>
      <c r="O760" t="s">
        <v>266</v>
      </c>
      <c r="P760">
        <v>2.5375729422641592E-3</v>
      </c>
      <c r="Q760" t="s">
        <v>154</v>
      </c>
      <c r="S760" t="s">
        <v>236</v>
      </c>
      <c r="T760" t="s">
        <v>266</v>
      </c>
      <c r="U760">
        <v>2.5517164340806411E-3</v>
      </c>
      <c r="V760" t="s">
        <v>154</v>
      </c>
    </row>
    <row r="761" spans="9:22" x14ac:dyDescent="0.45">
      <c r="I761" t="s">
        <v>183</v>
      </c>
      <c r="J761" t="s">
        <v>288</v>
      </c>
      <c r="K761">
        <v>0</v>
      </c>
      <c r="L761" t="s">
        <v>154</v>
      </c>
      <c r="N761" t="s">
        <v>212</v>
      </c>
      <c r="O761" t="s">
        <v>288</v>
      </c>
      <c r="P761">
        <v>2.3436042719409363E-3</v>
      </c>
      <c r="Q761" t="s">
        <v>154</v>
      </c>
      <c r="S761" t="s">
        <v>236</v>
      </c>
      <c r="T761" t="s">
        <v>288</v>
      </c>
      <c r="U761">
        <v>2.3533774268257252E-3</v>
      </c>
      <c r="V761" t="s">
        <v>154</v>
      </c>
    </row>
    <row r="762" spans="9:22" x14ac:dyDescent="0.45">
      <c r="I762" t="s">
        <v>183</v>
      </c>
      <c r="J762" t="s">
        <v>289</v>
      </c>
      <c r="K762">
        <v>0</v>
      </c>
      <c r="L762" t="s">
        <v>154</v>
      </c>
      <c r="N762" t="s">
        <v>212</v>
      </c>
      <c r="O762" t="s">
        <v>289</v>
      </c>
      <c r="P762">
        <v>1.2691003281828381E-2</v>
      </c>
      <c r="Q762" t="s">
        <v>154</v>
      </c>
      <c r="S762" t="s">
        <v>236</v>
      </c>
      <c r="T762" t="s">
        <v>289</v>
      </c>
      <c r="U762">
        <v>1.1473878875637044E-2</v>
      </c>
      <c r="V762" t="s">
        <v>154</v>
      </c>
    </row>
    <row r="763" spans="9:22" x14ac:dyDescent="0.45">
      <c r="I763" t="s">
        <v>183</v>
      </c>
      <c r="J763" t="s">
        <v>272</v>
      </c>
      <c r="K763">
        <v>0</v>
      </c>
      <c r="L763" t="s">
        <v>154</v>
      </c>
      <c r="N763" t="s">
        <v>212</v>
      </c>
      <c r="O763" t="s">
        <v>272</v>
      </c>
      <c r="P763">
        <v>5.942885319549536E-2</v>
      </c>
      <c r="Q763" t="s">
        <v>154</v>
      </c>
      <c r="S763" t="s">
        <v>236</v>
      </c>
      <c r="T763" t="s">
        <v>272</v>
      </c>
      <c r="U763">
        <v>4.1412288391019243E-2</v>
      </c>
      <c r="V763" t="s">
        <v>154</v>
      </c>
    </row>
    <row r="764" spans="9:22" x14ac:dyDescent="0.45">
      <c r="I764" t="s">
        <v>183</v>
      </c>
      <c r="J764" t="s">
        <v>273</v>
      </c>
      <c r="K764">
        <v>7.0684081027443885E-3</v>
      </c>
      <c r="L764" t="s">
        <v>154</v>
      </c>
      <c r="N764" t="s">
        <v>212</v>
      </c>
      <c r="O764" t="s">
        <v>273</v>
      </c>
      <c r="P764">
        <v>1.5900804427966091E-2</v>
      </c>
      <c r="Q764" t="s">
        <v>154</v>
      </c>
      <c r="S764" t="s">
        <v>236</v>
      </c>
      <c r="T764" t="s">
        <v>273</v>
      </c>
      <c r="U764">
        <v>1.215024331842459E-2</v>
      </c>
      <c r="V764" t="s">
        <v>154</v>
      </c>
    </row>
    <row r="765" spans="9:22" x14ac:dyDescent="0.45">
      <c r="I765" t="s">
        <v>183</v>
      </c>
      <c r="J765" t="s">
        <v>274</v>
      </c>
      <c r="K765">
        <v>7.3456612414586828E-3</v>
      </c>
      <c r="L765" t="s">
        <v>154</v>
      </c>
      <c r="N765" t="s">
        <v>212</v>
      </c>
      <c r="O765" t="s">
        <v>274</v>
      </c>
      <c r="P765">
        <v>8.576574292788252E-3</v>
      </c>
      <c r="Q765" t="s">
        <v>154</v>
      </c>
      <c r="S765" t="s">
        <v>236</v>
      </c>
      <c r="T765" t="s">
        <v>274</v>
      </c>
      <c r="U765">
        <v>6.5451239379170599E-3</v>
      </c>
      <c r="V765" t="s">
        <v>154</v>
      </c>
    </row>
    <row r="766" spans="9:22" x14ac:dyDescent="0.45">
      <c r="I766" t="s">
        <v>183</v>
      </c>
      <c r="J766" t="s">
        <v>275</v>
      </c>
      <c r="K766">
        <v>5.9461068888786245E-2</v>
      </c>
      <c r="L766" t="s">
        <v>154</v>
      </c>
      <c r="N766" t="s">
        <v>212</v>
      </c>
      <c r="O766" t="s">
        <v>275</v>
      </c>
      <c r="P766">
        <v>5.1489688310323946E-2</v>
      </c>
      <c r="Q766" t="s">
        <v>154</v>
      </c>
      <c r="S766" t="s">
        <v>236</v>
      </c>
      <c r="T766" t="s">
        <v>275</v>
      </c>
      <c r="U766">
        <v>3.375559639251223E-2</v>
      </c>
      <c r="V766" t="s">
        <v>154</v>
      </c>
    </row>
    <row r="767" spans="9:22" x14ac:dyDescent="0.45">
      <c r="I767" t="s">
        <v>183</v>
      </c>
      <c r="J767" t="s">
        <v>276</v>
      </c>
      <c r="K767">
        <v>6.2798850237579451E-3</v>
      </c>
      <c r="L767" t="s">
        <v>154</v>
      </c>
      <c r="N767" t="s">
        <v>212</v>
      </c>
      <c r="O767" t="s">
        <v>276</v>
      </c>
      <c r="P767">
        <v>8.4193605251733292E-3</v>
      </c>
      <c r="Q767" t="s">
        <v>154</v>
      </c>
      <c r="S767" t="s">
        <v>236</v>
      </c>
      <c r="T767" t="s">
        <v>276</v>
      </c>
      <c r="U767">
        <v>5.4268101911792918E-3</v>
      </c>
      <c r="V767" t="s">
        <v>154</v>
      </c>
    </row>
    <row r="768" spans="9:22" x14ac:dyDescent="0.45">
      <c r="I768" t="s">
        <v>183</v>
      </c>
      <c r="J768" t="s">
        <v>277</v>
      </c>
      <c r="K768">
        <v>3.5728234900460976E-3</v>
      </c>
      <c r="L768" t="s">
        <v>154</v>
      </c>
      <c r="N768" t="s">
        <v>212</v>
      </c>
      <c r="O768" t="s">
        <v>277</v>
      </c>
      <c r="P768">
        <v>8.5176801807183219E-3</v>
      </c>
      <c r="Q768" t="s">
        <v>154</v>
      </c>
      <c r="S768" t="s">
        <v>236</v>
      </c>
      <c r="T768" t="s">
        <v>277</v>
      </c>
      <c r="U768">
        <v>5.7953224857636805E-3</v>
      </c>
      <c r="V768" t="s">
        <v>154</v>
      </c>
    </row>
    <row r="769" spans="9:22" x14ac:dyDescent="0.45">
      <c r="I769" t="s">
        <v>183</v>
      </c>
      <c r="J769" t="s">
        <v>290</v>
      </c>
      <c r="K769">
        <v>0</v>
      </c>
      <c r="L769" t="s">
        <v>154</v>
      </c>
      <c r="N769" t="s">
        <v>212</v>
      </c>
      <c r="O769" t="s">
        <v>290</v>
      </c>
      <c r="P769">
        <v>7.0512355502048811E-3</v>
      </c>
      <c r="Q769" t="s">
        <v>154</v>
      </c>
      <c r="S769" t="s">
        <v>236</v>
      </c>
      <c r="T769" t="s">
        <v>290</v>
      </c>
      <c r="U769">
        <v>4.8844385221534217E-3</v>
      </c>
      <c r="V769" t="s">
        <v>154</v>
      </c>
    </row>
    <row r="770" spans="9:22" x14ac:dyDescent="0.45">
      <c r="I770" t="s">
        <v>183</v>
      </c>
      <c r="J770" t="s">
        <v>291</v>
      </c>
      <c r="K770">
        <v>0</v>
      </c>
      <c r="L770" t="s">
        <v>154</v>
      </c>
      <c r="N770" t="s">
        <v>212</v>
      </c>
      <c r="O770" t="s">
        <v>291</v>
      </c>
      <c r="P770">
        <v>3.806307731082581E-2</v>
      </c>
      <c r="Q770" t="s">
        <v>154</v>
      </c>
      <c r="S770" t="s">
        <v>236</v>
      </c>
      <c r="T770" t="s">
        <v>291</v>
      </c>
      <c r="U770">
        <v>2.9917761614975804E-2</v>
      </c>
      <c r="V770" t="s">
        <v>154</v>
      </c>
    </row>
    <row r="771" spans="9:22" x14ac:dyDescent="0.45">
      <c r="I771" t="s">
        <v>184</v>
      </c>
      <c r="J771" t="s">
        <v>153</v>
      </c>
      <c r="K771">
        <v>0</v>
      </c>
      <c r="L771" t="s">
        <v>154</v>
      </c>
      <c r="N771" t="s">
        <v>213</v>
      </c>
      <c r="O771" t="s">
        <v>153</v>
      </c>
      <c r="P771">
        <v>0.19627507243791634</v>
      </c>
      <c r="Q771" t="s">
        <v>154</v>
      </c>
      <c r="S771" t="s">
        <v>237</v>
      </c>
      <c r="T771" t="s">
        <v>153</v>
      </c>
      <c r="U771">
        <v>0.18984545548551951</v>
      </c>
      <c r="V771" t="s">
        <v>154</v>
      </c>
    </row>
    <row r="772" spans="9:22" x14ac:dyDescent="0.45">
      <c r="I772" t="s">
        <v>184</v>
      </c>
      <c r="J772" t="s">
        <v>155</v>
      </c>
      <c r="K772">
        <v>5.6132014664958978E-2</v>
      </c>
      <c r="L772" t="s">
        <v>154</v>
      </c>
      <c r="N772" t="s">
        <v>213</v>
      </c>
      <c r="O772" t="s">
        <v>155</v>
      </c>
      <c r="P772">
        <v>5.3435617924914858E-2</v>
      </c>
      <c r="Q772" t="s">
        <v>154</v>
      </c>
      <c r="S772" t="s">
        <v>237</v>
      </c>
      <c r="T772" t="s">
        <v>155</v>
      </c>
      <c r="U772">
        <v>4.9783115651152052E-2</v>
      </c>
      <c r="V772" t="s">
        <v>154</v>
      </c>
    </row>
    <row r="773" spans="9:22" x14ac:dyDescent="0.45">
      <c r="I773" t="s">
        <v>184</v>
      </c>
      <c r="J773" t="s">
        <v>156</v>
      </c>
      <c r="K773">
        <v>5.3769469923845438E-2</v>
      </c>
      <c r="L773" t="s">
        <v>154</v>
      </c>
      <c r="N773" t="s">
        <v>213</v>
      </c>
      <c r="O773" t="s">
        <v>156</v>
      </c>
      <c r="P773">
        <v>2.6806210912205034E-2</v>
      </c>
      <c r="Q773" t="s">
        <v>154</v>
      </c>
      <c r="S773" t="s">
        <v>237</v>
      </c>
      <c r="T773" t="s">
        <v>156</v>
      </c>
      <c r="U773">
        <v>2.5933501673902837E-2</v>
      </c>
      <c r="V773" t="s">
        <v>154</v>
      </c>
    </row>
    <row r="774" spans="9:22" x14ac:dyDescent="0.45">
      <c r="I774" t="s">
        <v>184</v>
      </c>
      <c r="J774" t="s">
        <v>255</v>
      </c>
      <c r="K774">
        <v>0.42502581072137907</v>
      </c>
      <c r="L774" t="s">
        <v>154</v>
      </c>
      <c r="N774" t="s">
        <v>213</v>
      </c>
      <c r="O774" t="s">
        <v>255</v>
      </c>
      <c r="P774">
        <v>0.15932356800085973</v>
      </c>
      <c r="Q774" t="s">
        <v>154</v>
      </c>
      <c r="S774" t="s">
        <v>237</v>
      </c>
      <c r="T774" t="s">
        <v>255</v>
      </c>
      <c r="U774">
        <v>0.15562399365786828</v>
      </c>
      <c r="V774" t="s">
        <v>154</v>
      </c>
    </row>
    <row r="775" spans="9:22" x14ac:dyDescent="0.45">
      <c r="I775" t="s">
        <v>184</v>
      </c>
      <c r="J775" t="s">
        <v>256</v>
      </c>
      <c r="K775">
        <v>5.3973366993811646E-2</v>
      </c>
      <c r="L775" t="s">
        <v>154</v>
      </c>
      <c r="N775" t="s">
        <v>213</v>
      </c>
      <c r="O775" t="s">
        <v>256</v>
      </c>
      <c r="P775">
        <v>2.7051773112685602E-2</v>
      </c>
      <c r="Q775" t="s">
        <v>154</v>
      </c>
      <c r="S775" t="s">
        <v>237</v>
      </c>
      <c r="T775" t="s">
        <v>256</v>
      </c>
      <c r="U775">
        <v>2.6158957493513619E-2</v>
      </c>
      <c r="V775" t="s">
        <v>154</v>
      </c>
    </row>
    <row r="776" spans="9:22" x14ac:dyDescent="0.45">
      <c r="I776" t="s">
        <v>184</v>
      </c>
      <c r="J776" t="s">
        <v>257</v>
      </c>
      <c r="K776">
        <v>4.245320936415866E-2</v>
      </c>
      <c r="L776" t="s">
        <v>154</v>
      </c>
      <c r="N776" t="s">
        <v>213</v>
      </c>
      <c r="O776" t="s">
        <v>257</v>
      </c>
      <c r="P776">
        <v>2.8893221183896679E-2</v>
      </c>
      <c r="Q776" t="s">
        <v>154</v>
      </c>
      <c r="S776" t="s">
        <v>237</v>
      </c>
      <c r="T776" t="s">
        <v>257</v>
      </c>
      <c r="U776">
        <v>2.6215061447192458E-2</v>
      </c>
      <c r="V776" t="s">
        <v>154</v>
      </c>
    </row>
    <row r="777" spans="9:22" x14ac:dyDescent="0.45">
      <c r="I777" t="s">
        <v>184</v>
      </c>
      <c r="J777" t="s">
        <v>282</v>
      </c>
      <c r="K777">
        <v>2.6725763375593247E-2</v>
      </c>
      <c r="L777" t="s">
        <v>154</v>
      </c>
      <c r="N777" t="s">
        <v>213</v>
      </c>
      <c r="O777" t="s">
        <v>282</v>
      </c>
      <c r="P777">
        <v>2.619032879768279E-2</v>
      </c>
      <c r="Q777" t="s">
        <v>154</v>
      </c>
      <c r="S777" t="s">
        <v>237</v>
      </c>
      <c r="T777" t="s">
        <v>282</v>
      </c>
      <c r="U777">
        <v>2.3968512260639903E-2</v>
      </c>
      <c r="V777" t="s">
        <v>154</v>
      </c>
    </row>
    <row r="778" spans="9:22" x14ac:dyDescent="0.45">
      <c r="I778" t="s">
        <v>184</v>
      </c>
      <c r="J778" t="s">
        <v>283</v>
      </c>
      <c r="K778">
        <v>0</v>
      </c>
      <c r="L778" t="s">
        <v>154</v>
      </c>
      <c r="N778" t="s">
        <v>213</v>
      </c>
      <c r="O778" t="s">
        <v>283</v>
      </c>
      <c r="P778">
        <v>0.14289431037580705</v>
      </c>
      <c r="Q778" t="s">
        <v>154</v>
      </c>
      <c r="S778" t="s">
        <v>237</v>
      </c>
      <c r="T778" t="s">
        <v>283</v>
      </c>
      <c r="U778">
        <v>0.12652346200480899</v>
      </c>
      <c r="V778" t="s">
        <v>154</v>
      </c>
    </row>
    <row r="779" spans="9:22" x14ac:dyDescent="0.45">
      <c r="I779" t="s">
        <v>184</v>
      </c>
      <c r="J779" t="s">
        <v>157</v>
      </c>
      <c r="K779">
        <v>0</v>
      </c>
      <c r="L779" t="s">
        <v>154</v>
      </c>
      <c r="N779" t="s">
        <v>213</v>
      </c>
      <c r="O779" t="s">
        <v>157</v>
      </c>
      <c r="P779">
        <v>9.6449990744528081E-3</v>
      </c>
      <c r="Q779" t="s">
        <v>154</v>
      </c>
      <c r="S779" t="s">
        <v>237</v>
      </c>
      <c r="T779" t="s">
        <v>157</v>
      </c>
      <c r="U779">
        <v>7.4031980692097887E-3</v>
      </c>
      <c r="V779" t="s">
        <v>154</v>
      </c>
    </row>
    <row r="780" spans="9:22" x14ac:dyDescent="0.45">
      <c r="I780" t="s">
        <v>184</v>
      </c>
      <c r="J780" t="s">
        <v>158</v>
      </c>
      <c r="K780">
        <v>6.0114123039990515E-3</v>
      </c>
      <c r="L780" t="s">
        <v>154</v>
      </c>
      <c r="N780" t="s">
        <v>213</v>
      </c>
      <c r="O780" t="s">
        <v>158</v>
      </c>
      <c r="P780">
        <v>2.813433378414631E-3</v>
      </c>
      <c r="Q780" t="s">
        <v>154</v>
      </c>
      <c r="S780" t="s">
        <v>237</v>
      </c>
      <c r="T780" t="s">
        <v>158</v>
      </c>
      <c r="U780">
        <v>1.7833641104683105E-3</v>
      </c>
      <c r="V780" t="s">
        <v>154</v>
      </c>
    </row>
    <row r="781" spans="9:22" x14ac:dyDescent="0.45">
      <c r="I781" t="s">
        <v>184</v>
      </c>
      <c r="J781" t="s">
        <v>159</v>
      </c>
      <c r="K781">
        <v>5.2725841422339454E-3</v>
      </c>
      <c r="L781" t="s">
        <v>154</v>
      </c>
      <c r="N781" t="s">
        <v>213</v>
      </c>
      <c r="O781" t="s">
        <v>159</v>
      </c>
      <c r="P781">
        <v>1.3902692577511136E-3</v>
      </c>
      <c r="Q781" t="s">
        <v>154</v>
      </c>
      <c r="S781" t="s">
        <v>237</v>
      </c>
      <c r="T781" t="s">
        <v>159</v>
      </c>
      <c r="U781">
        <v>8.6277068948372251E-4</v>
      </c>
      <c r="V781" t="s">
        <v>154</v>
      </c>
    </row>
    <row r="782" spans="9:22" x14ac:dyDescent="0.45">
      <c r="I782" t="s">
        <v>184</v>
      </c>
      <c r="J782" t="s">
        <v>258</v>
      </c>
      <c r="K782">
        <v>4.20089659686557E-2</v>
      </c>
      <c r="L782" t="s">
        <v>154</v>
      </c>
      <c r="N782" t="s">
        <v>213</v>
      </c>
      <c r="O782" t="s">
        <v>258</v>
      </c>
      <c r="P782">
        <v>5.9490093287517835E-3</v>
      </c>
      <c r="Q782" t="s">
        <v>154</v>
      </c>
      <c r="S782" t="s">
        <v>237</v>
      </c>
      <c r="T782" t="s">
        <v>258</v>
      </c>
      <c r="U782">
        <v>6.0000899213913392E-3</v>
      </c>
      <c r="V782" t="s">
        <v>154</v>
      </c>
    </row>
    <row r="783" spans="9:22" x14ac:dyDescent="0.45">
      <c r="I783" t="s">
        <v>184</v>
      </c>
      <c r="J783" t="s">
        <v>259</v>
      </c>
      <c r="K783">
        <v>5.0739915042455437E-3</v>
      </c>
      <c r="L783" t="s">
        <v>154</v>
      </c>
      <c r="N783" t="s">
        <v>213</v>
      </c>
      <c r="O783" t="s">
        <v>259</v>
      </c>
      <c r="P783">
        <v>6.0205692103820145E-4</v>
      </c>
      <c r="Q783" t="s">
        <v>154</v>
      </c>
      <c r="S783" t="s">
        <v>237</v>
      </c>
      <c r="T783" t="s">
        <v>259</v>
      </c>
      <c r="U783">
        <v>9.7350637477968337E-4</v>
      </c>
      <c r="V783" t="s">
        <v>154</v>
      </c>
    </row>
    <row r="784" spans="9:22" x14ac:dyDescent="0.45">
      <c r="I784" t="s">
        <v>184</v>
      </c>
      <c r="J784" t="s">
        <v>260</v>
      </c>
      <c r="K784">
        <v>3.7650142308519015E-3</v>
      </c>
      <c r="L784" t="s">
        <v>154</v>
      </c>
      <c r="N784" t="s">
        <v>213</v>
      </c>
      <c r="O784" t="s">
        <v>260</v>
      </c>
      <c r="P784">
        <v>6.3740369923716311E-4</v>
      </c>
      <c r="Q784" t="s">
        <v>154</v>
      </c>
      <c r="S784" t="s">
        <v>237</v>
      </c>
      <c r="T784" t="s">
        <v>260</v>
      </c>
      <c r="U784">
        <v>8.7464971692090168E-4</v>
      </c>
      <c r="V784" t="s">
        <v>154</v>
      </c>
    </row>
    <row r="785" spans="9:22" x14ac:dyDescent="0.45">
      <c r="I785" t="s">
        <v>184</v>
      </c>
      <c r="J785" t="s">
        <v>284</v>
      </c>
      <c r="K785">
        <v>2.3074574506811696E-3</v>
      </c>
      <c r="L785" t="s">
        <v>154</v>
      </c>
      <c r="N785" t="s">
        <v>213</v>
      </c>
      <c r="O785" t="s">
        <v>284</v>
      </c>
      <c r="P785">
        <v>6.4600424444998222E-4</v>
      </c>
      <c r="Q785" t="s">
        <v>154</v>
      </c>
      <c r="S785" t="s">
        <v>237</v>
      </c>
      <c r="T785" t="s">
        <v>284</v>
      </c>
      <c r="U785">
        <v>8.0813930994712985E-4</v>
      </c>
      <c r="V785" t="s">
        <v>154</v>
      </c>
    </row>
    <row r="786" spans="9:22" x14ac:dyDescent="0.45">
      <c r="I786" t="s">
        <v>184</v>
      </c>
      <c r="J786" t="s">
        <v>285</v>
      </c>
      <c r="K786">
        <v>0</v>
      </c>
      <c r="L786" t="s">
        <v>154</v>
      </c>
      <c r="N786" t="s">
        <v>213</v>
      </c>
      <c r="O786" t="s">
        <v>285</v>
      </c>
      <c r="P786">
        <v>4.9954617852706381E-3</v>
      </c>
      <c r="Q786" t="s">
        <v>154</v>
      </c>
      <c r="S786" t="s">
        <v>237</v>
      </c>
      <c r="T786" t="s">
        <v>285</v>
      </c>
      <c r="U786">
        <v>3.4399792429995152E-3</v>
      </c>
      <c r="V786" t="s">
        <v>154</v>
      </c>
    </row>
    <row r="787" spans="9:22" x14ac:dyDescent="0.45">
      <c r="I787" t="s">
        <v>184</v>
      </c>
      <c r="J787" t="s">
        <v>160</v>
      </c>
      <c r="K787">
        <v>0</v>
      </c>
      <c r="L787" t="s">
        <v>154</v>
      </c>
      <c r="N787" t="s">
        <v>213</v>
      </c>
      <c r="O787" t="s">
        <v>160</v>
      </c>
      <c r="P787">
        <v>5.1073689483383616E-2</v>
      </c>
      <c r="Q787" t="s">
        <v>154</v>
      </c>
      <c r="S787" t="s">
        <v>237</v>
      </c>
      <c r="T787" t="s">
        <v>160</v>
      </c>
      <c r="U787">
        <v>2.9067551369350891E-2</v>
      </c>
      <c r="V787" t="s">
        <v>154</v>
      </c>
    </row>
    <row r="788" spans="9:22" x14ac:dyDescent="0.45">
      <c r="I788" t="s">
        <v>184</v>
      </c>
      <c r="J788" t="s">
        <v>161</v>
      </c>
      <c r="K788">
        <v>6.657974936981414E-3</v>
      </c>
      <c r="L788" t="s">
        <v>154</v>
      </c>
      <c r="N788" t="s">
        <v>213</v>
      </c>
      <c r="O788" t="s">
        <v>161</v>
      </c>
      <c r="P788">
        <v>1.243773799557947E-2</v>
      </c>
      <c r="Q788" t="s">
        <v>154</v>
      </c>
      <c r="S788" t="s">
        <v>237</v>
      </c>
      <c r="T788" t="s">
        <v>161</v>
      </c>
      <c r="U788">
        <v>7.8729682758743678E-3</v>
      </c>
      <c r="V788" t="s">
        <v>154</v>
      </c>
    </row>
    <row r="789" spans="9:22" x14ac:dyDescent="0.45">
      <c r="I789" t="s">
        <v>184</v>
      </c>
      <c r="J789" t="s">
        <v>162</v>
      </c>
      <c r="K789">
        <v>6.2154591543651079E-3</v>
      </c>
      <c r="L789" t="s">
        <v>154</v>
      </c>
      <c r="N789" t="s">
        <v>213</v>
      </c>
      <c r="O789" t="s">
        <v>162</v>
      </c>
      <c r="P789">
        <v>6.1778198849242062E-3</v>
      </c>
      <c r="Q789" t="s">
        <v>154</v>
      </c>
      <c r="S789" t="s">
        <v>237</v>
      </c>
      <c r="T789" t="s">
        <v>162</v>
      </c>
      <c r="U789">
        <v>4.0830438328995702E-3</v>
      </c>
      <c r="V789" t="s">
        <v>154</v>
      </c>
    </row>
    <row r="790" spans="9:22" x14ac:dyDescent="0.45">
      <c r="I790" t="s">
        <v>184</v>
      </c>
      <c r="J790" t="s">
        <v>261</v>
      </c>
      <c r="K790">
        <v>4.8720246592526537E-2</v>
      </c>
      <c r="L790" t="s">
        <v>154</v>
      </c>
      <c r="N790" t="s">
        <v>213</v>
      </c>
      <c r="O790" t="s">
        <v>261</v>
      </c>
      <c r="P790">
        <v>3.3170396258060897E-2</v>
      </c>
      <c r="Q790" t="s">
        <v>154</v>
      </c>
      <c r="S790" t="s">
        <v>237</v>
      </c>
      <c r="T790" t="s">
        <v>261</v>
      </c>
      <c r="U790">
        <v>2.9819145066236962E-2</v>
      </c>
      <c r="V790" t="s">
        <v>154</v>
      </c>
    </row>
    <row r="791" spans="9:22" x14ac:dyDescent="0.45">
      <c r="I791" t="s">
        <v>184</v>
      </c>
      <c r="J791" t="s">
        <v>262</v>
      </c>
      <c r="K791">
        <v>5.2131240988553809E-3</v>
      </c>
      <c r="L791" t="s">
        <v>154</v>
      </c>
      <c r="N791" t="s">
        <v>213</v>
      </c>
      <c r="O791" t="s">
        <v>262</v>
      </c>
      <c r="P791">
        <v>5.4128028222070529E-3</v>
      </c>
      <c r="Q791" t="s">
        <v>154</v>
      </c>
      <c r="S791" t="s">
        <v>237</v>
      </c>
      <c r="T791" t="s">
        <v>262</v>
      </c>
      <c r="U791">
        <v>5.1920364887134947E-3</v>
      </c>
      <c r="V791" t="s">
        <v>154</v>
      </c>
    </row>
    <row r="792" spans="9:22" x14ac:dyDescent="0.45">
      <c r="I792" t="s">
        <v>184</v>
      </c>
      <c r="J792" t="s">
        <v>263</v>
      </c>
      <c r="K792">
        <v>3.4979017820657337E-3</v>
      </c>
      <c r="L792" t="s">
        <v>154</v>
      </c>
      <c r="N792" t="s">
        <v>213</v>
      </c>
      <c r="O792" t="s">
        <v>263</v>
      </c>
      <c r="P792">
        <v>5.841756588509139E-3</v>
      </c>
      <c r="Q792" t="s">
        <v>154</v>
      </c>
      <c r="S792" t="s">
        <v>237</v>
      </c>
      <c r="T792" t="s">
        <v>263</v>
      </c>
      <c r="U792">
        <v>4.7235281456061802E-3</v>
      </c>
      <c r="V792" t="s">
        <v>154</v>
      </c>
    </row>
    <row r="793" spans="9:22" x14ac:dyDescent="0.45">
      <c r="I793" t="s">
        <v>184</v>
      </c>
      <c r="J793" t="s">
        <v>286</v>
      </c>
      <c r="K793">
        <v>1.7407019966042723E-3</v>
      </c>
      <c r="L793" t="s">
        <v>154</v>
      </c>
      <c r="N793" t="s">
        <v>213</v>
      </c>
      <c r="O793" t="s">
        <v>286</v>
      </c>
      <c r="P793">
        <v>6.1216437255773356E-3</v>
      </c>
      <c r="Q793" t="s">
        <v>154</v>
      </c>
      <c r="S793" t="s">
        <v>237</v>
      </c>
      <c r="T793" t="s">
        <v>286</v>
      </c>
      <c r="U793">
        <v>3.7879116503500738E-3</v>
      </c>
      <c r="V793" t="s">
        <v>154</v>
      </c>
    </row>
    <row r="794" spans="9:22" x14ac:dyDescent="0.45">
      <c r="I794" t="s">
        <v>184</v>
      </c>
      <c r="J794" t="s">
        <v>287</v>
      </c>
      <c r="K794">
        <v>0</v>
      </c>
      <c r="L794" t="s">
        <v>154</v>
      </c>
      <c r="N794" t="s">
        <v>213</v>
      </c>
      <c r="O794" t="s">
        <v>287</v>
      </c>
      <c r="P794">
        <v>3.4567357200370262E-2</v>
      </c>
      <c r="Q794" t="s">
        <v>154</v>
      </c>
      <c r="S794" t="s">
        <v>237</v>
      </c>
      <c r="T794" t="s">
        <v>287</v>
      </c>
      <c r="U794">
        <v>1.8990986592244706E-2</v>
      </c>
      <c r="V794" t="s">
        <v>154</v>
      </c>
    </row>
    <row r="795" spans="9:22" x14ac:dyDescent="0.45">
      <c r="I795" t="s">
        <v>184</v>
      </c>
      <c r="J795" t="s">
        <v>163</v>
      </c>
      <c r="K795">
        <v>0</v>
      </c>
      <c r="L795" t="s">
        <v>154</v>
      </c>
      <c r="N795" t="s">
        <v>213</v>
      </c>
      <c r="O795" t="s">
        <v>163</v>
      </c>
      <c r="P795">
        <v>1.676588026723775E-2</v>
      </c>
      <c r="Q795" t="s">
        <v>154</v>
      </c>
      <c r="S795" t="s">
        <v>237</v>
      </c>
      <c r="T795" t="s">
        <v>163</v>
      </c>
      <c r="U795">
        <v>1.7924423563597872E-2</v>
      </c>
      <c r="V795" t="s">
        <v>154</v>
      </c>
    </row>
    <row r="796" spans="9:22" x14ac:dyDescent="0.45">
      <c r="I796" t="s">
        <v>184</v>
      </c>
      <c r="J796" t="s">
        <v>164</v>
      </c>
      <c r="K796">
        <v>7.1085141689900804E-3</v>
      </c>
      <c r="L796" t="s">
        <v>154</v>
      </c>
      <c r="N796" t="s">
        <v>213</v>
      </c>
      <c r="O796" t="s">
        <v>164</v>
      </c>
      <c r="P796">
        <v>3.5521937785554436E-3</v>
      </c>
      <c r="Q796" t="s">
        <v>154</v>
      </c>
      <c r="S796" t="s">
        <v>237</v>
      </c>
      <c r="T796" t="s">
        <v>164</v>
      </c>
      <c r="U796">
        <v>4.4409897248156444E-3</v>
      </c>
      <c r="V796" t="s">
        <v>154</v>
      </c>
    </row>
    <row r="797" spans="9:22" x14ac:dyDescent="0.45">
      <c r="I797" t="s">
        <v>184</v>
      </c>
      <c r="J797" t="s">
        <v>165</v>
      </c>
      <c r="K797">
        <v>6.0171340753341872E-3</v>
      </c>
      <c r="L797" t="s">
        <v>154</v>
      </c>
      <c r="N797" t="s">
        <v>213</v>
      </c>
      <c r="O797" t="s">
        <v>165</v>
      </c>
      <c r="P797">
        <v>1.7746124918821911E-3</v>
      </c>
      <c r="Q797" t="s">
        <v>154</v>
      </c>
      <c r="S797" t="s">
        <v>237</v>
      </c>
      <c r="T797" t="s">
        <v>165</v>
      </c>
      <c r="U797">
        <v>2.2106271119913621E-3</v>
      </c>
      <c r="V797" t="s">
        <v>154</v>
      </c>
    </row>
    <row r="798" spans="9:22" x14ac:dyDescent="0.45">
      <c r="I798" t="s">
        <v>184</v>
      </c>
      <c r="J798" t="s">
        <v>264</v>
      </c>
      <c r="K798">
        <v>4.0556470327207911E-2</v>
      </c>
      <c r="L798" t="s">
        <v>154</v>
      </c>
      <c r="N798" t="s">
        <v>213</v>
      </c>
      <c r="O798" t="s">
        <v>264</v>
      </c>
      <c r="P798">
        <v>1.3153171476904349E-2</v>
      </c>
      <c r="Q798" t="s">
        <v>154</v>
      </c>
      <c r="S798" t="s">
        <v>237</v>
      </c>
      <c r="T798" t="s">
        <v>264</v>
      </c>
      <c r="U798">
        <v>1.2090958667195959E-2</v>
      </c>
      <c r="V798" t="s">
        <v>154</v>
      </c>
    </row>
    <row r="799" spans="9:22" x14ac:dyDescent="0.45">
      <c r="I799" t="s">
        <v>184</v>
      </c>
      <c r="J799" t="s">
        <v>265</v>
      </c>
      <c r="K799">
        <v>4.6873474454489916E-3</v>
      </c>
      <c r="L799" t="s">
        <v>154</v>
      </c>
      <c r="N799" t="s">
        <v>213</v>
      </c>
      <c r="O799" t="s">
        <v>265</v>
      </c>
      <c r="P799">
        <v>2.5330924661384415E-3</v>
      </c>
      <c r="Q799" t="s">
        <v>154</v>
      </c>
      <c r="S799" t="s">
        <v>237</v>
      </c>
      <c r="T799" t="s">
        <v>265</v>
      </c>
      <c r="U799">
        <v>1.9851426639110681E-3</v>
      </c>
      <c r="V799" t="s">
        <v>154</v>
      </c>
    </row>
    <row r="800" spans="9:22" x14ac:dyDescent="0.45">
      <c r="I800" t="s">
        <v>184</v>
      </c>
      <c r="J800" t="s">
        <v>266</v>
      </c>
      <c r="K800">
        <v>3.1767009949306446E-3</v>
      </c>
      <c r="L800" t="s">
        <v>154</v>
      </c>
      <c r="N800" t="s">
        <v>213</v>
      </c>
      <c r="O800" t="s">
        <v>266</v>
      </c>
      <c r="P800">
        <v>2.6733350480082139E-3</v>
      </c>
      <c r="Q800" t="s">
        <v>154</v>
      </c>
      <c r="S800" t="s">
        <v>237</v>
      </c>
      <c r="T800" t="s">
        <v>266</v>
      </c>
      <c r="U800">
        <v>2.1787573558624362E-3</v>
      </c>
      <c r="V800" t="s">
        <v>154</v>
      </c>
    </row>
    <row r="801" spans="9:22" x14ac:dyDescent="0.45">
      <c r="I801" t="s">
        <v>184</v>
      </c>
      <c r="J801" t="s">
        <v>288</v>
      </c>
      <c r="K801">
        <v>1.973791544884185E-3</v>
      </c>
      <c r="L801" t="s">
        <v>154</v>
      </c>
      <c r="N801" t="s">
        <v>213</v>
      </c>
      <c r="O801" t="s">
        <v>288</v>
      </c>
      <c r="P801">
        <v>3.0016632966349682E-3</v>
      </c>
      <c r="Q801" t="s">
        <v>154</v>
      </c>
      <c r="S801" t="s">
        <v>237</v>
      </c>
      <c r="T801" t="s">
        <v>288</v>
      </c>
      <c r="U801">
        <v>2.0165927579383148E-3</v>
      </c>
      <c r="V801" t="s">
        <v>154</v>
      </c>
    </row>
    <row r="802" spans="9:22" x14ac:dyDescent="0.45">
      <c r="I802" t="s">
        <v>184</v>
      </c>
      <c r="J802" t="s">
        <v>289</v>
      </c>
      <c r="K802">
        <v>0</v>
      </c>
      <c r="L802" t="s">
        <v>154</v>
      </c>
      <c r="N802" t="s">
        <v>213</v>
      </c>
      <c r="O802" t="s">
        <v>289</v>
      </c>
      <c r="P802">
        <v>1.6423301884096422E-2</v>
      </c>
      <c r="Q802" t="s">
        <v>154</v>
      </c>
      <c r="S802" t="s">
        <v>237</v>
      </c>
      <c r="T802" t="s">
        <v>289</v>
      </c>
      <c r="U802">
        <v>1.2539863664733218E-2</v>
      </c>
      <c r="V802" t="s">
        <v>154</v>
      </c>
    </row>
    <row r="803" spans="9:22" x14ac:dyDescent="0.45">
      <c r="I803" t="s">
        <v>184</v>
      </c>
      <c r="J803" t="s">
        <v>272</v>
      </c>
      <c r="K803">
        <v>0</v>
      </c>
      <c r="L803" t="s">
        <v>154</v>
      </c>
      <c r="N803" t="s">
        <v>213</v>
      </c>
      <c r="O803" t="s">
        <v>272</v>
      </c>
      <c r="P803">
        <v>3.1558936001247387E-2</v>
      </c>
      <c r="Q803" t="s">
        <v>154</v>
      </c>
      <c r="S803" t="s">
        <v>237</v>
      </c>
      <c r="T803" t="s">
        <v>272</v>
      </c>
      <c r="U803">
        <v>6.0211584486731778E-2</v>
      </c>
      <c r="V803" t="s">
        <v>154</v>
      </c>
    </row>
    <row r="804" spans="9:22" x14ac:dyDescent="0.45">
      <c r="I804" t="s">
        <v>184</v>
      </c>
      <c r="J804" t="s">
        <v>273</v>
      </c>
      <c r="K804">
        <v>1.4793785756321986E-2</v>
      </c>
      <c r="L804" t="s">
        <v>154</v>
      </c>
      <c r="N804" t="s">
        <v>213</v>
      </c>
      <c r="O804" t="s">
        <v>273</v>
      </c>
      <c r="P804">
        <v>8.1763325507079026E-3</v>
      </c>
      <c r="Q804" t="s">
        <v>154</v>
      </c>
      <c r="S804" t="s">
        <v>237</v>
      </c>
      <c r="T804" t="s">
        <v>273</v>
      </c>
      <c r="U804">
        <v>1.5844599852800612E-2</v>
      </c>
      <c r="V804" t="s">
        <v>154</v>
      </c>
    </row>
    <row r="805" spans="9:22" x14ac:dyDescent="0.45">
      <c r="I805" t="s">
        <v>184</v>
      </c>
      <c r="J805" t="s">
        <v>274</v>
      </c>
      <c r="K805">
        <v>1.2824370150625821E-2</v>
      </c>
      <c r="L805" t="s">
        <v>154</v>
      </c>
      <c r="N805" t="s">
        <v>213</v>
      </c>
      <c r="O805" t="s">
        <v>274</v>
      </c>
      <c r="P805">
        <v>3.3695068538053983E-3</v>
      </c>
      <c r="Q805" t="s">
        <v>154</v>
      </c>
      <c r="S805" t="s">
        <v>237</v>
      </c>
      <c r="T805" t="s">
        <v>274</v>
      </c>
      <c r="U805">
        <v>8.5059468434428992E-3</v>
      </c>
      <c r="V805" t="s">
        <v>154</v>
      </c>
    </row>
    <row r="806" spans="9:22" x14ac:dyDescent="0.45">
      <c r="I806" t="s">
        <v>184</v>
      </c>
      <c r="J806" t="s">
        <v>275</v>
      </c>
      <c r="K806">
        <v>9.1290862262506489E-2</v>
      </c>
      <c r="L806" t="s">
        <v>154</v>
      </c>
      <c r="N806" t="s">
        <v>213</v>
      </c>
      <c r="O806" t="s">
        <v>275</v>
      </c>
      <c r="P806">
        <v>2.0365716435201749E-2</v>
      </c>
      <c r="Q806" t="s">
        <v>154</v>
      </c>
      <c r="S806" t="s">
        <v>237</v>
      </c>
      <c r="T806" t="s">
        <v>275</v>
      </c>
      <c r="U806">
        <v>4.7077648861381022E-2</v>
      </c>
      <c r="V806" t="s">
        <v>154</v>
      </c>
    </row>
    <row r="807" spans="9:22" x14ac:dyDescent="0.45">
      <c r="I807" t="s">
        <v>184</v>
      </c>
      <c r="J807" t="s">
        <v>276</v>
      </c>
      <c r="K807">
        <v>1.0775032671201595E-2</v>
      </c>
      <c r="L807" t="s">
        <v>154</v>
      </c>
      <c r="N807" t="s">
        <v>213</v>
      </c>
      <c r="O807" t="s">
        <v>276</v>
      </c>
      <c r="P807">
        <v>4.2577737901308768E-3</v>
      </c>
      <c r="Q807" t="s">
        <v>154</v>
      </c>
      <c r="S807" t="s">
        <v>237</v>
      </c>
      <c r="T807" t="s">
        <v>276</v>
      </c>
      <c r="U807">
        <v>7.4411253266077008E-3</v>
      </c>
      <c r="V807" t="s">
        <v>154</v>
      </c>
    </row>
    <row r="808" spans="9:22" x14ac:dyDescent="0.45">
      <c r="I808" t="s">
        <v>184</v>
      </c>
      <c r="J808" t="s">
        <v>277</v>
      </c>
      <c r="K808">
        <v>7.7716312759784027E-3</v>
      </c>
      <c r="L808" t="s">
        <v>154</v>
      </c>
      <c r="N808" t="s">
        <v>213</v>
      </c>
      <c r="O808" t="s">
        <v>277</v>
      </c>
      <c r="P808">
        <v>4.5010918411405362E-3</v>
      </c>
      <c r="Q808" t="s">
        <v>154</v>
      </c>
      <c r="S808" t="s">
        <v>237</v>
      </c>
      <c r="T808" t="s">
        <v>277</v>
      </c>
      <c r="U808">
        <v>7.6737266304901745E-3</v>
      </c>
      <c r="V808" t="s">
        <v>154</v>
      </c>
    </row>
    <row r="809" spans="9:22" x14ac:dyDescent="0.45">
      <c r="I809" t="s">
        <v>184</v>
      </c>
      <c r="J809" t="s">
        <v>290</v>
      </c>
      <c r="K809">
        <v>4.459890120757066E-3</v>
      </c>
      <c r="L809" t="s">
        <v>154</v>
      </c>
      <c r="N809" t="s">
        <v>213</v>
      </c>
      <c r="O809" t="s">
        <v>290</v>
      </c>
      <c r="P809">
        <v>3.5773781089712383E-3</v>
      </c>
      <c r="Q809" t="s">
        <v>154</v>
      </c>
      <c r="S809" t="s">
        <v>237</v>
      </c>
      <c r="T809" t="s">
        <v>290</v>
      </c>
      <c r="U809">
        <v>6.6613542287741728E-3</v>
      </c>
      <c r="V809" t="s">
        <v>154</v>
      </c>
    </row>
    <row r="810" spans="9:22" x14ac:dyDescent="0.45">
      <c r="I810" t="s">
        <v>184</v>
      </c>
      <c r="J810" t="s">
        <v>291</v>
      </c>
      <c r="K810">
        <v>0</v>
      </c>
      <c r="L810" t="s">
        <v>154</v>
      </c>
      <c r="N810" t="s">
        <v>213</v>
      </c>
      <c r="O810" t="s">
        <v>291</v>
      </c>
      <c r="P810">
        <v>2.1964069315392968E-2</v>
      </c>
      <c r="Q810" t="s">
        <v>154</v>
      </c>
      <c r="S810" t="s">
        <v>237</v>
      </c>
      <c r="T810" t="s">
        <v>291</v>
      </c>
      <c r="U810">
        <v>4.1461729728650226E-2</v>
      </c>
      <c r="V810" t="s">
        <v>154</v>
      </c>
    </row>
    <row r="811" spans="9:22" x14ac:dyDescent="0.45">
      <c r="I811" t="s">
        <v>185</v>
      </c>
      <c r="J811" t="s">
        <v>153</v>
      </c>
      <c r="K811">
        <v>0</v>
      </c>
      <c r="L811" t="s">
        <v>154</v>
      </c>
      <c r="N811" t="s">
        <v>214</v>
      </c>
      <c r="O811" t="s">
        <v>153</v>
      </c>
      <c r="P811">
        <v>0.18851911350908396</v>
      </c>
      <c r="Q811" t="s">
        <v>154</v>
      </c>
      <c r="S811" t="s">
        <v>238</v>
      </c>
      <c r="T811" t="s">
        <v>153</v>
      </c>
      <c r="U811">
        <v>0.18714854829427793</v>
      </c>
      <c r="V811" t="s">
        <v>154</v>
      </c>
    </row>
    <row r="812" spans="9:22" x14ac:dyDescent="0.45">
      <c r="I812" t="s">
        <v>185</v>
      </c>
      <c r="J812" t="s">
        <v>155</v>
      </c>
      <c r="K812">
        <v>6.4871012861782151E-2</v>
      </c>
      <c r="L812" t="s">
        <v>154</v>
      </c>
      <c r="N812" t="s">
        <v>214</v>
      </c>
      <c r="O812" t="s">
        <v>155</v>
      </c>
      <c r="P812">
        <v>5.3783539185989999E-2</v>
      </c>
      <c r="Q812" t="s">
        <v>154</v>
      </c>
      <c r="S812" t="s">
        <v>238</v>
      </c>
      <c r="T812" t="s">
        <v>155</v>
      </c>
      <c r="U812">
        <v>5.0466150737459185E-2</v>
      </c>
      <c r="V812" t="s">
        <v>154</v>
      </c>
    </row>
    <row r="813" spans="9:22" x14ac:dyDescent="0.45">
      <c r="I813" t="s">
        <v>185</v>
      </c>
      <c r="J813" t="s">
        <v>156</v>
      </c>
      <c r="K813">
        <v>5.6949992778834627E-2</v>
      </c>
      <c r="L813" t="s">
        <v>154</v>
      </c>
      <c r="N813" t="s">
        <v>214</v>
      </c>
      <c r="O813" t="s">
        <v>156</v>
      </c>
      <c r="P813">
        <v>3.1051303295222286E-2</v>
      </c>
      <c r="Q813" t="s">
        <v>154</v>
      </c>
      <c r="S813" t="s">
        <v>238</v>
      </c>
      <c r="T813" t="s">
        <v>156</v>
      </c>
      <c r="U813">
        <v>2.5898308011440871E-2</v>
      </c>
      <c r="V813" t="s">
        <v>154</v>
      </c>
    </row>
    <row r="814" spans="9:22" x14ac:dyDescent="0.45">
      <c r="I814" t="s">
        <v>185</v>
      </c>
      <c r="J814" t="s">
        <v>255</v>
      </c>
      <c r="K814">
        <v>0.42760468954594805</v>
      </c>
      <c r="L814" t="s">
        <v>154</v>
      </c>
      <c r="N814" t="s">
        <v>214</v>
      </c>
      <c r="O814" t="s">
        <v>255</v>
      </c>
      <c r="P814">
        <v>0.1921840683411008</v>
      </c>
      <c r="Q814" t="s">
        <v>154</v>
      </c>
      <c r="S814" t="s">
        <v>238</v>
      </c>
      <c r="T814" t="s">
        <v>255</v>
      </c>
      <c r="U814">
        <v>0.15402823966966556</v>
      </c>
      <c r="V814" t="s">
        <v>154</v>
      </c>
    </row>
    <row r="815" spans="9:22" x14ac:dyDescent="0.45">
      <c r="I815" t="s">
        <v>185</v>
      </c>
      <c r="J815" t="s">
        <v>256</v>
      </c>
      <c r="K815">
        <v>5.3290938232473883E-2</v>
      </c>
      <c r="L815" t="s">
        <v>154</v>
      </c>
      <c r="N815" t="s">
        <v>214</v>
      </c>
      <c r="O815" t="s">
        <v>256</v>
      </c>
      <c r="P815">
        <v>3.0684660764202246E-2</v>
      </c>
      <c r="Q815" t="s">
        <v>154</v>
      </c>
      <c r="S815" t="s">
        <v>238</v>
      </c>
      <c r="T815" t="s">
        <v>256</v>
      </c>
      <c r="U815">
        <v>2.5567248638522649E-2</v>
      </c>
      <c r="V815" t="s">
        <v>154</v>
      </c>
    </row>
    <row r="816" spans="9:22" x14ac:dyDescent="0.45">
      <c r="I816" t="s">
        <v>185</v>
      </c>
      <c r="J816" t="s">
        <v>257</v>
      </c>
      <c r="K816">
        <v>4.0123992516483721E-2</v>
      </c>
      <c r="L816" t="s">
        <v>154</v>
      </c>
      <c r="N816" t="s">
        <v>214</v>
      </c>
      <c r="O816" t="s">
        <v>257</v>
      </c>
      <c r="P816">
        <v>2.7891399329416481E-2</v>
      </c>
      <c r="Q816" t="s">
        <v>154</v>
      </c>
      <c r="S816" t="s">
        <v>238</v>
      </c>
      <c r="T816" t="s">
        <v>257</v>
      </c>
      <c r="U816">
        <v>2.5632386755158242E-2</v>
      </c>
      <c r="V816" t="s">
        <v>154</v>
      </c>
    </row>
    <row r="817" spans="9:22" x14ac:dyDescent="0.45">
      <c r="I817" t="s">
        <v>185</v>
      </c>
      <c r="J817" t="s">
        <v>282</v>
      </c>
      <c r="K817">
        <v>2.3577193629146311E-2</v>
      </c>
      <c r="L817" t="s">
        <v>154</v>
      </c>
      <c r="N817" t="s">
        <v>214</v>
      </c>
      <c r="O817" t="s">
        <v>282</v>
      </c>
      <c r="P817">
        <v>2.5783309142582429E-2</v>
      </c>
      <c r="Q817" t="s">
        <v>154</v>
      </c>
      <c r="S817" t="s">
        <v>238</v>
      </c>
      <c r="T817" t="s">
        <v>282</v>
      </c>
      <c r="U817">
        <v>2.3475700187479156E-2</v>
      </c>
      <c r="V817" t="s">
        <v>154</v>
      </c>
    </row>
    <row r="818" spans="9:22" x14ac:dyDescent="0.45">
      <c r="I818" t="s">
        <v>185</v>
      </c>
      <c r="J818" t="s">
        <v>283</v>
      </c>
      <c r="K818">
        <v>0</v>
      </c>
      <c r="L818" t="s">
        <v>154</v>
      </c>
      <c r="N818" t="s">
        <v>214</v>
      </c>
      <c r="O818" t="s">
        <v>283</v>
      </c>
      <c r="P818">
        <v>0.1214726456991278</v>
      </c>
      <c r="Q818" t="s">
        <v>154</v>
      </c>
      <c r="S818" t="s">
        <v>238</v>
      </c>
      <c r="T818" t="s">
        <v>283</v>
      </c>
      <c r="U818">
        <v>0.12226684312650812</v>
      </c>
      <c r="V818" t="s">
        <v>154</v>
      </c>
    </row>
    <row r="819" spans="9:22" x14ac:dyDescent="0.45">
      <c r="I819" t="s">
        <v>185</v>
      </c>
      <c r="J819" t="s">
        <v>157</v>
      </c>
      <c r="K819">
        <v>0</v>
      </c>
      <c r="L819" t="s">
        <v>154</v>
      </c>
      <c r="N819" t="s">
        <v>214</v>
      </c>
      <c r="O819" t="s">
        <v>157</v>
      </c>
      <c r="P819">
        <v>6.531690557158615E-3</v>
      </c>
      <c r="Q819" t="s">
        <v>154</v>
      </c>
      <c r="S819" t="s">
        <v>238</v>
      </c>
      <c r="T819" t="s">
        <v>157</v>
      </c>
      <c r="U819">
        <v>7.3817791422801067E-3</v>
      </c>
      <c r="V819" t="s">
        <v>154</v>
      </c>
    </row>
    <row r="820" spans="9:22" x14ac:dyDescent="0.45">
      <c r="I820" t="s">
        <v>185</v>
      </c>
      <c r="J820" t="s">
        <v>158</v>
      </c>
      <c r="K820">
        <v>5.3400193638928721E-3</v>
      </c>
      <c r="L820" t="s">
        <v>154</v>
      </c>
      <c r="N820" t="s">
        <v>214</v>
      </c>
      <c r="O820" t="s">
        <v>158</v>
      </c>
      <c r="P820">
        <v>1.8708096812359274E-3</v>
      </c>
      <c r="Q820" t="s">
        <v>154</v>
      </c>
      <c r="S820" t="s">
        <v>238</v>
      </c>
      <c r="T820" t="s">
        <v>158</v>
      </c>
      <c r="U820">
        <v>1.7798629399056417E-3</v>
      </c>
      <c r="V820" t="s">
        <v>154</v>
      </c>
    </row>
    <row r="821" spans="9:22" x14ac:dyDescent="0.45">
      <c r="I821" t="s">
        <v>185</v>
      </c>
      <c r="J821" t="s">
        <v>159</v>
      </c>
      <c r="K821">
        <v>4.9293149586882379E-3</v>
      </c>
      <c r="L821" t="s">
        <v>154</v>
      </c>
      <c r="N821" t="s">
        <v>214</v>
      </c>
      <c r="O821" t="s">
        <v>159</v>
      </c>
      <c r="P821">
        <v>1.3673641001542365E-3</v>
      </c>
      <c r="Q821" t="s">
        <v>154</v>
      </c>
      <c r="S821" t="s">
        <v>238</v>
      </c>
      <c r="T821" t="s">
        <v>159</v>
      </c>
      <c r="U821">
        <v>8.5982358137288095E-4</v>
      </c>
      <c r="V821" t="s">
        <v>154</v>
      </c>
    </row>
    <row r="822" spans="9:22" x14ac:dyDescent="0.45">
      <c r="I822" t="s">
        <v>185</v>
      </c>
      <c r="J822" t="s">
        <v>258</v>
      </c>
      <c r="K822">
        <v>3.7832350352434263E-2</v>
      </c>
      <c r="L822" t="s">
        <v>154</v>
      </c>
      <c r="N822" t="s">
        <v>214</v>
      </c>
      <c r="O822" t="s">
        <v>258</v>
      </c>
      <c r="P822">
        <v>1.001600823324723E-2</v>
      </c>
      <c r="Q822" t="s">
        <v>154</v>
      </c>
      <c r="S822" t="s">
        <v>238</v>
      </c>
      <c r="T822" t="s">
        <v>258</v>
      </c>
      <c r="U822">
        <v>5.8409505588669641E-3</v>
      </c>
      <c r="V822" t="s">
        <v>154</v>
      </c>
    </row>
    <row r="823" spans="9:22" x14ac:dyDescent="0.45">
      <c r="I823" t="s">
        <v>185</v>
      </c>
      <c r="J823" t="s">
        <v>259</v>
      </c>
      <c r="K823">
        <v>4.140634507568644E-3</v>
      </c>
      <c r="L823" t="s">
        <v>154</v>
      </c>
      <c r="N823" t="s">
        <v>214</v>
      </c>
      <c r="O823" t="s">
        <v>259</v>
      </c>
      <c r="P823">
        <v>1.4878267745228437E-3</v>
      </c>
      <c r="Q823" t="s">
        <v>154</v>
      </c>
      <c r="S823" t="s">
        <v>238</v>
      </c>
      <c r="T823" t="s">
        <v>259</v>
      </c>
      <c r="U823">
        <v>1.0051003702646587E-3</v>
      </c>
      <c r="V823" t="s">
        <v>154</v>
      </c>
    </row>
    <row r="824" spans="9:22" x14ac:dyDescent="0.45">
      <c r="I824" t="s">
        <v>185</v>
      </c>
      <c r="J824" t="s">
        <v>260</v>
      </c>
      <c r="K824">
        <v>2.5592300605680011E-3</v>
      </c>
      <c r="L824" t="s">
        <v>154</v>
      </c>
      <c r="N824" t="s">
        <v>214</v>
      </c>
      <c r="O824" t="s">
        <v>260</v>
      </c>
      <c r="P824">
        <v>1.2091775998369098E-3</v>
      </c>
      <c r="Q824" t="s">
        <v>154</v>
      </c>
      <c r="S824" t="s">
        <v>238</v>
      </c>
      <c r="T824" t="s">
        <v>260</v>
      </c>
      <c r="U824">
        <v>9.5104923710884312E-4</v>
      </c>
      <c r="V824" t="s">
        <v>154</v>
      </c>
    </row>
    <row r="825" spans="9:22" x14ac:dyDescent="0.45">
      <c r="I825" t="s">
        <v>185</v>
      </c>
      <c r="J825" t="s">
        <v>284</v>
      </c>
      <c r="K825">
        <v>1.2654835832068658E-3</v>
      </c>
      <c r="L825" t="s">
        <v>154</v>
      </c>
      <c r="N825" t="s">
        <v>214</v>
      </c>
      <c r="O825" t="s">
        <v>284</v>
      </c>
      <c r="P825">
        <v>1.0583232108171393E-3</v>
      </c>
      <c r="Q825" t="s">
        <v>154</v>
      </c>
      <c r="S825" t="s">
        <v>238</v>
      </c>
      <c r="T825" t="s">
        <v>284</v>
      </c>
      <c r="U825">
        <v>8.1139234614522856E-4</v>
      </c>
      <c r="V825" t="s">
        <v>154</v>
      </c>
    </row>
    <row r="826" spans="9:22" x14ac:dyDescent="0.45">
      <c r="I826" t="s">
        <v>185</v>
      </c>
      <c r="J826" t="s">
        <v>285</v>
      </c>
      <c r="K826">
        <v>0</v>
      </c>
      <c r="L826" t="s">
        <v>154</v>
      </c>
      <c r="N826" t="s">
        <v>214</v>
      </c>
      <c r="O826" t="s">
        <v>285</v>
      </c>
      <c r="P826">
        <v>3.8187892362737457E-3</v>
      </c>
      <c r="Q826" t="s">
        <v>154</v>
      </c>
      <c r="S826" t="s">
        <v>238</v>
      </c>
      <c r="T826" t="s">
        <v>285</v>
      </c>
      <c r="U826">
        <v>3.7148180253320112E-3</v>
      </c>
      <c r="V826" t="s">
        <v>154</v>
      </c>
    </row>
    <row r="827" spans="9:22" x14ac:dyDescent="0.45">
      <c r="I827" t="s">
        <v>185</v>
      </c>
      <c r="J827" t="s">
        <v>160</v>
      </c>
      <c r="K827">
        <v>0</v>
      </c>
      <c r="L827" t="s">
        <v>154</v>
      </c>
      <c r="N827" t="s">
        <v>214</v>
      </c>
      <c r="O827" t="s">
        <v>160</v>
      </c>
      <c r="P827">
        <v>3.3422492506208989E-2</v>
      </c>
      <c r="Q827" t="s">
        <v>154</v>
      </c>
      <c r="S827" t="s">
        <v>238</v>
      </c>
      <c r="T827" t="s">
        <v>160</v>
      </c>
      <c r="U827">
        <v>2.3619039875863536E-2</v>
      </c>
      <c r="V827" t="s">
        <v>154</v>
      </c>
    </row>
    <row r="828" spans="9:22" x14ac:dyDescent="0.45">
      <c r="I828" t="s">
        <v>185</v>
      </c>
      <c r="J828" t="s">
        <v>161</v>
      </c>
      <c r="K828">
        <v>5.8691083538594327E-3</v>
      </c>
      <c r="L828" t="s">
        <v>154</v>
      </c>
      <c r="N828" t="s">
        <v>214</v>
      </c>
      <c r="O828" t="s">
        <v>161</v>
      </c>
      <c r="P828">
        <v>9.4656352233849859E-3</v>
      </c>
      <c r="Q828" t="s">
        <v>154</v>
      </c>
      <c r="S828" t="s">
        <v>238</v>
      </c>
      <c r="T828" t="s">
        <v>161</v>
      </c>
      <c r="U828">
        <v>6.3817987098753921E-3</v>
      </c>
      <c r="V828" t="s">
        <v>154</v>
      </c>
    </row>
    <row r="829" spans="9:22" x14ac:dyDescent="0.45">
      <c r="I829" t="s">
        <v>185</v>
      </c>
      <c r="J829" t="s">
        <v>162</v>
      </c>
      <c r="K829">
        <v>5.6775683866387818E-3</v>
      </c>
      <c r="L829" t="s">
        <v>154</v>
      </c>
      <c r="N829" t="s">
        <v>214</v>
      </c>
      <c r="O829" t="s">
        <v>162</v>
      </c>
      <c r="P829">
        <v>6.0482442865996012E-3</v>
      </c>
      <c r="Q829" t="s">
        <v>154</v>
      </c>
      <c r="S829" t="s">
        <v>238</v>
      </c>
      <c r="T829" t="s">
        <v>162</v>
      </c>
      <c r="U829">
        <v>3.2706443840486181E-3</v>
      </c>
      <c r="V829" t="s">
        <v>154</v>
      </c>
    </row>
    <row r="830" spans="9:22" x14ac:dyDescent="0.45">
      <c r="I830" t="s">
        <v>185</v>
      </c>
      <c r="J830" t="s">
        <v>261</v>
      </c>
      <c r="K830">
        <v>4.3292308823836695E-2</v>
      </c>
      <c r="L830" t="s">
        <v>154</v>
      </c>
      <c r="N830" t="s">
        <v>214</v>
      </c>
      <c r="O830" t="s">
        <v>261</v>
      </c>
      <c r="P830">
        <v>4.8537788637008986E-2</v>
      </c>
      <c r="Q830" t="s">
        <v>154</v>
      </c>
      <c r="S830" t="s">
        <v>238</v>
      </c>
      <c r="T830" t="s">
        <v>261</v>
      </c>
      <c r="U830">
        <v>2.2205641364644209E-2</v>
      </c>
      <c r="V830" t="s">
        <v>154</v>
      </c>
    </row>
    <row r="831" spans="9:22" x14ac:dyDescent="0.45">
      <c r="I831" t="s">
        <v>185</v>
      </c>
      <c r="J831" t="s">
        <v>262</v>
      </c>
      <c r="K831">
        <v>4.2743218018526929E-3</v>
      </c>
      <c r="L831" t="s">
        <v>154</v>
      </c>
      <c r="N831" t="s">
        <v>214</v>
      </c>
      <c r="O831" t="s">
        <v>262</v>
      </c>
      <c r="P831">
        <v>7.6633677062098761E-3</v>
      </c>
      <c r="Q831" t="s">
        <v>154</v>
      </c>
      <c r="S831" t="s">
        <v>238</v>
      </c>
      <c r="T831" t="s">
        <v>262</v>
      </c>
      <c r="U831">
        <v>3.9322773853801597E-3</v>
      </c>
      <c r="V831" t="s">
        <v>154</v>
      </c>
    </row>
    <row r="832" spans="9:22" x14ac:dyDescent="0.45">
      <c r="I832" t="s">
        <v>185</v>
      </c>
      <c r="J832" t="s">
        <v>263</v>
      </c>
      <c r="K832">
        <v>2.6350551158544015E-3</v>
      </c>
      <c r="L832" t="s">
        <v>154</v>
      </c>
      <c r="N832" t="s">
        <v>214</v>
      </c>
      <c r="O832" t="s">
        <v>263</v>
      </c>
      <c r="P832">
        <v>6.6979077326546508E-3</v>
      </c>
      <c r="Q832" t="s">
        <v>154</v>
      </c>
      <c r="S832" t="s">
        <v>238</v>
      </c>
      <c r="T832" t="s">
        <v>263</v>
      </c>
      <c r="U832">
        <v>3.7257672332107793E-3</v>
      </c>
      <c r="V832" t="s">
        <v>154</v>
      </c>
    </row>
    <row r="833" spans="9:22" x14ac:dyDescent="0.45">
      <c r="I833" t="s">
        <v>185</v>
      </c>
      <c r="J833" t="s">
        <v>286</v>
      </c>
      <c r="K833">
        <v>1.2639597435274523E-3</v>
      </c>
      <c r="L833" t="s">
        <v>154</v>
      </c>
      <c r="N833" t="s">
        <v>214</v>
      </c>
      <c r="O833" t="s">
        <v>286</v>
      </c>
      <c r="P833">
        <v>5.1287864565093214E-3</v>
      </c>
      <c r="Q833" t="s">
        <v>154</v>
      </c>
      <c r="S833" t="s">
        <v>238</v>
      </c>
      <c r="T833" t="s">
        <v>286</v>
      </c>
      <c r="U833">
        <v>3.0862488462065716E-3</v>
      </c>
      <c r="V833" t="s">
        <v>154</v>
      </c>
    </row>
    <row r="834" spans="9:22" x14ac:dyDescent="0.45">
      <c r="I834" t="s">
        <v>185</v>
      </c>
      <c r="J834" t="s">
        <v>287</v>
      </c>
      <c r="K834">
        <v>0</v>
      </c>
      <c r="L834" t="s">
        <v>154</v>
      </c>
      <c r="N834" t="s">
        <v>214</v>
      </c>
      <c r="O834" t="s">
        <v>287</v>
      </c>
      <c r="P834">
        <v>2.0217005591140886E-2</v>
      </c>
      <c r="Q834" t="s">
        <v>154</v>
      </c>
      <c r="S834" t="s">
        <v>238</v>
      </c>
      <c r="T834" t="s">
        <v>287</v>
      </c>
      <c r="U834">
        <v>1.6621877432173689E-2</v>
      </c>
      <c r="V834" t="s">
        <v>154</v>
      </c>
    </row>
    <row r="835" spans="9:22" x14ac:dyDescent="0.45">
      <c r="I835" t="s">
        <v>185</v>
      </c>
      <c r="J835" t="s">
        <v>163</v>
      </c>
      <c r="K835">
        <v>0</v>
      </c>
      <c r="L835" t="s">
        <v>154</v>
      </c>
      <c r="N835" t="s">
        <v>214</v>
      </c>
      <c r="O835" t="s">
        <v>163</v>
      </c>
      <c r="P835">
        <v>6.9515732041735001E-3</v>
      </c>
      <c r="Q835" t="s">
        <v>154</v>
      </c>
      <c r="S835" t="s">
        <v>238</v>
      </c>
      <c r="T835" t="s">
        <v>163</v>
      </c>
      <c r="U835">
        <v>1.7377377577921835E-2</v>
      </c>
      <c r="V835" t="s">
        <v>154</v>
      </c>
    </row>
    <row r="836" spans="9:22" x14ac:dyDescent="0.45">
      <c r="I836" t="s">
        <v>185</v>
      </c>
      <c r="J836" t="s">
        <v>164</v>
      </c>
      <c r="K836">
        <v>8.3244984505306818E-3</v>
      </c>
      <c r="L836" t="s">
        <v>154</v>
      </c>
      <c r="N836" t="s">
        <v>214</v>
      </c>
      <c r="O836" t="s">
        <v>164</v>
      </c>
      <c r="P836">
        <v>1.7580516064603414E-3</v>
      </c>
      <c r="Q836" t="s">
        <v>154</v>
      </c>
      <c r="S836" t="s">
        <v>238</v>
      </c>
      <c r="T836" t="s">
        <v>164</v>
      </c>
      <c r="U836">
        <v>5.3505638782084019E-3</v>
      </c>
      <c r="V836" t="s">
        <v>154</v>
      </c>
    </row>
    <row r="837" spans="9:22" x14ac:dyDescent="0.45">
      <c r="I837" t="s">
        <v>185</v>
      </c>
      <c r="J837" t="s">
        <v>165</v>
      </c>
      <c r="K837">
        <v>6.7175093773768962E-3</v>
      </c>
      <c r="L837" t="s">
        <v>154</v>
      </c>
      <c r="N837" t="s">
        <v>214</v>
      </c>
      <c r="O837" t="s">
        <v>165</v>
      </c>
      <c r="P837">
        <v>1.0454713581314692E-3</v>
      </c>
      <c r="Q837" t="s">
        <v>154</v>
      </c>
      <c r="S837" t="s">
        <v>238</v>
      </c>
      <c r="T837" t="s">
        <v>165</v>
      </c>
      <c r="U837">
        <v>2.6858268179393249E-3</v>
      </c>
      <c r="V837" t="s">
        <v>154</v>
      </c>
    </row>
    <row r="838" spans="9:22" x14ac:dyDescent="0.45">
      <c r="I838" t="s">
        <v>185</v>
      </c>
      <c r="J838" t="s">
        <v>264</v>
      </c>
      <c r="K838">
        <v>4.3529723124416109E-2</v>
      </c>
      <c r="L838" t="s">
        <v>154</v>
      </c>
      <c r="N838" t="s">
        <v>214</v>
      </c>
      <c r="O838" t="s">
        <v>264</v>
      </c>
      <c r="P838">
        <v>9.8645319939097073E-3</v>
      </c>
      <c r="Q838" t="s">
        <v>154</v>
      </c>
      <c r="S838" t="s">
        <v>238</v>
      </c>
      <c r="T838" t="s">
        <v>264</v>
      </c>
      <c r="U838">
        <v>1.4438594242828132E-2</v>
      </c>
      <c r="V838" t="s">
        <v>154</v>
      </c>
    </row>
    <row r="839" spans="9:22" x14ac:dyDescent="0.45">
      <c r="I839" t="s">
        <v>185</v>
      </c>
      <c r="J839" t="s">
        <v>265</v>
      </c>
      <c r="K839">
        <v>5.0474915564413872E-3</v>
      </c>
      <c r="L839" t="s">
        <v>154</v>
      </c>
      <c r="N839" t="s">
        <v>214</v>
      </c>
      <c r="O839" t="s">
        <v>265</v>
      </c>
      <c r="P839">
        <v>1.7274175555670505E-3</v>
      </c>
      <c r="Q839" t="s">
        <v>154</v>
      </c>
      <c r="S839" t="s">
        <v>238</v>
      </c>
      <c r="T839" t="s">
        <v>265</v>
      </c>
      <c r="U839">
        <v>2.1078244835341267E-3</v>
      </c>
      <c r="V839" t="s">
        <v>154</v>
      </c>
    </row>
    <row r="840" spans="9:22" x14ac:dyDescent="0.45">
      <c r="I840" t="s">
        <v>185</v>
      </c>
      <c r="J840" t="s">
        <v>266</v>
      </c>
      <c r="K840">
        <v>3.3364484029873073E-3</v>
      </c>
      <c r="L840" t="s">
        <v>154</v>
      </c>
      <c r="N840" t="s">
        <v>214</v>
      </c>
      <c r="O840" t="s">
        <v>266</v>
      </c>
      <c r="P840">
        <v>1.6463829169268886E-3</v>
      </c>
      <c r="Q840" t="s">
        <v>154</v>
      </c>
      <c r="S840" t="s">
        <v>238</v>
      </c>
      <c r="T840" t="s">
        <v>266</v>
      </c>
      <c r="U840">
        <v>2.1231078856856355E-3</v>
      </c>
      <c r="V840" t="s">
        <v>154</v>
      </c>
    </row>
    <row r="841" spans="9:22" x14ac:dyDescent="0.45">
      <c r="I841" t="s">
        <v>185</v>
      </c>
      <c r="J841" t="s">
        <v>288</v>
      </c>
      <c r="K841">
        <v>4.3043401056535476E-5</v>
      </c>
      <c r="L841" t="s">
        <v>154</v>
      </c>
      <c r="N841" t="s">
        <v>214</v>
      </c>
      <c r="O841" t="s">
        <v>288</v>
      </c>
      <c r="P841">
        <v>1.4252286857768864E-3</v>
      </c>
      <c r="Q841" t="s">
        <v>154</v>
      </c>
      <c r="S841" t="s">
        <v>238</v>
      </c>
      <c r="T841" t="s">
        <v>288</v>
      </c>
      <c r="U841">
        <v>1.8993770343571669E-3</v>
      </c>
      <c r="V841" t="s">
        <v>154</v>
      </c>
    </row>
    <row r="842" spans="9:22" x14ac:dyDescent="0.45">
      <c r="I842" t="s">
        <v>185</v>
      </c>
      <c r="J842" t="s">
        <v>289</v>
      </c>
      <c r="K842">
        <v>0</v>
      </c>
      <c r="L842" t="s">
        <v>154</v>
      </c>
      <c r="N842" t="s">
        <v>214</v>
      </c>
      <c r="O842" t="s">
        <v>289</v>
      </c>
      <c r="P842">
        <v>6.8557893290157566E-3</v>
      </c>
      <c r="Q842" t="s">
        <v>154</v>
      </c>
      <c r="S842" t="s">
        <v>238</v>
      </c>
      <c r="T842" t="s">
        <v>289</v>
      </c>
      <c r="U842">
        <v>1.0613756941578897E-2</v>
      </c>
      <c r="V842" t="s">
        <v>154</v>
      </c>
    </row>
    <row r="843" spans="9:22" x14ac:dyDescent="0.45">
      <c r="I843" t="s">
        <v>185</v>
      </c>
      <c r="J843" t="s">
        <v>272</v>
      </c>
      <c r="K843">
        <v>0</v>
      </c>
      <c r="L843" t="s">
        <v>154</v>
      </c>
      <c r="N843" t="s">
        <v>214</v>
      </c>
      <c r="O843" t="s">
        <v>272</v>
      </c>
      <c r="P843">
        <v>4.3362583690061518E-2</v>
      </c>
      <c r="Q843" t="s">
        <v>154</v>
      </c>
      <c r="S843" t="s">
        <v>238</v>
      </c>
      <c r="T843" t="s">
        <v>272</v>
      </c>
      <c r="U843">
        <v>6.7481609964487932E-2</v>
      </c>
      <c r="V843" t="s">
        <v>154</v>
      </c>
    </row>
    <row r="844" spans="9:22" x14ac:dyDescent="0.45">
      <c r="I844" t="s">
        <v>185</v>
      </c>
      <c r="J844" t="s">
        <v>273</v>
      </c>
      <c r="K844">
        <v>1.5629666948408585E-2</v>
      </c>
      <c r="L844" t="s">
        <v>154</v>
      </c>
      <c r="N844" t="s">
        <v>214</v>
      </c>
      <c r="O844" t="s">
        <v>273</v>
      </c>
      <c r="P844">
        <v>1.1967890340829235E-2</v>
      </c>
      <c r="Q844" t="s">
        <v>154</v>
      </c>
      <c r="S844" t="s">
        <v>238</v>
      </c>
      <c r="T844" t="s">
        <v>273</v>
      </c>
      <c r="U844">
        <v>1.839676112008256E-2</v>
      </c>
      <c r="V844" t="s">
        <v>154</v>
      </c>
    </row>
    <row r="845" spans="9:22" x14ac:dyDescent="0.45">
      <c r="I845" t="s">
        <v>185</v>
      </c>
      <c r="J845" t="s">
        <v>274</v>
      </c>
      <c r="K845">
        <v>1.4174140197592644E-2</v>
      </c>
      <c r="L845" t="s">
        <v>154</v>
      </c>
      <c r="N845" t="s">
        <v>214</v>
      </c>
      <c r="O845" t="s">
        <v>274</v>
      </c>
      <c r="P845">
        <v>6.7050294439310798E-3</v>
      </c>
      <c r="Q845" t="s">
        <v>154</v>
      </c>
      <c r="S845" t="s">
        <v>238</v>
      </c>
      <c r="T845" t="s">
        <v>274</v>
      </c>
      <c r="U845">
        <v>9.5654100842224934E-3</v>
      </c>
      <c r="V845" t="s">
        <v>154</v>
      </c>
    </row>
    <row r="846" spans="9:22" x14ac:dyDescent="0.45">
      <c r="I846" t="s">
        <v>185</v>
      </c>
      <c r="J846" t="s">
        <v>275</v>
      </c>
      <c r="K846">
        <v>9.6258084843199129E-2</v>
      </c>
      <c r="L846" t="s">
        <v>154</v>
      </c>
      <c r="N846" t="s">
        <v>214</v>
      </c>
      <c r="O846" t="s">
        <v>275</v>
      </c>
      <c r="P846">
        <v>3.3033924564316579E-2</v>
      </c>
      <c r="Q846" t="s">
        <v>154</v>
      </c>
      <c r="S846" t="s">
        <v>238</v>
      </c>
      <c r="T846" t="s">
        <v>275</v>
      </c>
      <c r="U846">
        <v>5.5742773625792677E-2</v>
      </c>
      <c r="V846" t="s">
        <v>154</v>
      </c>
    </row>
    <row r="847" spans="9:22" x14ac:dyDescent="0.45">
      <c r="I847" t="s">
        <v>185</v>
      </c>
      <c r="J847" t="s">
        <v>276</v>
      </c>
      <c r="K847">
        <v>1.2306869975912417E-2</v>
      </c>
      <c r="L847" t="s">
        <v>154</v>
      </c>
      <c r="N847" t="s">
        <v>214</v>
      </c>
      <c r="O847" t="s">
        <v>276</v>
      </c>
      <c r="P847">
        <v>4.612646089626183E-3</v>
      </c>
      <c r="Q847" t="s">
        <v>154</v>
      </c>
      <c r="S847" t="s">
        <v>238</v>
      </c>
      <c r="T847" t="s">
        <v>276</v>
      </c>
      <c r="U847">
        <v>9.2801984413852321E-3</v>
      </c>
      <c r="V847" t="s">
        <v>154</v>
      </c>
    </row>
    <row r="848" spans="9:22" x14ac:dyDescent="0.45">
      <c r="I848" t="s">
        <v>185</v>
      </c>
      <c r="J848" t="s">
        <v>277</v>
      </c>
      <c r="K848">
        <v>8.5195637153690548E-3</v>
      </c>
      <c r="L848" t="s">
        <v>154</v>
      </c>
      <c r="N848" t="s">
        <v>214</v>
      </c>
      <c r="O848" t="s">
        <v>277</v>
      </c>
      <c r="P848">
        <v>4.7814844173939735E-3</v>
      </c>
      <c r="Q848" t="s">
        <v>154</v>
      </c>
      <c r="S848" t="s">
        <v>238</v>
      </c>
      <c r="T848" t="s">
        <v>277</v>
      </c>
      <c r="U848">
        <v>9.5176522788262066E-3</v>
      </c>
      <c r="V848" t="s">
        <v>154</v>
      </c>
    </row>
    <row r="849" spans="9:22" x14ac:dyDescent="0.45">
      <c r="I849" t="s">
        <v>185</v>
      </c>
      <c r="J849" t="s">
        <v>290</v>
      </c>
      <c r="K849">
        <v>6.1578539011110129E-4</v>
      </c>
      <c r="L849" t="s">
        <v>154</v>
      </c>
      <c r="N849" t="s">
        <v>214</v>
      </c>
      <c r="O849" t="s">
        <v>290</v>
      </c>
      <c r="P849">
        <v>4.4031473105407282E-3</v>
      </c>
      <c r="Q849" t="s">
        <v>154</v>
      </c>
      <c r="S849" t="s">
        <v>238</v>
      </c>
      <c r="T849" t="s">
        <v>290</v>
      </c>
      <c r="U849">
        <v>8.4887785153403648E-3</v>
      </c>
      <c r="V849" t="s">
        <v>154</v>
      </c>
    </row>
    <row r="850" spans="9:22" x14ac:dyDescent="0.45">
      <c r="I850" t="s">
        <v>185</v>
      </c>
      <c r="J850" t="s">
        <v>291</v>
      </c>
      <c r="K850">
        <v>0</v>
      </c>
      <c r="L850" t="s">
        <v>154</v>
      </c>
      <c r="N850" t="s">
        <v>214</v>
      </c>
      <c r="O850" t="s">
        <v>291</v>
      </c>
      <c r="P850">
        <v>2.3947590693653004E-2</v>
      </c>
      <c r="Q850" t="s">
        <v>154</v>
      </c>
      <c r="S850" t="s">
        <v>238</v>
      </c>
      <c r="T850" t="s">
        <v>291</v>
      </c>
      <c r="U850">
        <v>4.5258890254618718E-2</v>
      </c>
      <c r="V850" t="s">
        <v>154</v>
      </c>
    </row>
    <row r="851" spans="9:22" x14ac:dyDescent="0.45">
      <c r="I851" t="s">
        <v>186</v>
      </c>
      <c r="J851" t="s">
        <v>153</v>
      </c>
      <c r="K851">
        <v>0</v>
      </c>
      <c r="L851" t="s">
        <v>154</v>
      </c>
      <c r="N851" t="s">
        <v>215</v>
      </c>
      <c r="O851" t="s">
        <v>153</v>
      </c>
      <c r="P851">
        <v>0.19380372169806839</v>
      </c>
      <c r="Q851" t="s">
        <v>154</v>
      </c>
      <c r="S851" t="s">
        <v>239</v>
      </c>
      <c r="T851" t="s">
        <v>153</v>
      </c>
      <c r="U851">
        <v>0.18830599492075867</v>
      </c>
      <c r="V851" t="s">
        <v>154</v>
      </c>
    </row>
    <row r="852" spans="9:22" x14ac:dyDescent="0.45">
      <c r="I852" t="s">
        <v>186</v>
      </c>
      <c r="J852" t="s">
        <v>155</v>
      </c>
      <c r="K852">
        <v>6.0146640580898261E-2</v>
      </c>
      <c r="L852" t="s">
        <v>154</v>
      </c>
      <c r="N852" t="s">
        <v>215</v>
      </c>
      <c r="O852" t="s">
        <v>155</v>
      </c>
      <c r="P852">
        <v>4.9472365136931068E-2</v>
      </c>
      <c r="Q852" t="s">
        <v>154</v>
      </c>
      <c r="S852" t="s">
        <v>239</v>
      </c>
      <c r="T852" t="s">
        <v>155</v>
      </c>
      <c r="U852">
        <v>5.1671789293075227E-2</v>
      </c>
      <c r="V852" t="s">
        <v>154</v>
      </c>
    </row>
    <row r="853" spans="9:22" x14ac:dyDescent="0.45">
      <c r="I853" t="s">
        <v>186</v>
      </c>
      <c r="J853" t="s">
        <v>156</v>
      </c>
      <c r="K853">
        <v>5.5066701437135712E-2</v>
      </c>
      <c r="L853" t="s">
        <v>154</v>
      </c>
      <c r="N853" t="s">
        <v>215</v>
      </c>
      <c r="O853" t="s">
        <v>156</v>
      </c>
      <c r="P853">
        <v>2.475910710336721E-2</v>
      </c>
      <c r="Q853" t="s">
        <v>154</v>
      </c>
      <c r="S853" t="s">
        <v>239</v>
      </c>
      <c r="T853" t="s">
        <v>156</v>
      </c>
      <c r="U853">
        <v>2.7800894575377096E-2</v>
      </c>
      <c r="V853" t="s">
        <v>154</v>
      </c>
    </row>
    <row r="854" spans="9:22" x14ac:dyDescent="0.45">
      <c r="I854" t="s">
        <v>186</v>
      </c>
      <c r="J854" t="s">
        <v>255</v>
      </c>
      <c r="K854">
        <v>0.42171848800687883</v>
      </c>
      <c r="L854" t="s">
        <v>154</v>
      </c>
      <c r="N854" t="s">
        <v>215</v>
      </c>
      <c r="O854" t="s">
        <v>255</v>
      </c>
      <c r="P854">
        <v>0.15954979880237274</v>
      </c>
      <c r="Q854" t="s">
        <v>154</v>
      </c>
      <c r="S854" t="s">
        <v>239</v>
      </c>
      <c r="T854" t="s">
        <v>255</v>
      </c>
      <c r="U854">
        <v>0.15627851087025613</v>
      </c>
      <c r="V854" t="s">
        <v>154</v>
      </c>
    </row>
    <row r="855" spans="9:22" x14ac:dyDescent="0.45">
      <c r="I855" t="s">
        <v>186</v>
      </c>
      <c r="J855" t="s">
        <v>256</v>
      </c>
      <c r="K855">
        <v>5.5142878958191172E-2</v>
      </c>
      <c r="L855" t="s">
        <v>154</v>
      </c>
      <c r="N855" t="s">
        <v>215</v>
      </c>
      <c r="O855" t="s">
        <v>256</v>
      </c>
      <c r="P855">
        <v>2.8576685891332481E-2</v>
      </c>
      <c r="Q855" t="s">
        <v>154</v>
      </c>
      <c r="S855" t="s">
        <v>239</v>
      </c>
      <c r="T855" t="s">
        <v>256</v>
      </c>
      <c r="U855">
        <v>2.5635520306048674E-2</v>
      </c>
      <c r="V855" t="s">
        <v>154</v>
      </c>
    </row>
    <row r="856" spans="9:22" x14ac:dyDescent="0.45">
      <c r="I856" t="s">
        <v>186</v>
      </c>
      <c r="J856" t="s">
        <v>257</v>
      </c>
      <c r="K856">
        <v>4.2910835378324984E-2</v>
      </c>
      <c r="L856" t="s">
        <v>154</v>
      </c>
      <c r="N856" t="s">
        <v>215</v>
      </c>
      <c r="O856" t="s">
        <v>257</v>
      </c>
      <c r="P856">
        <v>2.9217317892479222E-2</v>
      </c>
      <c r="Q856" t="s">
        <v>154</v>
      </c>
      <c r="S856" t="s">
        <v>239</v>
      </c>
      <c r="T856" t="s">
        <v>257</v>
      </c>
      <c r="U856">
        <v>2.6701845885881963E-2</v>
      </c>
      <c r="V856" t="s">
        <v>154</v>
      </c>
    </row>
    <row r="857" spans="9:22" x14ac:dyDescent="0.45">
      <c r="I857" t="s">
        <v>186</v>
      </c>
      <c r="J857" t="s">
        <v>282</v>
      </c>
      <c r="K857">
        <v>2.6081256009667507E-2</v>
      </c>
      <c r="L857" t="s">
        <v>154</v>
      </c>
      <c r="N857" t="s">
        <v>215</v>
      </c>
      <c r="O857" t="s">
        <v>282</v>
      </c>
      <c r="P857">
        <v>2.611136633513899E-2</v>
      </c>
      <c r="Q857" t="s">
        <v>154</v>
      </c>
      <c r="S857" t="s">
        <v>239</v>
      </c>
      <c r="T857" t="s">
        <v>282</v>
      </c>
      <c r="U857">
        <v>2.3192663203342803E-2</v>
      </c>
      <c r="V857" t="s">
        <v>154</v>
      </c>
    </row>
    <row r="858" spans="9:22" x14ac:dyDescent="0.45">
      <c r="I858" t="s">
        <v>186</v>
      </c>
      <c r="J858" t="s">
        <v>283</v>
      </c>
      <c r="K858">
        <v>0</v>
      </c>
      <c r="L858" t="s">
        <v>154</v>
      </c>
      <c r="N858" t="s">
        <v>215</v>
      </c>
      <c r="O858" t="s">
        <v>283</v>
      </c>
      <c r="P858">
        <v>0.13592225623985568</v>
      </c>
      <c r="Q858" t="s">
        <v>154</v>
      </c>
      <c r="S858" t="s">
        <v>239</v>
      </c>
      <c r="T858" t="s">
        <v>283</v>
      </c>
      <c r="U858">
        <v>0.12007333505708435</v>
      </c>
      <c r="V858" t="s">
        <v>154</v>
      </c>
    </row>
    <row r="859" spans="9:22" x14ac:dyDescent="0.45">
      <c r="I859" t="s">
        <v>186</v>
      </c>
      <c r="J859" t="s">
        <v>157</v>
      </c>
      <c r="K859">
        <v>0</v>
      </c>
      <c r="L859" t="s">
        <v>154</v>
      </c>
      <c r="N859" t="s">
        <v>215</v>
      </c>
      <c r="O859" t="s">
        <v>157</v>
      </c>
      <c r="P859">
        <v>1.3963792228228947E-2</v>
      </c>
      <c r="Q859" t="s">
        <v>154</v>
      </c>
      <c r="S859" t="s">
        <v>239</v>
      </c>
      <c r="T859" t="s">
        <v>157</v>
      </c>
      <c r="U859">
        <v>9.8275407058144373E-3</v>
      </c>
      <c r="V859" t="s">
        <v>154</v>
      </c>
    </row>
    <row r="860" spans="9:22" x14ac:dyDescent="0.45">
      <c r="I860" t="s">
        <v>186</v>
      </c>
      <c r="J860" t="s">
        <v>158</v>
      </c>
      <c r="K860">
        <v>5.267565061507138E-3</v>
      </c>
      <c r="L860" t="s">
        <v>154</v>
      </c>
      <c r="N860" t="s">
        <v>215</v>
      </c>
      <c r="O860" t="s">
        <v>158</v>
      </c>
      <c r="P860">
        <v>4.1340541640964446E-3</v>
      </c>
      <c r="Q860" t="s">
        <v>154</v>
      </c>
      <c r="S860" t="s">
        <v>239</v>
      </c>
      <c r="T860" t="s">
        <v>158</v>
      </c>
      <c r="U860">
        <v>2.7111608140829207E-3</v>
      </c>
      <c r="V860" t="s">
        <v>154</v>
      </c>
    </row>
    <row r="861" spans="9:22" x14ac:dyDescent="0.45">
      <c r="I861" t="s">
        <v>186</v>
      </c>
      <c r="J861" t="s">
        <v>159</v>
      </c>
      <c r="K861">
        <v>4.8264222034121963E-3</v>
      </c>
      <c r="L861" t="s">
        <v>154</v>
      </c>
      <c r="N861" t="s">
        <v>215</v>
      </c>
      <c r="O861" t="s">
        <v>159</v>
      </c>
      <c r="P861">
        <v>2.8218817571447207E-3</v>
      </c>
      <c r="Q861" t="s">
        <v>154</v>
      </c>
      <c r="S861" t="s">
        <v>239</v>
      </c>
      <c r="T861" t="s">
        <v>159</v>
      </c>
      <c r="U861">
        <v>1.300485369753005E-3</v>
      </c>
      <c r="V861" t="s">
        <v>154</v>
      </c>
    </row>
    <row r="862" spans="9:22" x14ac:dyDescent="0.45">
      <c r="I862" t="s">
        <v>186</v>
      </c>
      <c r="J862" t="s">
        <v>258</v>
      </c>
      <c r="K862">
        <v>4.0034955138725896E-2</v>
      </c>
      <c r="L862" t="s">
        <v>154</v>
      </c>
      <c r="N862" t="s">
        <v>215</v>
      </c>
      <c r="O862" t="s">
        <v>258</v>
      </c>
      <c r="P862">
        <v>1.9694781813523164E-2</v>
      </c>
      <c r="Q862" t="s">
        <v>154</v>
      </c>
      <c r="S862" t="s">
        <v>239</v>
      </c>
      <c r="T862" t="s">
        <v>258</v>
      </c>
      <c r="U862">
        <v>1.0329368372804919E-2</v>
      </c>
      <c r="V862" t="s">
        <v>154</v>
      </c>
    </row>
    <row r="863" spans="9:22" x14ac:dyDescent="0.45">
      <c r="I863" t="s">
        <v>186</v>
      </c>
      <c r="J863" t="s">
        <v>259</v>
      </c>
      <c r="K863">
        <v>4.5973610526526777E-3</v>
      </c>
      <c r="L863" t="s">
        <v>154</v>
      </c>
      <c r="N863" t="s">
        <v>215</v>
      </c>
      <c r="O863" t="s">
        <v>259</v>
      </c>
      <c r="P863">
        <v>3.0361345484203324E-3</v>
      </c>
      <c r="Q863" t="s">
        <v>154</v>
      </c>
      <c r="S863" t="s">
        <v>239</v>
      </c>
      <c r="T863" t="s">
        <v>259</v>
      </c>
      <c r="U863">
        <v>2.0966556247965541E-3</v>
      </c>
      <c r="V863" t="s">
        <v>154</v>
      </c>
    </row>
    <row r="864" spans="9:22" x14ac:dyDescent="0.45">
      <c r="I864" t="s">
        <v>186</v>
      </c>
      <c r="J864" t="s">
        <v>260</v>
      </c>
      <c r="K864">
        <v>3.0966295622890964E-3</v>
      </c>
      <c r="L864" t="s">
        <v>154</v>
      </c>
      <c r="N864" t="s">
        <v>215</v>
      </c>
      <c r="O864" t="s">
        <v>260</v>
      </c>
      <c r="P864">
        <v>3.0251343507978509E-3</v>
      </c>
      <c r="Q864" t="s">
        <v>154</v>
      </c>
      <c r="S864" t="s">
        <v>239</v>
      </c>
      <c r="T864" t="s">
        <v>260</v>
      </c>
      <c r="U864">
        <v>1.8510539652868726E-3</v>
      </c>
      <c r="V864" t="s">
        <v>154</v>
      </c>
    </row>
    <row r="865" spans="9:22" x14ac:dyDescent="0.45">
      <c r="I865" t="s">
        <v>186</v>
      </c>
      <c r="J865" t="s">
        <v>284</v>
      </c>
      <c r="K865">
        <v>1.6639203160095147E-3</v>
      </c>
      <c r="L865" t="s">
        <v>154</v>
      </c>
      <c r="N865" t="s">
        <v>215</v>
      </c>
      <c r="O865" t="s">
        <v>284</v>
      </c>
      <c r="P865">
        <v>2.4404416001561767E-3</v>
      </c>
      <c r="Q865" t="s">
        <v>154</v>
      </c>
      <c r="S865" t="s">
        <v>239</v>
      </c>
      <c r="T865" t="s">
        <v>284</v>
      </c>
      <c r="U865">
        <v>1.2449791470863648E-3</v>
      </c>
      <c r="V865" t="s">
        <v>154</v>
      </c>
    </row>
    <row r="866" spans="9:22" x14ac:dyDescent="0.45">
      <c r="I866" t="s">
        <v>186</v>
      </c>
      <c r="J866" t="s">
        <v>285</v>
      </c>
      <c r="K866">
        <v>0</v>
      </c>
      <c r="L866" t="s">
        <v>154</v>
      </c>
      <c r="N866" t="s">
        <v>215</v>
      </c>
      <c r="O866" t="s">
        <v>285</v>
      </c>
      <c r="P866">
        <v>9.8805988666147999E-3</v>
      </c>
      <c r="Q866" t="s">
        <v>154</v>
      </c>
      <c r="S866" t="s">
        <v>239</v>
      </c>
      <c r="T866" t="s">
        <v>285</v>
      </c>
      <c r="U866">
        <v>6.1009841415116542E-3</v>
      </c>
      <c r="V866" t="s">
        <v>154</v>
      </c>
    </row>
    <row r="867" spans="9:22" x14ac:dyDescent="0.45">
      <c r="I867" t="s">
        <v>186</v>
      </c>
      <c r="J867" t="s">
        <v>160</v>
      </c>
      <c r="K867">
        <v>0</v>
      </c>
      <c r="L867" t="s">
        <v>154</v>
      </c>
      <c r="N867" t="s">
        <v>215</v>
      </c>
      <c r="O867" t="s">
        <v>160</v>
      </c>
      <c r="P867">
        <v>4.9259495003342181E-2</v>
      </c>
      <c r="Q867" t="s">
        <v>154</v>
      </c>
      <c r="S867" t="s">
        <v>239</v>
      </c>
      <c r="T867" t="s">
        <v>160</v>
      </c>
      <c r="U867">
        <v>2.6083060188053033E-2</v>
      </c>
      <c r="V867" t="s">
        <v>154</v>
      </c>
    </row>
    <row r="868" spans="9:22" x14ac:dyDescent="0.45">
      <c r="I868" t="s">
        <v>186</v>
      </c>
      <c r="J868" t="s">
        <v>161</v>
      </c>
      <c r="K868">
        <v>6.3949145270720776E-3</v>
      </c>
      <c r="L868" t="s">
        <v>154</v>
      </c>
      <c r="N868" t="s">
        <v>215</v>
      </c>
      <c r="O868" t="s">
        <v>161</v>
      </c>
      <c r="P868">
        <v>1.5438643288286933E-2</v>
      </c>
      <c r="Q868" t="s">
        <v>154</v>
      </c>
      <c r="S868" t="s">
        <v>239</v>
      </c>
      <c r="T868" t="s">
        <v>161</v>
      </c>
      <c r="U868">
        <v>7.1350159161738917E-3</v>
      </c>
      <c r="V868" t="s">
        <v>154</v>
      </c>
    </row>
    <row r="869" spans="9:22" x14ac:dyDescent="0.45">
      <c r="I869" t="s">
        <v>186</v>
      </c>
      <c r="J869" t="s">
        <v>162</v>
      </c>
      <c r="K869">
        <v>6.2474839208886291E-3</v>
      </c>
      <c r="L869" t="s">
        <v>154</v>
      </c>
      <c r="N869" t="s">
        <v>215</v>
      </c>
      <c r="O869" t="s">
        <v>162</v>
      </c>
      <c r="P869">
        <v>7.8386265581414771E-3</v>
      </c>
      <c r="Q869" t="s">
        <v>154</v>
      </c>
      <c r="S869" t="s">
        <v>239</v>
      </c>
      <c r="T869" t="s">
        <v>162</v>
      </c>
      <c r="U869">
        <v>3.7115543905188648E-3</v>
      </c>
      <c r="V869" t="s">
        <v>154</v>
      </c>
    </row>
    <row r="870" spans="9:22" x14ac:dyDescent="0.45">
      <c r="I870" t="s">
        <v>186</v>
      </c>
      <c r="J870" t="s">
        <v>261</v>
      </c>
      <c r="K870">
        <v>4.6336213998101568E-2</v>
      </c>
      <c r="L870" t="s">
        <v>154</v>
      </c>
      <c r="N870" t="s">
        <v>215</v>
      </c>
      <c r="O870" t="s">
        <v>261</v>
      </c>
      <c r="P870">
        <v>5.5618882114663475E-2</v>
      </c>
      <c r="Q870" t="s">
        <v>154</v>
      </c>
      <c r="S870" t="s">
        <v>239</v>
      </c>
      <c r="T870" t="s">
        <v>261</v>
      </c>
      <c r="U870">
        <v>2.6562725462968052E-2</v>
      </c>
      <c r="V870" t="s">
        <v>154</v>
      </c>
    </row>
    <row r="871" spans="9:22" x14ac:dyDescent="0.45">
      <c r="I871" t="s">
        <v>186</v>
      </c>
      <c r="J871" t="s">
        <v>262</v>
      </c>
      <c r="K871">
        <v>4.643451662715006E-3</v>
      </c>
      <c r="L871" t="s">
        <v>154</v>
      </c>
      <c r="N871" t="s">
        <v>215</v>
      </c>
      <c r="O871" t="s">
        <v>262</v>
      </c>
      <c r="P871">
        <v>8.3410886334492878E-3</v>
      </c>
      <c r="Q871" t="s">
        <v>154</v>
      </c>
      <c r="S871" t="s">
        <v>239</v>
      </c>
      <c r="T871" t="s">
        <v>262</v>
      </c>
      <c r="U871">
        <v>4.7465045321863891E-3</v>
      </c>
      <c r="V871" t="s">
        <v>154</v>
      </c>
    </row>
    <row r="872" spans="9:22" x14ac:dyDescent="0.45">
      <c r="I872" t="s">
        <v>186</v>
      </c>
      <c r="J872" t="s">
        <v>263</v>
      </c>
      <c r="K872">
        <v>2.8816321666538763E-3</v>
      </c>
      <c r="L872" t="s">
        <v>154</v>
      </c>
      <c r="N872" t="s">
        <v>215</v>
      </c>
      <c r="O872" t="s">
        <v>263</v>
      </c>
      <c r="P872">
        <v>7.1549122429125974E-3</v>
      </c>
      <c r="Q872" t="s">
        <v>154</v>
      </c>
      <c r="S872" t="s">
        <v>239</v>
      </c>
      <c r="T872" t="s">
        <v>263</v>
      </c>
      <c r="U872">
        <v>4.6703679280116813E-3</v>
      </c>
      <c r="V872" t="s">
        <v>154</v>
      </c>
    </row>
    <row r="873" spans="9:22" x14ac:dyDescent="0.45">
      <c r="I873" t="s">
        <v>186</v>
      </c>
      <c r="J873" t="s">
        <v>286</v>
      </c>
      <c r="K873">
        <v>1.5102154528074628E-3</v>
      </c>
      <c r="L873" t="s">
        <v>154</v>
      </c>
      <c r="N873" t="s">
        <v>215</v>
      </c>
      <c r="O873" t="s">
        <v>286</v>
      </c>
      <c r="P873">
        <v>6.1827733679617755E-3</v>
      </c>
      <c r="Q873" t="s">
        <v>154</v>
      </c>
      <c r="S873" t="s">
        <v>239</v>
      </c>
      <c r="T873" t="s">
        <v>286</v>
      </c>
      <c r="U873">
        <v>3.6014568630113918E-3</v>
      </c>
      <c r="V873" t="s">
        <v>154</v>
      </c>
    </row>
    <row r="874" spans="9:22" x14ac:dyDescent="0.45">
      <c r="I874" t="s">
        <v>186</v>
      </c>
      <c r="J874" t="s">
        <v>287</v>
      </c>
      <c r="K874">
        <v>0</v>
      </c>
      <c r="L874" t="s">
        <v>154</v>
      </c>
      <c r="N874" t="s">
        <v>215</v>
      </c>
      <c r="O874" t="s">
        <v>287</v>
      </c>
      <c r="P874">
        <v>2.4334994671862006E-2</v>
      </c>
      <c r="Q874" t="s">
        <v>154</v>
      </c>
      <c r="S874" t="s">
        <v>239</v>
      </c>
      <c r="T874" t="s">
        <v>287</v>
      </c>
      <c r="U874">
        <v>1.9304530450337504E-2</v>
      </c>
      <c r="V874" t="s">
        <v>154</v>
      </c>
    </row>
    <row r="875" spans="9:22" x14ac:dyDescent="0.45">
      <c r="I875" t="s">
        <v>186</v>
      </c>
      <c r="J875" t="s">
        <v>163</v>
      </c>
      <c r="K875">
        <v>0</v>
      </c>
      <c r="L875" t="s">
        <v>154</v>
      </c>
      <c r="N875" t="s">
        <v>215</v>
      </c>
      <c r="O875" t="s">
        <v>163</v>
      </c>
      <c r="P875">
        <v>1.9990678160302259E-2</v>
      </c>
      <c r="Q875" t="s">
        <v>154</v>
      </c>
      <c r="S875" t="s">
        <v>239</v>
      </c>
      <c r="T875" t="s">
        <v>163</v>
      </c>
      <c r="U875">
        <v>1.712438455418817E-2</v>
      </c>
      <c r="V875" t="s">
        <v>154</v>
      </c>
    </row>
    <row r="876" spans="9:22" x14ac:dyDescent="0.45">
      <c r="I876" t="s">
        <v>186</v>
      </c>
      <c r="J876" t="s">
        <v>164</v>
      </c>
      <c r="K876">
        <v>8.021599358539501E-3</v>
      </c>
      <c r="L876" t="s">
        <v>154</v>
      </c>
      <c r="N876" t="s">
        <v>215</v>
      </c>
      <c r="O876" t="s">
        <v>164</v>
      </c>
      <c r="P876">
        <v>5.0814349022187998E-3</v>
      </c>
      <c r="Q876" t="s">
        <v>154</v>
      </c>
      <c r="S876" t="s">
        <v>239</v>
      </c>
      <c r="T876" t="s">
        <v>164</v>
      </c>
      <c r="U876">
        <v>4.2306733079305395E-3</v>
      </c>
      <c r="V876" t="s">
        <v>154</v>
      </c>
    </row>
    <row r="877" spans="9:22" x14ac:dyDescent="0.45">
      <c r="I877" t="s">
        <v>186</v>
      </c>
      <c r="J877" t="s">
        <v>165</v>
      </c>
      <c r="K877">
        <v>6.552981515500305E-3</v>
      </c>
      <c r="L877" t="s">
        <v>154</v>
      </c>
      <c r="N877" t="s">
        <v>215</v>
      </c>
      <c r="O877" t="s">
        <v>165</v>
      </c>
      <c r="P877">
        <v>2.4315832525960718E-3</v>
      </c>
      <c r="Q877" t="s">
        <v>154</v>
      </c>
      <c r="S877" t="s">
        <v>239</v>
      </c>
      <c r="T877" t="s">
        <v>165</v>
      </c>
      <c r="U877">
        <v>2.3227700690241406E-3</v>
      </c>
      <c r="V877" t="s">
        <v>154</v>
      </c>
    </row>
    <row r="878" spans="9:22" x14ac:dyDescent="0.45">
      <c r="I878" t="s">
        <v>186</v>
      </c>
      <c r="J878" t="s">
        <v>264</v>
      </c>
      <c r="K878">
        <v>4.1971833177166094E-2</v>
      </c>
      <c r="L878" t="s">
        <v>154</v>
      </c>
      <c r="N878" t="s">
        <v>215</v>
      </c>
      <c r="O878" t="s">
        <v>264</v>
      </c>
      <c r="P878">
        <v>1.859776143499333E-2</v>
      </c>
      <c r="Q878" t="s">
        <v>154</v>
      </c>
      <c r="S878" t="s">
        <v>239</v>
      </c>
      <c r="T878" t="s">
        <v>264</v>
      </c>
      <c r="U878">
        <v>1.444827060442228E-2</v>
      </c>
      <c r="V878" t="s">
        <v>154</v>
      </c>
    </row>
    <row r="879" spans="9:22" x14ac:dyDescent="0.45">
      <c r="I879" t="s">
        <v>186</v>
      </c>
      <c r="J879" t="s">
        <v>265</v>
      </c>
      <c r="K879">
        <v>5.1069158097961946E-3</v>
      </c>
      <c r="L879" t="s">
        <v>154</v>
      </c>
      <c r="N879" t="s">
        <v>215</v>
      </c>
      <c r="O879" t="s">
        <v>265</v>
      </c>
      <c r="P879">
        <v>4.1042449372571139E-3</v>
      </c>
      <c r="Q879" t="s">
        <v>154</v>
      </c>
      <c r="S879" t="s">
        <v>239</v>
      </c>
      <c r="T879" t="s">
        <v>265</v>
      </c>
      <c r="U879">
        <v>2.6126099403804806E-3</v>
      </c>
      <c r="V879" t="s">
        <v>154</v>
      </c>
    </row>
    <row r="880" spans="9:22" x14ac:dyDescent="0.45">
      <c r="I880" t="s">
        <v>186</v>
      </c>
      <c r="J880" t="s">
        <v>266</v>
      </c>
      <c r="K880">
        <v>3.6301420977003468E-3</v>
      </c>
      <c r="L880" t="s">
        <v>154</v>
      </c>
      <c r="N880" t="s">
        <v>215</v>
      </c>
      <c r="O880" t="s">
        <v>266</v>
      </c>
      <c r="P880">
        <v>4.1146047144325218E-3</v>
      </c>
      <c r="Q880" t="s">
        <v>154</v>
      </c>
      <c r="S880" t="s">
        <v>239</v>
      </c>
      <c r="T880" t="s">
        <v>266</v>
      </c>
      <c r="U880">
        <v>2.7514293559518076E-3</v>
      </c>
      <c r="V880" t="s">
        <v>154</v>
      </c>
    </row>
    <row r="881" spans="9:22" x14ac:dyDescent="0.45">
      <c r="I881" t="s">
        <v>186</v>
      </c>
      <c r="J881" t="s">
        <v>288</v>
      </c>
      <c r="K881">
        <v>1.9620512211988494E-3</v>
      </c>
      <c r="L881" t="s">
        <v>154</v>
      </c>
      <c r="N881" t="s">
        <v>215</v>
      </c>
      <c r="O881" t="s">
        <v>288</v>
      </c>
      <c r="P881">
        <v>4.0122972099958243E-3</v>
      </c>
      <c r="Q881" t="s">
        <v>154</v>
      </c>
      <c r="S881" t="s">
        <v>239</v>
      </c>
      <c r="T881" t="s">
        <v>288</v>
      </c>
      <c r="U881">
        <v>2.1833708904602221E-3</v>
      </c>
      <c r="V881" t="s">
        <v>154</v>
      </c>
    </row>
    <row r="882" spans="9:22" x14ac:dyDescent="0.45">
      <c r="I882" t="s">
        <v>186</v>
      </c>
      <c r="J882" t="s">
        <v>289</v>
      </c>
      <c r="K882">
        <v>0</v>
      </c>
      <c r="L882" t="s">
        <v>154</v>
      </c>
      <c r="N882" t="s">
        <v>215</v>
      </c>
      <c r="O882" t="s">
        <v>289</v>
      </c>
      <c r="P882">
        <v>1.4825092877130155E-2</v>
      </c>
      <c r="Q882" t="s">
        <v>154</v>
      </c>
      <c r="S882" t="s">
        <v>239</v>
      </c>
      <c r="T882" t="s">
        <v>289</v>
      </c>
      <c r="U882">
        <v>1.1160116261134041E-2</v>
      </c>
      <c r="V882" t="s">
        <v>154</v>
      </c>
    </row>
    <row r="883" spans="9:22" x14ac:dyDescent="0.45">
      <c r="I883" t="s">
        <v>186</v>
      </c>
      <c r="J883" t="s">
        <v>272</v>
      </c>
      <c r="K883">
        <v>0</v>
      </c>
      <c r="L883" t="s">
        <v>154</v>
      </c>
      <c r="N883" t="s">
        <v>215</v>
      </c>
      <c r="O883" t="s">
        <v>272</v>
      </c>
      <c r="P883">
        <v>1.6452117752708918E-2</v>
      </c>
      <c r="Q883" t="s">
        <v>154</v>
      </c>
      <c r="S883" t="s">
        <v>239</v>
      </c>
      <c r="T883" t="s">
        <v>272</v>
      </c>
      <c r="U883">
        <v>6.1411860733622467E-2</v>
      </c>
      <c r="V883" t="s">
        <v>154</v>
      </c>
    </row>
    <row r="884" spans="9:22" x14ac:dyDescent="0.45">
      <c r="I884" t="s">
        <v>186</v>
      </c>
      <c r="J884" t="s">
        <v>273</v>
      </c>
      <c r="K884">
        <v>1.4481953334397901E-2</v>
      </c>
      <c r="L884" t="s">
        <v>154</v>
      </c>
      <c r="N884" t="s">
        <v>215</v>
      </c>
      <c r="O884" t="s">
        <v>273</v>
      </c>
      <c r="P884">
        <v>3.5674754064395687E-3</v>
      </c>
      <c r="Q884" t="s">
        <v>154</v>
      </c>
      <c r="S884" t="s">
        <v>239</v>
      </c>
      <c r="T884" t="s">
        <v>273</v>
      </c>
      <c r="U884">
        <v>1.5747347786136134E-2</v>
      </c>
      <c r="V884" t="s">
        <v>154</v>
      </c>
    </row>
    <row r="885" spans="9:22" x14ac:dyDescent="0.45">
      <c r="I885" t="s">
        <v>186</v>
      </c>
      <c r="J885" t="s">
        <v>274</v>
      </c>
      <c r="K885">
        <v>1.276306731044813E-2</v>
      </c>
      <c r="L885" t="s">
        <v>154</v>
      </c>
      <c r="N885" t="s">
        <v>215</v>
      </c>
      <c r="O885" t="s">
        <v>274</v>
      </c>
      <c r="P885">
        <v>2.0958498774281179E-3</v>
      </c>
      <c r="Q885" t="s">
        <v>154</v>
      </c>
      <c r="S885" t="s">
        <v>239</v>
      </c>
      <c r="T885" t="s">
        <v>274</v>
      </c>
      <c r="U885">
        <v>8.7636346634886071E-3</v>
      </c>
      <c r="V885" t="s">
        <v>154</v>
      </c>
    </row>
    <row r="886" spans="9:22" x14ac:dyDescent="0.45">
      <c r="I886" t="s">
        <v>186</v>
      </c>
      <c r="J886" t="s">
        <v>275</v>
      </c>
      <c r="K886">
        <v>9.3212670507736434E-2</v>
      </c>
      <c r="L886" t="s">
        <v>154</v>
      </c>
      <c r="N886" t="s">
        <v>215</v>
      </c>
      <c r="O886" t="s">
        <v>275</v>
      </c>
      <c r="P886">
        <v>9.5557963789739929E-3</v>
      </c>
      <c r="Q886" t="s">
        <v>154</v>
      </c>
      <c r="S886" t="s">
        <v>239</v>
      </c>
      <c r="T886" t="s">
        <v>275</v>
      </c>
      <c r="U886">
        <v>5.1707680933765654E-2</v>
      </c>
      <c r="V886" t="s">
        <v>154</v>
      </c>
    </row>
    <row r="887" spans="9:22" x14ac:dyDescent="0.45">
      <c r="I887" t="s">
        <v>186</v>
      </c>
      <c r="J887" t="s">
        <v>276</v>
      </c>
      <c r="K887">
        <v>1.2449713919860208E-2</v>
      </c>
      <c r="L887" t="s">
        <v>154</v>
      </c>
      <c r="N887" t="s">
        <v>215</v>
      </c>
      <c r="O887" t="s">
        <v>276</v>
      </c>
      <c r="P887">
        <v>1.3889368597352215E-3</v>
      </c>
      <c r="Q887" t="s">
        <v>154</v>
      </c>
      <c r="S887" t="s">
        <v>239</v>
      </c>
      <c r="T887" t="s">
        <v>276</v>
      </c>
      <c r="U887">
        <v>8.9446824691812449E-3</v>
      </c>
      <c r="V887" t="s">
        <v>154</v>
      </c>
    </row>
    <row r="888" spans="9:22" x14ac:dyDescent="0.45">
      <c r="I888" t="s">
        <v>186</v>
      </c>
      <c r="J888" t="s">
        <v>277</v>
      </c>
      <c r="K888">
        <v>8.8312052902762665E-3</v>
      </c>
      <c r="L888" t="s">
        <v>154</v>
      </c>
      <c r="N888" t="s">
        <v>215</v>
      </c>
      <c r="O888" t="s">
        <v>277</v>
      </c>
      <c r="P888">
        <v>1.5273022905121247E-3</v>
      </c>
      <c r="Q888" t="s">
        <v>154</v>
      </c>
      <c r="S888" t="s">
        <v>239</v>
      </c>
      <c r="T888" t="s">
        <v>277</v>
      </c>
      <c r="U888">
        <v>9.5321457133874399E-3</v>
      </c>
      <c r="V888" t="s">
        <v>154</v>
      </c>
    </row>
    <row r="889" spans="9:22" x14ac:dyDescent="0.45">
      <c r="I889" t="s">
        <v>186</v>
      </c>
      <c r="J889" t="s">
        <v>290</v>
      </c>
      <c r="K889">
        <v>2.4483010234461013E-3</v>
      </c>
      <c r="L889" t="s">
        <v>154</v>
      </c>
      <c r="N889" t="s">
        <v>215</v>
      </c>
      <c r="O889" t="s">
        <v>290</v>
      </c>
      <c r="P889">
        <v>1.6163400687238261E-3</v>
      </c>
      <c r="Q889" t="s">
        <v>154</v>
      </c>
      <c r="S889" t="s">
        <v>239</v>
      </c>
      <c r="T889" t="s">
        <v>290</v>
      </c>
      <c r="U889">
        <v>5.4578418889620331E-3</v>
      </c>
      <c r="V889" t="s">
        <v>154</v>
      </c>
    </row>
    <row r="890" spans="9:22" x14ac:dyDescent="0.45">
      <c r="I890" t="s">
        <v>186</v>
      </c>
      <c r="J890" t="s">
        <v>291</v>
      </c>
      <c r="K890">
        <v>0</v>
      </c>
      <c r="L890" t="s">
        <v>154</v>
      </c>
      <c r="N890" t="s">
        <v>215</v>
      </c>
      <c r="O890" t="s">
        <v>291</v>
      </c>
      <c r="P890">
        <v>1.005962956740598E-2</v>
      </c>
      <c r="Q890" t="s">
        <v>154</v>
      </c>
      <c r="S890" t="s">
        <v>239</v>
      </c>
      <c r="T890" t="s">
        <v>291</v>
      </c>
      <c r="U890">
        <v>3.0663182843745935E-2</v>
      </c>
      <c r="V890" t="s">
        <v>154</v>
      </c>
    </row>
    <row r="891" spans="9:22" x14ac:dyDescent="0.45">
      <c r="I891" t="s">
        <v>187</v>
      </c>
      <c r="J891" t="s">
        <v>153</v>
      </c>
      <c r="K891">
        <v>0</v>
      </c>
      <c r="L891" t="s">
        <v>154</v>
      </c>
      <c r="N891" t="s">
        <v>216</v>
      </c>
      <c r="O891" t="s">
        <v>153</v>
      </c>
      <c r="P891">
        <v>0.17614380543331659</v>
      </c>
      <c r="Q891" t="s">
        <v>154</v>
      </c>
      <c r="S891" t="s">
        <v>240</v>
      </c>
      <c r="T891" t="s">
        <v>153</v>
      </c>
      <c r="U891">
        <v>0.17415381437375835</v>
      </c>
      <c r="V891" t="s">
        <v>154</v>
      </c>
    </row>
    <row r="892" spans="9:22" x14ac:dyDescent="0.45">
      <c r="I892" t="s">
        <v>187</v>
      </c>
      <c r="J892" t="s">
        <v>155</v>
      </c>
      <c r="K892">
        <v>6.7011411559956366E-2</v>
      </c>
      <c r="L892" t="s">
        <v>154</v>
      </c>
      <c r="N892" t="s">
        <v>216</v>
      </c>
      <c r="O892" t="s">
        <v>155</v>
      </c>
      <c r="P892">
        <v>5.5099030975627405E-2</v>
      </c>
      <c r="Q892" t="s">
        <v>154</v>
      </c>
      <c r="S892" t="s">
        <v>240</v>
      </c>
      <c r="T892" t="s">
        <v>155</v>
      </c>
      <c r="U892">
        <v>4.8164919423278031E-2</v>
      </c>
      <c r="V892" t="s">
        <v>154</v>
      </c>
    </row>
    <row r="893" spans="9:22" x14ac:dyDescent="0.45">
      <c r="I893" t="s">
        <v>187</v>
      </c>
      <c r="J893" t="s">
        <v>156</v>
      </c>
      <c r="K893">
        <v>5.9903784158799843E-2</v>
      </c>
      <c r="L893" t="s">
        <v>154</v>
      </c>
      <c r="N893" t="s">
        <v>216</v>
      </c>
      <c r="O893" t="s">
        <v>156</v>
      </c>
      <c r="P893">
        <v>3.1907032307319234E-2</v>
      </c>
      <c r="Q893" t="s">
        <v>154</v>
      </c>
      <c r="S893" t="s">
        <v>240</v>
      </c>
      <c r="T893" t="s">
        <v>156</v>
      </c>
      <c r="U893">
        <v>2.5133385297813674E-2</v>
      </c>
      <c r="V893" t="s">
        <v>154</v>
      </c>
    </row>
    <row r="894" spans="9:22" x14ac:dyDescent="0.45">
      <c r="I894" t="s">
        <v>187</v>
      </c>
      <c r="J894" t="s">
        <v>255</v>
      </c>
      <c r="K894">
        <v>0.43131382094917803</v>
      </c>
      <c r="L894" t="s">
        <v>154</v>
      </c>
      <c r="N894" t="s">
        <v>216</v>
      </c>
      <c r="O894" t="s">
        <v>255</v>
      </c>
      <c r="P894">
        <v>0.18761770977185283</v>
      </c>
      <c r="Q894" t="s">
        <v>154</v>
      </c>
      <c r="S894" t="s">
        <v>240</v>
      </c>
      <c r="T894" t="s">
        <v>255</v>
      </c>
      <c r="U894">
        <v>0.14270509336254919</v>
      </c>
      <c r="V894" t="s">
        <v>154</v>
      </c>
    </row>
    <row r="895" spans="9:22" x14ac:dyDescent="0.45">
      <c r="I895" t="s">
        <v>187</v>
      </c>
      <c r="J895" t="s">
        <v>256</v>
      </c>
      <c r="K895">
        <v>5.3474677781210553E-2</v>
      </c>
      <c r="L895" t="s">
        <v>154</v>
      </c>
      <c r="N895" t="s">
        <v>216</v>
      </c>
      <c r="O895" t="s">
        <v>256</v>
      </c>
      <c r="P895">
        <v>2.7661666442254252E-2</v>
      </c>
      <c r="Q895" t="s">
        <v>154</v>
      </c>
      <c r="S895" t="s">
        <v>240</v>
      </c>
      <c r="T895" t="s">
        <v>256</v>
      </c>
      <c r="U895">
        <v>2.2882312721442422E-2</v>
      </c>
      <c r="V895" t="s">
        <v>154</v>
      </c>
    </row>
    <row r="896" spans="9:22" x14ac:dyDescent="0.45">
      <c r="I896" t="s">
        <v>187</v>
      </c>
      <c r="J896" t="s">
        <v>257</v>
      </c>
      <c r="K896">
        <v>3.9722629201135583E-2</v>
      </c>
      <c r="L896" t="s">
        <v>154</v>
      </c>
      <c r="N896" t="s">
        <v>216</v>
      </c>
      <c r="O896" t="s">
        <v>257</v>
      </c>
      <c r="P896">
        <v>2.6207334145637896E-2</v>
      </c>
      <c r="Q896" t="s">
        <v>154</v>
      </c>
      <c r="S896" t="s">
        <v>240</v>
      </c>
      <c r="T896" t="s">
        <v>257</v>
      </c>
      <c r="U896">
        <v>2.3345716334051348E-2</v>
      </c>
      <c r="V896" t="s">
        <v>154</v>
      </c>
    </row>
    <row r="897" spans="9:22" x14ac:dyDescent="0.45">
      <c r="I897" t="s">
        <v>187</v>
      </c>
      <c r="J897" t="s">
        <v>282</v>
      </c>
      <c r="K897">
        <v>2.3768260662104201E-2</v>
      </c>
      <c r="L897" t="s">
        <v>154</v>
      </c>
      <c r="N897" t="s">
        <v>216</v>
      </c>
      <c r="O897" t="s">
        <v>282</v>
      </c>
      <c r="P897">
        <v>2.5092482538072738E-2</v>
      </c>
      <c r="Q897" t="s">
        <v>154</v>
      </c>
      <c r="S897" t="s">
        <v>240</v>
      </c>
      <c r="T897" t="s">
        <v>282</v>
      </c>
      <c r="U897">
        <v>2.1568093747740845E-2</v>
      </c>
      <c r="V897" t="s">
        <v>154</v>
      </c>
    </row>
    <row r="898" spans="9:22" x14ac:dyDescent="0.45">
      <c r="I898" t="s">
        <v>187</v>
      </c>
      <c r="J898" t="s">
        <v>283</v>
      </c>
      <c r="K898">
        <v>0</v>
      </c>
      <c r="L898" t="s">
        <v>154</v>
      </c>
      <c r="N898" t="s">
        <v>216</v>
      </c>
      <c r="O898" t="s">
        <v>283</v>
      </c>
      <c r="P898">
        <v>0.13348744594377157</v>
      </c>
      <c r="Q898" t="s">
        <v>154</v>
      </c>
      <c r="S898" t="s">
        <v>240</v>
      </c>
      <c r="T898" t="s">
        <v>283</v>
      </c>
      <c r="U898">
        <v>0.1250731278828425</v>
      </c>
      <c r="V898" t="s">
        <v>154</v>
      </c>
    </row>
    <row r="899" spans="9:22" x14ac:dyDescent="0.45">
      <c r="I899" t="s">
        <v>187</v>
      </c>
      <c r="J899" t="s">
        <v>157</v>
      </c>
      <c r="K899">
        <v>0</v>
      </c>
      <c r="L899" t="s">
        <v>154</v>
      </c>
      <c r="N899" t="s">
        <v>216</v>
      </c>
      <c r="O899" t="s">
        <v>157</v>
      </c>
      <c r="P899">
        <v>5.8637106338631471E-3</v>
      </c>
      <c r="Q899" t="s">
        <v>154</v>
      </c>
      <c r="S899" t="s">
        <v>240</v>
      </c>
      <c r="T899" t="s">
        <v>157</v>
      </c>
      <c r="U899">
        <v>1.5009085394885472E-2</v>
      </c>
      <c r="V899" t="s">
        <v>154</v>
      </c>
    </row>
    <row r="900" spans="9:22" x14ac:dyDescent="0.45">
      <c r="I900" t="s">
        <v>187</v>
      </c>
      <c r="J900" t="s">
        <v>158</v>
      </c>
      <c r="K900">
        <v>5.3112602538638266E-3</v>
      </c>
      <c r="L900" t="s">
        <v>154</v>
      </c>
      <c r="N900" t="s">
        <v>216</v>
      </c>
      <c r="O900" t="s">
        <v>158</v>
      </c>
      <c r="P900">
        <v>1.7426374752095002E-3</v>
      </c>
      <c r="Q900" t="s">
        <v>154</v>
      </c>
      <c r="S900" t="s">
        <v>240</v>
      </c>
      <c r="T900" t="s">
        <v>158</v>
      </c>
      <c r="U900">
        <v>4.4029388466906537E-3</v>
      </c>
      <c r="V900" t="s">
        <v>154</v>
      </c>
    </row>
    <row r="901" spans="9:22" x14ac:dyDescent="0.45">
      <c r="I901" t="s">
        <v>187</v>
      </c>
      <c r="J901" t="s">
        <v>159</v>
      </c>
      <c r="K901">
        <v>5.1890552108443018E-3</v>
      </c>
      <c r="L901" t="s">
        <v>154</v>
      </c>
      <c r="N901" t="s">
        <v>216</v>
      </c>
      <c r="O901" t="s">
        <v>159</v>
      </c>
      <c r="P901">
        <v>8.1626835096242588E-4</v>
      </c>
      <c r="Q901" t="s">
        <v>154</v>
      </c>
      <c r="S901" t="s">
        <v>240</v>
      </c>
      <c r="T901" t="s">
        <v>159</v>
      </c>
      <c r="U901">
        <v>2.1453029027195892E-3</v>
      </c>
      <c r="V901" t="s">
        <v>154</v>
      </c>
    </row>
    <row r="902" spans="9:22" x14ac:dyDescent="0.45">
      <c r="I902" t="s">
        <v>187</v>
      </c>
      <c r="J902" t="s">
        <v>258</v>
      </c>
      <c r="K902">
        <v>3.7244835330387721E-2</v>
      </c>
      <c r="L902" t="s">
        <v>154</v>
      </c>
      <c r="N902" t="s">
        <v>216</v>
      </c>
      <c r="O902" t="s">
        <v>258</v>
      </c>
      <c r="P902">
        <v>5.9771109526288863E-3</v>
      </c>
      <c r="Q902" t="s">
        <v>154</v>
      </c>
      <c r="S902" t="s">
        <v>240</v>
      </c>
      <c r="T902" t="s">
        <v>258</v>
      </c>
      <c r="U902">
        <v>1.4032586218388854E-2</v>
      </c>
      <c r="V902" t="s">
        <v>154</v>
      </c>
    </row>
    <row r="903" spans="9:22" x14ac:dyDescent="0.45">
      <c r="I903" t="s">
        <v>187</v>
      </c>
      <c r="J903" t="s">
        <v>259</v>
      </c>
      <c r="K903">
        <v>3.8012582554998193E-3</v>
      </c>
      <c r="L903" t="s">
        <v>154</v>
      </c>
      <c r="N903" t="s">
        <v>216</v>
      </c>
      <c r="O903" t="s">
        <v>259</v>
      </c>
      <c r="P903">
        <v>9.0327270504013044E-4</v>
      </c>
      <c r="Q903" t="s">
        <v>154</v>
      </c>
      <c r="S903" t="s">
        <v>240</v>
      </c>
      <c r="T903" t="s">
        <v>259</v>
      </c>
      <c r="U903">
        <v>2.4640726079711091E-3</v>
      </c>
      <c r="V903" t="s">
        <v>154</v>
      </c>
    </row>
    <row r="904" spans="9:22" x14ac:dyDescent="0.45">
      <c r="I904" t="s">
        <v>187</v>
      </c>
      <c r="J904" t="s">
        <v>260</v>
      </c>
      <c r="K904">
        <v>2.3089358645253504E-3</v>
      </c>
      <c r="L904" t="s">
        <v>154</v>
      </c>
      <c r="N904" t="s">
        <v>216</v>
      </c>
      <c r="O904" t="s">
        <v>260</v>
      </c>
      <c r="P904">
        <v>7.4699807097400675E-4</v>
      </c>
      <c r="Q904" t="s">
        <v>154</v>
      </c>
      <c r="S904" t="s">
        <v>240</v>
      </c>
      <c r="T904" t="s">
        <v>260</v>
      </c>
      <c r="U904">
        <v>2.4319915329997798E-3</v>
      </c>
      <c r="V904" t="s">
        <v>154</v>
      </c>
    </row>
    <row r="905" spans="9:22" x14ac:dyDescent="0.45">
      <c r="I905" t="s">
        <v>187</v>
      </c>
      <c r="J905" t="s">
        <v>284</v>
      </c>
      <c r="K905">
        <v>1.073196585068143E-3</v>
      </c>
      <c r="L905" t="s">
        <v>154</v>
      </c>
      <c r="N905" t="s">
        <v>216</v>
      </c>
      <c r="O905" t="s">
        <v>284</v>
      </c>
      <c r="P905">
        <v>6.8158376623561243E-4</v>
      </c>
      <c r="Q905" t="s">
        <v>154</v>
      </c>
      <c r="S905" t="s">
        <v>240</v>
      </c>
      <c r="T905" t="s">
        <v>284</v>
      </c>
      <c r="U905">
        <v>2.6032485835229421E-3</v>
      </c>
      <c r="V905" t="s">
        <v>154</v>
      </c>
    </row>
    <row r="906" spans="9:22" x14ac:dyDescent="0.45">
      <c r="I906" t="s">
        <v>187</v>
      </c>
      <c r="J906" t="s">
        <v>285</v>
      </c>
      <c r="K906">
        <v>0</v>
      </c>
      <c r="L906" t="s">
        <v>154</v>
      </c>
      <c r="N906" t="s">
        <v>216</v>
      </c>
      <c r="O906" t="s">
        <v>285</v>
      </c>
      <c r="P906">
        <v>2.9291337703907872E-3</v>
      </c>
      <c r="Q906" t="s">
        <v>154</v>
      </c>
      <c r="S906" t="s">
        <v>240</v>
      </c>
      <c r="T906" t="s">
        <v>285</v>
      </c>
      <c r="U906">
        <v>1.1819288627728354E-2</v>
      </c>
      <c r="V906" t="s">
        <v>154</v>
      </c>
    </row>
    <row r="907" spans="9:22" x14ac:dyDescent="0.45">
      <c r="I907" t="s">
        <v>187</v>
      </c>
      <c r="J907" t="s">
        <v>160</v>
      </c>
      <c r="K907">
        <v>0</v>
      </c>
      <c r="L907" t="s">
        <v>154</v>
      </c>
      <c r="N907" t="s">
        <v>216</v>
      </c>
      <c r="O907" t="s">
        <v>160</v>
      </c>
      <c r="P907">
        <v>2.9719201655406553E-2</v>
      </c>
      <c r="Q907" t="s">
        <v>154</v>
      </c>
      <c r="S907" t="s">
        <v>240</v>
      </c>
      <c r="T907" t="s">
        <v>160</v>
      </c>
      <c r="U907">
        <v>4.0240598473736205E-2</v>
      </c>
      <c r="V907" t="s">
        <v>154</v>
      </c>
    </row>
    <row r="908" spans="9:22" x14ac:dyDescent="0.45">
      <c r="I908" t="s">
        <v>187</v>
      </c>
      <c r="J908" t="s">
        <v>161</v>
      </c>
      <c r="K908">
        <v>6.2825959330888954E-3</v>
      </c>
      <c r="L908" t="s">
        <v>154</v>
      </c>
      <c r="N908" t="s">
        <v>216</v>
      </c>
      <c r="O908" t="s">
        <v>161</v>
      </c>
      <c r="P908">
        <v>9.6646807796734683E-3</v>
      </c>
      <c r="Q908" t="s">
        <v>154</v>
      </c>
      <c r="S908" t="s">
        <v>240</v>
      </c>
      <c r="T908" t="s">
        <v>161</v>
      </c>
      <c r="U908">
        <v>1.0859677799906702E-2</v>
      </c>
      <c r="V908" t="s">
        <v>154</v>
      </c>
    </row>
    <row r="909" spans="9:22" x14ac:dyDescent="0.45">
      <c r="I909" t="s">
        <v>187</v>
      </c>
      <c r="J909" t="s">
        <v>162</v>
      </c>
      <c r="K909">
        <v>6.0214781886861295E-3</v>
      </c>
      <c r="L909" t="s">
        <v>154</v>
      </c>
      <c r="N909" t="s">
        <v>216</v>
      </c>
      <c r="O909" t="s">
        <v>162</v>
      </c>
      <c r="P909">
        <v>5.871222096370126E-3</v>
      </c>
      <c r="Q909" t="s">
        <v>154</v>
      </c>
      <c r="S909" t="s">
        <v>240</v>
      </c>
      <c r="T909" t="s">
        <v>162</v>
      </c>
      <c r="U909">
        <v>5.3414214316663622E-3</v>
      </c>
      <c r="V909" t="s">
        <v>154</v>
      </c>
    </row>
    <row r="910" spans="9:22" x14ac:dyDescent="0.45">
      <c r="I910" t="s">
        <v>187</v>
      </c>
      <c r="J910" t="s">
        <v>261</v>
      </c>
      <c r="K910">
        <v>4.2280224433560956E-2</v>
      </c>
      <c r="L910" t="s">
        <v>154</v>
      </c>
      <c r="N910" t="s">
        <v>216</v>
      </c>
      <c r="O910" t="s">
        <v>261</v>
      </c>
      <c r="P910">
        <v>4.4046513614063573E-2</v>
      </c>
      <c r="Q910" t="s">
        <v>154</v>
      </c>
      <c r="S910" t="s">
        <v>240</v>
      </c>
      <c r="T910" t="s">
        <v>261</v>
      </c>
      <c r="U910">
        <v>3.434162439575475E-2</v>
      </c>
      <c r="V910" t="s">
        <v>154</v>
      </c>
    </row>
    <row r="911" spans="9:22" x14ac:dyDescent="0.45">
      <c r="I911" t="s">
        <v>187</v>
      </c>
      <c r="J911" t="s">
        <v>262</v>
      </c>
      <c r="K911">
        <v>4.4038969765411908E-3</v>
      </c>
      <c r="L911" t="s">
        <v>154</v>
      </c>
      <c r="N911" t="s">
        <v>216</v>
      </c>
      <c r="O911" t="s">
        <v>262</v>
      </c>
      <c r="P911">
        <v>6.0102111107541286E-3</v>
      </c>
      <c r="Q911" t="s">
        <v>154</v>
      </c>
      <c r="S911" t="s">
        <v>240</v>
      </c>
      <c r="T911" t="s">
        <v>262</v>
      </c>
      <c r="U911">
        <v>6.2056912166749724E-3</v>
      </c>
      <c r="V911" t="s">
        <v>154</v>
      </c>
    </row>
    <row r="912" spans="9:22" x14ac:dyDescent="0.45">
      <c r="I912" t="s">
        <v>187</v>
      </c>
      <c r="J912" t="s">
        <v>263</v>
      </c>
      <c r="K912">
        <v>2.5850841125256317E-3</v>
      </c>
      <c r="L912" t="s">
        <v>154</v>
      </c>
      <c r="N912" t="s">
        <v>216</v>
      </c>
      <c r="O912" t="s">
        <v>263</v>
      </c>
      <c r="P912">
        <v>5.4989392223531667E-3</v>
      </c>
      <c r="Q912" t="s">
        <v>154</v>
      </c>
      <c r="S912" t="s">
        <v>240</v>
      </c>
      <c r="T912" t="s">
        <v>263</v>
      </c>
      <c r="U912">
        <v>6.3119156310546985E-3</v>
      </c>
      <c r="V912" t="s">
        <v>154</v>
      </c>
    </row>
    <row r="913" spans="9:22" x14ac:dyDescent="0.45">
      <c r="I913" t="s">
        <v>187</v>
      </c>
      <c r="J913" t="s">
        <v>286</v>
      </c>
      <c r="K913">
        <v>1.3296309640573436E-3</v>
      </c>
      <c r="L913" t="s">
        <v>154</v>
      </c>
      <c r="N913" t="s">
        <v>216</v>
      </c>
      <c r="O913" t="s">
        <v>286</v>
      </c>
      <c r="P913">
        <v>4.8892174569548745E-3</v>
      </c>
      <c r="Q913" t="s">
        <v>154</v>
      </c>
      <c r="S913" t="s">
        <v>240</v>
      </c>
      <c r="T913" t="s">
        <v>286</v>
      </c>
      <c r="U913">
        <v>6.1375220385671281E-3</v>
      </c>
      <c r="V913" t="s">
        <v>154</v>
      </c>
    </row>
    <row r="914" spans="9:22" x14ac:dyDescent="0.45">
      <c r="I914" t="s">
        <v>187</v>
      </c>
      <c r="J914" t="s">
        <v>287</v>
      </c>
      <c r="K914">
        <v>0</v>
      </c>
      <c r="L914" t="s">
        <v>154</v>
      </c>
      <c r="N914" t="s">
        <v>216</v>
      </c>
      <c r="O914" t="s">
        <v>287</v>
      </c>
      <c r="P914">
        <v>2.3614471678277533E-2</v>
      </c>
      <c r="Q914" t="s">
        <v>154</v>
      </c>
      <c r="S914" t="s">
        <v>240</v>
      </c>
      <c r="T914" t="s">
        <v>287</v>
      </c>
      <c r="U914">
        <v>3.0262690134371089E-2</v>
      </c>
      <c r="V914" t="s">
        <v>154</v>
      </c>
    </row>
    <row r="915" spans="9:22" x14ac:dyDescent="0.45">
      <c r="I915" t="s">
        <v>187</v>
      </c>
      <c r="J915" t="s">
        <v>163</v>
      </c>
      <c r="K915">
        <v>0</v>
      </c>
      <c r="L915" t="s">
        <v>154</v>
      </c>
      <c r="N915" t="s">
        <v>216</v>
      </c>
      <c r="O915" t="s">
        <v>163</v>
      </c>
      <c r="P915">
        <v>1.519741057647664E-2</v>
      </c>
      <c r="Q915" t="s">
        <v>154</v>
      </c>
      <c r="S915" t="s">
        <v>240</v>
      </c>
      <c r="T915" t="s">
        <v>163</v>
      </c>
      <c r="U915">
        <v>2.0135205231675252E-2</v>
      </c>
      <c r="V915" t="s">
        <v>154</v>
      </c>
    </row>
    <row r="916" spans="9:22" x14ac:dyDescent="0.45">
      <c r="I916" t="s">
        <v>187</v>
      </c>
      <c r="J916" t="s">
        <v>164</v>
      </c>
      <c r="K916">
        <v>9.1121438513353126E-3</v>
      </c>
      <c r="L916" t="s">
        <v>154</v>
      </c>
      <c r="N916" t="s">
        <v>216</v>
      </c>
      <c r="O916" t="s">
        <v>164</v>
      </c>
      <c r="P916">
        <v>4.7791411101115672E-3</v>
      </c>
      <c r="Q916" t="s">
        <v>154</v>
      </c>
      <c r="S916" t="s">
        <v>240</v>
      </c>
      <c r="T916" t="s">
        <v>164</v>
      </c>
      <c r="U916">
        <v>5.5818797143334332E-3</v>
      </c>
      <c r="V916" t="s">
        <v>154</v>
      </c>
    </row>
    <row r="917" spans="9:22" x14ac:dyDescent="0.45">
      <c r="I917" t="s">
        <v>187</v>
      </c>
      <c r="J917" t="s">
        <v>165</v>
      </c>
      <c r="K917">
        <v>7.0597716970469161E-3</v>
      </c>
      <c r="L917" t="s">
        <v>154</v>
      </c>
      <c r="N917" t="s">
        <v>216</v>
      </c>
      <c r="O917" t="s">
        <v>165</v>
      </c>
      <c r="P917">
        <v>2.6426983697663484E-3</v>
      </c>
      <c r="Q917" t="s">
        <v>154</v>
      </c>
      <c r="S917" t="s">
        <v>240</v>
      </c>
      <c r="T917" t="s">
        <v>165</v>
      </c>
      <c r="U917">
        <v>2.994857014803602E-3</v>
      </c>
      <c r="V917" t="s">
        <v>154</v>
      </c>
    </row>
    <row r="918" spans="9:22" x14ac:dyDescent="0.45">
      <c r="I918" t="s">
        <v>187</v>
      </c>
      <c r="J918" t="s">
        <v>264</v>
      </c>
      <c r="K918">
        <v>4.2882779014560862E-2</v>
      </c>
      <c r="L918" t="s">
        <v>154</v>
      </c>
      <c r="N918" t="s">
        <v>216</v>
      </c>
      <c r="O918" t="s">
        <v>264</v>
      </c>
      <c r="P918">
        <v>1.7929560713499607E-2</v>
      </c>
      <c r="Q918" t="s">
        <v>154</v>
      </c>
      <c r="S918" t="s">
        <v>240</v>
      </c>
      <c r="T918" t="s">
        <v>264</v>
      </c>
      <c r="U918">
        <v>1.6171603435656719E-2</v>
      </c>
      <c r="V918" t="s">
        <v>154</v>
      </c>
    </row>
    <row r="919" spans="9:22" x14ac:dyDescent="0.45">
      <c r="I919" t="s">
        <v>187</v>
      </c>
      <c r="J919" t="s">
        <v>265</v>
      </c>
      <c r="K919">
        <v>5.0200648060181249E-3</v>
      </c>
      <c r="L919" t="s">
        <v>154</v>
      </c>
      <c r="N919" t="s">
        <v>216</v>
      </c>
      <c r="O919" t="s">
        <v>265</v>
      </c>
      <c r="P919">
        <v>3.489264016857424E-3</v>
      </c>
      <c r="Q919" t="s">
        <v>154</v>
      </c>
      <c r="S919" t="s">
        <v>240</v>
      </c>
      <c r="T919" t="s">
        <v>265</v>
      </c>
      <c r="U919">
        <v>2.553453118828325E-3</v>
      </c>
      <c r="V919" t="s">
        <v>154</v>
      </c>
    </row>
    <row r="920" spans="9:22" x14ac:dyDescent="0.45">
      <c r="I920" t="s">
        <v>187</v>
      </c>
      <c r="J920" t="s">
        <v>266</v>
      </c>
      <c r="K920">
        <v>3.2416171846646898E-3</v>
      </c>
      <c r="L920" t="s">
        <v>154</v>
      </c>
      <c r="N920" t="s">
        <v>216</v>
      </c>
      <c r="O920" t="s">
        <v>266</v>
      </c>
      <c r="P920">
        <v>3.508082804358529E-3</v>
      </c>
      <c r="Q920" t="s">
        <v>154</v>
      </c>
      <c r="S920" t="s">
        <v>240</v>
      </c>
      <c r="T920" t="s">
        <v>266</v>
      </c>
      <c r="U920">
        <v>2.7291998632514277E-3</v>
      </c>
      <c r="V920" t="s">
        <v>154</v>
      </c>
    </row>
    <row r="921" spans="9:22" x14ac:dyDescent="0.45">
      <c r="I921" t="s">
        <v>187</v>
      </c>
      <c r="J921" t="s">
        <v>288</v>
      </c>
      <c r="K921">
        <v>4.2947982764273973E-5</v>
      </c>
      <c r="L921" t="s">
        <v>154</v>
      </c>
      <c r="N921" t="s">
        <v>216</v>
      </c>
      <c r="O921" t="s">
        <v>288</v>
      </c>
      <c r="P921">
        <v>3.4887358170548779E-3</v>
      </c>
      <c r="Q921" t="s">
        <v>154</v>
      </c>
      <c r="S921" t="s">
        <v>240</v>
      </c>
      <c r="T921" t="s">
        <v>288</v>
      </c>
      <c r="U921">
        <v>2.9006208023476454E-3</v>
      </c>
      <c r="V921" t="s">
        <v>154</v>
      </c>
    </row>
    <row r="922" spans="9:22" x14ac:dyDescent="0.45">
      <c r="I922" t="s">
        <v>187</v>
      </c>
      <c r="J922" t="s">
        <v>289</v>
      </c>
      <c r="K922">
        <v>0</v>
      </c>
      <c r="L922" t="s">
        <v>154</v>
      </c>
      <c r="N922" t="s">
        <v>216</v>
      </c>
      <c r="O922" t="s">
        <v>289</v>
      </c>
      <c r="P922">
        <v>1.5899282371001584E-2</v>
      </c>
      <c r="Q922" t="s">
        <v>154</v>
      </c>
      <c r="S922" t="s">
        <v>240</v>
      </c>
      <c r="T922" t="s">
        <v>289</v>
      </c>
      <c r="U922">
        <v>1.6729365559147301E-2</v>
      </c>
      <c r="V922" t="s">
        <v>154</v>
      </c>
    </row>
    <row r="923" spans="9:22" x14ac:dyDescent="0.45">
      <c r="I923" t="s">
        <v>187</v>
      </c>
      <c r="J923" t="s">
        <v>272</v>
      </c>
      <c r="K923">
        <v>0</v>
      </c>
      <c r="L923" t="s">
        <v>154</v>
      </c>
      <c r="N923" t="s">
        <v>216</v>
      </c>
      <c r="O923" t="s">
        <v>272</v>
      </c>
      <c r="P923">
        <v>3.2086734936283966E-2</v>
      </c>
      <c r="Q923" t="s">
        <v>154</v>
      </c>
      <c r="S923" t="s">
        <v>240</v>
      </c>
      <c r="T923" t="s">
        <v>272</v>
      </c>
      <c r="U923">
        <v>4.8860460260251988E-2</v>
      </c>
      <c r="V923" t="s">
        <v>154</v>
      </c>
    </row>
    <row r="924" spans="9:22" x14ac:dyDescent="0.45">
      <c r="I924" t="s">
        <v>187</v>
      </c>
      <c r="J924" t="s">
        <v>273</v>
      </c>
      <c r="K924">
        <v>1.5526451774879303E-2</v>
      </c>
      <c r="L924" t="s">
        <v>154</v>
      </c>
      <c r="N924" t="s">
        <v>216</v>
      </c>
      <c r="O924" t="s">
        <v>273</v>
      </c>
      <c r="P924">
        <v>9.9947905595404452E-3</v>
      </c>
      <c r="Q924" t="s">
        <v>154</v>
      </c>
      <c r="S924" t="s">
        <v>240</v>
      </c>
      <c r="T924" t="s">
        <v>273</v>
      </c>
      <c r="U924">
        <v>1.3257187672966592E-2</v>
      </c>
      <c r="V924" t="s">
        <v>154</v>
      </c>
    </row>
    <row r="925" spans="9:22" x14ac:dyDescent="0.45">
      <c r="I925" t="s">
        <v>187</v>
      </c>
      <c r="J925" t="s">
        <v>274</v>
      </c>
      <c r="K925">
        <v>1.3474567433612744E-2</v>
      </c>
      <c r="L925" t="s">
        <v>154</v>
      </c>
      <c r="N925" t="s">
        <v>216</v>
      </c>
      <c r="O925" t="s">
        <v>274</v>
      </c>
      <c r="P925">
        <v>6.2846661917396254E-3</v>
      </c>
      <c r="Q925" t="s">
        <v>154</v>
      </c>
      <c r="S925" t="s">
        <v>240</v>
      </c>
      <c r="T925" t="s">
        <v>274</v>
      </c>
      <c r="U925">
        <v>6.8450656506967656E-3</v>
      </c>
      <c r="V925" t="s">
        <v>154</v>
      </c>
    </row>
    <row r="926" spans="9:22" x14ac:dyDescent="0.45">
      <c r="I926" t="s">
        <v>187</v>
      </c>
      <c r="J926" t="s">
        <v>275</v>
      </c>
      <c r="K926">
        <v>9.0911876867088209E-2</v>
      </c>
      <c r="L926" t="s">
        <v>154</v>
      </c>
      <c r="N926" t="s">
        <v>216</v>
      </c>
      <c r="O926" t="s">
        <v>275</v>
      </c>
      <c r="P926">
        <v>3.2978161960266553E-2</v>
      </c>
      <c r="Q926" t="s">
        <v>154</v>
      </c>
      <c r="S926" t="s">
        <v>240</v>
      </c>
      <c r="T926" t="s">
        <v>275</v>
      </c>
      <c r="U926">
        <v>3.5336770014561925E-2</v>
      </c>
      <c r="V926" t="s">
        <v>154</v>
      </c>
    </row>
    <row r="927" spans="9:22" x14ac:dyDescent="0.45">
      <c r="I927" t="s">
        <v>187</v>
      </c>
      <c r="J927" t="s">
        <v>276</v>
      </c>
      <c r="K927">
        <v>1.1616583722767854E-2</v>
      </c>
      <c r="L927" t="s">
        <v>154</v>
      </c>
      <c r="N927" t="s">
        <v>216</v>
      </c>
      <c r="O927" t="s">
        <v>276</v>
      </c>
      <c r="P927">
        <v>5.0114733196242045E-3</v>
      </c>
      <c r="Q927" t="s">
        <v>154</v>
      </c>
      <c r="S927" t="s">
        <v>240</v>
      </c>
      <c r="T927" t="s">
        <v>276</v>
      </c>
      <c r="U927">
        <v>5.6548831255960365E-3</v>
      </c>
      <c r="V927" t="s">
        <v>154</v>
      </c>
    </row>
    <row r="928" spans="9:22" x14ac:dyDescent="0.45">
      <c r="I928" t="s">
        <v>187</v>
      </c>
      <c r="J928" t="s">
        <v>277</v>
      </c>
      <c r="K928">
        <v>7.7476465397256621E-3</v>
      </c>
      <c r="L928" t="s">
        <v>154</v>
      </c>
      <c r="N928" t="s">
        <v>216</v>
      </c>
      <c r="O928" t="s">
        <v>277</v>
      </c>
      <c r="P928">
        <v>4.9053554469331608E-3</v>
      </c>
      <c r="Q928" t="s">
        <v>154</v>
      </c>
      <c r="S928" t="s">
        <v>240</v>
      </c>
      <c r="T928" t="s">
        <v>277</v>
      </c>
      <c r="U928">
        <v>5.9904903592060202E-3</v>
      </c>
      <c r="V928" t="s">
        <v>154</v>
      </c>
    </row>
    <row r="929" spans="9:22" x14ac:dyDescent="0.45">
      <c r="I929" t="s">
        <v>187</v>
      </c>
      <c r="J929" t="s">
        <v>290</v>
      </c>
      <c r="K929">
        <v>3.3751270450424833E-4</v>
      </c>
      <c r="L929" t="s">
        <v>154</v>
      </c>
      <c r="N929" t="s">
        <v>216</v>
      </c>
      <c r="O929" t="s">
        <v>290</v>
      </c>
      <c r="P929">
        <v>4.3918407079320092E-3</v>
      </c>
      <c r="Q929" t="s">
        <v>154</v>
      </c>
      <c r="S929" t="s">
        <v>240</v>
      </c>
      <c r="T929" t="s">
        <v>290</v>
      </c>
      <c r="U929">
        <v>5.1479624170711257E-3</v>
      </c>
      <c r="V929" t="s">
        <v>154</v>
      </c>
    </row>
    <row r="930" spans="9:22" x14ac:dyDescent="0.45">
      <c r="I930" t="s">
        <v>187</v>
      </c>
      <c r="J930" t="s">
        <v>291</v>
      </c>
      <c r="K930">
        <v>0</v>
      </c>
      <c r="L930" t="s">
        <v>154</v>
      </c>
      <c r="N930" t="s">
        <v>216</v>
      </c>
      <c r="O930" t="s">
        <v>291</v>
      </c>
      <c r="P930">
        <v>2.5221120201544857E-2</v>
      </c>
      <c r="Q930" t="s">
        <v>154</v>
      </c>
      <c r="S930" t="s">
        <v>240</v>
      </c>
      <c r="T930" t="s">
        <v>291</v>
      </c>
      <c r="U930">
        <v>3.1474876779493927E-2</v>
      </c>
      <c r="V930" t="s">
        <v>154</v>
      </c>
    </row>
    <row r="931" spans="9:22" x14ac:dyDescent="0.45">
      <c r="I931" t="s">
        <v>188</v>
      </c>
      <c r="J931" t="s">
        <v>153</v>
      </c>
      <c r="K931">
        <v>3.7930655512245915E-5</v>
      </c>
      <c r="L931" t="s">
        <v>154</v>
      </c>
      <c r="N931" t="s">
        <v>217</v>
      </c>
      <c r="O931" t="s">
        <v>153</v>
      </c>
      <c r="P931">
        <v>0.16994360814654041</v>
      </c>
      <c r="Q931" t="s">
        <v>154</v>
      </c>
    </row>
    <row r="932" spans="9:22" x14ac:dyDescent="0.45">
      <c r="I932" t="s">
        <v>188</v>
      </c>
      <c r="J932" t="s">
        <v>155</v>
      </c>
      <c r="K932">
        <v>7.1314040601393347E-2</v>
      </c>
      <c r="L932" t="s">
        <v>154</v>
      </c>
      <c r="N932" t="s">
        <v>217</v>
      </c>
      <c r="O932" t="s">
        <v>155</v>
      </c>
      <c r="P932">
        <v>4.8246347138300734E-2</v>
      </c>
      <c r="Q932" t="s">
        <v>154</v>
      </c>
    </row>
    <row r="933" spans="9:22" x14ac:dyDescent="0.45">
      <c r="I933" t="s">
        <v>188</v>
      </c>
      <c r="J933" t="s">
        <v>156</v>
      </c>
      <c r="K933">
        <v>6.2941136044226326E-2</v>
      </c>
      <c r="L933" t="s">
        <v>154</v>
      </c>
      <c r="N933" t="s">
        <v>217</v>
      </c>
      <c r="O933" t="s">
        <v>156</v>
      </c>
      <c r="P933">
        <v>2.9886151397672766E-2</v>
      </c>
      <c r="Q933" t="s">
        <v>154</v>
      </c>
    </row>
    <row r="934" spans="9:22" x14ac:dyDescent="0.45">
      <c r="I934" t="s">
        <v>188</v>
      </c>
      <c r="J934" t="s">
        <v>255</v>
      </c>
      <c r="K934">
        <v>0.43353338364481248</v>
      </c>
      <c r="L934" t="s">
        <v>154</v>
      </c>
      <c r="N934" t="s">
        <v>217</v>
      </c>
      <c r="O934" t="s">
        <v>255</v>
      </c>
      <c r="P934">
        <v>0.18899687446327862</v>
      </c>
      <c r="Q934" t="s">
        <v>154</v>
      </c>
    </row>
    <row r="935" spans="9:22" x14ac:dyDescent="0.45">
      <c r="I935" t="s">
        <v>188</v>
      </c>
      <c r="J935" t="s">
        <v>256</v>
      </c>
      <c r="K935">
        <v>5.139448836784969E-2</v>
      </c>
      <c r="L935" t="s">
        <v>154</v>
      </c>
      <c r="N935" t="s">
        <v>217</v>
      </c>
      <c r="O935" t="s">
        <v>256</v>
      </c>
      <c r="P935">
        <v>2.8056870638631531E-2</v>
      </c>
      <c r="Q935" t="s">
        <v>154</v>
      </c>
    </row>
    <row r="936" spans="9:22" x14ac:dyDescent="0.45">
      <c r="I936" t="s">
        <v>188</v>
      </c>
      <c r="J936" t="s">
        <v>257</v>
      </c>
      <c r="K936">
        <v>3.7554551418658891E-2</v>
      </c>
      <c r="L936" t="s">
        <v>154</v>
      </c>
      <c r="N936" t="s">
        <v>217</v>
      </c>
      <c r="O936" t="s">
        <v>257</v>
      </c>
      <c r="P936">
        <v>2.608747765815523E-2</v>
      </c>
      <c r="Q936" t="s">
        <v>154</v>
      </c>
    </row>
    <row r="937" spans="9:22" x14ac:dyDescent="0.45">
      <c r="I937" t="s">
        <v>188</v>
      </c>
      <c r="J937" t="s">
        <v>282</v>
      </c>
      <c r="K937">
        <v>2.2168194170235429E-2</v>
      </c>
      <c r="L937" t="s">
        <v>154</v>
      </c>
      <c r="N937" t="s">
        <v>217</v>
      </c>
      <c r="O937" t="s">
        <v>282</v>
      </c>
      <c r="P937">
        <v>2.4405720497822643E-2</v>
      </c>
      <c r="Q937" t="s">
        <v>154</v>
      </c>
    </row>
    <row r="938" spans="9:22" x14ac:dyDescent="0.45">
      <c r="I938" t="s">
        <v>188</v>
      </c>
      <c r="J938" t="s">
        <v>283</v>
      </c>
      <c r="K938">
        <v>0</v>
      </c>
      <c r="L938" t="s">
        <v>154</v>
      </c>
      <c r="N938" t="s">
        <v>217</v>
      </c>
      <c r="O938" t="s">
        <v>283</v>
      </c>
      <c r="P938">
        <v>0.12453984136431419</v>
      </c>
      <c r="Q938" t="s">
        <v>154</v>
      </c>
    </row>
    <row r="939" spans="9:22" x14ac:dyDescent="0.45">
      <c r="I939" t="s">
        <v>188</v>
      </c>
      <c r="J939" t="s">
        <v>157</v>
      </c>
      <c r="K939">
        <v>0</v>
      </c>
      <c r="L939" t="s">
        <v>154</v>
      </c>
      <c r="N939" t="s">
        <v>217</v>
      </c>
      <c r="O939" t="s">
        <v>157</v>
      </c>
      <c r="P939">
        <v>7.0653097040803024E-3</v>
      </c>
      <c r="Q939" t="s">
        <v>154</v>
      </c>
    </row>
    <row r="940" spans="9:22" x14ac:dyDescent="0.45">
      <c r="I940" t="s">
        <v>188</v>
      </c>
      <c r="J940" t="s">
        <v>158</v>
      </c>
      <c r="K940">
        <v>5.7628480807617472E-3</v>
      </c>
      <c r="L940" t="s">
        <v>154</v>
      </c>
      <c r="N940" t="s">
        <v>217</v>
      </c>
      <c r="O940" t="s">
        <v>158</v>
      </c>
      <c r="P940">
        <v>1.721067855835383E-3</v>
      </c>
      <c r="Q940" t="s">
        <v>154</v>
      </c>
    </row>
    <row r="941" spans="9:22" x14ac:dyDescent="0.45">
      <c r="I941" t="s">
        <v>188</v>
      </c>
      <c r="J941" t="s">
        <v>159</v>
      </c>
      <c r="K941">
        <v>5.3481970567816348E-3</v>
      </c>
      <c r="L941" t="s">
        <v>154</v>
      </c>
      <c r="N941" t="s">
        <v>217</v>
      </c>
      <c r="O941" t="s">
        <v>159</v>
      </c>
      <c r="P941">
        <v>1.0510960847610606E-3</v>
      </c>
      <c r="Q941" t="s">
        <v>154</v>
      </c>
    </row>
    <row r="942" spans="9:22" x14ac:dyDescent="0.45">
      <c r="I942" t="s">
        <v>188</v>
      </c>
      <c r="J942" t="s">
        <v>258</v>
      </c>
      <c r="K942">
        <v>3.8165951574922183E-2</v>
      </c>
      <c r="L942" t="s">
        <v>154</v>
      </c>
      <c r="N942" t="s">
        <v>217</v>
      </c>
      <c r="O942" t="s">
        <v>258</v>
      </c>
      <c r="P942">
        <v>8.4585823399582795E-3</v>
      </c>
      <c r="Q942" t="s">
        <v>154</v>
      </c>
    </row>
    <row r="943" spans="9:22" x14ac:dyDescent="0.45">
      <c r="I943" t="s">
        <v>188</v>
      </c>
      <c r="J943" t="s">
        <v>259</v>
      </c>
      <c r="K943">
        <v>3.6562430009030914E-3</v>
      </c>
      <c r="L943" t="s">
        <v>154</v>
      </c>
      <c r="N943" t="s">
        <v>217</v>
      </c>
      <c r="O943" t="s">
        <v>259</v>
      </c>
      <c r="P943">
        <v>1.4818401814765999E-3</v>
      </c>
      <c r="Q943" t="s">
        <v>154</v>
      </c>
    </row>
    <row r="944" spans="9:22" x14ac:dyDescent="0.45">
      <c r="I944" t="s">
        <v>188</v>
      </c>
      <c r="J944" t="s">
        <v>260</v>
      </c>
      <c r="K944">
        <v>2.1687253301337457E-3</v>
      </c>
      <c r="L944" t="s">
        <v>154</v>
      </c>
      <c r="N944" t="s">
        <v>217</v>
      </c>
      <c r="O944" t="s">
        <v>260</v>
      </c>
      <c r="P944">
        <v>1.1882499239954214E-3</v>
      </c>
      <c r="Q944" t="s">
        <v>154</v>
      </c>
    </row>
    <row r="945" spans="9:17" x14ac:dyDescent="0.45">
      <c r="I945" t="s">
        <v>188</v>
      </c>
      <c r="J945" t="s">
        <v>284</v>
      </c>
      <c r="K945">
        <v>1.0785332823766763E-3</v>
      </c>
      <c r="L945" t="s">
        <v>154</v>
      </c>
      <c r="N945" t="s">
        <v>217</v>
      </c>
      <c r="O945" t="s">
        <v>284</v>
      </c>
      <c r="P945">
        <v>1.0644795758075662E-3</v>
      </c>
      <c r="Q945" t="s">
        <v>154</v>
      </c>
    </row>
    <row r="946" spans="9:17" x14ac:dyDescent="0.45">
      <c r="I946" t="s">
        <v>188</v>
      </c>
      <c r="J946" t="s">
        <v>285</v>
      </c>
      <c r="K946">
        <v>0</v>
      </c>
      <c r="L946" t="s">
        <v>154</v>
      </c>
      <c r="N946" t="s">
        <v>217</v>
      </c>
      <c r="O946" t="s">
        <v>285</v>
      </c>
      <c r="P946">
        <v>4.2974300213270977E-3</v>
      </c>
      <c r="Q946" t="s">
        <v>154</v>
      </c>
    </row>
    <row r="947" spans="9:17" x14ac:dyDescent="0.45">
      <c r="I947" t="s">
        <v>188</v>
      </c>
      <c r="J947" t="s">
        <v>160</v>
      </c>
      <c r="K947">
        <v>0</v>
      </c>
      <c r="L947" t="s">
        <v>154</v>
      </c>
      <c r="N947" t="s">
        <v>217</v>
      </c>
      <c r="O947" t="s">
        <v>160</v>
      </c>
      <c r="P947">
        <v>3.2219402014563393E-2</v>
      </c>
      <c r="Q947" t="s">
        <v>154</v>
      </c>
    </row>
    <row r="948" spans="9:17" x14ac:dyDescent="0.45">
      <c r="I948" t="s">
        <v>188</v>
      </c>
      <c r="J948" t="s">
        <v>161</v>
      </c>
      <c r="K948">
        <v>7.2086906636634725E-3</v>
      </c>
      <c r="L948" t="s">
        <v>154</v>
      </c>
      <c r="N948" t="s">
        <v>217</v>
      </c>
      <c r="O948" t="s">
        <v>161</v>
      </c>
      <c r="P948">
        <v>9.4009933948345694E-3</v>
      </c>
      <c r="Q948" t="s">
        <v>154</v>
      </c>
    </row>
    <row r="949" spans="9:17" x14ac:dyDescent="0.45">
      <c r="I949" t="s">
        <v>188</v>
      </c>
      <c r="J949" t="s">
        <v>162</v>
      </c>
      <c r="K949">
        <v>6.4109064851271859E-3</v>
      </c>
      <c r="L949" t="s">
        <v>154</v>
      </c>
      <c r="N949" t="s">
        <v>217</v>
      </c>
      <c r="O949" t="s">
        <v>162</v>
      </c>
      <c r="P949">
        <v>5.5084149036390348E-3</v>
      </c>
      <c r="Q949" t="s">
        <v>154</v>
      </c>
    </row>
    <row r="950" spans="9:17" x14ac:dyDescent="0.45">
      <c r="I950" t="s">
        <v>188</v>
      </c>
      <c r="J950" t="s">
        <v>261</v>
      </c>
      <c r="K950">
        <v>4.295681546872776E-2</v>
      </c>
      <c r="L950" t="s">
        <v>154</v>
      </c>
      <c r="N950" t="s">
        <v>217</v>
      </c>
      <c r="O950" t="s">
        <v>261</v>
      </c>
      <c r="P950">
        <v>4.1838355827125702E-2</v>
      </c>
      <c r="Q950" t="s">
        <v>154</v>
      </c>
    </row>
    <row r="951" spans="9:17" x14ac:dyDescent="0.45">
      <c r="I951" t="s">
        <v>188</v>
      </c>
      <c r="J951" t="s">
        <v>262</v>
      </c>
      <c r="K951">
        <v>4.4993145817863092E-3</v>
      </c>
      <c r="L951" t="s">
        <v>154</v>
      </c>
      <c r="N951" t="s">
        <v>217</v>
      </c>
      <c r="O951" t="s">
        <v>262</v>
      </c>
      <c r="P951">
        <v>6.4373105510763112E-3</v>
      </c>
      <c r="Q951" t="s">
        <v>154</v>
      </c>
    </row>
    <row r="952" spans="9:17" x14ac:dyDescent="0.45">
      <c r="I952" t="s">
        <v>188</v>
      </c>
      <c r="J952" t="s">
        <v>263</v>
      </c>
      <c r="K952">
        <v>2.6650953281759388E-3</v>
      </c>
      <c r="L952" t="s">
        <v>154</v>
      </c>
      <c r="N952" t="s">
        <v>217</v>
      </c>
      <c r="O952" t="s">
        <v>263</v>
      </c>
      <c r="P952">
        <v>5.8331573535879439E-3</v>
      </c>
      <c r="Q952" t="s">
        <v>154</v>
      </c>
    </row>
    <row r="953" spans="9:17" x14ac:dyDescent="0.45">
      <c r="I953" t="s">
        <v>188</v>
      </c>
      <c r="J953" t="s">
        <v>286</v>
      </c>
      <c r="K953">
        <v>1.4127758931077423E-3</v>
      </c>
      <c r="L953" t="s">
        <v>154</v>
      </c>
      <c r="N953" t="s">
        <v>217</v>
      </c>
      <c r="O953" t="s">
        <v>286</v>
      </c>
      <c r="P953">
        <v>5.1427458554711746E-3</v>
      </c>
      <c r="Q953" t="s">
        <v>154</v>
      </c>
    </row>
    <row r="954" spans="9:17" x14ac:dyDescent="0.45">
      <c r="I954" t="s">
        <v>188</v>
      </c>
      <c r="J954" t="s">
        <v>287</v>
      </c>
      <c r="K954">
        <v>0</v>
      </c>
      <c r="L954" t="s">
        <v>154</v>
      </c>
      <c r="N954" t="s">
        <v>217</v>
      </c>
      <c r="O954" t="s">
        <v>287</v>
      </c>
      <c r="P954">
        <v>2.3465582588090023E-2</v>
      </c>
      <c r="Q954" t="s">
        <v>154</v>
      </c>
    </row>
    <row r="955" spans="9:17" x14ac:dyDescent="0.45">
      <c r="I955" t="s">
        <v>188</v>
      </c>
      <c r="J955" t="s">
        <v>163</v>
      </c>
      <c r="K955">
        <v>0</v>
      </c>
      <c r="L955" t="s">
        <v>154</v>
      </c>
      <c r="N955" t="s">
        <v>217</v>
      </c>
      <c r="O955" t="s">
        <v>163</v>
      </c>
      <c r="P955">
        <v>1.3303945388157641E-2</v>
      </c>
      <c r="Q955" t="s">
        <v>154</v>
      </c>
    </row>
    <row r="956" spans="9:17" x14ac:dyDescent="0.45">
      <c r="I956" t="s">
        <v>188</v>
      </c>
      <c r="J956" t="s">
        <v>164</v>
      </c>
      <c r="K956">
        <v>8.8286566108268343E-3</v>
      </c>
      <c r="L956" t="s">
        <v>154</v>
      </c>
      <c r="N956" t="s">
        <v>217</v>
      </c>
      <c r="O956" t="s">
        <v>164</v>
      </c>
      <c r="P956">
        <v>3.5882438135537821E-3</v>
      </c>
      <c r="Q956" t="s">
        <v>154</v>
      </c>
    </row>
    <row r="957" spans="9:17" x14ac:dyDescent="0.45">
      <c r="I957" t="s">
        <v>188</v>
      </c>
      <c r="J957" t="s">
        <v>165</v>
      </c>
      <c r="K957">
        <v>6.8764148535518082E-3</v>
      </c>
      <c r="L957" t="s">
        <v>154</v>
      </c>
      <c r="N957" t="s">
        <v>217</v>
      </c>
      <c r="O957" t="s">
        <v>165</v>
      </c>
      <c r="P957">
        <v>2.1656543981552799E-3</v>
      </c>
      <c r="Q957" t="s">
        <v>154</v>
      </c>
    </row>
    <row r="958" spans="9:17" x14ac:dyDescent="0.45">
      <c r="I958" t="s">
        <v>188</v>
      </c>
      <c r="J958" t="s">
        <v>264</v>
      </c>
      <c r="K958">
        <v>4.2310461205285844E-2</v>
      </c>
      <c r="L958" t="s">
        <v>154</v>
      </c>
      <c r="N958" t="s">
        <v>217</v>
      </c>
      <c r="O958" t="s">
        <v>264</v>
      </c>
      <c r="P958">
        <v>1.4009507397228739E-2</v>
      </c>
      <c r="Q958" t="s">
        <v>154</v>
      </c>
    </row>
    <row r="959" spans="9:17" x14ac:dyDescent="0.45">
      <c r="I959" t="s">
        <v>188</v>
      </c>
      <c r="J959" t="s">
        <v>265</v>
      </c>
      <c r="K959">
        <v>4.8570647548204027E-3</v>
      </c>
      <c r="L959" t="s">
        <v>154</v>
      </c>
      <c r="N959" t="s">
        <v>217</v>
      </c>
      <c r="O959" t="s">
        <v>265</v>
      </c>
      <c r="P959">
        <v>2.1996093458387066E-3</v>
      </c>
      <c r="Q959" t="s">
        <v>154</v>
      </c>
    </row>
    <row r="960" spans="9:17" x14ac:dyDescent="0.45">
      <c r="I960" t="s">
        <v>188</v>
      </c>
      <c r="J960" t="s">
        <v>266</v>
      </c>
      <c r="K960">
        <v>3.1233382422099481E-3</v>
      </c>
      <c r="L960" t="s">
        <v>154</v>
      </c>
      <c r="N960" t="s">
        <v>217</v>
      </c>
      <c r="O960" t="s">
        <v>266</v>
      </c>
      <c r="P960">
        <v>2.2141707624276398E-3</v>
      </c>
      <c r="Q960" t="s">
        <v>154</v>
      </c>
    </row>
    <row r="961" spans="9:17" x14ac:dyDescent="0.45">
      <c r="I961" t="s">
        <v>188</v>
      </c>
      <c r="J961" t="s">
        <v>288</v>
      </c>
      <c r="K961">
        <v>0</v>
      </c>
      <c r="L961" t="s">
        <v>154</v>
      </c>
      <c r="N961" t="s">
        <v>217</v>
      </c>
      <c r="O961" t="s">
        <v>288</v>
      </c>
      <c r="P961">
        <v>2.2369124117227017E-3</v>
      </c>
      <c r="Q961" t="s">
        <v>154</v>
      </c>
    </row>
    <row r="962" spans="9:17" x14ac:dyDescent="0.45">
      <c r="I962" t="s">
        <v>188</v>
      </c>
      <c r="J962" t="s">
        <v>289</v>
      </c>
      <c r="K962">
        <v>0</v>
      </c>
      <c r="L962" t="s">
        <v>154</v>
      </c>
      <c r="N962" t="s">
        <v>217</v>
      </c>
      <c r="O962" t="s">
        <v>289</v>
      </c>
      <c r="P962">
        <v>1.1829375919547771E-2</v>
      </c>
      <c r="Q962" t="s">
        <v>154</v>
      </c>
    </row>
    <row r="963" spans="9:17" x14ac:dyDescent="0.45">
      <c r="I963" t="s">
        <v>188</v>
      </c>
      <c r="J963" t="s">
        <v>272</v>
      </c>
      <c r="K963">
        <v>0</v>
      </c>
      <c r="L963" t="s">
        <v>154</v>
      </c>
      <c r="N963" t="s">
        <v>217</v>
      </c>
      <c r="O963" t="s">
        <v>272</v>
      </c>
      <c r="P963">
        <v>4.3772654209916426E-2</v>
      </c>
      <c r="Q963" t="s">
        <v>154</v>
      </c>
    </row>
    <row r="964" spans="9:17" x14ac:dyDescent="0.45">
      <c r="I964" t="s">
        <v>188</v>
      </c>
      <c r="J964" t="s">
        <v>273</v>
      </c>
      <c r="K964">
        <v>1.5388148935864387E-2</v>
      </c>
      <c r="L964" t="s">
        <v>154</v>
      </c>
      <c r="N964" t="s">
        <v>217</v>
      </c>
      <c r="O964" t="s">
        <v>273</v>
      </c>
      <c r="P964">
        <v>1.1693496648247611E-2</v>
      </c>
      <c r="Q964" t="s">
        <v>154</v>
      </c>
    </row>
    <row r="965" spans="9:17" x14ac:dyDescent="0.45">
      <c r="I965" t="s">
        <v>188</v>
      </c>
      <c r="J965" t="s">
        <v>274</v>
      </c>
      <c r="K965">
        <v>1.3318261434282089E-2</v>
      </c>
      <c r="L965" t="s">
        <v>154</v>
      </c>
      <c r="N965" t="s">
        <v>217</v>
      </c>
      <c r="O965" t="s">
        <v>274</v>
      </c>
      <c r="P965">
        <v>7.3796803484213348E-3</v>
      </c>
      <c r="Q965" t="s">
        <v>154</v>
      </c>
    </row>
    <row r="966" spans="9:17" x14ac:dyDescent="0.45">
      <c r="I966" t="s">
        <v>188</v>
      </c>
      <c r="J966" t="s">
        <v>275</v>
      </c>
      <c r="K966">
        <v>8.7914042667311176E-2</v>
      </c>
      <c r="L966" t="s">
        <v>154</v>
      </c>
      <c r="N966" t="s">
        <v>217</v>
      </c>
      <c r="O966" t="s">
        <v>275</v>
      </c>
      <c r="P966">
        <v>4.1766049366574028E-2</v>
      </c>
      <c r="Q966" t="s">
        <v>154</v>
      </c>
    </row>
    <row r="967" spans="9:17" x14ac:dyDescent="0.45">
      <c r="I967" t="s">
        <v>188</v>
      </c>
      <c r="J967" t="s">
        <v>276</v>
      </c>
      <c r="K967">
        <v>1.0309903832565283E-2</v>
      </c>
      <c r="L967" t="s">
        <v>154</v>
      </c>
      <c r="N967" t="s">
        <v>217</v>
      </c>
      <c r="O967" t="s">
        <v>276</v>
      </c>
      <c r="P967">
        <v>5.795160213232081E-3</v>
      </c>
      <c r="Q967" t="s">
        <v>154</v>
      </c>
    </row>
    <row r="968" spans="9:17" x14ac:dyDescent="0.45">
      <c r="I968" t="s">
        <v>188</v>
      </c>
      <c r="J968" t="s">
        <v>277</v>
      </c>
      <c r="K968">
        <v>6.7725110691787523E-3</v>
      </c>
      <c r="L968" t="s">
        <v>154</v>
      </c>
      <c r="N968" t="s">
        <v>217</v>
      </c>
      <c r="O968" t="s">
        <v>277</v>
      </c>
      <c r="P968">
        <v>5.644873178322728E-3</v>
      </c>
      <c r="Q968" t="s">
        <v>154</v>
      </c>
    </row>
    <row r="969" spans="9:17" x14ac:dyDescent="0.45">
      <c r="I969" t="s">
        <v>188</v>
      </c>
      <c r="J969" t="s">
        <v>290</v>
      </c>
      <c r="K969">
        <v>2.3374744948448519E-5</v>
      </c>
      <c r="L969" t="s">
        <v>154</v>
      </c>
      <c r="N969" t="s">
        <v>217</v>
      </c>
      <c r="O969" t="s">
        <v>290</v>
      </c>
      <c r="P969">
        <v>5.4663624367206889E-3</v>
      </c>
      <c r="Q969" t="s">
        <v>154</v>
      </c>
    </row>
    <row r="970" spans="9:17" x14ac:dyDescent="0.45">
      <c r="I970" t="s">
        <v>188</v>
      </c>
      <c r="J970" t="s">
        <v>291</v>
      </c>
      <c r="K970">
        <v>0</v>
      </c>
      <c r="L970" t="s">
        <v>154</v>
      </c>
      <c r="N970" t="s">
        <v>217</v>
      </c>
      <c r="O970" t="s">
        <v>291</v>
      </c>
      <c r="P970">
        <v>3.0597394681587831E-2</v>
      </c>
      <c r="Q970" t="s">
        <v>154</v>
      </c>
    </row>
    <row r="971" spans="9:17" x14ac:dyDescent="0.45">
      <c r="I971" t="s">
        <v>189</v>
      </c>
      <c r="J971" t="s">
        <v>153</v>
      </c>
      <c r="K971">
        <v>0</v>
      </c>
      <c r="L971" t="s">
        <v>154</v>
      </c>
    </row>
    <row r="972" spans="9:17" x14ac:dyDescent="0.45">
      <c r="I972" t="s">
        <v>189</v>
      </c>
      <c r="J972" t="s">
        <v>155</v>
      </c>
      <c r="K972">
        <v>6.9262465407316273E-2</v>
      </c>
      <c r="L972" t="s">
        <v>154</v>
      </c>
    </row>
    <row r="973" spans="9:17" x14ac:dyDescent="0.45">
      <c r="I973" t="s">
        <v>189</v>
      </c>
      <c r="J973" t="s">
        <v>156</v>
      </c>
      <c r="K973">
        <v>6.3430408740451388E-2</v>
      </c>
      <c r="L973" t="s">
        <v>154</v>
      </c>
    </row>
    <row r="974" spans="9:17" x14ac:dyDescent="0.45">
      <c r="I974" t="s">
        <v>189</v>
      </c>
      <c r="J974" t="s">
        <v>255</v>
      </c>
      <c r="K974">
        <v>0.43372702237406657</v>
      </c>
      <c r="L974" t="s">
        <v>154</v>
      </c>
    </row>
    <row r="975" spans="9:17" x14ac:dyDescent="0.45">
      <c r="I975" t="s">
        <v>189</v>
      </c>
      <c r="J975" t="s">
        <v>256</v>
      </c>
      <c r="K975">
        <v>4.8688808189498049E-2</v>
      </c>
      <c r="L975" t="s">
        <v>154</v>
      </c>
    </row>
    <row r="976" spans="9:17" x14ac:dyDescent="0.45">
      <c r="I976" t="s">
        <v>189</v>
      </c>
      <c r="J976" t="s">
        <v>257</v>
      </c>
      <c r="K976">
        <v>3.5501041301301717E-2</v>
      </c>
      <c r="L976" t="s">
        <v>154</v>
      </c>
    </row>
    <row r="977" spans="9:12" x14ac:dyDescent="0.45">
      <c r="I977" t="s">
        <v>189</v>
      </c>
      <c r="J977" t="s">
        <v>282</v>
      </c>
      <c r="K977">
        <v>2.144923560937503E-2</v>
      </c>
      <c r="L977" t="s">
        <v>154</v>
      </c>
    </row>
    <row r="978" spans="9:12" x14ac:dyDescent="0.45">
      <c r="I978" t="s">
        <v>189</v>
      </c>
      <c r="J978" t="s">
        <v>283</v>
      </c>
      <c r="K978">
        <v>1.6991135100064206E-6</v>
      </c>
      <c r="L978" t="s">
        <v>154</v>
      </c>
    </row>
    <row r="979" spans="9:12" x14ac:dyDescent="0.45">
      <c r="I979" t="s">
        <v>189</v>
      </c>
      <c r="J979" t="s">
        <v>157</v>
      </c>
      <c r="K979">
        <v>0</v>
      </c>
      <c r="L979" t="s">
        <v>154</v>
      </c>
    </row>
    <row r="980" spans="9:12" x14ac:dyDescent="0.45">
      <c r="I980" t="s">
        <v>189</v>
      </c>
      <c r="J980" t="s">
        <v>158</v>
      </c>
      <c r="K980">
        <v>5.8793077479721168E-3</v>
      </c>
      <c r="L980" t="s">
        <v>154</v>
      </c>
    </row>
    <row r="981" spans="9:12" x14ac:dyDescent="0.45">
      <c r="I981" t="s">
        <v>189</v>
      </c>
      <c r="J981" t="s">
        <v>159</v>
      </c>
      <c r="K981">
        <v>5.2490195606321776E-3</v>
      </c>
      <c r="L981" t="s">
        <v>154</v>
      </c>
    </row>
    <row r="982" spans="9:12" x14ac:dyDescent="0.45">
      <c r="I982" t="s">
        <v>189</v>
      </c>
      <c r="J982" t="s">
        <v>258</v>
      </c>
      <c r="K982">
        <v>3.5973627931430989E-2</v>
      </c>
      <c r="L982" t="s">
        <v>154</v>
      </c>
    </row>
    <row r="983" spans="9:12" x14ac:dyDescent="0.45">
      <c r="I983" t="s">
        <v>189</v>
      </c>
      <c r="J983" t="s">
        <v>259</v>
      </c>
      <c r="K983">
        <v>3.1873138094889492E-3</v>
      </c>
      <c r="L983" t="s">
        <v>154</v>
      </c>
    </row>
    <row r="984" spans="9:12" x14ac:dyDescent="0.45">
      <c r="I984" t="s">
        <v>189</v>
      </c>
      <c r="J984" t="s">
        <v>260</v>
      </c>
      <c r="K984">
        <v>1.8019967282309046E-3</v>
      </c>
      <c r="L984" t="s">
        <v>154</v>
      </c>
    </row>
    <row r="985" spans="9:12" x14ac:dyDescent="0.45">
      <c r="I985" t="s">
        <v>189</v>
      </c>
      <c r="J985" t="s">
        <v>284</v>
      </c>
      <c r="K985">
        <v>7.8793232720143693E-4</v>
      </c>
      <c r="L985" t="s">
        <v>154</v>
      </c>
    </row>
    <row r="986" spans="9:12" x14ac:dyDescent="0.45">
      <c r="I986" t="s">
        <v>189</v>
      </c>
      <c r="J986" t="s">
        <v>285</v>
      </c>
      <c r="K986">
        <v>0</v>
      </c>
      <c r="L986" t="s">
        <v>154</v>
      </c>
    </row>
    <row r="987" spans="9:12" x14ac:dyDescent="0.45">
      <c r="I987" t="s">
        <v>189</v>
      </c>
      <c r="J987" t="s">
        <v>160</v>
      </c>
      <c r="K987">
        <v>0</v>
      </c>
      <c r="L987" t="s">
        <v>154</v>
      </c>
    </row>
    <row r="988" spans="9:12" x14ac:dyDescent="0.45">
      <c r="I988" t="s">
        <v>189</v>
      </c>
      <c r="J988" t="s">
        <v>161</v>
      </c>
      <c r="K988">
        <v>7.301135679321097E-3</v>
      </c>
      <c r="L988" t="s">
        <v>154</v>
      </c>
    </row>
    <row r="989" spans="9:12" x14ac:dyDescent="0.45">
      <c r="I989" t="s">
        <v>189</v>
      </c>
      <c r="J989" t="s">
        <v>162</v>
      </c>
      <c r="K989">
        <v>6.6084595914362677E-3</v>
      </c>
      <c r="L989" t="s">
        <v>154</v>
      </c>
    </row>
    <row r="990" spans="9:12" x14ac:dyDescent="0.45">
      <c r="I990" t="s">
        <v>189</v>
      </c>
      <c r="J990" t="s">
        <v>261</v>
      </c>
      <c r="K990">
        <v>4.2689963350955547E-2</v>
      </c>
      <c r="L990" t="s">
        <v>154</v>
      </c>
    </row>
    <row r="991" spans="9:12" x14ac:dyDescent="0.45">
      <c r="I991" t="s">
        <v>189</v>
      </c>
      <c r="J991" t="s">
        <v>262</v>
      </c>
      <c r="K991">
        <v>4.4477468044583487E-3</v>
      </c>
      <c r="L991" t="s">
        <v>154</v>
      </c>
    </row>
    <row r="992" spans="9:12" x14ac:dyDescent="0.45">
      <c r="I992" t="s">
        <v>189</v>
      </c>
      <c r="J992" t="s">
        <v>263</v>
      </c>
      <c r="K992">
        <v>2.7867937089613957E-3</v>
      </c>
      <c r="L992" t="s">
        <v>154</v>
      </c>
    </row>
    <row r="993" spans="9:12" x14ac:dyDescent="0.45">
      <c r="I993" t="s">
        <v>189</v>
      </c>
      <c r="J993" t="s">
        <v>286</v>
      </c>
      <c r="K993">
        <v>1.5979677229239447E-3</v>
      </c>
      <c r="L993" t="s">
        <v>154</v>
      </c>
    </row>
    <row r="994" spans="9:12" x14ac:dyDescent="0.45">
      <c r="I994" t="s">
        <v>189</v>
      </c>
      <c r="J994" t="s">
        <v>287</v>
      </c>
      <c r="K994">
        <v>0</v>
      </c>
      <c r="L994" t="s">
        <v>154</v>
      </c>
    </row>
    <row r="995" spans="9:12" x14ac:dyDescent="0.45">
      <c r="I995" t="s">
        <v>189</v>
      </c>
      <c r="J995" t="s">
        <v>163</v>
      </c>
      <c r="K995">
        <v>0</v>
      </c>
      <c r="L995" t="s">
        <v>154</v>
      </c>
    </row>
    <row r="996" spans="9:12" x14ac:dyDescent="0.45">
      <c r="I996" t="s">
        <v>189</v>
      </c>
      <c r="J996" t="s">
        <v>164</v>
      </c>
      <c r="K996">
        <v>9.1267807300972614E-3</v>
      </c>
      <c r="L996" t="s">
        <v>154</v>
      </c>
    </row>
    <row r="997" spans="9:12" x14ac:dyDescent="0.45">
      <c r="I997" t="s">
        <v>189</v>
      </c>
      <c r="J997" t="s">
        <v>165</v>
      </c>
      <c r="K997">
        <v>7.069639425208319E-3</v>
      </c>
      <c r="L997" t="s">
        <v>154</v>
      </c>
    </row>
    <row r="998" spans="9:12" x14ac:dyDescent="0.45">
      <c r="I998" t="s">
        <v>189</v>
      </c>
      <c r="J998" t="s">
        <v>264</v>
      </c>
      <c r="K998">
        <v>4.3905239935024744E-2</v>
      </c>
      <c r="L998" t="s">
        <v>154</v>
      </c>
    </row>
    <row r="999" spans="9:12" x14ac:dyDescent="0.45">
      <c r="I999" t="s">
        <v>189</v>
      </c>
      <c r="J999" t="s">
        <v>265</v>
      </c>
      <c r="K999">
        <v>5.004116078643127E-3</v>
      </c>
      <c r="L999" t="s">
        <v>154</v>
      </c>
    </row>
    <row r="1000" spans="9:12" x14ac:dyDescent="0.45">
      <c r="I1000" t="s">
        <v>189</v>
      </c>
      <c r="J1000" t="s">
        <v>266</v>
      </c>
      <c r="K1000">
        <v>3.3267113250023774E-3</v>
      </c>
      <c r="L1000" t="s">
        <v>154</v>
      </c>
    </row>
    <row r="1001" spans="9:12" x14ac:dyDescent="0.45">
      <c r="I1001" t="s">
        <v>189</v>
      </c>
      <c r="J1001" t="s">
        <v>288</v>
      </c>
      <c r="K1001">
        <v>6.6807350795245078E-5</v>
      </c>
      <c r="L1001" t="s">
        <v>154</v>
      </c>
    </row>
    <row r="1002" spans="9:12" x14ac:dyDescent="0.45">
      <c r="I1002" t="s">
        <v>189</v>
      </c>
      <c r="J1002" t="s">
        <v>289</v>
      </c>
      <c r="K1002">
        <v>0</v>
      </c>
      <c r="L1002" t="s">
        <v>154</v>
      </c>
    </row>
    <row r="1003" spans="9:12" x14ac:dyDescent="0.45">
      <c r="I1003" t="s">
        <v>189</v>
      </c>
      <c r="J1003" t="s">
        <v>272</v>
      </c>
      <c r="K1003">
        <v>0</v>
      </c>
      <c r="L1003" t="s">
        <v>154</v>
      </c>
    </row>
    <row r="1004" spans="9:12" x14ac:dyDescent="0.45">
      <c r="I1004" t="s">
        <v>189</v>
      </c>
      <c r="J1004" t="s">
        <v>273</v>
      </c>
      <c r="K1004">
        <v>1.6128903559812498E-2</v>
      </c>
      <c r="L1004" t="s">
        <v>154</v>
      </c>
    </row>
    <row r="1005" spans="9:12" x14ac:dyDescent="0.45">
      <c r="I1005" t="s">
        <v>189</v>
      </c>
      <c r="J1005" t="s">
        <v>274</v>
      </c>
      <c r="K1005">
        <v>1.4434994662347989E-2</v>
      </c>
      <c r="L1005" t="s">
        <v>154</v>
      </c>
    </row>
    <row r="1006" spans="9:12" x14ac:dyDescent="0.45">
      <c r="I1006" t="s">
        <v>189</v>
      </c>
      <c r="J1006" t="s">
        <v>275</v>
      </c>
      <c r="K1006">
        <v>9.2613477763867844E-2</v>
      </c>
      <c r="L1006" t="s">
        <v>154</v>
      </c>
    </row>
    <row r="1007" spans="9:12" x14ac:dyDescent="0.45">
      <c r="I1007" t="s">
        <v>189</v>
      </c>
      <c r="J1007" t="s">
        <v>276</v>
      </c>
      <c r="K1007">
        <v>1.0681954540522542E-2</v>
      </c>
      <c r="L1007" t="s">
        <v>154</v>
      </c>
    </row>
    <row r="1008" spans="9:12" x14ac:dyDescent="0.45">
      <c r="I1008" t="s">
        <v>189</v>
      </c>
      <c r="J1008" t="s">
        <v>277</v>
      </c>
      <c r="K1008">
        <v>7.1302198968227377E-3</v>
      </c>
      <c r="L1008" t="s">
        <v>154</v>
      </c>
    </row>
    <row r="1009" spans="9:12" x14ac:dyDescent="0.45">
      <c r="I1009" t="s">
        <v>189</v>
      </c>
      <c r="J1009" t="s">
        <v>290</v>
      </c>
      <c r="K1009">
        <v>1.392090333206963E-4</v>
      </c>
      <c r="L1009" t="s">
        <v>154</v>
      </c>
    </row>
    <row r="1010" spans="9:12" x14ac:dyDescent="0.45">
      <c r="I1010" t="s">
        <v>189</v>
      </c>
      <c r="J1010" t="s">
        <v>291</v>
      </c>
      <c r="K1010">
        <v>0</v>
      </c>
      <c r="L1010" t="s">
        <v>154</v>
      </c>
    </row>
    <row r="1011" spans="9:12" x14ac:dyDescent="0.45">
      <c r="I1011" t="s">
        <v>190</v>
      </c>
      <c r="J1011" t="s">
        <v>153</v>
      </c>
      <c r="K1011">
        <v>2.2394744538167756E-4</v>
      </c>
      <c r="L1011" t="s">
        <v>154</v>
      </c>
    </row>
    <row r="1012" spans="9:12" x14ac:dyDescent="0.45">
      <c r="I1012" t="s">
        <v>190</v>
      </c>
      <c r="J1012" t="s">
        <v>155</v>
      </c>
      <c r="K1012">
        <v>6.7794716071423941E-2</v>
      </c>
      <c r="L1012" t="s">
        <v>154</v>
      </c>
    </row>
    <row r="1013" spans="9:12" x14ac:dyDescent="0.45">
      <c r="I1013" t="s">
        <v>190</v>
      </c>
      <c r="J1013" t="s">
        <v>156</v>
      </c>
      <c r="K1013">
        <v>5.8719292529129836E-2</v>
      </c>
      <c r="L1013" t="s">
        <v>154</v>
      </c>
    </row>
    <row r="1014" spans="9:12" x14ac:dyDescent="0.45">
      <c r="I1014" t="s">
        <v>190</v>
      </c>
      <c r="J1014" t="s">
        <v>255</v>
      </c>
      <c r="K1014">
        <v>0.43555922083942678</v>
      </c>
      <c r="L1014" t="s">
        <v>154</v>
      </c>
    </row>
    <row r="1015" spans="9:12" x14ac:dyDescent="0.45">
      <c r="I1015" t="s">
        <v>190</v>
      </c>
      <c r="J1015" t="s">
        <v>256</v>
      </c>
      <c r="K1015">
        <v>5.3434840310983528E-2</v>
      </c>
      <c r="L1015" t="s">
        <v>154</v>
      </c>
    </row>
    <row r="1016" spans="9:12" x14ac:dyDescent="0.45">
      <c r="I1016" t="s">
        <v>190</v>
      </c>
      <c r="J1016" t="s">
        <v>257</v>
      </c>
      <c r="K1016">
        <v>3.9191207899415041E-2</v>
      </c>
      <c r="L1016" t="s">
        <v>154</v>
      </c>
    </row>
    <row r="1017" spans="9:12" x14ac:dyDescent="0.45">
      <c r="I1017" t="s">
        <v>190</v>
      </c>
      <c r="J1017" t="s">
        <v>282</v>
      </c>
      <c r="K1017">
        <v>2.272142074279063E-2</v>
      </c>
      <c r="L1017" t="s">
        <v>154</v>
      </c>
    </row>
    <row r="1018" spans="9:12" x14ac:dyDescent="0.45">
      <c r="I1018" t="s">
        <v>190</v>
      </c>
      <c r="J1018" t="s">
        <v>283</v>
      </c>
      <c r="K1018">
        <v>0</v>
      </c>
      <c r="L1018" t="s">
        <v>154</v>
      </c>
    </row>
    <row r="1019" spans="9:12" x14ac:dyDescent="0.45">
      <c r="I1019" t="s">
        <v>190</v>
      </c>
      <c r="J1019" t="s">
        <v>157</v>
      </c>
      <c r="K1019">
        <v>0</v>
      </c>
      <c r="L1019" t="s">
        <v>154</v>
      </c>
    </row>
    <row r="1020" spans="9:12" x14ac:dyDescent="0.45">
      <c r="I1020" t="s">
        <v>190</v>
      </c>
      <c r="J1020" t="s">
        <v>158</v>
      </c>
      <c r="K1020">
        <v>5.5009701936499502E-3</v>
      </c>
      <c r="L1020" t="s">
        <v>154</v>
      </c>
    </row>
    <row r="1021" spans="9:12" x14ac:dyDescent="0.45">
      <c r="I1021" t="s">
        <v>190</v>
      </c>
      <c r="J1021" t="s">
        <v>159</v>
      </c>
      <c r="K1021">
        <v>5.3360480707438582E-3</v>
      </c>
      <c r="L1021" t="s">
        <v>154</v>
      </c>
    </row>
    <row r="1022" spans="9:12" x14ac:dyDescent="0.45">
      <c r="I1022" t="s">
        <v>190</v>
      </c>
      <c r="J1022" t="s">
        <v>258</v>
      </c>
      <c r="K1022">
        <v>3.9537791803695793E-2</v>
      </c>
      <c r="L1022" t="s">
        <v>154</v>
      </c>
    </row>
    <row r="1023" spans="9:12" x14ac:dyDescent="0.45">
      <c r="I1023" t="s">
        <v>190</v>
      </c>
      <c r="J1023" t="s">
        <v>259</v>
      </c>
      <c r="K1023">
        <v>4.2308211872644714E-3</v>
      </c>
      <c r="L1023" t="s">
        <v>154</v>
      </c>
    </row>
    <row r="1024" spans="9:12" x14ac:dyDescent="0.45">
      <c r="I1024" t="s">
        <v>190</v>
      </c>
      <c r="J1024" t="s">
        <v>260</v>
      </c>
      <c r="K1024">
        <v>2.7647496709219451E-3</v>
      </c>
      <c r="L1024" t="s">
        <v>154</v>
      </c>
    </row>
    <row r="1025" spans="9:12" x14ac:dyDescent="0.45">
      <c r="I1025" t="s">
        <v>190</v>
      </c>
      <c r="J1025" t="s">
        <v>284</v>
      </c>
      <c r="K1025">
        <v>1.3402690104221738E-3</v>
      </c>
      <c r="L1025" t="s">
        <v>154</v>
      </c>
    </row>
    <row r="1026" spans="9:12" x14ac:dyDescent="0.45">
      <c r="I1026" t="s">
        <v>190</v>
      </c>
      <c r="J1026" t="s">
        <v>285</v>
      </c>
      <c r="K1026">
        <v>0</v>
      </c>
      <c r="L1026" t="s">
        <v>154</v>
      </c>
    </row>
    <row r="1027" spans="9:12" x14ac:dyDescent="0.45">
      <c r="I1027" t="s">
        <v>190</v>
      </c>
      <c r="J1027" t="s">
        <v>160</v>
      </c>
      <c r="K1027">
        <v>0</v>
      </c>
      <c r="L1027" t="s">
        <v>154</v>
      </c>
    </row>
    <row r="1028" spans="9:12" x14ac:dyDescent="0.45">
      <c r="I1028" t="s">
        <v>190</v>
      </c>
      <c r="J1028" t="s">
        <v>161</v>
      </c>
      <c r="K1028">
        <v>7.1970991908799353E-3</v>
      </c>
      <c r="L1028" t="s">
        <v>154</v>
      </c>
    </row>
    <row r="1029" spans="9:12" x14ac:dyDescent="0.45">
      <c r="I1029" t="s">
        <v>190</v>
      </c>
      <c r="J1029" t="s">
        <v>162</v>
      </c>
      <c r="K1029">
        <v>6.7340950032355714E-3</v>
      </c>
      <c r="L1029" t="s">
        <v>154</v>
      </c>
    </row>
    <row r="1030" spans="9:12" x14ac:dyDescent="0.45">
      <c r="I1030" t="s">
        <v>190</v>
      </c>
      <c r="J1030" t="s">
        <v>261</v>
      </c>
      <c r="K1030">
        <v>4.4680223716854657E-2</v>
      </c>
      <c r="L1030" t="s">
        <v>154</v>
      </c>
    </row>
    <row r="1031" spans="9:12" x14ac:dyDescent="0.45">
      <c r="I1031" t="s">
        <v>190</v>
      </c>
      <c r="J1031" t="s">
        <v>262</v>
      </c>
      <c r="K1031">
        <v>4.7315115746287065E-3</v>
      </c>
      <c r="L1031" t="s">
        <v>154</v>
      </c>
    </row>
    <row r="1032" spans="9:12" x14ac:dyDescent="0.45">
      <c r="I1032" t="s">
        <v>190</v>
      </c>
      <c r="J1032" t="s">
        <v>263</v>
      </c>
      <c r="K1032">
        <v>2.7871085238285256E-3</v>
      </c>
      <c r="L1032" t="s">
        <v>154</v>
      </c>
    </row>
    <row r="1033" spans="9:12" x14ac:dyDescent="0.45">
      <c r="I1033" t="s">
        <v>190</v>
      </c>
      <c r="J1033" t="s">
        <v>286</v>
      </c>
      <c r="K1033">
        <v>1.2416095171090406E-3</v>
      </c>
      <c r="L1033" t="s">
        <v>154</v>
      </c>
    </row>
    <row r="1034" spans="9:12" x14ac:dyDescent="0.45">
      <c r="I1034" t="s">
        <v>190</v>
      </c>
      <c r="J1034" t="s">
        <v>287</v>
      </c>
      <c r="K1034">
        <v>0</v>
      </c>
      <c r="L1034" t="s">
        <v>154</v>
      </c>
    </row>
    <row r="1035" spans="9:12" x14ac:dyDescent="0.45">
      <c r="I1035" t="s">
        <v>190</v>
      </c>
      <c r="J1035" t="s">
        <v>163</v>
      </c>
      <c r="K1035">
        <v>0</v>
      </c>
      <c r="L1035" t="s">
        <v>154</v>
      </c>
    </row>
    <row r="1036" spans="9:12" x14ac:dyDescent="0.45">
      <c r="I1036" t="s">
        <v>190</v>
      </c>
      <c r="J1036" t="s">
        <v>164</v>
      </c>
      <c r="K1036">
        <v>8.2620307257736322E-3</v>
      </c>
      <c r="L1036" t="s">
        <v>154</v>
      </c>
    </row>
    <row r="1037" spans="9:12" x14ac:dyDescent="0.45">
      <c r="I1037" t="s">
        <v>190</v>
      </c>
      <c r="J1037" t="s">
        <v>165</v>
      </c>
      <c r="K1037">
        <v>6.5710751053356855E-3</v>
      </c>
      <c r="L1037" t="s">
        <v>154</v>
      </c>
    </row>
    <row r="1038" spans="9:12" x14ac:dyDescent="0.45">
      <c r="I1038" t="s">
        <v>190</v>
      </c>
      <c r="J1038" t="s">
        <v>264</v>
      </c>
      <c r="K1038">
        <v>4.1800252430046397E-2</v>
      </c>
      <c r="L1038" t="s">
        <v>154</v>
      </c>
    </row>
    <row r="1039" spans="9:12" x14ac:dyDescent="0.45">
      <c r="I1039" t="s">
        <v>190</v>
      </c>
      <c r="J1039" t="s">
        <v>265</v>
      </c>
      <c r="K1039">
        <v>4.8064340335306184E-3</v>
      </c>
      <c r="L1039" t="s">
        <v>154</v>
      </c>
    </row>
    <row r="1040" spans="9:12" x14ac:dyDescent="0.45">
      <c r="I1040" t="s">
        <v>190</v>
      </c>
      <c r="J1040" t="s">
        <v>266</v>
      </c>
      <c r="K1040">
        <v>3.1019948684034922E-3</v>
      </c>
      <c r="L1040" t="s">
        <v>154</v>
      </c>
    </row>
    <row r="1041" spans="9:12" x14ac:dyDescent="0.45">
      <c r="I1041" t="s">
        <v>190</v>
      </c>
      <c r="J1041" t="s">
        <v>288</v>
      </c>
      <c r="K1041">
        <v>0</v>
      </c>
      <c r="L1041" t="s">
        <v>154</v>
      </c>
    </row>
    <row r="1042" spans="9:12" x14ac:dyDescent="0.45">
      <c r="I1042" t="s">
        <v>190</v>
      </c>
      <c r="J1042" t="s">
        <v>289</v>
      </c>
      <c r="K1042">
        <v>0</v>
      </c>
      <c r="L1042" t="s">
        <v>154</v>
      </c>
    </row>
    <row r="1043" spans="9:12" x14ac:dyDescent="0.45">
      <c r="I1043" t="s">
        <v>190</v>
      </c>
      <c r="J1043" t="s">
        <v>272</v>
      </c>
      <c r="K1043">
        <v>0</v>
      </c>
      <c r="L1043" t="s">
        <v>154</v>
      </c>
    </row>
    <row r="1044" spans="9:12" x14ac:dyDescent="0.45">
      <c r="I1044" t="s">
        <v>190</v>
      </c>
      <c r="J1044" t="s">
        <v>273</v>
      </c>
      <c r="K1044">
        <v>1.3777531993795685E-2</v>
      </c>
      <c r="L1044" t="s">
        <v>154</v>
      </c>
    </row>
    <row r="1045" spans="9:12" x14ac:dyDescent="0.45">
      <c r="I1045" t="s">
        <v>190</v>
      </c>
      <c r="J1045" t="s">
        <v>274</v>
      </c>
      <c r="K1045">
        <v>1.2578317358939344E-2</v>
      </c>
      <c r="L1045" t="s">
        <v>154</v>
      </c>
    </row>
    <row r="1046" spans="9:12" x14ac:dyDescent="0.45">
      <c r="I1046" t="s">
        <v>190</v>
      </c>
      <c r="J1046" t="s">
        <v>275</v>
      </c>
      <c r="K1046">
        <v>8.7297549419343909E-2</v>
      </c>
      <c r="L1046" t="s">
        <v>154</v>
      </c>
    </row>
    <row r="1047" spans="9:12" x14ac:dyDescent="0.45">
      <c r="I1047" t="s">
        <v>190</v>
      </c>
      <c r="J1047" t="s">
        <v>276</v>
      </c>
      <c r="K1047">
        <v>1.0998201085905169E-2</v>
      </c>
      <c r="L1047" t="s">
        <v>154</v>
      </c>
    </row>
    <row r="1048" spans="9:12" x14ac:dyDescent="0.45">
      <c r="I1048" t="s">
        <v>190</v>
      </c>
      <c r="J1048" t="s">
        <v>277</v>
      </c>
      <c r="K1048">
        <v>7.0139644216983621E-3</v>
      </c>
      <c r="L1048" t="s">
        <v>154</v>
      </c>
    </row>
    <row r="1049" spans="9:12" x14ac:dyDescent="0.45">
      <c r="I1049" t="s">
        <v>190</v>
      </c>
      <c r="J1049" t="s">
        <v>290</v>
      </c>
      <c r="K1049">
        <v>6.5705255445799789E-5</v>
      </c>
      <c r="L1049" t="s">
        <v>154</v>
      </c>
    </row>
    <row r="1050" spans="9:12" x14ac:dyDescent="0.45">
      <c r="I1050" t="s">
        <v>190</v>
      </c>
      <c r="J1050" t="s">
        <v>291</v>
      </c>
      <c r="K1050">
        <v>0</v>
      </c>
      <c r="L1050" t="s">
        <v>154</v>
      </c>
    </row>
    <row r="1051" spans="9:12" x14ac:dyDescent="0.45">
      <c r="I1051" t="s">
        <v>191</v>
      </c>
      <c r="J1051" t="s">
        <v>153</v>
      </c>
      <c r="K1051">
        <v>2.3282573559907458E-3</v>
      </c>
      <c r="L1051" t="s">
        <v>154</v>
      </c>
    </row>
    <row r="1052" spans="9:12" x14ac:dyDescent="0.45">
      <c r="I1052" t="s">
        <v>191</v>
      </c>
      <c r="J1052" t="s">
        <v>155</v>
      </c>
      <c r="K1052">
        <v>7.208390400075966E-2</v>
      </c>
      <c r="L1052" t="s">
        <v>154</v>
      </c>
    </row>
    <row r="1053" spans="9:12" x14ac:dyDescent="0.45">
      <c r="I1053" t="s">
        <v>191</v>
      </c>
      <c r="J1053" t="s">
        <v>156</v>
      </c>
      <c r="K1053">
        <v>5.9615622384313095E-2</v>
      </c>
      <c r="L1053" t="s">
        <v>154</v>
      </c>
    </row>
    <row r="1054" spans="9:12" x14ac:dyDescent="0.45">
      <c r="I1054" t="s">
        <v>191</v>
      </c>
      <c r="J1054" t="s">
        <v>255</v>
      </c>
      <c r="K1054">
        <v>0.43353804012899888</v>
      </c>
      <c r="L1054" t="s">
        <v>154</v>
      </c>
    </row>
    <row r="1055" spans="9:12" x14ac:dyDescent="0.45">
      <c r="I1055" t="s">
        <v>191</v>
      </c>
      <c r="J1055" t="s">
        <v>256</v>
      </c>
      <c r="K1055">
        <v>5.2667069579778569E-2</v>
      </c>
      <c r="L1055" t="s">
        <v>154</v>
      </c>
    </row>
    <row r="1056" spans="9:12" x14ac:dyDescent="0.45">
      <c r="I1056" t="s">
        <v>191</v>
      </c>
      <c r="J1056" t="s">
        <v>257</v>
      </c>
      <c r="K1056">
        <v>3.7939227666586521E-2</v>
      </c>
      <c r="L1056" t="s">
        <v>154</v>
      </c>
    </row>
    <row r="1057" spans="9:12" x14ac:dyDescent="0.45">
      <c r="I1057" t="s">
        <v>191</v>
      </c>
      <c r="J1057" t="s">
        <v>282</v>
      </c>
      <c r="K1057">
        <v>2.154910042028187E-2</v>
      </c>
      <c r="L1057" t="s">
        <v>154</v>
      </c>
    </row>
    <row r="1058" spans="9:12" x14ac:dyDescent="0.45">
      <c r="I1058" t="s">
        <v>191</v>
      </c>
      <c r="J1058" t="s">
        <v>283</v>
      </c>
      <c r="K1058">
        <v>0</v>
      </c>
      <c r="L1058" t="s">
        <v>154</v>
      </c>
    </row>
    <row r="1059" spans="9:12" x14ac:dyDescent="0.45">
      <c r="I1059" t="s">
        <v>191</v>
      </c>
      <c r="J1059" t="s">
        <v>157</v>
      </c>
      <c r="K1059">
        <v>0</v>
      </c>
      <c r="L1059" t="s">
        <v>154</v>
      </c>
    </row>
    <row r="1060" spans="9:12" x14ac:dyDescent="0.45">
      <c r="I1060" t="s">
        <v>191</v>
      </c>
      <c r="J1060" t="s">
        <v>158</v>
      </c>
      <c r="K1060">
        <v>5.8373794679176961E-3</v>
      </c>
      <c r="L1060" t="s">
        <v>154</v>
      </c>
    </row>
    <row r="1061" spans="9:12" x14ac:dyDescent="0.45">
      <c r="I1061" t="s">
        <v>191</v>
      </c>
      <c r="J1061" t="s">
        <v>159</v>
      </c>
      <c r="K1061">
        <v>5.4139098596457311E-3</v>
      </c>
      <c r="L1061" t="s">
        <v>154</v>
      </c>
    </row>
    <row r="1062" spans="9:12" x14ac:dyDescent="0.45">
      <c r="I1062" t="s">
        <v>191</v>
      </c>
      <c r="J1062" t="s">
        <v>258</v>
      </c>
      <c r="K1062">
        <v>4.1061727231741209E-2</v>
      </c>
      <c r="L1062" t="s">
        <v>154</v>
      </c>
    </row>
    <row r="1063" spans="9:12" x14ac:dyDescent="0.45">
      <c r="I1063" t="s">
        <v>191</v>
      </c>
      <c r="J1063" t="s">
        <v>259</v>
      </c>
      <c r="K1063">
        <v>4.4370699568326791E-3</v>
      </c>
      <c r="L1063" t="s">
        <v>154</v>
      </c>
    </row>
    <row r="1064" spans="9:12" x14ac:dyDescent="0.45">
      <c r="I1064" t="s">
        <v>191</v>
      </c>
      <c r="J1064" t="s">
        <v>260</v>
      </c>
      <c r="K1064">
        <v>2.9182363929172762E-3</v>
      </c>
      <c r="L1064" t="s">
        <v>154</v>
      </c>
    </row>
    <row r="1065" spans="9:12" x14ac:dyDescent="0.45">
      <c r="I1065" t="s">
        <v>191</v>
      </c>
      <c r="J1065" t="s">
        <v>284</v>
      </c>
      <c r="K1065">
        <v>1.4650250401580505E-3</v>
      </c>
      <c r="L1065" t="s">
        <v>154</v>
      </c>
    </row>
    <row r="1066" spans="9:12" x14ac:dyDescent="0.45">
      <c r="I1066" t="s">
        <v>191</v>
      </c>
      <c r="J1066" t="s">
        <v>285</v>
      </c>
      <c r="K1066">
        <v>0</v>
      </c>
      <c r="L1066" t="s">
        <v>154</v>
      </c>
    </row>
    <row r="1067" spans="9:12" x14ac:dyDescent="0.45">
      <c r="I1067" t="s">
        <v>191</v>
      </c>
      <c r="J1067" t="s">
        <v>160</v>
      </c>
      <c r="K1067">
        <v>0</v>
      </c>
      <c r="L1067" t="s">
        <v>154</v>
      </c>
    </row>
    <row r="1068" spans="9:12" x14ac:dyDescent="0.45">
      <c r="I1068" t="s">
        <v>191</v>
      </c>
      <c r="J1068" t="s">
        <v>161</v>
      </c>
      <c r="K1068">
        <v>7.4781398149973421E-3</v>
      </c>
      <c r="L1068" t="s">
        <v>154</v>
      </c>
    </row>
    <row r="1069" spans="9:12" x14ac:dyDescent="0.45">
      <c r="I1069" t="s">
        <v>191</v>
      </c>
      <c r="J1069" t="s">
        <v>162</v>
      </c>
      <c r="K1069">
        <v>6.6324970779347847E-3</v>
      </c>
      <c r="L1069" t="s">
        <v>154</v>
      </c>
    </row>
    <row r="1070" spans="9:12" x14ac:dyDescent="0.45">
      <c r="I1070" t="s">
        <v>191</v>
      </c>
      <c r="J1070" t="s">
        <v>261</v>
      </c>
      <c r="K1070">
        <v>4.6409797641539886E-2</v>
      </c>
      <c r="L1070" t="s">
        <v>154</v>
      </c>
    </row>
    <row r="1071" spans="9:12" x14ac:dyDescent="0.45">
      <c r="I1071" t="s">
        <v>191</v>
      </c>
      <c r="J1071" t="s">
        <v>262</v>
      </c>
      <c r="K1071">
        <v>5.0387682151534427E-3</v>
      </c>
      <c r="L1071" t="s">
        <v>154</v>
      </c>
    </row>
    <row r="1072" spans="9:12" x14ac:dyDescent="0.45">
      <c r="I1072" t="s">
        <v>191</v>
      </c>
      <c r="J1072" t="s">
        <v>263</v>
      </c>
      <c r="K1072">
        <v>3.0432207727766098E-3</v>
      </c>
      <c r="L1072" t="s">
        <v>154</v>
      </c>
    </row>
    <row r="1073" spans="9:12" x14ac:dyDescent="0.45">
      <c r="I1073" t="s">
        <v>191</v>
      </c>
      <c r="J1073" t="s">
        <v>286</v>
      </c>
      <c r="K1073">
        <v>7.3497798760553635E-4</v>
      </c>
      <c r="L1073" t="s">
        <v>154</v>
      </c>
    </row>
    <row r="1074" spans="9:12" x14ac:dyDescent="0.45">
      <c r="I1074" t="s">
        <v>191</v>
      </c>
      <c r="J1074" t="s">
        <v>287</v>
      </c>
      <c r="K1074">
        <v>0</v>
      </c>
      <c r="L1074" t="s">
        <v>154</v>
      </c>
    </row>
    <row r="1075" spans="9:12" x14ac:dyDescent="0.45">
      <c r="I1075" t="s">
        <v>191</v>
      </c>
      <c r="J1075" t="s">
        <v>163</v>
      </c>
      <c r="K1075">
        <v>0</v>
      </c>
      <c r="L1075" t="s">
        <v>154</v>
      </c>
    </row>
    <row r="1076" spans="9:12" x14ac:dyDescent="0.45">
      <c r="I1076" t="s">
        <v>191</v>
      </c>
      <c r="J1076" t="s">
        <v>164</v>
      </c>
      <c r="K1076">
        <v>8.0608892612920782E-3</v>
      </c>
      <c r="L1076" t="s">
        <v>154</v>
      </c>
    </row>
    <row r="1077" spans="9:12" x14ac:dyDescent="0.45">
      <c r="I1077" t="s">
        <v>191</v>
      </c>
      <c r="J1077" t="s">
        <v>165</v>
      </c>
      <c r="K1077">
        <v>6.0389076151937462E-3</v>
      </c>
      <c r="L1077" t="s">
        <v>154</v>
      </c>
    </row>
    <row r="1078" spans="9:12" x14ac:dyDescent="0.45">
      <c r="I1078" t="s">
        <v>191</v>
      </c>
      <c r="J1078" t="s">
        <v>264</v>
      </c>
      <c r="K1078">
        <v>4.0981910583428115E-2</v>
      </c>
      <c r="L1078" t="s">
        <v>154</v>
      </c>
    </row>
    <row r="1079" spans="9:12" x14ac:dyDescent="0.45">
      <c r="I1079" t="s">
        <v>191</v>
      </c>
      <c r="J1079" t="s">
        <v>265</v>
      </c>
      <c r="K1079">
        <v>4.8400553685734975E-3</v>
      </c>
      <c r="L1079" t="s">
        <v>154</v>
      </c>
    </row>
    <row r="1080" spans="9:12" x14ac:dyDescent="0.45">
      <c r="I1080" t="s">
        <v>191</v>
      </c>
      <c r="J1080" t="s">
        <v>266</v>
      </c>
      <c r="K1080">
        <v>2.9951724744180139E-3</v>
      </c>
      <c r="L1080" t="s">
        <v>154</v>
      </c>
    </row>
    <row r="1081" spans="9:12" x14ac:dyDescent="0.45">
      <c r="I1081" t="s">
        <v>191</v>
      </c>
      <c r="J1081" t="s">
        <v>288</v>
      </c>
      <c r="K1081">
        <v>0</v>
      </c>
      <c r="L1081" t="s">
        <v>154</v>
      </c>
    </row>
    <row r="1082" spans="9:12" x14ac:dyDescent="0.45">
      <c r="I1082" t="s">
        <v>191</v>
      </c>
      <c r="J1082" t="s">
        <v>289</v>
      </c>
      <c r="K1082">
        <v>0</v>
      </c>
      <c r="L1082" t="s">
        <v>154</v>
      </c>
    </row>
    <row r="1083" spans="9:12" x14ac:dyDescent="0.45">
      <c r="I1083" t="s">
        <v>191</v>
      </c>
      <c r="J1083" t="s">
        <v>272</v>
      </c>
      <c r="K1083">
        <v>0</v>
      </c>
      <c r="L1083" t="s">
        <v>154</v>
      </c>
    </row>
    <row r="1084" spans="9:12" x14ac:dyDescent="0.45">
      <c r="I1084" t="s">
        <v>191</v>
      </c>
      <c r="J1084" t="s">
        <v>273</v>
      </c>
      <c r="K1084">
        <v>1.4941924759945449E-2</v>
      </c>
      <c r="L1084" t="s">
        <v>154</v>
      </c>
    </row>
    <row r="1085" spans="9:12" x14ac:dyDescent="0.45">
      <c r="I1085" t="s">
        <v>191</v>
      </c>
      <c r="J1085" t="s">
        <v>274</v>
      </c>
      <c r="K1085">
        <v>1.2639141059078025E-2</v>
      </c>
      <c r="L1085" t="s">
        <v>154</v>
      </c>
    </row>
    <row r="1086" spans="9:12" x14ac:dyDescent="0.45">
      <c r="I1086" t="s">
        <v>191</v>
      </c>
      <c r="J1086" t="s">
        <v>275</v>
      </c>
      <c r="K1086">
        <v>8.3688893769587505E-2</v>
      </c>
      <c r="L1086" t="s">
        <v>154</v>
      </c>
    </row>
    <row r="1087" spans="9:12" x14ac:dyDescent="0.45">
      <c r="I1087" t="s">
        <v>191</v>
      </c>
      <c r="J1087" t="s">
        <v>276</v>
      </c>
      <c r="K1087">
        <v>9.4346520152873252E-3</v>
      </c>
      <c r="L1087" t="s">
        <v>154</v>
      </c>
    </row>
    <row r="1088" spans="9:12" x14ac:dyDescent="0.45">
      <c r="I1088" t="s">
        <v>191</v>
      </c>
      <c r="J1088" t="s">
        <v>277</v>
      </c>
      <c r="K1088">
        <v>6.1864820972665014E-3</v>
      </c>
      <c r="L1088" t="s">
        <v>154</v>
      </c>
    </row>
    <row r="1089" spans="9:12" x14ac:dyDescent="0.45">
      <c r="I1089" t="s">
        <v>191</v>
      </c>
      <c r="J1089" t="s">
        <v>290</v>
      </c>
      <c r="K1089">
        <v>0</v>
      </c>
      <c r="L1089" t="s">
        <v>154</v>
      </c>
    </row>
    <row r="1090" spans="9:12" x14ac:dyDescent="0.45">
      <c r="I1090" t="s">
        <v>191</v>
      </c>
      <c r="J1090" t="s">
        <v>291</v>
      </c>
      <c r="K1090">
        <v>0</v>
      </c>
      <c r="L1090" t="s">
        <v>154</v>
      </c>
    </row>
    <row r="1091" spans="9:12" x14ac:dyDescent="0.45">
      <c r="I1091" t="s">
        <v>192</v>
      </c>
      <c r="J1091" t="s">
        <v>153</v>
      </c>
      <c r="K1091">
        <v>4.1096061133184215E-3</v>
      </c>
      <c r="L1091" t="s">
        <v>154</v>
      </c>
    </row>
    <row r="1092" spans="9:12" x14ac:dyDescent="0.45">
      <c r="I1092" t="s">
        <v>192</v>
      </c>
      <c r="J1092" t="s">
        <v>155</v>
      </c>
      <c r="K1092">
        <v>7.1199881758720038E-2</v>
      </c>
      <c r="L1092" t="s">
        <v>154</v>
      </c>
    </row>
    <row r="1093" spans="9:12" x14ac:dyDescent="0.45">
      <c r="I1093" t="s">
        <v>192</v>
      </c>
      <c r="J1093" t="s">
        <v>156</v>
      </c>
      <c r="K1093">
        <v>5.8481643253315244E-2</v>
      </c>
      <c r="L1093" t="s">
        <v>154</v>
      </c>
    </row>
    <row r="1094" spans="9:12" x14ac:dyDescent="0.45">
      <c r="I1094" t="s">
        <v>192</v>
      </c>
      <c r="J1094" t="s">
        <v>255</v>
      </c>
      <c r="K1094">
        <v>0.42819639900813417</v>
      </c>
      <c r="L1094" t="s">
        <v>154</v>
      </c>
    </row>
    <row r="1095" spans="9:12" x14ac:dyDescent="0.45">
      <c r="I1095" t="s">
        <v>192</v>
      </c>
      <c r="J1095" t="s">
        <v>256</v>
      </c>
      <c r="K1095">
        <v>5.1725012391972094E-2</v>
      </c>
      <c r="L1095" t="s">
        <v>154</v>
      </c>
    </row>
    <row r="1096" spans="9:12" x14ac:dyDescent="0.45">
      <c r="I1096" t="s">
        <v>192</v>
      </c>
      <c r="J1096" t="s">
        <v>257</v>
      </c>
      <c r="K1096">
        <v>3.7296716682685353E-2</v>
      </c>
      <c r="L1096" t="s">
        <v>154</v>
      </c>
    </row>
    <row r="1097" spans="9:12" x14ac:dyDescent="0.45">
      <c r="I1097" t="s">
        <v>192</v>
      </c>
      <c r="J1097" t="s">
        <v>282</v>
      </c>
      <c r="K1097">
        <v>2.0919041236858584E-2</v>
      </c>
      <c r="L1097" t="s">
        <v>154</v>
      </c>
    </row>
    <row r="1098" spans="9:12" x14ac:dyDescent="0.45">
      <c r="I1098" t="s">
        <v>192</v>
      </c>
      <c r="J1098" t="s">
        <v>283</v>
      </c>
      <c r="K1098">
        <v>0</v>
      </c>
      <c r="L1098" t="s">
        <v>154</v>
      </c>
    </row>
    <row r="1099" spans="9:12" x14ac:dyDescent="0.45">
      <c r="I1099" t="s">
        <v>192</v>
      </c>
      <c r="J1099" t="s">
        <v>157</v>
      </c>
      <c r="K1099">
        <v>0</v>
      </c>
      <c r="L1099" t="s">
        <v>154</v>
      </c>
    </row>
    <row r="1100" spans="9:12" x14ac:dyDescent="0.45">
      <c r="I1100" t="s">
        <v>192</v>
      </c>
      <c r="J1100" t="s">
        <v>158</v>
      </c>
      <c r="K1100">
        <v>6.9465784077859041E-3</v>
      </c>
      <c r="L1100" t="s">
        <v>154</v>
      </c>
    </row>
    <row r="1101" spans="9:12" x14ac:dyDescent="0.45">
      <c r="I1101" t="s">
        <v>192</v>
      </c>
      <c r="J1101" t="s">
        <v>159</v>
      </c>
      <c r="K1101">
        <v>5.7277850319244934E-3</v>
      </c>
      <c r="L1101" t="s">
        <v>154</v>
      </c>
    </row>
    <row r="1102" spans="9:12" x14ac:dyDescent="0.45">
      <c r="I1102" t="s">
        <v>192</v>
      </c>
      <c r="J1102" t="s">
        <v>258</v>
      </c>
      <c r="K1102">
        <v>4.1601665383284102E-2</v>
      </c>
      <c r="L1102" t="s">
        <v>154</v>
      </c>
    </row>
    <row r="1103" spans="9:12" x14ac:dyDescent="0.45">
      <c r="I1103" t="s">
        <v>192</v>
      </c>
      <c r="J1103" t="s">
        <v>259</v>
      </c>
      <c r="K1103">
        <v>4.3026380712631014E-3</v>
      </c>
      <c r="L1103" t="s">
        <v>154</v>
      </c>
    </row>
    <row r="1104" spans="9:12" x14ac:dyDescent="0.45">
      <c r="I1104" t="s">
        <v>192</v>
      </c>
      <c r="J1104" t="s">
        <v>260</v>
      </c>
      <c r="K1104">
        <v>2.732032120813634E-3</v>
      </c>
      <c r="L1104" t="s">
        <v>154</v>
      </c>
    </row>
    <row r="1105" spans="9:12" x14ac:dyDescent="0.45">
      <c r="I1105" t="s">
        <v>192</v>
      </c>
      <c r="J1105" t="s">
        <v>284</v>
      </c>
      <c r="K1105">
        <v>1.4370373994817846E-3</v>
      </c>
      <c r="L1105" t="s">
        <v>154</v>
      </c>
    </row>
    <row r="1106" spans="9:12" x14ac:dyDescent="0.45">
      <c r="I1106" t="s">
        <v>192</v>
      </c>
      <c r="J1106" t="s">
        <v>285</v>
      </c>
      <c r="K1106">
        <v>0</v>
      </c>
      <c r="L1106" t="s">
        <v>154</v>
      </c>
    </row>
    <row r="1107" spans="9:12" x14ac:dyDescent="0.45">
      <c r="I1107" t="s">
        <v>192</v>
      </c>
      <c r="J1107" t="s">
        <v>160</v>
      </c>
      <c r="K1107">
        <v>0</v>
      </c>
      <c r="L1107" t="s">
        <v>154</v>
      </c>
    </row>
    <row r="1108" spans="9:12" x14ac:dyDescent="0.45">
      <c r="I1108" t="s">
        <v>192</v>
      </c>
      <c r="J1108" t="s">
        <v>161</v>
      </c>
      <c r="K1108">
        <v>7.4473239638685922E-3</v>
      </c>
      <c r="L1108" t="s">
        <v>154</v>
      </c>
    </row>
    <row r="1109" spans="9:12" x14ac:dyDescent="0.45">
      <c r="I1109" t="s">
        <v>192</v>
      </c>
      <c r="J1109" t="s">
        <v>162</v>
      </c>
      <c r="K1109">
        <v>6.597389811026348E-3</v>
      </c>
      <c r="L1109" t="s">
        <v>154</v>
      </c>
    </row>
    <row r="1110" spans="9:12" x14ac:dyDescent="0.45">
      <c r="I1110" t="s">
        <v>192</v>
      </c>
      <c r="J1110" t="s">
        <v>261</v>
      </c>
      <c r="K1110">
        <v>4.6563765882915185E-2</v>
      </c>
      <c r="L1110" t="s">
        <v>154</v>
      </c>
    </row>
    <row r="1111" spans="9:12" x14ac:dyDescent="0.45">
      <c r="I1111" t="s">
        <v>192</v>
      </c>
      <c r="J1111" t="s">
        <v>262</v>
      </c>
      <c r="K1111">
        <v>4.905259488373977E-3</v>
      </c>
      <c r="L1111" t="s">
        <v>154</v>
      </c>
    </row>
    <row r="1112" spans="9:12" x14ac:dyDescent="0.45">
      <c r="I1112" t="s">
        <v>192</v>
      </c>
      <c r="J1112" t="s">
        <v>263</v>
      </c>
      <c r="K1112">
        <v>2.8998080852128279E-3</v>
      </c>
      <c r="L1112" t="s">
        <v>154</v>
      </c>
    </row>
    <row r="1113" spans="9:12" x14ac:dyDescent="0.45">
      <c r="I1113" t="s">
        <v>192</v>
      </c>
      <c r="J1113" t="s">
        <v>286</v>
      </c>
      <c r="K1113">
        <v>2.7468975820763285E-4</v>
      </c>
      <c r="L1113" t="s">
        <v>154</v>
      </c>
    </row>
    <row r="1114" spans="9:12" x14ac:dyDescent="0.45">
      <c r="I1114" t="s">
        <v>192</v>
      </c>
      <c r="J1114" t="s">
        <v>287</v>
      </c>
      <c r="K1114">
        <v>0</v>
      </c>
      <c r="L1114" t="s">
        <v>154</v>
      </c>
    </row>
    <row r="1115" spans="9:12" x14ac:dyDescent="0.45">
      <c r="I1115" t="s">
        <v>192</v>
      </c>
      <c r="J1115" t="s">
        <v>163</v>
      </c>
      <c r="K1115">
        <v>0</v>
      </c>
      <c r="L1115" t="s">
        <v>154</v>
      </c>
    </row>
    <row r="1116" spans="9:12" x14ac:dyDescent="0.45">
      <c r="I1116" t="s">
        <v>192</v>
      </c>
      <c r="J1116" t="s">
        <v>164</v>
      </c>
      <c r="K1116">
        <v>8.52058273655373E-3</v>
      </c>
      <c r="L1116" t="s">
        <v>154</v>
      </c>
    </row>
    <row r="1117" spans="9:12" x14ac:dyDescent="0.45">
      <c r="I1117" t="s">
        <v>192</v>
      </c>
      <c r="J1117" t="s">
        <v>165</v>
      </c>
      <c r="K1117">
        <v>6.1839412983693623E-3</v>
      </c>
      <c r="L1117" t="s">
        <v>154</v>
      </c>
    </row>
    <row r="1118" spans="9:12" x14ac:dyDescent="0.45">
      <c r="I1118" t="s">
        <v>192</v>
      </c>
      <c r="J1118" t="s">
        <v>264</v>
      </c>
      <c r="K1118">
        <v>4.0723348065647473E-2</v>
      </c>
      <c r="L1118" t="s">
        <v>154</v>
      </c>
    </row>
    <row r="1119" spans="9:12" x14ac:dyDescent="0.45">
      <c r="I1119" t="s">
        <v>192</v>
      </c>
      <c r="J1119" t="s">
        <v>265</v>
      </c>
      <c r="K1119">
        <v>4.5674334307421729E-3</v>
      </c>
      <c r="L1119" t="s">
        <v>154</v>
      </c>
    </row>
    <row r="1120" spans="9:12" x14ac:dyDescent="0.45">
      <c r="I1120" t="s">
        <v>192</v>
      </c>
      <c r="J1120" t="s">
        <v>266</v>
      </c>
      <c r="K1120">
        <v>2.7726237804608861E-3</v>
      </c>
      <c r="L1120" t="s">
        <v>154</v>
      </c>
    </row>
    <row r="1121" spans="9:12" x14ac:dyDescent="0.45">
      <c r="I1121" t="s">
        <v>192</v>
      </c>
      <c r="J1121" t="s">
        <v>288</v>
      </c>
      <c r="K1121">
        <v>0</v>
      </c>
      <c r="L1121" t="s">
        <v>154</v>
      </c>
    </row>
    <row r="1122" spans="9:12" x14ac:dyDescent="0.45">
      <c r="I1122" t="s">
        <v>192</v>
      </c>
      <c r="J1122" t="s">
        <v>289</v>
      </c>
      <c r="K1122">
        <v>0</v>
      </c>
      <c r="L1122" t="s">
        <v>154</v>
      </c>
    </row>
    <row r="1123" spans="9:12" x14ac:dyDescent="0.45">
      <c r="I1123" t="s">
        <v>192</v>
      </c>
      <c r="J1123" t="s">
        <v>272</v>
      </c>
      <c r="K1123">
        <v>0</v>
      </c>
      <c r="L1123" t="s">
        <v>154</v>
      </c>
    </row>
    <row r="1124" spans="9:12" x14ac:dyDescent="0.45">
      <c r="I1124" t="s">
        <v>192</v>
      </c>
      <c r="J1124" t="s">
        <v>273</v>
      </c>
      <c r="K1124">
        <v>1.6410488002886629E-2</v>
      </c>
      <c r="L1124" t="s">
        <v>154</v>
      </c>
    </row>
    <row r="1125" spans="9:12" x14ac:dyDescent="0.45">
      <c r="I1125" t="s">
        <v>192</v>
      </c>
      <c r="J1125" t="s">
        <v>274</v>
      </c>
      <c r="K1125">
        <v>1.3324525134898147E-2</v>
      </c>
      <c r="L1125" t="s">
        <v>154</v>
      </c>
    </row>
    <row r="1126" spans="9:12" x14ac:dyDescent="0.45">
      <c r="I1126" t="s">
        <v>192</v>
      </c>
      <c r="J1126" t="s">
        <v>275</v>
      </c>
      <c r="K1126">
        <v>8.844675150870189E-2</v>
      </c>
      <c r="L1126" t="s">
        <v>154</v>
      </c>
    </row>
    <row r="1127" spans="9:12" x14ac:dyDescent="0.45">
      <c r="I1127" t="s">
        <v>192</v>
      </c>
      <c r="J1127" t="s">
        <v>276</v>
      </c>
      <c r="K1127">
        <v>9.4937481406794366E-3</v>
      </c>
      <c r="L1127" t="s">
        <v>154</v>
      </c>
    </row>
    <row r="1128" spans="9:12" x14ac:dyDescent="0.45">
      <c r="I1128" t="s">
        <v>192</v>
      </c>
      <c r="J1128" t="s">
        <v>277</v>
      </c>
      <c r="K1128">
        <v>6.192284051898928E-3</v>
      </c>
      <c r="L1128" t="s">
        <v>154</v>
      </c>
    </row>
    <row r="1129" spans="9:12" x14ac:dyDescent="0.45">
      <c r="I1129" t="s">
        <v>192</v>
      </c>
      <c r="J1129" t="s">
        <v>290</v>
      </c>
      <c r="K1129">
        <v>0</v>
      </c>
      <c r="L1129" t="s">
        <v>154</v>
      </c>
    </row>
    <row r="1130" spans="9:12" x14ac:dyDescent="0.45">
      <c r="I1130" t="s">
        <v>192</v>
      </c>
      <c r="J1130" t="s">
        <v>291</v>
      </c>
      <c r="K1130">
        <v>0</v>
      </c>
      <c r="L1130" t="s">
        <v>154</v>
      </c>
    </row>
    <row r="1131" spans="9:12" x14ac:dyDescent="0.45">
      <c r="I1131" t="s">
        <v>193</v>
      </c>
      <c r="J1131" t="s">
        <v>153</v>
      </c>
      <c r="K1131">
        <v>1.2897840522305482E-3</v>
      </c>
      <c r="L1131" t="s">
        <v>154</v>
      </c>
    </row>
    <row r="1132" spans="9:12" x14ac:dyDescent="0.45">
      <c r="I1132" t="s">
        <v>193</v>
      </c>
      <c r="J1132" t="s">
        <v>155</v>
      </c>
      <c r="K1132">
        <v>6.8542831971443494E-2</v>
      </c>
      <c r="L1132" t="s">
        <v>154</v>
      </c>
    </row>
    <row r="1133" spans="9:12" x14ac:dyDescent="0.45">
      <c r="I1133" t="s">
        <v>193</v>
      </c>
      <c r="J1133" t="s">
        <v>156</v>
      </c>
      <c r="K1133">
        <v>5.7141758792342949E-2</v>
      </c>
      <c r="L1133" t="s">
        <v>154</v>
      </c>
    </row>
    <row r="1134" spans="9:12" x14ac:dyDescent="0.45">
      <c r="I1134" t="s">
        <v>193</v>
      </c>
      <c r="J1134" t="s">
        <v>255</v>
      </c>
      <c r="K1134">
        <v>0.42451098354513644</v>
      </c>
      <c r="L1134" t="s">
        <v>154</v>
      </c>
    </row>
    <row r="1135" spans="9:12" x14ac:dyDescent="0.45">
      <c r="I1135" t="s">
        <v>193</v>
      </c>
      <c r="J1135" t="s">
        <v>256</v>
      </c>
      <c r="K1135">
        <v>5.020872071919185E-2</v>
      </c>
      <c r="L1135" t="s">
        <v>154</v>
      </c>
    </row>
    <row r="1136" spans="9:12" x14ac:dyDescent="0.45">
      <c r="I1136" t="s">
        <v>193</v>
      </c>
      <c r="J1136" t="s">
        <v>257</v>
      </c>
      <c r="K1136">
        <v>3.6694473449452279E-2</v>
      </c>
      <c r="L1136" t="s">
        <v>154</v>
      </c>
    </row>
    <row r="1137" spans="9:12" x14ac:dyDescent="0.45">
      <c r="I1137" t="s">
        <v>193</v>
      </c>
      <c r="J1137" t="s">
        <v>282</v>
      </c>
      <c r="K1137">
        <v>2.139883432184489E-2</v>
      </c>
      <c r="L1137" t="s">
        <v>154</v>
      </c>
    </row>
    <row r="1138" spans="9:12" x14ac:dyDescent="0.45">
      <c r="I1138" t="s">
        <v>193</v>
      </c>
      <c r="J1138" t="s">
        <v>283</v>
      </c>
      <c r="K1138">
        <v>0</v>
      </c>
      <c r="L1138" t="s">
        <v>154</v>
      </c>
    </row>
    <row r="1139" spans="9:12" x14ac:dyDescent="0.45">
      <c r="I1139" t="s">
        <v>193</v>
      </c>
      <c r="J1139" t="s">
        <v>157</v>
      </c>
      <c r="K1139">
        <v>0</v>
      </c>
      <c r="L1139" t="s">
        <v>154</v>
      </c>
    </row>
    <row r="1140" spans="9:12" x14ac:dyDescent="0.45">
      <c r="I1140" t="s">
        <v>193</v>
      </c>
      <c r="J1140" t="s">
        <v>158</v>
      </c>
      <c r="K1140">
        <v>6.7830817239967773E-3</v>
      </c>
      <c r="L1140" t="s">
        <v>154</v>
      </c>
    </row>
    <row r="1141" spans="9:12" x14ac:dyDescent="0.45">
      <c r="I1141" t="s">
        <v>193</v>
      </c>
      <c r="J1141" t="s">
        <v>159</v>
      </c>
      <c r="K1141">
        <v>5.8270030742444143E-3</v>
      </c>
      <c r="L1141" t="s">
        <v>154</v>
      </c>
    </row>
    <row r="1142" spans="9:12" x14ac:dyDescent="0.45">
      <c r="I1142" t="s">
        <v>193</v>
      </c>
      <c r="J1142" t="s">
        <v>258</v>
      </c>
      <c r="K1142">
        <v>4.1565901199908863E-2</v>
      </c>
      <c r="L1142" t="s">
        <v>154</v>
      </c>
    </row>
    <row r="1143" spans="9:12" x14ac:dyDescent="0.45">
      <c r="I1143" t="s">
        <v>193</v>
      </c>
      <c r="J1143" t="s">
        <v>259</v>
      </c>
      <c r="K1143">
        <v>4.4904001819406382E-3</v>
      </c>
      <c r="L1143" t="s">
        <v>154</v>
      </c>
    </row>
    <row r="1144" spans="9:12" x14ac:dyDescent="0.45">
      <c r="I1144" t="s">
        <v>193</v>
      </c>
      <c r="J1144" t="s">
        <v>260</v>
      </c>
      <c r="K1144">
        <v>2.9664691532425109E-3</v>
      </c>
      <c r="L1144" t="s">
        <v>154</v>
      </c>
    </row>
    <row r="1145" spans="9:12" x14ac:dyDescent="0.45">
      <c r="I1145" t="s">
        <v>193</v>
      </c>
      <c r="J1145" t="s">
        <v>284</v>
      </c>
      <c r="K1145">
        <v>1.5094280429891736E-3</v>
      </c>
      <c r="L1145" t="s">
        <v>154</v>
      </c>
    </row>
    <row r="1146" spans="9:12" x14ac:dyDescent="0.45">
      <c r="I1146" t="s">
        <v>193</v>
      </c>
      <c r="J1146" t="s">
        <v>285</v>
      </c>
      <c r="K1146">
        <v>0</v>
      </c>
      <c r="L1146" t="s">
        <v>154</v>
      </c>
    </row>
    <row r="1147" spans="9:12" x14ac:dyDescent="0.45">
      <c r="I1147" t="s">
        <v>193</v>
      </c>
      <c r="J1147" t="s">
        <v>160</v>
      </c>
      <c r="K1147">
        <v>0</v>
      </c>
      <c r="L1147" t="s">
        <v>154</v>
      </c>
    </row>
    <row r="1148" spans="9:12" x14ac:dyDescent="0.45">
      <c r="I1148" t="s">
        <v>193</v>
      </c>
      <c r="J1148" t="s">
        <v>161</v>
      </c>
      <c r="K1148">
        <v>7.4280667754160383E-3</v>
      </c>
      <c r="L1148" t="s">
        <v>154</v>
      </c>
    </row>
    <row r="1149" spans="9:12" x14ac:dyDescent="0.45">
      <c r="I1149" t="s">
        <v>193</v>
      </c>
      <c r="J1149" t="s">
        <v>162</v>
      </c>
      <c r="K1149">
        <v>6.6655660341215141E-3</v>
      </c>
      <c r="L1149" t="s">
        <v>154</v>
      </c>
    </row>
    <row r="1150" spans="9:12" x14ac:dyDescent="0.45">
      <c r="I1150" t="s">
        <v>193</v>
      </c>
      <c r="J1150" t="s">
        <v>261</v>
      </c>
      <c r="K1150">
        <v>4.7543070281459175E-2</v>
      </c>
      <c r="L1150" t="s">
        <v>154</v>
      </c>
    </row>
    <row r="1151" spans="9:12" x14ac:dyDescent="0.45">
      <c r="I1151" t="s">
        <v>193</v>
      </c>
      <c r="J1151" t="s">
        <v>262</v>
      </c>
      <c r="K1151">
        <v>4.5984565668736668E-3</v>
      </c>
      <c r="L1151" t="s">
        <v>154</v>
      </c>
    </row>
    <row r="1152" spans="9:12" x14ac:dyDescent="0.45">
      <c r="I1152" t="s">
        <v>193</v>
      </c>
      <c r="J1152" t="s">
        <v>263</v>
      </c>
      <c r="K1152">
        <v>2.9095095990148236E-3</v>
      </c>
      <c r="L1152" t="s">
        <v>154</v>
      </c>
    </row>
    <row r="1153" spans="9:12" x14ac:dyDescent="0.45">
      <c r="I1153" t="s">
        <v>193</v>
      </c>
      <c r="J1153" t="s">
        <v>286</v>
      </c>
      <c r="K1153">
        <v>6.2833662778139735E-4</v>
      </c>
      <c r="L1153" t="s">
        <v>154</v>
      </c>
    </row>
    <row r="1154" spans="9:12" x14ac:dyDescent="0.45">
      <c r="I1154" t="s">
        <v>193</v>
      </c>
      <c r="J1154" t="s">
        <v>287</v>
      </c>
      <c r="K1154">
        <v>0</v>
      </c>
      <c r="L1154" t="s">
        <v>154</v>
      </c>
    </row>
    <row r="1155" spans="9:12" x14ac:dyDescent="0.45">
      <c r="I1155" t="s">
        <v>193</v>
      </c>
      <c r="J1155" t="s">
        <v>163</v>
      </c>
      <c r="K1155">
        <v>0</v>
      </c>
      <c r="L1155" t="s">
        <v>154</v>
      </c>
    </row>
    <row r="1156" spans="9:12" x14ac:dyDescent="0.45">
      <c r="I1156" t="s">
        <v>193</v>
      </c>
      <c r="J1156" t="s">
        <v>164</v>
      </c>
      <c r="K1156">
        <v>8.2659696264356201E-3</v>
      </c>
      <c r="L1156" t="s">
        <v>154</v>
      </c>
    </row>
    <row r="1157" spans="9:12" x14ac:dyDescent="0.45">
      <c r="I1157" t="s">
        <v>193</v>
      </c>
      <c r="J1157" t="s">
        <v>165</v>
      </c>
      <c r="K1157">
        <v>6.6342887434523799E-3</v>
      </c>
      <c r="L1157" t="s">
        <v>154</v>
      </c>
    </row>
    <row r="1158" spans="9:12" x14ac:dyDescent="0.45">
      <c r="I1158" t="s">
        <v>193</v>
      </c>
      <c r="J1158" t="s">
        <v>264</v>
      </c>
      <c r="K1158">
        <v>4.244033053691755E-2</v>
      </c>
      <c r="L1158" t="s">
        <v>154</v>
      </c>
    </row>
    <row r="1159" spans="9:12" x14ac:dyDescent="0.45">
      <c r="I1159" t="s">
        <v>193</v>
      </c>
      <c r="J1159" t="s">
        <v>265</v>
      </c>
      <c r="K1159">
        <v>4.9569828160197886E-3</v>
      </c>
      <c r="L1159" t="s">
        <v>154</v>
      </c>
    </row>
    <row r="1160" spans="9:12" x14ac:dyDescent="0.45">
      <c r="I1160" t="s">
        <v>193</v>
      </c>
      <c r="J1160" t="s">
        <v>266</v>
      </c>
      <c r="K1160">
        <v>3.0890982183743865E-3</v>
      </c>
      <c r="L1160" t="s">
        <v>154</v>
      </c>
    </row>
    <row r="1161" spans="9:12" x14ac:dyDescent="0.45">
      <c r="I1161" t="s">
        <v>193</v>
      </c>
      <c r="J1161" t="s">
        <v>288</v>
      </c>
      <c r="K1161">
        <v>0</v>
      </c>
      <c r="L1161" t="s">
        <v>154</v>
      </c>
    </row>
    <row r="1162" spans="9:12" x14ac:dyDescent="0.45">
      <c r="I1162" t="s">
        <v>193</v>
      </c>
      <c r="J1162" t="s">
        <v>289</v>
      </c>
      <c r="K1162">
        <v>0</v>
      </c>
      <c r="L1162" t="s">
        <v>154</v>
      </c>
    </row>
    <row r="1163" spans="9:12" x14ac:dyDescent="0.45">
      <c r="I1163" t="s">
        <v>193</v>
      </c>
      <c r="J1163" t="s">
        <v>272</v>
      </c>
      <c r="K1163">
        <v>0</v>
      </c>
      <c r="L1163" t="s">
        <v>154</v>
      </c>
    </row>
    <row r="1164" spans="9:12" x14ac:dyDescent="0.45">
      <c r="I1164" t="s">
        <v>193</v>
      </c>
      <c r="J1164" t="s">
        <v>273</v>
      </c>
      <c r="K1164">
        <v>1.6156943123946516E-2</v>
      </c>
      <c r="L1164" t="s">
        <v>154</v>
      </c>
    </row>
    <row r="1165" spans="9:12" x14ac:dyDescent="0.45">
      <c r="I1165" t="s">
        <v>193</v>
      </c>
      <c r="J1165" t="s">
        <v>274</v>
      </c>
      <c r="K1165">
        <v>1.3804093519877927E-2</v>
      </c>
      <c r="L1165" t="s">
        <v>154</v>
      </c>
    </row>
    <row r="1166" spans="9:12" x14ac:dyDescent="0.45">
      <c r="I1166" t="s">
        <v>193</v>
      </c>
      <c r="J1166" t="s">
        <v>275</v>
      </c>
      <c r="K1166">
        <v>9.4242585275245955E-2</v>
      </c>
      <c r="L1166" t="s">
        <v>154</v>
      </c>
    </row>
    <row r="1167" spans="9:12" x14ac:dyDescent="0.45">
      <c r="I1167" t="s">
        <v>193</v>
      </c>
      <c r="J1167" t="s">
        <v>276</v>
      </c>
      <c r="K1167">
        <v>1.0794496554466801E-2</v>
      </c>
      <c r="L1167" t="s">
        <v>154</v>
      </c>
    </row>
    <row r="1168" spans="9:12" x14ac:dyDescent="0.45">
      <c r="I1168" t="s">
        <v>193</v>
      </c>
      <c r="J1168" t="s">
        <v>277</v>
      </c>
      <c r="K1168">
        <v>6.9037570276006535E-3</v>
      </c>
      <c r="L1168" t="s">
        <v>154</v>
      </c>
    </row>
    <row r="1169" spans="9:12" x14ac:dyDescent="0.45">
      <c r="I1169" t="s">
        <v>193</v>
      </c>
      <c r="J1169" t="s">
        <v>290</v>
      </c>
      <c r="K1169">
        <v>8.7784450310337493E-6</v>
      </c>
      <c r="L1169" t="s">
        <v>154</v>
      </c>
    </row>
    <row r="1170" spans="9:12" x14ac:dyDescent="0.45">
      <c r="I1170" t="s">
        <v>193</v>
      </c>
      <c r="J1170" t="s">
        <v>291</v>
      </c>
      <c r="K1170">
        <v>0</v>
      </c>
      <c r="L1170" t="s">
        <v>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1595D-6004-476B-9631-21B9B44333B0}">
  <dimension ref="A9:AN39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103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241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247</v>
      </c>
      <c r="AK10" t="s">
        <v>47</v>
      </c>
      <c r="AL10" t="s">
        <v>115</v>
      </c>
      <c r="AM10" t="s">
        <v>248</v>
      </c>
      <c r="AN10" t="s">
        <v>249</v>
      </c>
    </row>
    <row r="11" spans="1:40" x14ac:dyDescent="0.45">
      <c r="A11" t="str">
        <f>IFERROR(IF(Veda!D5=A10,"ok","x"),"")</f>
        <v>ok</v>
      </c>
      <c r="C11" t="s">
        <v>294</v>
      </c>
      <c r="D11" t="s">
        <v>143</v>
      </c>
      <c r="E11" t="s">
        <v>295</v>
      </c>
      <c r="F11" t="s">
        <v>294</v>
      </c>
      <c r="G11" t="s">
        <v>143</v>
      </c>
      <c r="I11" t="s">
        <v>152</v>
      </c>
      <c r="J11" t="s">
        <v>296</v>
      </c>
      <c r="K11">
        <v>0.99999999999999933</v>
      </c>
      <c r="L11" t="s">
        <v>154</v>
      </c>
      <c r="N11" t="s">
        <v>194</v>
      </c>
      <c r="O11" t="s">
        <v>296</v>
      </c>
      <c r="P11">
        <v>0.99999999999999933</v>
      </c>
      <c r="Q11" t="s">
        <v>154</v>
      </c>
      <c r="S11" t="s">
        <v>218</v>
      </c>
      <c r="T11" t="s">
        <v>296</v>
      </c>
      <c r="U11">
        <v>0.99999999999999922</v>
      </c>
      <c r="V11" t="s">
        <v>154</v>
      </c>
      <c r="X11">
        <v>1</v>
      </c>
      <c r="Y11">
        <v>1.0000000000000002</v>
      </c>
      <c r="Z11" t="s">
        <v>296</v>
      </c>
      <c r="AA11" t="s">
        <v>25</v>
      </c>
      <c r="AC11" t="s">
        <v>22</v>
      </c>
      <c r="AD11" t="s">
        <v>296</v>
      </c>
      <c r="AE11">
        <v>1</v>
      </c>
      <c r="AG11" t="s">
        <v>96</v>
      </c>
      <c r="AH11" t="s">
        <v>296</v>
      </c>
      <c r="AI11">
        <v>0.39488101328326941</v>
      </c>
      <c r="AK11">
        <v>2020</v>
      </c>
      <c r="AL11" t="s">
        <v>294</v>
      </c>
      <c r="AM11">
        <v>0.26541666666666663</v>
      </c>
      <c r="AN11" t="s">
        <v>250</v>
      </c>
    </row>
    <row r="12" spans="1:40" x14ac:dyDescent="0.45">
      <c r="I12" t="s">
        <v>166</v>
      </c>
      <c r="J12" t="s">
        <v>296</v>
      </c>
      <c r="K12">
        <v>0.999999999999999</v>
      </c>
      <c r="L12" t="s">
        <v>154</v>
      </c>
      <c r="N12" t="s">
        <v>195</v>
      </c>
      <c r="O12" t="s">
        <v>296</v>
      </c>
      <c r="P12">
        <v>0.99999999999999678</v>
      </c>
      <c r="Q12" t="s">
        <v>154</v>
      </c>
      <c r="S12" t="s">
        <v>219</v>
      </c>
      <c r="T12" t="s">
        <v>296</v>
      </c>
      <c r="U12">
        <v>1.0000000000000038</v>
      </c>
      <c r="V12" t="s">
        <v>154</v>
      </c>
      <c r="AC12" t="s">
        <v>19</v>
      </c>
      <c r="AD12" t="s">
        <v>296</v>
      </c>
      <c r="AE12">
        <v>1</v>
      </c>
      <c r="AK12">
        <v>2021</v>
      </c>
      <c r="AL12" t="s">
        <v>294</v>
      </c>
      <c r="AM12">
        <v>0.34538333333333332</v>
      </c>
      <c r="AN12" t="s">
        <v>250</v>
      </c>
    </row>
    <row r="13" spans="1:40" x14ac:dyDescent="0.45">
      <c r="I13" t="s">
        <v>167</v>
      </c>
      <c r="J13" t="s">
        <v>296</v>
      </c>
      <c r="K13">
        <v>1.000000000000002</v>
      </c>
      <c r="L13" t="s">
        <v>154</v>
      </c>
      <c r="N13" t="s">
        <v>196</v>
      </c>
      <c r="O13" t="s">
        <v>296</v>
      </c>
      <c r="P13">
        <v>0.99999999999999722</v>
      </c>
      <c r="Q13" t="s">
        <v>154</v>
      </c>
      <c r="S13" t="s">
        <v>220</v>
      </c>
      <c r="T13" t="s">
        <v>296</v>
      </c>
      <c r="U13">
        <v>0.99999999999999456</v>
      </c>
      <c r="V13" t="s">
        <v>154</v>
      </c>
      <c r="AK13">
        <v>2022</v>
      </c>
      <c r="AL13" t="s">
        <v>294</v>
      </c>
      <c r="AM13">
        <v>0.37666666666666665</v>
      </c>
      <c r="AN13" t="s">
        <v>250</v>
      </c>
    </row>
    <row r="14" spans="1:40" x14ac:dyDescent="0.45">
      <c r="I14" t="s">
        <v>168</v>
      </c>
      <c r="J14" t="s">
        <v>296</v>
      </c>
      <c r="K14">
        <v>1.0000000000000013</v>
      </c>
      <c r="L14" t="s">
        <v>154</v>
      </c>
      <c r="N14" t="s">
        <v>197</v>
      </c>
      <c r="O14" t="s">
        <v>296</v>
      </c>
      <c r="P14">
        <v>0.99999999999999611</v>
      </c>
      <c r="Q14" t="s">
        <v>154</v>
      </c>
      <c r="S14" t="s">
        <v>221</v>
      </c>
      <c r="T14" t="s">
        <v>296</v>
      </c>
      <c r="U14">
        <v>1.000000000000004</v>
      </c>
      <c r="V14" t="s">
        <v>154</v>
      </c>
      <c r="AK14">
        <v>2025</v>
      </c>
      <c r="AL14" t="s">
        <v>294</v>
      </c>
      <c r="AM14">
        <v>0.30396666666666672</v>
      </c>
      <c r="AN14" t="s">
        <v>250</v>
      </c>
    </row>
    <row r="15" spans="1:40" x14ac:dyDescent="0.45">
      <c r="I15" t="s">
        <v>169</v>
      </c>
      <c r="J15" t="s">
        <v>296</v>
      </c>
      <c r="K15">
        <v>1.0000000000000004</v>
      </c>
      <c r="L15" t="s">
        <v>154</v>
      </c>
      <c r="N15" t="s">
        <v>198</v>
      </c>
      <c r="O15" t="s">
        <v>296</v>
      </c>
      <c r="P15">
        <v>1.0000000000000007</v>
      </c>
      <c r="Q15" t="s">
        <v>154</v>
      </c>
      <c r="S15" t="s">
        <v>222</v>
      </c>
      <c r="T15" t="s">
        <v>296</v>
      </c>
      <c r="U15">
        <v>0.99999999999999956</v>
      </c>
      <c r="V15" t="s">
        <v>154</v>
      </c>
      <c r="AK15">
        <v>2026</v>
      </c>
      <c r="AL15" t="s">
        <v>294</v>
      </c>
      <c r="AM15">
        <v>0.39114166666666667</v>
      </c>
      <c r="AN15" t="s">
        <v>250</v>
      </c>
    </row>
    <row r="16" spans="1:40" x14ac:dyDescent="0.45">
      <c r="I16" t="s">
        <v>170</v>
      </c>
      <c r="J16" t="s">
        <v>296</v>
      </c>
      <c r="K16">
        <v>1.0000000000000009</v>
      </c>
      <c r="L16" t="s">
        <v>154</v>
      </c>
      <c r="N16" t="s">
        <v>199</v>
      </c>
      <c r="O16" t="s">
        <v>296</v>
      </c>
      <c r="P16">
        <v>0.99999999999999745</v>
      </c>
      <c r="Q16" t="s">
        <v>154</v>
      </c>
      <c r="S16" t="s">
        <v>223</v>
      </c>
      <c r="T16" t="s">
        <v>296</v>
      </c>
      <c r="U16">
        <v>1.000000000000002</v>
      </c>
      <c r="V16" t="s">
        <v>154</v>
      </c>
      <c r="AK16">
        <v>2027</v>
      </c>
      <c r="AL16" t="s">
        <v>294</v>
      </c>
      <c r="AM16">
        <v>0.42809999999999998</v>
      </c>
      <c r="AN16" t="s">
        <v>250</v>
      </c>
    </row>
    <row r="17" spans="9:40" x14ac:dyDescent="0.45">
      <c r="I17" t="s">
        <v>171</v>
      </c>
      <c r="J17" t="s">
        <v>296</v>
      </c>
      <c r="K17">
        <v>1.0000000000000009</v>
      </c>
      <c r="L17" t="s">
        <v>154</v>
      </c>
      <c r="N17" t="s">
        <v>200</v>
      </c>
      <c r="O17" t="s">
        <v>296</v>
      </c>
      <c r="P17">
        <v>0.99999999999999578</v>
      </c>
      <c r="Q17" t="s">
        <v>154</v>
      </c>
      <c r="S17" t="s">
        <v>224</v>
      </c>
      <c r="T17" t="s">
        <v>296</v>
      </c>
      <c r="U17">
        <v>0.99999999999999889</v>
      </c>
      <c r="V17" t="s">
        <v>154</v>
      </c>
      <c r="AK17">
        <v>2028</v>
      </c>
      <c r="AL17" t="s">
        <v>294</v>
      </c>
      <c r="AM17">
        <v>0.44468333333333332</v>
      </c>
      <c r="AN17" t="s">
        <v>250</v>
      </c>
    </row>
    <row r="18" spans="9:40" x14ac:dyDescent="0.45">
      <c r="I18" t="s">
        <v>172</v>
      </c>
      <c r="J18" t="s">
        <v>296</v>
      </c>
      <c r="K18">
        <v>1.0000000000000036</v>
      </c>
      <c r="L18" t="s">
        <v>154</v>
      </c>
      <c r="N18" t="s">
        <v>201</v>
      </c>
      <c r="O18" t="s">
        <v>296</v>
      </c>
      <c r="P18">
        <v>1.0000000000000016</v>
      </c>
      <c r="Q18" t="s">
        <v>154</v>
      </c>
      <c r="S18" t="s">
        <v>225</v>
      </c>
      <c r="T18" t="s">
        <v>296</v>
      </c>
      <c r="U18">
        <v>1.0000000000000018</v>
      </c>
      <c r="V18" t="s">
        <v>154</v>
      </c>
      <c r="AK18">
        <v>2029</v>
      </c>
      <c r="AL18" t="s">
        <v>294</v>
      </c>
      <c r="AM18">
        <v>0.42909166666666665</v>
      </c>
      <c r="AN18" t="s">
        <v>250</v>
      </c>
    </row>
    <row r="19" spans="9:40" x14ac:dyDescent="0.45">
      <c r="I19" t="s">
        <v>173</v>
      </c>
      <c r="J19" t="s">
        <v>296</v>
      </c>
      <c r="K19">
        <v>0.99999999999999989</v>
      </c>
      <c r="L19" t="s">
        <v>154</v>
      </c>
      <c r="N19" t="s">
        <v>202</v>
      </c>
      <c r="O19" t="s">
        <v>296</v>
      </c>
      <c r="P19">
        <v>0.99999999999999978</v>
      </c>
      <c r="Q19" t="s">
        <v>154</v>
      </c>
      <c r="S19" t="s">
        <v>226</v>
      </c>
      <c r="T19" t="s">
        <v>296</v>
      </c>
      <c r="U19">
        <v>0.99999999999999944</v>
      </c>
      <c r="V19" t="s">
        <v>154</v>
      </c>
      <c r="AK19">
        <v>2030</v>
      </c>
      <c r="AL19" t="s">
        <v>294</v>
      </c>
      <c r="AM19">
        <v>0.43517500000000003</v>
      </c>
      <c r="AN19" t="s">
        <v>250</v>
      </c>
    </row>
    <row r="20" spans="9:40" x14ac:dyDescent="0.45">
      <c r="I20" t="s">
        <v>174</v>
      </c>
      <c r="J20" t="s">
        <v>296</v>
      </c>
      <c r="K20">
        <v>0.99999999999999933</v>
      </c>
      <c r="L20" t="s">
        <v>154</v>
      </c>
      <c r="N20" t="s">
        <v>203</v>
      </c>
      <c r="O20" t="s">
        <v>296</v>
      </c>
      <c r="P20">
        <v>0.99999999999999711</v>
      </c>
      <c r="Q20" t="s">
        <v>154</v>
      </c>
      <c r="S20" t="s">
        <v>227</v>
      </c>
      <c r="T20" t="s">
        <v>296</v>
      </c>
      <c r="U20">
        <v>1.0000000000000016</v>
      </c>
      <c r="V20" t="s">
        <v>154</v>
      </c>
      <c r="AK20">
        <v>2031</v>
      </c>
      <c r="AL20" t="s">
        <v>294</v>
      </c>
      <c r="AM20">
        <v>0.37543333333333334</v>
      </c>
      <c r="AN20" t="s">
        <v>250</v>
      </c>
    </row>
    <row r="21" spans="9:40" x14ac:dyDescent="0.45">
      <c r="I21" t="s">
        <v>175</v>
      </c>
      <c r="J21" t="s">
        <v>296</v>
      </c>
      <c r="K21">
        <v>1.0000000000000007</v>
      </c>
      <c r="L21" t="s">
        <v>154</v>
      </c>
      <c r="N21" t="s">
        <v>204</v>
      </c>
      <c r="O21" t="s">
        <v>296</v>
      </c>
      <c r="P21">
        <v>1.000000000000002</v>
      </c>
      <c r="Q21" t="s">
        <v>154</v>
      </c>
      <c r="S21" t="s">
        <v>228</v>
      </c>
      <c r="T21" t="s">
        <v>296</v>
      </c>
      <c r="U21">
        <v>0.99999999999999845</v>
      </c>
      <c r="V21" t="s">
        <v>154</v>
      </c>
      <c r="AK21">
        <v>2032</v>
      </c>
      <c r="AL21" t="s">
        <v>294</v>
      </c>
      <c r="AM21">
        <v>0.33934166666666671</v>
      </c>
      <c r="AN21" t="s">
        <v>250</v>
      </c>
    </row>
    <row r="22" spans="9:40" x14ac:dyDescent="0.45">
      <c r="I22" t="s">
        <v>176</v>
      </c>
      <c r="J22" t="s">
        <v>296</v>
      </c>
      <c r="K22">
        <v>0.99999999999999978</v>
      </c>
      <c r="L22" t="s">
        <v>154</v>
      </c>
      <c r="N22" t="s">
        <v>205</v>
      </c>
      <c r="O22" t="s">
        <v>296</v>
      </c>
      <c r="P22">
        <v>1.0000000000000036</v>
      </c>
      <c r="Q22" t="s">
        <v>154</v>
      </c>
      <c r="S22" t="s">
        <v>229</v>
      </c>
      <c r="T22" t="s">
        <v>296</v>
      </c>
      <c r="U22">
        <v>0.99999999999999989</v>
      </c>
      <c r="V22" t="s">
        <v>154</v>
      </c>
      <c r="AK22">
        <v>2033</v>
      </c>
      <c r="AL22" t="s">
        <v>294</v>
      </c>
      <c r="AM22">
        <v>0.34362500000000001</v>
      </c>
      <c r="AN22" t="s">
        <v>250</v>
      </c>
    </row>
    <row r="23" spans="9:40" x14ac:dyDescent="0.45">
      <c r="I23" t="s">
        <v>177</v>
      </c>
      <c r="J23" t="s">
        <v>296</v>
      </c>
      <c r="K23">
        <v>1.0000000000000027</v>
      </c>
      <c r="L23" t="s">
        <v>154</v>
      </c>
      <c r="N23" t="s">
        <v>206</v>
      </c>
      <c r="O23" t="s">
        <v>296</v>
      </c>
      <c r="P23">
        <v>1.0000000000000022</v>
      </c>
      <c r="Q23" t="s">
        <v>154</v>
      </c>
      <c r="S23" t="s">
        <v>230</v>
      </c>
      <c r="T23" t="s">
        <v>296</v>
      </c>
      <c r="U23">
        <v>0.99999999999999989</v>
      </c>
      <c r="V23" t="s">
        <v>154</v>
      </c>
      <c r="AK23">
        <v>2034</v>
      </c>
      <c r="AL23" t="s">
        <v>294</v>
      </c>
      <c r="AM23">
        <v>0.36804999999999999</v>
      </c>
      <c r="AN23" t="s">
        <v>250</v>
      </c>
    </row>
    <row r="24" spans="9:40" x14ac:dyDescent="0.45">
      <c r="I24" t="s">
        <v>178</v>
      </c>
      <c r="J24" t="s">
        <v>296</v>
      </c>
      <c r="K24">
        <v>1.0000000000000036</v>
      </c>
      <c r="L24" t="s">
        <v>154</v>
      </c>
      <c r="N24" t="s">
        <v>207</v>
      </c>
      <c r="O24" t="s">
        <v>296</v>
      </c>
      <c r="P24">
        <v>1.0000000000000031</v>
      </c>
      <c r="Q24" t="s">
        <v>154</v>
      </c>
      <c r="S24" t="s">
        <v>231</v>
      </c>
      <c r="T24" t="s">
        <v>296</v>
      </c>
      <c r="U24">
        <v>0.99999999999999867</v>
      </c>
      <c r="V24" t="s">
        <v>154</v>
      </c>
      <c r="AK24">
        <v>2035</v>
      </c>
      <c r="AL24" t="s">
        <v>294</v>
      </c>
      <c r="AM24">
        <v>0.39443333333333336</v>
      </c>
      <c r="AN24" t="s">
        <v>250</v>
      </c>
    </row>
    <row r="25" spans="9:40" x14ac:dyDescent="0.45">
      <c r="I25" t="s">
        <v>179</v>
      </c>
      <c r="J25" t="s">
        <v>296</v>
      </c>
      <c r="K25">
        <v>0.99999999999999778</v>
      </c>
      <c r="L25" t="s">
        <v>154</v>
      </c>
      <c r="N25" t="s">
        <v>208</v>
      </c>
      <c r="O25" t="s">
        <v>296</v>
      </c>
      <c r="P25">
        <v>1.0000000000000022</v>
      </c>
      <c r="Q25" t="s">
        <v>154</v>
      </c>
      <c r="S25" t="s">
        <v>232</v>
      </c>
      <c r="T25" t="s">
        <v>296</v>
      </c>
      <c r="U25">
        <v>0.99999999999999933</v>
      </c>
      <c r="V25" t="s">
        <v>154</v>
      </c>
      <c r="AK25">
        <v>2036</v>
      </c>
      <c r="AL25" t="s">
        <v>294</v>
      </c>
      <c r="AM25">
        <v>0.34568333333333334</v>
      </c>
      <c r="AN25" t="s">
        <v>250</v>
      </c>
    </row>
    <row r="26" spans="9:40" x14ac:dyDescent="0.45">
      <c r="I26" t="s">
        <v>180</v>
      </c>
      <c r="J26" t="s">
        <v>296</v>
      </c>
      <c r="K26">
        <v>1.0000000000000013</v>
      </c>
      <c r="L26" t="s">
        <v>154</v>
      </c>
      <c r="N26" t="s">
        <v>209</v>
      </c>
      <c r="O26" t="s">
        <v>296</v>
      </c>
      <c r="P26">
        <v>0.999999999999999</v>
      </c>
      <c r="Q26" t="s">
        <v>154</v>
      </c>
      <c r="S26" t="s">
        <v>233</v>
      </c>
      <c r="T26" t="s">
        <v>296</v>
      </c>
      <c r="U26">
        <v>0.99999999999999656</v>
      </c>
      <c r="V26" t="s">
        <v>154</v>
      </c>
      <c r="AK26">
        <v>2037</v>
      </c>
      <c r="AL26" t="s">
        <v>294</v>
      </c>
      <c r="AM26">
        <v>0.37090000000000001</v>
      </c>
      <c r="AN26" t="s">
        <v>250</v>
      </c>
    </row>
    <row r="27" spans="9:40" x14ac:dyDescent="0.45">
      <c r="I27" t="s">
        <v>181</v>
      </c>
      <c r="J27" t="s">
        <v>296</v>
      </c>
      <c r="K27">
        <v>1.0000000000000004</v>
      </c>
      <c r="L27" t="s">
        <v>154</v>
      </c>
      <c r="N27" t="s">
        <v>210</v>
      </c>
      <c r="O27" t="s">
        <v>296</v>
      </c>
      <c r="P27">
        <v>1.0000000000000004</v>
      </c>
      <c r="Q27" t="s">
        <v>154</v>
      </c>
      <c r="S27" t="s">
        <v>234</v>
      </c>
      <c r="T27" t="s">
        <v>296</v>
      </c>
      <c r="U27">
        <v>1.0000000000000044</v>
      </c>
      <c r="V27" t="s">
        <v>154</v>
      </c>
      <c r="AK27">
        <v>2038</v>
      </c>
      <c r="AL27" t="s">
        <v>294</v>
      </c>
      <c r="AM27">
        <v>0.33183333333333337</v>
      </c>
      <c r="AN27" t="s">
        <v>250</v>
      </c>
    </row>
    <row r="28" spans="9:40" x14ac:dyDescent="0.45">
      <c r="I28" t="s">
        <v>182</v>
      </c>
      <c r="J28" t="s">
        <v>296</v>
      </c>
      <c r="K28">
        <v>0.99999999999999722</v>
      </c>
      <c r="L28" t="s">
        <v>154</v>
      </c>
      <c r="N28" t="s">
        <v>211</v>
      </c>
      <c r="O28" t="s">
        <v>296</v>
      </c>
      <c r="P28">
        <v>0.99999999999999933</v>
      </c>
      <c r="Q28" t="s">
        <v>154</v>
      </c>
      <c r="S28" t="s">
        <v>235</v>
      </c>
      <c r="T28" t="s">
        <v>296</v>
      </c>
      <c r="U28">
        <v>0.99999999999999578</v>
      </c>
      <c r="V28" t="s">
        <v>154</v>
      </c>
      <c r="AK28">
        <v>2039</v>
      </c>
      <c r="AL28" t="s">
        <v>294</v>
      </c>
      <c r="AM28">
        <v>0.36604166666666665</v>
      </c>
      <c r="AN28" t="s">
        <v>250</v>
      </c>
    </row>
    <row r="29" spans="9:40" x14ac:dyDescent="0.45">
      <c r="I29" t="s">
        <v>183</v>
      </c>
      <c r="J29" t="s">
        <v>296</v>
      </c>
      <c r="K29">
        <v>0.99999999999999811</v>
      </c>
      <c r="L29" t="s">
        <v>154</v>
      </c>
      <c r="N29" t="s">
        <v>212</v>
      </c>
      <c r="O29" t="s">
        <v>296</v>
      </c>
      <c r="P29">
        <v>1.0000000000000029</v>
      </c>
      <c r="Q29" t="s">
        <v>154</v>
      </c>
      <c r="S29" t="s">
        <v>236</v>
      </c>
      <c r="T29" t="s">
        <v>296</v>
      </c>
      <c r="U29">
        <v>0.99999999999999856</v>
      </c>
      <c r="V29" t="s">
        <v>154</v>
      </c>
      <c r="AK29">
        <v>2040</v>
      </c>
      <c r="AL29" t="s">
        <v>294</v>
      </c>
      <c r="AM29">
        <v>0.34852499999999997</v>
      </c>
      <c r="AN29" t="s">
        <v>250</v>
      </c>
    </row>
    <row r="30" spans="9:40" x14ac:dyDescent="0.45">
      <c r="I30" t="s">
        <v>184</v>
      </c>
      <c r="J30" t="s">
        <v>296</v>
      </c>
      <c r="K30">
        <v>1.0000000000000002</v>
      </c>
      <c r="L30" t="s">
        <v>154</v>
      </c>
      <c r="N30" t="s">
        <v>213</v>
      </c>
      <c r="O30" t="s">
        <v>296</v>
      </c>
      <c r="P30">
        <v>1.0000000000000022</v>
      </c>
      <c r="Q30" t="s">
        <v>154</v>
      </c>
      <c r="S30" t="s">
        <v>237</v>
      </c>
      <c r="T30" t="s">
        <v>296</v>
      </c>
      <c r="U30">
        <v>0.99999999999999867</v>
      </c>
      <c r="V30" t="s">
        <v>154</v>
      </c>
      <c r="AK30">
        <v>2041</v>
      </c>
      <c r="AL30" t="s">
        <v>294</v>
      </c>
      <c r="AM30">
        <v>0.39140833333333336</v>
      </c>
      <c r="AN30" t="s">
        <v>250</v>
      </c>
    </row>
    <row r="31" spans="9:40" x14ac:dyDescent="0.45">
      <c r="I31" t="s">
        <v>185</v>
      </c>
      <c r="J31" t="s">
        <v>296</v>
      </c>
      <c r="K31">
        <v>0.99999999999999889</v>
      </c>
      <c r="L31" t="s">
        <v>154</v>
      </c>
      <c r="N31" t="s">
        <v>214</v>
      </c>
      <c r="O31" t="s">
        <v>296</v>
      </c>
      <c r="P31">
        <v>1.0000000000000038</v>
      </c>
      <c r="Q31" t="s">
        <v>154</v>
      </c>
      <c r="S31" t="s">
        <v>238</v>
      </c>
      <c r="T31" t="s">
        <v>296</v>
      </c>
      <c r="U31">
        <v>1.0000000000000007</v>
      </c>
      <c r="V31" t="s">
        <v>154</v>
      </c>
      <c r="AK31">
        <v>2042</v>
      </c>
      <c r="AL31" t="s">
        <v>294</v>
      </c>
      <c r="AM31">
        <v>0.38332500000000008</v>
      </c>
      <c r="AN31" t="s">
        <v>250</v>
      </c>
    </row>
    <row r="32" spans="9:40" x14ac:dyDescent="0.45">
      <c r="I32" t="s">
        <v>186</v>
      </c>
      <c r="J32" t="s">
        <v>296</v>
      </c>
      <c r="K32">
        <v>0.999999999999998</v>
      </c>
      <c r="L32" t="s">
        <v>154</v>
      </c>
      <c r="N32" t="s">
        <v>215</v>
      </c>
      <c r="O32" t="s">
        <v>296</v>
      </c>
      <c r="P32">
        <v>1.0000000000000018</v>
      </c>
      <c r="Q32" t="s">
        <v>154</v>
      </c>
      <c r="S32" t="s">
        <v>239</v>
      </c>
      <c r="T32" t="s">
        <v>296</v>
      </c>
      <c r="U32">
        <v>1.0000000000000036</v>
      </c>
      <c r="V32" t="s">
        <v>154</v>
      </c>
      <c r="AK32">
        <v>2043</v>
      </c>
      <c r="AL32" t="s">
        <v>294</v>
      </c>
      <c r="AM32">
        <v>0.34985833333333333</v>
      </c>
      <c r="AN32" t="s">
        <v>250</v>
      </c>
    </row>
    <row r="33" spans="9:40" x14ac:dyDescent="0.45">
      <c r="I33" t="s">
        <v>187</v>
      </c>
      <c r="J33" t="s">
        <v>296</v>
      </c>
      <c r="K33">
        <v>1.000000000000002</v>
      </c>
      <c r="L33" t="s">
        <v>154</v>
      </c>
      <c r="N33" t="s">
        <v>216</v>
      </c>
      <c r="O33" t="s">
        <v>296</v>
      </c>
      <c r="P33">
        <v>1.0000000000000018</v>
      </c>
      <c r="Q33" t="s">
        <v>154</v>
      </c>
      <c r="S33" t="s">
        <v>240</v>
      </c>
      <c r="T33" t="s">
        <v>296</v>
      </c>
      <c r="U33">
        <v>1.0000000000000031</v>
      </c>
      <c r="V33" t="s">
        <v>154</v>
      </c>
      <c r="AK33">
        <v>2044</v>
      </c>
      <c r="AL33" t="s">
        <v>294</v>
      </c>
      <c r="AM33">
        <v>0.36853333333333332</v>
      </c>
      <c r="AN33" t="s">
        <v>250</v>
      </c>
    </row>
    <row r="34" spans="9:40" x14ac:dyDescent="0.45">
      <c r="I34" t="s">
        <v>188</v>
      </c>
      <c r="J34" t="s">
        <v>296</v>
      </c>
      <c r="K34">
        <v>1.0000000000000009</v>
      </c>
      <c r="L34" t="s">
        <v>154</v>
      </c>
      <c r="N34" t="s">
        <v>217</v>
      </c>
      <c r="O34" t="s">
        <v>296</v>
      </c>
      <c r="P34">
        <v>1.0000000000000009</v>
      </c>
      <c r="Q34" t="s">
        <v>154</v>
      </c>
      <c r="AK34">
        <v>2045</v>
      </c>
      <c r="AL34" t="s">
        <v>294</v>
      </c>
      <c r="AM34">
        <v>0.3786916666666667</v>
      </c>
      <c r="AN34" t="s">
        <v>250</v>
      </c>
    </row>
    <row r="35" spans="9:40" x14ac:dyDescent="0.45">
      <c r="I35" t="s">
        <v>189</v>
      </c>
      <c r="J35" t="s">
        <v>296</v>
      </c>
      <c r="K35">
        <v>0.99999999999999756</v>
      </c>
      <c r="L35" t="s">
        <v>154</v>
      </c>
      <c r="AK35">
        <v>2046</v>
      </c>
      <c r="AL35" t="s">
        <v>294</v>
      </c>
      <c r="AM35">
        <v>0.361875</v>
      </c>
      <c r="AN35" t="s">
        <v>250</v>
      </c>
    </row>
    <row r="36" spans="9:40" x14ac:dyDescent="0.45">
      <c r="I36" t="s">
        <v>190</v>
      </c>
      <c r="J36" t="s">
        <v>296</v>
      </c>
      <c r="K36">
        <v>1.0000000000000042</v>
      </c>
      <c r="L36" t="s">
        <v>154</v>
      </c>
      <c r="AK36">
        <v>2047</v>
      </c>
      <c r="AL36" t="s">
        <v>294</v>
      </c>
      <c r="AM36">
        <v>0.35694166666666671</v>
      </c>
      <c r="AN36" t="s">
        <v>250</v>
      </c>
    </row>
    <row r="37" spans="9:40" x14ac:dyDescent="0.45">
      <c r="I37" t="s">
        <v>191</v>
      </c>
      <c r="J37" t="s">
        <v>296</v>
      </c>
      <c r="K37">
        <v>0.99999999999999989</v>
      </c>
      <c r="L37" t="s">
        <v>154</v>
      </c>
      <c r="AK37">
        <v>2048</v>
      </c>
      <c r="AL37" t="s">
        <v>294</v>
      </c>
      <c r="AM37">
        <v>0.34697499999999998</v>
      </c>
      <c r="AN37" t="s">
        <v>250</v>
      </c>
    </row>
    <row r="38" spans="9:40" x14ac:dyDescent="0.45">
      <c r="I38" t="s">
        <v>192</v>
      </c>
      <c r="J38" t="s">
        <v>296</v>
      </c>
      <c r="K38">
        <v>1.0000000000000002</v>
      </c>
      <c r="L38" t="s">
        <v>154</v>
      </c>
      <c r="AK38">
        <v>2049</v>
      </c>
      <c r="AL38" t="s">
        <v>294</v>
      </c>
      <c r="AM38">
        <v>0.31330833333333336</v>
      </c>
      <c r="AN38" t="s">
        <v>250</v>
      </c>
    </row>
    <row r="39" spans="9:40" x14ac:dyDescent="0.45">
      <c r="I39" t="s">
        <v>193</v>
      </c>
      <c r="J39" t="s">
        <v>296</v>
      </c>
      <c r="K39">
        <v>1</v>
      </c>
      <c r="L39" t="s">
        <v>154</v>
      </c>
      <c r="AK39">
        <v>2050</v>
      </c>
      <c r="AL39" t="s">
        <v>294</v>
      </c>
      <c r="AM39">
        <v>0.34931666666666666</v>
      </c>
      <c r="AN39" t="s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A9EFC-07DD-4589-B1B5-7373D8D7DFB2}">
  <dimension ref="A9:AN358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120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241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247</v>
      </c>
      <c r="AK10" t="s">
        <v>47</v>
      </c>
      <c r="AL10" t="s">
        <v>115</v>
      </c>
      <c r="AM10" t="s">
        <v>248</v>
      </c>
      <c r="AN10" t="s">
        <v>249</v>
      </c>
    </row>
    <row r="11" spans="1:40" x14ac:dyDescent="0.45">
      <c r="A11" t="str">
        <f>IFERROR(IF(Veda!D5=A10,"ok","x"),"")</f>
        <v>x</v>
      </c>
      <c r="C11" t="s">
        <v>297</v>
      </c>
      <c r="D11" t="s">
        <v>143</v>
      </c>
      <c r="E11" t="s">
        <v>243</v>
      </c>
      <c r="F11" t="s">
        <v>298</v>
      </c>
      <c r="G11" t="s">
        <v>143</v>
      </c>
      <c r="I11" t="s">
        <v>152</v>
      </c>
      <c r="J11" t="s">
        <v>303</v>
      </c>
      <c r="K11">
        <v>0.23981014772784592</v>
      </c>
      <c r="L11" t="s">
        <v>154</v>
      </c>
      <c r="N11" t="s">
        <v>194</v>
      </c>
      <c r="O11" t="s">
        <v>303</v>
      </c>
      <c r="P11">
        <v>0.13414817905603249</v>
      </c>
      <c r="Q11" t="s">
        <v>154</v>
      </c>
      <c r="S11" t="s">
        <v>218</v>
      </c>
      <c r="T11" t="s">
        <v>303</v>
      </c>
      <c r="U11">
        <v>0.12366554424777369</v>
      </c>
      <c r="V11" t="s">
        <v>154</v>
      </c>
      <c r="X11">
        <v>0.11426940639269406</v>
      </c>
      <c r="Y11">
        <v>0.16087081189037786</v>
      </c>
      <c r="Z11" t="s">
        <v>303</v>
      </c>
      <c r="AA11" t="s">
        <v>25</v>
      </c>
      <c r="AC11" t="s">
        <v>22</v>
      </c>
      <c r="AD11" t="s">
        <v>303</v>
      </c>
      <c r="AE11">
        <v>0.12548249266052697</v>
      </c>
      <c r="AG11" t="s">
        <v>96</v>
      </c>
      <c r="AH11" t="s">
        <v>303</v>
      </c>
      <c r="AI11">
        <v>9.5279739285082599E-2</v>
      </c>
      <c r="AK11">
        <v>2020</v>
      </c>
      <c r="AL11" t="s">
        <v>297</v>
      </c>
      <c r="AM11">
        <v>0.32866666666666666</v>
      </c>
      <c r="AN11" t="s">
        <v>250</v>
      </c>
    </row>
    <row r="12" spans="1:40" x14ac:dyDescent="0.45">
      <c r="C12" t="s">
        <v>299</v>
      </c>
      <c r="E12" t="s">
        <v>245</v>
      </c>
      <c r="G12" t="s">
        <v>143</v>
      </c>
      <c r="I12" t="s">
        <v>152</v>
      </c>
      <c r="J12" t="s">
        <v>304</v>
      </c>
      <c r="K12">
        <v>0</v>
      </c>
      <c r="L12" t="s">
        <v>154</v>
      </c>
      <c r="N12" t="s">
        <v>194</v>
      </c>
      <c r="O12" t="s">
        <v>304</v>
      </c>
      <c r="P12">
        <v>0.13173923797396231</v>
      </c>
      <c r="Q12" t="s">
        <v>154</v>
      </c>
      <c r="S12" t="s">
        <v>218</v>
      </c>
      <c r="T12" t="s">
        <v>304</v>
      </c>
      <c r="U12">
        <v>0.11554370164683413</v>
      </c>
      <c r="V12" t="s">
        <v>154</v>
      </c>
      <c r="X12">
        <v>0.11426940639269406</v>
      </c>
      <c r="Y12">
        <v>5.2547713165767528E-2</v>
      </c>
      <c r="Z12" t="s">
        <v>304</v>
      </c>
      <c r="AA12" t="s">
        <v>25</v>
      </c>
      <c r="AC12" t="s">
        <v>22</v>
      </c>
      <c r="AD12" t="s">
        <v>304</v>
      </c>
      <c r="AE12">
        <v>9.2493340457568712E-2</v>
      </c>
      <c r="AG12" t="s">
        <v>96</v>
      </c>
      <c r="AH12" t="s">
        <v>304</v>
      </c>
      <c r="AI12">
        <v>0.59536275569962616</v>
      </c>
      <c r="AK12">
        <v>2020</v>
      </c>
      <c r="AL12" t="s">
        <v>299</v>
      </c>
      <c r="AM12">
        <v>0.17126666666666668</v>
      </c>
      <c r="AN12" t="s">
        <v>250</v>
      </c>
    </row>
    <row r="13" spans="1:40" x14ac:dyDescent="0.45">
      <c r="C13" t="s">
        <v>300</v>
      </c>
      <c r="E13" t="s">
        <v>301</v>
      </c>
      <c r="G13" t="s">
        <v>143</v>
      </c>
      <c r="I13" t="s">
        <v>152</v>
      </c>
      <c r="J13" t="s">
        <v>305</v>
      </c>
      <c r="K13">
        <v>1.1959725036284225E-2</v>
      </c>
      <c r="L13" t="s">
        <v>154</v>
      </c>
      <c r="N13" t="s">
        <v>194</v>
      </c>
      <c r="O13" t="s">
        <v>305</v>
      </c>
      <c r="P13">
        <v>2.4763690885435077E-2</v>
      </c>
      <c r="Q13" t="s">
        <v>154</v>
      </c>
      <c r="S13" t="s">
        <v>218</v>
      </c>
      <c r="T13" t="s">
        <v>305</v>
      </c>
      <c r="U13">
        <v>2.0155950657976356E-2</v>
      </c>
      <c r="V13" t="s">
        <v>154</v>
      </c>
      <c r="X13">
        <v>2.0776255707762557E-2</v>
      </c>
      <c r="Y13">
        <v>3.5896543437005365E-2</v>
      </c>
      <c r="Z13" t="s">
        <v>305</v>
      </c>
      <c r="AA13" t="s">
        <v>25</v>
      </c>
      <c r="AC13" t="s">
        <v>22</v>
      </c>
      <c r="AD13" t="s">
        <v>305</v>
      </c>
      <c r="AE13">
        <v>2.6708934156814176E-2</v>
      </c>
      <c r="AG13" t="s">
        <v>96</v>
      </c>
      <c r="AH13" t="s">
        <v>305</v>
      </c>
      <c r="AI13">
        <v>0.14253018673428075</v>
      </c>
      <c r="AK13">
        <v>2020</v>
      </c>
      <c r="AL13" t="s">
        <v>300</v>
      </c>
      <c r="AM13">
        <v>0.26179999999999998</v>
      </c>
      <c r="AN13" t="s">
        <v>250</v>
      </c>
    </row>
    <row r="14" spans="1:40" x14ac:dyDescent="0.45">
      <c r="C14" t="s">
        <v>302</v>
      </c>
      <c r="I14" t="s">
        <v>152</v>
      </c>
      <c r="J14" t="s">
        <v>306</v>
      </c>
      <c r="K14">
        <v>0.2669798518806461</v>
      </c>
      <c r="L14" t="s">
        <v>154</v>
      </c>
      <c r="N14" t="s">
        <v>194</v>
      </c>
      <c r="O14" t="s">
        <v>306</v>
      </c>
      <c r="P14">
        <v>6.8952023966369846E-2</v>
      </c>
      <c r="Q14" t="s">
        <v>154</v>
      </c>
      <c r="S14" t="s">
        <v>218</v>
      </c>
      <c r="T14" t="s">
        <v>306</v>
      </c>
      <c r="U14">
        <v>3.6744708556640727E-2</v>
      </c>
      <c r="V14" t="s">
        <v>154</v>
      </c>
      <c r="X14">
        <v>0.11552511415525114</v>
      </c>
      <c r="Y14">
        <v>0.16263862301005233</v>
      </c>
      <c r="Z14" t="s">
        <v>306</v>
      </c>
      <c r="AA14" t="s">
        <v>25</v>
      </c>
      <c r="AC14" t="s">
        <v>22</v>
      </c>
      <c r="AD14" t="s">
        <v>306</v>
      </c>
      <c r="AE14">
        <v>0.13519156334570057</v>
      </c>
      <c r="AG14" t="s">
        <v>96</v>
      </c>
      <c r="AH14" t="s">
        <v>306</v>
      </c>
      <c r="AI14">
        <v>0.1043957658045529</v>
      </c>
      <c r="AK14">
        <v>2020</v>
      </c>
      <c r="AL14" t="s">
        <v>302</v>
      </c>
      <c r="AM14">
        <v>0.29993333333333333</v>
      </c>
      <c r="AN14" t="s">
        <v>250</v>
      </c>
    </row>
    <row r="15" spans="1:40" x14ac:dyDescent="0.45">
      <c r="I15" t="s">
        <v>152</v>
      </c>
      <c r="J15" t="s">
        <v>307</v>
      </c>
      <c r="K15">
        <v>0</v>
      </c>
      <c r="L15" t="s">
        <v>154</v>
      </c>
      <c r="N15" t="s">
        <v>194</v>
      </c>
      <c r="O15" t="s">
        <v>307</v>
      </c>
      <c r="P15">
        <v>7.5562956160836775E-2</v>
      </c>
      <c r="Q15" t="s">
        <v>154</v>
      </c>
      <c r="S15" t="s">
        <v>218</v>
      </c>
      <c r="T15" t="s">
        <v>307</v>
      </c>
      <c r="U15">
        <v>4.1436323989843135E-2</v>
      </c>
      <c r="V15" t="s">
        <v>154</v>
      </c>
      <c r="X15">
        <v>0.11552511415525114</v>
      </c>
      <c r="Y15">
        <v>5.3125160563193538E-2</v>
      </c>
      <c r="Z15" t="s">
        <v>307</v>
      </c>
      <c r="AA15" t="s">
        <v>25</v>
      </c>
      <c r="AC15" t="s">
        <v>22</v>
      </c>
      <c r="AD15" t="s">
        <v>307</v>
      </c>
      <c r="AE15">
        <v>0.10680933928799004</v>
      </c>
      <c r="AG15" t="s">
        <v>96</v>
      </c>
      <c r="AH15" t="s">
        <v>307</v>
      </c>
      <c r="AI15">
        <v>0.4753594694593104</v>
      </c>
      <c r="AK15">
        <v>2021</v>
      </c>
      <c r="AL15" t="s">
        <v>297</v>
      </c>
      <c r="AM15">
        <v>0.43500000000000005</v>
      </c>
      <c r="AN15" t="s">
        <v>250</v>
      </c>
    </row>
    <row r="16" spans="1:40" x14ac:dyDescent="0.45">
      <c r="I16" t="s">
        <v>152</v>
      </c>
      <c r="J16" t="s">
        <v>308</v>
      </c>
      <c r="K16">
        <v>2.7195706255644561E-2</v>
      </c>
      <c r="L16" t="s">
        <v>154</v>
      </c>
      <c r="N16" t="s">
        <v>194</v>
      </c>
      <c r="O16" t="s">
        <v>308</v>
      </c>
      <c r="P16">
        <v>1.4592467006691912E-2</v>
      </c>
      <c r="Q16" t="s">
        <v>154</v>
      </c>
      <c r="S16" t="s">
        <v>218</v>
      </c>
      <c r="T16" t="s">
        <v>308</v>
      </c>
      <c r="U16">
        <v>5.4734809209696696E-3</v>
      </c>
      <c r="V16" t="s">
        <v>154</v>
      </c>
      <c r="X16">
        <v>2.1004566210045664E-2</v>
      </c>
      <c r="Y16">
        <v>3.6291010947302131E-2</v>
      </c>
      <c r="Z16" t="s">
        <v>308</v>
      </c>
      <c r="AA16" t="s">
        <v>25</v>
      </c>
      <c r="AC16" t="s">
        <v>22</v>
      </c>
      <c r="AD16" t="s">
        <v>308</v>
      </c>
      <c r="AE16">
        <v>2.7580273333677626E-2</v>
      </c>
      <c r="AG16" t="s">
        <v>96</v>
      </c>
      <c r="AH16" t="s">
        <v>308</v>
      </c>
      <c r="AI16">
        <v>0.13834561116287913</v>
      </c>
      <c r="AK16">
        <v>2021</v>
      </c>
      <c r="AL16" t="s">
        <v>299</v>
      </c>
      <c r="AM16">
        <v>0.26153333333333334</v>
      </c>
      <c r="AN16" t="s">
        <v>250</v>
      </c>
    </row>
    <row r="17" spans="9:40" x14ac:dyDescent="0.45">
      <c r="I17" t="s">
        <v>152</v>
      </c>
      <c r="J17" t="s">
        <v>309</v>
      </c>
      <c r="K17">
        <v>0.20998787190227183</v>
      </c>
      <c r="L17" t="s">
        <v>154</v>
      </c>
      <c r="N17" t="s">
        <v>194</v>
      </c>
      <c r="O17" t="s">
        <v>309</v>
      </c>
      <c r="P17">
        <v>7.3078680490236109E-2</v>
      </c>
      <c r="Q17" t="s">
        <v>154</v>
      </c>
      <c r="S17" t="s">
        <v>218</v>
      </c>
      <c r="T17" t="s">
        <v>309</v>
      </c>
      <c r="U17">
        <v>0.13233459190625396</v>
      </c>
      <c r="V17" t="s">
        <v>154</v>
      </c>
      <c r="X17">
        <v>0.11552511415525114</v>
      </c>
      <c r="Y17">
        <v>0.16263862301005233</v>
      </c>
      <c r="Z17" t="s">
        <v>309</v>
      </c>
      <c r="AA17" t="s">
        <v>25</v>
      </c>
      <c r="AC17" t="s">
        <v>22</v>
      </c>
      <c r="AD17" t="s">
        <v>309</v>
      </c>
      <c r="AE17">
        <v>0.12890658021503312</v>
      </c>
      <c r="AG17" t="s">
        <v>96</v>
      </c>
      <c r="AH17" t="s">
        <v>309</v>
      </c>
      <c r="AI17">
        <v>0.10088107852653794</v>
      </c>
      <c r="AK17">
        <v>2021</v>
      </c>
      <c r="AL17" t="s">
        <v>300</v>
      </c>
      <c r="AM17">
        <v>0.33496666666666663</v>
      </c>
      <c r="AN17" t="s">
        <v>250</v>
      </c>
    </row>
    <row r="18" spans="9:40" x14ac:dyDescent="0.45">
      <c r="I18" t="s">
        <v>152</v>
      </c>
      <c r="J18" t="s">
        <v>310</v>
      </c>
      <c r="K18">
        <v>0</v>
      </c>
      <c r="L18" t="s">
        <v>154</v>
      </c>
      <c r="N18" t="s">
        <v>194</v>
      </c>
      <c r="O18" t="s">
        <v>310</v>
      </c>
      <c r="P18">
        <v>7.1845005565074047E-2</v>
      </c>
      <c r="Q18" t="s">
        <v>154</v>
      </c>
      <c r="S18" t="s">
        <v>218</v>
      </c>
      <c r="T18" t="s">
        <v>310</v>
      </c>
      <c r="U18">
        <v>0.11900405620237049</v>
      </c>
      <c r="V18" t="s">
        <v>154</v>
      </c>
      <c r="X18">
        <v>0.11552511415525114</v>
      </c>
      <c r="Y18">
        <v>5.3125160563193538E-2</v>
      </c>
      <c r="Z18" t="s">
        <v>310</v>
      </c>
      <c r="AA18" t="s">
        <v>25</v>
      </c>
      <c r="AC18" t="s">
        <v>22</v>
      </c>
      <c r="AD18" t="s">
        <v>310</v>
      </c>
      <c r="AE18">
        <v>9.6806279404277121E-2</v>
      </c>
      <c r="AG18" t="s">
        <v>96</v>
      </c>
      <c r="AH18" t="s">
        <v>310</v>
      </c>
      <c r="AI18">
        <v>0.55887343985712157</v>
      </c>
      <c r="AK18">
        <v>2021</v>
      </c>
      <c r="AL18" t="s">
        <v>302</v>
      </c>
      <c r="AM18">
        <v>0.35003333333333336</v>
      </c>
      <c r="AN18" t="s">
        <v>250</v>
      </c>
    </row>
    <row r="19" spans="9:40" x14ac:dyDescent="0.45">
      <c r="I19" t="s">
        <v>152</v>
      </c>
      <c r="J19" t="s">
        <v>311</v>
      </c>
      <c r="K19">
        <v>1.6380060796355102E-2</v>
      </c>
      <c r="L19" t="s">
        <v>154</v>
      </c>
      <c r="N19" t="s">
        <v>194</v>
      </c>
      <c r="O19" t="s">
        <v>311</v>
      </c>
      <c r="P19">
        <v>1.452573061615336E-2</v>
      </c>
      <c r="Q19" t="s">
        <v>154</v>
      </c>
      <c r="S19" t="s">
        <v>218</v>
      </c>
      <c r="T19" t="s">
        <v>311</v>
      </c>
      <c r="U19">
        <v>2.1823784068443337E-2</v>
      </c>
      <c r="V19" t="s">
        <v>154</v>
      </c>
      <c r="X19">
        <v>2.1004566210045664E-2</v>
      </c>
      <c r="Y19">
        <v>3.6291010947302131E-2</v>
      </c>
      <c r="Z19" t="s">
        <v>311</v>
      </c>
      <c r="AA19" t="s">
        <v>25</v>
      </c>
      <c r="AC19" t="s">
        <v>22</v>
      </c>
      <c r="AD19" t="s">
        <v>311</v>
      </c>
      <c r="AE19">
        <v>2.6904086620978738E-2</v>
      </c>
      <c r="AG19" t="s">
        <v>96</v>
      </c>
      <c r="AH19" t="s">
        <v>311</v>
      </c>
      <c r="AI19">
        <v>0.14678771287851644</v>
      </c>
      <c r="AK19">
        <v>2022</v>
      </c>
      <c r="AL19" t="s">
        <v>297</v>
      </c>
      <c r="AM19">
        <v>0.45066666666666672</v>
      </c>
      <c r="AN19" t="s">
        <v>250</v>
      </c>
    </row>
    <row r="20" spans="9:40" x14ac:dyDescent="0.45">
      <c r="I20" t="s">
        <v>152</v>
      </c>
      <c r="J20" t="s">
        <v>312</v>
      </c>
      <c r="K20">
        <v>0.21136483630544109</v>
      </c>
      <c r="L20" t="s">
        <v>154</v>
      </c>
      <c r="N20" t="s">
        <v>194</v>
      </c>
      <c r="O20" t="s">
        <v>312</v>
      </c>
      <c r="P20">
        <v>0.17777635511334017</v>
      </c>
      <c r="Q20" t="s">
        <v>154</v>
      </c>
      <c r="S20" t="s">
        <v>218</v>
      </c>
      <c r="T20" t="s">
        <v>312</v>
      </c>
      <c r="U20">
        <v>0.17299867890714449</v>
      </c>
      <c r="V20" t="s">
        <v>154</v>
      </c>
      <c r="X20">
        <v>0.11301369863013698</v>
      </c>
      <c r="Y20">
        <v>0.15910300077070333</v>
      </c>
      <c r="Z20" t="s">
        <v>312</v>
      </c>
      <c r="AA20" t="s">
        <v>25</v>
      </c>
      <c r="AC20" t="s">
        <v>22</v>
      </c>
      <c r="AD20" t="s">
        <v>312</v>
      </c>
      <c r="AE20">
        <v>0.11917262648867452</v>
      </c>
      <c r="AG20" t="s">
        <v>96</v>
      </c>
      <c r="AH20" t="s">
        <v>312</v>
      </c>
      <c r="AI20">
        <v>6.6934759582032211E-2</v>
      </c>
      <c r="AK20">
        <v>2022</v>
      </c>
      <c r="AL20" t="s">
        <v>299</v>
      </c>
      <c r="AM20">
        <v>0.3039</v>
      </c>
      <c r="AN20" t="s">
        <v>250</v>
      </c>
    </row>
    <row r="21" spans="9:40" x14ac:dyDescent="0.45">
      <c r="I21" t="s">
        <v>152</v>
      </c>
      <c r="J21" t="s">
        <v>313</v>
      </c>
      <c r="K21">
        <v>0</v>
      </c>
      <c r="L21" t="s">
        <v>154</v>
      </c>
      <c r="N21" t="s">
        <v>194</v>
      </c>
      <c r="O21" t="s">
        <v>313</v>
      </c>
      <c r="P21">
        <v>0.17964469595208354</v>
      </c>
      <c r="Q21" t="s">
        <v>154</v>
      </c>
      <c r="S21" t="s">
        <v>218</v>
      </c>
      <c r="T21" t="s">
        <v>313</v>
      </c>
      <c r="U21">
        <v>0.18172354427198514</v>
      </c>
      <c r="V21" t="s">
        <v>154</v>
      </c>
      <c r="X21">
        <v>0.11301369863013698</v>
      </c>
      <c r="Y21">
        <v>5.197026576834151E-2</v>
      </c>
      <c r="Z21" t="s">
        <v>313</v>
      </c>
      <c r="AA21" t="s">
        <v>25</v>
      </c>
      <c r="AC21" t="s">
        <v>22</v>
      </c>
      <c r="AD21" t="s">
        <v>313</v>
      </c>
      <c r="AE21">
        <v>8.8743966348902914E-2</v>
      </c>
      <c r="AG21" t="s">
        <v>96</v>
      </c>
      <c r="AH21" t="s">
        <v>313</v>
      </c>
      <c r="AI21">
        <v>0.5007646256367515</v>
      </c>
      <c r="AK21">
        <v>2022</v>
      </c>
      <c r="AL21" t="s">
        <v>300</v>
      </c>
      <c r="AM21">
        <v>0.39426666666666671</v>
      </c>
      <c r="AN21" t="s">
        <v>250</v>
      </c>
    </row>
    <row r="22" spans="9:40" x14ac:dyDescent="0.45">
      <c r="I22" t="s">
        <v>152</v>
      </c>
      <c r="J22" t="s">
        <v>314</v>
      </c>
      <c r="K22">
        <v>1.6321800095510541E-2</v>
      </c>
      <c r="L22" t="s">
        <v>154</v>
      </c>
      <c r="N22" t="s">
        <v>194</v>
      </c>
      <c r="O22" t="s">
        <v>314</v>
      </c>
      <c r="P22">
        <v>3.3370977213783695E-2</v>
      </c>
      <c r="Q22" t="s">
        <v>154</v>
      </c>
      <c r="S22" t="s">
        <v>218</v>
      </c>
      <c r="T22" t="s">
        <v>314</v>
      </c>
      <c r="U22">
        <v>2.9095634623764081E-2</v>
      </c>
      <c r="V22" t="s">
        <v>154</v>
      </c>
      <c r="X22">
        <v>2.0547945205479451E-2</v>
      </c>
      <c r="Y22">
        <v>3.5502075926708607E-2</v>
      </c>
      <c r="Z22" t="s">
        <v>314</v>
      </c>
      <c r="AA22" t="s">
        <v>25</v>
      </c>
      <c r="AC22" t="s">
        <v>22</v>
      </c>
      <c r="AD22" t="s">
        <v>314</v>
      </c>
      <c r="AE22">
        <v>2.5200517679855483E-2</v>
      </c>
      <c r="AG22" t="s">
        <v>96</v>
      </c>
      <c r="AH22" t="s">
        <v>314</v>
      </c>
      <c r="AI22">
        <v>9.5993550235536462E-2</v>
      </c>
      <c r="AK22">
        <v>2022</v>
      </c>
      <c r="AL22" t="s">
        <v>302</v>
      </c>
      <c r="AM22">
        <v>0.35783333333333339</v>
      </c>
      <c r="AN22" t="s">
        <v>250</v>
      </c>
    </row>
    <row r="23" spans="9:40" x14ac:dyDescent="0.45">
      <c r="I23" t="s">
        <v>166</v>
      </c>
      <c r="J23" t="s">
        <v>303</v>
      </c>
      <c r="K23">
        <v>0.23084640333814457</v>
      </c>
      <c r="L23" t="s">
        <v>154</v>
      </c>
      <c r="N23" t="s">
        <v>195</v>
      </c>
      <c r="O23" t="s">
        <v>303</v>
      </c>
      <c r="P23">
        <v>0.15167459382791607</v>
      </c>
      <c r="Q23" t="s">
        <v>154</v>
      </c>
      <c r="S23" t="s">
        <v>219</v>
      </c>
      <c r="T23" t="s">
        <v>303</v>
      </c>
      <c r="U23">
        <v>0.14239329489795297</v>
      </c>
      <c r="V23" t="s">
        <v>154</v>
      </c>
      <c r="AC23" t="s">
        <v>19</v>
      </c>
      <c r="AD23" t="s">
        <v>303</v>
      </c>
      <c r="AE23">
        <v>0.11519420317256111</v>
      </c>
      <c r="AK23">
        <v>2025</v>
      </c>
      <c r="AL23" t="s">
        <v>297</v>
      </c>
      <c r="AM23">
        <v>0.34686666666666666</v>
      </c>
      <c r="AN23" t="s">
        <v>250</v>
      </c>
    </row>
    <row r="24" spans="9:40" x14ac:dyDescent="0.45">
      <c r="I24" t="s">
        <v>166</v>
      </c>
      <c r="J24" t="s">
        <v>304</v>
      </c>
      <c r="K24">
        <v>0</v>
      </c>
      <c r="L24" t="s">
        <v>154</v>
      </c>
      <c r="N24" t="s">
        <v>195</v>
      </c>
      <c r="O24" t="s">
        <v>304</v>
      </c>
      <c r="P24">
        <v>0.1500514296585175</v>
      </c>
      <c r="Q24" t="s">
        <v>154</v>
      </c>
      <c r="S24" t="s">
        <v>219</v>
      </c>
      <c r="T24" t="s">
        <v>304</v>
      </c>
      <c r="U24">
        <v>0.14153174110318356</v>
      </c>
      <c r="V24" t="s">
        <v>154</v>
      </c>
      <c r="AC24" t="s">
        <v>19</v>
      </c>
      <c r="AD24" t="s">
        <v>304</v>
      </c>
      <c r="AE24">
        <v>0.11287050405614443</v>
      </c>
      <c r="AK24">
        <v>2025</v>
      </c>
      <c r="AL24" t="s">
        <v>299</v>
      </c>
      <c r="AM24">
        <v>0.24373333333333333</v>
      </c>
      <c r="AN24" t="s">
        <v>250</v>
      </c>
    </row>
    <row r="25" spans="9:40" x14ac:dyDescent="0.45">
      <c r="I25" t="s">
        <v>166</v>
      </c>
      <c r="J25" t="s">
        <v>305</v>
      </c>
      <c r="K25">
        <v>1.2544894260909415E-2</v>
      </c>
      <c r="L25" t="s">
        <v>154</v>
      </c>
      <c r="N25" t="s">
        <v>195</v>
      </c>
      <c r="O25" t="s">
        <v>305</v>
      </c>
      <c r="P25">
        <v>3.2055196567989802E-2</v>
      </c>
      <c r="Q25" t="s">
        <v>154</v>
      </c>
      <c r="S25" t="s">
        <v>219</v>
      </c>
      <c r="T25" t="s">
        <v>305</v>
      </c>
      <c r="U25">
        <v>2.6006634960819848E-2</v>
      </c>
      <c r="V25" t="s">
        <v>154</v>
      </c>
      <c r="AC25" t="s">
        <v>19</v>
      </c>
      <c r="AD25" t="s">
        <v>305</v>
      </c>
      <c r="AE25">
        <v>2.1218682692500695E-2</v>
      </c>
      <c r="AK25">
        <v>2025</v>
      </c>
      <c r="AL25" t="s">
        <v>300</v>
      </c>
      <c r="AM25">
        <v>0.32650000000000001</v>
      </c>
      <c r="AN25" t="s">
        <v>250</v>
      </c>
    </row>
    <row r="26" spans="9:40" x14ac:dyDescent="0.45">
      <c r="I26" t="s">
        <v>166</v>
      </c>
      <c r="J26" t="s">
        <v>306</v>
      </c>
      <c r="K26">
        <v>0.27280354326238121</v>
      </c>
      <c r="L26" t="s">
        <v>154</v>
      </c>
      <c r="N26" t="s">
        <v>195</v>
      </c>
      <c r="O26" t="s">
        <v>306</v>
      </c>
      <c r="P26">
        <v>4.9161880531405466E-2</v>
      </c>
      <c r="Q26" t="s">
        <v>154</v>
      </c>
      <c r="S26" t="s">
        <v>219</v>
      </c>
      <c r="T26" t="s">
        <v>306</v>
      </c>
      <c r="U26">
        <v>4.5035256669129657E-2</v>
      </c>
      <c r="V26" t="s">
        <v>154</v>
      </c>
      <c r="AC26" t="s">
        <v>19</v>
      </c>
      <c r="AD26" t="s">
        <v>306</v>
      </c>
      <c r="AE26">
        <v>0.11639951748375486</v>
      </c>
      <c r="AK26">
        <v>2025</v>
      </c>
      <c r="AL26" t="s">
        <v>302</v>
      </c>
      <c r="AM26">
        <v>0.29876666666666668</v>
      </c>
      <c r="AN26" t="s">
        <v>250</v>
      </c>
    </row>
    <row r="27" spans="9:40" x14ac:dyDescent="0.45">
      <c r="I27" t="s">
        <v>166</v>
      </c>
      <c r="J27" t="s">
        <v>307</v>
      </c>
      <c r="K27">
        <v>0</v>
      </c>
      <c r="L27" t="s">
        <v>154</v>
      </c>
      <c r="N27" t="s">
        <v>195</v>
      </c>
      <c r="O27" t="s">
        <v>307</v>
      </c>
      <c r="P27">
        <v>4.3652737844186051E-2</v>
      </c>
      <c r="Q27" t="s">
        <v>154</v>
      </c>
      <c r="S27" t="s">
        <v>219</v>
      </c>
      <c r="T27" t="s">
        <v>307</v>
      </c>
      <c r="U27">
        <v>4.6674023888249469E-2</v>
      </c>
      <c r="V27" t="s">
        <v>154</v>
      </c>
      <c r="AC27" t="s">
        <v>19</v>
      </c>
      <c r="AD27" t="s">
        <v>307</v>
      </c>
      <c r="AE27">
        <v>0.11440032245870273</v>
      </c>
      <c r="AK27">
        <v>2026</v>
      </c>
      <c r="AL27" t="s">
        <v>297</v>
      </c>
      <c r="AM27">
        <v>0.46860000000000007</v>
      </c>
      <c r="AN27" t="s">
        <v>250</v>
      </c>
    </row>
    <row r="28" spans="9:40" x14ac:dyDescent="0.45">
      <c r="I28" t="s">
        <v>166</v>
      </c>
      <c r="J28" t="s">
        <v>308</v>
      </c>
      <c r="K28">
        <v>2.7559018982512354E-2</v>
      </c>
      <c r="L28" t="s">
        <v>154</v>
      </c>
      <c r="N28" t="s">
        <v>195</v>
      </c>
      <c r="O28" t="s">
        <v>308</v>
      </c>
      <c r="P28">
        <v>1.0456315882118445E-2</v>
      </c>
      <c r="Q28" t="s">
        <v>154</v>
      </c>
      <c r="S28" t="s">
        <v>219</v>
      </c>
      <c r="T28" t="s">
        <v>308</v>
      </c>
      <c r="U28">
        <v>8.3292395025856385E-3</v>
      </c>
      <c r="V28" t="s">
        <v>154</v>
      </c>
      <c r="AC28" t="s">
        <v>19</v>
      </c>
      <c r="AD28" t="s">
        <v>308</v>
      </c>
      <c r="AE28">
        <v>2.1374862702728648E-2</v>
      </c>
      <c r="AK28">
        <v>2026</v>
      </c>
      <c r="AL28" t="s">
        <v>299</v>
      </c>
      <c r="AM28">
        <v>0.31606666666666666</v>
      </c>
      <c r="AN28" t="s">
        <v>250</v>
      </c>
    </row>
    <row r="29" spans="9:40" x14ac:dyDescent="0.45">
      <c r="I29" t="s">
        <v>166</v>
      </c>
      <c r="J29" t="s">
        <v>309</v>
      </c>
      <c r="K29">
        <v>0.20077664700409054</v>
      </c>
      <c r="L29" t="s">
        <v>154</v>
      </c>
      <c r="N29" t="s">
        <v>195</v>
      </c>
      <c r="O29" t="s">
        <v>309</v>
      </c>
      <c r="P29">
        <v>0.1039588489017147</v>
      </c>
      <c r="Q29" t="s">
        <v>154</v>
      </c>
      <c r="S29" t="s">
        <v>219</v>
      </c>
      <c r="T29" t="s">
        <v>309</v>
      </c>
      <c r="U29">
        <v>0.10897905112018327</v>
      </c>
      <c r="V29" t="s">
        <v>154</v>
      </c>
      <c r="AC29" t="s">
        <v>19</v>
      </c>
      <c r="AD29" t="s">
        <v>309</v>
      </c>
      <c r="AE29">
        <v>0.11645129572645115</v>
      </c>
      <c r="AK29">
        <v>2026</v>
      </c>
      <c r="AL29" t="s">
        <v>300</v>
      </c>
      <c r="AM29">
        <v>0.38896666666666668</v>
      </c>
      <c r="AN29" t="s">
        <v>250</v>
      </c>
    </row>
    <row r="30" spans="9:40" x14ac:dyDescent="0.45">
      <c r="I30" t="s">
        <v>166</v>
      </c>
      <c r="J30" t="s">
        <v>310</v>
      </c>
      <c r="K30">
        <v>0</v>
      </c>
      <c r="L30" t="s">
        <v>154</v>
      </c>
      <c r="N30" t="s">
        <v>195</v>
      </c>
      <c r="O30" t="s">
        <v>310</v>
      </c>
      <c r="P30">
        <v>7.2709450943411524E-2</v>
      </c>
      <c r="Q30" t="s">
        <v>154</v>
      </c>
      <c r="S30" t="s">
        <v>219</v>
      </c>
      <c r="T30" t="s">
        <v>310</v>
      </c>
      <c r="U30">
        <v>0.1078423714931601</v>
      </c>
      <c r="V30" t="s">
        <v>154</v>
      </c>
      <c r="AC30" t="s">
        <v>19</v>
      </c>
      <c r="AD30" t="s">
        <v>310</v>
      </c>
      <c r="AE30">
        <v>0.11419020577264585</v>
      </c>
      <c r="AK30">
        <v>2026</v>
      </c>
      <c r="AL30" t="s">
        <v>302</v>
      </c>
      <c r="AM30">
        <v>0.39093333333333335</v>
      </c>
      <c r="AN30" t="s">
        <v>250</v>
      </c>
    </row>
    <row r="31" spans="9:40" x14ac:dyDescent="0.45">
      <c r="I31" t="s">
        <v>166</v>
      </c>
      <c r="J31" t="s">
        <v>311</v>
      </c>
      <c r="K31">
        <v>1.4591681924401684E-2</v>
      </c>
      <c r="L31" t="s">
        <v>154</v>
      </c>
      <c r="N31" t="s">
        <v>195</v>
      </c>
      <c r="O31" t="s">
        <v>311</v>
      </c>
      <c r="P31">
        <v>1.5502769708426758E-2</v>
      </c>
      <c r="Q31" t="s">
        <v>154</v>
      </c>
      <c r="S31" t="s">
        <v>219</v>
      </c>
      <c r="T31" t="s">
        <v>311</v>
      </c>
      <c r="U31">
        <v>1.9836734964231651E-2</v>
      </c>
      <c r="V31" t="s">
        <v>154</v>
      </c>
      <c r="AC31" t="s">
        <v>19</v>
      </c>
      <c r="AD31" t="s">
        <v>311</v>
      </c>
      <c r="AE31">
        <v>2.1417139026896015E-2</v>
      </c>
      <c r="AK31">
        <v>2027</v>
      </c>
      <c r="AL31" t="s">
        <v>297</v>
      </c>
      <c r="AM31">
        <v>0.51910000000000001</v>
      </c>
      <c r="AN31" t="s">
        <v>250</v>
      </c>
    </row>
    <row r="32" spans="9:40" x14ac:dyDescent="0.45">
      <c r="I32" t="s">
        <v>166</v>
      </c>
      <c r="J32" t="s">
        <v>312</v>
      </c>
      <c r="K32">
        <v>0.22338350670773235</v>
      </c>
      <c r="L32" t="s">
        <v>154</v>
      </c>
      <c r="N32" t="s">
        <v>195</v>
      </c>
      <c r="O32" t="s">
        <v>312</v>
      </c>
      <c r="P32">
        <v>0.16496250488463038</v>
      </c>
      <c r="Q32" t="s">
        <v>154</v>
      </c>
      <c r="S32" t="s">
        <v>219</v>
      </c>
      <c r="T32" t="s">
        <v>312</v>
      </c>
      <c r="U32">
        <v>0.15850044540538064</v>
      </c>
      <c r="V32" t="s">
        <v>154</v>
      </c>
      <c r="AC32" t="s">
        <v>19</v>
      </c>
      <c r="AD32" t="s">
        <v>312</v>
      </c>
      <c r="AE32">
        <v>0.11383981001778411</v>
      </c>
      <c r="AK32">
        <v>2027</v>
      </c>
      <c r="AL32" t="s">
        <v>299</v>
      </c>
      <c r="AM32">
        <v>0.32436666666666669</v>
      </c>
      <c r="AN32" t="s">
        <v>250</v>
      </c>
    </row>
    <row r="33" spans="9:40" x14ac:dyDescent="0.45">
      <c r="I33" t="s">
        <v>166</v>
      </c>
      <c r="J33" t="s">
        <v>313</v>
      </c>
      <c r="K33">
        <v>0</v>
      </c>
      <c r="L33" t="s">
        <v>154</v>
      </c>
      <c r="N33" t="s">
        <v>195</v>
      </c>
      <c r="O33" t="s">
        <v>313</v>
      </c>
      <c r="P33">
        <v>0.1663899423830342</v>
      </c>
      <c r="Q33" t="s">
        <v>154</v>
      </c>
      <c r="S33" t="s">
        <v>219</v>
      </c>
      <c r="T33" t="s">
        <v>313</v>
      </c>
      <c r="U33">
        <v>0.1632514520918987</v>
      </c>
      <c r="V33" t="s">
        <v>154</v>
      </c>
      <c r="AC33" t="s">
        <v>19</v>
      </c>
      <c r="AD33" t="s">
        <v>313</v>
      </c>
      <c r="AE33">
        <v>0.11169646755643435</v>
      </c>
      <c r="AK33">
        <v>2027</v>
      </c>
      <c r="AL33" t="s">
        <v>300</v>
      </c>
      <c r="AM33">
        <v>0.47809999999999997</v>
      </c>
      <c r="AN33" t="s">
        <v>250</v>
      </c>
    </row>
    <row r="34" spans="9:40" x14ac:dyDescent="0.45">
      <c r="I34" t="s">
        <v>166</v>
      </c>
      <c r="J34" t="s">
        <v>314</v>
      </c>
      <c r="K34">
        <v>1.7494304519826913E-2</v>
      </c>
      <c r="L34" t="s">
        <v>154</v>
      </c>
      <c r="N34" t="s">
        <v>195</v>
      </c>
      <c r="O34" t="s">
        <v>314</v>
      </c>
      <c r="P34">
        <v>3.9424328866645854E-2</v>
      </c>
      <c r="Q34" t="s">
        <v>154</v>
      </c>
      <c r="S34" t="s">
        <v>219</v>
      </c>
      <c r="T34" t="s">
        <v>314</v>
      </c>
      <c r="U34">
        <v>3.1619753903228159E-2</v>
      </c>
      <c r="V34" t="s">
        <v>154</v>
      </c>
      <c r="AC34" t="s">
        <v>19</v>
      </c>
      <c r="AD34" t="s">
        <v>314</v>
      </c>
      <c r="AE34">
        <v>2.0946989333396168E-2</v>
      </c>
      <c r="AK34">
        <v>2027</v>
      </c>
      <c r="AL34" t="s">
        <v>302</v>
      </c>
      <c r="AM34">
        <v>0.39083333333333331</v>
      </c>
      <c r="AN34" t="s">
        <v>250</v>
      </c>
    </row>
    <row r="35" spans="9:40" x14ac:dyDescent="0.45">
      <c r="I35" t="s">
        <v>167</v>
      </c>
      <c r="J35" t="s">
        <v>303</v>
      </c>
      <c r="K35">
        <v>0.2272793301402907</v>
      </c>
      <c r="L35" t="s">
        <v>154</v>
      </c>
      <c r="N35" t="s">
        <v>196</v>
      </c>
      <c r="O35" t="s">
        <v>303</v>
      </c>
      <c r="P35">
        <v>0.15498935103223854</v>
      </c>
      <c r="Q35" t="s">
        <v>154</v>
      </c>
      <c r="S35" t="s">
        <v>220</v>
      </c>
      <c r="T35" t="s">
        <v>303</v>
      </c>
      <c r="U35">
        <v>0.14760842767777785</v>
      </c>
      <c r="V35" t="s">
        <v>154</v>
      </c>
      <c r="AK35">
        <v>2028</v>
      </c>
      <c r="AL35" t="s">
        <v>297</v>
      </c>
      <c r="AM35">
        <v>0.56776666666666664</v>
      </c>
      <c r="AN35" t="s">
        <v>250</v>
      </c>
    </row>
    <row r="36" spans="9:40" x14ac:dyDescent="0.45">
      <c r="I36" t="s">
        <v>167</v>
      </c>
      <c r="J36" t="s">
        <v>304</v>
      </c>
      <c r="K36">
        <v>0</v>
      </c>
      <c r="L36" t="s">
        <v>154</v>
      </c>
      <c r="N36" t="s">
        <v>196</v>
      </c>
      <c r="O36" t="s">
        <v>304</v>
      </c>
      <c r="P36">
        <v>0.14190312576954839</v>
      </c>
      <c r="Q36" t="s">
        <v>154</v>
      </c>
      <c r="S36" t="s">
        <v>220</v>
      </c>
      <c r="T36" t="s">
        <v>304</v>
      </c>
      <c r="U36">
        <v>0.14043674414895532</v>
      </c>
      <c r="V36" t="s">
        <v>154</v>
      </c>
      <c r="AK36">
        <v>2028</v>
      </c>
      <c r="AL36" t="s">
        <v>299</v>
      </c>
      <c r="AM36">
        <v>0.32316666666666666</v>
      </c>
      <c r="AN36" t="s">
        <v>250</v>
      </c>
    </row>
    <row r="37" spans="9:40" x14ac:dyDescent="0.45">
      <c r="I37" t="s">
        <v>167</v>
      </c>
      <c r="J37" t="s">
        <v>305</v>
      </c>
      <c r="K37">
        <v>1.1380124737322795E-2</v>
      </c>
      <c r="L37" t="s">
        <v>154</v>
      </c>
      <c r="N37" t="s">
        <v>196</v>
      </c>
      <c r="O37" t="s">
        <v>305</v>
      </c>
      <c r="P37">
        <v>2.8037405642108312E-2</v>
      </c>
      <c r="Q37" t="s">
        <v>154</v>
      </c>
      <c r="S37" t="s">
        <v>220</v>
      </c>
      <c r="T37" t="s">
        <v>305</v>
      </c>
      <c r="U37">
        <v>2.6651726585786285E-2</v>
      </c>
      <c r="V37" t="s">
        <v>154</v>
      </c>
      <c r="AK37">
        <v>2028</v>
      </c>
      <c r="AL37" t="s">
        <v>300</v>
      </c>
      <c r="AM37">
        <v>0.42399999999999999</v>
      </c>
      <c r="AN37" t="s">
        <v>250</v>
      </c>
    </row>
    <row r="38" spans="9:40" x14ac:dyDescent="0.45">
      <c r="I38" t="s">
        <v>167</v>
      </c>
      <c r="J38" t="s">
        <v>306</v>
      </c>
      <c r="K38">
        <v>0.28731436652297354</v>
      </c>
      <c r="L38" t="s">
        <v>154</v>
      </c>
      <c r="N38" t="s">
        <v>196</v>
      </c>
      <c r="O38" t="s">
        <v>306</v>
      </c>
      <c r="P38">
        <v>5.6073850854852544E-2</v>
      </c>
      <c r="Q38" t="s">
        <v>154</v>
      </c>
      <c r="S38" t="s">
        <v>220</v>
      </c>
      <c r="T38" t="s">
        <v>306</v>
      </c>
      <c r="U38">
        <v>5.1548046902301886E-2</v>
      </c>
      <c r="V38" t="s">
        <v>154</v>
      </c>
      <c r="AK38">
        <v>2028</v>
      </c>
      <c r="AL38" t="s">
        <v>302</v>
      </c>
      <c r="AM38">
        <v>0.46379999999999999</v>
      </c>
      <c r="AN38" t="s">
        <v>250</v>
      </c>
    </row>
    <row r="39" spans="9:40" x14ac:dyDescent="0.45">
      <c r="I39" t="s">
        <v>167</v>
      </c>
      <c r="J39" t="s">
        <v>307</v>
      </c>
      <c r="K39">
        <v>0</v>
      </c>
      <c r="L39" t="s">
        <v>154</v>
      </c>
      <c r="N39" t="s">
        <v>196</v>
      </c>
      <c r="O39" t="s">
        <v>307</v>
      </c>
      <c r="P39">
        <v>4.9723428280063132E-2</v>
      </c>
      <c r="Q39" t="s">
        <v>154</v>
      </c>
      <c r="S39" t="s">
        <v>220</v>
      </c>
      <c r="T39" t="s">
        <v>307</v>
      </c>
      <c r="U39">
        <v>6.2580949607026259E-2</v>
      </c>
      <c r="V39" t="s">
        <v>154</v>
      </c>
      <c r="AK39">
        <v>2029</v>
      </c>
      <c r="AL39" t="s">
        <v>297</v>
      </c>
      <c r="AM39">
        <v>0.48263333333333341</v>
      </c>
      <c r="AN39" t="s">
        <v>250</v>
      </c>
    </row>
    <row r="40" spans="9:40" x14ac:dyDescent="0.45">
      <c r="I40" t="s">
        <v>167</v>
      </c>
      <c r="J40" t="s">
        <v>308</v>
      </c>
      <c r="K40">
        <v>2.80662924056145E-2</v>
      </c>
      <c r="L40" t="s">
        <v>154</v>
      </c>
      <c r="N40" t="s">
        <v>196</v>
      </c>
      <c r="O40" t="s">
        <v>308</v>
      </c>
      <c r="P40">
        <v>1.0302206173489844E-2</v>
      </c>
      <c r="Q40" t="s">
        <v>154</v>
      </c>
      <c r="S40" t="s">
        <v>220</v>
      </c>
      <c r="T40" t="s">
        <v>308</v>
      </c>
      <c r="U40">
        <v>9.5052510499720102E-3</v>
      </c>
      <c r="V40" t="s">
        <v>154</v>
      </c>
      <c r="AK40">
        <v>2029</v>
      </c>
      <c r="AL40" t="s">
        <v>299</v>
      </c>
      <c r="AM40">
        <v>0.31830000000000003</v>
      </c>
      <c r="AN40" t="s">
        <v>250</v>
      </c>
    </row>
    <row r="41" spans="9:40" x14ac:dyDescent="0.45">
      <c r="I41" t="s">
        <v>167</v>
      </c>
      <c r="J41" t="s">
        <v>309</v>
      </c>
      <c r="K41">
        <v>0.21002216572959514</v>
      </c>
      <c r="L41" t="s">
        <v>154</v>
      </c>
      <c r="N41" t="s">
        <v>196</v>
      </c>
      <c r="O41" t="s">
        <v>309</v>
      </c>
      <c r="P41">
        <v>9.1056933239501411E-2</v>
      </c>
      <c r="Q41" t="s">
        <v>154</v>
      </c>
      <c r="S41" t="s">
        <v>220</v>
      </c>
      <c r="T41" t="s">
        <v>309</v>
      </c>
      <c r="U41">
        <v>0.12831565863680616</v>
      </c>
      <c r="V41" t="s">
        <v>154</v>
      </c>
      <c r="AK41">
        <v>2029</v>
      </c>
      <c r="AL41" t="s">
        <v>300</v>
      </c>
      <c r="AM41">
        <v>0.46296666666666669</v>
      </c>
      <c r="AN41" t="s">
        <v>250</v>
      </c>
    </row>
    <row r="42" spans="9:40" x14ac:dyDescent="0.45">
      <c r="I42" t="s">
        <v>167</v>
      </c>
      <c r="J42" t="s">
        <v>310</v>
      </c>
      <c r="K42">
        <v>0</v>
      </c>
      <c r="L42" t="s">
        <v>154</v>
      </c>
      <c r="N42" t="s">
        <v>196</v>
      </c>
      <c r="O42" t="s">
        <v>310</v>
      </c>
      <c r="P42">
        <v>7.9704872976654226E-2</v>
      </c>
      <c r="Q42" t="s">
        <v>154</v>
      </c>
      <c r="S42" t="s">
        <v>220</v>
      </c>
      <c r="T42" t="s">
        <v>310</v>
      </c>
      <c r="U42">
        <v>0.12660965473251692</v>
      </c>
      <c r="V42" t="s">
        <v>154</v>
      </c>
      <c r="AK42">
        <v>2029</v>
      </c>
      <c r="AL42" t="s">
        <v>302</v>
      </c>
      <c r="AM42">
        <v>0.45246666666666663</v>
      </c>
      <c r="AN42" t="s">
        <v>250</v>
      </c>
    </row>
    <row r="43" spans="9:40" x14ac:dyDescent="0.45">
      <c r="I43" t="s">
        <v>167</v>
      </c>
      <c r="J43" t="s">
        <v>311</v>
      </c>
      <c r="K43">
        <v>1.4506441732584131E-2</v>
      </c>
      <c r="L43" t="s">
        <v>154</v>
      </c>
      <c r="N43" t="s">
        <v>196</v>
      </c>
      <c r="O43" t="s">
        <v>311</v>
      </c>
      <c r="P43">
        <v>1.5169595350745656E-2</v>
      </c>
      <c r="Q43" t="s">
        <v>154</v>
      </c>
      <c r="S43" t="s">
        <v>220</v>
      </c>
      <c r="T43" t="s">
        <v>311</v>
      </c>
      <c r="U43">
        <v>2.3845975864511437E-2</v>
      </c>
      <c r="V43" t="s">
        <v>154</v>
      </c>
      <c r="AK43">
        <v>2030</v>
      </c>
      <c r="AL43" t="s">
        <v>297</v>
      </c>
      <c r="AM43">
        <v>0.50323333333333331</v>
      </c>
      <c r="AN43" t="s">
        <v>250</v>
      </c>
    </row>
    <row r="44" spans="9:40" x14ac:dyDescent="0.45">
      <c r="I44" t="s">
        <v>167</v>
      </c>
      <c r="J44" t="s">
        <v>312</v>
      </c>
      <c r="K44">
        <v>0.20625564232017166</v>
      </c>
      <c r="L44" t="s">
        <v>154</v>
      </c>
      <c r="N44" t="s">
        <v>196</v>
      </c>
      <c r="O44" t="s">
        <v>312</v>
      </c>
      <c r="P44">
        <v>0.17738382451485551</v>
      </c>
      <c r="Q44" t="s">
        <v>154</v>
      </c>
      <c r="S44" t="s">
        <v>220</v>
      </c>
      <c r="T44" t="s">
        <v>312</v>
      </c>
      <c r="U44">
        <v>0.1223264043913633</v>
      </c>
      <c r="V44" t="s">
        <v>154</v>
      </c>
      <c r="AK44">
        <v>2030</v>
      </c>
      <c r="AL44" t="s">
        <v>299</v>
      </c>
      <c r="AM44">
        <v>0.37286666666666668</v>
      </c>
      <c r="AN44" t="s">
        <v>250</v>
      </c>
    </row>
    <row r="45" spans="9:40" x14ac:dyDescent="0.45">
      <c r="I45" t="s">
        <v>167</v>
      </c>
      <c r="J45" t="s">
        <v>313</v>
      </c>
      <c r="K45">
        <v>0</v>
      </c>
      <c r="L45" t="s">
        <v>154</v>
      </c>
      <c r="N45" t="s">
        <v>196</v>
      </c>
      <c r="O45" t="s">
        <v>313</v>
      </c>
      <c r="P45">
        <v>0.16610562945757282</v>
      </c>
      <c r="Q45" t="s">
        <v>154</v>
      </c>
      <c r="S45" t="s">
        <v>220</v>
      </c>
      <c r="T45" t="s">
        <v>313</v>
      </c>
      <c r="U45">
        <v>0.13668830006157165</v>
      </c>
      <c r="V45" t="s">
        <v>154</v>
      </c>
      <c r="AK45">
        <v>2030</v>
      </c>
      <c r="AL45" t="s">
        <v>300</v>
      </c>
      <c r="AM45">
        <v>0.41320000000000001</v>
      </c>
      <c r="AN45" t="s">
        <v>250</v>
      </c>
    </row>
    <row r="46" spans="9:40" x14ac:dyDescent="0.45">
      <c r="I46" t="s">
        <v>167</v>
      </c>
      <c r="J46" t="s">
        <v>314</v>
      </c>
      <c r="K46">
        <v>1.5175636411449585E-2</v>
      </c>
      <c r="L46" t="s">
        <v>154</v>
      </c>
      <c r="N46" t="s">
        <v>196</v>
      </c>
      <c r="O46" t="s">
        <v>314</v>
      </c>
      <c r="P46">
        <v>2.9549776708366809E-2</v>
      </c>
      <c r="Q46" t="s">
        <v>154</v>
      </c>
      <c r="S46" t="s">
        <v>220</v>
      </c>
      <c r="T46" t="s">
        <v>314</v>
      </c>
      <c r="U46">
        <v>2.3882860341405496E-2</v>
      </c>
      <c r="V46" t="s">
        <v>154</v>
      </c>
      <c r="AK46">
        <v>2030</v>
      </c>
      <c r="AL46" t="s">
        <v>302</v>
      </c>
      <c r="AM46">
        <v>0.45140000000000002</v>
      </c>
      <c r="AN46" t="s">
        <v>250</v>
      </c>
    </row>
    <row r="47" spans="9:40" x14ac:dyDescent="0.45">
      <c r="I47" t="s">
        <v>168</v>
      </c>
      <c r="J47" t="s">
        <v>303</v>
      </c>
      <c r="K47">
        <v>0.23276822230812741</v>
      </c>
      <c r="L47" t="s">
        <v>154</v>
      </c>
      <c r="N47" t="s">
        <v>197</v>
      </c>
      <c r="O47" t="s">
        <v>303</v>
      </c>
      <c r="P47">
        <v>0.13446746890984881</v>
      </c>
      <c r="Q47" t="s">
        <v>154</v>
      </c>
      <c r="S47" t="s">
        <v>221</v>
      </c>
      <c r="T47" t="s">
        <v>303</v>
      </c>
      <c r="U47">
        <v>0.11745329626103516</v>
      </c>
      <c r="V47" t="s">
        <v>154</v>
      </c>
      <c r="AK47">
        <v>2031</v>
      </c>
      <c r="AL47" t="s">
        <v>297</v>
      </c>
      <c r="AM47">
        <v>0.43846666666666662</v>
      </c>
      <c r="AN47" t="s">
        <v>250</v>
      </c>
    </row>
    <row r="48" spans="9:40" x14ac:dyDescent="0.45">
      <c r="I48" t="s">
        <v>168</v>
      </c>
      <c r="J48" t="s">
        <v>304</v>
      </c>
      <c r="K48">
        <v>0</v>
      </c>
      <c r="L48" t="s">
        <v>154</v>
      </c>
      <c r="N48" t="s">
        <v>197</v>
      </c>
      <c r="O48" t="s">
        <v>304</v>
      </c>
      <c r="P48">
        <v>0.13311601457957437</v>
      </c>
      <c r="Q48" t="s">
        <v>154</v>
      </c>
      <c r="S48" t="s">
        <v>221</v>
      </c>
      <c r="T48" t="s">
        <v>304</v>
      </c>
      <c r="U48">
        <v>0.11521588040693199</v>
      </c>
      <c r="V48" t="s">
        <v>154</v>
      </c>
      <c r="AK48">
        <v>2031</v>
      </c>
      <c r="AL48" t="s">
        <v>299</v>
      </c>
      <c r="AM48">
        <v>0.26193333333333335</v>
      </c>
      <c r="AN48" t="s">
        <v>250</v>
      </c>
    </row>
    <row r="49" spans="9:40" x14ac:dyDescent="0.45">
      <c r="I49" t="s">
        <v>168</v>
      </c>
      <c r="J49" t="s">
        <v>305</v>
      </c>
      <c r="K49">
        <v>1.1865510634796109E-2</v>
      </c>
      <c r="L49" t="s">
        <v>154</v>
      </c>
      <c r="N49" t="s">
        <v>197</v>
      </c>
      <c r="O49" t="s">
        <v>305</v>
      </c>
      <c r="P49">
        <v>2.5005437797056867E-2</v>
      </c>
      <c r="Q49" t="s">
        <v>154</v>
      </c>
      <c r="S49" t="s">
        <v>221</v>
      </c>
      <c r="T49" t="s">
        <v>305</v>
      </c>
      <c r="U49">
        <v>1.98297856880334E-2</v>
      </c>
      <c r="V49" t="s">
        <v>154</v>
      </c>
      <c r="AK49">
        <v>2031</v>
      </c>
      <c r="AL49" t="s">
        <v>300</v>
      </c>
      <c r="AM49">
        <v>0.43866666666666659</v>
      </c>
      <c r="AN49" t="s">
        <v>250</v>
      </c>
    </row>
    <row r="50" spans="9:40" x14ac:dyDescent="0.45">
      <c r="I50" t="s">
        <v>168</v>
      </c>
      <c r="J50" t="s">
        <v>306</v>
      </c>
      <c r="K50">
        <v>0.28200373324337347</v>
      </c>
      <c r="L50" t="s">
        <v>154</v>
      </c>
      <c r="N50" t="s">
        <v>197</v>
      </c>
      <c r="O50" t="s">
        <v>306</v>
      </c>
      <c r="P50">
        <v>4.5067685098434854E-2</v>
      </c>
      <c r="Q50" t="s">
        <v>154</v>
      </c>
      <c r="S50" t="s">
        <v>221</v>
      </c>
      <c r="T50" t="s">
        <v>306</v>
      </c>
      <c r="U50">
        <v>3.816525290009231E-2</v>
      </c>
      <c r="V50" t="s">
        <v>154</v>
      </c>
      <c r="AK50">
        <v>2031</v>
      </c>
      <c r="AL50" t="s">
        <v>302</v>
      </c>
      <c r="AM50">
        <v>0.36266666666666669</v>
      </c>
      <c r="AN50" t="s">
        <v>250</v>
      </c>
    </row>
    <row r="51" spans="9:40" x14ac:dyDescent="0.45">
      <c r="I51" t="s">
        <v>168</v>
      </c>
      <c r="J51" t="s">
        <v>307</v>
      </c>
      <c r="K51">
        <v>0</v>
      </c>
      <c r="L51" t="s">
        <v>154</v>
      </c>
      <c r="N51" t="s">
        <v>197</v>
      </c>
      <c r="O51" t="s">
        <v>307</v>
      </c>
      <c r="P51">
        <v>4.0161875478786052E-2</v>
      </c>
      <c r="Q51" t="s">
        <v>154</v>
      </c>
      <c r="S51" t="s">
        <v>221</v>
      </c>
      <c r="T51" t="s">
        <v>307</v>
      </c>
      <c r="U51">
        <v>3.9301794088177647E-2</v>
      </c>
      <c r="V51" t="s">
        <v>154</v>
      </c>
      <c r="AK51">
        <v>2032</v>
      </c>
      <c r="AL51" t="s">
        <v>297</v>
      </c>
      <c r="AM51">
        <v>0.40939999999999999</v>
      </c>
      <c r="AN51" t="s">
        <v>250</v>
      </c>
    </row>
    <row r="52" spans="9:40" x14ac:dyDescent="0.45">
      <c r="I52" t="s">
        <v>168</v>
      </c>
      <c r="J52" t="s">
        <v>308</v>
      </c>
      <c r="K52">
        <v>2.852195543295586E-2</v>
      </c>
      <c r="L52" t="s">
        <v>154</v>
      </c>
      <c r="N52" t="s">
        <v>197</v>
      </c>
      <c r="O52" t="s">
        <v>308</v>
      </c>
      <c r="P52">
        <v>8.2334218956826351E-3</v>
      </c>
      <c r="Q52" t="s">
        <v>154</v>
      </c>
      <c r="S52" t="s">
        <v>221</v>
      </c>
      <c r="T52" t="s">
        <v>308</v>
      </c>
      <c r="U52">
        <v>5.7470182420139397E-3</v>
      </c>
      <c r="V52" t="s">
        <v>154</v>
      </c>
      <c r="AK52">
        <v>2032</v>
      </c>
      <c r="AL52" t="s">
        <v>299</v>
      </c>
      <c r="AM52">
        <v>0.27526666666666672</v>
      </c>
      <c r="AN52" t="s">
        <v>250</v>
      </c>
    </row>
    <row r="53" spans="9:40" x14ac:dyDescent="0.45">
      <c r="I53" t="s">
        <v>168</v>
      </c>
      <c r="J53" t="s">
        <v>309</v>
      </c>
      <c r="K53">
        <v>0.20615193426475675</v>
      </c>
      <c r="L53" t="s">
        <v>154</v>
      </c>
      <c r="N53" t="s">
        <v>197</v>
      </c>
      <c r="O53" t="s">
        <v>309</v>
      </c>
      <c r="P53">
        <v>9.1803828088590264E-2</v>
      </c>
      <c r="Q53" t="s">
        <v>154</v>
      </c>
      <c r="S53" t="s">
        <v>221</v>
      </c>
      <c r="T53" t="s">
        <v>309</v>
      </c>
      <c r="U53">
        <v>0.12665259016702538</v>
      </c>
      <c r="V53" t="s">
        <v>154</v>
      </c>
      <c r="AK53">
        <v>2032</v>
      </c>
      <c r="AL53" t="s">
        <v>300</v>
      </c>
      <c r="AM53">
        <v>0.32950000000000002</v>
      </c>
      <c r="AN53" t="s">
        <v>250</v>
      </c>
    </row>
    <row r="54" spans="9:40" x14ac:dyDescent="0.45">
      <c r="I54" t="s">
        <v>168</v>
      </c>
      <c r="J54" t="s">
        <v>310</v>
      </c>
      <c r="K54">
        <v>0</v>
      </c>
      <c r="L54" t="s">
        <v>154</v>
      </c>
      <c r="N54" t="s">
        <v>197</v>
      </c>
      <c r="O54" t="s">
        <v>310</v>
      </c>
      <c r="P54">
        <v>8.320125335747966E-2</v>
      </c>
      <c r="Q54" t="s">
        <v>154</v>
      </c>
      <c r="S54" t="s">
        <v>221</v>
      </c>
      <c r="T54" t="s">
        <v>310</v>
      </c>
      <c r="U54">
        <v>0.1151809378785013</v>
      </c>
      <c r="V54" t="s">
        <v>154</v>
      </c>
      <c r="AK54">
        <v>2032</v>
      </c>
      <c r="AL54" t="s">
        <v>302</v>
      </c>
      <c r="AM54">
        <v>0.34319999999999995</v>
      </c>
      <c r="AN54" t="s">
        <v>250</v>
      </c>
    </row>
    <row r="55" spans="9:40" x14ac:dyDescent="0.45">
      <c r="I55" t="s">
        <v>168</v>
      </c>
      <c r="J55" t="s">
        <v>311</v>
      </c>
      <c r="K55">
        <v>1.4627057790023615E-2</v>
      </c>
      <c r="L55" t="s">
        <v>154</v>
      </c>
      <c r="N55" t="s">
        <v>197</v>
      </c>
      <c r="O55" t="s">
        <v>311</v>
      </c>
      <c r="P55">
        <v>1.5927345922062436E-2</v>
      </c>
      <c r="Q55" t="s">
        <v>154</v>
      </c>
      <c r="S55" t="s">
        <v>221</v>
      </c>
      <c r="T55" t="s">
        <v>311</v>
      </c>
      <c r="U55">
        <v>2.0217664827009062E-2</v>
      </c>
      <c r="V55" t="s">
        <v>154</v>
      </c>
      <c r="AK55">
        <v>2033</v>
      </c>
      <c r="AL55" t="s">
        <v>297</v>
      </c>
      <c r="AM55">
        <v>0.48449999999999999</v>
      </c>
      <c r="AN55" t="s">
        <v>250</v>
      </c>
    </row>
    <row r="56" spans="9:40" x14ac:dyDescent="0.45">
      <c r="I56" t="s">
        <v>168</v>
      </c>
      <c r="J56" t="s">
        <v>312</v>
      </c>
      <c r="K56">
        <v>0.20843829175347695</v>
      </c>
      <c r="L56" t="s">
        <v>154</v>
      </c>
      <c r="N56" t="s">
        <v>197</v>
      </c>
      <c r="O56" t="s">
        <v>312</v>
      </c>
      <c r="P56">
        <v>0.19973835020306238</v>
      </c>
      <c r="Q56" t="s">
        <v>154</v>
      </c>
      <c r="S56" t="s">
        <v>221</v>
      </c>
      <c r="T56" t="s">
        <v>312</v>
      </c>
      <c r="U56">
        <v>0.18495763990528011</v>
      </c>
      <c r="V56" t="s">
        <v>154</v>
      </c>
      <c r="AK56">
        <v>2033</v>
      </c>
      <c r="AL56" t="s">
        <v>299</v>
      </c>
      <c r="AM56">
        <v>0.21630000000000002</v>
      </c>
      <c r="AN56" t="s">
        <v>250</v>
      </c>
    </row>
    <row r="57" spans="9:40" x14ac:dyDescent="0.45">
      <c r="I57" t="s">
        <v>168</v>
      </c>
      <c r="J57" t="s">
        <v>313</v>
      </c>
      <c r="K57">
        <v>0</v>
      </c>
      <c r="L57" t="s">
        <v>154</v>
      </c>
      <c r="N57" t="s">
        <v>197</v>
      </c>
      <c r="O57" t="s">
        <v>313</v>
      </c>
      <c r="P57">
        <v>0.1871711065822555</v>
      </c>
      <c r="Q57" t="s">
        <v>154</v>
      </c>
      <c r="S57" t="s">
        <v>221</v>
      </c>
      <c r="T57" t="s">
        <v>313</v>
      </c>
      <c r="U57">
        <v>0.1866641817958988</v>
      </c>
      <c r="V57" t="s">
        <v>154</v>
      </c>
      <c r="AK57">
        <v>2033</v>
      </c>
      <c r="AL57" t="s">
        <v>300</v>
      </c>
      <c r="AM57">
        <v>0.34533333333333333</v>
      </c>
      <c r="AN57" t="s">
        <v>250</v>
      </c>
    </row>
    <row r="58" spans="9:40" x14ac:dyDescent="0.45">
      <c r="I58" t="s">
        <v>168</v>
      </c>
      <c r="J58" t="s">
        <v>314</v>
      </c>
      <c r="K58">
        <v>1.562329457249126E-2</v>
      </c>
      <c r="L58" t="s">
        <v>154</v>
      </c>
      <c r="N58" t="s">
        <v>197</v>
      </c>
      <c r="O58" t="s">
        <v>314</v>
      </c>
      <c r="P58">
        <v>3.6106212087162269E-2</v>
      </c>
      <c r="Q58" t="s">
        <v>154</v>
      </c>
      <c r="S58" t="s">
        <v>221</v>
      </c>
      <c r="T58" t="s">
        <v>314</v>
      </c>
      <c r="U58">
        <v>3.061395784000492E-2</v>
      </c>
      <c r="V58" t="s">
        <v>154</v>
      </c>
      <c r="AK58">
        <v>2033</v>
      </c>
      <c r="AL58" t="s">
        <v>302</v>
      </c>
      <c r="AM58">
        <v>0.32836666666666664</v>
      </c>
      <c r="AN58" t="s">
        <v>250</v>
      </c>
    </row>
    <row r="59" spans="9:40" x14ac:dyDescent="0.45">
      <c r="I59" t="s">
        <v>169</v>
      </c>
      <c r="J59" t="s">
        <v>303</v>
      </c>
      <c r="K59">
        <v>0.22558312725000085</v>
      </c>
      <c r="L59" t="s">
        <v>154</v>
      </c>
      <c r="N59" t="s">
        <v>198</v>
      </c>
      <c r="O59" t="s">
        <v>303</v>
      </c>
      <c r="P59">
        <v>0.15306145466806417</v>
      </c>
      <c r="Q59" t="s">
        <v>154</v>
      </c>
      <c r="S59" t="s">
        <v>222</v>
      </c>
      <c r="T59" t="s">
        <v>303</v>
      </c>
      <c r="U59">
        <v>0.12752909791270167</v>
      </c>
      <c r="V59" t="s">
        <v>154</v>
      </c>
      <c r="AK59">
        <v>2034</v>
      </c>
      <c r="AL59" t="s">
        <v>297</v>
      </c>
      <c r="AM59">
        <v>0.42413333333333331</v>
      </c>
      <c r="AN59" t="s">
        <v>250</v>
      </c>
    </row>
    <row r="60" spans="9:40" x14ac:dyDescent="0.45">
      <c r="I60" t="s">
        <v>169</v>
      </c>
      <c r="J60" t="s">
        <v>304</v>
      </c>
      <c r="K60">
        <v>0</v>
      </c>
      <c r="L60" t="s">
        <v>154</v>
      </c>
      <c r="N60" t="s">
        <v>198</v>
      </c>
      <c r="O60" t="s">
        <v>304</v>
      </c>
      <c r="P60">
        <v>0.14073323881639413</v>
      </c>
      <c r="Q60" t="s">
        <v>154</v>
      </c>
      <c r="S60" t="s">
        <v>222</v>
      </c>
      <c r="T60" t="s">
        <v>304</v>
      </c>
      <c r="U60">
        <v>0.12313874519413105</v>
      </c>
      <c r="V60" t="s">
        <v>154</v>
      </c>
      <c r="AK60">
        <v>2034</v>
      </c>
      <c r="AL60" t="s">
        <v>299</v>
      </c>
      <c r="AM60">
        <v>0.26386666666666664</v>
      </c>
      <c r="AN60" t="s">
        <v>250</v>
      </c>
    </row>
    <row r="61" spans="9:40" x14ac:dyDescent="0.45">
      <c r="I61" t="s">
        <v>169</v>
      </c>
      <c r="J61" t="s">
        <v>305</v>
      </c>
      <c r="K61">
        <v>1.2153373594292164E-2</v>
      </c>
      <c r="L61" t="s">
        <v>154</v>
      </c>
      <c r="N61" t="s">
        <v>198</v>
      </c>
      <c r="O61" t="s">
        <v>305</v>
      </c>
      <c r="P61">
        <v>2.6946891217781523E-2</v>
      </c>
      <c r="Q61" t="s">
        <v>154</v>
      </c>
      <c r="S61" t="s">
        <v>222</v>
      </c>
      <c r="T61" t="s">
        <v>305</v>
      </c>
      <c r="U61">
        <v>2.2436241692808799E-2</v>
      </c>
      <c r="V61" t="s">
        <v>154</v>
      </c>
      <c r="AK61">
        <v>2034</v>
      </c>
      <c r="AL61" t="s">
        <v>300</v>
      </c>
      <c r="AM61">
        <v>0.40623333333333339</v>
      </c>
      <c r="AN61" t="s">
        <v>250</v>
      </c>
    </row>
    <row r="62" spans="9:40" x14ac:dyDescent="0.45">
      <c r="I62" t="s">
        <v>169</v>
      </c>
      <c r="J62" t="s">
        <v>306</v>
      </c>
      <c r="K62">
        <v>0.28179808516823818</v>
      </c>
      <c r="L62" t="s">
        <v>154</v>
      </c>
      <c r="N62" t="s">
        <v>198</v>
      </c>
      <c r="O62" t="s">
        <v>306</v>
      </c>
      <c r="P62">
        <v>4.5402069127953734E-2</v>
      </c>
      <c r="Q62" t="s">
        <v>154</v>
      </c>
      <c r="S62" t="s">
        <v>222</v>
      </c>
      <c r="T62" t="s">
        <v>306</v>
      </c>
      <c r="U62">
        <v>4.0868926031921146E-2</v>
      </c>
      <c r="V62" t="s">
        <v>154</v>
      </c>
      <c r="AK62">
        <v>2034</v>
      </c>
      <c r="AL62" t="s">
        <v>302</v>
      </c>
      <c r="AM62">
        <v>0.37796666666666673</v>
      </c>
      <c r="AN62" t="s">
        <v>250</v>
      </c>
    </row>
    <row r="63" spans="9:40" x14ac:dyDescent="0.45">
      <c r="I63" t="s">
        <v>169</v>
      </c>
      <c r="J63" t="s">
        <v>307</v>
      </c>
      <c r="K63">
        <v>0</v>
      </c>
      <c r="L63" t="s">
        <v>154</v>
      </c>
      <c r="N63" t="s">
        <v>198</v>
      </c>
      <c r="O63" t="s">
        <v>307</v>
      </c>
      <c r="P63">
        <v>4.0428648904526181E-2</v>
      </c>
      <c r="Q63" t="s">
        <v>154</v>
      </c>
      <c r="S63" t="s">
        <v>222</v>
      </c>
      <c r="T63" t="s">
        <v>307</v>
      </c>
      <c r="U63">
        <v>3.6931233139462685E-2</v>
      </c>
      <c r="V63" t="s">
        <v>154</v>
      </c>
      <c r="AK63">
        <v>2035</v>
      </c>
      <c r="AL63" t="s">
        <v>297</v>
      </c>
      <c r="AM63">
        <v>0.46360000000000001</v>
      </c>
      <c r="AN63" t="s">
        <v>250</v>
      </c>
    </row>
    <row r="64" spans="9:40" x14ac:dyDescent="0.45">
      <c r="I64" t="s">
        <v>169</v>
      </c>
      <c r="J64" t="s">
        <v>308</v>
      </c>
      <c r="K64">
        <v>2.853934632163144E-2</v>
      </c>
      <c r="L64" t="s">
        <v>154</v>
      </c>
      <c r="N64" t="s">
        <v>198</v>
      </c>
      <c r="O64" t="s">
        <v>308</v>
      </c>
      <c r="P64">
        <v>7.7385210812680244E-3</v>
      </c>
      <c r="Q64" t="s">
        <v>154</v>
      </c>
      <c r="S64" t="s">
        <v>222</v>
      </c>
      <c r="T64" t="s">
        <v>308</v>
      </c>
      <c r="U64">
        <v>6.1088472560921359E-3</v>
      </c>
      <c r="V64" t="s">
        <v>154</v>
      </c>
      <c r="AK64">
        <v>2035</v>
      </c>
      <c r="AL64" t="s">
        <v>299</v>
      </c>
      <c r="AM64">
        <v>0.31743333333333335</v>
      </c>
      <c r="AN64" t="s">
        <v>250</v>
      </c>
    </row>
    <row r="65" spans="9:40" x14ac:dyDescent="0.45">
      <c r="I65" t="s">
        <v>169</v>
      </c>
      <c r="J65" t="s">
        <v>309</v>
      </c>
      <c r="K65">
        <v>0.19003605070865473</v>
      </c>
      <c r="L65" t="s">
        <v>154</v>
      </c>
      <c r="N65" t="s">
        <v>198</v>
      </c>
      <c r="O65" t="s">
        <v>309</v>
      </c>
      <c r="P65">
        <v>0.13460903698075757</v>
      </c>
      <c r="Q65" t="s">
        <v>154</v>
      </c>
      <c r="S65" t="s">
        <v>222</v>
      </c>
      <c r="T65" t="s">
        <v>309</v>
      </c>
      <c r="U65">
        <v>0.12513887021711154</v>
      </c>
      <c r="V65" t="s">
        <v>154</v>
      </c>
      <c r="AK65">
        <v>2035</v>
      </c>
      <c r="AL65" t="s">
        <v>300</v>
      </c>
      <c r="AM65">
        <v>0.41543333333333332</v>
      </c>
      <c r="AN65" t="s">
        <v>250</v>
      </c>
    </row>
    <row r="66" spans="9:40" x14ac:dyDescent="0.45">
      <c r="I66" t="s">
        <v>169</v>
      </c>
      <c r="J66" t="s">
        <v>310</v>
      </c>
      <c r="K66">
        <v>0</v>
      </c>
      <c r="L66" t="s">
        <v>154</v>
      </c>
      <c r="N66" t="s">
        <v>198</v>
      </c>
      <c r="O66" t="s">
        <v>310</v>
      </c>
      <c r="P66">
        <v>0.12053885615504484</v>
      </c>
      <c r="Q66" t="s">
        <v>154</v>
      </c>
      <c r="S66" t="s">
        <v>222</v>
      </c>
      <c r="T66" t="s">
        <v>310</v>
      </c>
      <c r="U66">
        <v>0.11260430263272229</v>
      </c>
      <c r="V66" t="s">
        <v>154</v>
      </c>
      <c r="AK66">
        <v>2035</v>
      </c>
      <c r="AL66" t="s">
        <v>302</v>
      </c>
      <c r="AM66">
        <v>0.38126666666666664</v>
      </c>
      <c r="AN66" t="s">
        <v>250</v>
      </c>
    </row>
    <row r="67" spans="9:40" x14ac:dyDescent="0.45">
      <c r="I67" t="s">
        <v>169</v>
      </c>
      <c r="J67" t="s">
        <v>311</v>
      </c>
      <c r="K67">
        <v>1.1146400460248179E-2</v>
      </c>
      <c r="L67" t="s">
        <v>154</v>
      </c>
      <c r="N67" t="s">
        <v>198</v>
      </c>
      <c r="O67" t="s">
        <v>311</v>
      </c>
      <c r="P67">
        <v>2.3365200450282255E-2</v>
      </c>
      <c r="Q67" t="s">
        <v>154</v>
      </c>
      <c r="S67" t="s">
        <v>222</v>
      </c>
      <c r="T67" t="s">
        <v>311</v>
      </c>
      <c r="U67">
        <v>2.158293840517132E-2</v>
      </c>
      <c r="V67" t="s">
        <v>154</v>
      </c>
      <c r="AK67">
        <v>2036</v>
      </c>
      <c r="AL67" t="s">
        <v>297</v>
      </c>
      <c r="AM67">
        <v>0.41686666666666666</v>
      </c>
      <c r="AN67" t="s">
        <v>250</v>
      </c>
    </row>
    <row r="68" spans="9:40" x14ac:dyDescent="0.45">
      <c r="I68" t="s">
        <v>169</v>
      </c>
      <c r="J68" t="s">
        <v>312</v>
      </c>
      <c r="K68">
        <v>0.23047646320278262</v>
      </c>
      <c r="L68" t="s">
        <v>154</v>
      </c>
      <c r="N68" t="s">
        <v>198</v>
      </c>
      <c r="O68" t="s">
        <v>312</v>
      </c>
      <c r="P68">
        <v>0.14511051599061342</v>
      </c>
      <c r="Q68" t="s">
        <v>154</v>
      </c>
      <c r="S68" t="s">
        <v>222</v>
      </c>
      <c r="T68" t="s">
        <v>312</v>
      </c>
      <c r="U68">
        <v>0.18060081387341376</v>
      </c>
      <c r="V68" t="s">
        <v>154</v>
      </c>
      <c r="AK68">
        <v>2036</v>
      </c>
      <c r="AL68" t="s">
        <v>299</v>
      </c>
      <c r="AM68">
        <v>0.22976666666666667</v>
      </c>
      <c r="AN68" t="s">
        <v>250</v>
      </c>
    </row>
    <row r="69" spans="9:40" x14ac:dyDescent="0.45">
      <c r="I69" t="s">
        <v>169</v>
      </c>
      <c r="J69" t="s">
        <v>313</v>
      </c>
      <c r="K69">
        <v>0</v>
      </c>
      <c r="L69" t="s">
        <v>154</v>
      </c>
      <c r="N69" t="s">
        <v>198</v>
      </c>
      <c r="O69" t="s">
        <v>313</v>
      </c>
      <c r="P69">
        <v>0.13529971360384432</v>
      </c>
      <c r="Q69" t="s">
        <v>154</v>
      </c>
      <c r="S69" t="s">
        <v>222</v>
      </c>
      <c r="T69" t="s">
        <v>313</v>
      </c>
      <c r="U69">
        <v>0.17335475638881442</v>
      </c>
      <c r="V69" t="s">
        <v>154</v>
      </c>
      <c r="AK69">
        <v>2036</v>
      </c>
      <c r="AL69" t="s">
        <v>300</v>
      </c>
      <c r="AM69">
        <v>0.36433333333333334</v>
      </c>
      <c r="AN69" t="s">
        <v>250</v>
      </c>
    </row>
    <row r="70" spans="9:40" x14ac:dyDescent="0.45">
      <c r="I70" t="s">
        <v>169</v>
      </c>
      <c r="J70" t="s">
        <v>314</v>
      </c>
      <c r="K70">
        <v>2.0267153294152313E-2</v>
      </c>
      <c r="L70" t="s">
        <v>154</v>
      </c>
      <c r="N70" t="s">
        <v>198</v>
      </c>
      <c r="O70" t="s">
        <v>314</v>
      </c>
      <c r="P70">
        <v>2.6765853003470601E-2</v>
      </c>
      <c r="Q70" t="s">
        <v>154</v>
      </c>
      <c r="S70" t="s">
        <v>222</v>
      </c>
      <c r="T70" t="s">
        <v>314</v>
      </c>
      <c r="U70">
        <v>2.9705227255648708E-2</v>
      </c>
      <c r="V70" t="s">
        <v>154</v>
      </c>
      <c r="AK70">
        <v>2036</v>
      </c>
      <c r="AL70" t="s">
        <v>302</v>
      </c>
      <c r="AM70">
        <v>0.37176666666666663</v>
      </c>
      <c r="AN70" t="s">
        <v>250</v>
      </c>
    </row>
    <row r="71" spans="9:40" x14ac:dyDescent="0.45">
      <c r="I71" t="s">
        <v>170</v>
      </c>
      <c r="J71" t="s">
        <v>303</v>
      </c>
      <c r="K71">
        <v>0.23155314068324093</v>
      </c>
      <c r="L71" t="s">
        <v>154</v>
      </c>
      <c r="N71" t="s">
        <v>199</v>
      </c>
      <c r="O71" t="s">
        <v>303</v>
      </c>
      <c r="P71">
        <v>0.12617967519953852</v>
      </c>
      <c r="Q71" t="s">
        <v>154</v>
      </c>
      <c r="S71" t="s">
        <v>223</v>
      </c>
      <c r="T71" t="s">
        <v>303</v>
      </c>
      <c r="U71">
        <v>0.12502010436074676</v>
      </c>
      <c r="V71" t="s">
        <v>154</v>
      </c>
      <c r="AK71">
        <v>2037</v>
      </c>
      <c r="AL71" t="s">
        <v>297</v>
      </c>
      <c r="AM71">
        <v>0.43603333333333333</v>
      </c>
      <c r="AN71" t="s">
        <v>250</v>
      </c>
    </row>
    <row r="72" spans="9:40" x14ac:dyDescent="0.45">
      <c r="I72" t="s">
        <v>170</v>
      </c>
      <c r="J72" t="s">
        <v>304</v>
      </c>
      <c r="K72">
        <v>0</v>
      </c>
      <c r="L72" t="s">
        <v>154</v>
      </c>
      <c r="N72" t="s">
        <v>199</v>
      </c>
      <c r="O72" t="s">
        <v>304</v>
      </c>
      <c r="P72">
        <v>0.11162137179162762</v>
      </c>
      <c r="Q72" t="s">
        <v>154</v>
      </c>
      <c r="S72" t="s">
        <v>223</v>
      </c>
      <c r="T72" t="s">
        <v>304</v>
      </c>
      <c r="U72">
        <v>0.12305959426157366</v>
      </c>
      <c r="V72" t="s">
        <v>154</v>
      </c>
      <c r="AK72">
        <v>2037</v>
      </c>
      <c r="AL72" t="s">
        <v>299</v>
      </c>
      <c r="AM72">
        <v>0.33949999999999997</v>
      </c>
      <c r="AN72" t="s">
        <v>250</v>
      </c>
    </row>
    <row r="73" spans="9:40" x14ac:dyDescent="0.45">
      <c r="I73" t="s">
        <v>170</v>
      </c>
      <c r="J73" t="s">
        <v>305</v>
      </c>
      <c r="K73">
        <v>1.2629432454470832E-2</v>
      </c>
      <c r="L73" t="s">
        <v>154</v>
      </c>
      <c r="N73" t="s">
        <v>199</v>
      </c>
      <c r="O73" t="s">
        <v>305</v>
      </c>
      <c r="P73">
        <v>2.0034629636545953E-2</v>
      </c>
      <c r="Q73" t="s">
        <v>154</v>
      </c>
      <c r="S73" t="s">
        <v>223</v>
      </c>
      <c r="T73" t="s">
        <v>305</v>
      </c>
      <c r="U73">
        <v>2.1920322982203335E-2</v>
      </c>
      <c r="V73" t="s">
        <v>154</v>
      </c>
      <c r="AK73">
        <v>2037</v>
      </c>
      <c r="AL73" t="s">
        <v>300</v>
      </c>
      <c r="AM73">
        <v>0.36093333333333333</v>
      </c>
      <c r="AN73" t="s">
        <v>250</v>
      </c>
    </row>
    <row r="74" spans="9:40" x14ac:dyDescent="0.45">
      <c r="I74" t="s">
        <v>170</v>
      </c>
      <c r="J74" t="s">
        <v>306</v>
      </c>
      <c r="K74">
        <v>0.28076479377124292</v>
      </c>
      <c r="L74" t="s">
        <v>154</v>
      </c>
      <c r="N74" t="s">
        <v>199</v>
      </c>
      <c r="O74" t="s">
        <v>306</v>
      </c>
      <c r="P74">
        <v>6.8054963753027956E-2</v>
      </c>
      <c r="Q74" t="s">
        <v>154</v>
      </c>
      <c r="S74" t="s">
        <v>223</v>
      </c>
      <c r="T74" t="s">
        <v>306</v>
      </c>
      <c r="U74">
        <v>4.1995973853188248E-2</v>
      </c>
      <c r="V74" t="s">
        <v>154</v>
      </c>
      <c r="AK74">
        <v>2037</v>
      </c>
      <c r="AL74" t="s">
        <v>302</v>
      </c>
      <c r="AM74">
        <v>0.34713333333333329</v>
      </c>
      <c r="AN74" t="s">
        <v>250</v>
      </c>
    </row>
    <row r="75" spans="9:40" x14ac:dyDescent="0.45">
      <c r="I75" t="s">
        <v>170</v>
      </c>
      <c r="J75" t="s">
        <v>307</v>
      </c>
      <c r="K75">
        <v>0</v>
      </c>
      <c r="L75" t="s">
        <v>154</v>
      </c>
      <c r="N75" t="s">
        <v>199</v>
      </c>
      <c r="O75" t="s">
        <v>307</v>
      </c>
      <c r="P75">
        <v>5.4013296977587694E-2</v>
      </c>
      <c r="Q75" t="s">
        <v>154</v>
      </c>
      <c r="S75" t="s">
        <v>223</v>
      </c>
      <c r="T75" t="s">
        <v>307</v>
      </c>
      <c r="U75">
        <v>3.99609378752529E-2</v>
      </c>
      <c r="V75" t="s">
        <v>154</v>
      </c>
      <c r="AK75">
        <v>2038</v>
      </c>
      <c r="AL75" t="s">
        <v>297</v>
      </c>
      <c r="AM75">
        <v>0.41399999999999998</v>
      </c>
      <c r="AN75" t="s">
        <v>250</v>
      </c>
    </row>
    <row r="76" spans="9:40" x14ac:dyDescent="0.45">
      <c r="I76" t="s">
        <v>170</v>
      </c>
      <c r="J76" t="s">
        <v>308</v>
      </c>
      <c r="K76">
        <v>2.953638410154014E-2</v>
      </c>
      <c r="L76" t="s">
        <v>154</v>
      </c>
      <c r="N76" t="s">
        <v>199</v>
      </c>
      <c r="O76" t="s">
        <v>308</v>
      </c>
      <c r="P76">
        <v>8.6504493903408058E-3</v>
      </c>
      <c r="Q76" t="s">
        <v>154</v>
      </c>
      <c r="S76" t="s">
        <v>223</v>
      </c>
      <c r="T76" t="s">
        <v>308</v>
      </c>
      <c r="U76">
        <v>5.9907592405548122E-3</v>
      </c>
      <c r="V76" t="s">
        <v>154</v>
      </c>
      <c r="AK76">
        <v>2038</v>
      </c>
      <c r="AL76" t="s">
        <v>299</v>
      </c>
      <c r="AM76">
        <v>0.26763333333333333</v>
      </c>
      <c r="AN76" t="s">
        <v>250</v>
      </c>
    </row>
    <row r="77" spans="9:40" x14ac:dyDescent="0.45">
      <c r="I77" t="s">
        <v>170</v>
      </c>
      <c r="J77" t="s">
        <v>309</v>
      </c>
      <c r="K77">
        <v>0.19831940008703028</v>
      </c>
      <c r="L77" t="s">
        <v>154</v>
      </c>
      <c r="N77" t="s">
        <v>199</v>
      </c>
      <c r="O77" t="s">
        <v>309</v>
      </c>
      <c r="P77">
        <v>7.3266960784611188E-2</v>
      </c>
      <c r="Q77" t="s">
        <v>154</v>
      </c>
      <c r="S77" t="s">
        <v>223</v>
      </c>
      <c r="T77" t="s">
        <v>309</v>
      </c>
      <c r="U77">
        <v>0.12880660052417145</v>
      </c>
      <c r="V77" t="s">
        <v>154</v>
      </c>
      <c r="AK77">
        <v>2038</v>
      </c>
      <c r="AL77" t="s">
        <v>300</v>
      </c>
      <c r="AM77">
        <v>0.33163333333333334</v>
      </c>
      <c r="AN77" t="s">
        <v>250</v>
      </c>
    </row>
    <row r="78" spans="9:40" x14ac:dyDescent="0.45">
      <c r="I78" t="s">
        <v>170</v>
      </c>
      <c r="J78" t="s">
        <v>310</v>
      </c>
      <c r="K78">
        <v>0</v>
      </c>
      <c r="L78" t="s">
        <v>154</v>
      </c>
      <c r="N78" t="s">
        <v>199</v>
      </c>
      <c r="O78" t="s">
        <v>310</v>
      </c>
      <c r="P78">
        <v>6.6611643229963879E-2</v>
      </c>
      <c r="Q78" t="s">
        <v>154</v>
      </c>
      <c r="S78" t="s">
        <v>223</v>
      </c>
      <c r="T78" t="s">
        <v>310</v>
      </c>
      <c r="U78">
        <v>0.11564625155263573</v>
      </c>
      <c r="V78" t="s">
        <v>154</v>
      </c>
      <c r="AK78">
        <v>2038</v>
      </c>
      <c r="AL78" t="s">
        <v>302</v>
      </c>
      <c r="AM78">
        <v>0.31406666666666666</v>
      </c>
      <c r="AN78" t="s">
        <v>250</v>
      </c>
    </row>
    <row r="79" spans="9:40" x14ac:dyDescent="0.45">
      <c r="I79" t="s">
        <v>170</v>
      </c>
      <c r="J79" t="s">
        <v>311</v>
      </c>
      <c r="K79">
        <v>1.353646766332953E-2</v>
      </c>
      <c r="L79" t="s">
        <v>154</v>
      </c>
      <c r="N79" t="s">
        <v>199</v>
      </c>
      <c r="O79" t="s">
        <v>311</v>
      </c>
      <c r="P79">
        <v>1.1744738342756644E-2</v>
      </c>
      <c r="Q79" t="s">
        <v>154</v>
      </c>
      <c r="S79" t="s">
        <v>223</v>
      </c>
      <c r="T79" t="s">
        <v>311</v>
      </c>
      <c r="U79">
        <v>2.1776548687201934E-2</v>
      </c>
      <c r="V79" t="s">
        <v>154</v>
      </c>
      <c r="AK79">
        <v>2039</v>
      </c>
      <c r="AL79" t="s">
        <v>297</v>
      </c>
      <c r="AM79">
        <v>0.49293333333333339</v>
      </c>
      <c r="AN79" t="s">
        <v>250</v>
      </c>
    </row>
    <row r="80" spans="9:40" x14ac:dyDescent="0.45">
      <c r="I80" t="s">
        <v>170</v>
      </c>
      <c r="J80" t="s">
        <v>312</v>
      </c>
      <c r="K80">
        <v>0.21613780832243346</v>
      </c>
      <c r="L80" t="s">
        <v>154</v>
      </c>
      <c r="N80" t="s">
        <v>199</v>
      </c>
      <c r="O80" t="s">
        <v>312</v>
      </c>
      <c r="P80">
        <v>0.22060461980808452</v>
      </c>
      <c r="Q80" t="s">
        <v>154</v>
      </c>
      <c r="S80" t="s">
        <v>223</v>
      </c>
      <c r="T80" t="s">
        <v>312</v>
      </c>
      <c r="U80">
        <v>0.17408785844932823</v>
      </c>
      <c r="V80" t="s">
        <v>154</v>
      </c>
      <c r="AK80">
        <v>2039</v>
      </c>
      <c r="AL80" t="s">
        <v>299</v>
      </c>
      <c r="AM80">
        <v>0.29059999999999997</v>
      </c>
      <c r="AN80" t="s">
        <v>250</v>
      </c>
    </row>
    <row r="81" spans="9:40" x14ac:dyDescent="0.45">
      <c r="I81" t="s">
        <v>170</v>
      </c>
      <c r="J81" t="s">
        <v>313</v>
      </c>
      <c r="K81">
        <v>0</v>
      </c>
      <c r="L81" t="s">
        <v>154</v>
      </c>
      <c r="N81" t="s">
        <v>199</v>
      </c>
      <c r="O81" t="s">
        <v>313</v>
      </c>
      <c r="P81">
        <v>0.20474582241947081</v>
      </c>
      <c r="Q81" t="s">
        <v>154</v>
      </c>
      <c r="S81" t="s">
        <v>223</v>
      </c>
      <c r="T81" t="s">
        <v>313</v>
      </c>
      <c r="U81">
        <v>0.17290994570605792</v>
      </c>
      <c r="V81" t="s">
        <v>154</v>
      </c>
      <c r="AK81">
        <v>2039</v>
      </c>
      <c r="AL81" t="s">
        <v>300</v>
      </c>
      <c r="AM81">
        <v>0.32673333333333338</v>
      </c>
      <c r="AN81" t="s">
        <v>250</v>
      </c>
    </row>
    <row r="82" spans="9:40" x14ac:dyDescent="0.45">
      <c r="I82" t="s">
        <v>170</v>
      </c>
      <c r="J82" t="s">
        <v>314</v>
      </c>
      <c r="K82">
        <v>1.752257291671282E-2</v>
      </c>
      <c r="L82" t="s">
        <v>154</v>
      </c>
      <c r="N82" t="s">
        <v>199</v>
      </c>
      <c r="O82" t="s">
        <v>314</v>
      </c>
      <c r="P82">
        <v>3.447182866644187E-2</v>
      </c>
      <c r="Q82" t="s">
        <v>154</v>
      </c>
      <c r="S82" t="s">
        <v>223</v>
      </c>
      <c r="T82" t="s">
        <v>314</v>
      </c>
      <c r="U82">
        <v>2.8825102507086937E-2</v>
      </c>
      <c r="V82" t="s">
        <v>154</v>
      </c>
      <c r="AK82">
        <v>2039</v>
      </c>
      <c r="AL82" t="s">
        <v>302</v>
      </c>
      <c r="AM82">
        <v>0.35390000000000005</v>
      </c>
      <c r="AN82" t="s">
        <v>250</v>
      </c>
    </row>
    <row r="83" spans="9:40" x14ac:dyDescent="0.45">
      <c r="I83" t="s">
        <v>171</v>
      </c>
      <c r="J83" t="s">
        <v>303</v>
      </c>
      <c r="K83">
        <v>0.23323055775068377</v>
      </c>
      <c r="L83" t="s">
        <v>154</v>
      </c>
      <c r="N83" t="s">
        <v>200</v>
      </c>
      <c r="O83" t="s">
        <v>303</v>
      </c>
      <c r="P83">
        <v>0.14224045624150786</v>
      </c>
      <c r="Q83" t="s">
        <v>154</v>
      </c>
      <c r="S83" t="s">
        <v>224</v>
      </c>
      <c r="T83" t="s">
        <v>303</v>
      </c>
      <c r="U83">
        <v>0.15739702558951915</v>
      </c>
      <c r="V83" t="s">
        <v>154</v>
      </c>
      <c r="AK83">
        <v>2040</v>
      </c>
      <c r="AL83" t="s">
        <v>297</v>
      </c>
      <c r="AM83">
        <v>0.41336666666666666</v>
      </c>
      <c r="AN83" t="s">
        <v>250</v>
      </c>
    </row>
    <row r="84" spans="9:40" x14ac:dyDescent="0.45">
      <c r="I84" t="s">
        <v>171</v>
      </c>
      <c r="J84" t="s">
        <v>304</v>
      </c>
      <c r="K84">
        <v>0</v>
      </c>
      <c r="L84" t="s">
        <v>154</v>
      </c>
      <c r="N84" t="s">
        <v>200</v>
      </c>
      <c r="O84" t="s">
        <v>304</v>
      </c>
      <c r="P84">
        <v>0.1293166666566738</v>
      </c>
      <c r="Q84" t="s">
        <v>154</v>
      </c>
      <c r="S84" t="s">
        <v>224</v>
      </c>
      <c r="T84" t="s">
        <v>304</v>
      </c>
      <c r="U84">
        <v>0.1465259270627258</v>
      </c>
      <c r="V84" t="s">
        <v>154</v>
      </c>
      <c r="AK84">
        <v>2040</v>
      </c>
      <c r="AL84" t="s">
        <v>299</v>
      </c>
      <c r="AM84">
        <v>0.25073333333333331</v>
      </c>
      <c r="AN84" t="s">
        <v>250</v>
      </c>
    </row>
    <row r="85" spans="9:40" x14ac:dyDescent="0.45">
      <c r="I85" t="s">
        <v>171</v>
      </c>
      <c r="J85" t="s">
        <v>305</v>
      </c>
      <c r="K85">
        <v>1.6463093364374997E-2</v>
      </c>
      <c r="L85" t="s">
        <v>154</v>
      </c>
      <c r="N85" t="s">
        <v>200</v>
      </c>
      <c r="O85" t="s">
        <v>305</v>
      </c>
      <c r="P85">
        <v>2.2966535179789905E-2</v>
      </c>
      <c r="Q85" t="s">
        <v>154</v>
      </c>
      <c r="S85" t="s">
        <v>224</v>
      </c>
      <c r="T85" t="s">
        <v>305</v>
      </c>
      <c r="U85">
        <v>2.5295886689982325E-2</v>
      </c>
      <c r="V85" t="s">
        <v>154</v>
      </c>
      <c r="AK85">
        <v>2040</v>
      </c>
      <c r="AL85" t="s">
        <v>300</v>
      </c>
      <c r="AM85">
        <v>0.37426666666666669</v>
      </c>
      <c r="AN85" t="s">
        <v>250</v>
      </c>
    </row>
    <row r="86" spans="9:40" x14ac:dyDescent="0.45">
      <c r="I86" t="s">
        <v>171</v>
      </c>
      <c r="J86" t="s">
        <v>306</v>
      </c>
      <c r="K86">
        <v>0.24747133459241233</v>
      </c>
      <c r="L86" t="s">
        <v>154</v>
      </c>
      <c r="N86" t="s">
        <v>200</v>
      </c>
      <c r="O86" t="s">
        <v>306</v>
      </c>
      <c r="P86">
        <v>8.5771184069989917E-2</v>
      </c>
      <c r="Q86" t="s">
        <v>154</v>
      </c>
      <c r="S86" t="s">
        <v>224</v>
      </c>
      <c r="T86" t="s">
        <v>306</v>
      </c>
      <c r="U86">
        <v>3.4052881162902247E-2</v>
      </c>
      <c r="V86" t="s">
        <v>154</v>
      </c>
      <c r="AK86">
        <v>2040</v>
      </c>
      <c r="AL86" t="s">
        <v>302</v>
      </c>
      <c r="AM86">
        <v>0.35573333333333329</v>
      </c>
      <c r="AN86" t="s">
        <v>250</v>
      </c>
    </row>
    <row r="87" spans="9:40" x14ac:dyDescent="0.45">
      <c r="I87" t="s">
        <v>171</v>
      </c>
      <c r="J87" t="s">
        <v>307</v>
      </c>
      <c r="K87">
        <v>0</v>
      </c>
      <c r="L87" t="s">
        <v>154</v>
      </c>
      <c r="N87" t="s">
        <v>200</v>
      </c>
      <c r="O87" t="s">
        <v>307</v>
      </c>
      <c r="P87">
        <v>7.5388729821272718E-2</v>
      </c>
      <c r="Q87" t="s">
        <v>154</v>
      </c>
      <c r="S87" t="s">
        <v>224</v>
      </c>
      <c r="T87" t="s">
        <v>307</v>
      </c>
      <c r="U87">
        <v>3.2020465230537004E-2</v>
      </c>
      <c r="V87" t="s">
        <v>154</v>
      </c>
      <c r="AK87">
        <v>2041</v>
      </c>
      <c r="AL87" t="s">
        <v>297</v>
      </c>
      <c r="AM87">
        <v>0.39929999999999999</v>
      </c>
      <c r="AN87" t="s">
        <v>250</v>
      </c>
    </row>
    <row r="88" spans="9:40" x14ac:dyDescent="0.45">
      <c r="I88" t="s">
        <v>171</v>
      </c>
      <c r="J88" t="s">
        <v>308</v>
      </c>
      <c r="K88">
        <v>2.6684317462791787E-2</v>
      </c>
      <c r="L88" t="s">
        <v>154</v>
      </c>
      <c r="N88" t="s">
        <v>200</v>
      </c>
      <c r="O88" t="s">
        <v>308</v>
      </c>
      <c r="P88">
        <v>1.1638828502471533E-2</v>
      </c>
      <c r="Q88" t="s">
        <v>154</v>
      </c>
      <c r="S88" t="s">
        <v>224</v>
      </c>
      <c r="T88" t="s">
        <v>308</v>
      </c>
      <c r="U88">
        <v>5.1263058938400326E-3</v>
      </c>
      <c r="V88" t="s">
        <v>154</v>
      </c>
      <c r="AK88">
        <v>2041</v>
      </c>
      <c r="AL88" t="s">
        <v>299</v>
      </c>
      <c r="AM88">
        <v>0.31809999999999999</v>
      </c>
      <c r="AN88" t="s">
        <v>250</v>
      </c>
    </row>
    <row r="89" spans="9:40" x14ac:dyDescent="0.45">
      <c r="I89" t="s">
        <v>171</v>
      </c>
      <c r="J89" t="s">
        <v>309</v>
      </c>
      <c r="K89">
        <v>0.19961933940804175</v>
      </c>
      <c r="L89" t="s">
        <v>154</v>
      </c>
      <c r="N89" t="s">
        <v>200</v>
      </c>
      <c r="O89" t="s">
        <v>309</v>
      </c>
      <c r="P89">
        <v>0.10103514999286341</v>
      </c>
      <c r="Q89" t="s">
        <v>154</v>
      </c>
      <c r="S89" t="s">
        <v>224</v>
      </c>
      <c r="T89" t="s">
        <v>309</v>
      </c>
      <c r="U89">
        <v>0.13846392344008021</v>
      </c>
      <c r="V89" t="s">
        <v>154</v>
      </c>
      <c r="AK89">
        <v>2041</v>
      </c>
      <c r="AL89" t="s">
        <v>300</v>
      </c>
      <c r="AM89">
        <v>0.40900000000000003</v>
      </c>
      <c r="AN89" t="s">
        <v>250</v>
      </c>
    </row>
    <row r="90" spans="9:40" x14ac:dyDescent="0.45">
      <c r="I90" t="s">
        <v>171</v>
      </c>
      <c r="J90" t="s">
        <v>310</v>
      </c>
      <c r="K90">
        <v>0</v>
      </c>
      <c r="L90" t="s">
        <v>154</v>
      </c>
      <c r="N90" t="s">
        <v>200</v>
      </c>
      <c r="O90" t="s">
        <v>310</v>
      </c>
      <c r="P90">
        <v>9.8346261741586338E-2</v>
      </c>
      <c r="Q90" t="s">
        <v>154</v>
      </c>
      <c r="S90" t="s">
        <v>224</v>
      </c>
      <c r="T90" t="s">
        <v>310</v>
      </c>
      <c r="U90">
        <v>0.12559674414501873</v>
      </c>
      <c r="V90" t="s">
        <v>154</v>
      </c>
      <c r="AK90">
        <v>2041</v>
      </c>
      <c r="AL90" t="s">
        <v>302</v>
      </c>
      <c r="AM90">
        <v>0.43923333333333336</v>
      </c>
      <c r="AN90" t="s">
        <v>250</v>
      </c>
    </row>
    <row r="91" spans="9:40" x14ac:dyDescent="0.45">
      <c r="I91" t="s">
        <v>171</v>
      </c>
      <c r="J91" t="s">
        <v>311</v>
      </c>
      <c r="K91">
        <v>1.6968517453151984E-2</v>
      </c>
      <c r="L91" t="s">
        <v>154</v>
      </c>
      <c r="N91" t="s">
        <v>200</v>
      </c>
      <c r="O91" t="s">
        <v>311</v>
      </c>
      <c r="P91">
        <v>1.6871996062682311E-2</v>
      </c>
      <c r="Q91" t="s">
        <v>154</v>
      </c>
      <c r="S91" t="s">
        <v>224</v>
      </c>
      <c r="T91" t="s">
        <v>311</v>
      </c>
      <c r="U91">
        <v>2.2083759728946568E-2</v>
      </c>
      <c r="V91" t="s">
        <v>154</v>
      </c>
      <c r="AK91">
        <v>2042</v>
      </c>
      <c r="AL91" t="s">
        <v>297</v>
      </c>
      <c r="AM91">
        <v>0.44989999999999997</v>
      </c>
      <c r="AN91" t="s">
        <v>250</v>
      </c>
    </row>
    <row r="92" spans="9:40" x14ac:dyDescent="0.45">
      <c r="I92" t="s">
        <v>171</v>
      </c>
      <c r="J92" t="s">
        <v>312</v>
      </c>
      <c r="K92">
        <v>0.23493064239643971</v>
      </c>
      <c r="L92" t="s">
        <v>154</v>
      </c>
      <c r="N92" t="s">
        <v>200</v>
      </c>
      <c r="O92" t="s">
        <v>312</v>
      </c>
      <c r="P92">
        <v>0.14632065726091001</v>
      </c>
      <c r="Q92" t="s">
        <v>154</v>
      </c>
      <c r="S92" t="s">
        <v>224</v>
      </c>
      <c r="T92" t="s">
        <v>312</v>
      </c>
      <c r="U92">
        <v>0.14529887829692559</v>
      </c>
      <c r="V92" t="s">
        <v>154</v>
      </c>
      <c r="AK92">
        <v>2042</v>
      </c>
      <c r="AL92" t="s">
        <v>299</v>
      </c>
      <c r="AM92">
        <v>0.30866666666666664</v>
      </c>
      <c r="AN92" t="s">
        <v>250</v>
      </c>
    </row>
    <row r="93" spans="9:40" x14ac:dyDescent="0.45">
      <c r="I93" t="s">
        <v>171</v>
      </c>
      <c r="J93" t="s">
        <v>313</v>
      </c>
      <c r="K93">
        <v>0</v>
      </c>
      <c r="L93" t="s">
        <v>154</v>
      </c>
      <c r="N93" t="s">
        <v>200</v>
      </c>
      <c r="O93" t="s">
        <v>313</v>
      </c>
      <c r="P93">
        <v>0.14651622742037543</v>
      </c>
      <c r="Q93" t="s">
        <v>154</v>
      </c>
      <c r="S93" t="s">
        <v>224</v>
      </c>
      <c r="T93" t="s">
        <v>313</v>
      </c>
      <c r="U93">
        <v>0.14560456518837356</v>
      </c>
      <c r="V93" t="s">
        <v>154</v>
      </c>
      <c r="AK93">
        <v>2042</v>
      </c>
      <c r="AL93" t="s">
        <v>300</v>
      </c>
      <c r="AM93">
        <v>0.41769999999999996</v>
      </c>
      <c r="AN93" t="s">
        <v>250</v>
      </c>
    </row>
    <row r="94" spans="9:40" x14ac:dyDescent="0.45">
      <c r="I94" t="s">
        <v>171</v>
      </c>
      <c r="J94" t="s">
        <v>314</v>
      </c>
      <c r="K94">
        <v>2.4632197572104688E-2</v>
      </c>
      <c r="L94" t="s">
        <v>154</v>
      </c>
      <c r="N94" t="s">
        <v>200</v>
      </c>
      <c r="O94" t="s">
        <v>314</v>
      </c>
      <c r="P94">
        <v>2.3587307049872549E-2</v>
      </c>
      <c r="Q94" t="s">
        <v>154</v>
      </c>
      <c r="S94" t="s">
        <v>224</v>
      </c>
      <c r="T94" t="s">
        <v>314</v>
      </c>
      <c r="U94">
        <v>2.2533637571147701E-2</v>
      </c>
      <c r="V94" t="s">
        <v>154</v>
      </c>
      <c r="AK94">
        <v>2042</v>
      </c>
      <c r="AL94" t="s">
        <v>302</v>
      </c>
      <c r="AM94">
        <v>0.35703333333333331</v>
      </c>
      <c r="AN94" t="s">
        <v>250</v>
      </c>
    </row>
    <row r="95" spans="9:40" x14ac:dyDescent="0.45">
      <c r="I95" t="s">
        <v>172</v>
      </c>
      <c r="J95" t="s">
        <v>303</v>
      </c>
      <c r="K95">
        <v>0.23655343444024091</v>
      </c>
      <c r="L95" t="s">
        <v>154</v>
      </c>
      <c r="N95" t="s">
        <v>201</v>
      </c>
      <c r="O95" t="s">
        <v>303</v>
      </c>
      <c r="P95">
        <v>0.12703780891192673</v>
      </c>
      <c r="Q95" t="s">
        <v>154</v>
      </c>
      <c r="S95" t="s">
        <v>225</v>
      </c>
      <c r="T95" t="s">
        <v>303</v>
      </c>
      <c r="U95">
        <v>0.14577320949944175</v>
      </c>
      <c r="V95" t="s">
        <v>154</v>
      </c>
      <c r="AK95">
        <v>2043</v>
      </c>
      <c r="AL95" t="s">
        <v>297</v>
      </c>
      <c r="AM95">
        <v>0.41383333333333328</v>
      </c>
      <c r="AN95" t="s">
        <v>250</v>
      </c>
    </row>
    <row r="96" spans="9:40" x14ac:dyDescent="0.45">
      <c r="I96" t="s">
        <v>172</v>
      </c>
      <c r="J96" t="s">
        <v>304</v>
      </c>
      <c r="K96">
        <v>0</v>
      </c>
      <c r="L96" t="s">
        <v>154</v>
      </c>
      <c r="N96" t="s">
        <v>201</v>
      </c>
      <c r="O96" t="s">
        <v>304</v>
      </c>
      <c r="P96">
        <v>0.13560825031104742</v>
      </c>
      <c r="Q96" t="s">
        <v>154</v>
      </c>
      <c r="S96" t="s">
        <v>225</v>
      </c>
      <c r="T96" t="s">
        <v>304</v>
      </c>
      <c r="U96">
        <v>0.12931270602169773</v>
      </c>
      <c r="V96" t="s">
        <v>154</v>
      </c>
      <c r="AK96">
        <v>2043</v>
      </c>
      <c r="AL96" t="s">
        <v>299</v>
      </c>
      <c r="AM96">
        <v>0.28260000000000002</v>
      </c>
      <c r="AN96" t="s">
        <v>250</v>
      </c>
    </row>
    <row r="97" spans="9:40" x14ac:dyDescent="0.45">
      <c r="I97" t="s">
        <v>172</v>
      </c>
      <c r="J97" t="s">
        <v>305</v>
      </c>
      <c r="K97">
        <v>1.9818921157733767E-2</v>
      </c>
      <c r="L97" t="s">
        <v>154</v>
      </c>
      <c r="N97" t="s">
        <v>201</v>
      </c>
      <c r="O97" t="s">
        <v>305</v>
      </c>
      <c r="P97">
        <v>2.6821175701650841E-2</v>
      </c>
      <c r="Q97" t="s">
        <v>154</v>
      </c>
      <c r="S97" t="s">
        <v>225</v>
      </c>
      <c r="T97" t="s">
        <v>305</v>
      </c>
      <c r="U97">
        <v>2.3423387826808861E-2</v>
      </c>
      <c r="V97" t="s">
        <v>154</v>
      </c>
      <c r="AK97">
        <v>2043</v>
      </c>
      <c r="AL97" t="s">
        <v>300</v>
      </c>
      <c r="AM97">
        <v>0.35853333333333337</v>
      </c>
      <c r="AN97" t="s">
        <v>250</v>
      </c>
    </row>
    <row r="98" spans="9:40" x14ac:dyDescent="0.45">
      <c r="I98" t="s">
        <v>172</v>
      </c>
      <c r="J98" t="s">
        <v>306</v>
      </c>
      <c r="K98">
        <v>0.2499832959285605</v>
      </c>
      <c r="L98" t="s">
        <v>154</v>
      </c>
      <c r="N98" t="s">
        <v>201</v>
      </c>
      <c r="O98" t="s">
        <v>306</v>
      </c>
      <c r="P98">
        <v>3.0023831610065561E-2</v>
      </c>
      <c r="Q98" t="s">
        <v>154</v>
      </c>
      <c r="S98" t="s">
        <v>225</v>
      </c>
      <c r="T98" t="s">
        <v>306</v>
      </c>
      <c r="U98">
        <v>8.0856183504239787E-2</v>
      </c>
      <c r="V98" t="s">
        <v>154</v>
      </c>
      <c r="AK98">
        <v>2043</v>
      </c>
      <c r="AL98" t="s">
        <v>302</v>
      </c>
      <c r="AM98">
        <v>0.3444666666666667</v>
      </c>
      <c r="AN98" t="s">
        <v>250</v>
      </c>
    </row>
    <row r="99" spans="9:40" x14ac:dyDescent="0.45">
      <c r="I99" t="s">
        <v>172</v>
      </c>
      <c r="J99" t="s">
        <v>307</v>
      </c>
      <c r="K99">
        <v>0</v>
      </c>
      <c r="L99" t="s">
        <v>154</v>
      </c>
      <c r="N99" t="s">
        <v>201</v>
      </c>
      <c r="O99" t="s">
        <v>307</v>
      </c>
      <c r="P99">
        <v>3.520133435855953E-2</v>
      </c>
      <c r="Q99" t="s">
        <v>154</v>
      </c>
      <c r="S99" t="s">
        <v>225</v>
      </c>
      <c r="T99" t="s">
        <v>307</v>
      </c>
      <c r="U99">
        <v>6.9467077036610023E-2</v>
      </c>
      <c r="V99" t="s">
        <v>154</v>
      </c>
      <c r="AK99">
        <v>2044</v>
      </c>
      <c r="AL99" t="s">
        <v>297</v>
      </c>
      <c r="AM99">
        <v>0.45146666666666668</v>
      </c>
      <c r="AN99" t="s">
        <v>250</v>
      </c>
    </row>
    <row r="100" spans="9:40" x14ac:dyDescent="0.45">
      <c r="I100" t="s">
        <v>172</v>
      </c>
      <c r="J100" t="s">
        <v>308</v>
      </c>
      <c r="K100">
        <v>2.7596693041781754E-2</v>
      </c>
      <c r="L100" t="s">
        <v>154</v>
      </c>
      <c r="N100" t="s">
        <v>201</v>
      </c>
      <c r="O100" t="s">
        <v>308</v>
      </c>
      <c r="P100">
        <v>1.0669871025388529E-2</v>
      </c>
      <c r="Q100" t="s">
        <v>154</v>
      </c>
      <c r="S100" t="s">
        <v>225</v>
      </c>
      <c r="T100" t="s">
        <v>308</v>
      </c>
      <c r="U100">
        <v>1.0181993492306439E-2</v>
      </c>
      <c r="V100" t="s">
        <v>154</v>
      </c>
      <c r="AK100">
        <v>2044</v>
      </c>
      <c r="AL100" t="s">
        <v>299</v>
      </c>
      <c r="AM100">
        <v>0.24303333333333335</v>
      </c>
      <c r="AN100" t="s">
        <v>250</v>
      </c>
    </row>
    <row r="101" spans="9:40" x14ac:dyDescent="0.45">
      <c r="I101" t="s">
        <v>172</v>
      </c>
      <c r="J101" t="s">
        <v>309</v>
      </c>
      <c r="K101">
        <v>0.21451117585081841</v>
      </c>
      <c r="L101" t="s">
        <v>154</v>
      </c>
      <c r="N101" t="s">
        <v>201</v>
      </c>
      <c r="O101" t="s">
        <v>309</v>
      </c>
      <c r="P101">
        <v>0.17906268899122849</v>
      </c>
      <c r="Q101" t="s">
        <v>154</v>
      </c>
      <c r="S101" t="s">
        <v>225</v>
      </c>
      <c r="T101" t="s">
        <v>309</v>
      </c>
      <c r="U101">
        <v>9.9203871400136714E-2</v>
      </c>
      <c r="V101" t="s">
        <v>154</v>
      </c>
      <c r="AK101">
        <v>2044</v>
      </c>
      <c r="AL101" t="s">
        <v>300</v>
      </c>
      <c r="AM101">
        <v>0.39263333333333333</v>
      </c>
      <c r="AN101" t="s">
        <v>250</v>
      </c>
    </row>
    <row r="102" spans="9:40" x14ac:dyDescent="0.45">
      <c r="I102" t="s">
        <v>172</v>
      </c>
      <c r="J102" t="s">
        <v>310</v>
      </c>
      <c r="K102">
        <v>0</v>
      </c>
      <c r="L102" t="s">
        <v>154</v>
      </c>
      <c r="N102" t="s">
        <v>201</v>
      </c>
      <c r="O102" t="s">
        <v>310</v>
      </c>
      <c r="P102">
        <v>0.15001765044181559</v>
      </c>
      <c r="Q102" t="s">
        <v>154</v>
      </c>
      <c r="S102" t="s">
        <v>225</v>
      </c>
      <c r="T102" t="s">
        <v>310</v>
      </c>
      <c r="U102">
        <v>9.4147844297119768E-2</v>
      </c>
      <c r="V102" t="s">
        <v>154</v>
      </c>
      <c r="AK102">
        <v>2044</v>
      </c>
      <c r="AL102" t="s">
        <v>302</v>
      </c>
      <c r="AM102">
        <v>0.38700000000000001</v>
      </c>
      <c r="AN102" t="s">
        <v>250</v>
      </c>
    </row>
    <row r="103" spans="9:40" x14ac:dyDescent="0.45">
      <c r="I103" t="s">
        <v>172</v>
      </c>
      <c r="J103" t="s">
        <v>311</v>
      </c>
      <c r="K103">
        <v>2.1011205430858614E-2</v>
      </c>
      <c r="L103" t="s">
        <v>154</v>
      </c>
      <c r="N103" t="s">
        <v>201</v>
      </c>
      <c r="O103" t="s">
        <v>311</v>
      </c>
      <c r="P103">
        <v>2.6239186401413539E-2</v>
      </c>
      <c r="Q103" t="s">
        <v>154</v>
      </c>
      <c r="S103" t="s">
        <v>225</v>
      </c>
      <c r="T103" t="s">
        <v>311</v>
      </c>
      <c r="U103">
        <v>1.6263391329980181E-2</v>
      </c>
      <c r="V103" t="s">
        <v>154</v>
      </c>
      <c r="AK103">
        <v>2045</v>
      </c>
      <c r="AL103" t="s">
        <v>297</v>
      </c>
      <c r="AM103">
        <v>0.40313333333333334</v>
      </c>
      <c r="AN103" t="s">
        <v>250</v>
      </c>
    </row>
    <row r="104" spans="9:40" x14ac:dyDescent="0.45">
      <c r="I104" t="s">
        <v>172</v>
      </c>
      <c r="J104" t="s">
        <v>312</v>
      </c>
      <c r="K104">
        <v>0.20676184048870414</v>
      </c>
      <c r="L104" t="s">
        <v>154</v>
      </c>
      <c r="N104" t="s">
        <v>201</v>
      </c>
      <c r="O104" t="s">
        <v>312</v>
      </c>
      <c r="P104">
        <v>0.10943530767739389</v>
      </c>
      <c r="Q104" t="s">
        <v>154</v>
      </c>
      <c r="S104" t="s">
        <v>225</v>
      </c>
      <c r="T104" t="s">
        <v>312</v>
      </c>
      <c r="U104">
        <v>0.15506087480189581</v>
      </c>
      <c r="V104" t="s">
        <v>154</v>
      </c>
      <c r="AK104">
        <v>2045</v>
      </c>
      <c r="AL104" t="s">
        <v>299</v>
      </c>
      <c r="AM104">
        <v>0.34780000000000005</v>
      </c>
      <c r="AN104" t="s">
        <v>250</v>
      </c>
    </row>
    <row r="105" spans="9:40" x14ac:dyDescent="0.45">
      <c r="I105" t="s">
        <v>172</v>
      </c>
      <c r="J105" t="s">
        <v>313</v>
      </c>
      <c r="K105">
        <v>0</v>
      </c>
      <c r="L105" t="s">
        <v>154</v>
      </c>
      <c r="N105" t="s">
        <v>201</v>
      </c>
      <c r="O105" t="s">
        <v>313</v>
      </c>
      <c r="P105">
        <v>0.13840544749163902</v>
      </c>
      <c r="Q105" t="s">
        <v>154</v>
      </c>
      <c r="S105" t="s">
        <v>225</v>
      </c>
      <c r="T105" t="s">
        <v>313</v>
      </c>
      <c r="U105">
        <v>0.15150670811973399</v>
      </c>
      <c r="V105" t="s">
        <v>154</v>
      </c>
      <c r="AK105">
        <v>2045</v>
      </c>
      <c r="AL105" t="s">
        <v>300</v>
      </c>
      <c r="AM105">
        <v>0.34906666666666664</v>
      </c>
      <c r="AN105" t="s">
        <v>250</v>
      </c>
    </row>
    <row r="106" spans="9:40" x14ac:dyDescent="0.45">
      <c r="I106" t="s">
        <v>172</v>
      </c>
      <c r="J106" t="s">
        <v>314</v>
      </c>
      <c r="K106">
        <v>2.3763433661305497E-2</v>
      </c>
      <c r="L106" t="s">
        <v>154</v>
      </c>
      <c r="N106" t="s">
        <v>201</v>
      </c>
      <c r="O106" t="s">
        <v>314</v>
      </c>
      <c r="P106">
        <v>3.1477447077872527E-2</v>
      </c>
      <c r="Q106" t="s">
        <v>154</v>
      </c>
      <c r="S106" t="s">
        <v>225</v>
      </c>
      <c r="T106" t="s">
        <v>314</v>
      </c>
      <c r="U106">
        <v>2.4802752670030806E-2</v>
      </c>
      <c r="V106" t="s">
        <v>154</v>
      </c>
      <c r="AK106">
        <v>2045</v>
      </c>
      <c r="AL106" t="s">
        <v>302</v>
      </c>
      <c r="AM106">
        <v>0.41476666666666667</v>
      </c>
      <c r="AN106" t="s">
        <v>250</v>
      </c>
    </row>
    <row r="107" spans="9:40" x14ac:dyDescent="0.45">
      <c r="I107" t="s">
        <v>173</v>
      </c>
      <c r="J107" t="s">
        <v>303</v>
      </c>
      <c r="K107">
        <v>0.22877856268389057</v>
      </c>
      <c r="L107" t="s">
        <v>154</v>
      </c>
      <c r="N107" t="s">
        <v>202</v>
      </c>
      <c r="O107" t="s">
        <v>303</v>
      </c>
      <c r="P107">
        <v>0.15033357603213893</v>
      </c>
      <c r="Q107" t="s">
        <v>154</v>
      </c>
      <c r="S107" t="s">
        <v>226</v>
      </c>
      <c r="T107" t="s">
        <v>303</v>
      </c>
      <c r="U107">
        <v>0.14069101784600838</v>
      </c>
      <c r="V107" t="s">
        <v>154</v>
      </c>
      <c r="AK107">
        <v>2046</v>
      </c>
      <c r="AL107" t="s">
        <v>297</v>
      </c>
      <c r="AM107">
        <v>0.44706666666666667</v>
      </c>
      <c r="AN107" t="s">
        <v>250</v>
      </c>
    </row>
    <row r="108" spans="9:40" x14ac:dyDescent="0.45">
      <c r="I108" t="s">
        <v>173</v>
      </c>
      <c r="J108" t="s">
        <v>304</v>
      </c>
      <c r="K108">
        <v>0</v>
      </c>
      <c r="L108" t="s">
        <v>154</v>
      </c>
      <c r="N108" t="s">
        <v>202</v>
      </c>
      <c r="O108" t="s">
        <v>304</v>
      </c>
      <c r="P108">
        <v>0.14451097926417122</v>
      </c>
      <c r="Q108" t="s">
        <v>154</v>
      </c>
      <c r="S108" t="s">
        <v>226</v>
      </c>
      <c r="T108" t="s">
        <v>304</v>
      </c>
      <c r="U108">
        <v>0.13375995158389475</v>
      </c>
      <c r="V108" t="s">
        <v>154</v>
      </c>
      <c r="AK108">
        <v>2046</v>
      </c>
      <c r="AL108" t="s">
        <v>299</v>
      </c>
      <c r="AM108">
        <v>0.29023333333333334</v>
      </c>
      <c r="AN108" t="s">
        <v>250</v>
      </c>
    </row>
    <row r="109" spans="9:40" x14ac:dyDescent="0.45">
      <c r="I109" t="s">
        <v>173</v>
      </c>
      <c r="J109" t="s">
        <v>305</v>
      </c>
      <c r="K109">
        <v>2.3339843146626852E-2</v>
      </c>
      <c r="L109" t="s">
        <v>154</v>
      </c>
      <c r="N109" t="s">
        <v>202</v>
      </c>
      <c r="O109" t="s">
        <v>305</v>
      </c>
      <c r="P109">
        <v>3.3185693349953867E-2</v>
      </c>
      <c r="Q109" t="s">
        <v>154</v>
      </c>
      <c r="S109" t="s">
        <v>226</v>
      </c>
      <c r="T109" t="s">
        <v>305</v>
      </c>
      <c r="U109">
        <v>2.4496299269040556E-2</v>
      </c>
      <c r="V109" t="s">
        <v>154</v>
      </c>
      <c r="AK109">
        <v>2046</v>
      </c>
      <c r="AL109" t="s">
        <v>300</v>
      </c>
      <c r="AM109">
        <v>0.35699999999999998</v>
      </c>
      <c r="AN109" t="s">
        <v>250</v>
      </c>
    </row>
    <row r="110" spans="9:40" x14ac:dyDescent="0.45">
      <c r="I110" t="s">
        <v>173</v>
      </c>
      <c r="J110" t="s">
        <v>306</v>
      </c>
      <c r="K110">
        <v>0.24299953416199541</v>
      </c>
      <c r="L110" t="s">
        <v>154</v>
      </c>
      <c r="N110" t="s">
        <v>202</v>
      </c>
      <c r="O110" t="s">
        <v>306</v>
      </c>
      <c r="P110">
        <v>8.4691411649259515E-2</v>
      </c>
      <c r="Q110" t="s">
        <v>154</v>
      </c>
      <c r="S110" t="s">
        <v>226</v>
      </c>
      <c r="T110" t="s">
        <v>306</v>
      </c>
      <c r="U110">
        <v>4.9155523441177365E-2</v>
      </c>
      <c r="V110" t="s">
        <v>154</v>
      </c>
      <c r="AK110">
        <v>2046</v>
      </c>
      <c r="AL110" t="s">
        <v>302</v>
      </c>
      <c r="AM110">
        <v>0.35320000000000001</v>
      </c>
      <c r="AN110" t="s">
        <v>250</v>
      </c>
    </row>
    <row r="111" spans="9:40" x14ac:dyDescent="0.45">
      <c r="I111" t="s">
        <v>173</v>
      </c>
      <c r="J111" t="s">
        <v>307</v>
      </c>
      <c r="K111">
        <v>0</v>
      </c>
      <c r="L111" t="s">
        <v>154</v>
      </c>
      <c r="N111" t="s">
        <v>202</v>
      </c>
      <c r="O111" t="s">
        <v>307</v>
      </c>
      <c r="P111">
        <v>8.1893916303152084E-2</v>
      </c>
      <c r="Q111" t="s">
        <v>154</v>
      </c>
      <c r="S111" t="s">
        <v>226</v>
      </c>
      <c r="T111" t="s">
        <v>307</v>
      </c>
      <c r="U111">
        <v>4.4497319972121342E-2</v>
      </c>
      <c r="V111" t="s">
        <v>154</v>
      </c>
      <c r="AK111">
        <v>2047</v>
      </c>
      <c r="AL111" t="s">
        <v>297</v>
      </c>
      <c r="AM111">
        <v>0.39026666666666671</v>
      </c>
      <c r="AN111" t="s">
        <v>250</v>
      </c>
    </row>
    <row r="112" spans="9:40" x14ac:dyDescent="0.45">
      <c r="I112" t="s">
        <v>173</v>
      </c>
      <c r="J112" t="s">
        <v>308</v>
      </c>
      <c r="K112">
        <v>2.9532180413371543E-2</v>
      </c>
      <c r="L112" t="s">
        <v>154</v>
      </c>
      <c r="N112" t="s">
        <v>202</v>
      </c>
      <c r="O112" t="s">
        <v>308</v>
      </c>
      <c r="P112">
        <v>1.3892110831407272E-2</v>
      </c>
      <c r="Q112" t="s">
        <v>154</v>
      </c>
      <c r="S112" t="s">
        <v>226</v>
      </c>
      <c r="T112" t="s">
        <v>308</v>
      </c>
      <c r="U112">
        <v>6.709266319452345E-3</v>
      </c>
      <c r="V112" t="s">
        <v>154</v>
      </c>
      <c r="AK112">
        <v>2047</v>
      </c>
      <c r="AL112" t="s">
        <v>299</v>
      </c>
      <c r="AM112">
        <v>0.30953333333333333</v>
      </c>
      <c r="AN112" t="s">
        <v>250</v>
      </c>
    </row>
    <row r="113" spans="9:40" x14ac:dyDescent="0.45">
      <c r="I113" t="s">
        <v>173</v>
      </c>
      <c r="J113" t="s">
        <v>309</v>
      </c>
      <c r="K113">
        <v>0.2001606532826343</v>
      </c>
      <c r="L113" t="s">
        <v>154</v>
      </c>
      <c r="N113" t="s">
        <v>202</v>
      </c>
      <c r="O113" t="s">
        <v>309</v>
      </c>
      <c r="P113">
        <v>8.3572483937580086E-2</v>
      </c>
      <c r="Q113" t="s">
        <v>154</v>
      </c>
      <c r="S113" t="s">
        <v>226</v>
      </c>
      <c r="T113" t="s">
        <v>309</v>
      </c>
      <c r="U113">
        <v>0.12191247130774649</v>
      </c>
      <c r="V113" t="s">
        <v>154</v>
      </c>
      <c r="AK113">
        <v>2047</v>
      </c>
      <c r="AL113" t="s">
        <v>300</v>
      </c>
      <c r="AM113">
        <v>0.38119999999999998</v>
      </c>
      <c r="AN113" t="s">
        <v>250</v>
      </c>
    </row>
    <row r="114" spans="9:40" x14ac:dyDescent="0.45">
      <c r="I114" t="s">
        <v>173</v>
      </c>
      <c r="J114" t="s">
        <v>310</v>
      </c>
      <c r="K114">
        <v>0</v>
      </c>
      <c r="L114" t="s">
        <v>154</v>
      </c>
      <c r="N114" t="s">
        <v>202</v>
      </c>
      <c r="O114" t="s">
        <v>310</v>
      </c>
      <c r="P114">
        <v>7.2560590239221331E-2</v>
      </c>
      <c r="Q114" t="s">
        <v>154</v>
      </c>
      <c r="S114" t="s">
        <v>226</v>
      </c>
      <c r="T114" t="s">
        <v>310</v>
      </c>
      <c r="U114">
        <v>0.10987833138399293</v>
      </c>
      <c r="V114" t="s">
        <v>154</v>
      </c>
      <c r="AK114">
        <v>2047</v>
      </c>
      <c r="AL114" t="s">
        <v>302</v>
      </c>
      <c r="AM114">
        <v>0.34676666666666667</v>
      </c>
      <c r="AN114" t="s">
        <v>250</v>
      </c>
    </row>
    <row r="115" spans="9:40" x14ac:dyDescent="0.45">
      <c r="I115" t="s">
        <v>173</v>
      </c>
      <c r="J115" t="s">
        <v>311</v>
      </c>
      <c r="K115">
        <v>2.1967828155388277E-2</v>
      </c>
      <c r="L115" t="s">
        <v>154</v>
      </c>
      <c r="N115" t="s">
        <v>202</v>
      </c>
      <c r="O115" t="s">
        <v>311</v>
      </c>
      <c r="P115">
        <v>1.8402391730641666E-2</v>
      </c>
      <c r="Q115" t="s">
        <v>154</v>
      </c>
      <c r="S115" t="s">
        <v>226</v>
      </c>
      <c r="T115" t="s">
        <v>311</v>
      </c>
      <c r="U115">
        <v>2.1192749701687264E-2</v>
      </c>
      <c r="V115" t="s">
        <v>154</v>
      </c>
      <c r="AK115">
        <v>2048</v>
      </c>
      <c r="AL115" t="s">
        <v>297</v>
      </c>
      <c r="AM115">
        <v>0.42563333333333336</v>
      </c>
      <c r="AN115" t="s">
        <v>250</v>
      </c>
    </row>
    <row r="116" spans="9:40" x14ac:dyDescent="0.45">
      <c r="I116" t="s">
        <v>173</v>
      </c>
      <c r="J116" t="s">
        <v>312</v>
      </c>
      <c r="K116">
        <v>0.22719042591037616</v>
      </c>
      <c r="L116" t="s">
        <v>154</v>
      </c>
      <c r="N116" t="s">
        <v>202</v>
      </c>
      <c r="O116" t="s">
        <v>312</v>
      </c>
      <c r="P116">
        <v>0.13934829663026063</v>
      </c>
      <c r="Q116" t="s">
        <v>154</v>
      </c>
      <c r="S116" t="s">
        <v>226</v>
      </c>
      <c r="T116" t="s">
        <v>312</v>
      </c>
      <c r="U116">
        <v>0.16280331004142709</v>
      </c>
      <c r="V116" t="s">
        <v>154</v>
      </c>
      <c r="AK116">
        <v>2048</v>
      </c>
      <c r="AL116" t="s">
        <v>299</v>
      </c>
      <c r="AM116">
        <v>0.27816666666666667</v>
      </c>
      <c r="AN116" t="s">
        <v>250</v>
      </c>
    </row>
    <row r="117" spans="9:40" x14ac:dyDescent="0.45">
      <c r="I117" t="s">
        <v>173</v>
      </c>
      <c r="J117" t="s">
        <v>313</v>
      </c>
      <c r="K117">
        <v>0</v>
      </c>
      <c r="L117" t="s">
        <v>154</v>
      </c>
      <c r="N117" t="s">
        <v>202</v>
      </c>
      <c r="O117" t="s">
        <v>313</v>
      </c>
      <c r="P117">
        <v>0.15051310122535053</v>
      </c>
      <c r="Q117" t="s">
        <v>154</v>
      </c>
      <c r="S117" t="s">
        <v>226</v>
      </c>
      <c r="T117" t="s">
        <v>313</v>
      </c>
      <c r="U117">
        <v>0.15714848190921157</v>
      </c>
      <c r="V117" t="s">
        <v>154</v>
      </c>
      <c r="AK117">
        <v>2048</v>
      </c>
      <c r="AL117" t="s">
        <v>300</v>
      </c>
      <c r="AM117">
        <v>0.33316666666666667</v>
      </c>
      <c r="AN117" t="s">
        <v>250</v>
      </c>
    </row>
    <row r="118" spans="9:40" x14ac:dyDescent="0.45">
      <c r="I118" t="s">
        <v>173</v>
      </c>
      <c r="J118" t="s">
        <v>314</v>
      </c>
      <c r="K118">
        <v>2.6030972245716797E-2</v>
      </c>
      <c r="L118" t="s">
        <v>154</v>
      </c>
      <c r="N118" t="s">
        <v>202</v>
      </c>
      <c r="O118" t="s">
        <v>314</v>
      </c>
      <c r="P118">
        <v>2.7095448806862668E-2</v>
      </c>
      <c r="Q118" t="s">
        <v>154</v>
      </c>
      <c r="S118" t="s">
        <v>226</v>
      </c>
      <c r="T118" t="s">
        <v>314</v>
      </c>
      <c r="U118">
        <v>2.7755277224239424E-2</v>
      </c>
      <c r="V118" t="s">
        <v>154</v>
      </c>
      <c r="AK118">
        <v>2048</v>
      </c>
      <c r="AL118" t="s">
        <v>302</v>
      </c>
      <c r="AM118">
        <v>0.35093333333333332</v>
      </c>
      <c r="AN118" t="s">
        <v>250</v>
      </c>
    </row>
    <row r="119" spans="9:40" x14ac:dyDescent="0.45">
      <c r="I119" t="s">
        <v>174</v>
      </c>
      <c r="J119" t="s">
        <v>303</v>
      </c>
      <c r="K119">
        <v>0.23575648273726144</v>
      </c>
      <c r="L119" t="s">
        <v>154</v>
      </c>
      <c r="N119" t="s">
        <v>203</v>
      </c>
      <c r="O119" t="s">
        <v>303</v>
      </c>
      <c r="P119">
        <v>0.11745376853017928</v>
      </c>
      <c r="Q119" t="s">
        <v>154</v>
      </c>
      <c r="S119" t="s">
        <v>227</v>
      </c>
      <c r="T119" t="s">
        <v>303</v>
      </c>
      <c r="U119">
        <v>0.13460227979094333</v>
      </c>
      <c r="V119" t="s">
        <v>154</v>
      </c>
      <c r="AK119">
        <v>2049</v>
      </c>
      <c r="AL119" t="s">
        <v>297</v>
      </c>
      <c r="AM119">
        <v>0.34823333333333334</v>
      </c>
      <c r="AN119" t="s">
        <v>250</v>
      </c>
    </row>
    <row r="120" spans="9:40" x14ac:dyDescent="0.45">
      <c r="I120" t="s">
        <v>174</v>
      </c>
      <c r="J120" t="s">
        <v>304</v>
      </c>
      <c r="K120">
        <v>0</v>
      </c>
      <c r="L120" t="s">
        <v>154</v>
      </c>
      <c r="N120" t="s">
        <v>203</v>
      </c>
      <c r="O120" t="s">
        <v>304</v>
      </c>
      <c r="P120">
        <v>0.13511760231122921</v>
      </c>
      <c r="Q120" t="s">
        <v>154</v>
      </c>
      <c r="S120" t="s">
        <v>227</v>
      </c>
      <c r="T120" t="s">
        <v>304</v>
      </c>
      <c r="U120">
        <v>0.14821148016020436</v>
      </c>
      <c r="V120" t="s">
        <v>154</v>
      </c>
      <c r="AK120">
        <v>2049</v>
      </c>
      <c r="AL120" t="s">
        <v>299</v>
      </c>
      <c r="AM120">
        <v>0.24726666666666663</v>
      </c>
      <c r="AN120" t="s">
        <v>250</v>
      </c>
    </row>
    <row r="121" spans="9:40" x14ac:dyDescent="0.45">
      <c r="I121" t="s">
        <v>174</v>
      </c>
      <c r="J121" t="s">
        <v>305</v>
      </c>
      <c r="K121">
        <v>1.0598182146224874E-2</v>
      </c>
      <c r="L121" t="s">
        <v>154</v>
      </c>
      <c r="N121" t="s">
        <v>203</v>
      </c>
      <c r="O121" t="s">
        <v>305</v>
      </c>
      <c r="P121">
        <v>2.9409505029777072E-2</v>
      </c>
      <c r="Q121" t="s">
        <v>154</v>
      </c>
      <c r="S121" t="s">
        <v>227</v>
      </c>
      <c r="T121" t="s">
        <v>305</v>
      </c>
      <c r="U121">
        <v>2.8916201642660733E-2</v>
      </c>
      <c r="V121" t="s">
        <v>154</v>
      </c>
      <c r="AK121">
        <v>2049</v>
      </c>
      <c r="AL121" t="s">
        <v>300</v>
      </c>
      <c r="AM121">
        <v>0.33739999999999998</v>
      </c>
      <c r="AN121" t="s">
        <v>250</v>
      </c>
    </row>
    <row r="122" spans="9:40" x14ac:dyDescent="0.45">
      <c r="I122" t="s">
        <v>174</v>
      </c>
      <c r="J122" t="s">
        <v>306</v>
      </c>
      <c r="K122">
        <v>0.26062534401824011</v>
      </c>
      <c r="L122" t="s">
        <v>154</v>
      </c>
      <c r="N122" t="s">
        <v>203</v>
      </c>
      <c r="O122" t="s">
        <v>306</v>
      </c>
      <c r="P122">
        <v>7.8623527860120029E-2</v>
      </c>
      <c r="Q122" t="s">
        <v>154</v>
      </c>
      <c r="S122" t="s">
        <v>227</v>
      </c>
      <c r="T122" t="s">
        <v>306</v>
      </c>
      <c r="U122">
        <v>5.0609462771632842E-2</v>
      </c>
      <c r="V122" t="s">
        <v>154</v>
      </c>
      <c r="AK122">
        <v>2049</v>
      </c>
      <c r="AL122" t="s">
        <v>302</v>
      </c>
      <c r="AM122">
        <v>0.32033333333333336</v>
      </c>
      <c r="AN122" t="s">
        <v>250</v>
      </c>
    </row>
    <row r="123" spans="9:40" x14ac:dyDescent="0.45">
      <c r="I123" t="s">
        <v>174</v>
      </c>
      <c r="J123" t="s">
        <v>307</v>
      </c>
      <c r="K123">
        <v>0</v>
      </c>
      <c r="L123" t="s">
        <v>154</v>
      </c>
      <c r="N123" t="s">
        <v>203</v>
      </c>
      <c r="O123" t="s">
        <v>307</v>
      </c>
      <c r="P123">
        <v>9.0334225160469447E-2</v>
      </c>
      <c r="Q123" t="s">
        <v>154</v>
      </c>
      <c r="S123" t="s">
        <v>227</v>
      </c>
      <c r="T123" t="s">
        <v>307</v>
      </c>
      <c r="U123">
        <v>5.9275331764492734E-2</v>
      </c>
      <c r="V123" t="s">
        <v>154</v>
      </c>
      <c r="AK123">
        <v>2050</v>
      </c>
      <c r="AL123" t="s">
        <v>297</v>
      </c>
      <c r="AM123">
        <v>0.40983333333333333</v>
      </c>
      <c r="AN123" t="s">
        <v>250</v>
      </c>
    </row>
    <row r="124" spans="9:40" x14ac:dyDescent="0.45">
      <c r="I124" t="s">
        <v>174</v>
      </c>
      <c r="J124" t="s">
        <v>308</v>
      </c>
      <c r="K124">
        <v>2.1429787291858717E-2</v>
      </c>
      <c r="L124" t="s">
        <v>154</v>
      </c>
      <c r="N124" t="s">
        <v>203</v>
      </c>
      <c r="O124" t="s">
        <v>308</v>
      </c>
      <c r="P124">
        <v>1.7080321224825629E-2</v>
      </c>
      <c r="Q124" t="s">
        <v>154</v>
      </c>
      <c r="S124" t="s">
        <v>227</v>
      </c>
      <c r="T124" t="s">
        <v>308</v>
      </c>
      <c r="U124">
        <v>1.2079324836318904E-2</v>
      </c>
      <c r="V124" t="s">
        <v>154</v>
      </c>
      <c r="AK124">
        <v>2050</v>
      </c>
      <c r="AL124" t="s">
        <v>299</v>
      </c>
      <c r="AM124">
        <v>0.24313333333333334</v>
      </c>
      <c r="AN124" t="s">
        <v>250</v>
      </c>
    </row>
    <row r="125" spans="9:40" x14ac:dyDescent="0.45">
      <c r="I125" t="s">
        <v>174</v>
      </c>
      <c r="J125" t="s">
        <v>309</v>
      </c>
      <c r="K125">
        <v>0.19697142819681726</v>
      </c>
      <c r="L125" t="s">
        <v>154</v>
      </c>
      <c r="N125" t="s">
        <v>203</v>
      </c>
      <c r="O125" t="s">
        <v>309</v>
      </c>
      <c r="P125">
        <v>7.1776878733266422E-2</v>
      </c>
      <c r="Q125" t="s">
        <v>154</v>
      </c>
      <c r="S125" t="s">
        <v>227</v>
      </c>
      <c r="T125" t="s">
        <v>309</v>
      </c>
      <c r="U125">
        <v>9.1136806014783231E-2</v>
      </c>
      <c r="V125" t="s">
        <v>154</v>
      </c>
      <c r="AK125">
        <v>2050</v>
      </c>
      <c r="AL125" t="s">
        <v>300</v>
      </c>
      <c r="AM125">
        <v>0.3939333333333333</v>
      </c>
      <c r="AN125" t="s">
        <v>250</v>
      </c>
    </row>
    <row r="126" spans="9:40" x14ac:dyDescent="0.45">
      <c r="I126" t="s">
        <v>174</v>
      </c>
      <c r="J126" t="s">
        <v>310</v>
      </c>
      <c r="K126">
        <v>0</v>
      </c>
      <c r="L126" t="s">
        <v>154</v>
      </c>
      <c r="N126" t="s">
        <v>203</v>
      </c>
      <c r="O126" t="s">
        <v>310</v>
      </c>
      <c r="P126">
        <v>8.0940462604299476E-2</v>
      </c>
      <c r="Q126" t="s">
        <v>154</v>
      </c>
      <c r="S126" t="s">
        <v>227</v>
      </c>
      <c r="T126" t="s">
        <v>310</v>
      </c>
      <c r="U126">
        <v>8.1053404012511668E-2</v>
      </c>
      <c r="V126" t="s">
        <v>154</v>
      </c>
      <c r="AK126">
        <v>2050</v>
      </c>
      <c r="AL126" t="s">
        <v>302</v>
      </c>
      <c r="AM126">
        <v>0.35036666666666666</v>
      </c>
      <c r="AN126" t="s">
        <v>250</v>
      </c>
    </row>
    <row r="127" spans="9:40" x14ac:dyDescent="0.45">
      <c r="I127" t="s">
        <v>174</v>
      </c>
      <c r="J127" t="s">
        <v>311</v>
      </c>
      <c r="K127">
        <v>1.151076235593527E-2</v>
      </c>
      <c r="L127" t="s">
        <v>154</v>
      </c>
      <c r="N127" t="s">
        <v>203</v>
      </c>
      <c r="O127" t="s">
        <v>311</v>
      </c>
      <c r="P127">
        <v>1.9205331969149197E-2</v>
      </c>
      <c r="Q127" t="s">
        <v>154</v>
      </c>
      <c r="S127" t="s">
        <v>227</v>
      </c>
      <c r="T127" t="s">
        <v>311</v>
      </c>
      <c r="U127">
        <v>1.4277813955641655E-2</v>
      </c>
      <c r="V127" t="s">
        <v>154</v>
      </c>
    </row>
    <row r="128" spans="9:40" x14ac:dyDescent="0.45">
      <c r="I128" t="s">
        <v>174</v>
      </c>
      <c r="J128" t="s">
        <v>312</v>
      </c>
      <c r="K128">
        <v>0.24483140627480146</v>
      </c>
      <c r="L128" t="s">
        <v>154</v>
      </c>
      <c r="N128" t="s">
        <v>203</v>
      </c>
      <c r="O128" t="s">
        <v>312</v>
      </c>
      <c r="P128">
        <v>0.15570027545393672</v>
      </c>
      <c r="Q128" t="s">
        <v>154</v>
      </c>
      <c r="S128" t="s">
        <v>227</v>
      </c>
      <c r="T128" t="s">
        <v>312</v>
      </c>
      <c r="U128">
        <v>0.16240273273187997</v>
      </c>
      <c r="V128" t="s">
        <v>154</v>
      </c>
    </row>
    <row r="129" spans="9:22" x14ac:dyDescent="0.45">
      <c r="I129" t="s">
        <v>174</v>
      </c>
      <c r="J129" t="s">
        <v>313</v>
      </c>
      <c r="K129">
        <v>0</v>
      </c>
      <c r="L129" t="s">
        <v>154</v>
      </c>
      <c r="N129" t="s">
        <v>203</v>
      </c>
      <c r="O129" t="s">
        <v>313</v>
      </c>
      <c r="P129">
        <v>0.1718653261622797</v>
      </c>
      <c r="Q129" t="s">
        <v>154</v>
      </c>
      <c r="S129" t="s">
        <v>227</v>
      </c>
      <c r="T129" t="s">
        <v>313</v>
      </c>
      <c r="U129">
        <v>0.18042216625479707</v>
      </c>
      <c r="V129" t="s">
        <v>154</v>
      </c>
    </row>
    <row r="130" spans="9:22" x14ac:dyDescent="0.45">
      <c r="I130" t="s">
        <v>174</v>
      </c>
      <c r="J130" t="s">
        <v>314</v>
      </c>
      <c r="K130">
        <v>1.8276606978860192E-2</v>
      </c>
      <c r="L130" t="s">
        <v>154</v>
      </c>
      <c r="N130" t="s">
        <v>203</v>
      </c>
      <c r="O130" t="s">
        <v>314</v>
      </c>
      <c r="P130">
        <v>3.2492774960464967E-2</v>
      </c>
      <c r="Q130" t="s">
        <v>154</v>
      </c>
      <c r="S130" t="s">
        <v>227</v>
      </c>
      <c r="T130" t="s">
        <v>314</v>
      </c>
      <c r="U130">
        <v>3.7012996064135183E-2</v>
      </c>
      <c r="V130" t="s">
        <v>154</v>
      </c>
    </row>
    <row r="131" spans="9:22" x14ac:dyDescent="0.45">
      <c r="I131" t="s">
        <v>175</v>
      </c>
      <c r="J131" t="s">
        <v>303</v>
      </c>
      <c r="K131">
        <v>0.24521383858886708</v>
      </c>
      <c r="L131" t="s">
        <v>154</v>
      </c>
      <c r="N131" t="s">
        <v>204</v>
      </c>
      <c r="O131" t="s">
        <v>303</v>
      </c>
      <c r="P131">
        <v>0.13623022671388993</v>
      </c>
      <c r="Q131" t="s">
        <v>154</v>
      </c>
      <c r="S131" t="s">
        <v>228</v>
      </c>
      <c r="T131" t="s">
        <v>303</v>
      </c>
      <c r="U131">
        <v>0.10902148021675301</v>
      </c>
      <c r="V131" t="s">
        <v>154</v>
      </c>
    </row>
    <row r="132" spans="9:22" x14ac:dyDescent="0.45">
      <c r="I132" t="s">
        <v>175</v>
      </c>
      <c r="J132" t="s">
        <v>304</v>
      </c>
      <c r="K132">
        <v>0</v>
      </c>
      <c r="L132" t="s">
        <v>154</v>
      </c>
      <c r="N132" t="s">
        <v>204</v>
      </c>
      <c r="O132" t="s">
        <v>304</v>
      </c>
      <c r="P132">
        <v>0.11240933040306912</v>
      </c>
      <c r="Q132" t="s">
        <v>154</v>
      </c>
      <c r="S132" t="s">
        <v>228</v>
      </c>
      <c r="T132" t="s">
        <v>304</v>
      </c>
      <c r="U132">
        <v>0.11869593920555332</v>
      </c>
      <c r="V132" t="s">
        <v>154</v>
      </c>
    </row>
    <row r="133" spans="9:22" x14ac:dyDescent="0.45">
      <c r="I133" t="s">
        <v>175</v>
      </c>
      <c r="J133" t="s">
        <v>305</v>
      </c>
      <c r="K133">
        <v>1.2392678440659336E-2</v>
      </c>
      <c r="L133" t="s">
        <v>154</v>
      </c>
      <c r="N133" t="s">
        <v>204</v>
      </c>
      <c r="O133" t="s">
        <v>305</v>
      </c>
      <c r="P133">
        <v>2.3244315362696773E-2</v>
      </c>
      <c r="Q133" t="s">
        <v>154</v>
      </c>
      <c r="S133" t="s">
        <v>228</v>
      </c>
      <c r="T133" t="s">
        <v>305</v>
      </c>
      <c r="U133">
        <v>1.888464385077732E-2</v>
      </c>
      <c r="V133" t="s">
        <v>154</v>
      </c>
    </row>
    <row r="134" spans="9:22" x14ac:dyDescent="0.45">
      <c r="I134" t="s">
        <v>175</v>
      </c>
      <c r="J134" t="s">
        <v>306</v>
      </c>
      <c r="K134">
        <v>0.25604206652346567</v>
      </c>
      <c r="L134" t="s">
        <v>154</v>
      </c>
      <c r="N134" t="s">
        <v>204</v>
      </c>
      <c r="O134" t="s">
        <v>306</v>
      </c>
      <c r="P134">
        <v>7.6883869781482761E-2</v>
      </c>
      <c r="Q134" t="s">
        <v>154</v>
      </c>
      <c r="S134" t="s">
        <v>228</v>
      </c>
      <c r="T134" t="s">
        <v>306</v>
      </c>
      <c r="U134">
        <v>3.1322848686800228E-2</v>
      </c>
      <c r="V134" t="s">
        <v>154</v>
      </c>
    </row>
    <row r="135" spans="9:22" x14ac:dyDescent="0.45">
      <c r="I135" t="s">
        <v>175</v>
      </c>
      <c r="J135" t="s">
        <v>307</v>
      </c>
      <c r="K135">
        <v>0</v>
      </c>
      <c r="L135" t="s">
        <v>154</v>
      </c>
      <c r="N135" t="s">
        <v>204</v>
      </c>
      <c r="O135" t="s">
        <v>307</v>
      </c>
      <c r="P135">
        <v>8.1198292931825441E-2</v>
      </c>
      <c r="Q135" t="s">
        <v>154</v>
      </c>
      <c r="S135" t="s">
        <v>228</v>
      </c>
      <c r="T135" t="s">
        <v>307</v>
      </c>
      <c r="U135">
        <v>3.7915773939508013E-2</v>
      </c>
      <c r="V135" t="s">
        <v>154</v>
      </c>
    </row>
    <row r="136" spans="9:22" x14ac:dyDescent="0.45">
      <c r="I136" t="s">
        <v>175</v>
      </c>
      <c r="J136" t="s">
        <v>308</v>
      </c>
      <c r="K136">
        <v>2.2011951235782218E-2</v>
      </c>
      <c r="L136" t="s">
        <v>154</v>
      </c>
      <c r="N136" t="s">
        <v>204</v>
      </c>
      <c r="O136" t="s">
        <v>308</v>
      </c>
      <c r="P136">
        <v>1.1446508639993398E-2</v>
      </c>
      <c r="Q136" t="s">
        <v>154</v>
      </c>
      <c r="S136" t="s">
        <v>228</v>
      </c>
      <c r="T136" t="s">
        <v>308</v>
      </c>
      <c r="U136">
        <v>4.8035285844363019E-3</v>
      </c>
      <c r="V136" t="s">
        <v>154</v>
      </c>
    </row>
    <row r="137" spans="9:22" x14ac:dyDescent="0.45">
      <c r="I137" t="s">
        <v>175</v>
      </c>
      <c r="J137" t="s">
        <v>309</v>
      </c>
      <c r="K137">
        <v>0.20526360285035283</v>
      </c>
      <c r="L137" t="s">
        <v>154</v>
      </c>
      <c r="N137" t="s">
        <v>204</v>
      </c>
      <c r="O137" t="s">
        <v>309</v>
      </c>
      <c r="P137">
        <v>5.9234459459579898E-2</v>
      </c>
      <c r="Q137" t="s">
        <v>154</v>
      </c>
      <c r="S137" t="s">
        <v>228</v>
      </c>
      <c r="T137" t="s">
        <v>309</v>
      </c>
      <c r="U137">
        <v>0.16644929064856667</v>
      </c>
      <c r="V137" t="s">
        <v>154</v>
      </c>
    </row>
    <row r="138" spans="9:22" x14ac:dyDescent="0.45">
      <c r="I138" t="s">
        <v>175</v>
      </c>
      <c r="J138" t="s">
        <v>310</v>
      </c>
      <c r="K138">
        <v>0</v>
      </c>
      <c r="L138" t="s">
        <v>154</v>
      </c>
      <c r="N138" t="s">
        <v>204</v>
      </c>
      <c r="O138" t="s">
        <v>310</v>
      </c>
      <c r="P138">
        <v>5.0819069280759577E-2</v>
      </c>
      <c r="Q138" t="s">
        <v>154</v>
      </c>
      <c r="S138" t="s">
        <v>228</v>
      </c>
      <c r="T138" t="s">
        <v>310</v>
      </c>
      <c r="U138">
        <v>0.14767914049924324</v>
      </c>
      <c r="V138" t="s">
        <v>154</v>
      </c>
    </row>
    <row r="139" spans="9:22" x14ac:dyDescent="0.45">
      <c r="I139" t="s">
        <v>175</v>
      </c>
      <c r="J139" t="s">
        <v>311</v>
      </c>
      <c r="K139">
        <v>1.2983104700801286E-2</v>
      </c>
      <c r="L139" t="s">
        <v>154</v>
      </c>
      <c r="N139" t="s">
        <v>204</v>
      </c>
      <c r="O139" t="s">
        <v>311</v>
      </c>
      <c r="P139">
        <v>9.2998233744308583E-3</v>
      </c>
      <c r="Q139" t="s">
        <v>154</v>
      </c>
      <c r="S139" t="s">
        <v>228</v>
      </c>
      <c r="T139" t="s">
        <v>311</v>
      </c>
      <c r="U139">
        <v>2.6539740746354918E-2</v>
      </c>
      <c r="V139" t="s">
        <v>154</v>
      </c>
    </row>
    <row r="140" spans="9:22" x14ac:dyDescent="0.45">
      <c r="I140" t="s">
        <v>175</v>
      </c>
      <c r="J140" t="s">
        <v>312</v>
      </c>
      <c r="K140">
        <v>0.22798578548058793</v>
      </c>
      <c r="L140" t="s">
        <v>154</v>
      </c>
      <c r="N140" t="s">
        <v>204</v>
      </c>
      <c r="O140" t="s">
        <v>312</v>
      </c>
      <c r="P140">
        <v>0.20914989344960738</v>
      </c>
      <c r="Q140" t="s">
        <v>154</v>
      </c>
      <c r="S140" t="s">
        <v>228</v>
      </c>
      <c r="T140" t="s">
        <v>312</v>
      </c>
      <c r="U140">
        <v>0.13929652333267503</v>
      </c>
      <c r="V140" t="s">
        <v>154</v>
      </c>
    </row>
    <row r="141" spans="9:22" x14ac:dyDescent="0.45">
      <c r="I141" t="s">
        <v>175</v>
      </c>
      <c r="J141" t="s">
        <v>313</v>
      </c>
      <c r="K141">
        <v>0</v>
      </c>
      <c r="L141" t="s">
        <v>154</v>
      </c>
      <c r="N141" t="s">
        <v>204</v>
      </c>
      <c r="O141" t="s">
        <v>313</v>
      </c>
      <c r="P141">
        <v>0.1961615822582482</v>
      </c>
      <c r="Q141" t="s">
        <v>154</v>
      </c>
      <c r="S141" t="s">
        <v>228</v>
      </c>
      <c r="T141" t="s">
        <v>313</v>
      </c>
      <c r="U141">
        <v>0.17343807881918141</v>
      </c>
      <c r="V141" t="s">
        <v>154</v>
      </c>
    </row>
    <row r="142" spans="9:22" x14ac:dyDescent="0.45">
      <c r="I142" t="s">
        <v>175</v>
      </c>
      <c r="J142" t="s">
        <v>314</v>
      </c>
      <c r="K142">
        <v>1.8106972179484215E-2</v>
      </c>
      <c r="L142" t="s">
        <v>154</v>
      </c>
      <c r="N142" t="s">
        <v>204</v>
      </c>
      <c r="O142" t="s">
        <v>314</v>
      </c>
      <c r="P142">
        <v>3.3922628344418636E-2</v>
      </c>
      <c r="Q142" t="s">
        <v>154</v>
      </c>
      <c r="S142" t="s">
        <v>228</v>
      </c>
      <c r="T142" t="s">
        <v>314</v>
      </c>
      <c r="U142">
        <v>2.5953011470148994E-2</v>
      </c>
      <c r="V142" t="s">
        <v>154</v>
      </c>
    </row>
    <row r="143" spans="9:22" x14ac:dyDescent="0.45">
      <c r="I143" t="s">
        <v>176</v>
      </c>
      <c r="J143" t="s">
        <v>303</v>
      </c>
      <c r="K143">
        <v>0.23772517332439672</v>
      </c>
      <c r="L143" t="s">
        <v>154</v>
      </c>
      <c r="N143" t="s">
        <v>205</v>
      </c>
      <c r="O143" t="s">
        <v>303</v>
      </c>
      <c r="P143">
        <v>0.13751118831260503</v>
      </c>
      <c r="Q143" t="s">
        <v>154</v>
      </c>
      <c r="S143" t="s">
        <v>229</v>
      </c>
      <c r="T143" t="s">
        <v>303</v>
      </c>
      <c r="U143">
        <v>0.13790683884114169</v>
      </c>
      <c r="V143" t="s">
        <v>154</v>
      </c>
    </row>
    <row r="144" spans="9:22" x14ac:dyDescent="0.45">
      <c r="I144" t="s">
        <v>176</v>
      </c>
      <c r="J144" t="s">
        <v>304</v>
      </c>
      <c r="K144">
        <v>0</v>
      </c>
      <c r="L144" t="s">
        <v>154</v>
      </c>
      <c r="N144" t="s">
        <v>205</v>
      </c>
      <c r="O144" t="s">
        <v>304</v>
      </c>
      <c r="P144">
        <v>0.10487728507100566</v>
      </c>
      <c r="Q144" t="s">
        <v>154</v>
      </c>
      <c r="S144" t="s">
        <v>229</v>
      </c>
      <c r="T144" t="s">
        <v>304</v>
      </c>
      <c r="U144">
        <v>0.1441238497420011</v>
      </c>
      <c r="V144" t="s">
        <v>154</v>
      </c>
    </row>
    <row r="145" spans="9:22" x14ac:dyDescent="0.45">
      <c r="I145" t="s">
        <v>176</v>
      </c>
      <c r="J145" t="s">
        <v>305</v>
      </c>
      <c r="K145">
        <v>1.0384517109241834E-2</v>
      </c>
      <c r="L145" t="s">
        <v>154</v>
      </c>
      <c r="N145" t="s">
        <v>205</v>
      </c>
      <c r="O145" t="s">
        <v>305</v>
      </c>
      <c r="P145">
        <v>2.4515731775816264E-2</v>
      </c>
      <c r="Q145" t="s">
        <v>154</v>
      </c>
      <c r="S145" t="s">
        <v>229</v>
      </c>
      <c r="T145" t="s">
        <v>305</v>
      </c>
      <c r="U145">
        <v>2.4759035018103632E-2</v>
      </c>
      <c r="V145" t="s">
        <v>154</v>
      </c>
    </row>
    <row r="146" spans="9:22" x14ac:dyDescent="0.45">
      <c r="I146" t="s">
        <v>176</v>
      </c>
      <c r="J146" t="s">
        <v>306</v>
      </c>
      <c r="K146">
        <v>0.26375538005987359</v>
      </c>
      <c r="L146" t="s">
        <v>154</v>
      </c>
      <c r="N146" t="s">
        <v>205</v>
      </c>
      <c r="O146" t="s">
        <v>306</v>
      </c>
      <c r="P146">
        <v>9.062541022215663E-2</v>
      </c>
      <c r="Q146" t="s">
        <v>154</v>
      </c>
      <c r="S146" t="s">
        <v>229</v>
      </c>
      <c r="T146" t="s">
        <v>306</v>
      </c>
      <c r="U146">
        <v>8.4278119683635924E-2</v>
      </c>
      <c r="V146" t="s">
        <v>154</v>
      </c>
    </row>
    <row r="147" spans="9:22" x14ac:dyDescent="0.45">
      <c r="I147" t="s">
        <v>176</v>
      </c>
      <c r="J147" t="s">
        <v>307</v>
      </c>
      <c r="K147">
        <v>0</v>
      </c>
      <c r="L147" t="s">
        <v>154</v>
      </c>
      <c r="N147" t="s">
        <v>205</v>
      </c>
      <c r="O147" t="s">
        <v>307</v>
      </c>
      <c r="P147">
        <v>8.4248868547380382E-2</v>
      </c>
      <c r="Q147" t="s">
        <v>154</v>
      </c>
      <c r="S147" t="s">
        <v>229</v>
      </c>
      <c r="T147" t="s">
        <v>307</v>
      </c>
      <c r="U147">
        <v>9.1024485846086953E-2</v>
      </c>
      <c r="V147" t="s">
        <v>154</v>
      </c>
    </row>
    <row r="148" spans="9:22" x14ac:dyDescent="0.45">
      <c r="I148" t="s">
        <v>176</v>
      </c>
      <c r="J148" t="s">
        <v>308</v>
      </c>
      <c r="K148">
        <v>1.816136029946774E-2</v>
      </c>
      <c r="L148" t="s">
        <v>154</v>
      </c>
      <c r="N148" t="s">
        <v>205</v>
      </c>
      <c r="O148" t="s">
        <v>308</v>
      </c>
      <c r="P148">
        <v>1.5182529441861041E-2</v>
      </c>
      <c r="Q148" t="s">
        <v>154</v>
      </c>
      <c r="S148" t="s">
        <v>229</v>
      </c>
      <c r="T148" t="s">
        <v>308</v>
      </c>
      <c r="U148">
        <v>1.5243629531954621E-2</v>
      </c>
      <c r="V148" t="s">
        <v>154</v>
      </c>
    </row>
    <row r="149" spans="9:22" x14ac:dyDescent="0.45">
      <c r="I149" t="s">
        <v>176</v>
      </c>
      <c r="J149" t="s">
        <v>309</v>
      </c>
      <c r="K149">
        <v>0.20421629813302974</v>
      </c>
      <c r="L149" t="s">
        <v>154</v>
      </c>
      <c r="N149" t="s">
        <v>205</v>
      </c>
      <c r="O149" t="s">
        <v>309</v>
      </c>
      <c r="P149">
        <v>3.916096390981106E-2</v>
      </c>
      <c r="Q149" t="s">
        <v>154</v>
      </c>
      <c r="S149" t="s">
        <v>229</v>
      </c>
      <c r="T149" t="s">
        <v>309</v>
      </c>
      <c r="U149">
        <v>7.4973792022788602E-2</v>
      </c>
      <c r="V149" t="s">
        <v>154</v>
      </c>
    </row>
    <row r="150" spans="9:22" x14ac:dyDescent="0.45">
      <c r="I150" t="s">
        <v>176</v>
      </c>
      <c r="J150" t="s">
        <v>310</v>
      </c>
      <c r="K150">
        <v>0</v>
      </c>
      <c r="L150" t="s">
        <v>154</v>
      </c>
      <c r="N150" t="s">
        <v>205</v>
      </c>
      <c r="O150" t="s">
        <v>310</v>
      </c>
      <c r="P150">
        <v>3.4742208791798609E-2</v>
      </c>
      <c r="Q150" t="s">
        <v>154</v>
      </c>
      <c r="S150" t="s">
        <v>229</v>
      </c>
      <c r="T150" t="s">
        <v>310</v>
      </c>
      <c r="U150">
        <v>7.9268806031170036E-2</v>
      </c>
      <c r="V150" t="s">
        <v>154</v>
      </c>
    </row>
    <row r="151" spans="9:22" x14ac:dyDescent="0.45">
      <c r="I151" t="s">
        <v>176</v>
      </c>
      <c r="J151" t="s">
        <v>311</v>
      </c>
      <c r="K151">
        <v>9.5615733523529509E-3</v>
      </c>
      <c r="L151" t="s">
        <v>154</v>
      </c>
      <c r="N151" t="s">
        <v>205</v>
      </c>
      <c r="O151" t="s">
        <v>311</v>
      </c>
      <c r="P151">
        <v>8.3439097358764449E-3</v>
      </c>
      <c r="Q151" t="s">
        <v>154</v>
      </c>
      <c r="S151" t="s">
        <v>229</v>
      </c>
      <c r="T151" t="s">
        <v>311</v>
      </c>
      <c r="U151">
        <v>1.3171150101478925E-2</v>
      </c>
      <c r="V151" t="s">
        <v>154</v>
      </c>
    </row>
    <row r="152" spans="9:22" x14ac:dyDescent="0.45">
      <c r="I152" t="s">
        <v>176</v>
      </c>
      <c r="J152" t="s">
        <v>312</v>
      </c>
      <c r="K152">
        <v>0.23929434897350749</v>
      </c>
      <c r="L152" t="s">
        <v>154</v>
      </c>
      <c r="N152" t="s">
        <v>205</v>
      </c>
      <c r="O152" t="s">
        <v>312</v>
      </c>
      <c r="P152">
        <v>0.21867077592716205</v>
      </c>
      <c r="Q152" t="s">
        <v>154</v>
      </c>
      <c r="S152" t="s">
        <v>229</v>
      </c>
      <c r="T152" t="s">
        <v>312</v>
      </c>
      <c r="U152">
        <v>0.14772518655999847</v>
      </c>
      <c r="V152" t="s">
        <v>154</v>
      </c>
    </row>
    <row r="153" spans="9:22" x14ac:dyDescent="0.45">
      <c r="I153" t="s">
        <v>176</v>
      </c>
      <c r="J153" t="s">
        <v>313</v>
      </c>
      <c r="K153">
        <v>0</v>
      </c>
      <c r="L153" t="s">
        <v>154</v>
      </c>
      <c r="N153" t="s">
        <v>205</v>
      </c>
      <c r="O153" t="s">
        <v>313</v>
      </c>
      <c r="P153">
        <v>0.20262763126464553</v>
      </c>
      <c r="Q153" t="s">
        <v>154</v>
      </c>
      <c r="S153" t="s">
        <v>229</v>
      </c>
      <c r="T153" t="s">
        <v>313</v>
      </c>
      <c r="U153">
        <v>0.16049444636470164</v>
      </c>
      <c r="V153" t="s">
        <v>154</v>
      </c>
    </row>
    <row r="154" spans="9:22" x14ac:dyDescent="0.45">
      <c r="I154" t="s">
        <v>176</v>
      </c>
      <c r="J154" t="s">
        <v>314</v>
      </c>
      <c r="K154">
        <v>1.6901348748129742E-2</v>
      </c>
      <c r="L154" t="s">
        <v>154</v>
      </c>
      <c r="N154" t="s">
        <v>205</v>
      </c>
      <c r="O154" t="s">
        <v>314</v>
      </c>
      <c r="P154">
        <v>3.9493496999884914E-2</v>
      </c>
      <c r="Q154" t="s">
        <v>154</v>
      </c>
      <c r="S154" t="s">
        <v>229</v>
      </c>
      <c r="T154" t="s">
        <v>314</v>
      </c>
      <c r="U154">
        <v>2.7030660256938316E-2</v>
      </c>
      <c r="V154" t="s">
        <v>154</v>
      </c>
    </row>
    <row r="155" spans="9:22" x14ac:dyDescent="0.45">
      <c r="I155" t="s">
        <v>177</v>
      </c>
      <c r="J155" t="s">
        <v>303</v>
      </c>
      <c r="K155">
        <v>0.25028665812382428</v>
      </c>
      <c r="L155" t="s">
        <v>154</v>
      </c>
      <c r="N155" t="s">
        <v>206</v>
      </c>
      <c r="O155" t="s">
        <v>303</v>
      </c>
      <c r="P155">
        <v>0.15131637491330172</v>
      </c>
      <c r="Q155" t="s">
        <v>154</v>
      </c>
      <c r="S155" t="s">
        <v>230</v>
      </c>
      <c r="T155" t="s">
        <v>303</v>
      </c>
      <c r="U155">
        <v>0.13671383325870234</v>
      </c>
      <c r="V155" t="s">
        <v>154</v>
      </c>
    </row>
    <row r="156" spans="9:22" x14ac:dyDescent="0.45">
      <c r="I156" t="s">
        <v>177</v>
      </c>
      <c r="J156" t="s">
        <v>304</v>
      </c>
      <c r="K156">
        <v>0</v>
      </c>
      <c r="L156" t="s">
        <v>154</v>
      </c>
      <c r="N156" t="s">
        <v>206</v>
      </c>
      <c r="O156" t="s">
        <v>304</v>
      </c>
      <c r="P156">
        <v>0.11038651347709542</v>
      </c>
      <c r="Q156" t="s">
        <v>154</v>
      </c>
      <c r="S156" t="s">
        <v>230</v>
      </c>
      <c r="T156" t="s">
        <v>304</v>
      </c>
      <c r="U156">
        <v>0.1423652806882276</v>
      </c>
      <c r="V156" t="s">
        <v>154</v>
      </c>
    </row>
    <row r="157" spans="9:22" x14ac:dyDescent="0.45">
      <c r="I157" t="s">
        <v>177</v>
      </c>
      <c r="J157" t="s">
        <v>305</v>
      </c>
      <c r="K157">
        <v>1.0961808939486959E-2</v>
      </c>
      <c r="L157" t="s">
        <v>154</v>
      </c>
      <c r="N157" t="s">
        <v>206</v>
      </c>
      <c r="O157" t="s">
        <v>305</v>
      </c>
      <c r="P157">
        <v>2.2187045452176944E-2</v>
      </c>
      <c r="Q157" t="s">
        <v>154</v>
      </c>
      <c r="S157" t="s">
        <v>230</v>
      </c>
      <c r="T157" t="s">
        <v>305</v>
      </c>
      <c r="U157">
        <v>2.7628276409356934E-2</v>
      </c>
      <c r="V157" t="s">
        <v>154</v>
      </c>
    </row>
    <row r="158" spans="9:22" x14ac:dyDescent="0.45">
      <c r="I158" t="s">
        <v>177</v>
      </c>
      <c r="J158" t="s">
        <v>306</v>
      </c>
      <c r="K158">
        <v>0.26162580184621709</v>
      </c>
      <c r="L158" t="s">
        <v>154</v>
      </c>
      <c r="N158" t="s">
        <v>206</v>
      </c>
      <c r="O158" t="s">
        <v>306</v>
      </c>
      <c r="P158">
        <v>9.3699568336529371E-2</v>
      </c>
      <c r="Q158" t="s">
        <v>154</v>
      </c>
      <c r="S158" t="s">
        <v>230</v>
      </c>
      <c r="T158" t="s">
        <v>306</v>
      </c>
      <c r="U158">
        <v>6.9030993258591133E-2</v>
      </c>
      <c r="V158" t="s">
        <v>154</v>
      </c>
    </row>
    <row r="159" spans="9:22" x14ac:dyDescent="0.45">
      <c r="I159" t="s">
        <v>177</v>
      </c>
      <c r="J159" t="s">
        <v>307</v>
      </c>
      <c r="K159">
        <v>0</v>
      </c>
      <c r="L159" t="s">
        <v>154</v>
      </c>
      <c r="N159" t="s">
        <v>206</v>
      </c>
      <c r="O159" t="s">
        <v>307</v>
      </c>
      <c r="P159">
        <v>7.6917183460236349E-2</v>
      </c>
      <c r="Q159" t="s">
        <v>154</v>
      </c>
      <c r="S159" t="s">
        <v>230</v>
      </c>
      <c r="T159" t="s">
        <v>307</v>
      </c>
      <c r="U159">
        <v>7.431639484483249E-2</v>
      </c>
      <c r="V159" t="s">
        <v>154</v>
      </c>
    </row>
    <row r="160" spans="9:22" x14ac:dyDescent="0.45">
      <c r="I160" t="s">
        <v>177</v>
      </c>
      <c r="J160" t="s">
        <v>308</v>
      </c>
      <c r="K160">
        <v>2.3139344033833806E-2</v>
      </c>
      <c r="L160" t="s">
        <v>154</v>
      </c>
      <c r="N160" t="s">
        <v>206</v>
      </c>
      <c r="O160" t="s">
        <v>308</v>
      </c>
      <c r="P160">
        <v>1.7003166948838751E-2</v>
      </c>
      <c r="Q160" t="s">
        <v>154</v>
      </c>
      <c r="S160" t="s">
        <v>230</v>
      </c>
      <c r="T160" t="s">
        <v>308</v>
      </c>
      <c r="U160">
        <v>1.4779840369635725E-2</v>
      </c>
      <c r="V160" t="s">
        <v>154</v>
      </c>
    </row>
    <row r="161" spans="9:22" x14ac:dyDescent="0.45">
      <c r="I161" t="s">
        <v>177</v>
      </c>
      <c r="J161" t="s">
        <v>309</v>
      </c>
      <c r="K161">
        <v>0.22121696513935729</v>
      </c>
      <c r="L161" t="s">
        <v>154</v>
      </c>
      <c r="N161" t="s">
        <v>206</v>
      </c>
      <c r="O161" t="s">
        <v>309</v>
      </c>
      <c r="P161">
        <v>6.6703676591496744E-2</v>
      </c>
      <c r="Q161" t="s">
        <v>154</v>
      </c>
      <c r="S161" t="s">
        <v>230</v>
      </c>
      <c r="T161" t="s">
        <v>309</v>
      </c>
      <c r="U161">
        <v>6.434187507916464E-2</v>
      </c>
      <c r="V161" t="s">
        <v>154</v>
      </c>
    </row>
    <row r="162" spans="9:22" x14ac:dyDescent="0.45">
      <c r="I162" t="s">
        <v>177</v>
      </c>
      <c r="J162" t="s">
        <v>310</v>
      </c>
      <c r="K162">
        <v>0</v>
      </c>
      <c r="L162" t="s">
        <v>154</v>
      </c>
      <c r="N162" t="s">
        <v>206</v>
      </c>
      <c r="O162" t="s">
        <v>310</v>
      </c>
      <c r="P162">
        <v>4.9989182494057233E-2</v>
      </c>
      <c r="Q162" t="s">
        <v>154</v>
      </c>
      <c r="S162" t="s">
        <v>230</v>
      </c>
      <c r="T162" t="s">
        <v>310</v>
      </c>
      <c r="U162">
        <v>6.2060196394450005E-2</v>
      </c>
      <c r="V162" t="s">
        <v>154</v>
      </c>
    </row>
    <row r="163" spans="9:22" x14ac:dyDescent="0.45">
      <c r="I163" t="s">
        <v>177</v>
      </c>
      <c r="J163" t="s">
        <v>311</v>
      </c>
      <c r="K163">
        <v>1.240174586429694E-2</v>
      </c>
      <c r="L163" t="s">
        <v>154</v>
      </c>
      <c r="N163" t="s">
        <v>206</v>
      </c>
      <c r="O163" t="s">
        <v>311</v>
      </c>
      <c r="P163">
        <v>8.4558201169430604E-3</v>
      </c>
      <c r="Q163" t="s">
        <v>154</v>
      </c>
      <c r="S163" t="s">
        <v>230</v>
      </c>
      <c r="T163" t="s">
        <v>311</v>
      </c>
      <c r="U163">
        <v>1.2248979466507043E-2</v>
      </c>
      <c r="V163" t="s">
        <v>154</v>
      </c>
    </row>
    <row r="164" spans="9:22" x14ac:dyDescent="0.45">
      <c r="I164" t="s">
        <v>177</v>
      </c>
      <c r="J164" t="s">
        <v>312</v>
      </c>
      <c r="K164">
        <v>0.20410374543729354</v>
      </c>
      <c r="L164" t="s">
        <v>154</v>
      </c>
      <c r="N164" t="s">
        <v>206</v>
      </c>
      <c r="O164" t="s">
        <v>312</v>
      </c>
      <c r="P164">
        <v>0.20418858925825989</v>
      </c>
      <c r="Q164" t="s">
        <v>154</v>
      </c>
      <c r="S164" t="s">
        <v>230</v>
      </c>
      <c r="T164" t="s">
        <v>312</v>
      </c>
      <c r="U164">
        <v>0.17583974044344533</v>
      </c>
      <c r="V164" t="s">
        <v>154</v>
      </c>
    </row>
    <row r="165" spans="9:22" x14ac:dyDescent="0.45">
      <c r="I165" t="s">
        <v>177</v>
      </c>
      <c r="J165" t="s">
        <v>313</v>
      </c>
      <c r="K165">
        <v>0</v>
      </c>
      <c r="L165" t="s">
        <v>154</v>
      </c>
      <c r="N165" t="s">
        <v>206</v>
      </c>
      <c r="O165" t="s">
        <v>313</v>
      </c>
      <c r="P165">
        <v>0.16400502611797363</v>
      </c>
      <c r="Q165" t="s">
        <v>154</v>
      </c>
      <c r="S165" t="s">
        <v>230</v>
      </c>
      <c r="T165" t="s">
        <v>313</v>
      </c>
      <c r="U165">
        <v>0.18474493835348871</v>
      </c>
      <c r="V165" t="s">
        <v>154</v>
      </c>
    </row>
    <row r="166" spans="9:22" x14ac:dyDescent="0.45">
      <c r="I166" t="s">
        <v>177</v>
      </c>
      <c r="J166" t="s">
        <v>314</v>
      </c>
      <c r="K166">
        <v>1.6263930615692753E-2</v>
      </c>
      <c r="L166" t="s">
        <v>154</v>
      </c>
      <c r="N166" t="s">
        <v>206</v>
      </c>
      <c r="O166" t="s">
        <v>314</v>
      </c>
      <c r="P166">
        <v>3.5147852833093067E-2</v>
      </c>
      <c r="Q166" t="s">
        <v>154</v>
      </c>
      <c r="S166" t="s">
        <v>230</v>
      </c>
      <c r="T166" t="s">
        <v>314</v>
      </c>
      <c r="U166">
        <v>3.5929651433597949E-2</v>
      </c>
      <c r="V166" t="s">
        <v>154</v>
      </c>
    </row>
    <row r="167" spans="9:22" x14ac:dyDescent="0.45">
      <c r="I167" t="s">
        <v>178</v>
      </c>
      <c r="J167" t="s">
        <v>303</v>
      </c>
      <c r="K167">
        <v>0.24115768035883037</v>
      </c>
      <c r="L167" t="s">
        <v>154</v>
      </c>
      <c r="N167" t="s">
        <v>207</v>
      </c>
      <c r="O167" t="s">
        <v>303</v>
      </c>
      <c r="P167">
        <v>0.1322348327980741</v>
      </c>
      <c r="Q167" t="s">
        <v>154</v>
      </c>
      <c r="S167" t="s">
        <v>231</v>
      </c>
      <c r="T167" t="s">
        <v>303</v>
      </c>
      <c r="U167">
        <v>0.12530556879314689</v>
      </c>
      <c r="V167" t="s">
        <v>154</v>
      </c>
    </row>
    <row r="168" spans="9:22" x14ac:dyDescent="0.45">
      <c r="I168" t="s">
        <v>178</v>
      </c>
      <c r="J168" t="s">
        <v>304</v>
      </c>
      <c r="K168">
        <v>0</v>
      </c>
      <c r="L168" t="s">
        <v>154</v>
      </c>
      <c r="N168" t="s">
        <v>207</v>
      </c>
      <c r="O168" t="s">
        <v>304</v>
      </c>
      <c r="P168">
        <v>0.12263666821894342</v>
      </c>
      <c r="Q168" t="s">
        <v>154</v>
      </c>
      <c r="S168" t="s">
        <v>231</v>
      </c>
      <c r="T168" t="s">
        <v>304</v>
      </c>
      <c r="U168">
        <v>0.12906664234575624</v>
      </c>
      <c r="V168" t="s">
        <v>154</v>
      </c>
    </row>
    <row r="169" spans="9:22" x14ac:dyDescent="0.45">
      <c r="I169" t="s">
        <v>178</v>
      </c>
      <c r="J169" t="s">
        <v>305</v>
      </c>
      <c r="K169">
        <v>9.7343415547455677E-3</v>
      </c>
      <c r="L169" t="s">
        <v>154</v>
      </c>
      <c r="N169" t="s">
        <v>207</v>
      </c>
      <c r="O169" t="s">
        <v>305</v>
      </c>
      <c r="P169">
        <v>2.3823380449225703E-2</v>
      </c>
      <c r="Q169" t="s">
        <v>154</v>
      </c>
      <c r="S169" t="s">
        <v>231</v>
      </c>
      <c r="T169" t="s">
        <v>305</v>
      </c>
      <c r="U169">
        <v>2.3646484643752255E-2</v>
      </c>
      <c r="V169" t="s">
        <v>154</v>
      </c>
    </row>
    <row r="170" spans="9:22" x14ac:dyDescent="0.45">
      <c r="I170" t="s">
        <v>178</v>
      </c>
      <c r="J170" t="s">
        <v>306</v>
      </c>
      <c r="K170">
        <v>0.26872013920494647</v>
      </c>
      <c r="L170" t="s">
        <v>154</v>
      </c>
      <c r="N170" t="s">
        <v>207</v>
      </c>
      <c r="O170" t="s">
        <v>306</v>
      </c>
      <c r="P170">
        <v>8.0455745942300635E-2</v>
      </c>
      <c r="Q170" t="s">
        <v>154</v>
      </c>
      <c r="S170" t="s">
        <v>231</v>
      </c>
      <c r="T170" t="s">
        <v>306</v>
      </c>
      <c r="U170">
        <v>6.9216778889238217E-2</v>
      </c>
      <c r="V170" t="s">
        <v>154</v>
      </c>
    </row>
    <row r="171" spans="9:22" x14ac:dyDescent="0.45">
      <c r="I171" t="s">
        <v>178</v>
      </c>
      <c r="J171" t="s">
        <v>307</v>
      </c>
      <c r="K171">
        <v>0</v>
      </c>
      <c r="L171" t="s">
        <v>154</v>
      </c>
      <c r="N171" t="s">
        <v>207</v>
      </c>
      <c r="O171" t="s">
        <v>307</v>
      </c>
      <c r="P171">
        <v>8.6121010717357421E-2</v>
      </c>
      <c r="Q171" t="s">
        <v>154</v>
      </c>
      <c r="S171" t="s">
        <v>231</v>
      </c>
      <c r="T171" t="s">
        <v>307</v>
      </c>
      <c r="U171">
        <v>8.2417533840967103E-2</v>
      </c>
      <c r="V171" t="s">
        <v>154</v>
      </c>
    </row>
    <row r="172" spans="9:22" x14ac:dyDescent="0.45">
      <c r="I172" t="s">
        <v>178</v>
      </c>
      <c r="J172" t="s">
        <v>308</v>
      </c>
      <c r="K172">
        <v>2.0020392000133773E-2</v>
      </c>
      <c r="L172" t="s">
        <v>154</v>
      </c>
      <c r="N172" t="s">
        <v>207</v>
      </c>
      <c r="O172" t="s">
        <v>308</v>
      </c>
      <c r="P172">
        <v>1.5143283082115939E-2</v>
      </c>
      <c r="Q172" t="s">
        <v>154</v>
      </c>
      <c r="S172" t="s">
        <v>231</v>
      </c>
      <c r="T172" t="s">
        <v>308</v>
      </c>
      <c r="U172">
        <v>1.5153734323312386E-2</v>
      </c>
      <c r="V172" t="s">
        <v>154</v>
      </c>
    </row>
    <row r="173" spans="9:22" x14ac:dyDescent="0.45">
      <c r="I173" t="s">
        <v>178</v>
      </c>
      <c r="J173" t="s">
        <v>309</v>
      </c>
      <c r="K173">
        <v>0.20880032248547389</v>
      </c>
      <c r="L173" t="s">
        <v>154</v>
      </c>
      <c r="N173" t="s">
        <v>207</v>
      </c>
      <c r="O173" t="s">
        <v>309</v>
      </c>
      <c r="P173">
        <v>6.3227672156858622E-2</v>
      </c>
      <c r="Q173" t="s">
        <v>154</v>
      </c>
      <c r="S173" t="s">
        <v>231</v>
      </c>
      <c r="T173" t="s">
        <v>309</v>
      </c>
      <c r="U173">
        <v>7.723030835322782E-2</v>
      </c>
      <c r="V173" t="s">
        <v>154</v>
      </c>
    </row>
    <row r="174" spans="9:22" x14ac:dyDescent="0.45">
      <c r="I174" t="s">
        <v>178</v>
      </c>
      <c r="J174" t="s">
        <v>310</v>
      </c>
      <c r="K174">
        <v>0</v>
      </c>
      <c r="L174" t="s">
        <v>154</v>
      </c>
      <c r="N174" t="s">
        <v>207</v>
      </c>
      <c r="O174" t="s">
        <v>310</v>
      </c>
      <c r="P174">
        <v>6.1168905486528626E-2</v>
      </c>
      <c r="Q174" t="s">
        <v>154</v>
      </c>
      <c r="S174" t="s">
        <v>231</v>
      </c>
      <c r="T174" t="s">
        <v>310</v>
      </c>
      <c r="U174">
        <v>8.2360129783931382E-2</v>
      </c>
      <c r="V174" t="s">
        <v>154</v>
      </c>
    </row>
    <row r="175" spans="9:22" x14ac:dyDescent="0.45">
      <c r="I175" t="s">
        <v>178</v>
      </c>
      <c r="J175" t="s">
        <v>311</v>
      </c>
      <c r="K175">
        <v>1.00437094728997E-2</v>
      </c>
      <c r="L175" t="s">
        <v>154</v>
      </c>
      <c r="N175" t="s">
        <v>207</v>
      </c>
      <c r="O175" t="s">
        <v>311</v>
      </c>
      <c r="P175">
        <v>1.0127328927745569E-2</v>
      </c>
      <c r="Q175" t="s">
        <v>154</v>
      </c>
      <c r="S175" t="s">
        <v>231</v>
      </c>
      <c r="T175" t="s">
        <v>311</v>
      </c>
      <c r="U175">
        <v>1.5805945728332434E-2</v>
      </c>
      <c r="V175" t="s">
        <v>154</v>
      </c>
    </row>
    <row r="176" spans="9:22" x14ac:dyDescent="0.45">
      <c r="I176" t="s">
        <v>178</v>
      </c>
      <c r="J176" t="s">
        <v>312</v>
      </c>
      <c r="K176">
        <v>0.22606493303959585</v>
      </c>
      <c r="L176" t="s">
        <v>154</v>
      </c>
      <c r="N176" t="s">
        <v>207</v>
      </c>
      <c r="O176" t="s">
        <v>312</v>
      </c>
      <c r="P176">
        <v>0.18636871586477285</v>
      </c>
      <c r="Q176" t="s">
        <v>154</v>
      </c>
      <c r="S176" t="s">
        <v>231</v>
      </c>
      <c r="T176" t="s">
        <v>312</v>
      </c>
      <c r="U176">
        <v>0.16934289414219419</v>
      </c>
      <c r="V176" t="s">
        <v>154</v>
      </c>
    </row>
    <row r="177" spans="9:22" x14ac:dyDescent="0.45">
      <c r="I177" t="s">
        <v>178</v>
      </c>
      <c r="J177" t="s">
        <v>313</v>
      </c>
      <c r="K177">
        <v>0</v>
      </c>
      <c r="L177" t="s">
        <v>154</v>
      </c>
      <c r="N177" t="s">
        <v>207</v>
      </c>
      <c r="O177" t="s">
        <v>313</v>
      </c>
      <c r="P177">
        <v>0.18528196140428335</v>
      </c>
      <c r="Q177" t="s">
        <v>154</v>
      </c>
      <c r="S177" t="s">
        <v>231</v>
      </c>
      <c r="T177" t="s">
        <v>313</v>
      </c>
      <c r="U177">
        <v>0.17893191025460053</v>
      </c>
      <c r="V177" t="s">
        <v>154</v>
      </c>
    </row>
    <row r="178" spans="9:22" x14ac:dyDescent="0.45">
      <c r="I178" t="s">
        <v>178</v>
      </c>
      <c r="J178" t="s">
        <v>314</v>
      </c>
      <c r="K178">
        <v>1.5458481883377805E-2</v>
      </c>
      <c r="L178" t="s">
        <v>154</v>
      </c>
      <c r="N178" t="s">
        <v>207</v>
      </c>
      <c r="O178" t="s">
        <v>314</v>
      </c>
      <c r="P178">
        <v>3.3410494951796911E-2</v>
      </c>
      <c r="Q178" t="s">
        <v>154</v>
      </c>
      <c r="S178" t="s">
        <v>231</v>
      </c>
      <c r="T178" t="s">
        <v>314</v>
      </c>
      <c r="U178">
        <v>3.1522068901539191E-2</v>
      </c>
      <c r="V178" t="s">
        <v>154</v>
      </c>
    </row>
    <row r="179" spans="9:22" x14ac:dyDescent="0.45">
      <c r="I179" t="s">
        <v>179</v>
      </c>
      <c r="J179" t="s">
        <v>303</v>
      </c>
      <c r="K179">
        <v>0.21502363779376918</v>
      </c>
      <c r="L179" t="s">
        <v>154</v>
      </c>
      <c r="N179" t="s">
        <v>208</v>
      </c>
      <c r="O179" t="s">
        <v>303</v>
      </c>
      <c r="P179">
        <v>0.13853313907130682</v>
      </c>
      <c r="Q179" t="s">
        <v>154</v>
      </c>
      <c r="S179" t="s">
        <v>232</v>
      </c>
      <c r="T179" t="s">
        <v>303</v>
      </c>
      <c r="U179">
        <v>0.12337267486375618</v>
      </c>
      <c r="V179" t="s">
        <v>154</v>
      </c>
    </row>
    <row r="180" spans="9:22" x14ac:dyDescent="0.45">
      <c r="I180" t="s">
        <v>179</v>
      </c>
      <c r="J180" t="s">
        <v>304</v>
      </c>
      <c r="K180">
        <v>0</v>
      </c>
      <c r="L180" t="s">
        <v>154</v>
      </c>
      <c r="N180" t="s">
        <v>208</v>
      </c>
      <c r="O180" t="s">
        <v>304</v>
      </c>
      <c r="P180">
        <v>0.10833000885378345</v>
      </c>
      <c r="Q180" t="s">
        <v>154</v>
      </c>
      <c r="S180" t="s">
        <v>232</v>
      </c>
      <c r="T180" t="s">
        <v>304</v>
      </c>
      <c r="U180">
        <v>0.13071259030870086</v>
      </c>
      <c r="V180" t="s">
        <v>154</v>
      </c>
    </row>
    <row r="181" spans="9:22" x14ac:dyDescent="0.45">
      <c r="I181" t="s">
        <v>179</v>
      </c>
      <c r="J181" t="s">
        <v>305</v>
      </c>
      <c r="K181">
        <v>1.1934459054756449E-2</v>
      </c>
      <c r="L181" t="s">
        <v>154</v>
      </c>
      <c r="N181" t="s">
        <v>208</v>
      </c>
      <c r="O181" t="s">
        <v>305</v>
      </c>
      <c r="P181">
        <v>2.3367002468133342E-2</v>
      </c>
      <c r="Q181" t="s">
        <v>154</v>
      </c>
      <c r="S181" t="s">
        <v>232</v>
      </c>
      <c r="T181" t="s">
        <v>305</v>
      </c>
      <c r="U181">
        <v>2.2331398404546579E-2</v>
      </c>
      <c r="V181" t="s">
        <v>154</v>
      </c>
    </row>
    <row r="182" spans="9:22" x14ac:dyDescent="0.45">
      <c r="I182" t="s">
        <v>179</v>
      </c>
      <c r="J182" t="s">
        <v>306</v>
      </c>
      <c r="K182">
        <v>0.28487927788896195</v>
      </c>
      <c r="L182" t="s">
        <v>154</v>
      </c>
      <c r="N182" t="s">
        <v>208</v>
      </c>
      <c r="O182" t="s">
        <v>306</v>
      </c>
      <c r="P182">
        <v>6.8313702616232597E-2</v>
      </c>
      <c r="Q182" t="s">
        <v>154</v>
      </c>
      <c r="S182" t="s">
        <v>232</v>
      </c>
      <c r="T182" t="s">
        <v>306</v>
      </c>
      <c r="U182">
        <v>5.0735795153075365E-2</v>
      </c>
      <c r="V182" t="s">
        <v>154</v>
      </c>
    </row>
    <row r="183" spans="9:22" x14ac:dyDescent="0.45">
      <c r="I183" t="s">
        <v>179</v>
      </c>
      <c r="J183" t="s">
        <v>307</v>
      </c>
      <c r="K183">
        <v>0</v>
      </c>
      <c r="L183" t="s">
        <v>154</v>
      </c>
      <c r="N183" t="s">
        <v>208</v>
      </c>
      <c r="O183" t="s">
        <v>307</v>
      </c>
      <c r="P183">
        <v>4.9161196705646629E-2</v>
      </c>
      <c r="Q183" t="s">
        <v>154</v>
      </c>
      <c r="S183" t="s">
        <v>232</v>
      </c>
      <c r="T183" t="s">
        <v>307</v>
      </c>
      <c r="U183">
        <v>5.839500534800917E-2</v>
      </c>
      <c r="V183" t="s">
        <v>154</v>
      </c>
    </row>
    <row r="184" spans="9:22" x14ac:dyDescent="0.45">
      <c r="I184" t="s">
        <v>179</v>
      </c>
      <c r="J184" t="s">
        <v>308</v>
      </c>
      <c r="K184">
        <v>2.2291893632375787E-2</v>
      </c>
      <c r="L184" t="s">
        <v>154</v>
      </c>
      <c r="N184" t="s">
        <v>208</v>
      </c>
      <c r="O184" t="s">
        <v>308</v>
      </c>
      <c r="P184">
        <v>1.3002665637556979E-2</v>
      </c>
      <c r="Q184" t="s">
        <v>154</v>
      </c>
      <c r="S184" t="s">
        <v>232</v>
      </c>
      <c r="T184" t="s">
        <v>308</v>
      </c>
      <c r="U184">
        <v>1.1072148352423873E-2</v>
      </c>
      <c r="V184" t="s">
        <v>154</v>
      </c>
    </row>
    <row r="185" spans="9:22" x14ac:dyDescent="0.45">
      <c r="I185" t="s">
        <v>179</v>
      </c>
      <c r="J185" t="s">
        <v>309</v>
      </c>
      <c r="K185">
        <v>0.24500903361480297</v>
      </c>
      <c r="L185" t="s">
        <v>154</v>
      </c>
      <c r="N185" t="s">
        <v>208</v>
      </c>
      <c r="O185" t="s">
        <v>309</v>
      </c>
      <c r="P185">
        <v>7.5838952088442504E-2</v>
      </c>
      <c r="Q185" t="s">
        <v>154</v>
      </c>
      <c r="S185" t="s">
        <v>232</v>
      </c>
      <c r="T185" t="s">
        <v>309</v>
      </c>
      <c r="U185">
        <v>6.1433227506492827E-2</v>
      </c>
      <c r="V185" t="s">
        <v>154</v>
      </c>
    </row>
    <row r="186" spans="9:22" x14ac:dyDescent="0.45">
      <c r="I186" t="s">
        <v>179</v>
      </c>
      <c r="J186" t="s">
        <v>310</v>
      </c>
      <c r="K186">
        <v>0</v>
      </c>
      <c r="L186" t="s">
        <v>154</v>
      </c>
      <c r="N186" t="s">
        <v>208</v>
      </c>
      <c r="O186" t="s">
        <v>310</v>
      </c>
      <c r="P186">
        <v>6.2854136248821649E-2</v>
      </c>
      <c r="Q186" t="s">
        <v>154</v>
      </c>
      <c r="S186" t="s">
        <v>232</v>
      </c>
      <c r="T186" t="s">
        <v>310</v>
      </c>
      <c r="U186">
        <v>6.5572978414939434E-2</v>
      </c>
      <c r="V186" t="s">
        <v>154</v>
      </c>
    </row>
    <row r="187" spans="9:22" x14ac:dyDescent="0.45">
      <c r="I187" t="s">
        <v>179</v>
      </c>
      <c r="J187" t="s">
        <v>311</v>
      </c>
      <c r="K187">
        <v>1.594268762032152E-2</v>
      </c>
      <c r="L187" t="s">
        <v>154</v>
      </c>
      <c r="N187" t="s">
        <v>208</v>
      </c>
      <c r="O187" t="s">
        <v>311</v>
      </c>
      <c r="P187">
        <v>1.439193985923703E-2</v>
      </c>
      <c r="Q187" t="s">
        <v>154</v>
      </c>
      <c r="S187" t="s">
        <v>232</v>
      </c>
      <c r="T187" t="s">
        <v>311</v>
      </c>
      <c r="U187">
        <v>1.164626910850889E-2</v>
      </c>
      <c r="V187" t="s">
        <v>154</v>
      </c>
    </row>
    <row r="188" spans="9:22" x14ac:dyDescent="0.45">
      <c r="I188" t="s">
        <v>179</v>
      </c>
      <c r="J188" t="s">
        <v>312</v>
      </c>
      <c r="K188">
        <v>0.1871430473060601</v>
      </c>
      <c r="L188" t="s">
        <v>154</v>
      </c>
      <c r="N188" t="s">
        <v>208</v>
      </c>
      <c r="O188" t="s">
        <v>312</v>
      </c>
      <c r="P188">
        <v>0.23466644593539096</v>
      </c>
      <c r="Q188" t="s">
        <v>154</v>
      </c>
      <c r="S188" t="s">
        <v>232</v>
      </c>
      <c r="T188" t="s">
        <v>312</v>
      </c>
      <c r="U188">
        <v>0.21618641293042018</v>
      </c>
      <c r="V188" t="s">
        <v>154</v>
      </c>
    </row>
    <row r="189" spans="9:22" x14ac:dyDescent="0.45">
      <c r="I189" t="s">
        <v>179</v>
      </c>
      <c r="J189" t="s">
        <v>313</v>
      </c>
      <c r="K189">
        <v>0</v>
      </c>
      <c r="L189" t="s">
        <v>154</v>
      </c>
      <c r="N189" t="s">
        <v>208</v>
      </c>
      <c r="O189" t="s">
        <v>313</v>
      </c>
      <c r="P189">
        <v>0.17190270732979696</v>
      </c>
      <c r="Q189" t="s">
        <v>154</v>
      </c>
      <c r="S189" t="s">
        <v>232</v>
      </c>
      <c r="T189" t="s">
        <v>313</v>
      </c>
      <c r="U189">
        <v>0.21034160227181795</v>
      </c>
      <c r="V189" t="s">
        <v>154</v>
      </c>
    </row>
    <row r="190" spans="9:22" x14ac:dyDescent="0.45">
      <c r="I190" t="s">
        <v>179</v>
      </c>
      <c r="J190" t="s">
        <v>314</v>
      </c>
      <c r="K190">
        <v>1.7775963088949878E-2</v>
      </c>
      <c r="L190" t="s">
        <v>154</v>
      </c>
      <c r="N190" t="s">
        <v>208</v>
      </c>
      <c r="O190" t="s">
        <v>314</v>
      </c>
      <c r="P190">
        <v>3.9638103185653251E-2</v>
      </c>
      <c r="Q190" t="s">
        <v>154</v>
      </c>
      <c r="S190" t="s">
        <v>232</v>
      </c>
      <c r="T190" t="s">
        <v>314</v>
      </c>
      <c r="U190">
        <v>3.8199897337308067E-2</v>
      </c>
      <c r="V190" t="s">
        <v>154</v>
      </c>
    </row>
    <row r="191" spans="9:22" x14ac:dyDescent="0.45">
      <c r="I191" t="s">
        <v>180</v>
      </c>
      <c r="J191" t="s">
        <v>303</v>
      </c>
      <c r="K191">
        <v>0.21724655615653898</v>
      </c>
      <c r="L191" t="s">
        <v>154</v>
      </c>
      <c r="N191" t="s">
        <v>209</v>
      </c>
      <c r="O191" t="s">
        <v>303</v>
      </c>
      <c r="P191">
        <v>0.13625934259250805</v>
      </c>
      <c r="Q191" t="s">
        <v>154</v>
      </c>
      <c r="S191" t="s">
        <v>233</v>
      </c>
      <c r="T191" t="s">
        <v>303</v>
      </c>
      <c r="U191">
        <v>0.12368397143392641</v>
      </c>
      <c r="V191" t="s">
        <v>154</v>
      </c>
    </row>
    <row r="192" spans="9:22" x14ac:dyDescent="0.45">
      <c r="I192" t="s">
        <v>180</v>
      </c>
      <c r="J192" t="s">
        <v>304</v>
      </c>
      <c r="K192">
        <v>0</v>
      </c>
      <c r="L192" t="s">
        <v>154</v>
      </c>
      <c r="N192" t="s">
        <v>209</v>
      </c>
      <c r="O192" t="s">
        <v>304</v>
      </c>
      <c r="P192">
        <v>0.12927079363457314</v>
      </c>
      <c r="Q192" t="s">
        <v>154</v>
      </c>
      <c r="S192" t="s">
        <v>233</v>
      </c>
      <c r="T192" t="s">
        <v>304</v>
      </c>
      <c r="U192">
        <v>0.12987148841727714</v>
      </c>
      <c r="V192" t="s">
        <v>154</v>
      </c>
    </row>
    <row r="193" spans="9:22" x14ac:dyDescent="0.45">
      <c r="I193" t="s">
        <v>180</v>
      </c>
      <c r="J193" t="s">
        <v>305</v>
      </c>
      <c r="K193">
        <v>1.2969294220007118E-2</v>
      </c>
      <c r="L193" t="s">
        <v>154</v>
      </c>
      <c r="N193" t="s">
        <v>209</v>
      </c>
      <c r="O193" t="s">
        <v>305</v>
      </c>
      <c r="P193">
        <v>2.4111083433786061E-2</v>
      </c>
      <c r="Q193" t="s">
        <v>154</v>
      </c>
      <c r="S193" t="s">
        <v>233</v>
      </c>
      <c r="T193" t="s">
        <v>305</v>
      </c>
      <c r="U193">
        <v>2.1519181989857784E-2</v>
      </c>
      <c r="V193" t="s">
        <v>154</v>
      </c>
    </row>
    <row r="194" spans="9:22" x14ac:dyDescent="0.45">
      <c r="I194" t="s">
        <v>180</v>
      </c>
      <c r="J194" t="s">
        <v>306</v>
      </c>
      <c r="K194">
        <v>0.2870540536916083</v>
      </c>
      <c r="L194" t="s">
        <v>154</v>
      </c>
      <c r="N194" t="s">
        <v>209</v>
      </c>
      <c r="O194" t="s">
        <v>306</v>
      </c>
      <c r="P194">
        <v>4.479997085130772E-2</v>
      </c>
      <c r="Q194" t="s">
        <v>154</v>
      </c>
      <c r="S194" t="s">
        <v>233</v>
      </c>
      <c r="T194" t="s">
        <v>306</v>
      </c>
      <c r="U194">
        <v>5.257645985617812E-2</v>
      </c>
      <c r="V194" t="s">
        <v>154</v>
      </c>
    </row>
    <row r="195" spans="9:22" x14ac:dyDescent="0.45">
      <c r="I195" t="s">
        <v>180</v>
      </c>
      <c r="J195" t="s">
        <v>307</v>
      </c>
      <c r="K195">
        <v>0</v>
      </c>
      <c r="L195" t="s">
        <v>154</v>
      </c>
      <c r="N195" t="s">
        <v>209</v>
      </c>
      <c r="O195" t="s">
        <v>307</v>
      </c>
      <c r="P195">
        <v>4.4459202150207676E-2</v>
      </c>
      <c r="Q195" t="s">
        <v>154</v>
      </c>
      <c r="S195" t="s">
        <v>233</v>
      </c>
      <c r="T195" t="s">
        <v>307</v>
      </c>
      <c r="U195">
        <v>6.502492733282654E-2</v>
      </c>
      <c r="V195" t="s">
        <v>154</v>
      </c>
    </row>
    <row r="196" spans="9:22" x14ac:dyDescent="0.45">
      <c r="I196" t="s">
        <v>180</v>
      </c>
      <c r="J196" t="s">
        <v>308</v>
      </c>
      <c r="K196">
        <v>2.4713490022682597E-2</v>
      </c>
      <c r="L196" t="s">
        <v>154</v>
      </c>
      <c r="N196" t="s">
        <v>209</v>
      </c>
      <c r="O196" t="s">
        <v>308</v>
      </c>
      <c r="P196">
        <v>9.0519069275151395E-3</v>
      </c>
      <c r="Q196" t="s">
        <v>154</v>
      </c>
      <c r="S196" t="s">
        <v>233</v>
      </c>
      <c r="T196" t="s">
        <v>308</v>
      </c>
      <c r="U196">
        <v>9.9242771260566725E-3</v>
      </c>
      <c r="V196" t="s">
        <v>154</v>
      </c>
    </row>
    <row r="197" spans="9:22" x14ac:dyDescent="0.45">
      <c r="I197" t="s">
        <v>180</v>
      </c>
      <c r="J197" t="s">
        <v>309</v>
      </c>
      <c r="K197">
        <v>0.25414066477070291</v>
      </c>
      <c r="L197" t="s">
        <v>154</v>
      </c>
      <c r="N197" t="s">
        <v>209</v>
      </c>
      <c r="O197" t="s">
        <v>309</v>
      </c>
      <c r="P197">
        <v>8.4037050594203189E-2</v>
      </c>
      <c r="Q197" t="s">
        <v>154</v>
      </c>
      <c r="S197" t="s">
        <v>233</v>
      </c>
      <c r="T197" t="s">
        <v>309</v>
      </c>
      <c r="U197">
        <v>7.0632801884563473E-2</v>
      </c>
      <c r="V197" t="s">
        <v>154</v>
      </c>
    </row>
    <row r="198" spans="9:22" x14ac:dyDescent="0.45">
      <c r="I198" t="s">
        <v>180</v>
      </c>
      <c r="J198" t="s">
        <v>310</v>
      </c>
      <c r="K198">
        <v>0</v>
      </c>
      <c r="L198" t="s">
        <v>154</v>
      </c>
      <c r="N198" t="s">
        <v>209</v>
      </c>
      <c r="O198" t="s">
        <v>310</v>
      </c>
      <c r="P198">
        <v>8.1309670463741615E-2</v>
      </c>
      <c r="Q198" t="s">
        <v>154</v>
      </c>
      <c r="S198" t="s">
        <v>233</v>
      </c>
      <c r="T198" t="s">
        <v>310</v>
      </c>
      <c r="U198">
        <v>7.6445150197687856E-2</v>
      </c>
      <c r="V198" t="s">
        <v>154</v>
      </c>
    </row>
    <row r="199" spans="9:22" x14ac:dyDescent="0.45">
      <c r="I199" t="s">
        <v>180</v>
      </c>
      <c r="J199" t="s">
        <v>311</v>
      </c>
      <c r="K199">
        <v>1.882262491493842E-2</v>
      </c>
      <c r="L199" t="s">
        <v>154</v>
      </c>
      <c r="N199" t="s">
        <v>209</v>
      </c>
      <c r="O199" t="s">
        <v>311</v>
      </c>
      <c r="P199">
        <v>1.3461738795212161E-2</v>
      </c>
      <c r="Q199" t="s">
        <v>154</v>
      </c>
      <c r="S199" t="s">
        <v>233</v>
      </c>
      <c r="T199" t="s">
        <v>311</v>
      </c>
      <c r="U199">
        <v>1.1974007710791778E-2</v>
      </c>
      <c r="V199" t="s">
        <v>154</v>
      </c>
    </row>
    <row r="200" spans="9:22" x14ac:dyDescent="0.45">
      <c r="I200" t="s">
        <v>180</v>
      </c>
      <c r="J200" t="s">
        <v>312</v>
      </c>
      <c r="K200">
        <v>0.16882022952815734</v>
      </c>
      <c r="L200" t="s">
        <v>154</v>
      </c>
      <c r="N200" t="s">
        <v>209</v>
      </c>
      <c r="O200" t="s">
        <v>312</v>
      </c>
      <c r="P200">
        <v>0.21883541478500515</v>
      </c>
      <c r="Q200" t="s">
        <v>154</v>
      </c>
      <c r="S200" t="s">
        <v>233</v>
      </c>
      <c r="T200" t="s">
        <v>312</v>
      </c>
      <c r="U200">
        <v>0.20213409310416297</v>
      </c>
      <c r="V200" t="s">
        <v>154</v>
      </c>
    </row>
    <row r="201" spans="9:22" x14ac:dyDescent="0.45">
      <c r="I201" t="s">
        <v>180</v>
      </c>
      <c r="J201" t="s">
        <v>313</v>
      </c>
      <c r="K201">
        <v>0</v>
      </c>
      <c r="L201" t="s">
        <v>154</v>
      </c>
      <c r="N201" t="s">
        <v>209</v>
      </c>
      <c r="O201" t="s">
        <v>313</v>
      </c>
      <c r="P201">
        <v>0.17707490717373964</v>
      </c>
      <c r="Q201" t="s">
        <v>154</v>
      </c>
      <c r="S201" t="s">
        <v>233</v>
      </c>
      <c r="T201" t="s">
        <v>313</v>
      </c>
      <c r="U201">
        <v>0.2024889880009593</v>
      </c>
      <c r="V201" t="s">
        <v>154</v>
      </c>
    </row>
    <row r="202" spans="9:22" x14ac:dyDescent="0.45">
      <c r="I202" t="s">
        <v>180</v>
      </c>
      <c r="J202" t="s">
        <v>314</v>
      </c>
      <c r="K202">
        <v>1.6233086695365731E-2</v>
      </c>
      <c r="L202" t="s">
        <v>154</v>
      </c>
      <c r="N202" t="s">
        <v>209</v>
      </c>
      <c r="O202" t="s">
        <v>314</v>
      </c>
      <c r="P202">
        <v>3.7328918598199416E-2</v>
      </c>
      <c r="Q202" t="s">
        <v>154</v>
      </c>
      <c r="S202" t="s">
        <v>233</v>
      </c>
      <c r="T202" t="s">
        <v>314</v>
      </c>
      <c r="U202">
        <v>3.3724652945708512E-2</v>
      </c>
      <c r="V202" t="s">
        <v>154</v>
      </c>
    </row>
    <row r="203" spans="9:22" x14ac:dyDescent="0.45">
      <c r="I203" t="s">
        <v>181</v>
      </c>
      <c r="J203" t="s">
        <v>303</v>
      </c>
      <c r="K203">
        <v>0.21851976462165798</v>
      </c>
      <c r="L203" t="s">
        <v>154</v>
      </c>
      <c r="N203" t="s">
        <v>210</v>
      </c>
      <c r="O203" t="s">
        <v>303</v>
      </c>
      <c r="P203">
        <v>0.12543615326365676</v>
      </c>
      <c r="Q203" t="s">
        <v>154</v>
      </c>
      <c r="S203" t="s">
        <v>234</v>
      </c>
      <c r="T203" t="s">
        <v>303</v>
      </c>
      <c r="U203">
        <v>0.12848950761643627</v>
      </c>
      <c r="V203" t="s">
        <v>154</v>
      </c>
    </row>
    <row r="204" spans="9:22" x14ac:dyDescent="0.45">
      <c r="I204" t="s">
        <v>181</v>
      </c>
      <c r="J204" t="s">
        <v>304</v>
      </c>
      <c r="K204">
        <v>0</v>
      </c>
      <c r="L204" t="s">
        <v>154</v>
      </c>
      <c r="N204" t="s">
        <v>210</v>
      </c>
      <c r="O204" t="s">
        <v>304</v>
      </c>
      <c r="P204">
        <v>0.12413770102743103</v>
      </c>
      <c r="Q204" t="s">
        <v>154</v>
      </c>
      <c r="S204" t="s">
        <v>234</v>
      </c>
      <c r="T204" t="s">
        <v>304</v>
      </c>
      <c r="U204">
        <v>0.14174076649182904</v>
      </c>
      <c r="V204" t="s">
        <v>154</v>
      </c>
    </row>
    <row r="205" spans="9:22" x14ac:dyDescent="0.45">
      <c r="I205" t="s">
        <v>181</v>
      </c>
      <c r="J205" t="s">
        <v>305</v>
      </c>
      <c r="K205">
        <v>1.3969274033079565E-2</v>
      </c>
      <c r="L205" t="s">
        <v>154</v>
      </c>
      <c r="N205" t="s">
        <v>210</v>
      </c>
      <c r="O205" t="s">
        <v>305</v>
      </c>
      <c r="P205">
        <v>2.2435473071454052E-2</v>
      </c>
      <c r="Q205" t="s">
        <v>154</v>
      </c>
      <c r="S205" t="s">
        <v>234</v>
      </c>
      <c r="T205" t="s">
        <v>305</v>
      </c>
      <c r="U205">
        <v>2.4715444153370604E-2</v>
      </c>
      <c r="V205" t="s">
        <v>154</v>
      </c>
    </row>
    <row r="206" spans="9:22" x14ac:dyDescent="0.45">
      <c r="I206" t="s">
        <v>181</v>
      </c>
      <c r="J206" t="s">
        <v>306</v>
      </c>
      <c r="K206">
        <v>0.27289410934230846</v>
      </c>
      <c r="L206" t="s">
        <v>154</v>
      </c>
      <c r="N206" t="s">
        <v>210</v>
      </c>
      <c r="O206" t="s">
        <v>306</v>
      </c>
      <c r="P206">
        <v>5.6082710145656578E-2</v>
      </c>
      <c r="Q206" t="s">
        <v>154</v>
      </c>
      <c r="S206" t="s">
        <v>234</v>
      </c>
      <c r="T206" t="s">
        <v>306</v>
      </c>
      <c r="U206">
        <v>5.8792443576391469E-2</v>
      </c>
      <c r="V206" t="s">
        <v>154</v>
      </c>
    </row>
    <row r="207" spans="9:22" x14ac:dyDescent="0.45">
      <c r="I207" t="s">
        <v>181</v>
      </c>
      <c r="J207" t="s">
        <v>307</v>
      </c>
      <c r="K207">
        <v>0</v>
      </c>
      <c r="L207" t="s">
        <v>154</v>
      </c>
      <c r="N207" t="s">
        <v>210</v>
      </c>
      <c r="O207" t="s">
        <v>307</v>
      </c>
      <c r="P207">
        <v>6.0991763547624041E-2</v>
      </c>
      <c r="Q207" t="s">
        <v>154</v>
      </c>
      <c r="S207" t="s">
        <v>234</v>
      </c>
      <c r="T207" t="s">
        <v>307</v>
      </c>
      <c r="U207">
        <v>7.8049849119706943E-2</v>
      </c>
      <c r="V207" t="s">
        <v>154</v>
      </c>
    </row>
    <row r="208" spans="9:22" x14ac:dyDescent="0.45">
      <c r="I208" t="s">
        <v>181</v>
      </c>
      <c r="J208" t="s">
        <v>308</v>
      </c>
      <c r="K208">
        <v>2.6358451180803644E-2</v>
      </c>
      <c r="L208" t="s">
        <v>154</v>
      </c>
      <c r="N208" t="s">
        <v>210</v>
      </c>
      <c r="O208" t="s">
        <v>308</v>
      </c>
      <c r="P208">
        <v>1.1899010343421361E-2</v>
      </c>
      <c r="Q208" t="s">
        <v>154</v>
      </c>
      <c r="S208" t="s">
        <v>234</v>
      </c>
      <c r="T208" t="s">
        <v>308</v>
      </c>
      <c r="U208">
        <v>1.0695653329480007E-2</v>
      </c>
      <c r="V208" t="s">
        <v>154</v>
      </c>
    </row>
    <row r="209" spans="9:22" x14ac:dyDescent="0.45">
      <c r="I209" t="s">
        <v>181</v>
      </c>
      <c r="J209" t="s">
        <v>309</v>
      </c>
      <c r="K209">
        <v>0.22699138467024171</v>
      </c>
      <c r="L209" t="s">
        <v>154</v>
      </c>
      <c r="N209" t="s">
        <v>210</v>
      </c>
      <c r="O209" t="s">
        <v>309</v>
      </c>
      <c r="P209">
        <v>6.1590888250021111E-2</v>
      </c>
      <c r="Q209" t="s">
        <v>154</v>
      </c>
      <c r="S209" t="s">
        <v>234</v>
      </c>
      <c r="T209" t="s">
        <v>309</v>
      </c>
      <c r="U209">
        <v>6.8002954084338776E-2</v>
      </c>
      <c r="V209" t="s">
        <v>154</v>
      </c>
    </row>
    <row r="210" spans="9:22" x14ac:dyDescent="0.45">
      <c r="I210" t="s">
        <v>181</v>
      </c>
      <c r="J210" t="s">
        <v>310</v>
      </c>
      <c r="K210">
        <v>6.273225775059945E-5</v>
      </c>
      <c r="L210" t="s">
        <v>154</v>
      </c>
      <c r="N210" t="s">
        <v>210</v>
      </c>
      <c r="O210" t="s">
        <v>310</v>
      </c>
      <c r="P210">
        <v>6.2034301112303077E-2</v>
      </c>
      <c r="Q210" t="s">
        <v>154</v>
      </c>
      <c r="S210" t="s">
        <v>234</v>
      </c>
      <c r="T210" t="s">
        <v>310</v>
      </c>
      <c r="U210">
        <v>7.2176489412501238E-2</v>
      </c>
      <c r="V210" t="s">
        <v>154</v>
      </c>
    </row>
    <row r="211" spans="9:22" x14ac:dyDescent="0.45">
      <c r="I211" t="s">
        <v>181</v>
      </c>
      <c r="J211" t="s">
        <v>311</v>
      </c>
      <c r="K211">
        <v>1.605074386713732E-2</v>
      </c>
      <c r="L211" t="s">
        <v>154</v>
      </c>
      <c r="N211" t="s">
        <v>210</v>
      </c>
      <c r="O211" t="s">
        <v>311</v>
      </c>
      <c r="P211">
        <v>1.1016069385323205E-2</v>
      </c>
      <c r="Q211" t="s">
        <v>154</v>
      </c>
      <c r="S211" t="s">
        <v>234</v>
      </c>
      <c r="T211" t="s">
        <v>311</v>
      </c>
      <c r="U211">
        <v>1.112341824653814E-2</v>
      </c>
      <c r="V211" t="s">
        <v>154</v>
      </c>
    </row>
    <row r="212" spans="9:22" x14ac:dyDescent="0.45">
      <c r="I212" t="s">
        <v>181</v>
      </c>
      <c r="J212" t="s">
        <v>312</v>
      </c>
      <c r="K212">
        <v>0.20537987324736634</v>
      </c>
      <c r="L212" t="s">
        <v>154</v>
      </c>
      <c r="N212" t="s">
        <v>210</v>
      </c>
      <c r="O212" t="s">
        <v>312</v>
      </c>
      <c r="P212">
        <v>0.22039480969866754</v>
      </c>
      <c r="Q212" t="s">
        <v>154</v>
      </c>
      <c r="S212" t="s">
        <v>234</v>
      </c>
      <c r="T212" t="s">
        <v>312</v>
      </c>
      <c r="U212">
        <v>0.18200597409904209</v>
      </c>
      <c r="V212" t="s">
        <v>154</v>
      </c>
    </row>
    <row r="213" spans="9:22" x14ac:dyDescent="0.45">
      <c r="I213" t="s">
        <v>181</v>
      </c>
      <c r="J213" t="s">
        <v>313</v>
      </c>
      <c r="K213">
        <v>0</v>
      </c>
      <c r="L213" t="s">
        <v>154</v>
      </c>
      <c r="N213" t="s">
        <v>210</v>
      </c>
      <c r="O213" t="s">
        <v>313</v>
      </c>
      <c r="P213">
        <v>0.20536585166070107</v>
      </c>
      <c r="Q213" t="s">
        <v>154</v>
      </c>
      <c r="S213" t="s">
        <v>234</v>
      </c>
      <c r="T213" t="s">
        <v>313</v>
      </c>
      <c r="U213">
        <v>0.19138907943221559</v>
      </c>
      <c r="V213" t="s">
        <v>154</v>
      </c>
    </row>
    <row r="214" spans="9:22" x14ac:dyDescent="0.45">
      <c r="I214" t="s">
        <v>181</v>
      </c>
      <c r="J214" t="s">
        <v>314</v>
      </c>
      <c r="K214">
        <v>1.9773666779654794E-2</v>
      </c>
      <c r="L214" t="s">
        <v>154</v>
      </c>
      <c r="N214" t="s">
        <v>210</v>
      </c>
      <c r="O214" t="s">
        <v>314</v>
      </c>
      <c r="P214">
        <v>3.8615268493740522E-2</v>
      </c>
      <c r="Q214" t="s">
        <v>154</v>
      </c>
      <c r="S214" t="s">
        <v>234</v>
      </c>
      <c r="T214" t="s">
        <v>314</v>
      </c>
      <c r="U214">
        <v>3.2818420438154187E-2</v>
      </c>
      <c r="V214" t="s">
        <v>154</v>
      </c>
    </row>
    <row r="215" spans="9:22" x14ac:dyDescent="0.45">
      <c r="I215" t="s">
        <v>182</v>
      </c>
      <c r="J215" t="s">
        <v>303</v>
      </c>
      <c r="K215">
        <v>0.23791792313742782</v>
      </c>
      <c r="L215" t="s">
        <v>154</v>
      </c>
      <c r="N215" t="s">
        <v>211</v>
      </c>
      <c r="O215" t="s">
        <v>303</v>
      </c>
      <c r="P215">
        <v>0.13112302563689621</v>
      </c>
      <c r="Q215" t="s">
        <v>154</v>
      </c>
      <c r="S215" t="s">
        <v>235</v>
      </c>
      <c r="T215" t="s">
        <v>303</v>
      </c>
      <c r="U215">
        <v>0.12629674313131123</v>
      </c>
      <c r="V215" t="s">
        <v>154</v>
      </c>
    </row>
    <row r="216" spans="9:22" x14ac:dyDescent="0.45">
      <c r="I216" t="s">
        <v>182</v>
      </c>
      <c r="J216" t="s">
        <v>304</v>
      </c>
      <c r="K216">
        <v>0</v>
      </c>
      <c r="L216" t="s">
        <v>154</v>
      </c>
      <c r="N216" t="s">
        <v>211</v>
      </c>
      <c r="O216" t="s">
        <v>304</v>
      </c>
      <c r="P216">
        <v>0.13393253401642746</v>
      </c>
      <c r="Q216" t="s">
        <v>154</v>
      </c>
      <c r="S216" t="s">
        <v>235</v>
      </c>
      <c r="T216" t="s">
        <v>304</v>
      </c>
      <c r="U216">
        <v>0.14569092928456259</v>
      </c>
      <c r="V216" t="s">
        <v>154</v>
      </c>
    </row>
    <row r="217" spans="9:22" x14ac:dyDescent="0.45">
      <c r="I217" t="s">
        <v>182</v>
      </c>
      <c r="J217" t="s">
        <v>305</v>
      </c>
      <c r="K217">
        <v>1.7529412324029069E-2</v>
      </c>
      <c r="L217" t="s">
        <v>154</v>
      </c>
      <c r="N217" t="s">
        <v>211</v>
      </c>
      <c r="O217" t="s">
        <v>305</v>
      </c>
      <c r="P217">
        <v>2.3663939832572686E-2</v>
      </c>
      <c r="Q217" t="s">
        <v>154</v>
      </c>
      <c r="S217" t="s">
        <v>235</v>
      </c>
      <c r="T217" t="s">
        <v>305</v>
      </c>
      <c r="U217">
        <v>2.8628135878201608E-2</v>
      </c>
      <c r="V217" t="s">
        <v>154</v>
      </c>
    </row>
    <row r="218" spans="9:22" x14ac:dyDescent="0.45">
      <c r="I218" t="s">
        <v>182</v>
      </c>
      <c r="J218" t="s">
        <v>306</v>
      </c>
      <c r="K218">
        <v>0.25701854861301238</v>
      </c>
      <c r="L218" t="s">
        <v>154</v>
      </c>
      <c r="N218" t="s">
        <v>211</v>
      </c>
      <c r="O218" t="s">
        <v>306</v>
      </c>
      <c r="P218">
        <v>6.3306539736963763E-2</v>
      </c>
      <c r="Q218" t="s">
        <v>154</v>
      </c>
      <c r="S218" t="s">
        <v>235</v>
      </c>
      <c r="T218" t="s">
        <v>306</v>
      </c>
      <c r="U218">
        <v>7.6869200434637672E-2</v>
      </c>
      <c r="V218" t="s">
        <v>154</v>
      </c>
    </row>
    <row r="219" spans="9:22" x14ac:dyDescent="0.45">
      <c r="I219" t="s">
        <v>182</v>
      </c>
      <c r="J219" t="s">
        <v>307</v>
      </c>
      <c r="K219">
        <v>0</v>
      </c>
      <c r="L219" t="s">
        <v>154</v>
      </c>
      <c r="N219" t="s">
        <v>211</v>
      </c>
      <c r="O219" t="s">
        <v>307</v>
      </c>
      <c r="P219">
        <v>7.5062555687855734E-2</v>
      </c>
      <c r="Q219" t="s">
        <v>154</v>
      </c>
      <c r="S219" t="s">
        <v>235</v>
      </c>
      <c r="T219" t="s">
        <v>307</v>
      </c>
      <c r="U219">
        <v>9.1265485298561572E-2</v>
      </c>
      <c r="V219" t="s">
        <v>154</v>
      </c>
    </row>
    <row r="220" spans="9:22" x14ac:dyDescent="0.45">
      <c r="I220" t="s">
        <v>182</v>
      </c>
      <c r="J220" t="s">
        <v>308</v>
      </c>
      <c r="K220">
        <v>2.692766631914615E-2</v>
      </c>
      <c r="L220" t="s">
        <v>154</v>
      </c>
      <c r="N220" t="s">
        <v>211</v>
      </c>
      <c r="O220" t="s">
        <v>308</v>
      </c>
      <c r="P220">
        <v>1.2085839523334684E-2</v>
      </c>
      <c r="Q220" t="s">
        <v>154</v>
      </c>
      <c r="S220" t="s">
        <v>235</v>
      </c>
      <c r="T220" t="s">
        <v>308</v>
      </c>
      <c r="U220">
        <v>1.6085439894671521E-2</v>
      </c>
      <c r="V220" t="s">
        <v>154</v>
      </c>
    </row>
    <row r="221" spans="9:22" x14ac:dyDescent="0.45">
      <c r="I221" t="s">
        <v>182</v>
      </c>
      <c r="J221" t="s">
        <v>309</v>
      </c>
      <c r="K221">
        <v>0.25510134620829616</v>
      </c>
      <c r="L221" t="s">
        <v>154</v>
      </c>
      <c r="N221" t="s">
        <v>211</v>
      </c>
      <c r="O221" t="s">
        <v>309</v>
      </c>
      <c r="P221">
        <v>6.9155942605798909E-2</v>
      </c>
      <c r="Q221" t="s">
        <v>154</v>
      </c>
      <c r="S221" t="s">
        <v>235</v>
      </c>
      <c r="T221" t="s">
        <v>309</v>
      </c>
      <c r="U221">
        <v>7.2129262691529528E-2</v>
      </c>
      <c r="V221" t="s">
        <v>154</v>
      </c>
    </row>
    <row r="222" spans="9:22" x14ac:dyDescent="0.45">
      <c r="I222" t="s">
        <v>182</v>
      </c>
      <c r="J222" t="s">
        <v>310</v>
      </c>
      <c r="K222">
        <v>4.5799695098755456E-4</v>
      </c>
      <c r="L222" t="s">
        <v>154</v>
      </c>
      <c r="N222" t="s">
        <v>211</v>
      </c>
      <c r="O222" t="s">
        <v>310</v>
      </c>
      <c r="P222">
        <v>6.8964577552265635E-2</v>
      </c>
      <c r="Q222" t="s">
        <v>154</v>
      </c>
      <c r="S222" t="s">
        <v>235</v>
      </c>
      <c r="T222" t="s">
        <v>310</v>
      </c>
      <c r="U222">
        <v>8.4210398918553711E-2</v>
      </c>
      <c r="V222" t="s">
        <v>154</v>
      </c>
    </row>
    <row r="223" spans="9:22" x14ac:dyDescent="0.45">
      <c r="I223" t="s">
        <v>182</v>
      </c>
      <c r="J223" t="s">
        <v>311</v>
      </c>
      <c r="K223">
        <v>2.8768350293464921E-2</v>
      </c>
      <c r="L223" t="s">
        <v>154</v>
      </c>
      <c r="N223" t="s">
        <v>211</v>
      </c>
      <c r="O223" t="s">
        <v>311</v>
      </c>
      <c r="P223">
        <v>1.0246872056199547E-2</v>
      </c>
      <c r="Q223" t="s">
        <v>154</v>
      </c>
      <c r="S223" t="s">
        <v>235</v>
      </c>
      <c r="T223" t="s">
        <v>311</v>
      </c>
      <c r="U223">
        <v>1.6397669742581261E-2</v>
      </c>
      <c r="V223" t="s">
        <v>154</v>
      </c>
    </row>
    <row r="224" spans="9:22" x14ac:dyDescent="0.45">
      <c r="I224" t="s">
        <v>182</v>
      </c>
      <c r="J224" t="s">
        <v>312</v>
      </c>
      <c r="K224">
        <v>0.16278392156679103</v>
      </c>
      <c r="L224" t="s">
        <v>154</v>
      </c>
      <c r="N224" t="s">
        <v>211</v>
      </c>
      <c r="O224" t="s">
        <v>312</v>
      </c>
      <c r="P224">
        <v>0.190748205391301</v>
      </c>
      <c r="Q224" t="s">
        <v>154</v>
      </c>
      <c r="S224" t="s">
        <v>235</v>
      </c>
      <c r="T224" t="s">
        <v>312</v>
      </c>
      <c r="U224">
        <v>0.14648097520092901</v>
      </c>
      <c r="V224" t="s">
        <v>154</v>
      </c>
    </row>
    <row r="225" spans="9:22" x14ac:dyDescent="0.45">
      <c r="I225" t="s">
        <v>182</v>
      </c>
      <c r="J225" t="s">
        <v>313</v>
      </c>
      <c r="K225">
        <v>0</v>
      </c>
      <c r="L225" t="s">
        <v>154</v>
      </c>
      <c r="N225" t="s">
        <v>211</v>
      </c>
      <c r="O225" t="s">
        <v>313</v>
      </c>
      <c r="P225">
        <v>0.18764078545902521</v>
      </c>
      <c r="Q225" t="s">
        <v>154</v>
      </c>
      <c r="S225" t="s">
        <v>235</v>
      </c>
      <c r="T225" t="s">
        <v>313</v>
      </c>
      <c r="U225">
        <v>0.16615642796652022</v>
      </c>
      <c r="V225" t="s">
        <v>154</v>
      </c>
    </row>
    <row r="226" spans="9:22" x14ac:dyDescent="0.45">
      <c r="I226" t="s">
        <v>182</v>
      </c>
      <c r="J226" t="s">
        <v>314</v>
      </c>
      <c r="K226">
        <v>1.3494834586842107E-2</v>
      </c>
      <c r="L226" t="s">
        <v>154</v>
      </c>
      <c r="N226" t="s">
        <v>211</v>
      </c>
      <c r="O226" t="s">
        <v>314</v>
      </c>
      <c r="P226">
        <v>3.4069182501358458E-2</v>
      </c>
      <c r="Q226" t="s">
        <v>154</v>
      </c>
      <c r="S226" t="s">
        <v>235</v>
      </c>
      <c r="T226" t="s">
        <v>314</v>
      </c>
      <c r="U226">
        <v>2.9789331557935835E-2</v>
      </c>
      <c r="V226" t="s">
        <v>154</v>
      </c>
    </row>
    <row r="227" spans="9:22" x14ac:dyDescent="0.45">
      <c r="I227" t="s">
        <v>183</v>
      </c>
      <c r="J227" t="s">
        <v>303</v>
      </c>
      <c r="K227">
        <v>0.21577340643578011</v>
      </c>
      <c r="L227" t="s">
        <v>154</v>
      </c>
      <c r="N227" t="s">
        <v>212</v>
      </c>
      <c r="O227" t="s">
        <v>303</v>
      </c>
      <c r="P227">
        <v>0.12916127827571139</v>
      </c>
      <c r="Q227" t="s">
        <v>154</v>
      </c>
      <c r="S227" t="s">
        <v>236</v>
      </c>
      <c r="T227" t="s">
        <v>303</v>
      </c>
      <c r="U227">
        <v>0.14169588307775285</v>
      </c>
      <c r="V227" t="s">
        <v>154</v>
      </c>
    </row>
    <row r="228" spans="9:22" x14ac:dyDescent="0.45">
      <c r="I228" t="s">
        <v>183</v>
      </c>
      <c r="J228" t="s">
        <v>304</v>
      </c>
      <c r="K228">
        <v>0</v>
      </c>
      <c r="L228" t="s">
        <v>154</v>
      </c>
      <c r="N228" t="s">
        <v>212</v>
      </c>
      <c r="O228" t="s">
        <v>304</v>
      </c>
      <c r="P228">
        <v>0.12194960638192305</v>
      </c>
      <c r="Q228" t="s">
        <v>154</v>
      </c>
      <c r="S228" t="s">
        <v>236</v>
      </c>
      <c r="T228" t="s">
        <v>304</v>
      </c>
      <c r="U228">
        <v>0.13931452714868939</v>
      </c>
      <c r="V228" t="s">
        <v>154</v>
      </c>
    </row>
    <row r="229" spans="9:22" x14ac:dyDescent="0.45">
      <c r="I229" t="s">
        <v>183</v>
      </c>
      <c r="J229" t="s">
        <v>305</v>
      </c>
      <c r="K229">
        <v>1.4269199419527971E-2</v>
      </c>
      <c r="L229" t="s">
        <v>154</v>
      </c>
      <c r="N229" t="s">
        <v>212</v>
      </c>
      <c r="O229" t="s">
        <v>305</v>
      </c>
      <c r="P229">
        <v>2.2679778188010324E-2</v>
      </c>
      <c r="Q229" t="s">
        <v>154</v>
      </c>
      <c r="S229" t="s">
        <v>236</v>
      </c>
      <c r="T229" t="s">
        <v>305</v>
      </c>
      <c r="U229">
        <v>2.5697458743015635E-2</v>
      </c>
      <c r="V229" t="s">
        <v>154</v>
      </c>
    </row>
    <row r="230" spans="9:22" x14ac:dyDescent="0.45">
      <c r="I230" t="s">
        <v>183</v>
      </c>
      <c r="J230" t="s">
        <v>306</v>
      </c>
      <c r="K230">
        <v>0.28272887547775633</v>
      </c>
      <c r="L230" t="s">
        <v>154</v>
      </c>
      <c r="N230" t="s">
        <v>212</v>
      </c>
      <c r="O230" t="s">
        <v>306</v>
      </c>
      <c r="P230">
        <v>7.3025204218933965E-2</v>
      </c>
      <c r="Q230" t="s">
        <v>154</v>
      </c>
      <c r="S230" t="s">
        <v>236</v>
      </c>
      <c r="T230" t="s">
        <v>306</v>
      </c>
      <c r="U230">
        <v>6.9488094949022805E-2</v>
      </c>
      <c r="V230" t="s">
        <v>154</v>
      </c>
    </row>
    <row r="231" spans="9:22" x14ac:dyDescent="0.45">
      <c r="I231" t="s">
        <v>183</v>
      </c>
      <c r="J231" t="s">
        <v>307</v>
      </c>
      <c r="K231">
        <v>0</v>
      </c>
      <c r="L231" t="s">
        <v>154</v>
      </c>
      <c r="N231" t="s">
        <v>212</v>
      </c>
      <c r="O231" t="s">
        <v>307</v>
      </c>
      <c r="P231">
        <v>6.7646058693625888E-2</v>
      </c>
      <c r="Q231" t="s">
        <v>154</v>
      </c>
      <c r="S231" t="s">
        <v>236</v>
      </c>
      <c r="T231" t="s">
        <v>307</v>
      </c>
      <c r="U231">
        <v>8.1985690296443009E-2</v>
      </c>
      <c r="V231" t="s">
        <v>154</v>
      </c>
    </row>
    <row r="232" spans="9:22" x14ac:dyDescent="0.45">
      <c r="I232" t="s">
        <v>183</v>
      </c>
      <c r="J232" t="s">
        <v>308</v>
      </c>
      <c r="K232">
        <v>2.5040767573218662E-2</v>
      </c>
      <c r="L232" t="s">
        <v>154</v>
      </c>
      <c r="N232" t="s">
        <v>212</v>
      </c>
      <c r="O232" t="s">
        <v>308</v>
      </c>
      <c r="P232">
        <v>1.167496668425678E-2</v>
      </c>
      <c r="Q232" t="s">
        <v>154</v>
      </c>
      <c r="S232" t="s">
        <v>236</v>
      </c>
      <c r="T232" t="s">
        <v>308</v>
      </c>
      <c r="U232">
        <v>1.2916012437340205E-2</v>
      </c>
      <c r="V232" t="s">
        <v>154</v>
      </c>
    </row>
    <row r="233" spans="9:22" x14ac:dyDescent="0.45">
      <c r="I233" t="s">
        <v>183</v>
      </c>
      <c r="J233" t="s">
        <v>309</v>
      </c>
      <c r="K233">
        <v>0.25400607871989778</v>
      </c>
      <c r="L233" t="s">
        <v>154</v>
      </c>
      <c r="N233" t="s">
        <v>212</v>
      </c>
      <c r="O233" t="s">
        <v>309</v>
      </c>
      <c r="P233">
        <v>7.6063744899217967E-2</v>
      </c>
      <c r="Q233" t="s">
        <v>154</v>
      </c>
      <c r="S233" t="s">
        <v>236</v>
      </c>
      <c r="T233" t="s">
        <v>309</v>
      </c>
      <c r="U233">
        <v>6.7890808656747598E-2</v>
      </c>
      <c r="V233" t="s">
        <v>154</v>
      </c>
    </row>
    <row r="234" spans="9:22" x14ac:dyDescent="0.45">
      <c r="I234" t="s">
        <v>183</v>
      </c>
      <c r="J234" t="s">
        <v>310</v>
      </c>
      <c r="K234">
        <v>3.1499117353136961E-6</v>
      </c>
      <c r="L234" t="s">
        <v>154</v>
      </c>
      <c r="N234" t="s">
        <v>212</v>
      </c>
      <c r="O234" t="s">
        <v>310</v>
      </c>
      <c r="P234">
        <v>7.3846445289359006E-2</v>
      </c>
      <c r="Q234" t="s">
        <v>154</v>
      </c>
      <c r="S234" t="s">
        <v>236</v>
      </c>
      <c r="T234" t="s">
        <v>310</v>
      </c>
      <c r="U234">
        <v>6.9938771559016677E-2</v>
      </c>
      <c r="V234" t="s">
        <v>154</v>
      </c>
    </row>
    <row r="235" spans="9:22" x14ac:dyDescent="0.45">
      <c r="I235" t="s">
        <v>183</v>
      </c>
      <c r="J235" t="s">
        <v>311</v>
      </c>
      <c r="K235">
        <v>2.1191319696996946E-2</v>
      </c>
      <c r="L235" t="s">
        <v>154</v>
      </c>
      <c r="N235" t="s">
        <v>212</v>
      </c>
      <c r="O235" t="s">
        <v>311</v>
      </c>
      <c r="P235">
        <v>1.392250885318966E-2</v>
      </c>
      <c r="Q235" t="s">
        <v>154</v>
      </c>
      <c r="S235" t="s">
        <v>236</v>
      </c>
      <c r="T235" t="s">
        <v>311</v>
      </c>
      <c r="U235">
        <v>1.084315656450288E-2</v>
      </c>
      <c r="V235" t="s">
        <v>154</v>
      </c>
    </row>
    <row r="236" spans="9:22" x14ac:dyDescent="0.45">
      <c r="I236" t="s">
        <v>183</v>
      </c>
      <c r="J236" t="s">
        <v>312</v>
      </c>
      <c r="K236">
        <v>0.17182157192954378</v>
      </c>
      <c r="L236" t="s">
        <v>154</v>
      </c>
      <c r="N236" t="s">
        <v>212</v>
      </c>
      <c r="O236" t="s">
        <v>312</v>
      </c>
      <c r="P236">
        <v>0.19082870434918325</v>
      </c>
      <c r="Q236" t="s">
        <v>154</v>
      </c>
      <c r="S236" t="s">
        <v>236</v>
      </c>
      <c r="T236" t="s">
        <v>312</v>
      </c>
      <c r="U236">
        <v>0.17211867797365224</v>
      </c>
      <c r="V236" t="s">
        <v>154</v>
      </c>
    </row>
    <row r="237" spans="9:22" x14ac:dyDescent="0.45">
      <c r="I237" t="s">
        <v>183</v>
      </c>
      <c r="J237" t="s">
        <v>313</v>
      </c>
      <c r="K237">
        <v>0</v>
      </c>
      <c r="L237" t="s">
        <v>154</v>
      </c>
      <c r="N237" t="s">
        <v>212</v>
      </c>
      <c r="O237" t="s">
        <v>313</v>
      </c>
      <c r="P237">
        <v>0.18598062495342027</v>
      </c>
      <c r="Q237" t="s">
        <v>154</v>
      </c>
      <c r="S237" t="s">
        <v>236</v>
      </c>
      <c r="T237" t="s">
        <v>313</v>
      </c>
      <c r="U237">
        <v>0.17749582139475945</v>
      </c>
      <c r="V237" t="s">
        <v>154</v>
      </c>
    </row>
    <row r="238" spans="9:22" x14ac:dyDescent="0.45">
      <c r="I238" t="s">
        <v>183</v>
      </c>
      <c r="J238" t="s">
        <v>314</v>
      </c>
      <c r="K238">
        <v>1.5165630835541212E-2</v>
      </c>
      <c r="L238" t="s">
        <v>154</v>
      </c>
      <c r="N238" t="s">
        <v>212</v>
      </c>
      <c r="O238" t="s">
        <v>314</v>
      </c>
      <c r="P238">
        <v>3.3221079213171412E-2</v>
      </c>
      <c r="Q238" t="s">
        <v>154</v>
      </c>
      <c r="S238" t="s">
        <v>236</v>
      </c>
      <c r="T238" t="s">
        <v>314</v>
      </c>
      <c r="U238">
        <v>3.0615097199055804E-2</v>
      </c>
      <c r="V238" t="s">
        <v>154</v>
      </c>
    </row>
    <row r="239" spans="9:22" x14ac:dyDescent="0.45">
      <c r="I239" t="s">
        <v>184</v>
      </c>
      <c r="J239" t="s">
        <v>303</v>
      </c>
      <c r="K239">
        <v>0.22082801292944315</v>
      </c>
      <c r="L239" t="s">
        <v>154</v>
      </c>
      <c r="N239" t="s">
        <v>213</v>
      </c>
      <c r="O239" t="s">
        <v>303</v>
      </c>
      <c r="P239">
        <v>0.115630643958004</v>
      </c>
      <c r="Q239" t="s">
        <v>154</v>
      </c>
      <c r="S239" t="s">
        <v>237</v>
      </c>
      <c r="T239" t="s">
        <v>303</v>
      </c>
      <c r="U239">
        <v>0.12015040762039983</v>
      </c>
      <c r="V239" t="s">
        <v>154</v>
      </c>
    </row>
    <row r="240" spans="9:22" x14ac:dyDescent="0.45">
      <c r="I240" t="s">
        <v>184</v>
      </c>
      <c r="J240" t="s">
        <v>304</v>
      </c>
      <c r="K240">
        <v>0</v>
      </c>
      <c r="L240" t="s">
        <v>154</v>
      </c>
      <c r="N240" t="s">
        <v>213</v>
      </c>
      <c r="O240" t="s">
        <v>304</v>
      </c>
      <c r="P240">
        <v>0.14427274282688182</v>
      </c>
      <c r="Q240" t="s">
        <v>154</v>
      </c>
      <c r="S240" t="s">
        <v>237</v>
      </c>
      <c r="T240" t="s">
        <v>304</v>
      </c>
      <c r="U240">
        <v>0.12054526028636195</v>
      </c>
      <c r="V240" t="s">
        <v>154</v>
      </c>
    </row>
    <row r="241" spans="9:22" x14ac:dyDescent="0.45">
      <c r="I241" t="s">
        <v>184</v>
      </c>
      <c r="J241" t="s">
        <v>305</v>
      </c>
      <c r="K241">
        <v>1.9266280851497126E-2</v>
      </c>
      <c r="L241" t="s">
        <v>154</v>
      </c>
      <c r="N241" t="s">
        <v>213</v>
      </c>
      <c r="O241" t="s">
        <v>305</v>
      </c>
      <c r="P241">
        <v>2.2492221081670025E-2</v>
      </c>
      <c r="Q241" t="s">
        <v>154</v>
      </c>
      <c r="S241" t="s">
        <v>237</v>
      </c>
      <c r="T241" t="s">
        <v>305</v>
      </c>
      <c r="U241">
        <v>1.9938342573516097E-2</v>
      </c>
      <c r="V241" t="s">
        <v>154</v>
      </c>
    </row>
    <row r="242" spans="9:22" x14ac:dyDescent="0.45">
      <c r="I242" t="s">
        <v>184</v>
      </c>
      <c r="J242" t="s">
        <v>306</v>
      </c>
      <c r="K242">
        <v>0.26376206777475608</v>
      </c>
      <c r="L242" t="s">
        <v>154</v>
      </c>
      <c r="N242" t="s">
        <v>213</v>
      </c>
      <c r="O242" t="s">
        <v>306</v>
      </c>
      <c r="P242">
        <v>5.1970286735065721E-2</v>
      </c>
      <c r="Q242" t="s">
        <v>154</v>
      </c>
      <c r="S242" t="s">
        <v>237</v>
      </c>
      <c r="T242" t="s">
        <v>306</v>
      </c>
      <c r="U242">
        <v>5.2106518317828039E-2</v>
      </c>
      <c r="V242" t="s">
        <v>154</v>
      </c>
    </row>
    <row r="243" spans="9:22" x14ac:dyDescent="0.45">
      <c r="I243" t="s">
        <v>184</v>
      </c>
      <c r="J243" t="s">
        <v>307</v>
      </c>
      <c r="K243">
        <v>0</v>
      </c>
      <c r="L243" t="s">
        <v>154</v>
      </c>
      <c r="N243" t="s">
        <v>213</v>
      </c>
      <c r="O243" t="s">
        <v>307</v>
      </c>
      <c r="P243">
        <v>5.7797580752898169E-2</v>
      </c>
      <c r="Q243" t="s">
        <v>154</v>
      </c>
      <c r="S243" t="s">
        <v>237</v>
      </c>
      <c r="T243" t="s">
        <v>307</v>
      </c>
      <c r="U243">
        <v>6.056980447585996E-2</v>
      </c>
      <c r="V243" t="s">
        <v>154</v>
      </c>
    </row>
    <row r="244" spans="9:22" x14ac:dyDescent="0.45">
      <c r="I244" t="s">
        <v>184</v>
      </c>
      <c r="J244" t="s">
        <v>308</v>
      </c>
      <c r="K244">
        <v>3.2274727092830233E-2</v>
      </c>
      <c r="L244" t="s">
        <v>154</v>
      </c>
      <c r="N244" t="s">
        <v>213</v>
      </c>
      <c r="O244" t="s">
        <v>308</v>
      </c>
      <c r="P244">
        <v>1.0283295957978106E-2</v>
      </c>
      <c r="Q244" t="s">
        <v>154</v>
      </c>
      <c r="S244" t="s">
        <v>237</v>
      </c>
      <c r="T244" t="s">
        <v>308</v>
      </c>
      <c r="U244">
        <v>9.5694175394592969E-3</v>
      </c>
      <c r="V244" t="s">
        <v>154</v>
      </c>
    </row>
    <row r="245" spans="9:22" x14ac:dyDescent="0.45">
      <c r="I245" t="s">
        <v>184</v>
      </c>
      <c r="J245" t="s">
        <v>309</v>
      </c>
      <c r="K245">
        <v>0.1910398865741397</v>
      </c>
      <c r="L245" t="s">
        <v>154</v>
      </c>
      <c r="N245" t="s">
        <v>213</v>
      </c>
      <c r="O245" t="s">
        <v>309</v>
      </c>
      <c r="P245">
        <v>8.1345850703368944E-2</v>
      </c>
      <c r="Q245" t="s">
        <v>154</v>
      </c>
      <c r="S245" t="s">
        <v>237</v>
      </c>
      <c r="T245" t="s">
        <v>309</v>
      </c>
      <c r="U245">
        <v>6.8054400488139294E-2</v>
      </c>
      <c r="V245" t="s">
        <v>154</v>
      </c>
    </row>
    <row r="246" spans="9:22" x14ac:dyDescent="0.45">
      <c r="I246" t="s">
        <v>184</v>
      </c>
      <c r="J246" t="s">
        <v>310</v>
      </c>
      <c r="K246">
        <v>0</v>
      </c>
      <c r="L246" t="s">
        <v>154</v>
      </c>
      <c r="N246" t="s">
        <v>213</v>
      </c>
      <c r="O246" t="s">
        <v>310</v>
      </c>
      <c r="P246">
        <v>9.1003315134049509E-2</v>
      </c>
      <c r="Q246" t="s">
        <v>154</v>
      </c>
      <c r="S246" t="s">
        <v>237</v>
      </c>
      <c r="T246" t="s">
        <v>310</v>
      </c>
      <c r="U246">
        <v>6.2885174075099359E-2</v>
      </c>
      <c r="V246" t="s">
        <v>154</v>
      </c>
    </row>
    <row r="247" spans="9:22" x14ac:dyDescent="0.45">
      <c r="I247" t="s">
        <v>184</v>
      </c>
      <c r="J247" t="s">
        <v>311</v>
      </c>
      <c r="K247">
        <v>1.8371667209636556E-2</v>
      </c>
      <c r="L247" t="s">
        <v>154</v>
      </c>
      <c r="N247" t="s">
        <v>213</v>
      </c>
      <c r="O247" t="s">
        <v>311</v>
      </c>
      <c r="P247">
        <v>1.2777925058311998E-2</v>
      </c>
      <c r="Q247" t="s">
        <v>154</v>
      </c>
      <c r="S247" t="s">
        <v>237</v>
      </c>
      <c r="T247" t="s">
        <v>311</v>
      </c>
      <c r="U247">
        <v>1.1170200177461252E-2</v>
      </c>
      <c r="V247" t="s">
        <v>154</v>
      </c>
    </row>
    <row r="248" spans="9:22" x14ac:dyDescent="0.45">
      <c r="I248" t="s">
        <v>184</v>
      </c>
      <c r="J248" t="s">
        <v>312</v>
      </c>
      <c r="K248">
        <v>0.22649797058515589</v>
      </c>
      <c r="L248" t="s">
        <v>154</v>
      </c>
      <c r="N248" t="s">
        <v>213</v>
      </c>
      <c r="O248" t="s">
        <v>312</v>
      </c>
      <c r="P248">
        <v>0.18310690569872085</v>
      </c>
      <c r="Q248" t="s">
        <v>154</v>
      </c>
      <c r="S248" t="s">
        <v>237</v>
      </c>
      <c r="T248" t="s">
        <v>312</v>
      </c>
      <c r="U248">
        <v>0.211278649986648</v>
      </c>
      <c r="V248" t="s">
        <v>154</v>
      </c>
    </row>
    <row r="249" spans="9:22" x14ac:dyDescent="0.45">
      <c r="I249" t="s">
        <v>184</v>
      </c>
      <c r="J249" t="s">
        <v>313</v>
      </c>
      <c r="K249">
        <v>0</v>
      </c>
      <c r="L249" t="s">
        <v>154</v>
      </c>
      <c r="N249" t="s">
        <v>213</v>
      </c>
      <c r="O249" t="s">
        <v>313</v>
      </c>
      <c r="P249">
        <v>0.19278884765690518</v>
      </c>
      <c r="Q249" t="s">
        <v>154</v>
      </c>
      <c r="S249" t="s">
        <v>237</v>
      </c>
      <c r="T249" t="s">
        <v>313</v>
      </c>
      <c r="U249">
        <v>0.22550155124594054</v>
      </c>
      <c r="V249" t="s">
        <v>154</v>
      </c>
    </row>
    <row r="250" spans="9:22" x14ac:dyDescent="0.45">
      <c r="I250" t="s">
        <v>184</v>
      </c>
      <c r="J250" t="s">
        <v>314</v>
      </c>
      <c r="K250">
        <v>2.795938698254137E-2</v>
      </c>
      <c r="L250" t="s">
        <v>154</v>
      </c>
      <c r="N250" t="s">
        <v>213</v>
      </c>
      <c r="O250" t="s">
        <v>314</v>
      </c>
      <c r="P250">
        <v>3.6530384436147915E-2</v>
      </c>
      <c r="Q250" t="s">
        <v>154</v>
      </c>
      <c r="S250" t="s">
        <v>237</v>
      </c>
      <c r="T250" t="s">
        <v>314</v>
      </c>
      <c r="U250">
        <v>3.82302732132851E-2</v>
      </c>
      <c r="V250" t="s">
        <v>154</v>
      </c>
    </row>
    <row r="251" spans="9:22" x14ac:dyDescent="0.45">
      <c r="I251" t="s">
        <v>185</v>
      </c>
      <c r="J251" t="s">
        <v>303</v>
      </c>
      <c r="K251">
        <v>0.22045210106783727</v>
      </c>
      <c r="L251" t="s">
        <v>154</v>
      </c>
      <c r="N251" t="s">
        <v>214</v>
      </c>
      <c r="O251" t="s">
        <v>303</v>
      </c>
      <c r="P251">
        <v>0.13390200840475236</v>
      </c>
      <c r="Q251" t="s">
        <v>154</v>
      </c>
      <c r="S251" t="s">
        <v>238</v>
      </c>
      <c r="T251" t="s">
        <v>303</v>
      </c>
      <c r="U251">
        <v>0.11922209463351663</v>
      </c>
      <c r="V251" t="s">
        <v>154</v>
      </c>
    </row>
    <row r="252" spans="9:22" x14ac:dyDescent="0.45">
      <c r="I252" t="s">
        <v>185</v>
      </c>
      <c r="J252" t="s">
        <v>304</v>
      </c>
      <c r="K252">
        <v>0</v>
      </c>
      <c r="L252" t="s">
        <v>154</v>
      </c>
      <c r="N252" t="s">
        <v>214</v>
      </c>
      <c r="O252" t="s">
        <v>304</v>
      </c>
      <c r="P252">
        <v>0.10123301959320914</v>
      </c>
      <c r="Q252" t="s">
        <v>154</v>
      </c>
      <c r="S252" t="s">
        <v>238</v>
      </c>
      <c r="T252" t="s">
        <v>304</v>
      </c>
      <c r="U252">
        <v>0.1146595720256804</v>
      </c>
      <c r="V252" t="s">
        <v>154</v>
      </c>
    </row>
    <row r="253" spans="9:22" x14ac:dyDescent="0.45">
      <c r="I253" t="s">
        <v>185</v>
      </c>
      <c r="J253" t="s">
        <v>305</v>
      </c>
      <c r="K253">
        <v>1.34586694820373E-2</v>
      </c>
      <c r="L253" t="s">
        <v>154</v>
      </c>
      <c r="N253" t="s">
        <v>214</v>
      </c>
      <c r="O253" t="s">
        <v>305</v>
      </c>
      <c r="P253">
        <v>2.1424237779211628E-2</v>
      </c>
      <c r="Q253" t="s">
        <v>154</v>
      </c>
      <c r="S253" t="s">
        <v>238</v>
      </c>
      <c r="T253" t="s">
        <v>305</v>
      </c>
      <c r="U253">
        <v>2.0148794824869823E-2</v>
      </c>
      <c r="V253" t="s">
        <v>154</v>
      </c>
    </row>
    <row r="254" spans="9:22" x14ac:dyDescent="0.45">
      <c r="I254" t="s">
        <v>185</v>
      </c>
      <c r="J254" t="s">
        <v>306</v>
      </c>
      <c r="K254">
        <v>0.27705420557360866</v>
      </c>
      <c r="L254" t="s">
        <v>154</v>
      </c>
      <c r="N254" t="s">
        <v>214</v>
      </c>
      <c r="O254" t="s">
        <v>306</v>
      </c>
      <c r="P254">
        <v>7.9548541555514121E-2</v>
      </c>
      <c r="Q254" t="s">
        <v>154</v>
      </c>
      <c r="S254" t="s">
        <v>238</v>
      </c>
      <c r="T254" t="s">
        <v>306</v>
      </c>
      <c r="U254">
        <v>8.6334009432842099E-2</v>
      </c>
      <c r="V254" t="s">
        <v>154</v>
      </c>
    </row>
    <row r="255" spans="9:22" x14ac:dyDescent="0.45">
      <c r="I255" t="s">
        <v>185</v>
      </c>
      <c r="J255" t="s">
        <v>307</v>
      </c>
      <c r="K255">
        <v>0</v>
      </c>
      <c r="L255" t="s">
        <v>154</v>
      </c>
      <c r="N255" t="s">
        <v>214</v>
      </c>
      <c r="O255" t="s">
        <v>307</v>
      </c>
      <c r="P255">
        <v>7.2308438719830448E-2</v>
      </c>
      <c r="Q255" t="s">
        <v>154</v>
      </c>
      <c r="S255" t="s">
        <v>238</v>
      </c>
      <c r="T255" t="s">
        <v>307</v>
      </c>
      <c r="U255">
        <v>8.7695859877368443E-2</v>
      </c>
      <c r="V255" t="s">
        <v>154</v>
      </c>
    </row>
    <row r="256" spans="9:22" x14ac:dyDescent="0.45">
      <c r="I256" t="s">
        <v>185</v>
      </c>
      <c r="J256" t="s">
        <v>308</v>
      </c>
      <c r="K256">
        <v>3.2205709721212596E-2</v>
      </c>
      <c r="L256" t="s">
        <v>154</v>
      </c>
      <c r="N256" t="s">
        <v>214</v>
      </c>
      <c r="O256" t="s">
        <v>308</v>
      </c>
      <c r="P256">
        <v>1.2328955526674467E-2</v>
      </c>
      <c r="Q256" t="s">
        <v>154</v>
      </c>
      <c r="S256" t="s">
        <v>238</v>
      </c>
      <c r="T256" t="s">
        <v>308</v>
      </c>
      <c r="U256">
        <v>1.5067855658843814E-2</v>
      </c>
      <c r="V256" t="s">
        <v>154</v>
      </c>
    </row>
    <row r="257" spans="9:22" x14ac:dyDescent="0.45">
      <c r="I257" t="s">
        <v>185</v>
      </c>
      <c r="J257" t="s">
        <v>309</v>
      </c>
      <c r="K257">
        <v>0.17847110310372469</v>
      </c>
      <c r="L257" t="s">
        <v>154</v>
      </c>
      <c r="N257" t="s">
        <v>214</v>
      </c>
      <c r="O257" t="s">
        <v>309</v>
      </c>
      <c r="P257">
        <v>6.6701298279229396E-2</v>
      </c>
      <c r="Q257" t="s">
        <v>154</v>
      </c>
      <c r="S257" t="s">
        <v>238</v>
      </c>
      <c r="T257" t="s">
        <v>309</v>
      </c>
      <c r="U257">
        <v>5.734754349996752E-2</v>
      </c>
      <c r="V257" t="s">
        <v>154</v>
      </c>
    </row>
    <row r="258" spans="9:22" x14ac:dyDescent="0.45">
      <c r="I258" t="s">
        <v>185</v>
      </c>
      <c r="J258" t="s">
        <v>310</v>
      </c>
      <c r="K258">
        <v>0</v>
      </c>
      <c r="L258" t="s">
        <v>154</v>
      </c>
      <c r="N258" t="s">
        <v>214</v>
      </c>
      <c r="O258" t="s">
        <v>310</v>
      </c>
      <c r="P258">
        <v>4.9372035319128052E-2</v>
      </c>
      <c r="Q258" t="s">
        <v>154</v>
      </c>
      <c r="S258" t="s">
        <v>238</v>
      </c>
      <c r="T258" t="s">
        <v>310</v>
      </c>
      <c r="U258">
        <v>5.6484452174662435E-2</v>
      </c>
      <c r="V258" t="s">
        <v>154</v>
      </c>
    </row>
    <row r="259" spans="9:22" x14ac:dyDescent="0.45">
      <c r="I259" t="s">
        <v>185</v>
      </c>
      <c r="J259" t="s">
        <v>311</v>
      </c>
      <c r="K259">
        <v>1.4368035703649485E-2</v>
      </c>
      <c r="L259" t="s">
        <v>154</v>
      </c>
      <c r="N259" t="s">
        <v>214</v>
      </c>
      <c r="O259" t="s">
        <v>311</v>
      </c>
      <c r="P259">
        <v>1.0496730443176757E-2</v>
      </c>
      <c r="Q259" t="s">
        <v>154</v>
      </c>
      <c r="S259" t="s">
        <v>238</v>
      </c>
      <c r="T259" t="s">
        <v>311</v>
      </c>
      <c r="U259">
        <v>9.4582834174070686E-3</v>
      </c>
      <c r="V259" t="s">
        <v>154</v>
      </c>
    </row>
    <row r="260" spans="9:22" x14ac:dyDescent="0.45">
      <c r="I260" t="s">
        <v>185</v>
      </c>
      <c r="J260" t="s">
        <v>312</v>
      </c>
      <c r="K260">
        <v>0.24008283469651759</v>
      </c>
      <c r="L260" t="s">
        <v>154</v>
      </c>
      <c r="N260" t="s">
        <v>214</v>
      </c>
      <c r="O260" t="s">
        <v>312</v>
      </c>
      <c r="P260">
        <v>0.22101868063394131</v>
      </c>
      <c r="Q260" t="s">
        <v>154</v>
      </c>
      <c r="S260" t="s">
        <v>238</v>
      </c>
      <c r="T260" t="s">
        <v>312</v>
      </c>
      <c r="U260">
        <v>0.19595146702242963</v>
      </c>
      <c r="V260" t="s">
        <v>154</v>
      </c>
    </row>
    <row r="261" spans="9:22" x14ac:dyDescent="0.45">
      <c r="I261" t="s">
        <v>185</v>
      </c>
      <c r="J261" t="s">
        <v>313</v>
      </c>
      <c r="K261">
        <v>0</v>
      </c>
      <c r="L261" t="s">
        <v>154</v>
      </c>
      <c r="N261" t="s">
        <v>214</v>
      </c>
      <c r="O261" t="s">
        <v>313</v>
      </c>
      <c r="P261">
        <v>0.19589083069194363</v>
      </c>
      <c r="Q261" t="s">
        <v>154</v>
      </c>
      <c r="S261" t="s">
        <v>238</v>
      </c>
      <c r="T261" t="s">
        <v>313</v>
      </c>
      <c r="U261">
        <v>0.20259354101401533</v>
      </c>
      <c r="V261" t="s">
        <v>154</v>
      </c>
    </row>
    <row r="262" spans="9:22" x14ac:dyDescent="0.45">
      <c r="I262" t="s">
        <v>185</v>
      </c>
      <c r="J262" t="s">
        <v>314</v>
      </c>
      <c r="K262">
        <v>2.3907340651411365E-2</v>
      </c>
      <c r="L262" t="s">
        <v>154</v>
      </c>
      <c r="N262" t="s">
        <v>214</v>
      </c>
      <c r="O262" t="s">
        <v>314</v>
      </c>
      <c r="P262">
        <v>3.5775223053392556E-2</v>
      </c>
      <c r="Q262" t="s">
        <v>154</v>
      </c>
      <c r="S262" t="s">
        <v>238</v>
      </c>
      <c r="T262" t="s">
        <v>314</v>
      </c>
      <c r="U262">
        <v>3.5036526418397489E-2</v>
      </c>
      <c r="V262" t="s">
        <v>154</v>
      </c>
    </row>
    <row r="263" spans="9:22" x14ac:dyDescent="0.45">
      <c r="I263" t="s">
        <v>186</v>
      </c>
      <c r="J263" t="s">
        <v>303</v>
      </c>
      <c r="K263">
        <v>0.22104210041578959</v>
      </c>
      <c r="L263" t="s">
        <v>154</v>
      </c>
      <c r="N263" t="s">
        <v>215</v>
      </c>
      <c r="O263" t="s">
        <v>303</v>
      </c>
      <c r="P263">
        <v>0.14988341863278326</v>
      </c>
      <c r="Q263" t="s">
        <v>154</v>
      </c>
      <c r="S263" t="s">
        <v>239</v>
      </c>
      <c r="T263" t="s">
        <v>303</v>
      </c>
      <c r="U263">
        <v>0.13063494623338109</v>
      </c>
      <c r="V263" t="s">
        <v>154</v>
      </c>
    </row>
    <row r="264" spans="9:22" x14ac:dyDescent="0.45">
      <c r="I264" t="s">
        <v>186</v>
      </c>
      <c r="J264" t="s">
        <v>304</v>
      </c>
      <c r="K264">
        <v>0</v>
      </c>
      <c r="L264" t="s">
        <v>154</v>
      </c>
      <c r="N264" t="s">
        <v>215</v>
      </c>
      <c r="O264" t="s">
        <v>304</v>
      </c>
      <c r="P264">
        <v>0.11991269734482066</v>
      </c>
      <c r="Q264" t="s">
        <v>154</v>
      </c>
      <c r="S264" t="s">
        <v>239</v>
      </c>
      <c r="T264" t="s">
        <v>304</v>
      </c>
      <c r="U264">
        <v>0.11974563371279183</v>
      </c>
      <c r="V264" t="s">
        <v>154</v>
      </c>
    </row>
    <row r="265" spans="9:22" x14ac:dyDescent="0.45">
      <c r="I265" t="s">
        <v>186</v>
      </c>
      <c r="J265" t="s">
        <v>305</v>
      </c>
      <c r="K265">
        <v>1.700375003689952E-2</v>
      </c>
      <c r="L265" t="s">
        <v>154</v>
      </c>
      <c r="N265" t="s">
        <v>215</v>
      </c>
      <c r="O265" t="s">
        <v>305</v>
      </c>
      <c r="P265">
        <v>2.5961803988512378E-2</v>
      </c>
      <c r="Q265" t="s">
        <v>154</v>
      </c>
      <c r="S265" t="s">
        <v>239</v>
      </c>
      <c r="T265" t="s">
        <v>305</v>
      </c>
      <c r="U265">
        <v>2.247161432257631E-2</v>
      </c>
      <c r="V265" t="s">
        <v>154</v>
      </c>
    </row>
    <row r="266" spans="9:22" x14ac:dyDescent="0.45">
      <c r="I266" t="s">
        <v>186</v>
      </c>
      <c r="J266" t="s">
        <v>306</v>
      </c>
      <c r="K266">
        <v>0.26729323521741166</v>
      </c>
      <c r="L266" t="s">
        <v>154</v>
      </c>
      <c r="N266" t="s">
        <v>215</v>
      </c>
      <c r="O266" t="s">
        <v>306</v>
      </c>
      <c r="P266">
        <v>6.1493082722021739E-2</v>
      </c>
      <c r="Q266" t="s">
        <v>154</v>
      </c>
      <c r="S266" t="s">
        <v>239</v>
      </c>
      <c r="T266" t="s">
        <v>306</v>
      </c>
      <c r="U266">
        <v>5.122692990761242E-2</v>
      </c>
      <c r="V266" t="s">
        <v>154</v>
      </c>
    </row>
    <row r="267" spans="9:22" x14ac:dyDescent="0.45">
      <c r="I267" t="s">
        <v>186</v>
      </c>
      <c r="J267" t="s">
        <v>307</v>
      </c>
      <c r="K267">
        <v>0</v>
      </c>
      <c r="L267" t="s">
        <v>154</v>
      </c>
      <c r="N267" t="s">
        <v>215</v>
      </c>
      <c r="O267" t="s">
        <v>307</v>
      </c>
      <c r="P267">
        <v>6.1465686276073031E-2</v>
      </c>
      <c r="Q267" t="s">
        <v>154</v>
      </c>
      <c r="S267" t="s">
        <v>239</v>
      </c>
      <c r="T267" t="s">
        <v>307</v>
      </c>
      <c r="U267">
        <v>5.6585006967248892E-2</v>
      </c>
      <c r="V267" t="s">
        <v>154</v>
      </c>
    </row>
    <row r="268" spans="9:22" x14ac:dyDescent="0.45">
      <c r="I268" t="s">
        <v>186</v>
      </c>
      <c r="J268" t="s">
        <v>308</v>
      </c>
      <c r="K268">
        <v>3.3608271836951163E-2</v>
      </c>
      <c r="L268" t="s">
        <v>154</v>
      </c>
      <c r="N268" t="s">
        <v>215</v>
      </c>
      <c r="O268" t="s">
        <v>308</v>
      </c>
      <c r="P268">
        <v>1.0032705090341851E-2</v>
      </c>
      <c r="Q268" t="s">
        <v>154</v>
      </c>
      <c r="S268" t="s">
        <v>239</v>
      </c>
      <c r="T268" t="s">
        <v>308</v>
      </c>
      <c r="U268">
        <v>7.2627413428154259E-3</v>
      </c>
      <c r="V268" t="s">
        <v>154</v>
      </c>
    </row>
    <row r="269" spans="9:22" x14ac:dyDescent="0.45">
      <c r="I269" t="s">
        <v>186</v>
      </c>
      <c r="J269" t="s">
        <v>309</v>
      </c>
      <c r="K269">
        <v>0.1799250567379464</v>
      </c>
      <c r="L269" t="s">
        <v>154</v>
      </c>
      <c r="N269" t="s">
        <v>215</v>
      </c>
      <c r="O269" t="s">
        <v>309</v>
      </c>
      <c r="P269">
        <v>0.13073651169360806</v>
      </c>
      <c r="Q269" t="s">
        <v>154</v>
      </c>
      <c r="S269" t="s">
        <v>239</v>
      </c>
      <c r="T269" t="s">
        <v>309</v>
      </c>
      <c r="U269">
        <v>9.83471124791334E-2</v>
      </c>
      <c r="V269" t="s">
        <v>154</v>
      </c>
    </row>
    <row r="270" spans="9:22" x14ac:dyDescent="0.45">
      <c r="I270" t="s">
        <v>186</v>
      </c>
      <c r="J270" t="s">
        <v>310</v>
      </c>
      <c r="K270">
        <v>0</v>
      </c>
      <c r="L270" t="s">
        <v>154</v>
      </c>
      <c r="N270" t="s">
        <v>215</v>
      </c>
      <c r="O270" t="s">
        <v>310</v>
      </c>
      <c r="P270">
        <v>0.11379660413709038</v>
      </c>
      <c r="Q270" t="s">
        <v>154</v>
      </c>
      <c r="S270" t="s">
        <v>239</v>
      </c>
      <c r="T270" t="s">
        <v>310</v>
      </c>
      <c r="U270">
        <v>9.3574891541260863E-2</v>
      </c>
      <c r="V270" t="s">
        <v>154</v>
      </c>
    </row>
    <row r="271" spans="9:22" x14ac:dyDescent="0.45">
      <c r="I271" t="s">
        <v>186</v>
      </c>
      <c r="J271" t="s">
        <v>311</v>
      </c>
      <c r="K271">
        <v>1.5439506379598952E-2</v>
      </c>
      <c r="L271" t="s">
        <v>154</v>
      </c>
      <c r="N271" t="s">
        <v>215</v>
      </c>
      <c r="O271" t="s">
        <v>311</v>
      </c>
      <c r="P271">
        <v>2.3348746419830257E-2</v>
      </c>
      <c r="Q271" t="s">
        <v>154</v>
      </c>
      <c r="S271" t="s">
        <v>239</v>
      </c>
      <c r="T271" t="s">
        <v>311</v>
      </c>
      <c r="U271">
        <v>1.7279184991634274E-2</v>
      </c>
      <c r="V271" t="s">
        <v>154</v>
      </c>
    </row>
    <row r="272" spans="9:22" x14ac:dyDescent="0.45">
      <c r="I272" t="s">
        <v>186</v>
      </c>
      <c r="J272" t="s">
        <v>312</v>
      </c>
      <c r="K272">
        <v>0.23672341911047631</v>
      </c>
      <c r="L272" t="s">
        <v>154</v>
      </c>
      <c r="N272" t="s">
        <v>215</v>
      </c>
      <c r="O272" t="s">
        <v>312</v>
      </c>
      <c r="P272">
        <v>0.12389411267861418</v>
      </c>
      <c r="Q272" t="s">
        <v>154</v>
      </c>
      <c r="S272" t="s">
        <v>239</v>
      </c>
      <c r="T272" t="s">
        <v>312</v>
      </c>
      <c r="U272">
        <v>0.18541794579296614</v>
      </c>
      <c r="V272" t="s">
        <v>154</v>
      </c>
    </row>
    <row r="273" spans="9:22" x14ac:dyDescent="0.45">
      <c r="I273" t="s">
        <v>186</v>
      </c>
      <c r="J273" t="s">
        <v>313</v>
      </c>
      <c r="K273">
        <v>0</v>
      </c>
      <c r="L273" t="s">
        <v>154</v>
      </c>
      <c r="N273" t="s">
        <v>215</v>
      </c>
      <c r="O273" t="s">
        <v>313</v>
      </c>
      <c r="P273">
        <v>0.15341539644187957</v>
      </c>
      <c r="Q273" t="s">
        <v>154</v>
      </c>
      <c r="S273" t="s">
        <v>239</v>
      </c>
      <c r="T273" t="s">
        <v>313</v>
      </c>
      <c r="U273">
        <v>0.18328037852422643</v>
      </c>
      <c r="V273" t="s">
        <v>154</v>
      </c>
    </row>
    <row r="274" spans="9:22" x14ac:dyDescent="0.45">
      <c r="I274" t="s">
        <v>186</v>
      </c>
      <c r="J274" t="s">
        <v>314</v>
      </c>
      <c r="K274">
        <v>2.8964660264924367E-2</v>
      </c>
      <c r="L274" t="s">
        <v>154</v>
      </c>
      <c r="N274" t="s">
        <v>215</v>
      </c>
      <c r="O274" t="s">
        <v>314</v>
      </c>
      <c r="P274">
        <v>2.605923457442642E-2</v>
      </c>
      <c r="Q274" t="s">
        <v>154</v>
      </c>
      <c r="S274" t="s">
        <v>239</v>
      </c>
      <c r="T274" t="s">
        <v>314</v>
      </c>
      <c r="U274">
        <v>3.417361418435657E-2</v>
      </c>
      <c r="V274" t="s">
        <v>154</v>
      </c>
    </row>
    <row r="275" spans="9:22" x14ac:dyDescent="0.45">
      <c r="I275" t="s">
        <v>187</v>
      </c>
      <c r="J275" t="s">
        <v>303</v>
      </c>
      <c r="K275">
        <v>0.2181570503345979</v>
      </c>
      <c r="L275" t="s">
        <v>154</v>
      </c>
      <c r="N275" t="s">
        <v>216</v>
      </c>
      <c r="O275" t="s">
        <v>303</v>
      </c>
      <c r="P275">
        <v>0.13645682153144356</v>
      </c>
      <c r="Q275" t="s">
        <v>154</v>
      </c>
      <c r="S275" t="s">
        <v>240</v>
      </c>
      <c r="T275" t="s">
        <v>303</v>
      </c>
      <c r="U275">
        <v>0.13928210988120798</v>
      </c>
      <c r="V275" t="s">
        <v>154</v>
      </c>
    </row>
    <row r="276" spans="9:22" x14ac:dyDescent="0.45">
      <c r="I276" t="s">
        <v>187</v>
      </c>
      <c r="J276" t="s">
        <v>304</v>
      </c>
      <c r="K276">
        <v>0</v>
      </c>
      <c r="L276" t="s">
        <v>154</v>
      </c>
      <c r="N276" t="s">
        <v>216</v>
      </c>
      <c r="O276" t="s">
        <v>304</v>
      </c>
      <c r="P276">
        <v>0.1087670496238743</v>
      </c>
      <c r="Q276" t="s">
        <v>154</v>
      </c>
      <c r="S276" t="s">
        <v>240</v>
      </c>
      <c r="T276" t="s">
        <v>304</v>
      </c>
      <c r="U276">
        <v>0.15021841743070521</v>
      </c>
      <c r="V276" t="s">
        <v>154</v>
      </c>
    </row>
    <row r="277" spans="9:22" x14ac:dyDescent="0.45">
      <c r="I277" t="s">
        <v>187</v>
      </c>
      <c r="J277" t="s">
        <v>305</v>
      </c>
      <c r="K277">
        <v>1.2905797714459216E-2</v>
      </c>
      <c r="L277" t="s">
        <v>154</v>
      </c>
      <c r="N277" t="s">
        <v>216</v>
      </c>
      <c r="O277" t="s">
        <v>305</v>
      </c>
      <c r="P277">
        <v>2.2791310932216046E-2</v>
      </c>
      <c r="Q277" t="s">
        <v>154</v>
      </c>
      <c r="S277" t="s">
        <v>240</v>
      </c>
      <c r="T277" t="s">
        <v>305</v>
      </c>
      <c r="U277">
        <v>2.6288926058403321E-2</v>
      </c>
      <c r="V277" t="s">
        <v>154</v>
      </c>
    </row>
    <row r="278" spans="9:22" x14ac:dyDescent="0.45">
      <c r="I278" t="s">
        <v>187</v>
      </c>
      <c r="J278" t="s">
        <v>306</v>
      </c>
      <c r="K278">
        <v>0.27987109090366719</v>
      </c>
      <c r="L278" t="s">
        <v>154</v>
      </c>
      <c r="N278" t="s">
        <v>216</v>
      </c>
      <c r="O278" t="s">
        <v>306</v>
      </c>
      <c r="P278">
        <v>6.4515821158959971E-2</v>
      </c>
      <c r="Q278" t="s">
        <v>154</v>
      </c>
      <c r="S278" t="s">
        <v>240</v>
      </c>
      <c r="T278" t="s">
        <v>306</v>
      </c>
      <c r="U278">
        <v>4.771812755302822E-2</v>
      </c>
      <c r="V278" t="s">
        <v>154</v>
      </c>
    </row>
    <row r="279" spans="9:22" x14ac:dyDescent="0.45">
      <c r="I279" t="s">
        <v>187</v>
      </c>
      <c r="J279" t="s">
        <v>307</v>
      </c>
      <c r="K279">
        <v>0</v>
      </c>
      <c r="L279" t="s">
        <v>154</v>
      </c>
      <c r="N279" t="s">
        <v>216</v>
      </c>
      <c r="O279" t="s">
        <v>307</v>
      </c>
      <c r="P279">
        <v>5.8863145795435966E-2</v>
      </c>
      <c r="Q279" t="s">
        <v>154</v>
      </c>
      <c r="S279" t="s">
        <v>240</v>
      </c>
      <c r="T279" t="s">
        <v>307</v>
      </c>
      <c r="U279">
        <v>5.8949775198156626E-2</v>
      </c>
      <c r="V279" t="s">
        <v>154</v>
      </c>
    </row>
    <row r="280" spans="9:22" x14ac:dyDescent="0.45">
      <c r="I280" t="s">
        <v>187</v>
      </c>
      <c r="J280" t="s">
        <v>308</v>
      </c>
      <c r="K280">
        <v>3.0879864784867244E-2</v>
      </c>
      <c r="L280" t="s">
        <v>154</v>
      </c>
      <c r="N280" t="s">
        <v>216</v>
      </c>
      <c r="O280" t="s">
        <v>308</v>
      </c>
      <c r="P280">
        <v>1.1043569316428373E-2</v>
      </c>
      <c r="Q280" t="s">
        <v>154</v>
      </c>
      <c r="S280" t="s">
        <v>240</v>
      </c>
      <c r="T280" t="s">
        <v>308</v>
      </c>
      <c r="U280">
        <v>6.65733636788041E-3</v>
      </c>
      <c r="V280" t="s">
        <v>154</v>
      </c>
    </row>
    <row r="281" spans="9:22" x14ac:dyDescent="0.45">
      <c r="I281" t="s">
        <v>187</v>
      </c>
      <c r="J281" t="s">
        <v>309</v>
      </c>
      <c r="K281">
        <v>0.19088652133961972</v>
      </c>
      <c r="L281" t="s">
        <v>154</v>
      </c>
      <c r="N281" t="s">
        <v>216</v>
      </c>
      <c r="O281" t="s">
        <v>309</v>
      </c>
      <c r="P281">
        <v>6.2939194900312939E-2</v>
      </c>
      <c r="Q281" t="s">
        <v>154</v>
      </c>
      <c r="S281" t="s">
        <v>240</v>
      </c>
      <c r="T281" t="s">
        <v>309</v>
      </c>
      <c r="U281">
        <v>9.5670219911814111E-2</v>
      </c>
      <c r="V281" t="s">
        <v>154</v>
      </c>
    </row>
    <row r="282" spans="9:22" x14ac:dyDescent="0.45">
      <c r="I282" t="s">
        <v>187</v>
      </c>
      <c r="J282" t="s">
        <v>310</v>
      </c>
      <c r="K282">
        <v>0</v>
      </c>
      <c r="L282" t="s">
        <v>154</v>
      </c>
      <c r="N282" t="s">
        <v>216</v>
      </c>
      <c r="O282" t="s">
        <v>310</v>
      </c>
      <c r="P282">
        <v>4.7784487991810495E-2</v>
      </c>
      <c r="Q282" t="s">
        <v>154</v>
      </c>
      <c r="S282" t="s">
        <v>240</v>
      </c>
      <c r="T282" t="s">
        <v>310</v>
      </c>
      <c r="U282">
        <v>0.10284978363787259</v>
      </c>
      <c r="V282" t="s">
        <v>154</v>
      </c>
    </row>
    <row r="283" spans="9:22" x14ac:dyDescent="0.45">
      <c r="I283" t="s">
        <v>187</v>
      </c>
      <c r="J283" t="s">
        <v>311</v>
      </c>
      <c r="K283">
        <v>1.4262179096020502E-2</v>
      </c>
      <c r="L283" t="s">
        <v>154</v>
      </c>
      <c r="N283" t="s">
        <v>216</v>
      </c>
      <c r="O283" t="s">
        <v>311</v>
      </c>
      <c r="P283">
        <v>8.3237644658549891E-3</v>
      </c>
      <c r="Q283" t="s">
        <v>154</v>
      </c>
      <c r="S283" t="s">
        <v>240</v>
      </c>
      <c r="T283" t="s">
        <v>311</v>
      </c>
      <c r="U283">
        <v>1.818945976291033E-2</v>
      </c>
      <c r="V283" t="s">
        <v>154</v>
      </c>
    </row>
    <row r="284" spans="9:22" x14ac:dyDescent="0.45">
      <c r="I284" t="s">
        <v>187</v>
      </c>
      <c r="J284" t="s">
        <v>312</v>
      </c>
      <c r="K284">
        <v>0.22892787562104211</v>
      </c>
      <c r="L284" t="s">
        <v>154</v>
      </c>
      <c r="N284" t="s">
        <v>216</v>
      </c>
      <c r="O284" t="s">
        <v>312</v>
      </c>
      <c r="P284">
        <v>0.23115398893567335</v>
      </c>
      <c r="Q284" t="s">
        <v>154</v>
      </c>
      <c r="S284" t="s">
        <v>240</v>
      </c>
      <c r="T284" t="s">
        <v>312</v>
      </c>
      <c r="U284">
        <v>0.16315455141325388</v>
      </c>
      <c r="V284" t="s">
        <v>154</v>
      </c>
    </row>
    <row r="285" spans="9:22" x14ac:dyDescent="0.45">
      <c r="I285" t="s">
        <v>187</v>
      </c>
      <c r="J285" t="s">
        <v>313</v>
      </c>
      <c r="K285">
        <v>0</v>
      </c>
      <c r="L285" t="s">
        <v>154</v>
      </c>
      <c r="N285" t="s">
        <v>216</v>
      </c>
      <c r="O285" t="s">
        <v>313</v>
      </c>
      <c r="P285">
        <v>0.21010892008598436</v>
      </c>
      <c r="Q285" t="s">
        <v>154</v>
      </c>
      <c r="S285" t="s">
        <v>240</v>
      </c>
      <c r="T285" t="s">
        <v>313</v>
      </c>
      <c r="U285">
        <v>0.16299025366415151</v>
      </c>
      <c r="V285" t="s">
        <v>154</v>
      </c>
    </row>
    <row r="286" spans="9:22" x14ac:dyDescent="0.45">
      <c r="I286" t="s">
        <v>187</v>
      </c>
      <c r="J286" t="s">
        <v>314</v>
      </c>
      <c r="K286">
        <v>2.4109620205728165E-2</v>
      </c>
      <c r="L286" t="s">
        <v>154</v>
      </c>
      <c r="N286" t="s">
        <v>216</v>
      </c>
      <c r="O286" t="s">
        <v>314</v>
      </c>
      <c r="P286">
        <v>3.7251925262007463E-2</v>
      </c>
      <c r="Q286" t="s">
        <v>154</v>
      </c>
      <c r="S286" t="s">
        <v>240</v>
      </c>
      <c r="T286" t="s">
        <v>314</v>
      </c>
      <c r="U286">
        <v>2.8031039120618901E-2</v>
      </c>
      <c r="V286" t="s">
        <v>154</v>
      </c>
    </row>
    <row r="287" spans="9:22" x14ac:dyDescent="0.45">
      <c r="I287" t="s">
        <v>188</v>
      </c>
      <c r="J287" t="s">
        <v>303</v>
      </c>
      <c r="K287">
        <v>0.22040078242591521</v>
      </c>
      <c r="L287" t="s">
        <v>154</v>
      </c>
      <c r="N287" t="s">
        <v>217</v>
      </c>
      <c r="O287" t="s">
        <v>303</v>
      </c>
      <c r="P287">
        <v>0.137066873125574</v>
      </c>
      <c r="Q287" t="s">
        <v>154</v>
      </c>
    </row>
    <row r="288" spans="9:22" x14ac:dyDescent="0.45">
      <c r="I288" t="s">
        <v>188</v>
      </c>
      <c r="J288" t="s">
        <v>304</v>
      </c>
      <c r="K288">
        <v>0</v>
      </c>
      <c r="L288" t="s">
        <v>154</v>
      </c>
      <c r="N288" t="s">
        <v>217</v>
      </c>
      <c r="O288" t="s">
        <v>304</v>
      </c>
      <c r="P288">
        <v>0.11401703023867252</v>
      </c>
      <c r="Q288" t="s">
        <v>154</v>
      </c>
    </row>
    <row r="289" spans="9:17" x14ac:dyDescent="0.45">
      <c r="I289" t="s">
        <v>188</v>
      </c>
      <c r="J289" t="s">
        <v>305</v>
      </c>
      <c r="K289">
        <v>1.2436979617640667E-2</v>
      </c>
      <c r="L289" t="s">
        <v>154</v>
      </c>
      <c r="N289" t="s">
        <v>217</v>
      </c>
      <c r="O289" t="s">
        <v>305</v>
      </c>
      <c r="P289">
        <v>2.2318176513461616E-2</v>
      </c>
      <c r="Q289" t="s">
        <v>154</v>
      </c>
    </row>
    <row r="290" spans="9:17" x14ac:dyDescent="0.45">
      <c r="I290" t="s">
        <v>188</v>
      </c>
      <c r="J290" t="s">
        <v>306</v>
      </c>
      <c r="K290">
        <v>0.27941379050759962</v>
      </c>
      <c r="L290" t="s">
        <v>154</v>
      </c>
      <c r="N290" t="s">
        <v>217</v>
      </c>
      <c r="O290" t="s">
        <v>306</v>
      </c>
      <c r="P290">
        <v>6.7014989059239638E-2</v>
      </c>
      <c r="Q290" t="s">
        <v>154</v>
      </c>
    </row>
    <row r="291" spans="9:17" x14ac:dyDescent="0.45">
      <c r="I291" t="s">
        <v>188</v>
      </c>
      <c r="J291" t="s">
        <v>307</v>
      </c>
      <c r="K291">
        <v>0</v>
      </c>
      <c r="L291" t="s">
        <v>154</v>
      </c>
      <c r="N291" t="s">
        <v>217</v>
      </c>
      <c r="O291" t="s">
        <v>307</v>
      </c>
      <c r="P291">
        <v>5.8687790803130892E-2</v>
      </c>
      <c r="Q291" t="s">
        <v>154</v>
      </c>
    </row>
    <row r="292" spans="9:17" x14ac:dyDescent="0.45">
      <c r="I292" t="s">
        <v>188</v>
      </c>
      <c r="J292" t="s">
        <v>308</v>
      </c>
      <c r="K292">
        <v>2.7193838172525232E-2</v>
      </c>
      <c r="L292" t="s">
        <v>154</v>
      </c>
      <c r="N292" t="s">
        <v>217</v>
      </c>
      <c r="O292" t="s">
        <v>308</v>
      </c>
      <c r="P292">
        <v>1.129579297614869E-2</v>
      </c>
      <c r="Q292" t="s">
        <v>154</v>
      </c>
    </row>
    <row r="293" spans="9:17" x14ac:dyDescent="0.45">
      <c r="I293" t="s">
        <v>188</v>
      </c>
      <c r="J293" t="s">
        <v>309</v>
      </c>
      <c r="K293">
        <v>0.19949980915589038</v>
      </c>
      <c r="L293" t="s">
        <v>154</v>
      </c>
      <c r="N293" t="s">
        <v>217</v>
      </c>
      <c r="O293" t="s">
        <v>309</v>
      </c>
      <c r="P293">
        <v>6.8751643033790055E-2</v>
      </c>
      <c r="Q293" t="s">
        <v>154</v>
      </c>
    </row>
    <row r="294" spans="9:17" x14ac:dyDescent="0.45">
      <c r="I294" t="s">
        <v>188</v>
      </c>
      <c r="J294" t="s">
        <v>310</v>
      </c>
      <c r="K294">
        <v>0</v>
      </c>
      <c r="L294" t="s">
        <v>154</v>
      </c>
      <c r="N294" t="s">
        <v>217</v>
      </c>
      <c r="O294" t="s">
        <v>310</v>
      </c>
      <c r="P294">
        <v>5.8571603714009553E-2</v>
      </c>
      <c r="Q294" t="s">
        <v>154</v>
      </c>
    </row>
    <row r="295" spans="9:17" x14ac:dyDescent="0.45">
      <c r="I295" t="s">
        <v>188</v>
      </c>
      <c r="J295" t="s">
        <v>311</v>
      </c>
      <c r="K295">
        <v>1.4107669552139971E-2</v>
      </c>
      <c r="L295" t="s">
        <v>154</v>
      </c>
      <c r="N295" t="s">
        <v>217</v>
      </c>
      <c r="O295" t="s">
        <v>311</v>
      </c>
      <c r="P295">
        <v>1.0486969565555577E-2</v>
      </c>
      <c r="Q295" t="s">
        <v>154</v>
      </c>
    </row>
    <row r="296" spans="9:17" x14ac:dyDescent="0.45">
      <c r="I296" t="s">
        <v>188</v>
      </c>
      <c r="J296" t="s">
        <v>312</v>
      </c>
      <c r="K296">
        <v>0.22371851843157009</v>
      </c>
      <c r="L296" t="s">
        <v>154</v>
      </c>
      <c r="N296" t="s">
        <v>217</v>
      </c>
      <c r="O296" t="s">
        <v>312</v>
      </c>
      <c r="P296">
        <v>0.2215326809295626</v>
      </c>
      <c r="Q296" t="s">
        <v>154</v>
      </c>
    </row>
    <row r="297" spans="9:17" x14ac:dyDescent="0.45">
      <c r="I297" t="s">
        <v>188</v>
      </c>
      <c r="J297" t="s">
        <v>313</v>
      </c>
      <c r="K297">
        <v>0</v>
      </c>
      <c r="L297" t="s">
        <v>154</v>
      </c>
      <c r="N297" t="s">
        <v>217</v>
      </c>
      <c r="O297" t="s">
        <v>313</v>
      </c>
      <c r="P297">
        <v>0.19507323944198801</v>
      </c>
      <c r="Q297" t="s">
        <v>154</v>
      </c>
    </row>
    <row r="298" spans="9:17" x14ac:dyDescent="0.45">
      <c r="I298" t="s">
        <v>188</v>
      </c>
      <c r="J298" t="s">
        <v>314</v>
      </c>
      <c r="K298">
        <v>2.3228612136719704E-2</v>
      </c>
      <c r="L298" t="s">
        <v>154</v>
      </c>
      <c r="N298" t="s">
        <v>217</v>
      </c>
      <c r="O298" t="s">
        <v>314</v>
      </c>
      <c r="P298">
        <v>3.5183210598867851E-2</v>
      </c>
      <c r="Q298" t="s">
        <v>154</v>
      </c>
    </row>
    <row r="299" spans="9:17" x14ac:dyDescent="0.45">
      <c r="I299" t="s">
        <v>189</v>
      </c>
      <c r="J299" t="s">
        <v>303</v>
      </c>
      <c r="K299">
        <v>0.22340512168962556</v>
      </c>
      <c r="L299" t="s">
        <v>154</v>
      </c>
    </row>
    <row r="300" spans="9:17" x14ac:dyDescent="0.45">
      <c r="I300" t="s">
        <v>189</v>
      </c>
      <c r="J300" t="s">
        <v>304</v>
      </c>
      <c r="K300">
        <v>0</v>
      </c>
      <c r="L300" t="s">
        <v>154</v>
      </c>
    </row>
    <row r="301" spans="9:17" x14ac:dyDescent="0.45">
      <c r="I301" t="s">
        <v>189</v>
      </c>
      <c r="J301" t="s">
        <v>305</v>
      </c>
      <c r="K301">
        <v>1.2482398957560646E-2</v>
      </c>
      <c r="L301" t="s">
        <v>154</v>
      </c>
    </row>
    <row r="302" spans="9:17" x14ac:dyDescent="0.45">
      <c r="I302" t="s">
        <v>189</v>
      </c>
      <c r="J302" t="s">
        <v>306</v>
      </c>
      <c r="K302">
        <v>0.2739746453311751</v>
      </c>
      <c r="L302" t="s">
        <v>154</v>
      </c>
    </row>
    <row r="303" spans="9:17" x14ac:dyDescent="0.45">
      <c r="I303" t="s">
        <v>189</v>
      </c>
      <c r="J303" t="s">
        <v>307</v>
      </c>
      <c r="K303">
        <v>0</v>
      </c>
      <c r="L303" t="s">
        <v>154</v>
      </c>
    </row>
    <row r="304" spans="9:17" x14ac:dyDescent="0.45">
      <c r="I304" t="s">
        <v>189</v>
      </c>
      <c r="J304" t="s">
        <v>308</v>
      </c>
      <c r="K304">
        <v>2.5731267693067574E-2</v>
      </c>
      <c r="L304" t="s">
        <v>154</v>
      </c>
    </row>
    <row r="305" spans="9:12" x14ac:dyDescent="0.45">
      <c r="I305" t="s">
        <v>189</v>
      </c>
      <c r="J305" t="s">
        <v>309</v>
      </c>
      <c r="K305">
        <v>0.19359494679539055</v>
      </c>
      <c r="L305" t="s">
        <v>154</v>
      </c>
    </row>
    <row r="306" spans="9:12" x14ac:dyDescent="0.45">
      <c r="I306" t="s">
        <v>189</v>
      </c>
      <c r="J306" t="s">
        <v>310</v>
      </c>
      <c r="K306">
        <v>1.6991135100064206E-6</v>
      </c>
      <c r="L306" t="s">
        <v>154</v>
      </c>
    </row>
    <row r="307" spans="9:12" x14ac:dyDescent="0.45">
      <c r="I307" t="s">
        <v>189</v>
      </c>
      <c r="J307" t="s">
        <v>311</v>
      </c>
      <c r="K307">
        <v>1.1891860053181973E-2</v>
      </c>
      <c r="L307" t="s">
        <v>154</v>
      </c>
    </row>
    <row r="308" spans="9:12" x14ac:dyDescent="0.45">
      <c r="I308" t="s">
        <v>189</v>
      </c>
      <c r="J308" t="s">
        <v>312</v>
      </c>
      <c r="K308">
        <v>0.23443567206636087</v>
      </c>
      <c r="L308" t="s">
        <v>154</v>
      </c>
    </row>
    <row r="309" spans="9:12" x14ac:dyDescent="0.45">
      <c r="I309" t="s">
        <v>189</v>
      </c>
      <c r="J309" t="s">
        <v>313</v>
      </c>
      <c r="K309">
        <v>0</v>
      </c>
      <c r="L309" t="s">
        <v>154</v>
      </c>
    </row>
    <row r="310" spans="9:12" x14ac:dyDescent="0.45">
      <c r="I310" t="s">
        <v>189</v>
      </c>
      <c r="J310" t="s">
        <v>314</v>
      </c>
      <c r="K310">
        <v>2.4482388300125297E-2</v>
      </c>
      <c r="L310" t="s">
        <v>154</v>
      </c>
    </row>
    <row r="311" spans="9:12" x14ac:dyDescent="0.45">
      <c r="I311" t="s">
        <v>190</v>
      </c>
      <c r="J311" t="s">
        <v>303</v>
      </c>
      <c r="K311">
        <v>0.22040228392270897</v>
      </c>
      <c r="L311" t="s">
        <v>154</v>
      </c>
    </row>
    <row r="312" spans="9:12" x14ac:dyDescent="0.45">
      <c r="I312" t="s">
        <v>190</v>
      </c>
      <c r="J312" t="s">
        <v>304</v>
      </c>
      <c r="K312">
        <v>0</v>
      </c>
      <c r="L312" t="s">
        <v>154</v>
      </c>
    </row>
    <row r="313" spans="9:12" x14ac:dyDescent="0.45">
      <c r="I313" t="s">
        <v>190</v>
      </c>
      <c r="J313" t="s">
        <v>305</v>
      </c>
      <c r="K313">
        <v>1.3043652629877096E-2</v>
      </c>
      <c r="L313" t="s">
        <v>154</v>
      </c>
    </row>
    <row r="314" spans="9:12" x14ac:dyDescent="0.45">
      <c r="I314" t="s">
        <v>190</v>
      </c>
      <c r="J314" t="s">
        <v>306</v>
      </c>
      <c r="K314">
        <v>0.27826434462568389</v>
      </c>
      <c r="L314" t="s">
        <v>154</v>
      </c>
    </row>
    <row r="315" spans="9:12" x14ac:dyDescent="0.45">
      <c r="I315" t="s">
        <v>190</v>
      </c>
      <c r="J315" t="s">
        <v>307</v>
      </c>
      <c r="K315">
        <v>0</v>
      </c>
      <c r="L315" t="s">
        <v>154</v>
      </c>
    </row>
    <row r="316" spans="9:12" x14ac:dyDescent="0.45">
      <c r="I316" t="s">
        <v>190</v>
      </c>
      <c r="J316" t="s">
        <v>308</v>
      </c>
      <c r="K316">
        <v>3.1097950298811808E-2</v>
      </c>
      <c r="L316" t="s">
        <v>154</v>
      </c>
    </row>
    <row r="317" spans="9:12" x14ac:dyDescent="0.45">
      <c r="I317" t="s">
        <v>190</v>
      </c>
      <c r="J317" t="s">
        <v>309</v>
      </c>
      <c r="K317">
        <v>0.19823572371189577</v>
      </c>
      <c r="L317" t="s">
        <v>154</v>
      </c>
    </row>
    <row r="318" spans="9:12" x14ac:dyDescent="0.45">
      <c r="I318" t="s">
        <v>190</v>
      </c>
      <c r="J318" t="s">
        <v>310</v>
      </c>
      <c r="K318">
        <v>0</v>
      </c>
      <c r="L318" t="s">
        <v>154</v>
      </c>
    </row>
    <row r="319" spans="9:12" x14ac:dyDescent="0.45">
      <c r="I319" t="s">
        <v>190</v>
      </c>
      <c r="J319" t="s">
        <v>311</v>
      </c>
      <c r="K319">
        <v>1.5181783298343897E-2</v>
      </c>
      <c r="L319" t="s">
        <v>154</v>
      </c>
    </row>
    <row r="320" spans="9:12" x14ac:dyDescent="0.45">
      <c r="I320" t="s">
        <v>190</v>
      </c>
      <c r="J320" t="s">
        <v>312</v>
      </c>
      <c r="K320">
        <v>0.22286961782968051</v>
      </c>
      <c r="L320" t="s">
        <v>154</v>
      </c>
    </row>
    <row r="321" spans="9:12" x14ac:dyDescent="0.45">
      <c r="I321" t="s">
        <v>190</v>
      </c>
      <c r="J321" t="s">
        <v>313</v>
      </c>
      <c r="K321">
        <v>0</v>
      </c>
      <c r="L321" t="s">
        <v>154</v>
      </c>
    </row>
    <row r="322" spans="9:12" x14ac:dyDescent="0.45">
      <c r="I322" t="s">
        <v>190</v>
      </c>
      <c r="J322" t="s">
        <v>314</v>
      </c>
      <c r="K322">
        <v>2.0904643683002204E-2</v>
      </c>
      <c r="L322" t="s">
        <v>154</v>
      </c>
    </row>
    <row r="323" spans="9:12" x14ac:dyDescent="0.45">
      <c r="I323" t="s">
        <v>191</v>
      </c>
      <c r="J323" t="s">
        <v>303</v>
      </c>
      <c r="K323">
        <v>0.22198128360492797</v>
      </c>
      <c r="L323" t="s">
        <v>154</v>
      </c>
    </row>
    <row r="324" spans="9:12" x14ac:dyDescent="0.45">
      <c r="I324" t="s">
        <v>191</v>
      </c>
      <c r="J324" t="s">
        <v>304</v>
      </c>
      <c r="K324">
        <v>0</v>
      </c>
      <c r="L324" t="s">
        <v>154</v>
      </c>
    </row>
    <row r="325" spans="9:12" x14ac:dyDescent="0.45">
      <c r="I325" t="s">
        <v>191</v>
      </c>
      <c r="J325" t="s">
        <v>305</v>
      </c>
      <c r="K325">
        <v>1.2605898730667213E-2</v>
      </c>
      <c r="L325" t="s">
        <v>154</v>
      </c>
    </row>
    <row r="326" spans="9:12" x14ac:dyDescent="0.45">
      <c r="I326" t="s">
        <v>191</v>
      </c>
      <c r="J326" t="s">
        <v>306</v>
      </c>
      <c r="K326">
        <v>0.2814005494789279</v>
      </c>
      <c r="L326" t="s">
        <v>154</v>
      </c>
    </row>
    <row r="327" spans="9:12" x14ac:dyDescent="0.45">
      <c r="I327" t="s">
        <v>191</v>
      </c>
      <c r="J327" t="s">
        <v>307</v>
      </c>
      <c r="K327">
        <v>0</v>
      </c>
      <c r="L327" t="s">
        <v>154</v>
      </c>
    </row>
    <row r="328" spans="9:12" x14ac:dyDescent="0.45">
      <c r="I328" t="s">
        <v>191</v>
      </c>
      <c r="J328" t="s">
        <v>308</v>
      </c>
      <c r="K328">
        <v>2.99958686397634E-2</v>
      </c>
      <c r="L328" t="s">
        <v>154</v>
      </c>
    </row>
    <row r="329" spans="9:12" x14ac:dyDescent="0.45">
      <c r="I329" t="s">
        <v>191</v>
      </c>
      <c r="J329" t="s">
        <v>309</v>
      </c>
      <c r="K329">
        <v>0.2060250824195923</v>
      </c>
      <c r="L329" t="s">
        <v>154</v>
      </c>
    </row>
    <row r="330" spans="9:12" x14ac:dyDescent="0.45">
      <c r="I330" t="s">
        <v>191</v>
      </c>
      <c r="J330" t="s">
        <v>310</v>
      </c>
      <c r="K330">
        <v>0</v>
      </c>
      <c r="L330" t="s">
        <v>154</v>
      </c>
    </row>
    <row r="331" spans="9:12" x14ac:dyDescent="0.45">
      <c r="I331" t="s">
        <v>191</v>
      </c>
      <c r="J331" t="s">
        <v>311</v>
      </c>
      <c r="K331">
        <v>1.5525282869170617E-2</v>
      </c>
      <c r="L331" t="s">
        <v>154</v>
      </c>
    </row>
    <row r="332" spans="9:12" x14ac:dyDescent="0.45">
      <c r="I332" t="s">
        <v>191</v>
      </c>
      <c r="J332" t="s">
        <v>312</v>
      </c>
      <c r="K332">
        <v>0.21376164164454131</v>
      </c>
      <c r="L332" t="s">
        <v>154</v>
      </c>
    </row>
    <row r="333" spans="9:12" x14ac:dyDescent="0.45">
      <c r="I333" t="s">
        <v>191</v>
      </c>
      <c r="J333" t="s">
        <v>313</v>
      </c>
      <c r="K333">
        <v>0</v>
      </c>
      <c r="L333" t="s">
        <v>154</v>
      </c>
    </row>
    <row r="334" spans="9:12" x14ac:dyDescent="0.45">
      <c r="I334" t="s">
        <v>191</v>
      </c>
      <c r="J334" t="s">
        <v>314</v>
      </c>
      <c r="K334">
        <v>1.8704392612409148E-2</v>
      </c>
      <c r="L334" t="s">
        <v>154</v>
      </c>
    </row>
    <row r="335" spans="9:12" x14ac:dyDescent="0.45">
      <c r="I335" t="s">
        <v>192</v>
      </c>
      <c r="J335" t="s">
        <v>303</v>
      </c>
      <c r="K335">
        <v>0.22469426657183145</v>
      </c>
      <c r="L335" t="s">
        <v>154</v>
      </c>
    </row>
    <row r="336" spans="9:12" x14ac:dyDescent="0.45">
      <c r="I336" t="s">
        <v>192</v>
      </c>
      <c r="J336" t="s">
        <v>304</v>
      </c>
      <c r="K336">
        <v>0</v>
      </c>
      <c r="L336" t="s">
        <v>154</v>
      </c>
    </row>
    <row r="337" spans="9:12" x14ac:dyDescent="0.45">
      <c r="I337" t="s">
        <v>192</v>
      </c>
      <c r="J337" t="s">
        <v>305</v>
      </c>
      <c r="K337">
        <v>1.1324380932842784E-2</v>
      </c>
      <c r="L337" t="s">
        <v>154</v>
      </c>
    </row>
    <row r="338" spans="9:12" x14ac:dyDescent="0.45">
      <c r="I338" t="s">
        <v>192</v>
      </c>
      <c r="J338" t="s">
        <v>306</v>
      </c>
      <c r="K338">
        <v>0.2809514175194715</v>
      </c>
      <c r="L338" t="s">
        <v>154</v>
      </c>
    </row>
    <row r="339" spans="9:12" x14ac:dyDescent="0.45">
      <c r="I339" t="s">
        <v>192</v>
      </c>
      <c r="J339" t="s">
        <v>307</v>
      </c>
      <c r="K339">
        <v>0</v>
      </c>
      <c r="L339" t="s">
        <v>154</v>
      </c>
    </row>
    <row r="340" spans="9:12" x14ac:dyDescent="0.45">
      <c r="I340" t="s">
        <v>192</v>
      </c>
      <c r="J340" t="s">
        <v>308</v>
      </c>
      <c r="K340">
        <v>3.0473332662334325E-2</v>
      </c>
      <c r="L340" t="s">
        <v>154</v>
      </c>
    </row>
    <row r="341" spans="9:12" x14ac:dyDescent="0.45">
      <c r="I341" t="s">
        <v>192</v>
      </c>
      <c r="J341" t="s">
        <v>309</v>
      </c>
      <c r="K341">
        <v>0.20459134491913816</v>
      </c>
      <c r="L341" t="s">
        <v>154</v>
      </c>
    </row>
    <row r="342" spans="9:12" x14ac:dyDescent="0.45">
      <c r="I342" t="s">
        <v>192</v>
      </c>
      <c r="J342" t="s">
        <v>310</v>
      </c>
      <c r="K342">
        <v>0</v>
      </c>
      <c r="L342" t="s">
        <v>154</v>
      </c>
    </row>
    <row r="343" spans="9:12" x14ac:dyDescent="0.45">
      <c r="I343" t="s">
        <v>192</v>
      </c>
      <c r="J343" t="s">
        <v>311</v>
      </c>
      <c r="K343">
        <v>1.5090411839365601E-2</v>
      </c>
      <c r="L343" t="s">
        <v>154</v>
      </c>
    </row>
    <row r="344" spans="9:12" x14ac:dyDescent="0.45">
      <c r="I344" t="s">
        <v>192</v>
      </c>
      <c r="J344" t="s">
        <v>312</v>
      </c>
      <c r="K344">
        <v>0.21523873787393941</v>
      </c>
      <c r="L344" t="s">
        <v>154</v>
      </c>
    </row>
    <row r="345" spans="9:12" x14ac:dyDescent="0.45">
      <c r="I345" t="s">
        <v>192</v>
      </c>
      <c r="J345" t="s">
        <v>313</v>
      </c>
      <c r="K345">
        <v>0</v>
      </c>
      <c r="L345" t="s">
        <v>154</v>
      </c>
    </row>
    <row r="346" spans="9:12" x14ac:dyDescent="0.45">
      <c r="I346" t="s">
        <v>192</v>
      </c>
      <c r="J346" t="s">
        <v>314</v>
      </c>
      <c r="K346">
        <v>1.7636107681076922E-2</v>
      </c>
      <c r="L346" t="s">
        <v>154</v>
      </c>
    </row>
    <row r="347" spans="9:12" x14ac:dyDescent="0.45">
      <c r="I347" t="s">
        <v>193</v>
      </c>
      <c r="J347" t="s">
        <v>303</v>
      </c>
      <c r="K347">
        <v>0.22980167335496174</v>
      </c>
      <c r="L347" t="s">
        <v>154</v>
      </c>
    </row>
    <row r="348" spans="9:12" x14ac:dyDescent="0.45">
      <c r="I348" t="s">
        <v>193</v>
      </c>
      <c r="J348" t="s">
        <v>304</v>
      </c>
      <c r="K348">
        <v>0</v>
      </c>
      <c r="L348" t="s">
        <v>154</v>
      </c>
    </row>
    <row r="349" spans="9:12" x14ac:dyDescent="0.45">
      <c r="I349" t="s">
        <v>193</v>
      </c>
      <c r="J349" t="s">
        <v>305</v>
      </c>
      <c r="K349">
        <v>1.2754306278118762E-2</v>
      </c>
      <c r="L349" t="s">
        <v>154</v>
      </c>
    </row>
    <row r="350" spans="9:12" x14ac:dyDescent="0.45">
      <c r="I350" t="s">
        <v>193</v>
      </c>
      <c r="J350" t="s">
        <v>306</v>
      </c>
      <c r="K350">
        <v>0.280433398536374</v>
      </c>
      <c r="L350" t="s">
        <v>154</v>
      </c>
    </row>
    <row r="351" spans="9:12" x14ac:dyDescent="0.45">
      <c r="I351" t="s">
        <v>193</v>
      </c>
      <c r="J351" t="s">
        <v>307</v>
      </c>
      <c r="K351">
        <v>0</v>
      </c>
      <c r="L351" t="s">
        <v>154</v>
      </c>
    </row>
    <row r="352" spans="9:12" x14ac:dyDescent="0.45">
      <c r="I352" t="s">
        <v>193</v>
      </c>
      <c r="J352" t="s">
        <v>308</v>
      </c>
      <c r="K352">
        <v>3.087118617454232E-2</v>
      </c>
      <c r="L352" t="s">
        <v>154</v>
      </c>
    </row>
    <row r="353" spans="9:12" x14ac:dyDescent="0.45">
      <c r="I353" t="s">
        <v>193</v>
      </c>
      <c r="J353" t="s">
        <v>309</v>
      </c>
      <c r="K353">
        <v>0.19434766470664069</v>
      </c>
      <c r="L353" t="s">
        <v>154</v>
      </c>
    </row>
    <row r="354" spans="9:12" x14ac:dyDescent="0.45">
      <c r="I354" t="s">
        <v>193</v>
      </c>
      <c r="J354" t="s">
        <v>310</v>
      </c>
      <c r="K354">
        <v>0</v>
      </c>
      <c r="L354" t="s">
        <v>154</v>
      </c>
    </row>
    <row r="355" spans="9:12" x14ac:dyDescent="0.45">
      <c r="I355" t="s">
        <v>193</v>
      </c>
      <c r="J355" t="s">
        <v>311</v>
      </c>
      <c r="K355">
        <v>1.3546580383830392E-2</v>
      </c>
      <c r="L355" t="s">
        <v>154</v>
      </c>
    </row>
    <row r="356" spans="9:12" x14ac:dyDescent="0.45">
      <c r="I356" t="s">
        <v>193</v>
      </c>
      <c r="J356" t="s">
        <v>312</v>
      </c>
      <c r="K356">
        <v>0.21930857851669247</v>
      </c>
      <c r="L356" t="s">
        <v>154</v>
      </c>
    </row>
    <row r="357" spans="9:12" x14ac:dyDescent="0.45">
      <c r="I357" t="s">
        <v>193</v>
      </c>
      <c r="J357" t="s">
        <v>313</v>
      </c>
      <c r="K357">
        <v>0</v>
      </c>
      <c r="L357" t="s">
        <v>154</v>
      </c>
    </row>
    <row r="358" spans="9:12" x14ac:dyDescent="0.45">
      <c r="I358" t="s">
        <v>193</v>
      </c>
      <c r="J358" t="s">
        <v>314</v>
      </c>
      <c r="K358">
        <v>1.8936612048839677E-2</v>
      </c>
      <c r="L358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Veda</vt:lpstr>
      <vt:lpstr>fuel_prices</vt:lpstr>
      <vt:lpstr>iea_data</vt:lpstr>
      <vt:lpstr>ar6_r10</vt:lpstr>
      <vt:lpstr>ev_charging_uc</vt:lpstr>
      <vt:lpstr>ts_012</vt:lpstr>
      <vt:lpstr>ts_024</vt:lpstr>
      <vt:lpstr>ts_036</vt:lpstr>
      <vt:lpstr>ts_048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2026-05-06T17:16:35Z</dcterms:modified>
</cp:coreProperties>
</file>