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13_ncr:1_{86B7549A-CBEF-4FC9-9F36-8C4DAB90FA8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M15" i="1"/>
  <c r="X23" i="1" s="1"/>
  <c r="K15" i="1"/>
  <c r="V23" i="1" s="1"/>
  <c r="N15" i="1"/>
  <c r="Y23" i="1" s="1"/>
  <c r="L15" i="1"/>
  <c r="W23" i="1" s="1"/>
  <c r="J15" i="1"/>
  <c r="U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<sst xmlns="http://schemas.openxmlformats.org/spreadsheetml/2006/main" count="1727" uniqueCount="126">
  <si>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</si>
  <si>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</si>
  <si>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</si>
  <si>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</si>
  <si>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</si>
  <si>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</si>
  <si>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</si>
  <si>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</si>
  <si>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</si>
  <si>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</si>
  <si>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</si>
  <si>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</si>
  <si>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</si>
  <si>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</si>
  <si>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</si>
  <si>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</si>
  <si>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</si>
  <si>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</si>
  <si>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</si>
  <si>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</si>
  <si>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</si>
  <si>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</si>
  <si>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</si>
  <si>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</si>
  <si>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</si>
  <si>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</si>
  <si>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</si>
  <si>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</si>
  <si>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</si>
  <si>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</si>
  <si>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</si>
  <si>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</si>
  <si>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</si>
  <si>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</si>
  <si>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</si>
  <si>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</si>
  <si>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</si>
  <si>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</si>
  <si>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</si>
  <si>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</si>
  <si>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</si>
  <si>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</si>
  <si>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</si>
  <si>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</si>
  <si>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</si>
  <si>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</si>
  <si>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</si>
  <si>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</si>
  <si>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</si>
  <si>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</si>
  <si>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</si>
  <si>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</si>
  <si>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</si>
  <si>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</si>
  <si>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</si>
  <si>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</si>
  <si>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</si>
  <si>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</si>
  <si>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</si>
  <si>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</si>
  <si>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</si>
  <si>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</si>
  <si>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</si>
  <si>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</si>
  <si>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</si>
  <si>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</si>
  <si>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</si>
  <si>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</si>
  <si>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</si>
  <si>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</si>
  <si>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</si>
  <si>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</si>
  <si>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</si>
  <si>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</si>
  <si>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</si>
  <si>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</si>
  <si>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</si>
  <si>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</si>
  <si>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</si>
  <si>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</si>
  <si>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</si>
  <si>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</si>
  <si>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</si>
  <si>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</si>
  <si>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</si>
  <si>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</si>
  <si>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</si>
  <si>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</si>
  <si>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</si>
  <si>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</si>
  <si>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</si>
  <si>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</si>
  <si>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</si>
  <si>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</si>
  <si>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</si>
  <si>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</si>
  <si>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</si>
  <si>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</si>
  <si>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</si>
  <si>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</si>
  <si>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</si>
  <si>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</si>
  <si>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</si>
  <si>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</si>
  <si>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</si>
  <si>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</si>
  <si>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</si>
  <si>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</si>
  <si>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</si>
  <si>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</si>
  <si>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</si>
  <si>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</si>
  <si>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</si>
  <si>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</si>
  <si>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</si>
  <si>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</si>
  <si>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</si>
  <si>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</si>
  <si>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</si>
  <si>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</si>
  <si>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</si>
  <si>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</si>
  <si>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</si>
  <si>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EGY</t>
  </si>
  <si>
    <t>R10AFRICA</t>
  </si>
  <si>
    <t>Zohr gas field,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</si>
</sst>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207.18</c:v>
                </c:pt>
                <c:pt idx="1">
                  <c:v>261.04680000000002</c:v>
                </c:pt>
                <c:pt idx="2">
                  <c:v>312.84180000000003</c:v>
                </c:pt>
                <c:pt idx="3">
                  <c:v>377.06760000000003</c:v>
                </c:pt>
                <c:pt idx="4">
                  <c:v>453.7242</c:v>
                </c:pt>
                <c:pt idx="5">
                  <c:v>536.59619999999995</c:v>
                </c:pt>
                <c:pt idx="6">
                  <c:v>687.83759999999995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207.18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207.18</v>
      </c>
      <c r="U14" s="8">
        <f t="shared" ref="U14:Z14" si="4">$S$11*J14</f>
        <v>261.04680000000002</v>
      </c>
      <c r="V14" s="8">
        <f t="shared" si="4"/>
        <v>312.84180000000003</v>
      </c>
      <c r="W14" s="8">
        <f t="shared" si="4"/>
        <v>377.06760000000003</v>
      </c>
      <c r="X14" s="8">
        <f t="shared" si="4"/>
        <v>453.7242</v>
      </c>
      <c r="Y14" s="8">
        <f t="shared" si="4"/>
        <v>536.59619999999995</v>
      </c>
      <c r="Z14" s="8">
        <f t="shared" si="4"/>
        <v>687.83759999999995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6.8783759999999994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93.231000000000009</v>
      </c>
      <c r="U19" s="6">
        <f t="shared" si="7"/>
        <v>114.86059200000001</v>
      </c>
      <c r="V19" s="6">
        <f t="shared" si="7"/>
        <v>106.36621200000002</v>
      </c>
      <c r="W19" s="6">
        <f t="shared" si="7"/>
        <v>131.97366</v>
      </c>
      <c r="X19" s="6">
        <f t="shared" si="7"/>
        <v>149.72898599999999</v>
      </c>
      <c r="Y19" s="6">
        <f t="shared" si="7"/>
        <v>203.90655599999999</v>
      </c>
      <c r="Z19" s="6">
        <f t="shared" si="7"/>
        <v>247.62153599999996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111.87720000000002</v>
      </c>
      <c r="U20" s="6">
        <f t="shared" si="7"/>
        <v>140.96527200000003</v>
      </c>
      <c r="V20" s="6">
        <f t="shared" si="7"/>
        <v>178.31982600000001</v>
      </c>
      <c r="W20" s="6">
        <f t="shared" si="7"/>
        <v>230.01123600000003</v>
      </c>
      <c r="X20" s="6">
        <f t="shared" si="7"/>
        <v>276.77176199999997</v>
      </c>
      <c r="Y20" s="6">
        <f t="shared" si="7"/>
        <v>289.76194800000002</v>
      </c>
      <c r="Z20" s="6">
        <f t="shared" si="7"/>
        <v>364.55392799999998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2.0718000000000001</v>
      </c>
      <c r="U21" s="6">
        <f t="shared" ref="U21:Z21" si="8">T21</f>
        <v>2.0718000000000001</v>
      </c>
      <c r="V21" s="6">
        <f t="shared" si="8"/>
        <v>2.0718000000000001</v>
      </c>
      <c r="W21" s="6">
        <f t="shared" si="8"/>
        <v>2.0718000000000001</v>
      </c>
      <c r="X21" s="6">
        <f t="shared" si="8"/>
        <v>2.0718000000000001</v>
      </c>
      <c r="Y21" s="6">
        <f t="shared" si="8"/>
        <v>2.0718000000000001</v>
      </c>
      <c r="Z21" s="6">
        <f t="shared" si="8"/>
        <v>2.0718000000000001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3.1491359999999986</v>
      </c>
      <c r="V22" s="6">
        <f t="shared" si="9"/>
        <v>26.083961999999985</v>
      </c>
      <c r="W22" s="6">
        <f t="shared" si="9"/>
        <v>13.010903999999982</v>
      </c>
      <c r="X22" s="6">
        <f t="shared" si="9"/>
        <v>25.15165200000007</v>
      </c>
      <c r="Y22" s="6">
        <f t="shared" si="9"/>
        <v>40.855895999999973</v>
      </c>
      <c r="Z22" s="6">
        <f t="shared" si="9"/>
        <v>73.590335999999979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0.19</v>
      </c>
      <c r="S28" t="s">
        <v>31</v>
      </c>
      <c r="T28" s="3">
        <f>Q28</f>
        <v>0.19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-1.75</v>
      </c>
      <c r="S29" t="s">
        <v>34</v>
      </c>
      <c r="T29" s="3">
        <f>-1*Q29</f>
        <v>1.75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13.700000000000001</v>
      </c>
      <c r="J45">
        <f t="shared" si="13"/>
        <v>14.248000000000001</v>
      </c>
      <c r="K45">
        <f t="shared" si="13"/>
        <v>18.769000000000002</v>
      </c>
      <c r="L45">
        <f t="shared" si="13"/>
        <v>17.810000000000002</v>
      </c>
      <c r="M45">
        <f t="shared" si="13"/>
        <v>21.235000000000003</v>
      </c>
      <c r="N45">
        <f t="shared" si="13"/>
        <v>22.331</v>
      </c>
      <c r="O45">
        <f t="shared" si="13"/>
        <v>23.427</v>
      </c>
      <c r="R45">
        <f>HLOOKUP($G45&amp;"_"&amp;R$44,fuel_prices!$B$10:$I$11,2,FALSE)</f>
        <v>10.3</v>
      </c>
      <c r="S45">
        <f>HLOOKUP($G45&amp;"_"&amp;S$44,fuel_prices!$B$10:$I$11,2,FALSE)</f>
        <v>17.100000000000001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14.45</v>
      </c>
      <c r="J46">
        <f t="shared" si="13"/>
        <v>15.606</v>
      </c>
      <c r="K46">
        <f t="shared" si="13"/>
        <v>17.34</v>
      </c>
      <c r="L46">
        <f t="shared" si="13"/>
        <v>19.363</v>
      </c>
      <c r="M46">
        <f t="shared" si="13"/>
        <v>21.963999999999999</v>
      </c>
      <c r="N46">
        <f t="shared" si="13"/>
        <v>21.096999999999998</v>
      </c>
      <c r="O46">
        <f t="shared" si="13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45</v>
      </c>
      <c r="J47">
        <f t="shared" si="13"/>
        <v>51.749999999999993</v>
      </c>
      <c r="K47">
        <f t="shared" si="13"/>
        <v>72</v>
      </c>
      <c r="L47">
        <f t="shared" si="13"/>
        <v>59.85</v>
      </c>
      <c r="M47">
        <f t="shared" si="13"/>
        <v>66.150000000000006</v>
      </c>
      <c r="N47">
        <f t="shared" si="13"/>
        <v>72.45</v>
      </c>
      <c r="O47">
        <f t="shared" si="13"/>
        <v>79.650000000000006</v>
      </c>
      <c r="R47">
        <f>HLOOKUP($G47&amp;"_"&amp;R$44,fuel_prices!$B$10:$I$11,2,FALSE)</f>
        <v>40</v>
      </c>
      <c r="S47">
        <f>HLOOKUP($G47&amp;"_"&amp;S$44,fuel_prices!$B$10:$I$11,2,FALSE)</f>
        <v>50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18</v>
      </c>
      <c r="O48">
        <f>VLOOKUP($H$14,$AK$9:$AM$15,3,FALSE)*I48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  <row r="89" spans="1:6" x14ac:dyDescent="0.45">
      <c r="A89" t="s">
        <v>117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118</v>
      </c>
      <c r="C91">
        <v>0</v>
      </c>
      <c r="D91">
        <v>4.92</v>
      </c>
      <c r="E91">
        <v>4.92</v>
      </c>
      <c r="F91" t="s">
        <v>119</v>
      </c>
    </row>
    <row r="92" spans="1:6" x14ac:dyDescent="0.45">
      <c r="A92" t="s">
        <v>31</v>
      </c>
      <c r="B92" t="s">
        <v>118</v>
      </c>
      <c r="C92">
        <v>0</v>
      </c>
      <c r="D92">
        <v>0</v>
      </c>
      <c r="E92">
        <v>0</v>
      </c>
      <c r="F92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10.3</v>
      </c>
      <c r="C11">
        <v>17.100000000000001</v>
      </c>
      <c r="D11">
        <v>12.2</v>
      </c>
      <c r="E11">
        <v>16.7</v>
      </c>
      <c r="F11">
        <v>40</v>
      </c>
      <c r="G11">
        <v>50</v>
      </c>
      <c r="H11">
        <v>14</v>
      </c>
      <c r="I11">
        <v>22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38.22</v>
      </c>
      <c r="D11">
        <v>40.1</v>
      </c>
      <c r="E11">
        <v>0</v>
      </c>
      <c r="F11">
        <v>0</v>
      </c>
      <c r="G11">
        <v>0.18</v>
      </c>
      <c r="H11">
        <v>-0.33</v>
      </c>
      <c r="I11">
        <v>78.14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39.299999999999997</v>
      </c>
      <c r="D12">
        <v>43.76</v>
      </c>
      <c r="E12">
        <v>0</v>
      </c>
      <c r="F12">
        <v>0</v>
      </c>
      <c r="G12">
        <v>0.25</v>
      </c>
      <c r="H12">
        <v>-0.45</v>
      </c>
      <c r="I12">
        <v>83.28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40.82</v>
      </c>
      <c r="D13">
        <v>47.59</v>
      </c>
      <c r="E13">
        <v>0</v>
      </c>
      <c r="F13">
        <v>0</v>
      </c>
      <c r="G13">
        <v>0.18</v>
      </c>
      <c r="H13">
        <v>-0.96</v>
      </c>
      <c r="I13">
        <v>89.19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43.01</v>
      </c>
      <c r="D14">
        <v>51.26</v>
      </c>
      <c r="E14">
        <v>0</v>
      </c>
      <c r="F14">
        <v>0</v>
      </c>
      <c r="G14">
        <v>0.12</v>
      </c>
      <c r="H14">
        <v>-1.04</v>
      </c>
      <c r="I14">
        <v>95.18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45.8</v>
      </c>
      <c r="D15">
        <v>54.8</v>
      </c>
      <c r="E15">
        <v>0</v>
      </c>
      <c r="F15">
        <v>0</v>
      </c>
      <c r="G15">
        <v>0.17</v>
      </c>
      <c r="H15">
        <v>-0.87</v>
      </c>
      <c r="I15">
        <v>101.3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48.53</v>
      </c>
      <c r="D16">
        <v>59.38</v>
      </c>
      <c r="E16">
        <v>0</v>
      </c>
      <c r="F16">
        <v>0</v>
      </c>
      <c r="G16">
        <v>0.17</v>
      </c>
      <c r="H16">
        <v>-0.95</v>
      </c>
      <c r="I16">
        <v>108.69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51.53</v>
      </c>
      <c r="D17">
        <v>63.87</v>
      </c>
      <c r="E17">
        <v>0</v>
      </c>
      <c r="F17">
        <v>0</v>
      </c>
      <c r="G17">
        <v>0.21</v>
      </c>
      <c r="H17">
        <v>-0.56000000000000005</v>
      </c>
      <c r="I17">
        <v>115.41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55.02</v>
      </c>
      <c r="D18">
        <v>69.55</v>
      </c>
      <c r="E18">
        <v>0</v>
      </c>
      <c r="F18">
        <v>0</v>
      </c>
      <c r="G18">
        <v>0.25</v>
      </c>
      <c r="H18">
        <v>-0.81</v>
      </c>
      <c r="I18">
        <v>125.13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55.7</v>
      </c>
      <c r="D19">
        <v>74.44</v>
      </c>
      <c r="E19">
        <v>0</v>
      </c>
      <c r="F19">
        <v>0</v>
      </c>
      <c r="G19">
        <v>0.13</v>
      </c>
      <c r="H19">
        <v>-1.02</v>
      </c>
      <c r="I19">
        <v>130.72999999999999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58.08</v>
      </c>
      <c r="D20">
        <v>79.989999999999995</v>
      </c>
      <c r="E20">
        <v>0</v>
      </c>
      <c r="F20">
        <v>0</v>
      </c>
      <c r="G20">
        <v>0.18</v>
      </c>
      <c r="H20">
        <v>-1.1200000000000001</v>
      </c>
      <c r="I20">
        <v>138.76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62.34</v>
      </c>
      <c r="D21">
        <v>84.46</v>
      </c>
      <c r="E21">
        <v>0</v>
      </c>
      <c r="F21">
        <v>0</v>
      </c>
      <c r="G21">
        <v>0.15</v>
      </c>
      <c r="H21">
        <v>-1.59</v>
      </c>
      <c r="I21">
        <v>160.1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65.13</v>
      </c>
      <c r="D22">
        <v>90.19</v>
      </c>
      <c r="E22">
        <v>0</v>
      </c>
      <c r="F22">
        <v>0</v>
      </c>
      <c r="G22">
        <v>0.1</v>
      </c>
      <c r="H22">
        <v>-1.68</v>
      </c>
      <c r="I22">
        <v>156.9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63.6</v>
      </c>
      <c r="D23">
        <v>99.86</v>
      </c>
      <c r="E23">
        <v>0.51</v>
      </c>
      <c r="F23">
        <v>0</v>
      </c>
      <c r="G23">
        <v>0.08</v>
      </c>
      <c r="H23">
        <v>-0.47</v>
      </c>
      <c r="I23">
        <v>164.22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67.05</v>
      </c>
      <c r="D24">
        <v>105.82</v>
      </c>
      <c r="E24">
        <v>0.44</v>
      </c>
      <c r="F24">
        <v>0</v>
      </c>
      <c r="G24">
        <v>0.06</v>
      </c>
      <c r="H24">
        <v>-0.46</v>
      </c>
      <c r="I24">
        <v>168.05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64.87</v>
      </c>
      <c r="D25">
        <v>107.89</v>
      </c>
      <c r="E25">
        <v>0.51</v>
      </c>
      <c r="F25">
        <v>0</v>
      </c>
      <c r="G25">
        <v>0.05</v>
      </c>
      <c r="H25">
        <v>-0.73</v>
      </c>
      <c r="I25">
        <v>175.12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74</v>
      </c>
      <c r="D26">
        <v>117.01</v>
      </c>
      <c r="E26">
        <v>0.55000000000000004</v>
      </c>
      <c r="F26">
        <v>0</v>
      </c>
      <c r="G26">
        <v>0.05</v>
      </c>
      <c r="H26">
        <v>-0.75</v>
      </c>
      <c r="I26">
        <v>186.13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86.5</v>
      </c>
      <c r="D27">
        <v>110.13</v>
      </c>
      <c r="E27">
        <v>0.56999999999999995</v>
      </c>
      <c r="F27">
        <v>0</v>
      </c>
      <c r="G27">
        <v>7.0000000000000007E-2</v>
      </c>
      <c r="H27">
        <v>-0.33</v>
      </c>
      <c r="I27">
        <v>189.39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83.71</v>
      </c>
      <c r="D28">
        <v>113.27</v>
      </c>
      <c r="E28">
        <v>0.48</v>
      </c>
      <c r="F28">
        <v>0</v>
      </c>
      <c r="G28">
        <v>0.08</v>
      </c>
      <c r="H28">
        <v>-0.42</v>
      </c>
      <c r="I28">
        <v>196.6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85.4</v>
      </c>
      <c r="D29">
        <v>106.54</v>
      </c>
      <c r="E29">
        <v>0.7</v>
      </c>
      <c r="F29">
        <v>0</v>
      </c>
      <c r="G29">
        <v>7.0000000000000007E-2</v>
      </c>
      <c r="H29">
        <v>-0.64</v>
      </c>
      <c r="I29">
        <v>199.66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81.739999999999995</v>
      </c>
      <c r="D30">
        <v>106.08</v>
      </c>
      <c r="E30">
        <v>0.69</v>
      </c>
      <c r="F30">
        <v>0</v>
      </c>
      <c r="G30">
        <v>0.09</v>
      </c>
      <c r="H30">
        <v>-0.88</v>
      </c>
      <c r="I30">
        <v>197.2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96.56</v>
      </c>
      <c r="D31">
        <v>110.14</v>
      </c>
      <c r="E31">
        <v>0.5</v>
      </c>
      <c r="F31">
        <v>0</v>
      </c>
      <c r="G31">
        <v>0.17</v>
      </c>
      <c r="H31">
        <v>-1.59</v>
      </c>
      <c r="I31">
        <v>202.27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98.97</v>
      </c>
      <c r="D32">
        <v>113.72</v>
      </c>
      <c r="E32">
        <v>0.51</v>
      </c>
      <c r="F32">
        <v>0</v>
      </c>
      <c r="G32">
        <v>0.18</v>
      </c>
      <c r="H32">
        <v>-1.64</v>
      </c>
      <c r="I32">
        <v>207.31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99.61</v>
      </c>
      <c r="D33">
        <v>121.29</v>
      </c>
      <c r="E33">
        <v>0.52</v>
      </c>
      <c r="F33">
        <v>0</v>
      </c>
      <c r="G33">
        <v>0.19</v>
      </c>
      <c r="H33">
        <v>-1.75</v>
      </c>
      <c r="I33">
        <v>208.74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2026-06-17T16:46:25Z</dcterms:modified>
</cp:coreProperties>
</file>