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EGY_grids_kan10\SuppXLS\"/>
    </mc:Choice>
  </mc:AlternateContent>
  <xr:revisionPtr revIDLastSave="0" documentId="8_{678F381E-8AC0-4B18-92ED-0F9BD91F6083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3" i="6" s="1"/>
  <c r="B9" i="10"/>
  <c r="Q9" i="9"/>
  <c r="N9" i="9"/>
  <c r="J9" i="9"/>
  <c r="F9" i="9"/>
  <c r="B9" i="9"/>
  <c r="L9" i="8"/>
  <c r="G9" i="8"/>
  <c r="B9" i="8"/>
  <c r="A11" i="7"/>
  <c r="C9" i="7" s="1"/>
  <c r="H24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<sst xmlns="http://schemas.openxmlformats.org/spreadsheetml/2006/main" count="995" uniqueCount="250">
  <si>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</si>
  <si>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</si>
  <si>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</si>
  <si>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</si>
  <si>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</si>
  <si>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</si>
  <si>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</si>
  <si>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</si>
  <si>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</si>
  <si>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</si>
  <si>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</si>
  <si>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</si>
  <si>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</si>
  <si>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</si>
  <si>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</si>
  <si>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</si>
  <si>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</si>
  <si>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</si>
  <si>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</si>
  <si>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</si>
  <si>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</si>
  <si>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</si>
  <si>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</si>
  <si>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</si>
  <si>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</si>
  <si>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</si>
  <si>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</si>
  <si>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</si>
  <si>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</si>
  <si>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</si>
  <si>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</si>
  <si>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</si>
  <si>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</si>
  <si>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</si>
  <si>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</si>
  <si>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</si>
  <si>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</si>
  <si>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AllS</t>
  </si>
  <si>
    <t>a</t>
  </si>
  <si>
    <t>AllH</t>
  </si>
  <si>
    <t>ts_annual</t>
  </si>
  <si>
    <t>commodity</t>
  </si>
  <si>
    <t>timeslice</t>
  </si>
  <si>
    <t>com_fr</t>
  </si>
  <si>
    <t>process</t>
  </si>
  <si>
    <t>elc_spv_EGY_001</t>
  </si>
  <si>
    <t>AllSaAllH</t>
  </si>
  <si>
    <t>IMPNRGZ</t>
  </si>
  <si>
    <t>elc_spv_EGY_002</t>
  </si>
  <si>
    <t>elc_spv_EGY_003</t>
  </si>
  <si>
    <t>elc_spv_EGY_004</t>
  </si>
  <si>
    <t>elc_spv_EGY_005</t>
  </si>
  <si>
    <t>elc_spv_EGY_006</t>
  </si>
  <si>
    <t>elc_spv_EGY_007</t>
  </si>
  <si>
    <t>elc_spv_EGY_008</t>
  </si>
  <si>
    <t>elc_spv_EGY_009</t>
  </si>
  <si>
    <t>elc_spv_EGY_010</t>
  </si>
  <si>
    <t>elc_spv_EGY_011</t>
  </si>
  <si>
    <t>elc_spv_EGY_012</t>
  </si>
  <si>
    <t>elc_spv_EGY_013</t>
  </si>
  <si>
    <t>elc_spv_EGY_014</t>
  </si>
  <si>
    <t>elc_spv_EGY_015</t>
  </si>
  <si>
    <t>elc_spv_EGY_016</t>
  </si>
  <si>
    <t>elc_spv_EGY_017</t>
  </si>
  <si>
    <t>elc_spv_EGY_018</t>
  </si>
  <si>
    <t>elc_spv_EGY_019</t>
  </si>
  <si>
    <t>elc_spv_EGY_020</t>
  </si>
  <si>
    <t>elc_spv_EGY_021</t>
  </si>
  <si>
    <t>elc_spv_EGY_022</t>
  </si>
  <si>
    <t>elc_spv_EGY_023</t>
  </si>
  <si>
    <t>elc_spv_EGY_024</t>
  </si>
  <si>
    <t>elc_spv_EGY_025</t>
  </si>
  <si>
    <t>elc_spv_EGY_026</t>
  </si>
  <si>
    <t>elc_spv_EGY_027</t>
  </si>
  <si>
    <t>elc_spv_EGY_028</t>
  </si>
  <si>
    <t>elc_spv_EGY_029</t>
  </si>
  <si>
    <t>elc_spv_EGY_030</t>
  </si>
  <si>
    <t>elc_spv_EGY_031</t>
  </si>
  <si>
    <t>elc_spv_EGY_032</t>
  </si>
  <si>
    <t>elc_spv_EGY_033</t>
  </si>
  <si>
    <t>elc_spv_EGY_034</t>
  </si>
  <si>
    <t>elc_spv_EGY_035</t>
  </si>
  <si>
    <t>elc_spv_EGY_036</t>
  </si>
  <si>
    <t>elc_spv_EGY_037</t>
  </si>
  <si>
    <t>elc_spv_EGY_038</t>
  </si>
  <si>
    <t>elc_spv_EGY_039</t>
  </si>
  <si>
    <t>elc_won_EGY_001</t>
  </si>
  <si>
    <t>elc_won_EGY_002</t>
  </si>
  <si>
    <t>elc_won_EGY_003</t>
  </si>
  <si>
    <t>elc_won_EGY_004</t>
  </si>
  <si>
    <t>elc_won_EGY_005</t>
  </si>
  <si>
    <t>elc_won_EGY_006</t>
  </si>
  <si>
    <t>elc_won_EGY_007</t>
  </si>
  <si>
    <t>elc_won_EGY_008</t>
  </si>
  <si>
    <t>elc_won_EGY_009</t>
  </si>
  <si>
    <t>elc_won_EGY_010</t>
  </si>
  <si>
    <t>elc_won_EGY_011</t>
  </si>
  <si>
    <t>elc_won_EGY_012</t>
  </si>
  <si>
    <t>elc_won_EGY_013</t>
  </si>
  <si>
    <t>elc_won_EGY_014</t>
  </si>
  <si>
    <t>elc_won_EGY_015</t>
  </si>
  <si>
    <t>elc_won_EGY_016</t>
  </si>
  <si>
    <t>elc_won_EGY_017</t>
  </si>
  <si>
    <t>elc_won_EGY_018</t>
  </si>
  <si>
    <t>elc_won_EGY_019</t>
  </si>
  <si>
    <t>elc_won_EGY_020</t>
  </si>
  <si>
    <t>elc_won_EGY_021</t>
  </si>
  <si>
    <t>elc_won_EGY_022</t>
  </si>
  <si>
    <t>elc_won_EGY_023</t>
  </si>
  <si>
    <t>elc_won_EGY_024</t>
  </si>
  <si>
    <t>elc_won_EGY_025</t>
  </si>
  <si>
    <t>elc_won_EGY_026</t>
  </si>
  <si>
    <t>elc_won_EGY_027</t>
  </si>
  <si>
    <t>elc_won_EGY_028</t>
  </si>
  <si>
    <t>elc_won_EGY_029</t>
  </si>
  <si>
    <t>elc_won_EGY_030</t>
  </si>
  <si>
    <t>elc_won_EGY_031</t>
  </si>
  <si>
    <t>elc_won_EGY_032</t>
  </si>
  <si>
    <t>elc_won_EGY_033</t>
  </si>
  <si>
    <t>elc_won_EGY_034</t>
  </si>
  <si>
    <t>elc_won_EGY_035</t>
  </si>
  <si>
    <t>elc_won_EGY_036</t>
  </si>
  <si>
    <t>elc_won_EGY_037</t>
  </si>
  <si>
    <t>elc_won_EGY_038</t>
  </si>
  <si>
    <t>elc_won_EGY_039</t>
  </si>
  <si>
    <t>elc_wof_EGY_001</t>
  </si>
  <si>
    <t>elc_wof_EGY_002</t>
  </si>
  <si>
    <t>elc_wof_EGY_003</t>
  </si>
  <si>
    <t>elc_wof_EGY_004</t>
  </si>
  <si>
    <t>elc_wof_EGY_005</t>
  </si>
  <si>
    <t>elc_wof_EGY_006</t>
  </si>
  <si>
    <t>elc_wof_EGY_007</t>
  </si>
  <si>
    <t>elc_wof_EGY_008</t>
  </si>
  <si>
    <t>elc_wof_EGY_009</t>
  </si>
  <si>
    <t>elc_wof_EGY_010</t>
  </si>
  <si>
    <t>elc_wof_EGY_011</t>
  </si>
  <si>
    <t>elc_wof_EGY_012</t>
  </si>
  <si>
    <t>elc_wof_EGY_013</t>
  </si>
  <si>
    <t>distr_solelc_spv_EGY_001</t>
  </si>
  <si>
    <t>distr_solelc_spv_EGY_002</t>
  </si>
  <si>
    <t>distr_solelc_spv_EGY_003</t>
  </si>
  <si>
    <t>distr_solelc_spv_EGY_004</t>
  </si>
  <si>
    <t>distr_solelc_spv_EGY_005</t>
  </si>
  <si>
    <t>distr_solelc_spv_EGY_006</t>
  </si>
  <si>
    <t>distr_solelc_spv_EGY_007</t>
  </si>
  <si>
    <t>distr_solelc_spv_EGY_008</t>
  </si>
  <si>
    <t>distr_solelc_spv_EGY_009</t>
  </si>
  <si>
    <t>distr_solelc_spv_EGY_010</t>
  </si>
  <si>
    <t>distr_solelc_spv_EGY_011</t>
  </si>
  <si>
    <t>distr_solelc_spv_EGY_012</t>
  </si>
  <si>
    <t>distr_solelc_spv_EGY_013</t>
  </si>
  <si>
    <t>distr_solelc_spv_EGY_014</t>
  </si>
  <si>
    <t>distr_solelc_spv_EGY_015</t>
  </si>
  <si>
    <t>distr_solelc_spv_EGY_016</t>
  </si>
  <si>
    <t>distr_solelc_spv_EGY_017</t>
  </si>
  <si>
    <t>distr_solelc_spv_EGY_018</t>
  </si>
  <si>
    <t>distr_solelc_spv_EGY_019</t>
  </si>
  <si>
    <t>distr_solelc_spv_EGY_020</t>
  </si>
  <si>
    <t>distr_solelc_spv_EGY_021</t>
  </si>
  <si>
    <t>distr_solelc_spv_EGY_022</t>
  </si>
  <si>
    <t>distr_solelc_spv_EGY_023</t>
  </si>
  <si>
    <t>distr_solelc_spv_EGY_024</t>
  </si>
  <si>
    <t>distr_solelc_spv_EGY_025</t>
  </si>
  <si>
    <t>distr_solelc_spv_EGY_026</t>
  </si>
  <si>
    <t>distr_solelc_spv_EGY_027</t>
  </si>
  <si>
    <t>distr_solelc_spv_EGY_028</t>
  </si>
  <si>
    <t>distr_solelc_spv_EGY_029</t>
  </si>
  <si>
    <t>distr_solelc_spv_EGY_030</t>
  </si>
  <si>
    <t>distr_solelc_spv_EGY_031</t>
  </si>
  <si>
    <t>distr_solelc_spv_EGY_032</t>
  </si>
  <si>
    <t>distr_solelc_spv_EGY_033</t>
  </si>
  <si>
    <t>distr_solelc_spv_EGY_034</t>
  </si>
  <si>
    <t>distr_solelc_spv_EGY_035</t>
  </si>
  <si>
    <t>distr_solelc_spv_EGY_036</t>
  </si>
  <si>
    <t>distr_solelc_spv_EGY_037</t>
  </si>
  <si>
    <t>distr_solelc_spv_EGY_038</t>
  </si>
  <si>
    <t>distr_solelc_spv_EGY_039</t>
  </si>
  <si>
    <t>distr_wofelc_wof_EGY_001</t>
  </si>
  <si>
    <t>distr_wofelc_wof_EGY_002</t>
  </si>
  <si>
    <t>distr_wofelc_wof_EGY_003</t>
  </si>
  <si>
    <t>distr_wofelc_wof_EGY_004</t>
  </si>
  <si>
    <t>distr_wofelc_wof_EGY_005</t>
  </si>
  <si>
    <t>distr_wofelc_wof_EGY_006</t>
  </si>
  <si>
    <t>distr_wofelc_wof_EGY_007</t>
  </si>
  <si>
    <t>distr_wofelc_wof_EGY_008</t>
  </si>
  <si>
    <t>distr_wofelc_wof_EGY_009</t>
  </si>
  <si>
    <t>distr_wofelc_wof_EGY_010</t>
  </si>
  <si>
    <t>distr_wofelc_wof_EGY_011</t>
  </si>
  <si>
    <t>distr_wofelc_wof_EGY_012</t>
  </si>
  <si>
    <t>distr_wofelc_wof_EGY_013</t>
  </si>
  <si>
    <t>distr_wonelc_won_EGY_001</t>
  </si>
  <si>
    <t>distr_wonelc_won_EGY_002</t>
  </si>
  <si>
    <t>distr_wonelc_won_EGY_003</t>
  </si>
  <si>
    <t>distr_wonelc_won_EGY_004</t>
  </si>
  <si>
    <t>distr_wonelc_won_EGY_005</t>
  </si>
  <si>
    <t>distr_wonelc_won_EGY_006</t>
  </si>
  <si>
    <t>distr_wonelc_won_EGY_007</t>
  </si>
  <si>
    <t>distr_wonelc_won_EGY_008</t>
  </si>
  <si>
    <t>distr_wonelc_won_EGY_009</t>
  </si>
  <si>
    <t>distr_wonelc_won_EGY_010</t>
  </si>
  <si>
    <t>distr_wonelc_won_EGY_011</t>
  </si>
  <si>
    <t>distr_wonelc_won_EGY_012</t>
  </si>
  <si>
    <t>distr_wonelc_won_EGY_013</t>
  </si>
  <si>
    <t>distr_wonelc_won_EGY_014</t>
  </si>
  <si>
    <t>distr_wonelc_won_EGY_015</t>
  </si>
  <si>
    <t>distr_wonelc_won_EGY_016</t>
  </si>
  <si>
    <t>distr_wonelc_won_EGY_017</t>
  </si>
  <si>
    <t>distr_wonelc_won_EGY_018</t>
  </si>
  <si>
    <t>distr_wonelc_won_EGY_019</t>
  </si>
  <si>
    <t>distr_wonelc_won_EGY_020</t>
  </si>
  <si>
    <t>distr_wonelc_won_EGY_021</t>
  </si>
  <si>
    <t>distr_wonelc_won_EGY_022</t>
  </si>
  <si>
    <t>distr_wonelc_won_EGY_023</t>
  </si>
  <si>
    <t>distr_wonelc_won_EGY_024</t>
  </si>
  <si>
    <t>distr_wonelc_won_EGY_025</t>
  </si>
  <si>
    <t>distr_wonelc_won_EGY_026</t>
  </si>
  <si>
    <t>distr_wonelc_won_EGY_027</t>
  </si>
  <si>
    <t>distr_wonelc_won_EGY_028</t>
  </si>
  <si>
    <t>distr_wonelc_won_EGY_029</t>
  </si>
  <si>
    <t>distr_wonelc_won_EGY_030</t>
  </si>
  <si>
    <t>distr_wonelc_won_EGY_031</t>
  </si>
  <si>
    <t>distr_wonelc_won_EGY_032</t>
  </si>
  <si>
    <t>distr_wonelc_won_EGY_033</t>
  </si>
  <si>
    <t>distr_wonelc_won_EGY_034</t>
  </si>
  <si>
    <t>distr_wonelc_won_EGY_035</t>
  </si>
  <si>
    <t>distr_wonelc_won_EGY_036</t>
  </si>
  <si>
    <t>distr_wonelc_won_EGY_037</t>
  </si>
  <si>
    <t>distr_wonelc_won_EGY_038</t>
  </si>
  <si>
    <t>distr_wonelc_won_EGY_039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</si>
  <si>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</si>
  <si>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</si>
  <si>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</si>
  <si>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</si>
  <si>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</si>
  <si>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</si>
  <si>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</si>
  <si>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</si>
  <si>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</si>
  <si>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</si>
  <si>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</si>
  <si>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</si>
  <si>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</si>
  <si>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N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</si>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</sst>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IFERROR([1]Veda!D5,"ts_annual")</f>
        <v>ts_annual</v>
      </c>
      <c r="B10" s="5"/>
      <c r="C10" s="5" t="s">
        <v>240</v>
      </c>
      <c r="D10" t="s">
        <v>40</v>
      </c>
    </row>
    <row r="11" spans="1:4" x14ac:dyDescent="0.45">
      <c r="B11" s="5"/>
      <c r="C11" s="5" t="s">
        <v>241</v>
      </c>
      <c r="D11" t="s">
        <v>46</v>
      </c>
    </row>
    <row r="12" spans="1:4" x14ac:dyDescent="0.45">
      <c r="B12" s="5"/>
      <c r="C12" s="5" t="s">
        <v>242</v>
      </c>
      <c r="D12" t="s">
        <v>46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Not Required!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AllSaAllH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AllSaAllH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CC20B-0D29-44E2-A13B-07099603C930}">
  <dimension ref="A9:G11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40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37</v>
      </c>
      <c r="G1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48041-BFF4-454D-A8FF-CD779F4350F7}">
  <dimension ref="B9:O49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41</v>
      </c>
      <c r="C10" t="s">
        <v>42</v>
      </c>
      <c r="D10" t="s">
        <v>43</v>
      </c>
      <c r="E10" t="s">
        <v>44</v>
      </c>
      <c r="G10" t="s">
        <v>41</v>
      </c>
      <c r="H10" t="s">
        <v>42</v>
      </c>
      <c r="I10" t="s">
        <v>43</v>
      </c>
      <c r="J10" t="s">
        <v>44</v>
      </c>
      <c r="L10" t="s">
        <v>41</v>
      </c>
      <c r="M10" t="s">
        <v>42</v>
      </c>
      <c r="N10" t="s">
        <v>43</v>
      </c>
      <c r="O10" t="s">
        <v>44</v>
      </c>
    </row>
    <row r="11" spans="2:15" x14ac:dyDescent="0.45">
      <c r="B11" t="s">
        <v>45</v>
      </c>
      <c r="C11" t="s">
        <v>46</v>
      </c>
      <c r="D11">
        <v>1.0000000000000056</v>
      </c>
      <c r="E11" t="s">
        <v>47</v>
      </c>
      <c r="G11" t="s">
        <v>86</v>
      </c>
      <c r="H11" t="s">
        <v>46</v>
      </c>
      <c r="I11">
        <v>0.99999999999999811</v>
      </c>
      <c r="J11" t="s">
        <v>47</v>
      </c>
      <c r="L11" t="s">
        <v>125</v>
      </c>
      <c r="M11" t="s">
        <v>46</v>
      </c>
      <c r="N11">
        <v>0.999999999999999</v>
      </c>
      <c r="O11" t="s">
        <v>47</v>
      </c>
    </row>
    <row r="12" spans="2:15" x14ac:dyDescent="0.45">
      <c r="B12" t="s">
        <v>48</v>
      </c>
      <c r="C12" t="s">
        <v>46</v>
      </c>
      <c r="D12">
        <v>1.0000000000000016</v>
      </c>
      <c r="E12" t="s">
        <v>47</v>
      </c>
      <c r="G12" t="s">
        <v>87</v>
      </c>
      <c r="H12" t="s">
        <v>46</v>
      </c>
      <c r="I12">
        <v>0.99999999999999956</v>
      </c>
      <c r="J12" t="s">
        <v>47</v>
      </c>
      <c r="L12" t="s">
        <v>126</v>
      </c>
      <c r="M12" t="s">
        <v>46</v>
      </c>
      <c r="N12">
        <v>1.0000000000000018</v>
      </c>
      <c r="O12" t="s">
        <v>47</v>
      </c>
    </row>
    <row r="13" spans="2:15" x14ac:dyDescent="0.45">
      <c r="B13" t="s">
        <v>49</v>
      </c>
      <c r="C13" t="s">
        <v>46</v>
      </c>
      <c r="D13">
        <v>0.99999999999999956</v>
      </c>
      <c r="E13" t="s">
        <v>47</v>
      </c>
      <c r="G13" t="s">
        <v>88</v>
      </c>
      <c r="H13" t="s">
        <v>46</v>
      </c>
      <c r="I13">
        <v>1.0000000000000029</v>
      </c>
      <c r="J13" t="s">
        <v>47</v>
      </c>
      <c r="L13" t="s">
        <v>127</v>
      </c>
      <c r="M13" t="s">
        <v>46</v>
      </c>
      <c r="N13">
        <v>1.0000000000000002</v>
      </c>
      <c r="O13" t="s">
        <v>47</v>
      </c>
    </row>
    <row r="14" spans="2:15" x14ac:dyDescent="0.45">
      <c r="B14" t="s">
        <v>50</v>
      </c>
      <c r="C14" t="s">
        <v>46</v>
      </c>
      <c r="D14">
        <v>1.0000000000000009</v>
      </c>
      <c r="E14" t="s">
        <v>47</v>
      </c>
      <c r="G14" t="s">
        <v>89</v>
      </c>
      <c r="H14" t="s">
        <v>46</v>
      </c>
      <c r="I14">
        <v>0.99999999999999478</v>
      </c>
      <c r="J14" t="s">
        <v>47</v>
      </c>
      <c r="L14" t="s">
        <v>128</v>
      </c>
      <c r="M14" t="s">
        <v>46</v>
      </c>
      <c r="N14">
        <v>1.0000000000000018</v>
      </c>
      <c r="O14" t="s">
        <v>47</v>
      </c>
    </row>
    <row r="15" spans="2:15" x14ac:dyDescent="0.45">
      <c r="B15" t="s">
        <v>51</v>
      </c>
      <c r="C15" t="s">
        <v>46</v>
      </c>
      <c r="D15">
        <v>0.99999999999999845</v>
      </c>
      <c r="E15" t="s">
        <v>47</v>
      </c>
      <c r="G15" t="s">
        <v>90</v>
      </c>
      <c r="H15" t="s">
        <v>46</v>
      </c>
      <c r="I15">
        <v>1.0000000000000009</v>
      </c>
      <c r="J15" t="s">
        <v>47</v>
      </c>
      <c r="L15" t="s">
        <v>129</v>
      </c>
      <c r="M15" t="s">
        <v>46</v>
      </c>
      <c r="N15">
        <v>0.99999999999999933</v>
      </c>
      <c r="O15" t="s">
        <v>47</v>
      </c>
    </row>
    <row r="16" spans="2:15" x14ac:dyDescent="0.45">
      <c r="B16" t="s">
        <v>52</v>
      </c>
      <c r="C16" t="s">
        <v>46</v>
      </c>
      <c r="D16">
        <v>0.99999999999999822</v>
      </c>
      <c r="E16" t="s">
        <v>47</v>
      </c>
      <c r="G16" t="s">
        <v>91</v>
      </c>
      <c r="H16" t="s">
        <v>46</v>
      </c>
      <c r="I16">
        <v>1.0000000000000002</v>
      </c>
      <c r="J16" t="s">
        <v>47</v>
      </c>
      <c r="L16" t="s">
        <v>130</v>
      </c>
      <c r="M16" t="s">
        <v>46</v>
      </c>
      <c r="N16">
        <v>1.0000000000000013</v>
      </c>
      <c r="O16" t="s">
        <v>47</v>
      </c>
    </row>
    <row r="17" spans="2:15" x14ac:dyDescent="0.45">
      <c r="B17" t="s">
        <v>53</v>
      </c>
      <c r="C17" t="s">
        <v>46</v>
      </c>
      <c r="D17">
        <v>0.99999999999999922</v>
      </c>
      <c r="E17" t="s">
        <v>47</v>
      </c>
      <c r="G17" t="s">
        <v>92</v>
      </c>
      <c r="H17" t="s">
        <v>46</v>
      </c>
      <c r="I17">
        <v>0.99999999999999933</v>
      </c>
      <c r="J17" t="s">
        <v>47</v>
      </c>
      <c r="L17" t="s">
        <v>131</v>
      </c>
      <c r="M17" t="s">
        <v>46</v>
      </c>
      <c r="N17">
        <v>0.99999999999999878</v>
      </c>
      <c r="O17" t="s">
        <v>47</v>
      </c>
    </row>
    <row r="18" spans="2:15" x14ac:dyDescent="0.45">
      <c r="B18" t="s">
        <v>54</v>
      </c>
      <c r="C18" t="s">
        <v>46</v>
      </c>
      <c r="D18">
        <v>0.99999999999999989</v>
      </c>
      <c r="E18" t="s">
        <v>47</v>
      </c>
      <c r="G18" t="s">
        <v>93</v>
      </c>
      <c r="H18" t="s">
        <v>46</v>
      </c>
      <c r="I18">
        <v>0.99999999999999833</v>
      </c>
      <c r="J18" t="s">
        <v>47</v>
      </c>
      <c r="L18" t="s">
        <v>132</v>
      </c>
      <c r="M18" t="s">
        <v>46</v>
      </c>
      <c r="N18">
        <v>0.999999999999999</v>
      </c>
      <c r="O18" t="s">
        <v>47</v>
      </c>
    </row>
    <row r="19" spans="2:15" x14ac:dyDescent="0.45">
      <c r="B19" t="s">
        <v>55</v>
      </c>
      <c r="C19" t="s">
        <v>46</v>
      </c>
      <c r="D19">
        <v>1.0000000000000031</v>
      </c>
      <c r="E19" t="s">
        <v>47</v>
      </c>
      <c r="G19" t="s">
        <v>94</v>
      </c>
      <c r="H19" t="s">
        <v>46</v>
      </c>
      <c r="I19">
        <v>0.99999999999999767</v>
      </c>
      <c r="J19" t="s">
        <v>47</v>
      </c>
      <c r="L19" t="s">
        <v>133</v>
      </c>
      <c r="M19" t="s">
        <v>46</v>
      </c>
      <c r="N19">
        <v>1.0000000000000069</v>
      </c>
      <c r="O19" t="s">
        <v>47</v>
      </c>
    </row>
    <row r="20" spans="2:15" x14ac:dyDescent="0.45">
      <c r="B20" t="s">
        <v>56</v>
      </c>
      <c r="C20" t="s">
        <v>46</v>
      </c>
      <c r="D20">
        <v>1.0000000000000004</v>
      </c>
      <c r="E20" t="s">
        <v>47</v>
      </c>
      <c r="G20" t="s">
        <v>95</v>
      </c>
      <c r="H20" t="s">
        <v>46</v>
      </c>
      <c r="I20">
        <v>0.99999999999999856</v>
      </c>
      <c r="J20" t="s">
        <v>47</v>
      </c>
      <c r="L20" t="s">
        <v>134</v>
      </c>
      <c r="M20" t="s">
        <v>46</v>
      </c>
      <c r="N20">
        <v>1.0000000000000009</v>
      </c>
      <c r="O20" t="s">
        <v>47</v>
      </c>
    </row>
    <row r="21" spans="2:15" x14ac:dyDescent="0.45">
      <c r="B21" t="s">
        <v>57</v>
      </c>
      <c r="C21" t="s">
        <v>46</v>
      </c>
      <c r="D21">
        <v>1</v>
      </c>
      <c r="E21" t="s">
        <v>47</v>
      </c>
      <c r="G21" t="s">
        <v>96</v>
      </c>
      <c r="H21" t="s">
        <v>46</v>
      </c>
      <c r="I21">
        <v>0.99999999999999922</v>
      </c>
      <c r="J21" t="s">
        <v>47</v>
      </c>
      <c r="L21" t="s">
        <v>135</v>
      </c>
      <c r="M21" t="s">
        <v>46</v>
      </c>
      <c r="N21">
        <v>0.99999999999999933</v>
      </c>
      <c r="O21" t="s">
        <v>47</v>
      </c>
    </row>
    <row r="22" spans="2:15" x14ac:dyDescent="0.45">
      <c r="B22" t="s">
        <v>58</v>
      </c>
      <c r="C22" t="s">
        <v>46</v>
      </c>
      <c r="D22">
        <v>0.99999999999999967</v>
      </c>
      <c r="E22" t="s">
        <v>47</v>
      </c>
      <c r="G22" t="s">
        <v>97</v>
      </c>
      <c r="H22" t="s">
        <v>46</v>
      </c>
      <c r="I22">
        <v>0.99999999999999711</v>
      </c>
      <c r="J22" t="s">
        <v>47</v>
      </c>
      <c r="L22" t="s">
        <v>136</v>
      </c>
      <c r="M22" t="s">
        <v>46</v>
      </c>
      <c r="N22">
        <v>0.99999999999999878</v>
      </c>
      <c r="O22" t="s">
        <v>47</v>
      </c>
    </row>
    <row r="23" spans="2:15" x14ac:dyDescent="0.45">
      <c r="B23" t="s">
        <v>59</v>
      </c>
      <c r="C23" t="s">
        <v>46</v>
      </c>
      <c r="D23">
        <v>0.99999999999999933</v>
      </c>
      <c r="E23" t="s">
        <v>47</v>
      </c>
      <c r="G23" t="s">
        <v>98</v>
      </c>
      <c r="H23" t="s">
        <v>46</v>
      </c>
      <c r="I23">
        <v>1.0000000000000016</v>
      </c>
      <c r="J23" t="s">
        <v>47</v>
      </c>
      <c r="L23" t="s">
        <v>137</v>
      </c>
      <c r="M23" t="s">
        <v>46</v>
      </c>
      <c r="N23">
        <v>1.0000000000000009</v>
      </c>
      <c r="O23" t="s">
        <v>47</v>
      </c>
    </row>
    <row r="24" spans="2:15" x14ac:dyDescent="0.45">
      <c r="B24" t="s">
        <v>60</v>
      </c>
      <c r="C24" t="s">
        <v>46</v>
      </c>
      <c r="D24">
        <v>1.0000000000000013</v>
      </c>
      <c r="E24" t="s">
        <v>47</v>
      </c>
      <c r="G24" t="s">
        <v>99</v>
      </c>
      <c r="H24" t="s">
        <v>46</v>
      </c>
      <c r="I24">
        <v>1.0000000000000031</v>
      </c>
      <c r="J24" t="s">
        <v>47</v>
      </c>
    </row>
    <row r="25" spans="2:15" x14ac:dyDescent="0.45">
      <c r="B25" t="s">
        <v>61</v>
      </c>
      <c r="C25" t="s">
        <v>46</v>
      </c>
      <c r="D25">
        <v>0.999999999999999</v>
      </c>
      <c r="E25" t="s">
        <v>47</v>
      </c>
      <c r="G25" t="s">
        <v>100</v>
      </c>
      <c r="H25" t="s">
        <v>46</v>
      </c>
      <c r="I25">
        <v>1.0000000000000016</v>
      </c>
      <c r="J25" t="s">
        <v>47</v>
      </c>
    </row>
    <row r="26" spans="2:15" x14ac:dyDescent="0.45">
      <c r="B26" t="s">
        <v>62</v>
      </c>
      <c r="C26" t="s">
        <v>46</v>
      </c>
      <c r="D26">
        <v>1.0000000000000004</v>
      </c>
      <c r="E26" t="s">
        <v>47</v>
      </c>
      <c r="G26" t="s">
        <v>101</v>
      </c>
      <c r="H26" t="s">
        <v>46</v>
      </c>
      <c r="I26">
        <v>1.0000000000000027</v>
      </c>
      <c r="J26" t="s">
        <v>47</v>
      </c>
    </row>
    <row r="27" spans="2:15" x14ac:dyDescent="0.45">
      <c r="B27" t="s">
        <v>63</v>
      </c>
      <c r="C27" t="s">
        <v>46</v>
      </c>
      <c r="D27">
        <v>1.0000000000000007</v>
      </c>
      <c r="E27" t="s">
        <v>47</v>
      </c>
      <c r="G27" t="s">
        <v>102</v>
      </c>
      <c r="H27" t="s">
        <v>46</v>
      </c>
      <c r="I27">
        <v>0.99999999999999567</v>
      </c>
      <c r="J27" t="s">
        <v>47</v>
      </c>
    </row>
    <row r="28" spans="2:15" x14ac:dyDescent="0.45">
      <c r="B28" t="s">
        <v>64</v>
      </c>
      <c r="C28" t="s">
        <v>46</v>
      </c>
      <c r="D28">
        <v>0.99999999999999867</v>
      </c>
      <c r="E28" t="s">
        <v>47</v>
      </c>
      <c r="G28" t="s">
        <v>103</v>
      </c>
      <c r="H28" t="s">
        <v>46</v>
      </c>
      <c r="I28">
        <v>1.0000000000000002</v>
      </c>
      <c r="J28" t="s">
        <v>47</v>
      </c>
    </row>
    <row r="29" spans="2:15" x14ac:dyDescent="0.45">
      <c r="B29" t="s">
        <v>65</v>
      </c>
      <c r="C29" t="s">
        <v>46</v>
      </c>
      <c r="D29">
        <v>0.99999999999999967</v>
      </c>
      <c r="E29" t="s">
        <v>47</v>
      </c>
      <c r="G29" t="s">
        <v>104</v>
      </c>
      <c r="H29" t="s">
        <v>46</v>
      </c>
      <c r="I29">
        <v>1.0000000000000027</v>
      </c>
      <c r="J29" t="s">
        <v>47</v>
      </c>
    </row>
    <row r="30" spans="2:15" x14ac:dyDescent="0.45">
      <c r="B30" t="s">
        <v>66</v>
      </c>
      <c r="C30" t="s">
        <v>46</v>
      </c>
      <c r="D30">
        <v>0.999999999999998</v>
      </c>
      <c r="E30" t="s">
        <v>47</v>
      </c>
      <c r="G30" t="s">
        <v>105</v>
      </c>
      <c r="H30" t="s">
        <v>46</v>
      </c>
      <c r="I30">
        <v>1.0000000000000011</v>
      </c>
      <c r="J30" t="s">
        <v>47</v>
      </c>
    </row>
    <row r="31" spans="2:15" x14ac:dyDescent="0.45">
      <c r="B31" t="s">
        <v>67</v>
      </c>
      <c r="C31" t="s">
        <v>46</v>
      </c>
      <c r="D31">
        <v>0.999999999999999</v>
      </c>
      <c r="E31" t="s">
        <v>47</v>
      </c>
      <c r="G31" t="s">
        <v>106</v>
      </c>
      <c r="H31" t="s">
        <v>46</v>
      </c>
      <c r="I31">
        <v>1.0000000000000009</v>
      </c>
      <c r="J31" t="s">
        <v>47</v>
      </c>
    </row>
    <row r="32" spans="2:15" x14ac:dyDescent="0.45">
      <c r="B32" t="s">
        <v>68</v>
      </c>
      <c r="C32" t="s">
        <v>46</v>
      </c>
      <c r="D32">
        <v>0.99999999999999867</v>
      </c>
      <c r="E32" t="s">
        <v>47</v>
      </c>
      <c r="G32" t="s">
        <v>107</v>
      </c>
      <c r="H32" t="s">
        <v>46</v>
      </c>
      <c r="I32">
        <v>0.999999999999997</v>
      </c>
      <c r="J32" t="s">
        <v>47</v>
      </c>
    </row>
    <row r="33" spans="2:10" x14ac:dyDescent="0.45">
      <c r="B33" t="s">
        <v>69</v>
      </c>
      <c r="C33" t="s">
        <v>46</v>
      </c>
      <c r="D33">
        <v>0.99999999999999822</v>
      </c>
      <c r="E33" t="s">
        <v>47</v>
      </c>
      <c r="G33" t="s">
        <v>108</v>
      </c>
      <c r="H33" t="s">
        <v>46</v>
      </c>
      <c r="I33">
        <v>1.0000000000000029</v>
      </c>
      <c r="J33" t="s">
        <v>47</v>
      </c>
    </row>
    <row r="34" spans="2:10" x14ac:dyDescent="0.45">
      <c r="B34" t="s">
        <v>70</v>
      </c>
      <c r="C34" t="s">
        <v>46</v>
      </c>
      <c r="D34">
        <v>1.0000000000000018</v>
      </c>
      <c r="E34" t="s">
        <v>47</v>
      </c>
      <c r="G34" t="s">
        <v>109</v>
      </c>
      <c r="H34" t="s">
        <v>46</v>
      </c>
      <c r="I34">
        <v>0.99999999999999556</v>
      </c>
      <c r="J34" t="s">
        <v>47</v>
      </c>
    </row>
    <row r="35" spans="2:10" x14ac:dyDescent="0.45">
      <c r="B35" t="s">
        <v>71</v>
      </c>
      <c r="C35" t="s">
        <v>46</v>
      </c>
      <c r="D35">
        <v>1.0000000000000004</v>
      </c>
      <c r="E35" t="s">
        <v>47</v>
      </c>
      <c r="G35" t="s">
        <v>110</v>
      </c>
      <c r="H35" t="s">
        <v>46</v>
      </c>
      <c r="I35">
        <v>0.99999999999999911</v>
      </c>
      <c r="J35" t="s">
        <v>47</v>
      </c>
    </row>
    <row r="36" spans="2:10" x14ac:dyDescent="0.45">
      <c r="B36" t="s">
        <v>72</v>
      </c>
      <c r="C36" t="s">
        <v>46</v>
      </c>
      <c r="D36">
        <v>1.0000000000000011</v>
      </c>
      <c r="E36" t="s">
        <v>47</v>
      </c>
      <c r="G36" t="s">
        <v>111</v>
      </c>
      <c r="H36" t="s">
        <v>46</v>
      </c>
      <c r="I36">
        <v>0.99999999999999845</v>
      </c>
      <c r="J36" t="s">
        <v>47</v>
      </c>
    </row>
    <row r="37" spans="2:10" x14ac:dyDescent="0.45">
      <c r="B37" t="s">
        <v>73</v>
      </c>
      <c r="C37" t="s">
        <v>46</v>
      </c>
      <c r="D37">
        <v>0.99999999999999789</v>
      </c>
      <c r="E37" t="s">
        <v>47</v>
      </c>
      <c r="G37" t="s">
        <v>112</v>
      </c>
      <c r="H37" t="s">
        <v>46</v>
      </c>
      <c r="I37">
        <v>0.999999999999999</v>
      </c>
      <c r="J37" t="s">
        <v>47</v>
      </c>
    </row>
    <row r="38" spans="2:10" x14ac:dyDescent="0.45">
      <c r="B38" t="s">
        <v>74</v>
      </c>
      <c r="C38" t="s">
        <v>46</v>
      </c>
      <c r="D38">
        <v>1.0000000000000038</v>
      </c>
      <c r="E38" t="s">
        <v>47</v>
      </c>
      <c r="G38" t="s">
        <v>113</v>
      </c>
      <c r="H38" t="s">
        <v>46</v>
      </c>
      <c r="I38">
        <v>1.0000000000000013</v>
      </c>
      <c r="J38" t="s">
        <v>47</v>
      </c>
    </row>
    <row r="39" spans="2:10" x14ac:dyDescent="0.45">
      <c r="B39" t="s">
        <v>75</v>
      </c>
      <c r="C39" t="s">
        <v>46</v>
      </c>
      <c r="D39">
        <v>1.0000000000000004</v>
      </c>
      <c r="E39" t="s">
        <v>47</v>
      </c>
      <c r="G39" t="s">
        <v>114</v>
      </c>
      <c r="H39" t="s">
        <v>46</v>
      </c>
      <c r="I39">
        <v>1</v>
      </c>
      <c r="J39" t="s">
        <v>47</v>
      </c>
    </row>
    <row r="40" spans="2:10" x14ac:dyDescent="0.45">
      <c r="B40" t="s">
        <v>76</v>
      </c>
      <c r="C40" t="s">
        <v>46</v>
      </c>
      <c r="D40">
        <v>1</v>
      </c>
      <c r="E40" t="s">
        <v>47</v>
      </c>
      <c r="G40" t="s">
        <v>115</v>
      </c>
      <c r="H40" t="s">
        <v>46</v>
      </c>
      <c r="I40">
        <v>1.000000000000002</v>
      </c>
      <c r="J40" t="s">
        <v>47</v>
      </c>
    </row>
    <row r="41" spans="2:10" x14ac:dyDescent="0.45">
      <c r="B41" t="s">
        <v>77</v>
      </c>
      <c r="C41" t="s">
        <v>46</v>
      </c>
      <c r="D41">
        <v>1.0000000000000002</v>
      </c>
      <c r="E41" t="s">
        <v>47</v>
      </c>
      <c r="G41" t="s">
        <v>116</v>
      </c>
      <c r="H41" t="s">
        <v>46</v>
      </c>
      <c r="I41">
        <v>0.99999999999999767</v>
      </c>
      <c r="J41" t="s">
        <v>47</v>
      </c>
    </row>
    <row r="42" spans="2:10" x14ac:dyDescent="0.45">
      <c r="B42" t="s">
        <v>78</v>
      </c>
      <c r="C42" t="s">
        <v>46</v>
      </c>
      <c r="D42">
        <v>0.99999999999999689</v>
      </c>
      <c r="E42" t="s">
        <v>47</v>
      </c>
      <c r="G42" t="s">
        <v>117</v>
      </c>
      <c r="H42" t="s">
        <v>46</v>
      </c>
      <c r="I42">
        <v>1.0000000000000009</v>
      </c>
      <c r="J42" t="s">
        <v>47</v>
      </c>
    </row>
    <row r="43" spans="2:10" x14ac:dyDescent="0.45">
      <c r="B43" t="s">
        <v>79</v>
      </c>
      <c r="C43" t="s">
        <v>46</v>
      </c>
      <c r="D43">
        <v>1.0000000000000002</v>
      </c>
      <c r="E43" t="s">
        <v>47</v>
      </c>
      <c r="G43" t="s">
        <v>118</v>
      </c>
      <c r="H43" t="s">
        <v>46</v>
      </c>
      <c r="I43">
        <v>0.99999999999999623</v>
      </c>
      <c r="J43" t="s">
        <v>47</v>
      </c>
    </row>
    <row r="44" spans="2:10" x14ac:dyDescent="0.45">
      <c r="B44" t="s">
        <v>80</v>
      </c>
      <c r="C44" t="s">
        <v>46</v>
      </c>
      <c r="D44">
        <v>0.99999999999999978</v>
      </c>
      <c r="E44" t="s">
        <v>47</v>
      </c>
      <c r="G44" t="s">
        <v>119</v>
      </c>
      <c r="H44" t="s">
        <v>46</v>
      </c>
      <c r="I44">
        <v>1</v>
      </c>
      <c r="J44" t="s">
        <v>47</v>
      </c>
    </row>
    <row r="45" spans="2:10" x14ac:dyDescent="0.45">
      <c r="B45" t="s">
        <v>81</v>
      </c>
      <c r="C45" t="s">
        <v>46</v>
      </c>
      <c r="D45">
        <v>1.0000000000000011</v>
      </c>
      <c r="E45" t="s">
        <v>47</v>
      </c>
      <c r="G45" t="s">
        <v>120</v>
      </c>
      <c r="H45" t="s">
        <v>46</v>
      </c>
      <c r="I45">
        <v>1.000000000000002</v>
      </c>
      <c r="J45" t="s">
        <v>47</v>
      </c>
    </row>
    <row r="46" spans="2:10" x14ac:dyDescent="0.45">
      <c r="B46" t="s">
        <v>82</v>
      </c>
      <c r="C46" t="s">
        <v>46</v>
      </c>
      <c r="D46">
        <v>0.99999999999999889</v>
      </c>
      <c r="E46" t="s">
        <v>47</v>
      </c>
      <c r="G46" t="s">
        <v>121</v>
      </c>
      <c r="H46" t="s">
        <v>46</v>
      </c>
      <c r="I46">
        <v>1.0000000000000011</v>
      </c>
      <c r="J46" t="s">
        <v>47</v>
      </c>
    </row>
    <row r="47" spans="2:10" x14ac:dyDescent="0.45">
      <c r="B47" t="s">
        <v>83</v>
      </c>
      <c r="C47" t="s">
        <v>46</v>
      </c>
      <c r="D47">
        <v>0.999999999999999</v>
      </c>
      <c r="E47" t="s">
        <v>47</v>
      </c>
      <c r="G47" t="s">
        <v>122</v>
      </c>
      <c r="H47" t="s">
        <v>46</v>
      </c>
      <c r="I47">
        <v>0.99999999999999667</v>
      </c>
      <c r="J47" t="s">
        <v>47</v>
      </c>
    </row>
    <row r="48" spans="2:10" x14ac:dyDescent="0.45">
      <c r="B48" t="s">
        <v>84</v>
      </c>
      <c r="C48" t="s">
        <v>46</v>
      </c>
      <c r="D48">
        <v>0.99999999999999534</v>
      </c>
      <c r="E48" t="s">
        <v>47</v>
      </c>
      <c r="G48" t="s">
        <v>123</v>
      </c>
      <c r="H48" t="s">
        <v>46</v>
      </c>
      <c r="I48">
        <v>0.99999999999999822</v>
      </c>
      <c r="J48" t="s">
        <v>47</v>
      </c>
    </row>
    <row r="49" spans="2:10" x14ac:dyDescent="0.45">
      <c r="B49" t="s">
        <v>85</v>
      </c>
      <c r="C49" t="s">
        <v>46</v>
      </c>
      <c r="D49">
        <v>0.99999999999999634</v>
      </c>
      <c r="E49" t="s">
        <v>47</v>
      </c>
      <c r="G49" t="s">
        <v>124</v>
      </c>
      <c r="H49" t="s">
        <v>46</v>
      </c>
      <c r="I49">
        <v>0.99999999999999889</v>
      </c>
      <c r="J49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DD484-DF47-4D68-B85B-6A345589230C}">
  <dimension ref="B9:T101"/>
  <sheetViews>
    <sheetView workbookViewId="0"/>
  </sheetViews>
  <sheetFormatPr defaultRowHeight="14.25" x14ac:dyDescent="0.45"/>
  <sheetData>
    <row r="9" spans="2:20" x14ac:dyDescent="0.45">
      <c r="B9" t="str">
        <f>IF(A11="x","DeActivated","~TFM_DINS-TSL: attribute=FLO_EMIS; other_indexes=ACT")</f>
        <v>~TFM_DINS-TSL: attribute=FLO_EMIS; other_indexes=ACT</v>
      </c>
      <c r="F9" t="str">
        <f>IF(A11="x","DeActivated","~TFM_INS-TSL: attribute=FLO_SHAR; limtype=FX")</f>
        <v>~TFM_INS-TSL: attribute=FLO_SHAR; limtype=FX</v>
      </c>
      <c r="J9" t="str">
        <f>IF(A11="x","DeActivated","~TFM_INS-TSL: attribute=FLO_SHAR; limtype=FX")</f>
        <v>~TFM_INS-TSL: attribute=FLO_SHAR; limtype=FX</v>
      </c>
      <c r="N9" t="str">
        <f>IF(A11="x","DeActivated","~TFM_DINS-TSL: attribute=NCAP_PKCNT")</f>
        <v>~TFM_DINS-TSL: attribute=NCAP_PKCNT</v>
      </c>
      <c r="Q9" t="str">
        <f>IF(A11="x","DeActivated","~TFM_DINS-AT")</f>
        <v>~TFM_DINS-AT</v>
      </c>
    </row>
    <row r="10" spans="2:20" x14ac:dyDescent="0.45">
      <c r="B10" t="s">
        <v>44</v>
      </c>
      <c r="C10" t="s">
        <v>41</v>
      </c>
      <c r="D10" t="s">
        <v>46</v>
      </c>
      <c r="F10" t="s">
        <v>44</v>
      </c>
      <c r="G10" t="s">
        <v>41</v>
      </c>
      <c r="H10" t="s">
        <v>46</v>
      </c>
      <c r="J10" t="s">
        <v>44</v>
      </c>
      <c r="K10" t="s">
        <v>41</v>
      </c>
      <c r="L10" t="s">
        <v>46</v>
      </c>
      <c r="N10" t="s">
        <v>44</v>
      </c>
      <c r="O10" t="s">
        <v>46</v>
      </c>
      <c r="Q10" t="s">
        <v>44</v>
      </c>
      <c r="R10" t="s">
        <v>41</v>
      </c>
      <c r="S10" t="s">
        <v>234</v>
      </c>
      <c r="T10" t="s">
        <v>235</v>
      </c>
    </row>
    <row r="11" spans="2:20" x14ac:dyDescent="0.45">
      <c r="B11" t="s">
        <v>138</v>
      </c>
      <c r="C11" t="s">
        <v>31</v>
      </c>
      <c r="D11">
        <v>0.51896131533141876</v>
      </c>
      <c r="F11" t="s">
        <v>229</v>
      </c>
      <c r="G11" t="s">
        <v>230</v>
      </c>
      <c r="H11">
        <v>0.13198126187527651</v>
      </c>
      <c r="J11" t="s">
        <v>229</v>
      </c>
      <c r="K11" t="s">
        <v>233</v>
      </c>
      <c r="L11">
        <v>0.16046721844002387</v>
      </c>
      <c r="N11" t="s">
        <v>138</v>
      </c>
      <c r="O11">
        <v>0.28189559451047264</v>
      </c>
      <c r="Q11" t="s">
        <v>138</v>
      </c>
      <c r="R11" t="s">
        <v>236</v>
      </c>
      <c r="S11" t="s">
        <v>237</v>
      </c>
      <c r="T11">
        <v>0.28189559451047264</v>
      </c>
    </row>
    <row r="12" spans="2:20" x14ac:dyDescent="0.45">
      <c r="B12" t="s">
        <v>139</v>
      </c>
      <c r="C12" t="s">
        <v>31</v>
      </c>
      <c r="D12">
        <v>0.52051795302648551</v>
      </c>
      <c r="F12" t="s">
        <v>231</v>
      </c>
      <c r="G12" t="s">
        <v>230</v>
      </c>
      <c r="H12">
        <v>1.1260014825635123E-2</v>
      </c>
      <c r="J12" t="s">
        <v>231</v>
      </c>
      <c r="K12" t="s">
        <v>233</v>
      </c>
      <c r="L12">
        <v>2.4827302931111392E-2</v>
      </c>
      <c r="N12" t="s">
        <v>139</v>
      </c>
      <c r="O12">
        <v>0.26773892961069234</v>
      </c>
      <c r="Q12" t="s">
        <v>139</v>
      </c>
      <c r="R12" t="s">
        <v>236</v>
      </c>
      <c r="S12" t="s">
        <v>237</v>
      </c>
      <c r="T12">
        <v>0.26773892961069234</v>
      </c>
    </row>
    <row r="13" spans="2:20" x14ac:dyDescent="0.45">
      <c r="B13" t="s">
        <v>140</v>
      </c>
      <c r="C13" t="s">
        <v>31</v>
      </c>
      <c r="D13">
        <v>0.5199987974499185</v>
      </c>
      <c r="F13" t="s">
        <v>232</v>
      </c>
      <c r="G13" t="s">
        <v>230</v>
      </c>
      <c r="H13">
        <v>1.5926267144528391E-3</v>
      </c>
      <c r="J13" t="s">
        <v>232</v>
      </c>
      <c r="K13" t="s">
        <v>233</v>
      </c>
      <c r="L13">
        <v>6.9295898343552306E-3</v>
      </c>
      <c r="N13" t="s">
        <v>140</v>
      </c>
      <c r="O13">
        <v>0.27554419283335174</v>
      </c>
      <c r="Q13" t="s">
        <v>140</v>
      </c>
      <c r="R13" t="s">
        <v>236</v>
      </c>
      <c r="S13" t="s">
        <v>237</v>
      </c>
      <c r="T13">
        <v>0.27554419283335174</v>
      </c>
    </row>
    <row r="14" spans="2:20" x14ac:dyDescent="0.45">
      <c r="B14" t="s">
        <v>141</v>
      </c>
      <c r="C14" t="s">
        <v>31</v>
      </c>
      <c r="D14">
        <v>0.51652858557560122</v>
      </c>
      <c r="N14" t="s">
        <v>141</v>
      </c>
      <c r="O14">
        <v>0.2976248305726652</v>
      </c>
      <c r="Q14" t="s">
        <v>141</v>
      </c>
      <c r="R14" t="s">
        <v>236</v>
      </c>
      <c r="S14" t="s">
        <v>237</v>
      </c>
      <c r="T14">
        <v>0.2976248305726652</v>
      </c>
    </row>
    <row r="15" spans="2:20" x14ac:dyDescent="0.45">
      <c r="B15" t="s">
        <v>142</v>
      </c>
      <c r="C15" t="s">
        <v>31</v>
      </c>
      <c r="D15">
        <v>0.51856353740419914</v>
      </c>
      <c r="N15" t="s">
        <v>142</v>
      </c>
      <c r="O15">
        <v>0.29096019246466992</v>
      </c>
      <c r="Q15" t="s">
        <v>142</v>
      </c>
      <c r="R15" t="s">
        <v>236</v>
      </c>
      <c r="S15" t="s">
        <v>237</v>
      </c>
      <c r="T15">
        <v>0.29096019246466992</v>
      </c>
    </row>
    <row r="16" spans="2:20" x14ac:dyDescent="0.45">
      <c r="B16" t="s">
        <v>143</v>
      </c>
      <c r="C16" t="s">
        <v>31</v>
      </c>
      <c r="D16">
        <v>0.51872625870854239</v>
      </c>
      <c r="N16" t="s">
        <v>143</v>
      </c>
      <c r="O16">
        <v>0.28695705474919525</v>
      </c>
      <c r="Q16" t="s">
        <v>143</v>
      </c>
      <c r="R16" t="s">
        <v>236</v>
      </c>
      <c r="S16" t="s">
        <v>237</v>
      </c>
      <c r="T16">
        <v>0.28695705474919525</v>
      </c>
    </row>
    <row r="17" spans="2:20" x14ac:dyDescent="0.45">
      <c r="B17" t="s">
        <v>144</v>
      </c>
      <c r="C17" t="s">
        <v>31</v>
      </c>
      <c r="D17">
        <v>0.51728417520277781</v>
      </c>
      <c r="N17" t="s">
        <v>144</v>
      </c>
      <c r="O17">
        <v>0.28009451229460547</v>
      </c>
      <c r="Q17" t="s">
        <v>144</v>
      </c>
      <c r="R17" t="s">
        <v>236</v>
      </c>
      <c r="S17" t="s">
        <v>237</v>
      </c>
      <c r="T17">
        <v>0.28009451229460547</v>
      </c>
    </row>
    <row r="18" spans="2:20" x14ac:dyDescent="0.45">
      <c r="B18" t="s">
        <v>145</v>
      </c>
      <c r="C18" t="s">
        <v>31</v>
      </c>
      <c r="D18">
        <v>0.51613603017641874</v>
      </c>
      <c r="N18" t="s">
        <v>145</v>
      </c>
      <c r="O18">
        <v>0.27503547030696396</v>
      </c>
      <c r="Q18" t="s">
        <v>145</v>
      </c>
      <c r="R18" t="s">
        <v>236</v>
      </c>
      <c r="S18" t="s">
        <v>237</v>
      </c>
      <c r="T18">
        <v>0.27503547030696396</v>
      </c>
    </row>
    <row r="19" spans="2:20" x14ac:dyDescent="0.45">
      <c r="B19" t="s">
        <v>146</v>
      </c>
      <c r="C19" t="s">
        <v>31</v>
      </c>
      <c r="D19">
        <v>0.51703877340432791</v>
      </c>
      <c r="N19" t="s">
        <v>146</v>
      </c>
      <c r="O19">
        <v>0.2806488642112846</v>
      </c>
      <c r="Q19" t="s">
        <v>146</v>
      </c>
      <c r="R19" t="s">
        <v>236</v>
      </c>
      <c r="S19" t="s">
        <v>237</v>
      </c>
      <c r="T19">
        <v>0.2806488642112846</v>
      </c>
    </row>
    <row r="20" spans="2:20" x14ac:dyDescent="0.45">
      <c r="B20" t="s">
        <v>147</v>
      </c>
      <c r="C20" t="s">
        <v>31</v>
      </c>
      <c r="D20">
        <v>0.51670654634086921</v>
      </c>
      <c r="N20" t="s">
        <v>147</v>
      </c>
      <c r="O20">
        <v>0.28846834205683941</v>
      </c>
      <c r="Q20" t="s">
        <v>147</v>
      </c>
      <c r="R20" t="s">
        <v>236</v>
      </c>
      <c r="S20" t="s">
        <v>237</v>
      </c>
      <c r="T20">
        <v>0.28846834205683941</v>
      </c>
    </row>
    <row r="21" spans="2:20" x14ac:dyDescent="0.45">
      <c r="B21" t="s">
        <v>148</v>
      </c>
      <c r="C21" t="s">
        <v>31</v>
      </c>
      <c r="D21">
        <v>0.51637208225968834</v>
      </c>
      <c r="N21" t="s">
        <v>148</v>
      </c>
      <c r="O21">
        <v>0.28972359176284995</v>
      </c>
      <c r="Q21" t="s">
        <v>148</v>
      </c>
      <c r="R21" t="s">
        <v>236</v>
      </c>
      <c r="S21" t="s">
        <v>237</v>
      </c>
      <c r="T21">
        <v>0.28972359176284995</v>
      </c>
    </row>
    <row r="22" spans="2:20" x14ac:dyDescent="0.45">
      <c r="B22" t="s">
        <v>149</v>
      </c>
      <c r="C22" t="s">
        <v>31</v>
      </c>
      <c r="D22">
        <v>0.51773987468334759</v>
      </c>
      <c r="N22" t="s">
        <v>149</v>
      </c>
      <c r="O22">
        <v>0.28674141422354593</v>
      </c>
      <c r="Q22" t="s">
        <v>149</v>
      </c>
      <c r="R22" t="s">
        <v>236</v>
      </c>
      <c r="S22" t="s">
        <v>237</v>
      </c>
      <c r="T22">
        <v>0.28674141422354593</v>
      </c>
    </row>
    <row r="23" spans="2:20" x14ac:dyDescent="0.45">
      <c r="B23" t="s">
        <v>150</v>
      </c>
      <c r="C23" t="s">
        <v>31</v>
      </c>
      <c r="D23">
        <v>0.51750028493231148</v>
      </c>
      <c r="N23" t="s">
        <v>150</v>
      </c>
      <c r="O23">
        <v>0.28262090385453326</v>
      </c>
      <c r="Q23" t="s">
        <v>150</v>
      </c>
      <c r="R23" t="s">
        <v>236</v>
      </c>
      <c r="S23" t="s">
        <v>237</v>
      </c>
      <c r="T23">
        <v>0.28262090385453326</v>
      </c>
    </row>
    <row r="24" spans="2:20" x14ac:dyDescent="0.45">
      <c r="B24" t="s">
        <v>151</v>
      </c>
      <c r="C24" t="s">
        <v>31</v>
      </c>
      <c r="D24">
        <v>0.51657203317129918</v>
      </c>
      <c r="N24" t="s">
        <v>151</v>
      </c>
      <c r="O24">
        <v>0.28587305676498204</v>
      </c>
      <c r="Q24" t="s">
        <v>151</v>
      </c>
      <c r="R24" t="s">
        <v>236</v>
      </c>
      <c r="S24" t="s">
        <v>237</v>
      </c>
      <c r="T24">
        <v>0.28587305676498204</v>
      </c>
    </row>
    <row r="25" spans="2:20" x14ac:dyDescent="0.45">
      <c r="B25" t="s">
        <v>152</v>
      </c>
      <c r="C25" t="s">
        <v>31</v>
      </c>
      <c r="D25">
        <v>0.51636115758232837</v>
      </c>
      <c r="N25" t="s">
        <v>152</v>
      </c>
      <c r="O25">
        <v>0.28796778197413353</v>
      </c>
      <c r="Q25" t="s">
        <v>152</v>
      </c>
      <c r="R25" t="s">
        <v>236</v>
      </c>
      <c r="S25" t="s">
        <v>237</v>
      </c>
      <c r="T25">
        <v>0.28796778197413353</v>
      </c>
    </row>
    <row r="26" spans="2:20" x14ac:dyDescent="0.45">
      <c r="B26" t="s">
        <v>153</v>
      </c>
      <c r="C26" t="s">
        <v>31</v>
      </c>
      <c r="D26">
        <v>0.51595717903619942</v>
      </c>
      <c r="N26" t="s">
        <v>153</v>
      </c>
      <c r="O26">
        <v>0.28261392445150113</v>
      </c>
      <c r="Q26" t="s">
        <v>153</v>
      </c>
      <c r="R26" t="s">
        <v>236</v>
      </c>
      <c r="S26" t="s">
        <v>237</v>
      </c>
      <c r="T26">
        <v>0.28261392445150113</v>
      </c>
    </row>
    <row r="27" spans="2:20" x14ac:dyDescent="0.45">
      <c r="B27" t="s">
        <v>154</v>
      </c>
      <c r="C27" t="s">
        <v>31</v>
      </c>
      <c r="D27">
        <v>0.51542941274906739</v>
      </c>
      <c r="N27" t="s">
        <v>154</v>
      </c>
      <c r="O27">
        <v>0.2842690540743909</v>
      </c>
      <c r="Q27" t="s">
        <v>154</v>
      </c>
      <c r="R27" t="s">
        <v>236</v>
      </c>
      <c r="S27" t="s">
        <v>237</v>
      </c>
      <c r="T27">
        <v>0.2842690540743909</v>
      </c>
    </row>
    <row r="28" spans="2:20" x14ac:dyDescent="0.45">
      <c r="B28" t="s">
        <v>155</v>
      </c>
      <c r="C28" t="s">
        <v>31</v>
      </c>
      <c r="D28">
        <v>0.51777453134877727</v>
      </c>
      <c r="N28" t="s">
        <v>155</v>
      </c>
      <c r="O28">
        <v>0.28220242931988471</v>
      </c>
      <c r="Q28" t="s">
        <v>155</v>
      </c>
      <c r="R28" t="s">
        <v>236</v>
      </c>
      <c r="S28" t="s">
        <v>237</v>
      </c>
      <c r="T28">
        <v>0.28220242931988471</v>
      </c>
    </row>
    <row r="29" spans="2:20" x14ac:dyDescent="0.45">
      <c r="B29" t="s">
        <v>156</v>
      </c>
      <c r="C29" t="s">
        <v>31</v>
      </c>
      <c r="D29">
        <v>0.5174599014646144</v>
      </c>
      <c r="N29" t="s">
        <v>156</v>
      </c>
      <c r="O29">
        <v>0.27607520540756308</v>
      </c>
      <c r="Q29" t="s">
        <v>156</v>
      </c>
      <c r="R29" t="s">
        <v>236</v>
      </c>
      <c r="S29" t="s">
        <v>237</v>
      </c>
      <c r="T29">
        <v>0.27607520540756308</v>
      </c>
    </row>
    <row r="30" spans="2:20" x14ac:dyDescent="0.45">
      <c r="B30" t="s">
        <v>157</v>
      </c>
      <c r="C30" t="s">
        <v>31</v>
      </c>
      <c r="D30">
        <v>0.52267944596519045</v>
      </c>
      <c r="N30" t="s">
        <v>157</v>
      </c>
      <c r="O30">
        <v>0.26081661885315277</v>
      </c>
      <c r="Q30" t="s">
        <v>157</v>
      </c>
      <c r="R30" t="s">
        <v>236</v>
      </c>
      <c r="S30" t="s">
        <v>237</v>
      </c>
      <c r="T30">
        <v>0.26081661885315277</v>
      </c>
    </row>
    <row r="31" spans="2:20" x14ac:dyDescent="0.45">
      <c r="B31" t="s">
        <v>158</v>
      </c>
      <c r="C31" t="s">
        <v>31</v>
      </c>
      <c r="D31">
        <v>0.52245312887717121</v>
      </c>
      <c r="N31" t="s">
        <v>158</v>
      </c>
      <c r="O31">
        <v>0.2742738575261367</v>
      </c>
      <c r="Q31" t="s">
        <v>158</v>
      </c>
      <c r="R31" t="s">
        <v>236</v>
      </c>
      <c r="S31" t="s">
        <v>237</v>
      </c>
      <c r="T31">
        <v>0.2742738575261367</v>
      </c>
    </row>
    <row r="32" spans="2:20" x14ac:dyDescent="0.45">
      <c r="B32" t="s">
        <v>159</v>
      </c>
      <c r="C32" t="s">
        <v>31</v>
      </c>
      <c r="D32">
        <v>0.52247287578669743</v>
      </c>
      <c r="N32" t="s">
        <v>159</v>
      </c>
      <c r="O32">
        <v>0.26891378641011265</v>
      </c>
      <c r="Q32" t="s">
        <v>159</v>
      </c>
      <c r="R32" t="s">
        <v>236</v>
      </c>
      <c r="S32" t="s">
        <v>237</v>
      </c>
      <c r="T32">
        <v>0.26891378641011265</v>
      </c>
    </row>
    <row r="33" spans="2:20" x14ac:dyDescent="0.45">
      <c r="B33" t="s">
        <v>160</v>
      </c>
      <c r="C33" t="s">
        <v>31</v>
      </c>
      <c r="D33">
        <v>0.52058044540410753</v>
      </c>
      <c r="N33" t="s">
        <v>160</v>
      </c>
      <c r="O33">
        <v>0.26327956042223316</v>
      </c>
      <c r="Q33" t="s">
        <v>160</v>
      </c>
      <c r="R33" t="s">
        <v>236</v>
      </c>
      <c r="S33" t="s">
        <v>237</v>
      </c>
      <c r="T33">
        <v>0.26327956042223316</v>
      </c>
    </row>
    <row r="34" spans="2:20" x14ac:dyDescent="0.45">
      <c r="B34" t="s">
        <v>161</v>
      </c>
      <c r="C34" t="s">
        <v>31</v>
      </c>
      <c r="D34">
        <v>0.52171879011858358</v>
      </c>
      <c r="N34" t="s">
        <v>161</v>
      </c>
      <c r="O34">
        <v>0.25231827924824324</v>
      </c>
      <c r="Q34" t="s">
        <v>161</v>
      </c>
      <c r="R34" t="s">
        <v>236</v>
      </c>
      <c r="S34" t="s">
        <v>237</v>
      </c>
      <c r="T34">
        <v>0.25231827924824324</v>
      </c>
    </row>
    <row r="35" spans="2:20" x14ac:dyDescent="0.45">
      <c r="B35" t="s">
        <v>162</v>
      </c>
      <c r="C35" t="s">
        <v>31</v>
      </c>
      <c r="D35">
        <v>0.52176095344426499</v>
      </c>
      <c r="N35" t="s">
        <v>162</v>
      </c>
      <c r="O35">
        <v>0.25738435514153074</v>
      </c>
      <c r="Q35" t="s">
        <v>162</v>
      </c>
      <c r="R35" t="s">
        <v>236</v>
      </c>
      <c r="S35" t="s">
        <v>237</v>
      </c>
      <c r="T35">
        <v>0.25738435514153074</v>
      </c>
    </row>
    <row r="36" spans="2:20" x14ac:dyDescent="0.45">
      <c r="B36" t="s">
        <v>163</v>
      </c>
      <c r="C36" t="s">
        <v>31</v>
      </c>
      <c r="D36">
        <v>0.5239623573456843</v>
      </c>
      <c r="N36" t="s">
        <v>163</v>
      </c>
      <c r="O36">
        <v>0.25883494847222704</v>
      </c>
      <c r="Q36" t="s">
        <v>163</v>
      </c>
      <c r="R36" t="s">
        <v>236</v>
      </c>
      <c r="S36" t="s">
        <v>237</v>
      </c>
      <c r="T36">
        <v>0.25883494847222704</v>
      </c>
    </row>
    <row r="37" spans="2:20" x14ac:dyDescent="0.45">
      <c r="B37" t="s">
        <v>164</v>
      </c>
      <c r="C37" t="s">
        <v>31</v>
      </c>
      <c r="D37">
        <v>0.51953942964966737</v>
      </c>
      <c r="N37" t="s">
        <v>164</v>
      </c>
      <c r="O37">
        <v>0.26805291925833863</v>
      </c>
      <c r="Q37" t="s">
        <v>164</v>
      </c>
      <c r="R37" t="s">
        <v>236</v>
      </c>
      <c r="S37" t="s">
        <v>237</v>
      </c>
      <c r="T37">
        <v>0.26805291925833863</v>
      </c>
    </row>
    <row r="38" spans="2:20" x14ac:dyDescent="0.45">
      <c r="B38" t="s">
        <v>165</v>
      </c>
      <c r="C38" t="s">
        <v>31</v>
      </c>
      <c r="D38">
        <v>0.5189142529280163</v>
      </c>
      <c r="N38" t="s">
        <v>165</v>
      </c>
      <c r="O38">
        <v>0.2775940773288208</v>
      </c>
      <c r="Q38" t="s">
        <v>165</v>
      </c>
      <c r="R38" t="s">
        <v>236</v>
      </c>
      <c r="S38" t="s">
        <v>237</v>
      </c>
      <c r="T38">
        <v>0.2775940773288208</v>
      </c>
    </row>
    <row r="39" spans="2:20" x14ac:dyDescent="0.45">
      <c r="B39" t="s">
        <v>166</v>
      </c>
      <c r="C39" t="s">
        <v>31</v>
      </c>
      <c r="D39">
        <v>0.51793947608284208</v>
      </c>
      <c r="N39" t="s">
        <v>166</v>
      </c>
      <c r="O39">
        <v>0.2805493607295132</v>
      </c>
      <c r="Q39" t="s">
        <v>166</v>
      </c>
      <c r="R39" t="s">
        <v>236</v>
      </c>
      <c r="S39" t="s">
        <v>237</v>
      </c>
      <c r="T39">
        <v>0.2805493607295132</v>
      </c>
    </row>
    <row r="40" spans="2:20" x14ac:dyDescent="0.45">
      <c r="B40" t="s">
        <v>167</v>
      </c>
      <c r="C40" t="s">
        <v>31</v>
      </c>
      <c r="D40">
        <v>0.51877460114856766</v>
      </c>
      <c r="N40" t="s">
        <v>167</v>
      </c>
      <c r="O40">
        <v>0.27661853784300267</v>
      </c>
      <c r="Q40" t="s">
        <v>167</v>
      </c>
      <c r="R40" t="s">
        <v>236</v>
      </c>
      <c r="S40" t="s">
        <v>237</v>
      </c>
      <c r="T40">
        <v>0.27661853784300267</v>
      </c>
    </row>
    <row r="41" spans="2:20" x14ac:dyDescent="0.45">
      <c r="B41" t="s">
        <v>168</v>
      </c>
      <c r="C41" t="s">
        <v>31</v>
      </c>
      <c r="D41">
        <v>0.51805060273207237</v>
      </c>
      <c r="N41" t="s">
        <v>168</v>
      </c>
      <c r="O41">
        <v>0.29382106162257932</v>
      </c>
      <c r="Q41" t="s">
        <v>168</v>
      </c>
      <c r="R41" t="s">
        <v>236</v>
      </c>
      <c r="S41" t="s">
        <v>237</v>
      </c>
      <c r="T41">
        <v>0.29382106162257932</v>
      </c>
    </row>
    <row r="42" spans="2:20" x14ac:dyDescent="0.45">
      <c r="B42" t="s">
        <v>169</v>
      </c>
      <c r="C42" t="s">
        <v>31</v>
      </c>
      <c r="D42">
        <v>0.51679049628141904</v>
      </c>
      <c r="N42" t="s">
        <v>169</v>
      </c>
      <c r="O42">
        <v>0.29107090554196718</v>
      </c>
      <c r="Q42" t="s">
        <v>169</v>
      </c>
      <c r="R42" t="s">
        <v>236</v>
      </c>
      <c r="S42" t="s">
        <v>237</v>
      </c>
      <c r="T42">
        <v>0.29107090554196718</v>
      </c>
    </row>
    <row r="43" spans="2:20" x14ac:dyDescent="0.45">
      <c r="B43" t="s">
        <v>170</v>
      </c>
      <c r="C43" t="s">
        <v>31</v>
      </c>
      <c r="D43">
        <v>0.51791854110747182</v>
      </c>
      <c r="N43" t="s">
        <v>170</v>
      </c>
      <c r="O43">
        <v>0.29147832271321589</v>
      </c>
      <c r="Q43" t="s">
        <v>170</v>
      </c>
      <c r="R43" t="s">
        <v>236</v>
      </c>
      <c r="S43" t="s">
        <v>237</v>
      </c>
      <c r="T43">
        <v>0.29147832271321589</v>
      </c>
    </row>
    <row r="44" spans="2:20" x14ac:dyDescent="0.45">
      <c r="B44" t="s">
        <v>171</v>
      </c>
      <c r="C44" t="s">
        <v>31</v>
      </c>
      <c r="D44">
        <v>0.51866317616036473</v>
      </c>
      <c r="N44" t="s">
        <v>171</v>
      </c>
      <c r="O44">
        <v>0.29588223186182905</v>
      </c>
      <c r="Q44" t="s">
        <v>171</v>
      </c>
      <c r="R44" t="s">
        <v>236</v>
      </c>
      <c r="S44" t="s">
        <v>237</v>
      </c>
      <c r="T44">
        <v>0.29588223186182905</v>
      </c>
    </row>
    <row r="45" spans="2:20" x14ac:dyDescent="0.45">
      <c r="B45" t="s">
        <v>172</v>
      </c>
      <c r="C45" t="s">
        <v>31</v>
      </c>
      <c r="D45">
        <v>0.51760439701545014</v>
      </c>
      <c r="N45" t="s">
        <v>172</v>
      </c>
      <c r="O45">
        <v>0.2853709070432327</v>
      </c>
      <c r="Q45" t="s">
        <v>172</v>
      </c>
      <c r="R45" t="s">
        <v>236</v>
      </c>
      <c r="S45" t="s">
        <v>237</v>
      </c>
      <c r="T45">
        <v>0.2853709070432327</v>
      </c>
    </row>
    <row r="46" spans="2:20" x14ac:dyDescent="0.45">
      <c r="B46" t="s">
        <v>173</v>
      </c>
      <c r="C46" t="s">
        <v>31</v>
      </c>
      <c r="D46">
        <v>0.51675689544482761</v>
      </c>
      <c r="N46" t="s">
        <v>173</v>
      </c>
      <c r="O46">
        <v>0.28771855328749052</v>
      </c>
      <c r="Q46" t="s">
        <v>173</v>
      </c>
      <c r="R46" t="s">
        <v>236</v>
      </c>
      <c r="S46" t="s">
        <v>237</v>
      </c>
      <c r="T46">
        <v>0.28771855328749052</v>
      </c>
    </row>
    <row r="47" spans="2:20" x14ac:dyDescent="0.45">
      <c r="B47" t="s">
        <v>174</v>
      </c>
      <c r="C47" t="s">
        <v>31</v>
      </c>
      <c r="D47">
        <v>0.51713385640776099</v>
      </c>
      <c r="N47" t="s">
        <v>174</v>
      </c>
      <c r="O47">
        <v>0.28378687444665568</v>
      </c>
      <c r="Q47" t="s">
        <v>174</v>
      </c>
      <c r="R47" t="s">
        <v>236</v>
      </c>
      <c r="S47" t="s">
        <v>237</v>
      </c>
      <c r="T47">
        <v>0.28378687444665568</v>
      </c>
    </row>
    <row r="48" spans="2:20" x14ac:dyDescent="0.45">
      <c r="B48" t="s">
        <v>175</v>
      </c>
      <c r="C48" t="s">
        <v>31</v>
      </c>
      <c r="D48">
        <v>0.51725235172520356</v>
      </c>
      <c r="N48" t="s">
        <v>175</v>
      </c>
      <c r="O48">
        <v>0.28898360615249724</v>
      </c>
      <c r="Q48" t="s">
        <v>175</v>
      </c>
      <c r="R48" t="s">
        <v>236</v>
      </c>
      <c r="S48" t="s">
        <v>237</v>
      </c>
      <c r="T48">
        <v>0.28898360615249724</v>
      </c>
    </row>
    <row r="49" spans="2:20" x14ac:dyDescent="0.45">
      <c r="B49" t="s">
        <v>176</v>
      </c>
      <c r="C49" t="s">
        <v>31</v>
      </c>
      <c r="D49">
        <v>0.51726151251761721</v>
      </c>
      <c r="N49" t="s">
        <v>176</v>
      </c>
      <c r="O49">
        <v>0.28823795786906914</v>
      </c>
      <c r="Q49" t="s">
        <v>176</v>
      </c>
      <c r="R49" t="s">
        <v>236</v>
      </c>
      <c r="S49" t="s">
        <v>237</v>
      </c>
      <c r="T49">
        <v>0.28823795786906914</v>
      </c>
    </row>
    <row r="50" spans="2:20" x14ac:dyDescent="0.45">
      <c r="B50" t="s">
        <v>177</v>
      </c>
      <c r="C50" t="s">
        <v>31</v>
      </c>
      <c r="D50">
        <v>0.33204501796351815</v>
      </c>
      <c r="N50" t="s">
        <v>177</v>
      </c>
      <c r="O50">
        <v>0.31442967255037624</v>
      </c>
      <c r="Q50" t="s">
        <v>190</v>
      </c>
      <c r="R50" t="s">
        <v>236</v>
      </c>
      <c r="S50" t="s">
        <v>237</v>
      </c>
      <c r="T50">
        <v>0.15301361118238835</v>
      </c>
    </row>
    <row r="51" spans="2:20" x14ac:dyDescent="0.45">
      <c r="B51" t="s">
        <v>178</v>
      </c>
      <c r="C51" t="s">
        <v>31</v>
      </c>
      <c r="D51">
        <v>0.4071735179904758</v>
      </c>
      <c r="N51" t="s">
        <v>178</v>
      </c>
      <c r="O51">
        <v>0.24918088288660614</v>
      </c>
      <c r="Q51" t="s">
        <v>191</v>
      </c>
      <c r="R51" t="s">
        <v>236</v>
      </c>
      <c r="S51" t="s">
        <v>237</v>
      </c>
      <c r="T51">
        <v>0.2538496600794895</v>
      </c>
    </row>
    <row r="52" spans="2:20" x14ac:dyDescent="0.45">
      <c r="B52" t="s">
        <v>179</v>
      </c>
      <c r="C52" t="s">
        <v>31</v>
      </c>
      <c r="D52">
        <v>0.32559038621956454</v>
      </c>
      <c r="N52" t="s">
        <v>179</v>
      </c>
      <c r="O52">
        <v>0.41873695440563707</v>
      </c>
      <c r="Q52" t="s">
        <v>192</v>
      </c>
      <c r="R52" t="s">
        <v>236</v>
      </c>
      <c r="S52" t="s">
        <v>237</v>
      </c>
      <c r="T52">
        <v>0.23221162654695565</v>
      </c>
    </row>
    <row r="53" spans="2:20" x14ac:dyDescent="0.45">
      <c r="B53" t="s">
        <v>180</v>
      </c>
      <c r="C53" t="s">
        <v>31</v>
      </c>
      <c r="D53">
        <v>0.32498711013160475</v>
      </c>
      <c r="N53" t="s">
        <v>180</v>
      </c>
      <c r="O53">
        <v>0.43755969304100761</v>
      </c>
      <c r="Q53" t="s">
        <v>193</v>
      </c>
      <c r="R53" t="s">
        <v>236</v>
      </c>
      <c r="S53" t="s">
        <v>237</v>
      </c>
      <c r="T53">
        <v>0.28110950530626932</v>
      </c>
    </row>
    <row r="54" spans="2:20" x14ac:dyDescent="0.45">
      <c r="B54" t="s">
        <v>181</v>
      </c>
      <c r="C54" t="s">
        <v>31</v>
      </c>
      <c r="D54">
        <v>0.37409545753279055</v>
      </c>
      <c r="N54" t="s">
        <v>181</v>
      </c>
      <c r="O54">
        <v>0.36397429381711038</v>
      </c>
      <c r="Q54" t="s">
        <v>194</v>
      </c>
      <c r="R54" t="s">
        <v>236</v>
      </c>
      <c r="S54" t="s">
        <v>237</v>
      </c>
      <c r="T54">
        <v>0.25243803615063448</v>
      </c>
    </row>
    <row r="55" spans="2:20" x14ac:dyDescent="0.45">
      <c r="B55" t="s">
        <v>182</v>
      </c>
      <c r="C55" t="s">
        <v>31</v>
      </c>
      <c r="D55">
        <v>0.35549152949022528</v>
      </c>
      <c r="N55" t="s">
        <v>182</v>
      </c>
      <c r="O55">
        <v>0.36128237149529518</v>
      </c>
      <c r="Q55" t="s">
        <v>195</v>
      </c>
      <c r="R55" t="s">
        <v>236</v>
      </c>
      <c r="S55" t="s">
        <v>237</v>
      </c>
      <c r="T55">
        <v>0.33729054476606052</v>
      </c>
    </row>
    <row r="56" spans="2:20" x14ac:dyDescent="0.45">
      <c r="B56" t="s">
        <v>183</v>
      </c>
      <c r="C56" t="s">
        <v>31</v>
      </c>
      <c r="D56">
        <v>0.38719559532907166</v>
      </c>
      <c r="N56" t="s">
        <v>183</v>
      </c>
      <c r="O56">
        <v>0.31929418744752336</v>
      </c>
      <c r="Q56" t="s">
        <v>196</v>
      </c>
      <c r="R56" t="s">
        <v>236</v>
      </c>
      <c r="S56" t="s">
        <v>237</v>
      </c>
      <c r="T56">
        <v>0.38304686541717659</v>
      </c>
    </row>
    <row r="57" spans="2:20" x14ac:dyDescent="0.45">
      <c r="B57" t="s">
        <v>184</v>
      </c>
      <c r="C57" t="s">
        <v>31</v>
      </c>
      <c r="D57">
        <v>0.37685498107834314</v>
      </c>
      <c r="N57" t="s">
        <v>184</v>
      </c>
      <c r="O57">
        <v>0.33484751273718222</v>
      </c>
      <c r="Q57" t="s">
        <v>197</v>
      </c>
      <c r="R57" t="s">
        <v>236</v>
      </c>
      <c r="S57" t="s">
        <v>237</v>
      </c>
      <c r="T57">
        <v>0.34507602706321028</v>
      </c>
    </row>
    <row r="58" spans="2:20" x14ac:dyDescent="0.45">
      <c r="B58" t="s">
        <v>185</v>
      </c>
      <c r="C58" t="s">
        <v>31</v>
      </c>
      <c r="D58">
        <v>0.39724226066464302</v>
      </c>
      <c r="N58" t="s">
        <v>185</v>
      </c>
      <c r="O58">
        <v>0.26902006381078508</v>
      </c>
      <c r="Q58" t="s">
        <v>198</v>
      </c>
      <c r="R58" t="s">
        <v>236</v>
      </c>
      <c r="S58" t="s">
        <v>237</v>
      </c>
      <c r="T58">
        <v>0.40251033195681662</v>
      </c>
    </row>
    <row r="59" spans="2:20" x14ac:dyDescent="0.45">
      <c r="B59" t="s">
        <v>186</v>
      </c>
      <c r="C59" t="s">
        <v>31</v>
      </c>
      <c r="D59">
        <v>0.42615881188551358</v>
      </c>
      <c r="N59" t="s">
        <v>186</v>
      </c>
      <c r="O59">
        <v>0.23504764282815221</v>
      </c>
      <c r="Q59" t="s">
        <v>199</v>
      </c>
      <c r="R59" t="s">
        <v>236</v>
      </c>
      <c r="S59" t="s">
        <v>237</v>
      </c>
      <c r="T59">
        <v>0.35576514456235231</v>
      </c>
    </row>
    <row r="60" spans="2:20" x14ac:dyDescent="0.45">
      <c r="B60" t="s">
        <v>187</v>
      </c>
      <c r="C60" t="s">
        <v>31</v>
      </c>
      <c r="D60">
        <v>0.38570790385164722</v>
      </c>
      <c r="N60" t="s">
        <v>187</v>
      </c>
      <c r="O60">
        <v>0.30206610352113128</v>
      </c>
      <c r="Q60" t="s">
        <v>200</v>
      </c>
      <c r="R60" t="s">
        <v>236</v>
      </c>
      <c r="S60" t="s">
        <v>237</v>
      </c>
      <c r="T60">
        <v>0.34617949039484336</v>
      </c>
    </row>
    <row r="61" spans="2:20" x14ac:dyDescent="0.45">
      <c r="B61" t="s">
        <v>188</v>
      </c>
      <c r="C61" t="s">
        <v>31</v>
      </c>
      <c r="D61">
        <v>0.36546039521276408</v>
      </c>
      <c r="N61" t="s">
        <v>188</v>
      </c>
      <c r="O61">
        <v>0.27793637331219201</v>
      </c>
      <c r="Q61" t="s">
        <v>201</v>
      </c>
      <c r="R61" t="s">
        <v>236</v>
      </c>
      <c r="S61" t="s">
        <v>237</v>
      </c>
      <c r="T61">
        <v>0.26261819979187911</v>
      </c>
    </row>
    <row r="62" spans="2:20" x14ac:dyDescent="0.45">
      <c r="B62" t="s">
        <v>189</v>
      </c>
      <c r="C62" t="s">
        <v>31</v>
      </c>
      <c r="D62">
        <v>0.37103513317603193</v>
      </c>
      <c r="N62" t="s">
        <v>189</v>
      </c>
      <c r="O62">
        <v>0.27613951531424652</v>
      </c>
      <c r="Q62" t="s">
        <v>202</v>
      </c>
      <c r="R62" t="s">
        <v>236</v>
      </c>
      <c r="S62" t="s">
        <v>237</v>
      </c>
      <c r="T62">
        <v>0.33902533987808403</v>
      </c>
    </row>
    <row r="63" spans="2:20" x14ac:dyDescent="0.45">
      <c r="B63" t="s">
        <v>190</v>
      </c>
      <c r="C63" t="s">
        <v>31</v>
      </c>
      <c r="D63">
        <v>0.41026012028040021</v>
      </c>
      <c r="N63" t="s">
        <v>190</v>
      </c>
      <c r="O63">
        <v>0.15301361118238835</v>
      </c>
      <c r="Q63" t="s">
        <v>203</v>
      </c>
      <c r="R63" t="s">
        <v>236</v>
      </c>
      <c r="S63" t="s">
        <v>237</v>
      </c>
      <c r="T63">
        <v>0.3273876146131075</v>
      </c>
    </row>
    <row r="64" spans="2:20" x14ac:dyDescent="0.45">
      <c r="B64" t="s">
        <v>191</v>
      </c>
      <c r="C64" t="s">
        <v>31</v>
      </c>
      <c r="D64">
        <v>0.35994627058146134</v>
      </c>
      <c r="N64" t="s">
        <v>191</v>
      </c>
      <c r="O64">
        <v>0.2539507953763977</v>
      </c>
      <c r="Q64" t="s">
        <v>204</v>
      </c>
      <c r="R64" t="s">
        <v>236</v>
      </c>
      <c r="S64" t="s">
        <v>237</v>
      </c>
      <c r="T64">
        <v>0.28640627554409714</v>
      </c>
    </row>
    <row r="65" spans="2:20" x14ac:dyDescent="0.45">
      <c r="B65" t="s">
        <v>192</v>
      </c>
      <c r="C65" t="s">
        <v>31</v>
      </c>
      <c r="D65">
        <v>0.32936550292616967</v>
      </c>
      <c r="N65" t="s">
        <v>192</v>
      </c>
      <c r="O65">
        <v>0.2322138086294494</v>
      </c>
      <c r="Q65" t="s">
        <v>205</v>
      </c>
      <c r="R65" t="s">
        <v>236</v>
      </c>
      <c r="S65" t="s">
        <v>237</v>
      </c>
      <c r="T65">
        <v>0.3053359559265918</v>
      </c>
    </row>
    <row r="66" spans="2:20" x14ac:dyDescent="0.45">
      <c r="B66" t="s">
        <v>193</v>
      </c>
      <c r="C66" t="s">
        <v>31</v>
      </c>
      <c r="D66">
        <v>0.31109531041033994</v>
      </c>
      <c r="N66" t="s">
        <v>193</v>
      </c>
      <c r="O66">
        <v>0.28110950530626932</v>
      </c>
      <c r="Q66" t="s">
        <v>206</v>
      </c>
      <c r="R66" t="s">
        <v>236</v>
      </c>
      <c r="S66" t="s">
        <v>237</v>
      </c>
      <c r="T66">
        <v>0.27489905709407586</v>
      </c>
    </row>
    <row r="67" spans="2:20" x14ac:dyDescent="0.45">
      <c r="B67" t="s">
        <v>194</v>
      </c>
      <c r="C67" t="s">
        <v>31</v>
      </c>
      <c r="D67">
        <v>0.29387259877216726</v>
      </c>
      <c r="N67" t="s">
        <v>194</v>
      </c>
      <c r="O67">
        <v>0.25248862835939351</v>
      </c>
      <c r="Q67" t="s">
        <v>207</v>
      </c>
      <c r="R67" t="s">
        <v>236</v>
      </c>
      <c r="S67" t="s">
        <v>237</v>
      </c>
      <c r="T67">
        <v>0.30278251802886097</v>
      </c>
    </row>
    <row r="68" spans="2:20" x14ac:dyDescent="0.45">
      <c r="B68" t="s">
        <v>195</v>
      </c>
      <c r="C68" t="s">
        <v>31</v>
      </c>
      <c r="D68">
        <v>0.32729224244660809</v>
      </c>
      <c r="N68" t="s">
        <v>195</v>
      </c>
      <c r="O68">
        <v>0.33729054476606052</v>
      </c>
      <c r="Q68" t="s">
        <v>208</v>
      </c>
      <c r="R68" t="s">
        <v>236</v>
      </c>
      <c r="S68" t="s">
        <v>237</v>
      </c>
      <c r="T68">
        <v>0.22795787369541134</v>
      </c>
    </row>
    <row r="69" spans="2:20" x14ac:dyDescent="0.45">
      <c r="B69" t="s">
        <v>196</v>
      </c>
      <c r="C69" t="s">
        <v>31</v>
      </c>
      <c r="D69">
        <v>0.27841796874727603</v>
      </c>
      <c r="N69" t="s">
        <v>196</v>
      </c>
      <c r="O69">
        <v>0.38323065322832311</v>
      </c>
      <c r="Q69" t="s">
        <v>209</v>
      </c>
      <c r="R69" t="s">
        <v>236</v>
      </c>
      <c r="S69" t="s">
        <v>237</v>
      </c>
      <c r="T69">
        <v>0.20426037209286907</v>
      </c>
    </row>
    <row r="70" spans="2:20" x14ac:dyDescent="0.45">
      <c r="B70" t="s">
        <v>197</v>
      </c>
      <c r="C70" t="s">
        <v>31</v>
      </c>
      <c r="D70">
        <v>0.2727938682526812</v>
      </c>
      <c r="N70" t="s">
        <v>197</v>
      </c>
      <c r="O70">
        <v>0.34508251188242223</v>
      </c>
      <c r="Q70" t="s">
        <v>210</v>
      </c>
      <c r="R70" t="s">
        <v>236</v>
      </c>
      <c r="S70" t="s">
        <v>237</v>
      </c>
      <c r="T70">
        <v>0.15685871024868803</v>
      </c>
    </row>
    <row r="71" spans="2:20" x14ac:dyDescent="0.45">
      <c r="B71" t="s">
        <v>198</v>
      </c>
      <c r="C71" t="s">
        <v>31</v>
      </c>
      <c r="D71">
        <v>0.27298197924323542</v>
      </c>
      <c r="N71" t="s">
        <v>198</v>
      </c>
      <c r="O71">
        <v>0.4027672656966948</v>
      </c>
      <c r="Q71" t="s">
        <v>211</v>
      </c>
      <c r="R71" t="s">
        <v>236</v>
      </c>
      <c r="S71" t="s">
        <v>237</v>
      </c>
      <c r="T71">
        <v>0.19942634114826202</v>
      </c>
    </row>
    <row r="72" spans="2:20" x14ac:dyDescent="0.45">
      <c r="B72" t="s">
        <v>199</v>
      </c>
      <c r="C72" t="s">
        <v>31</v>
      </c>
      <c r="D72">
        <v>0.29522295584051106</v>
      </c>
      <c r="N72" t="s">
        <v>199</v>
      </c>
      <c r="O72">
        <v>0.35576894431281114</v>
      </c>
      <c r="Q72" t="s">
        <v>212</v>
      </c>
      <c r="R72" t="s">
        <v>236</v>
      </c>
      <c r="S72" t="s">
        <v>237</v>
      </c>
      <c r="T72">
        <v>0.17114384426139659</v>
      </c>
    </row>
    <row r="73" spans="2:20" x14ac:dyDescent="0.45">
      <c r="B73" t="s">
        <v>200</v>
      </c>
      <c r="C73" t="s">
        <v>31</v>
      </c>
      <c r="D73">
        <v>0.3019819116865336</v>
      </c>
      <c r="N73" t="s">
        <v>200</v>
      </c>
      <c r="O73">
        <v>0.34617949039484336</v>
      </c>
      <c r="Q73" t="s">
        <v>213</v>
      </c>
      <c r="R73" t="s">
        <v>236</v>
      </c>
      <c r="S73" t="s">
        <v>237</v>
      </c>
      <c r="T73">
        <v>0.15991765644868583</v>
      </c>
    </row>
    <row r="74" spans="2:20" x14ac:dyDescent="0.45">
      <c r="B74" t="s">
        <v>201</v>
      </c>
      <c r="C74" t="s">
        <v>31</v>
      </c>
      <c r="D74">
        <v>0.33074601512362101</v>
      </c>
      <c r="N74" t="s">
        <v>201</v>
      </c>
      <c r="O74">
        <v>0.26261819979187911</v>
      </c>
      <c r="Q74" t="s">
        <v>214</v>
      </c>
      <c r="R74" t="s">
        <v>236</v>
      </c>
      <c r="S74" t="s">
        <v>237</v>
      </c>
      <c r="T74">
        <v>0.2662103155100462</v>
      </c>
    </row>
    <row r="75" spans="2:20" x14ac:dyDescent="0.45">
      <c r="B75" t="s">
        <v>202</v>
      </c>
      <c r="C75" t="s">
        <v>31</v>
      </c>
      <c r="D75">
        <v>0.30941040652616891</v>
      </c>
      <c r="N75" t="s">
        <v>202</v>
      </c>
      <c r="O75">
        <v>0.33902533987808403</v>
      </c>
      <c r="Q75" t="s">
        <v>215</v>
      </c>
      <c r="R75" t="s">
        <v>236</v>
      </c>
      <c r="S75" t="s">
        <v>237</v>
      </c>
      <c r="T75">
        <v>0.29228725905438668</v>
      </c>
    </row>
    <row r="76" spans="2:20" x14ac:dyDescent="0.45">
      <c r="B76" t="s">
        <v>203</v>
      </c>
      <c r="C76" t="s">
        <v>31</v>
      </c>
      <c r="D76">
        <v>0.29610635123776369</v>
      </c>
      <c r="N76" t="s">
        <v>203</v>
      </c>
      <c r="O76">
        <v>0.32741476949478421</v>
      </c>
      <c r="Q76" t="s">
        <v>216</v>
      </c>
      <c r="R76" t="s">
        <v>236</v>
      </c>
      <c r="S76" t="s">
        <v>237</v>
      </c>
      <c r="T76">
        <v>0.37719927890379928</v>
      </c>
    </row>
    <row r="77" spans="2:20" x14ac:dyDescent="0.45">
      <c r="B77" t="s">
        <v>204</v>
      </c>
      <c r="C77" t="s">
        <v>31</v>
      </c>
      <c r="D77">
        <v>0.35090799883044083</v>
      </c>
      <c r="N77" t="s">
        <v>204</v>
      </c>
      <c r="O77">
        <v>0.28640627554409714</v>
      </c>
      <c r="Q77" t="s">
        <v>217</v>
      </c>
      <c r="R77" t="s">
        <v>236</v>
      </c>
      <c r="S77" t="s">
        <v>237</v>
      </c>
      <c r="T77">
        <v>0.36627826843148215</v>
      </c>
    </row>
    <row r="78" spans="2:20" x14ac:dyDescent="0.45">
      <c r="B78" t="s">
        <v>205</v>
      </c>
      <c r="C78" t="s">
        <v>31</v>
      </c>
      <c r="D78">
        <v>0.31302248632655716</v>
      </c>
      <c r="N78" t="s">
        <v>205</v>
      </c>
      <c r="O78">
        <v>0.3053359559265918</v>
      </c>
      <c r="Q78" t="s">
        <v>218</v>
      </c>
      <c r="R78" t="s">
        <v>236</v>
      </c>
      <c r="S78" t="s">
        <v>237</v>
      </c>
      <c r="T78">
        <v>0.34884390752475791</v>
      </c>
    </row>
    <row r="79" spans="2:20" x14ac:dyDescent="0.45">
      <c r="B79" t="s">
        <v>206</v>
      </c>
      <c r="C79" t="s">
        <v>31</v>
      </c>
      <c r="D79">
        <v>0.34672146589236613</v>
      </c>
      <c r="N79" t="s">
        <v>206</v>
      </c>
      <c r="O79">
        <v>0.27489905709407586</v>
      </c>
      <c r="Q79" t="s">
        <v>219</v>
      </c>
      <c r="R79" t="s">
        <v>236</v>
      </c>
      <c r="S79" t="s">
        <v>237</v>
      </c>
      <c r="T79">
        <v>0.29124472756479958</v>
      </c>
    </row>
    <row r="80" spans="2:20" x14ac:dyDescent="0.45">
      <c r="B80" t="s">
        <v>207</v>
      </c>
      <c r="C80" t="s">
        <v>31</v>
      </c>
      <c r="D80">
        <v>0.34920200553363495</v>
      </c>
      <c r="N80" t="s">
        <v>207</v>
      </c>
      <c r="O80">
        <v>0.30278251802886097</v>
      </c>
      <c r="Q80" t="s">
        <v>220</v>
      </c>
      <c r="R80" t="s">
        <v>236</v>
      </c>
      <c r="S80" t="s">
        <v>237</v>
      </c>
      <c r="T80">
        <v>0.28602725225399633</v>
      </c>
    </row>
    <row r="81" spans="2:20" x14ac:dyDescent="0.45">
      <c r="B81" t="s">
        <v>208</v>
      </c>
      <c r="C81" t="s">
        <v>31</v>
      </c>
      <c r="D81">
        <v>0.38881867764048456</v>
      </c>
      <c r="N81" t="s">
        <v>208</v>
      </c>
      <c r="O81">
        <v>0.22795787369541134</v>
      </c>
      <c r="Q81" t="s">
        <v>221</v>
      </c>
      <c r="R81" t="s">
        <v>236</v>
      </c>
      <c r="S81" t="s">
        <v>237</v>
      </c>
      <c r="T81">
        <v>0.26205105137046358</v>
      </c>
    </row>
    <row r="82" spans="2:20" x14ac:dyDescent="0.45">
      <c r="B82" t="s">
        <v>209</v>
      </c>
      <c r="C82" t="s">
        <v>31</v>
      </c>
      <c r="D82">
        <v>0.40016393064302119</v>
      </c>
      <c r="N82" t="s">
        <v>209</v>
      </c>
      <c r="O82">
        <v>0.20426037209286907</v>
      </c>
      <c r="Q82" t="s">
        <v>222</v>
      </c>
      <c r="R82" t="s">
        <v>236</v>
      </c>
      <c r="S82" t="s">
        <v>237</v>
      </c>
      <c r="T82">
        <v>0.27183630921965329</v>
      </c>
    </row>
    <row r="83" spans="2:20" x14ac:dyDescent="0.45">
      <c r="B83" t="s">
        <v>210</v>
      </c>
      <c r="C83" t="s">
        <v>31</v>
      </c>
      <c r="D83">
        <v>0.39999352793171578</v>
      </c>
      <c r="N83" t="s">
        <v>210</v>
      </c>
      <c r="O83">
        <v>0.15687352296882964</v>
      </c>
      <c r="Q83" t="s">
        <v>223</v>
      </c>
      <c r="R83" t="s">
        <v>236</v>
      </c>
      <c r="S83" t="s">
        <v>237</v>
      </c>
      <c r="T83">
        <v>0.27857931045028639</v>
      </c>
    </row>
    <row r="84" spans="2:20" x14ac:dyDescent="0.45">
      <c r="B84" t="s">
        <v>211</v>
      </c>
      <c r="C84" t="s">
        <v>31</v>
      </c>
      <c r="D84">
        <v>0.35621066065043189</v>
      </c>
      <c r="N84" t="s">
        <v>211</v>
      </c>
      <c r="O84">
        <v>0.19942634114826202</v>
      </c>
      <c r="Q84" t="s">
        <v>224</v>
      </c>
      <c r="R84" t="s">
        <v>236</v>
      </c>
      <c r="S84" t="s">
        <v>237</v>
      </c>
      <c r="T84">
        <v>0.28344649499697061</v>
      </c>
    </row>
    <row r="85" spans="2:20" x14ac:dyDescent="0.45">
      <c r="B85" t="s">
        <v>212</v>
      </c>
      <c r="C85" t="s">
        <v>31</v>
      </c>
      <c r="D85">
        <v>0.47951710584015794</v>
      </c>
      <c r="N85" t="s">
        <v>212</v>
      </c>
      <c r="O85">
        <v>0.17114384426139659</v>
      </c>
      <c r="Q85" t="s">
        <v>225</v>
      </c>
      <c r="R85" t="s">
        <v>236</v>
      </c>
      <c r="S85" t="s">
        <v>237</v>
      </c>
      <c r="T85">
        <v>0.34658187397684437</v>
      </c>
    </row>
    <row r="86" spans="2:20" x14ac:dyDescent="0.45">
      <c r="B86" t="s">
        <v>213</v>
      </c>
      <c r="C86" t="s">
        <v>31</v>
      </c>
      <c r="D86">
        <v>0.47590534555718667</v>
      </c>
      <c r="N86" t="s">
        <v>213</v>
      </c>
      <c r="O86">
        <v>0.15991765644868583</v>
      </c>
      <c r="Q86" t="s">
        <v>226</v>
      </c>
      <c r="R86" t="s">
        <v>236</v>
      </c>
      <c r="S86" t="s">
        <v>237</v>
      </c>
      <c r="T86">
        <v>0.27282191961897179</v>
      </c>
    </row>
    <row r="87" spans="2:20" x14ac:dyDescent="0.45">
      <c r="B87" t="s">
        <v>214</v>
      </c>
      <c r="C87" t="s">
        <v>31</v>
      </c>
      <c r="D87">
        <v>0.35568365504561983</v>
      </c>
      <c r="N87" t="s">
        <v>214</v>
      </c>
      <c r="O87">
        <v>0.2662103155100462</v>
      </c>
      <c r="Q87" t="s">
        <v>227</v>
      </c>
      <c r="R87" t="s">
        <v>236</v>
      </c>
      <c r="S87" t="s">
        <v>237</v>
      </c>
      <c r="T87">
        <v>0.29071929332852581</v>
      </c>
    </row>
    <row r="88" spans="2:20" x14ac:dyDescent="0.45">
      <c r="B88" t="s">
        <v>215</v>
      </c>
      <c r="C88" t="s">
        <v>31</v>
      </c>
      <c r="D88">
        <v>0.36697207246348129</v>
      </c>
      <c r="N88" t="s">
        <v>215</v>
      </c>
      <c r="O88">
        <v>0.29228725905438668</v>
      </c>
      <c r="Q88" t="s">
        <v>228</v>
      </c>
      <c r="R88" t="s">
        <v>236</v>
      </c>
      <c r="S88" t="s">
        <v>237</v>
      </c>
      <c r="T88">
        <v>0.32022758917790145</v>
      </c>
    </row>
    <row r="89" spans="2:20" x14ac:dyDescent="0.45">
      <c r="B89" t="s">
        <v>216</v>
      </c>
      <c r="C89" t="s">
        <v>31</v>
      </c>
      <c r="D89">
        <v>0.33553359080743234</v>
      </c>
      <c r="N89" t="s">
        <v>216</v>
      </c>
      <c r="O89">
        <v>0.37719927890379928</v>
      </c>
      <c r="Q89" t="s">
        <v>177</v>
      </c>
      <c r="R89" t="s">
        <v>236</v>
      </c>
      <c r="S89" t="s">
        <v>237</v>
      </c>
      <c r="T89">
        <v>0.31442967255037624</v>
      </c>
    </row>
    <row r="90" spans="2:20" x14ac:dyDescent="0.45">
      <c r="B90" t="s">
        <v>217</v>
      </c>
      <c r="C90" t="s">
        <v>31</v>
      </c>
      <c r="D90">
        <v>0.33263789802354826</v>
      </c>
      <c r="N90" t="s">
        <v>217</v>
      </c>
      <c r="O90">
        <v>0.36627826843148215</v>
      </c>
      <c r="Q90" t="s">
        <v>178</v>
      </c>
      <c r="R90" t="s">
        <v>236</v>
      </c>
      <c r="S90" t="s">
        <v>237</v>
      </c>
      <c r="T90">
        <v>0.24918088288660614</v>
      </c>
    </row>
    <row r="91" spans="2:20" x14ac:dyDescent="0.45">
      <c r="B91" t="s">
        <v>218</v>
      </c>
      <c r="C91" t="s">
        <v>31</v>
      </c>
      <c r="D91">
        <v>0.32214456386489837</v>
      </c>
      <c r="N91" t="s">
        <v>218</v>
      </c>
      <c r="O91">
        <v>0.34884390752475791</v>
      </c>
      <c r="Q91" t="s">
        <v>179</v>
      </c>
      <c r="R91" t="s">
        <v>236</v>
      </c>
      <c r="S91" t="s">
        <v>237</v>
      </c>
      <c r="T91">
        <v>0.41873695440563707</v>
      </c>
    </row>
    <row r="92" spans="2:20" x14ac:dyDescent="0.45">
      <c r="B92" t="s">
        <v>219</v>
      </c>
      <c r="C92" t="s">
        <v>31</v>
      </c>
      <c r="D92">
        <v>0.39004179521647142</v>
      </c>
      <c r="N92" t="s">
        <v>219</v>
      </c>
      <c r="O92">
        <v>0.29124472756479958</v>
      </c>
      <c r="Q92" t="s">
        <v>180</v>
      </c>
      <c r="R92" t="s">
        <v>236</v>
      </c>
      <c r="S92" t="s">
        <v>237</v>
      </c>
      <c r="T92">
        <v>0.43755969304100761</v>
      </c>
    </row>
    <row r="93" spans="2:20" x14ac:dyDescent="0.45">
      <c r="B93" t="s">
        <v>220</v>
      </c>
      <c r="C93" t="s">
        <v>31</v>
      </c>
      <c r="D93">
        <v>0.38033172977898544</v>
      </c>
      <c r="N93" t="s">
        <v>220</v>
      </c>
      <c r="O93">
        <v>0.28602725225399633</v>
      </c>
      <c r="Q93" t="s">
        <v>181</v>
      </c>
      <c r="R93" t="s">
        <v>236</v>
      </c>
      <c r="S93" t="s">
        <v>237</v>
      </c>
      <c r="T93">
        <v>0.36397429381711038</v>
      </c>
    </row>
    <row r="94" spans="2:20" x14ac:dyDescent="0.45">
      <c r="B94" t="s">
        <v>221</v>
      </c>
      <c r="C94" t="s">
        <v>31</v>
      </c>
      <c r="D94">
        <v>0.31910692846184063</v>
      </c>
      <c r="N94" t="s">
        <v>221</v>
      </c>
      <c r="O94">
        <v>0.26205105137046358</v>
      </c>
      <c r="Q94" t="s">
        <v>182</v>
      </c>
      <c r="R94" t="s">
        <v>236</v>
      </c>
      <c r="S94" t="s">
        <v>237</v>
      </c>
      <c r="T94">
        <v>0.36128237149529518</v>
      </c>
    </row>
    <row r="95" spans="2:20" x14ac:dyDescent="0.45">
      <c r="B95" t="s">
        <v>222</v>
      </c>
      <c r="C95" t="s">
        <v>31</v>
      </c>
      <c r="D95">
        <v>0.32575864049802233</v>
      </c>
      <c r="N95" t="s">
        <v>222</v>
      </c>
      <c r="O95">
        <v>0.27183630921965329</v>
      </c>
      <c r="Q95" t="s">
        <v>183</v>
      </c>
      <c r="R95" t="s">
        <v>236</v>
      </c>
      <c r="S95" t="s">
        <v>237</v>
      </c>
      <c r="T95">
        <v>0.31929418744752336</v>
      </c>
    </row>
    <row r="96" spans="2:20" x14ac:dyDescent="0.45">
      <c r="B96" t="s">
        <v>223</v>
      </c>
      <c r="C96" t="s">
        <v>31</v>
      </c>
      <c r="D96">
        <v>0.31611368616026997</v>
      </c>
      <c r="N96" t="s">
        <v>223</v>
      </c>
      <c r="O96">
        <v>0.27857931045028639</v>
      </c>
      <c r="Q96" t="s">
        <v>184</v>
      </c>
      <c r="R96" t="s">
        <v>236</v>
      </c>
      <c r="S96" t="s">
        <v>237</v>
      </c>
      <c r="T96">
        <v>0.33484751273718222</v>
      </c>
    </row>
    <row r="97" spans="2:20" x14ac:dyDescent="0.45">
      <c r="B97" t="s">
        <v>224</v>
      </c>
      <c r="C97" t="s">
        <v>31</v>
      </c>
      <c r="D97">
        <v>0.34049043189149791</v>
      </c>
      <c r="N97" t="s">
        <v>224</v>
      </c>
      <c r="O97">
        <v>0.28344649499697061</v>
      </c>
      <c r="Q97" t="s">
        <v>185</v>
      </c>
      <c r="R97" t="s">
        <v>236</v>
      </c>
      <c r="S97" t="s">
        <v>237</v>
      </c>
      <c r="T97">
        <v>0.26902006381078508</v>
      </c>
    </row>
    <row r="98" spans="2:20" x14ac:dyDescent="0.45">
      <c r="B98" t="s">
        <v>225</v>
      </c>
      <c r="C98" t="s">
        <v>31</v>
      </c>
      <c r="D98">
        <v>0.32234682238207119</v>
      </c>
      <c r="N98" t="s">
        <v>225</v>
      </c>
      <c r="O98">
        <v>0.34658187397684437</v>
      </c>
      <c r="Q98" t="s">
        <v>186</v>
      </c>
      <c r="R98" t="s">
        <v>236</v>
      </c>
      <c r="S98" t="s">
        <v>237</v>
      </c>
      <c r="T98">
        <v>0.23504764282815221</v>
      </c>
    </row>
    <row r="99" spans="2:20" x14ac:dyDescent="0.45">
      <c r="B99" t="s">
        <v>226</v>
      </c>
      <c r="C99" t="s">
        <v>31</v>
      </c>
      <c r="D99">
        <v>0.34153701368160355</v>
      </c>
      <c r="N99" t="s">
        <v>226</v>
      </c>
      <c r="O99">
        <v>0.27282192355819967</v>
      </c>
      <c r="Q99" t="s">
        <v>187</v>
      </c>
      <c r="R99" t="s">
        <v>236</v>
      </c>
      <c r="S99" t="s">
        <v>237</v>
      </c>
      <c r="T99">
        <v>0.30206610352113128</v>
      </c>
    </row>
    <row r="100" spans="2:20" x14ac:dyDescent="0.45">
      <c r="B100" t="s">
        <v>227</v>
      </c>
      <c r="C100" t="s">
        <v>31</v>
      </c>
      <c r="D100">
        <v>0.31162336592300433</v>
      </c>
      <c r="N100" t="s">
        <v>227</v>
      </c>
      <c r="O100">
        <v>0.29071953537939521</v>
      </c>
      <c r="Q100" t="s">
        <v>188</v>
      </c>
      <c r="R100" t="s">
        <v>236</v>
      </c>
      <c r="S100" t="s">
        <v>237</v>
      </c>
      <c r="T100">
        <v>0.27793637331219201</v>
      </c>
    </row>
    <row r="101" spans="2:20" x14ac:dyDescent="0.45">
      <c r="B101" t="s">
        <v>228</v>
      </c>
      <c r="C101" t="s">
        <v>31</v>
      </c>
      <c r="D101">
        <v>0.31260750220757599</v>
      </c>
      <c r="N101" t="s">
        <v>228</v>
      </c>
      <c r="O101">
        <v>0.32022758917790145</v>
      </c>
      <c r="Q101" t="s">
        <v>189</v>
      </c>
      <c r="R101" t="s">
        <v>236</v>
      </c>
      <c r="S101" t="s">
        <v>237</v>
      </c>
      <c r="T101">
        <v>0.27613951531424652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2B1C9-458B-4603-983C-570474E1194E}">
  <dimension ref="B9:E11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238</v>
      </c>
      <c r="C10" t="s">
        <v>43</v>
      </c>
      <c r="D10" t="s">
        <v>42</v>
      </c>
      <c r="E10" t="s">
        <v>41</v>
      </c>
    </row>
    <row r="11" spans="2:5" x14ac:dyDescent="0.45">
      <c r="B11">
        <v>1</v>
      </c>
      <c r="C11">
        <v>1.0000000000000002</v>
      </c>
      <c r="D11" t="s">
        <v>46</v>
      </c>
      <c r="E11" t="s">
        <v>239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CADE9-6678-454F-8074-D9DFB9540023}">
  <dimension ref="B9:D12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41</v>
      </c>
      <c r="C10" t="s">
        <v>42</v>
      </c>
      <c r="D10" t="s">
        <v>43</v>
      </c>
    </row>
    <row r="11" spans="2:4" x14ac:dyDescent="0.45">
      <c r="B11" t="s">
        <v>243</v>
      </c>
      <c r="C11" t="s">
        <v>46</v>
      </c>
      <c r="D11">
        <v>1</v>
      </c>
    </row>
    <row r="12" spans="2:4" x14ac:dyDescent="0.45">
      <c r="B12" t="s">
        <v>244</v>
      </c>
      <c r="C12" t="s">
        <v>46</v>
      </c>
      <c r="D12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9E9F8-56C1-4A74-817E-E7A4009299C6}">
  <dimension ref="B9:D11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41</v>
      </c>
      <c r="C10" t="s">
        <v>42</v>
      </c>
      <c r="D10" t="s">
        <v>245</v>
      </c>
    </row>
    <row r="11" spans="2:4" x14ac:dyDescent="0.45">
      <c r="B11" t="s">
        <v>12</v>
      </c>
      <c r="C11" t="s">
        <v>46</v>
      </c>
      <c r="D11">
        <v>0.52191586447403915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52230-9CF8-46AF-8E3C-9EFAEE2670E2}">
  <dimension ref="B9:E39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246</v>
      </c>
      <c r="C10" t="s">
        <v>42</v>
      </c>
      <c r="D10" t="s">
        <v>247</v>
      </c>
      <c r="E10" t="s">
        <v>248</v>
      </c>
    </row>
    <row r="11" spans="2:5" x14ac:dyDescent="0.45">
      <c r="B11">
        <v>2020</v>
      </c>
      <c r="C11" t="s">
        <v>37</v>
      </c>
      <c r="D11">
        <v>0.65119166666666672</v>
      </c>
      <c r="E11" t="s">
        <v>249</v>
      </c>
    </row>
    <row r="12" spans="2:5" x14ac:dyDescent="0.45">
      <c r="B12">
        <v>2021</v>
      </c>
      <c r="C12" t="s">
        <v>37</v>
      </c>
      <c r="D12">
        <v>0.6165666666666666</v>
      </c>
      <c r="E12" t="s">
        <v>249</v>
      </c>
    </row>
    <row r="13" spans="2:5" x14ac:dyDescent="0.45">
      <c r="B13">
        <v>2022</v>
      </c>
      <c r="C13" t="s">
        <v>37</v>
      </c>
      <c r="D13">
        <v>0.61927500000000002</v>
      </c>
      <c r="E13" t="s">
        <v>249</v>
      </c>
    </row>
    <row r="14" spans="2:5" x14ac:dyDescent="0.45">
      <c r="B14">
        <v>2025</v>
      </c>
      <c r="C14" t="s">
        <v>37</v>
      </c>
      <c r="D14">
        <v>0.64009166666666661</v>
      </c>
      <c r="E14" t="s">
        <v>249</v>
      </c>
    </row>
    <row r="15" spans="2:5" x14ac:dyDescent="0.45">
      <c r="B15">
        <v>2026</v>
      </c>
      <c r="C15" t="s">
        <v>37</v>
      </c>
      <c r="D15">
        <v>0.62026666666666674</v>
      </c>
      <c r="E15" t="s">
        <v>249</v>
      </c>
    </row>
    <row r="16" spans="2:5" x14ac:dyDescent="0.45">
      <c r="B16">
        <v>2027</v>
      </c>
      <c r="C16" t="s">
        <v>37</v>
      </c>
      <c r="D16">
        <v>0.64938333333333331</v>
      </c>
      <c r="E16" t="s">
        <v>249</v>
      </c>
    </row>
    <row r="17" spans="2:5" x14ac:dyDescent="0.45">
      <c r="B17">
        <v>2028</v>
      </c>
      <c r="C17" t="s">
        <v>37</v>
      </c>
      <c r="D17">
        <v>0.60605833333333325</v>
      </c>
      <c r="E17" t="s">
        <v>249</v>
      </c>
    </row>
    <row r="18" spans="2:5" x14ac:dyDescent="0.45">
      <c r="B18">
        <v>2029</v>
      </c>
      <c r="C18" t="s">
        <v>37</v>
      </c>
      <c r="D18">
        <v>0.57696666666666674</v>
      </c>
      <c r="E18" t="s">
        <v>249</v>
      </c>
    </row>
    <row r="19" spans="2:5" x14ac:dyDescent="0.45">
      <c r="B19">
        <v>2030</v>
      </c>
      <c r="C19" t="s">
        <v>37</v>
      </c>
      <c r="D19">
        <v>0.5532583333333333</v>
      </c>
      <c r="E19" t="s">
        <v>249</v>
      </c>
    </row>
    <row r="20" spans="2:5" x14ac:dyDescent="0.45">
      <c r="B20">
        <v>2031</v>
      </c>
      <c r="C20" t="s">
        <v>37</v>
      </c>
      <c r="D20">
        <v>0.53077500000000011</v>
      </c>
      <c r="E20" t="s">
        <v>249</v>
      </c>
    </row>
    <row r="21" spans="2:5" x14ac:dyDescent="0.45">
      <c r="B21">
        <v>2032</v>
      </c>
      <c r="C21" t="s">
        <v>37</v>
      </c>
      <c r="D21">
        <v>0.5353</v>
      </c>
      <c r="E21" t="s">
        <v>249</v>
      </c>
    </row>
    <row r="22" spans="2:5" x14ac:dyDescent="0.45">
      <c r="B22">
        <v>2033</v>
      </c>
      <c r="C22" t="s">
        <v>37</v>
      </c>
      <c r="D22">
        <v>0.63743333333333341</v>
      </c>
      <c r="E22" t="s">
        <v>249</v>
      </c>
    </row>
    <row r="23" spans="2:5" x14ac:dyDescent="0.45">
      <c r="B23">
        <v>2034</v>
      </c>
      <c r="C23" t="s">
        <v>37</v>
      </c>
      <c r="D23">
        <v>0.65195000000000014</v>
      </c>
      <c r="E23" t="s">
        <v>249</v>
      </c>
    </row>
    <row r="24" spans="2:5" x14ac:dyDescent="0.45">
      <c r="B24">
        <v>2035</v>
      </c>
      <c r="C24" t="s">
        <v>37</v>
      </c>
      <c r="D24">
        <v>0.61034999999999995</v>
      </c>
      <c r="E24" t="s">
        <v>249</v>
      </c>
    </row>
    <row r="25" spans="2:5" x14ac:dyDescent="0.45">
      <c r="B25">
        <v>2036</v>
      </c>
      <c r="C25" t="s">
        <v>37</v>
      </c>
      <c r="D25">
        <v>0.61570000000000003</v>
      </c>
      <c r="E25" t="s">
        <v>249</v>
      </c>
    </row>
    <row r="26" spans="2:5" x14ac:dyDescent="0.45">
      <c r="B26">
        <v>2037</v>
      </c>
      <c r="C26" t="s">
        <v>37</v>
      </c>
      <c r="D26">
        <v>0.62835000000000008</v>
      </c>
      <c r="E26" t="s">
        <v>249</v>
      </c>
    </row>
    <row r="27" spans="2:5" x14ac:dyDescent="0.45">
      <c r="B27">
        <v>2038</v>
      </c>
      <c r="C27" t="s">
        <v>37</v>
      </c>
      <c r="D27">
        <v>0.61771666666666658</v>
      </c>
      <c r="E27" t="s">
        <v>249</v>
      </c>
    </row>
    <row r="28" spans="2:5" x14ac:dyDescent="0.45">
      <c r="B28">
        <v>2039</v>
      </c>
      <c r="C28" t="s">
        <v>37</v>
      </c>
      <c r="D28">
        <v>0.61848333333333327</v>
      </c>
      <c r="E28" t="s">
        <v>249</v>
      </c>
    </row>
    <row r="29" spans="2:5" x14ac:dyDescent="0.45">
      <c r="B29">
        <v>2040</v>
      </c>
      <c r="C29" t="s">
        <v>37</v>
      </c>
      <c r="D29">
        <v>0.5275833333333334</v>
      </c>
      <c r="E29" t="s">
        <v>249</v>
      </c>
    </row>
    <row r="30" spans="2:5" x14ac:dyDescent="0.45">
      <c r="B30">
        <v>2041</v>
      </c>
      <c r="C30" t="s">
        <v>37</v>
      </c>
      <c r="D30">
        <v>0.55854999999999999</v>
      </c>
      <c r="E30" t="s">
        <v>249</v>
      </c>
    </row>
    <row r="31" spans="2:5" x14ac:dyDescent="0.45">
      <c r="B31">
        <v>2042</v>
      </c>
      <c r="C31" t="s">
        <v>37</v>
      </c>
      <c r="D31">
        <v>0.55302499999999999</v>
      </c>
      <c r="E31" t="s">
        <v>249</v>
      </c>
    </row>
    <row r="32" spans="2:5" x14ac:dyDescent="0.45">
      <c r="B32">
        <v>2043</v>
      </c>
      <c r="C32" t="s">
        <v>37</v>
      </c>
      <c r="D32">
        <v>0.53684166666666666</v>
      </c>
      <c r="E32" t="s">
        <v>249</v>
      </c>
    </row>
    <row r="33" spans="2:5" x14ac:dyDescent="0.45">
      <c r="B33">
        <v>2044</v>
      </c>
      <c r="C33" t="s">
        <v>37</v>
      </c>
      <c r="D33">
        <v>0.54595833333333321</v>
      </c>
      <c r="E33" t="s">
        <v>249</v>
      </c>
    </row>
    <row r="34" spans="2:5" x14ac:dyDescent="0.45">
      <c r="B34">
        <v>2045</v>
      </c>
      <c r="C34" t="s">
        <v>37</v>
      </c>
      <c r="D34">
        <v>0.51370833333333332</v>
      </c>
      <c r="E34" t="s">
        <v>249</v>
      </c>
    </row>
    <row r="35" spans="2:5" x14ac:dyDescent="0.45">
      <c r="B35">
        <v>2046</v>
      </c>
      <c r="C35" t="s">
        <v>37</v>
      </c>
      <c r="D35">
        <v>0.62952499999999989</v>
      </c>
      <c r="E35" t="s">
        <v>249</v>
      </c>
    </row>
    <row r="36" spans="2:5" x14ac:dyDescent="0.45">
      <c r="B36">
        <v>2047</v>
      </c>
      <c r="C36" t="s">
        <v>37</v>
      </c>
      <c r="D36">
        <v>0.62744166666666668</v>
      </c>
      <c r="E36" t="s">
        <v>249</v>
      </c>
    </row>
    <row r="37" spans="2:5" x14ac:dyDescent="0.45">
      <c r="B37">
        <v>2048</v>
      </c>
      <c r="C37" t="s">
        <v>37</v>
      </c>
      <c r="D37">
        <v>0.5318166666666666</v>
      </c>
      <c r="E37" t="s">
        <v>249</v>
      </c>
    </row>
    <row r="38" spans="2:5" x14ac:dyDescent="0.45">
      <c r="B38">
        <v>2049</v>
      </c>
      <c r="C38" t="s">
        <v>37</v>
      </c>
      <c r="D38">
        <v>0.5293500000000001</v>
      </c>
      <c r="E38" t="s">
        <v>249</v>
      </c>
    </row>
    <row r="39" spans="2:5" x14ac:dyDescent="0.45">
      <c r="B39">
        <v>2050</v>
      </c>
      <c r="C39" t="s">
        <v>37</v>
      </c>
      <c r="D39">
        <v>0.53062500000000001</v>
      </c>
      <c r="E39" t="s">
        <v>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2026-06-18T18:10:39Z</dcterms:modified>
</cp:coreProperties>
</file>