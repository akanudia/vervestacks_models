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SuppXLS\"/>
    </mc:Choice>
  </mc:AlternateContent>
  <xr:revisionPtr revIDLastSave="0" documentId="8_{0FD1E243-5A69-406B-B0A6-B06A53175D00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<sst xmlns="http://schemas.openxmlformats.org/spreadsheetml/2006/main" count="4032" uniqueCount="239">
  <si>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</si>
  <si>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</si>
  <si>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</si>
  <si>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</si>
  <si>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</si>
  <si>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</si>
  <si>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</si>
  <si>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</si>
  <si>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</si>
  <si>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</si>
  <si>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</si>
  <si>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</si>
  <si>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</si>
  <si>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</si>
  <si>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</si>
  <si>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</si>
  <si>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</si>
  <si>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</si>
  <si>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</si>
  <si>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</si>
  <si>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</si>
  <si>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</si>
  <si>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</si>
  <si>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</si>
  <si>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</si>
  <si>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</si>
  <si>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</si>
  <si>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</si>
  <si>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</si>
  <si>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</si>
  <si>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</si>
  <si>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</si>
  <si>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</si>
  <si>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</si>
  <si>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</si>
  <si>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</si>
  <si>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</si>
  <si>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</si>
  <si>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</si>
  <si>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</si>
  <si>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</si>
  <si>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</si>
  <si>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</si>
  <si>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</si>
  <si>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</si>
  <si>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</si>
  <si>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</si>
  <si>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</si>
  <si>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</si>
  <si>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</si>
  <si>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</si>
  <si>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</si>
  <si>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</si>
  <si>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</si>
  <si>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</si>
  <si>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</si>
  <si>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</si>
  <si>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</si>
  <si>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</si>
  <si>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</si>
  <si>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</si>
  <si>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</si>
  <si>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</si>
  <si>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</si>
  <si>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</si>
  <si>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</si>
  <si>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</si>
  <si>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</si>
  <si>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</si>
  <si>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</si>
  <si>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</si>
  <si>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</si>
  <si>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</si>
  <si>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</si>
  <si>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</si>
  <si>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</si>
  <si>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</si>
  <si>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</si>
  <si>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</si>
  <si>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</si>
  <si>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</si>
  <si>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</si>
  <si>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</si>
  <si>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</si>
  <si>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</si>
  <si>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</si>
  <si>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</si>
  <si>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</si>
  <si>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</si>
  <si>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</si>
  <si>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</si>
  <si>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</si>
  <si>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</si>
  <si>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</si>
  <si>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</si>
  <si>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</si>
  <si>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</si>
  <si>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</si>
  <si>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</si>
  <si>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</si>
  <si>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</si>
  <si>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</si>
  <si>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</si>
  <si>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</si>
  <si>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</si>
  <si>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</si>
  <si>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</si>
  <si>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</si>
  <si>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</si>
  <si>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</si>
  <si>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</si>
  <si>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</si>
  <si>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</si>
  <si>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</si>
  <si>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</si>
  <si>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</si>
  <si>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</si>
  <si>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</si>
  <si>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</si>
  <si>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</si>
  <si>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</si>
  <si>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</si>
  <si>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</si>
  <si>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</si>
  <si>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</si>
  <si>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</si>
  <si>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</si>
  <si>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</si>
  <si>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</si>
  <si>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</si>
  <si>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</si>
  <si>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</si>
  <si>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</si>
  <si>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</si>
  <si>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</si>
  <si>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</si>
  <si>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</si>
  <si>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</si>
  <si>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</si>
  <si>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</si>
  <si>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</si>
  <si>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</si>
  <si>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</si>
  <si>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POL</t>
  </si>
  <si>
    <t>R10EUROPE</t>
  </si>
  <si>
    <t>Pipeline gas, coal &amp; forest resources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</si>
  <si>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</si>
  <si>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</si>
  <si>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</si>
  <si>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</si>
  <si>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</si>
  <si>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</si>
  <si>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</si>
  <si>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</si>
  <si>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</si>
  <si>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</si>
  <si>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</si>
  <si>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</si>
  <si>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</si>
  <si>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</si>
  <si>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</si>
  <si>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</si>
  <si>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</si>
  <si>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</si>
  <si>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</si>
  <si>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</si>
  <si>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</si>
  <si>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</si>
  <si>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</si>
  <si>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</si>
  <si>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</si>
  <si>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</si>
  <si>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</si>
  <si>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</si>
  <si>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</si>
  <si>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</si>
  <si>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</si>
  <si>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</si>
  <si>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</si>
  <si>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</si>
  <si>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</si>
  <si>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</si>
  <si>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</si>
  <si>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</si>
  <si>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</si>
  <si>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</si>
  <si>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</si>
  <si>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</si>
  <si>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</si>
  <si>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</si>
  <si>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</si>
  <si>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</si>
  <si>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</si>
  <si>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</si>
  <si>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</si>
  <si>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</si>
  <si>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</si>
  <si>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</si>
  <si>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</si>
  <si>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</si>
  <si>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</si>
  <si>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</si>
  <si>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</si>
  <si>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</si>
  <si>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</si>
  <si>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</si>
  <si>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</si>
  <si>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</si>
  <si>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</si>
  <si>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</si>
  <si>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</si>
  <si>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</si>
  <si>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</si>
  <si>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</si>
  <si>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N</t>
  </si>
  <si>
    <t>com_pkflx</t>
  </si>
  <si>
    <t>ncap_afs</t>
  </si>
  <si>
    <t>pset_ci</t>
  </si>
  <si>
    <t>hydro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</si>
  <si>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</si>
  <si>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</si>
  <si>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</si>
  <si>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</si>
  <si>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</si>
  <si>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</si>
  <si>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</si>
  <si>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</si>
  <si>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</si>
  <si>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</si>
  <si>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</si>
  <si>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</si>
  <si>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</si>
  <si>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</si>
  <si>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</si>
  <si>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</si>
  <si>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</si>
  <si>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</si>
  <si>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WaP,WaD,RaP,FaD,FaP,SaP,RaD,SaD</t>
  </si>
  <si>
    <t>RaN,FaN,SaN,WaN,RaP,FaP,SaP,WaP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</si>
</sst>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233.67960000000002</c:v>
                </c:pt>
                <c:pt idx="4">
                  <c:v>265.54500000000002</c:v>
                </c:pt>
                <c:pt idx="5">
                  <c:v>297.41039999999998</c:v>
                </c:pt>
                <c:pt idx="6">
                  <c:v>320.42430000000002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177.03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177.03</v>
      </c>
      <c r="U14" s="8">
        <f t="shared" ref="U14:Z14" si="3">$S$12*J15</f>
        <v>185.88150000000002</v>
      </c>
      <c r="V14" s="8">
        <f t="shared" si="3"/>
        <v>207.12509999999997</v>
      </c>
      <c r="W14" s="8">
        <f t="shared" si="3"/>
        <v>233.67960000000002</v>
      </c>
      <c r="X14" s="8">
        <f t="shared" si="3"/>
        <v>265.54500000000002</v>
      </c>
      <c r="Y14" s="8">
        <f t="shared" si="3"/>
        <v>297.41039999999998</v>
      </c>
      <c r="Z14" s="8">
        <f t="shared" si="3"/>
        <v>320.42430000000002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2.0712509999999997</v>
      </c>
      <c r="W18" s="6">
        <f t="shared" si="7"/>
        <v>2.3367960000000001</v>
      </c>
      <c r="X18" s="6">
        <f t="shared" si="7"/>
        <v>2.6554500000000001</v>
      </c>
      <c r="Y18" s="6">
        <f t="shared" si="7"/>
        <v>5.9482080000000002</v>
      </c>
      <c r="Z18" s="6">
        <f t="shared" si="7"/>
        <v>9.6127289999999999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63.730799999999995</v>
      </c>
      <c r="U19" s="6">
        <f t="shared" si="7"/>
        <v>59.482080000000003</v>
      </c>
      <c r="V19" s="6">
        <f t="shared" si="7"/>
        <v>64.208780999999988</v>
      </c>
      <c r="W19" s="6">
        <f t="shared" si="7"/>
        <v>67.767083999999997</v>
      </c>
      <c r="X19" s="6">
        <f t="shared" si="7"/>
        <v>77.008049999999997</v>
      </c>
      <c r="Y19" s="6">
        <f t="shared" si="7"/>
        <v>86.249015999999983</v>
      </c>
      <c r="Z19" s="6">
        <f t="shared" si="7"/>
        <v>96.127290000000002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106.218</v>
      </c>
      <c r="U20" s="6">
        <f t="shared" si="7"/>
        <v>111.52890000000001</v>
      </c>
      <c r="V20" s="6">
        <f t="shared" si="7"/>
        <v>124.27505999999998</v>
      </c>
      <c r="W20" s="6">
        <f t="shared" si="7"/>
        <v>133.197372</v>
      </c>
      <c r="X20" s="6">
        <f t="shared" si="7"/>
        <v>143.39430000000002</v>
      </c>
      <c r="Y20" s="6">
        <f t="shared" si="7"/>
        <v>154.65340799999998</v>
      </c>
      <c r="Z20" s="6">
        <f t="shared" si="7"/>
        <v>169.82487900000001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1.7702999999999918</v>
      </c>
      <c r="U22" s="6">
        <f t="shared" si="9"/>
        <v>9.5596199999999953</v>
      </c>
      <c r="V22" s="6">
        <f t="shared" si="9"/>
        <v>13.330358999999987</v>
      </c>
      <c r="W22" s="6">
        <f t="shared" si="9"/>
        <v>27.404244000000034</v>
      </c>
      <c r="X22" s="6">
        <f t="shared" si="9"/>
        <v>39.83175</v>
      </c>
      <c r="Y22" s="6">
        <f t="shared" si="9"/>
        <v>51.19707600000001</v>
      </c>
      <c r="Z22" s="6">
        <f t="shared" si="9"/>
        <v>49.161230999999987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15.24</v>
      </c>
      <c r="S28" t="s">
        <v>32</v>
      </c>
      <c r="T28" s="3">
        <f>Q28</f>
        <v>15.24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-16.91</v>
      </c>
      <c r="S29" t="s">
        <v>35</v>
      </c>
      <c r="T29" s="3">
        <f>-1*Q29</f>
        <v>16.91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12.2</v>
      </c>
      <c r="J46">
        <f t="shared" si="12"/>
        <v>12.443999999999999</v>
      </c>
      <c r="K46">
        <f t="shared" si="12"/>
        <v>12.932</v>
      </c>
      <c r="L46">
        <f t="shared" si="12"/>
        <v>13.054</v>
      </c>
      <c r="M46">
        <f t="shared" si="12"/>
        <v>13.176</v>
      </c>
      <c r="N46">
        <f t="shared" si="12"/>
        <v>13.42</v>
      </c>
      <c r="O46">
        <f t="shared" si="12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26</v>
      </c>
      <c r="O48">
        <f>VLOOKUP($E$5,$AK$9:$AM$15,3,FALSE)*I48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1.4550000000000001</v>
      </c>
      <c r="D84">
        <v>1.881</v>
      </c>
      <c r="E84">
        <v>1.881</v>
      </c>
      <c r="F84" t="s">
        <v>149</v>
      </c>
    </row>
    <row r="85" spans="1:6" x14ac:dyDescent="0.45">
      <c r="A85" t="s">
        <v>32</v>
      </c>
      <c r="B85" t="s">
        <v>148</v>
      </c>
      <c r="C85">
        <v>1.8</v>
      </c>
      <c r="D85">
        <v>3.3</v>
      </c>
      <c r="E85">
        <v>3.3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</row>
    <row r="12" spans="1:9" x14ac:dyDescent="0.45">
      <c r="A12" t="s">
        <v>143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</row>
    <row r="13" spans="1:9" x14ac:dyDescent="0.45">
      <c r="A13" t="s">
        <v>143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</row>
    <row r="14" spans="1:9" x14ac:dyDescent="0.45">
      <c r="A14" t="s">
        <v>143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</row>
    <row r="15" spans="1:9" x14ac:dyDescent="0.45">
      <c r="A15" t="s">
        <v>143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</row>
    <row r="16" spans="1:9" x14ac:dyDescent="0.45">
      <c r="A16" t="s">
        <v>143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</row>
    <row r="17" spans="1:9" x14ac:dyDescent="0.45">
      <c r="A17" t="s">
        <v>143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</row>
    <row r="18" spans="1:9" x14ac:dyDescent="0.45">
      <c r="A18" t="s">
        <v>143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</row>
    <row r="19" spans="1:9" x14ac:dyDescent="0.45">
      <c r="A19" t="s">
        <v>143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</row>
    <row r="20" spans="1:9" x14ac:dyDescent="0.45">
      <c r="A20" t="s">
        <v>143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</row>
    <row r="21" spans="1:9" x14ac:dyDescent="0.45">
      <c r="A21" t="s">
        <v>143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</row>
    <row r="22" spans="1:9" x14ac:dyDescent="0.45">
      <c r="A22" t="s">
        <v>143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</row>
    <row r="23" spans="1:9" x14ac:dyDescent="0.45">
      <c r="A23" t="s">
        <v>143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</row>
    <row r="24" spans="1:9" x14ac:dyDescent="0.45">
      <c r="A24" t="s">
        <v>143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</row>
    <row r="25" spans="1:9" x14ac:dyDescent="0.45">
      <c r="A25" t="s">
        <v>143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</row>
    <row r="26" spans="1:9" x14ac:dyDescent="0.45">
      <c r="A26" t="s">
        <v>143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</row>
    <row r="27" spans="1:9" x14ac:dyDescent="0.45">
      <c r="A27" t="s">
        <v>143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</row>
    <row r="28" spans="1:9" x14ac:dyDescent="0.45">
      <c r="A28" t="s">
        <v>143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</row>
    <row r="29" spans="1:9" x14ac:dyDescent="0.45">
      <c r="A29" t="s">
        <v>143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</row>
    <row r="30" spans="1:9" x14ac:dyDescent="0.45">
      <c r="A30" t="s">
        <v>143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</row>
    <row r="31" spans="1:9" x14ac:dyDescent="0.45">
      <c r="A31" t="s">
        <v>143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</row>
    <row r="32" spans="1:9" x14ac:dyDescent="0.45">
      <c r="A32" t="s">
        <v>143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</row>
    <row r="33" spans="1:9" x14ac:dyDescent="0.45">
      <c r="A33" t="s">
        <v>143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212</v>
      </c>
      <c r="D10" t="s">
        <v>106</v>
      </c>
      <c r="F10" t="s">
        <v>212</v>
      </c>
      <c r="G10" t="s">
        <v>131</v>
      </c>
    </row>
    <row r="11" spans="1:7" x14ac:dyDescent="0.45">
      <c r="B11" s="15"/>
      <c r="C11" s="15" t="s">
        <v>213</v>
      </c>
      <c r="D11" t="s">
        <v>160</v>
      </c>
      <c r="F11" t="s">
        <v>213</v>
      </c>
      <c r="G11" t="s">
        <v>237</v>
      </c>
    </row>
    <row r="12" spans="1:7" x14ac:dyDescent="0.45">
      <c r="B12" s="15"/>
      <c r="C12" s="15" t="s">
        <v>214</v>
      </c>
      <c r="D12" t="s">
        <v>160</v>
      </c>
      <c r="F12" t="s">
        <v>214</v>
      </c>
      <c r="G12" t="s">
        <v>238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F862-2675-46EE-9DAB-C445FBAF2351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158</v>
      </c>
      <c r="L10" t="s">
        <v>30</v>
      </c>
      <c r="N10" t="s">
        <v>13</v>
      </c>
      <c r="O10" t="s">
        <v>121</v>
      </c>
      <c r="P10" t="s">
        <v>158</v>
      </c>
      <c r="Q10" t="s">
        <v>30</v>
      </c>
      <c r="S10" t="s">
        <v>13</v>
      </c>
      <c r="T10" t="s">
        <v>121</v>
      </c>
      <c r="U10" t="s">
        <v>158</v>
      </c>
      <c r="V10" t="s">
        <v>30</v>
      </c>
      <c r="X10" t="s">
        <v>211</v>
      </c>
      <c r="Y10" t="s">
        <v>158</v>
      </c>
      <c r="Z10" t="s">
        <v>121</v>
      </c>
      <c r="AA10" t="s">
        <v>13</v>
      </c>
      <c r="AC10" t="s">
        <v>13</v>
      </c>
      <c r="AD10" t="s">
        <v>121</v>
      </c>
      <c r="AE10" t="s">
        <v>158</v>
      </c>
      <c r="AG10" t="s">
        <v>13</v>
      </c>
      <c r="AH10" t="s">
        <v>121</v>
      </c>
      <c r="AI10" t="s">
        <v>215</v>
      </c>
      <c r="AK10" t="s">
        <v>47</v>
      </c>
      <c r="AL10" t="s">
        <v>121</v>
      </c>
      <c r="AM10" t="s">
        <v>216</v>
      </c>
      <c r="AN10" t="s">
        <v>217</v>
      </c>
    </row>
    <row r="11" spans="1:40" x14ac:dyDescent="0.45">
      <c r="A11" t="str">
        <f>IFERROR(IF(Veda!D5=A10,"ok","x"),"")</f>
        <v>ok</v>
      </c>
      <c r="C11" t="s">
        <v>155</v>
      </c>
      <c r="D11" t="s">
        <v>156</v>
      </c>
      <c r="E11" t="s">
        <v>157</v>
      </c>
      <c r="F11" t="s">
        <v>155</v>
      </c>
      <c r="G11" t="s">
        <v>156</v>
      </c>
      <c r="I11" t="s">
        <v>159</v>
      </c>
      <c r="J11" t="s">
        <v>160</v>
      </c>
      <c r="K11">
        <v>0.99999999999999867</v>
      </c>
      <c r="L11" t="s">
        <v>161</v>
      </c>
      <c r="N11" t="s">
        <v>181</v>
      </c>
      <c r="O11" t="s">
        <v>160</v>
      </c>
      <c r="P11">
        <v>0.99999999999999711</v>
      </c>
      <c r="Q11" t="s">
        <v>161</v>
      </c>
      <c r="S11" t="s">
        <v>201</v>
      </c>
      <c r="T11" t="s">
        <v>160</v>
      </c>
      <c r="U11">
        <v>0.99999999999999722</v>
      </c>
      <c r="V11" t="s">
        <v>161</v>
      </c>
      <c r="X11">
        <v>1</v>
      </c>
      <c r="Y11">
        <v>1.0000000000000002</v>
      </c>
      <c r="Z11" t="s">
        <v>160</v>
      </c>
      <c r="AA11" t="s">
        <v>25</v>
      </c>
      <c r="AC11" t="s">
        <v>22</v>
      </c>
      <c r="AD11" t="s">
        <v>160</v>
      </c>
      <c r="AE11">
        <v>1</v>
      </c>
      <c r="AG11" t="s">
        <v>96</v>
      </c>
      <c r="AH11" t="s">
        <v>160</v>
      </c>
      <c r="AI11">
        <v>0.22677421853655755</v>
      </c>
      <c r="AK11">
        <v>2020</v>
      </c>
      <c r="AL11" t="s">
        <v>155</v>
      </c>
      <c r="AM11">
        <v>0.18843767577479634</v>
      </c>
      <c r="AN11" t="s">
        <v>218</v>
      </c>
    </row>
    <row r="12" spans="1:40" x14ac:dyDescent="0.45">
      <c r="I12" t="s">
        <v>162</v>
      </c>
      <c r="J12" t="s">
        <v>160</v>
      </c>
      <c r="K12">
        <v>1</v>
      </c>
      <c r="L12" t="s">
        <v>161</v>
      </c>
      <c r="N12" t="s">
        <v>182</v>
      </c>
      <c r="O12" t="s">
        <v>160</v>
      </c>
      <c r="P12">
        <v>0.999999999999996</v>
      </c>
      <c r="Q12" t="s">
        <v>161</v>
      </c>
      <c r="S12" t="s">
        <v>202</v>
      </c>
      <c r="T12" t="s">
        <v>160</v>
      </c>
      <c r="U12">
        <v>1.0000000000000042</v>
      </c>
      <c r="V12" t="s">
        <v>161</v>
      </c>
      <c r="AC12" t="s">
        <v>19</v>
      </c>
      <c r="AD12" t="s">
        <v>160</v>
      </c>
      <c r="AE12">
        <v>1</v>
      </c>
      <c r="AK12">
        <v>2021</v>
      </c>
      <c r="AL12" t="s">
        <v>155</v>
      </c>
      <c r="AM12">
        <v>0.21560142735733026</v>
      </c>
      <c r="AN12" t="s">
        <v>218</v>
      </c>
    </row>
    <row r="13" spans="1:40" x14ac:dyDescent="0.45">
      <c r="I13" t="s">
        <v>163</v>
      </c>
      <c r="J13" t="s">
        <v>160</v>
      </c>
      <c r="K13">
        <v>0.99999999999999789</v>
      </c>
      <c r="L13" t="s">
        <v>161</v>
      </c>
      <c r="N13" t="s">
        <v>183</v>
      </c>
      <c r="O13" t="s">
        <v>160</v>
      </c>
      <c r="P13">
        <v>1.0000000000000027</v>
      </c>
      <c r="Q13" t="s">
        <v>161</v>
      </c>
      <c r="S13" t="s">
        <v>203</v>
      </c>
      <c r="T13" t="s">
        <v>160</v>
      </c>
      <c r="U13">
        <v>1.0000000000000004</v>
      </c>
      <c r="V13" t="s">
        <v>161</v>
      </c>
      <c r="AK13">
        <v>2022</v>
      </c>
      <c r="AL13" t="s">
        <v>155</v>
      </c>
      <c r="AM13">
        <v>0.18139392213618674</v>
      </c>
      <c r="AN13" t="s">
        <v>218</v>
      </c>
    </row>
    <row r="14" spans="1:40" x14ac:dyDescent="0.45">
      <c r="I14" t="s">
        <v>164</v>
      </c>
      <c r="J14" t="s">
        <v>160</v>
      </c>
      <c r="K14">
        <v>1.0000000000000002</v>
      </c>
      <c r="L14" t="s">
        <v>161</v>
      </c>
      <c r="N14" t="s">
        <v>184</v>
      </c>
      <c r="O14" t="s">
        <v>160</v>
      </c>
      <c r="P14">
        <v>0.99999999999999978</v>
      </c>
      <c r="Q14" t="s">
        <v>161</v>
      </c>
      <c r="S14" t="s">
        <v>204</v>
      </c>
      <c r="T14" t="s">
        <v>160</v>
      </c>
      <c r="U14">
        <v>1.0000000000000018</v>
      </c>
      <c r="V14" t="s">
        <v>161</v>
      </c>
      <c r="AK14">
        <v>2025</v>
      </c>
      <c r="AL14" t="s">
        <v>155</v>
      </c>
      <c r="AM14">
        <v>0.19461666666666666</v>
      </c>
      <c r="AN14" t="s">
        <v>218</v>
      </c>
    </row>
    <row r="15" spans="1:40" x14ac:dyDescent="0.45">
      <c r="I15" t="s">
        <v>165</v>
      </c>
      <c r="J15" t="s">
        <v>160</v>
      </c>
      <c r="K15">
        <v>0.99999999999999911</v>
      </c>
      <c r="L15" t="s">
        <v>161</v>
      </c>
      <c r="N15" t="s">
        <v>185</v>
      </c>
      <c r="O15" t="s">
        <v>160</v>
      </c>
      <c r="P15">
        <v>0.99999999999999645</v>
      </c>
      <c r="Q15" t="s">
        <v>161</v>
      </c>
      <c r="S15" t="s">
        <v>205</v>
      </c>
      <c r="T15" t="s">
        <v>160</v>
      </c>
      <c r="U15">
        <v>0.99999999999999967</v>
      </c>
      <c r="V15" t="s">
        <v>161</v>
      </c>
      <c r="AK15">
        <v>2026</v>
      </c>
      <c r="AL15" t="s">
        <v>155</v>
      </c>
      <c r="AM15">
        <v>0.19336666666666666</v>
      </c>
      <c r="AN15" t="s">
        <v>218</v>
      </c>
    </row>
    <row r="16" spans="1:40" x14ac:dyDescent="0.45">
      <c r="I16" t="s">
        <v>166</v>
      </c>
      <c r="J16" t="s">
        <v>160</v>
      </c>
      <c r="K16">
        <v>1.0000000000000024</v>
      </c>
      <c r="L16" t="s">
        <v>161</v>
      </c>
      <c r="N16" t="s">
        <v>186</v>
      </c>
      <c r="O16" t="s">
        <v>160</v>
      </c>
      <c r="P16">
        <v>0.999999999999998</v>
      </c>
      <c r="Q16" t="s">
        <v>161</v>
      </c>
      <c r="S16" t="s">
        <v>206</v>
      </c>
      <c r="T16" t="s">
        <v>160</v>
      </c>
      <c r="U16">
        <v>1.0000000000000007</v>
      </c>
      <c r="V16" t="s">
        <v>161</v>
      </c>
      <c r="AK16">
        <v>2027</v>
      </c>
      <c r="AL16" t="s">
        <v>155</v>
      </c>
      <c r="AM16">
        <v>0.20274999999999999</v>
      </c>
      <c r="AN16" t="s">
        <v>218</v>
      </c>
    </row>
    <row r="17" spans="9:40" x14ac:dyDescent="0.45">
      <c r="I17" t="s">
        <v>167</v>
      </c>
      <c r="J17" t="s">
        <v>160</v>
      </c>
      <c r="K17">
        <v>0.99999999999999989</v>
      </c>
      <c r="L17" t="s">
        <v>161</v>
      </c>
      <c r="N17" t="s">
        <v>187</v>
      </c>
      <c r="O17" t="s">
        <v>160</v>
      </c>
      <c r="P17">
        <v>1.0000000000000022</v>
      </c>
      <c r="Q17" t="s">
        <v>161</v>
      </c>
      <c r="S17" t="s">
        <v>207</v>
      </c>
      <c r="T17" t="s">
        <v>160</v>
      </c>
      <c r="U17">
        <v>0.99999999999999989</v>
      </c>
      <c r="V17" t="s">
        <v>161</v>
      </c>
      <c r="AK17">
        <v>2028</v>
      </c>
      <c r="AL17" t="s">
        <v>155</v>
      </c>
      <c r="AM17">
        <v>0.17006666666666667</v>
      </c>
      <c r="AN17" t="s">
        <v>218</v>
      </c>
    </row>
    <row r="18" spans="9:40" x14ac:dyDescent="0.45">
      <c r="I18" t="s">
        <v>168</v>
      </c>
      <c r="J18" t="s">
        <v>160</v>
      </c>
      <c r="K18">
        <v>1.0000000000000033</v>
      </c>
      <c r="L18" t="s">
        <v>161</v>
      </c>
      <c r="N18" t="s">
        <v>188</v>
      </c>
      <c r="O18" t="s">
        <v>160</v>
      </c>
      <c r="P18">
        <v>0.99999999999999889</v>
      </c>
      <c r="Q18" t="s">
        <v>161</v>
      </c>
      <c r="S18" t="s">
        <v>208</v>
      </c>
      <c r="T18" t="s">
        <v>160</v>
      </c>
      <c r="U18">
        <v>0.99999999999999956</v>
      </c>
      <c r="V18" t="s">
        <v>161</v>
      </c>
      <c r="AK18">
        <v>2029</v>
      </c>
      <c r="AL18" t="s">
        <v>155</v>
      </c>
      <c r="AM18">
        <v>0.16963333333333333</v>
      </c>
      <c r="AN18" t="s">
        <v>218</v>
      </c>
    </row>
    <row r="19" spans="9:40" x14ac:dyDescent="0.45">
      <c r="I19" t="s">
        <v>169</v>
      </c>
      <c r="J19" t="s">
        <v>160</v>
      </c>
      <c r="K19">
        <v>1</v>
      </c>
      <c r="L19" t="s">
        <v>161</v>
      </c>
      <c r="N19" t="s">
        <v>189</v>
      </c>
      <c r="O19" t="s">
        <v>160</v>
      </c>
      <c r="P19">
        <v>1.0000000000000011</v>
      </c>
      <c r="Q19" t="s">
        <v>161</v>
      </c>
      <c r="S19" t="s">
        <v>209</v>
      </c>
      <c r="T19" t="s">
        <v>160</v>
      </c>
      <c r="U19">
        <v>1.0000000000000002</v>
      </c>
      <c r="V19" t="s">
        <v>161</v>
      </c>
      <c r="AK19">
        <v>2030</v>
      </c>
      <c r="AL19" t="s">
        <v>155</v>
      </c>
      <c r="AM19">
        <v>0.16924166666666665</v>
      </c>
      <c r="AN19" t="s">
        <v>218</v>
      </c>
    </row>
    <row r="20" spans="9:40" x14ac:dyDescent="0.45">
      <c r="I20" t="s">
        <v>170</v>
      </c>
      <c r="J20" t="s">
        <v>160</v>
      </c>
      <c r="K20">
        <v>0.99999999999999989</v>
      </c>
      <c r="L20" t="s">
        <v>161</v>
      </c>
      <c r="N20" t="s">
        <v>190</v>
      </c>
      <c r="O20" t="s">
        <v>160</v>
      </c>
      <c r="P20">
        <v>0.99999999999999911</v>
      </c>
      <c r="Q20" t="s">
        <v>161</v>
      </c>
      <c r="S20" t="s">
        <v>210</v>
      </c>
      <c r="T20" t="s">
        <v>160</v>
      </c>
      <c r="U20">
        <v>1.0000000000000004</v>
      </c>
      <c r="V20" t="s">
        <v>161</v>
      </c>
      <c r="AK20">
        <v>2031</v>
      </c>
      <c r="AL20" t="s">
        <v>155</v>
      </c>
      <c r="AM20">
        <v>0.16455833333333333</v>
      </c>
      <c r="AN20" t="s">
        <v>218</v>
      </c>
    </row>
    <row r="21" spans="9:40" x14ac:dyDescent="0.45">
      <c r="I21" t="s">
        <v>171</v>
      </c>
      <c r="J21" t="s">
        <v>160</v>
      </c>
      <c r="K21">
        <v>0.99999999999999478</v>
      </c>
      <c r="L21" t="s">
        <v>161</v>
      </c>
      <c r="N21" t="s">
        <v>191</v>
      </c>
      <c r="O21" t="s">
        <v>160</v>
      </c>
      <c r="P21">
        <v>1.0000000000000022</v>
      </c>
      <c r="Q21" t="s">
        <v>161</v>
      </c>
      <c r="AK21">
        <v>2032</v>
      </c>
      <c r="AL21" t="s">
        <v>155</v>
      </c>
      <c r="AM21">
        <v>0.17049166666666668</v>
      </c>
      <c r="AN21" t="s">
        <v>218</v>
      </c>
    </row>
    <row r="22" spans="9:40" x14ac:dyDescent="0.45">
      <c r="I22" t="s">
        <v>172</v>
      </c>
      <c r="J22" t="s">
        <v>160</v>
      </c>
      <c r="K22">
        <v>1.0000000000000011</v>
      </c>
      <c r="L22" t="s">
        <v>161</v>
      </c>
      <c r="N22" t="s">
        <v>192</v>
      </c>
      <c r="O22" t="s">
        <v>160</v>
      </c>
      <c r="P22">
        <v>0.99999999999999745</v>
      </c>
      <c r="Q22" t="s">
        <v>161</v>
      </c>
      <c r="AK22">
        <v>2033</v>
      </c>
      <c r="AL22" t="s">
        <v>155</v>
      </c>
      <c r="AM22">
        <v>0.23421666666666666</v>
      </c>
      <c r="AN22" t="s">
        <v>218</v>
      </c>
    </row>
    <row r="23" spans="9:40" x14ac:dyDescent="0.45">
      <c r="I23" t="s">
        <v>173</v>
      </c>
      <c r="J23" t="s">
        <v>160</v>
      </c>
      <c r="K23">
        <v>0.999999999999999</v>
      </c>
      <c r="L23" t="s">
        <v>161</v>
      </c>
      <c r="N23" t="s">
        <v>193</v>
      </c>
      <c r="O23" t="s">
        <v>160</v>
      </c>
      <c r="P23">
        <v>0.99999999999999623</v>
      </c>
      <c r="Q23" t="s">
        <v>161</v>
      </c>
      <c r="AK23">
        <v>2034</v>
      </c>
      <c r="AL23" t="s">
        <v>155</v>
      </c>
      <c r="AM23">
        <v>0.21967499999999998</v>
      </c>
      <c r="AN23" t="s">
        <v>218</v>
      </c>
    </row>
    <row r="24" spans="9:40" x14ac:dyDescent="0.45">
      <c r="I24" t="s">
        <v>174</v>
      </c>
      <c r="J24" t="s">
        <v>160</v>
      </c>
      <c r="K24">
        <v>1.0000000000000029</v>
      </c>
      <c r="L24" t="s">
        <v>161</v>
      </c>
      <c r="N24" t="s">
        <v>194</v>
      </c>
      <c r="O24" t="s">
        <v>160</v>
      </c>
      <c r="P24">
        <v>0.99999999999999989</v>
      </c>
      <c r="Q24" t="s">
        <v>161</v>
      </c>
      <c r="AK24">
        <v>2035</v>
      </c>
      <c r="AL24" t="s">
        <v>155</v>
      </c>
      <c r="AM24">
        <v>0.22216666666666662</v>
      </c>
      <c r="AN24" t="s">
        <v>218</v>
      </c>
    </row>
    <row r="25" spans="9:40" x14ac:dyDescent="0.45">
      <c r="I25" t="s">
        <v>175</v>
      </c>
      <c r="J25" t="s">
        <v>160</v>
      </c>
      <c r="K25">
        <v>1</v>
      </c>
      <c r="L25" t="s">
        <v>161</v>
      </c>
      <c r="N25" t="s">
        <v>195</v>
      </c>
      <c r="O25" t="s">
        <v>160</v>
      </c>
      <c r="P25">
        <v>1.0000000000000067</v>
      </c>
      <c r="Q25" t="s">
        <v>161</v>
      </c>
      <c r="AK25">
        <v>2036</v>
      </c>
      <c r="AL25" t="s">
        <v>155</v>
      </c>
      <c r="AM25">
        <v>0.22770833333333337</v>
      </c>
      <c r="AN25" t="s">
        <v>218</v>
      </c>
    </row>
    <row r="26" spans="9:40" x14ac:dyDescent="0.45">
      <c r="I26" t="s">
        <v>176</v>
      </c>
      <c r="J26" t="s">
        <v>160</v>
      </c>
      <c r="K26">
        <v>0.99999999999999922</v>
      </c>
      <c r="L26" t="s">
        <v>161</v>
      </c>
      <c r="N26" t="s">
        <v>196</v>
      </c>
      <c r="O26" t="s">
        <v>160</v>
      </c>
      <c r="P26">
        <v>1.0000000000000029</v>
      </c>
      <c r="Q26" t="s">
        <v>161</v>
      </c>
      <c r="AK26">
        <v>2037</v>
      </c>
      <c r="AL26" t="s">
        <v>155</v>
      </c>
      <c r="AM26">
        <v>0.22924166666666668</v>
      </c>
      <c r="AN26" t="s">
        <v>218</v>
      </c>
    </row>
    <row r="27" spans="9:40" x14ac:dyDescent="0.45">
      <c r="I27" t="s">
        <v>177</v>
      </c>
      <c r="J27" t="s">
        <v>160</v>
      </c>
      <c r="K27">
        <v>1</v>
      </c>
      <c r="L27" t="s">
        <v>161</v>
      </c>
      <c r="N27" t="s">
        <v>197</v>
      </c>
      <c r="O27" t="s">
        <v>160</v>
      </c>
      <c r="P27">
        <v>0.99999999999999922</v>
      </c>
      <c r="Q27" t="s">
        <v>161</v>
      </c>
      <c r="AK27">
        <v>2038</v>
      </c>
      <c r="AL27" t="s">
        <v>155</v>
      </c>
      <c r="AM27">
        <v>0.22686666666666666</v>
      </c>
      <c r="AN27" t="s">
        <v>218</v>
      </c>
    </row>
    <row r="28" spans="9:40" x14ac:dyDescent="0.45">
      <c r="I28" t="s">
        <v>178</v>
      </c>
      <c r="J28" t="s">
        <v>160</v>
      </c>
      <c r="K28">
        <v>0.99999999999999734</v>
      </c>
      <c r="L28" t="s">
        <v>161</v>
      </c>
      <c r="N28" t="s">
        <v>198</v>
      </c>
      <c r="O28" t="s">
        <v>160</v>
      </c>
      <c r="P28">
        <v>0.99999999999999978</v>
      </c>
      <c r="Q28" t="s">
        <v>161</v>
      </c>
      <c r="AK28">
        <v>2039</v>
      </c>
      <c r="AL28" t="s">
        <v>155</v>
      </c>
      <c r="AM28">
        <v>0.20100833333333332</v>
      </c>
      <c r="AN28" t="s">
        <v>218</v>
      </c>
    </row>
    <row r="29" spans="9:40" x14ac:dyDescent="0.45">
      <c r="I29" t="s">
        <v>179</v>
      </c>
      <c r="J29" t="s">
        <v>160</v>
      </c>
      <c r="K29">
        <v>1.0000000000000011</v>
      </c>
      <c r="L29" t="s">
        <v>161</v>
      </c>
      <c r="N29" t="s">
        <v>199</v>
      </c>
      <c r="O29" t="s">
        <v>160</v>
      </c>
      <c r="P29">
        <v>1.0000000000000016</v>
      </c>
      <c r="Q29" t="s">
        <v>161</v>
      </c>
      <c r="AK29">
        <v>2040</v>
      </c>
      <c r="AL29" t="s">
        <v>155</v>
      </c>
      <c r="AM29">
        <v>0.19754999999999998</v>
      </c>
      <c r="AN29" t="s">
        <v>218</v>
      </c>
    </row>
    <row r="30" spans="9:40" x14ac:dyDescent="0.45">
      <c r="I30" t="s">
        <v>180</v>
      </c>
      <c r="J30" t="s">
        <v>160</v>
      </c>
      <c r="K30">
        <v>0.99999999999999978</v>
      </c>
      <c r="L30" t="s">
        <v>161</v>
      </c>
      <c r="N30" t="s">
        <v>200</v>
      </c>
      <c r="O30" t="s">
        <v>160</v>
      </c>
      <c r="P30">
        <v>0.99999999999999634</v>
      </c>
      <c r="Q30" t="s">
        <v>161</v>
      </c>
      <c r="AK30">
        <v>2041</v>
      </c>
      <c r="AL30" t="s">
        <v>155</v>
      </c>
      <c r="AM30">
        <v>0.20085</v>
      </c>
      <c r="AN30" t="s">
        <v>218</v>
      </c>
    </row>
    <row r="31" spans="9:40" x14ac:dyDescent="0.45">
      <c r="AK31">
        <v>2042</v>
      </c>
      <c r="AL31" t="s">
        <v>155</v>
      </c>
      <c r="AM31">
        <v>0.22047499999999998</v>
      </c>
      <c r="AN31" t="s">
        <v>218</v>
      </c>
    </row>
    <row r="32" spans="9:40" x14ac:dyDescent="0.45">
      <c r="AK32">
        <v>2043</v>
      </c>
      <c r="AL32" t="s">
        <v>155</v>
      </c>
      <c r="AM32">
        <v>0.22735833333333333</v>
      </c>
      <c r="AN32" t="s">
        <v>218</v>
      </c>
    </row>
    <row r="33" spans="37:40" x14ac:dyDescent="0.45">
      <c r="AK33">
        <v>2044</v>
      </c>
      <c r="AL33" t="s">
        <v>155</v>
      </c>
      <c r="AM33">
        <v>0.23075833333333332</v>
      </c>
      <c r="AN33" t="s">
        <v>218</v>
      </c>
    </row>
    <row r="34" spans="37:40" x14ac:dyDescent="0.45">
      <c r="AK34">
        <v>2045</v>
      </c>
      <c r="AL34" t="s">
        <v>155</v>
      </c>
      <c r="AM34">
        <v>0.16792499999999999</v>
      </c>
      <c r="AN34" t="s">
        <v>218</v>
      </c>
    </row>
    <row r="35" spans="37:40" x14ac:dyDescent="0.45">
      <c r="AK35">
        <v>2046</v>
      </c>
      <c r="AL35" t="s">
        <v>155</v>
      </c>
      <c r="AM35">
        <v>0.16623333333333334</v>
      </c>
      <c r="AN35" t="s">
        <v>218</v>
      </c>
    </row>
    <row r="36" spans="37:40" x14ac:dyDescent="0.45">
      <c r="AK36">
        <v>2047</v>
      </c>
      <c r="AL36" t="s">
        <v>155</v>
      </c>
      <c r="AM36">
        <v>0.20014166666666666</v>
      </c>
      <c r="AN36" t="s">
        <v>218</v>
      </c>
    </row>
    <row r="37" spans="37:40" x14ac:dyDescent="0.45">
      <c r="AK37">
        <v>2048</v>
      </c>
      <c r="AL37" t="s">
        <v>155</v>
      </c>
      <c r="AM37">
        <v>0.19996666666666665</v>
      </c>
      <c r="AN37" t="s">
        <v>218</v>
      </c>
    </row>
    <row r="38" spans="37:40" x14ac:dyDescent="0.45">
      <c r="AK38">
        <v>2049</v>
      </c>
      <c r="AL38" t="s">
        <v>155</v>
      </c>
      <c r="AM38">
        <v>0.19070833333333334</v>
      </c>
      <c r="AN38" t="s">
        <v>218</v>
      </c>
    </row>
    <row r="39" spans="37:40" x14ac:dyDescent="0.45">
      <c r="AK39">
        <v>2050</v>
      </c>
      <c r="AL39" t="s">
        <v>155</v>
      </c>
      <c r="AM39">
        <v>0.19342500000000004</v>
      </c>
      <c r="AN39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3DB8-9F23-41E3-A63A-6B486BCDFE61}">
  <dimension ref="A9:AN25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158</v>
      </c>
      <c r="L10" t="s">
        <v>30</v>
      </c>
      <c r="N10" t="s">
        <v>13</v>
      </c>
      <c r="O10" t="s">
        <v>121</v>
      </c>
      <c r="P10" t="s">
        <v>158</v>
      </c>
      <c r="Q10" t="s">
        <v>30</v>
      </c>
      <c r="S10" t="s">
        <v>13</v>
      </c>
      <c r="T10" t="s">
        <v>121</v>
      </c>
      <c r="U10" t="s">
        <v>158</v>
      </c>
      <c r="V10" t="s">
        <v>30</v>
      </c>
      <c r="X10" t="s">
        <v>211</v>
      </c>
      <c r="Y10" t="s">
        <v>158</v>
      </c>
      <c r="Z10" t="s">
        <v>121</v>
      </c>
      <c r="AA10" t="s">
        <v>13</v>
      </c>
      <c r="AC10" t="s">
        <v>13</v>
      </c>
      <c r="AD10" t="s">
        <v>121</v>
      </c>
      <c r="AE10" t="s">
        <v>158</v>
      </c>
      <c r="AG10" t="s">
        <v>13</v>
      </c>
      <c r="AH10" t="s">
        <v>121</v>
      </c>
      <c r="AI10" t="s">
        <v>215</v>
      </c>
      <c r="AK10" t="s">
        <v>47</v>
      </c>
      <c r="AL10" t="s">
        <v>121</v>
      </c>
      <c r="AM10" t="s">
        <v>216</v>
      </c>
      <c r="AN10" t="s">
        <v>217</v>
      </c>
    </row>
    <row r="11" spans="1:40" x14ac:dyDescent="0.45">
      <c r="A11" t="str">
        <f>IFERROR(IF(Veda!D5=A10,"ok","x"),"")</f>
        <v>x</v>
      </c>
      <c r="C11" t="s">
        <v>219</v>
      </c>
      <c r="D11" t="s">
        <v>156</v>
      </c>
      <c r="E11" t="s">
        <v>213</v>
      </c>
      <c r="F11" t="s">
        <v>220</v>
      </c>
      <c r="G11" t="s">
        <v>156</v>
      </c>
      <c r="I11" t="s">
        <v>159</v>
      </c>
      <c r="J11" t="s">
        <v>225</v>
      </c>
      <c r="K11">
        <v>0.15815973459075042</v>
      </c>
      <c r="L11" t="s">
        <v>161</v>
      </c>
      <c r="N11" t="s">
        <v>181</v>
      </c>
      <c r="O11" t="s">
        <v>225</v>
      </c>
      <c r="P11">
        <v>0.1071799500005267</v>
      </c>
      <c r="Q11" t="s">
        <v>161</v>
      </c>
      <c r="S11" t="s">
        <v>201</v>
      </c>
      <c r="T11" t="s">
        <v>225</v>
      </c>
      <c r="U11">
        <v>0.11983833908882083</v>
      </c>
      <c r="V11" t="s">
        <v>161</v>
      </c>
      <c r="X11">
        <v>0.11426940639269406</v>
      </c>
      <c r="Y11">
        <v>0.16087081189037786</v>
      </c>
      <c r="Z11" t="s">
        <v>225</v>
      </c>
      <c r="AA11" t="s">
        <v>25</v>
      </c>
      <c r="AC11" t="s">
        <v>22</v>
      </c>
      <c r="AD11" t="s">
        <v>225</v>
      </c>
      <c r="AE11">
        <v>0.12325462334855938</v>
      </c>
      <c r="AG11" t="s">
        <v>96</v>
      </c>
      <c r="AH11" t="s">
        <v>225</v>
      </c>
      <c r="AI11">
        <v>7.0637918290734847E-2</v>
      </c>
      <c r="AK11">
        <v>2020</v>
      </c>
      <c r="AL11" t="s">
        <v>219</v>
      </c>
      <c r="AM11">
        <v>0.19109794455416573</v>
      </c>
      <c r="AN11" t="s">
        <v>218</v>
      </c>
    </row>
    <row r="12" spans="1:40" x14ac:dyDescent="0.45">
      <c r="C12" t="s">
        <v>221</v>
      </c>
      <c r="E12" t="s">
        <v>214</v>
      </c>
      <c r="G12" t="s">
        <v>156</v>
      </c>
      <c r="I12" t="s">
        <v>159</v>
      </c>
      <c r="J12" t="s">
        <v>226</v>
      </c>
      <c r="K12">
        <v>6.0516170988145112E-5</v>
      </c>
      <c r="L12" t="s">
        <v>161</v>
      </c>
      <c r="N12" t="s">
        <v>181</v>
      </c>
      <c r="O12" t="s">
        <v>226</v>
      </c>
      <c r="P12">
        <v>0.12977412150857026</v>
      </c>
      <c r="Q12" t="s">
        <v>161</v>
      </c>
      <c r="S12" t="s">
        <v>201</v>
      </c>
      <c r="T12" t="s">
        <v>226</v>
      </c>
      <c r="U12">
        <v>0.12968922237045</v>
      </c>
      <c r="V12" t="s">
        <v>161</v>
      </c>
      <c r="X12">
        <v>0.11426940639269406</v>
      </c>
      <c r="Y12">
        <v>5.2547713165767528E-2</v>
      </c>
      <c r="Z12" t="s">
        <v>226</v>
      </c>
      <c r="AA12" t="s">
        <v>25</v>
      </c>
      <c r="AC12" t="s">
        <v>22</v>
      </c>
      <c r="AD12" t="s">
        <v>226</v>
      </c>
      <c r="AE12">
        <v>9.5299004096072198E-2</v>
      </c>
      <c r="AG12" t="s">
        <v>96</v>
      </c>
      <c r="AH12" t="s">
        <v>226</v>
      </c>
      <c r="AI12">
        <v>0.22617474361522572</v>
      </c>
      <c r="AK12">
        <v>2020</v>
      </c>
      <c r="AL12" t="s">
        <v>221</v>
      </c>
      <c r="AM12">
        <v>0.17524931119401163</v>
      </c>
      <c r="AN12" t="s">
        <v>218</v>
      </c>
    </row>
    <row r="13" spans="1:40" x14ac:dyDescent="0.45">
      <c r="C13" t="s">
        <v>222</v>
      </c>
      <c r="E13" t="s">
        <v>223</v>
      </c>
      <c r="G13" t="s">
        <v>156</v>
      </c>
      <c r="I13" t="s">
        <v>159</v>
      </c>
      <c r="J13" t="s">
        <v>227</v>
      </c>
      <c r="K13">
        <v>9.4324533079876479E-3</v>
      </c>
      <c r="L13" t="s">
        <v>161</v>
      </c>
      <c r="N13" t="s">
        <v>181</v>
      </c>
      <c r="O13" t="s">
        <v>227</v>
      </c>
      <c r="P13">
        <v>2.2956672869091182E-2</v>
      </c>
      <c r="Q13" t="s">
        <v>161</v>
      </c>
      <c r="S13" t="s">
        <v>201</v>
      </c>
      <c r="T13" t="s">
        <v>227</v>
      </c>
      <c r="U13">
        <v>2.4185738824140046E-2</v>
      </c>
      <c r="V13" t="s">
        <v>161</v>
      </c>
      <c r="X13">
        <v>2.0776255707762557E-2</v>
      </c>
      <c r="Y13">
        <v>3.5896543437005365E-2</v>
      </c>
      <c r="Z13" t="s">
        <v>227</v>
      </c>
      <c r="AA13" t="s">
        <v>25</v>
      </c>
      <c r="AC13" t="s">
        <v>22</v>
      </c>
      <c r="AD13" t="s">
        <v>227</v>
      </c>
      <c r="AE13">
        <v>2.2905846310482161E-2</v>
      </c>
      <c r="AG13" t="s">
        <v>96</v>
      </c>
      <c r="AH13" t="s">
        <v>227</v>
      </c>
      <c r="AI13">
        <v>4.9491556032410955E-2</v>
      </c>
      <c r="AK13">
        <v>2020</v>
      </c>
      <c r="AL13" t="s">
        <v>222</v>
      </c>
      <c r="AM13">
        <v>0.19460293077804594</v>
      </c>
      <c r="AN13" t="s">
        <v>218</v>
      </c>
    </row>
    <row r="14" spans="1:40" x14ac:dyDescent="0.45">
      <c r="C14" t="s">
        <v>224</v>
      </c>
      <c r="I14" t="s">
        <v>159</v>
      </c>
      <c r="J14" t="s">
        <v>228</v>
      </c>
      <c r="K14">
        <v>0.28816843961544714</v>
      </c>
      <c r="L14" t="s">
        <v>161</v>
      </c>
      <c r="N14" t="s">
        <v>181</v>
      </c>
      <c r="O14" t="s">
        <v>228</v>
      </c>
      <c r="P14">
        <v>0.10409493991846873</v>
      </c>
      <c r="Q14" t="s">
        <v>161</v>
      </c>
      <c r="S14" t="s">
        <v>201</v>
      </c>
      <c r="T14" t="s">
        <v>228</v>
      </c>
      <c r="U14">
        <v>9.845987886097568E-2</v>
      </c>
      <c r="V14" t="s">
        <v>161</v>
      </c>
      <c r="X14">
        <v>0.11552511415525114</v>
      </c>
      <c r="Y14">
        <v>0.16263862301005233</v>
      </c>
      <c r="Z14" t="s">
        <v>228</v>
      </c>
      <c r="AA14" t="s">
        <v>25</v>
      </c>
      <c r="AC14" t="s">
        <v>22</v>
      </c>
      <c r="AD14" t="s">
        <v>228</v>
      </c>
      <c r="AE14">
        <v>0.12892601867863113</v>
      </c>
      <c r="AG14" t="s">
        <v>96</v>
      </c>
      <c r="AH14" t="s">
        <v>228</v>
      </c>
      <c r="AI14">
        <v>0.11480848950527855</v>
      </c>
      <c r="AK14">
        <v>2020</v>
      </c>
      <c r="AL14" t="s">
        <v>224</v>
      </c>
      <c r="AM14">
        <v>0.19280051657296213</v>
      </c>
      <c r="AN14" t="s">
        <v>218</v>
      </c>
    </row>
    <row r="15" spans="1:40" x14ac:dyDescent="0.45">
      <c r="I15" t="s">
        <v>159</v>
      </c>
      <c r="J15" t="s">
        <v>229</v>
      </c>
      <c r="K15">
        <v>6.7367090850218555E-3</v>
      </c>
      <c r="L15" t="s">
        <v>161</v>
      </c>
      <c r="N15" t="s">
        <v>181</v>
      </c>
      <c r="O15" t="s">
        <v>229</v>
      </c>
      <c r="P15">
        <v>0.13696106411374909</v>
      </c>
      <c r="Q15" t="s">
        <v>161</v>
      </c>
      <c r="S15" t="s">
        <v>201</v>
      </c>
      <c r="T15" t="s">
        <v>229</v>
      </c>
      <c r="U15">
        <v>0.11770536563640166</v>
      </c>
      <c r="V15" t="s">
        <v>161</v>
      </c>
      <c r="X15">
        <v>0.11552511415525114</v>
      </c>
      <c r="Y15">
        <v>5.3125160563193538E-2</v>
      </c>
      <c r="Z15" t="s">
        <v>229</v>
      </c>
      <c r="AA15" t="s">
        <v>25</v>
      </c>
      <c r="AC15" t="s">
        <v>22</v>
      </c>
      <c r="AD15" t="s">
        <v>229</v>
      </c>
      <c r="AE15">
        <v>0.10041038504997256</v>
      </c>
      <c r="AG15" t="s">
        <v>96</v>
      </c>
      <c r="AH15" t="s">
        <v>229</v>
      </c>
      <c r="AI15">
        <v>0.28709809029390865</v>
      </c>
      <c r="AK15">
        <v>2021</v>
      </c>
      <c r="AL15" t="s">
        <v>219</v>
      </c>
      <c r="AM15">
        <v>0.1889110593799653</v>
      </c>
      <c r="AN15" t="s">
        <v>218</v>
      </c>
    </row>
    <row r="16" spans="1:40" x14ac:dyDescent="0.45">
      <c r="I16" t="s">
        <v>159</v>
      </c>
      <c r="J16" t="s">
        <v>230</v>
      </c>
      <c r="K16">
        <v>3.0669631048064298E-2</v>
      </c>
      <c r="L16" t="s">
        <v>161</v>
      </c>
      <c r="N16" t="s">
        <v>181</v>
      </c>
      <c r="O16" t="s">
        <v>230</v>
      </c>
      <c r="P16">
        <v>1.9703500708996617E-2</v>
      </c>
      <c r="Q16" t="s">
        <v>161</v>
      </c>
      <c r="S16" t="s">
        <v>201</v>
      </c>
      <c r="T16" t="s">
        <v>230</v>
      </c>
      <c r="U16">
        <v>1.9399263211499901E-2</v>
      </c>
      <c r="V16" t="s">
        <v>161</v>
      </c>
      <c r="X16">
        <v>2.1004566210045664E-2</v>
      </c>
      <c r="Y16">
        <v>3.6291010947302131E-2</v>
      </c>
      <c r="Z16" t="s">
        <v>230</v>
      </c>
      <c r="AA16" t="s">
        <v>25</v>
      </c>
      <c r="AC16" t="s">
        <v>22</v>
      </c>
      <c r="AD16" t="s">
        <v>230</v>
      </c>
      <c r="AE16">
        <v>2.3821144994717238E-2</v>
      </c>
      <c r="AG16" t="s">
        <v>96</v>
      </c>
      <c r="AH16" t="s">
        <v>230</v>
      </c>
      <c r="AI16">
        <v>9.6801300066599261E-2</v>
      </c>
      <c r="AK16">
        <v>2021</v>
      </c>
      <c r="AL16" t="s">
        <v>221</v>
      </c>
      <c r="AM16">
        <v>0.28960203968517906</v>
      </c>
      <c r="AN16" t="s">
        <v>218</v>
      </c>
    </row>
    <row r="17" spans="9:40" x14ac:dyDescent="0.45">
      <c r="I17" t="s">
        <v>159</v>
      </c>
      <c r="J17" t="s">
        <v>231</v>
      </c>
      <c r="K17">
        <v>0.35734367402477635</v>
      </c>
      <c r="L17" t="s">
        <v>161</v>
      </c>
      <c r="N17" t="s">
        <v>181</v>
      </c>
      <c r="O17" t="s">
        <v>231</v>
      </c>
      <c r="P17">
        <v>4.9773206875024983E-2</v>
      </c>
      <c r="Q17" t="s">
        <v>161</v>
      </c>
      <c r="S17" t="s">
        <v>201</v>
      </c>
      <c r="T17" t="s">
        <v>231</v>
      </c>
      <c r="U17">
        <v>6.5982387357272451E-2</v>
      </c>
      <c r="V17" t="s">
        <v>161</v>
      </c>
      <c r="X17">
        <v>0.11552511415525114</v>
      </c>
      <c r="Y17">
        <v>0.16263862301005233</v>
      </c>
      <c r="Z17" t="s">
        <v>231</v>
      </c>
      <c r="AA17" t="s">
        <v>25</v>
      </c>
      <c r="AC17" t="s">
        <v>22</v>
      </c>
      <c r="AD17" t="s">
        <v>231</v>
      </c>
      <c r="AE17">
        <v>0.12215498602787588</v>
      </c>
      <c r="AG17" t="s">
        <v>96</v>
      </c>
      <c r="AH17" t="s">
        <v>231</v>
      </c>
      <c r="AI17">
        <v>0.11467288801788245</v>
      </c>
      <c r="AK17">
        <v>2021</v>
      </c>
      <c r="AL17" t="s">
        <v>222</v>
      </c>
      <c r="AM17">
        <v>0.17736392861101871</v>
      </c>
      <c r="AN17" t="s">
        <v>218</v>
      </c>
    </row>
    <row r="18" spans="9:40" x14ac:dyDescent="0.45">
      <c r="I18" t="s">
        <v>159</v>
      </c>
      <c r="J18" t="s">
        <v>232</v>
      </c>
      <c r="K18">
        <v>2.0549060229037592E-2</v>
      </c>
      <c r="L18" t="s">
        <v>161</v>
      </c>
      <c r="N18" t="s">
        <v>181</v>
      </c>
      <c r="O18" t="s">
        <v>232</v>
      </c>
      <c r="P18">
        <v>7.1639093339195672E-2</v>
      </c>
      <c r="Q18" t="s">
        <v>161</v>
      </c>
      <c r="S18" t="s">
        <v>201</v>
      </c>
      <c r="T18" t="s">
        <v>232</v>
      </c>
      <c r="U18">
        <v>6.8097048738344879E-2</v>
      </c>
      <c r="V18" t="s">
        <v>161</v>
      </c>
      <c r="X18">
        <v>0.11552511415525114</v>
      </c>
      <c r="Y18">
        <v>5.3125160563193538E-2</v>
      </c>
      <c r="Z18" t="s">
        <v>232</v>
      </c>
      <c r="AA18" t="s">
        <v>25</v>
      </c>
      <c r="AC18" t="s">
        <v>22</v>
      </c>
      <c r="AD18" t="s">
        <v>232</v>
      </c>
      <c r="AE18">
        <v>8.9997599530402872E-2</v>
      </c>
      <c r="AG18" t="s">
        <v>96</v>
      </c>
      <c r="AH18" t="s">
        <v>232</v>
      </c>
      <c r="AI18">
        <v>0.29813599440261807</v>
      </c>
      <c r="AK18">
        <v>2021</v>
      </c>
      <c r="AL18" t="s">
        <v>224</v>
      </c>
      <c r="AM18">
        <v>0.20652868175315797</v>
      </c>
      <c r="AN18" t="s">
        <v>218</v>
      </c>
    </row>
    <row r="19" spans="9:40" x14ac:dyDescent="0.45">
      <c r="I19" t="s">
        <v>159</v>
      </c>
      <c r="J19" t="s">
        <v>233</v>
      </c>
      <c r="K19">
        <v>4.592915218233791E-2</v>
      </c>
      <c r="L19" t="s">
        <v>161</v>
      </c>
      <c r="N19" t="s">
        <v>181</v>
      </c>
      <c r="O19" t="s">
        <v>233</v>
      </c>
      <c r="P19">
        <v>9.765678805784269E-3</v>
      </c>
      <c r="Q19" t="s">
        <v>161</v>
      </c>
      <c r="S19" t="s">
        <v>201</v>
      </c>
      <c r="T19" t="s">
        <v>233</v>
      </c>
      <c r="U19">
        <v>1.3224625908716254E-2</v>
      </c>
      <c r="V19" t="s">
        <v>161</v>
      </c>
      <c r="X19">
        <v>2.1004566210045664E-2</v>
      </c>
      <c r="Y19">
        <v>3.6291010947302131E-2</v>
      </c>
      <c r="Z19" t="s">
        <v>233</v>
      </c>
      <c r="AA19" t="s">
        <v>25</v>
      </c>
      <c r="AC19" t="s">
        <v>22</v>
      </c>
      <c r="AD19" t="s">
        <v>233</v>
      </c>
      <c r="AE19">
        <v>2.2494274815923199E-2</v>
      </c>
      <c r="AG19" t="s">
        <v>96</v>
      </c>
      <c r="AH19" t="s">
        <v>233</v>
      </c>
      <c r="AI19">
        <v>7.8378586427065411E-2</v>
      </c>
      <c r="AK19">
        <v>2022</v>
      </c>
      <c r="AL19" t="s">
        <v>219</v>
      </c>
      <c r="AM19">
        <v>0.13532294638285416</v>
      </c>
      <c r="AN19" t="s">
        <v>218</v>
      </c>
    </row>
    <row r="20" spans="9:40" x14ac:dyDescent="0.45">
      <c r="I20" t="s">
        <v>159</v>
      </c>
      <c r="J20" t="s">
        <v>234</v>
      </c>
      <c r="K20">
        <v>8.1555317858132595E-2</v>
      </c>
      <c r="L20" t="s">
        <v>161</v>
      </c>
      <c r="N20" t="s">
        <v>181</v>
      </c>
      <c r="O20" t="s">
        <v>234</v>
      </c>
      <c r="P20">
        <v>0.15327249967694306</v>
      </c>
      <c r="Q20" t="s">
        <v>161</v>
      </c>
      <c r="S20" t="s">
        <v>201</v>
      </c>
      <c r="T20" t="s">
        <v>234</v>
      </c>
      <c r="U20">
        <v>0.1529822274123557</v>
      </c>
      <c r="V20" t="s">
        <v>161</v>
      </c>
      <c r="X20">
        <v>0.11301369863013698</v>
      </c>
      <c r="Y20">
        <v>0.15910300077070333</v>
      </c>
      <c r="Z20" t="s">
        <v>234</v>
      </c>
      <c r="AA20" t="s">
        <v>25</v>
      </c>
      <c r="AC20" t="s">
        <v>22</v>
      </c>
      <c r="AD20" t="s">
        <v>234</v>
      </c>
      <c r="AE20">
        <v>0.13599890975606152</v>
      </c>
      <c r="AG20" t="s">
        <v>96</v>
      </c>
      <c r="AH20" t="s">
        <v>234</v>
      </c>
      <c r="AI20">
        <v>9.4340104751361231E-2</v>
      </c>
      <c r="AK20">
        <v>2022</v>
      </c>
      <c r="AL20" t="s">
        <v>221</v>
      </c>
      <c r="AM20">
        <v>0.23148148148148143</v>
      </c>
      <c r="AN20" t="s">
        <v>218</v>
      </c>
    </row>
    <row r="21" spans="9:40" x14ac:dyDescent="0.45">
      <c r="I21" t="s">
        <v>159</v>
      </c>
      <c r="J21" t="s">
        <v>235</v>
      </c>
      <c r="K21">
        <v>0</v>
      </c>
      <c r="L21" t="s">
        <v>161</v>
      </c>
      <c r="N21" t="s">
        <v>181</v>
      </c>
      <c r="O21" t="s">
        <v>235</v>
      </c>
      <c r="P21">
        <v>0.16472962894157292</v>
      </c>
      <c r="Q21" t="s">
        <v>161</v>
      </c>
      <c r="S21" t="s">
        <v>201</v>
      </c>
      <c r="T21" t="s">
        <v>235</v>
      </c>
      <c r="U21">
        <v>0.16116448556285357</v>
      </c>
      <c r="V21" t="s">
        <v>161</v>
      </c>
      <c r="X21">
        <v>0.11301369863013698</v>
      </c>
      <c r="Y21">
        <v>5.197026576834151E-2</v>
      </c>
      <c r="Z21" t="s">
        <v>235</v>
      </c>
      <c r="AA21" t="s">
        <v>25</v>
      </c>
      <c r="AC21" t="s">
        <v>22</v>
      </c>
      <c r="AD21" t="s">
        <v>235</v>
      </c>
      <c r="AE21">
        <v>0.10963691781244359</v>
      </c>
      <c r="AG21" t="s">
        <v>96</v>
      </c>
      <c r="AH21" t="s">
        <v>235</v>
      </c>
      <c r="AI21">
        <v>0.22253705730388695</v>
      </c>
      <c r="AK21">
        <v>2022</v>
      </c>
      <c r="AL21" t="s">
        <v>222</v>
      </c>
      <c r="AM21">
        <v>0.1203886572550167</v>
      </c>
      <c r="AN21" t="s">
        <v>218</v>
      </c>
    </row>
    <row r="22" spans="9:40" x14ac:dyDescent="0.45">
      <c r="I22" t="s">
        <v>159</v>
      </c>
      <c r="J22" t="s">
        <v>236</v>
      </c>
      <c r="K22">
        <v>1.3953118874546668E-3</v>
      </c>
      <c r="L22" t="s">
        <v>161</v>
      </c>
      <c r="N22" t="s">
        <v>181</v>
      </c>
      <c r="O22" t="s">
        <v>236</v>
      </c>
      <c r="P22">
        <v>3.0149643242073636E-2</v>
      </c>
      <c r="Q22" t="s">
        <v>161</v>
      </c>
      <c r="S22" t="s">
        <v>201</v>
      </c>
      <c r="T22" t="s">
        <v>236</v>
      </c>
      <c r="U22">
        <v>2.9271417028166241E-2</v>
      </c>
      <c r="V22" t="s">
        <v>161</v>
      </c>
      <c r="X22">
        <v>2.0547945205479451E-2</v>
      </c>
      <c r="Y22">
        <v>3.5502075926708607E-2</v>
      </c>
      <c r="Z22" t="s">
        <v>236</v>
      </c>
      <c r="AA22" t="s">
        <v>25</v>
      </c>
      <c r="AC22" t="s">
        <v>22</v>
      </c>
      <c r="AD22" t="s">
        <v>236</v>
      </c>
      <c r="AE22">
        <v>2.5100289578858292E-2</v>
      </c>
      <c r="AG22" t="s">
        <v>96</v>
      </c>
      <c r="AH22" t="s">
        <v>236</v>
      </c>
      <c r="AI22">
        <v>5.9192450215786563E-2</v>
      </c>
      <c r="AK22">
        <v>2022</v>
      </c>
      <c r="AL22" t="s">
        <v>224</v>
      </c>
      <c r="AM22">
        <v>0.23838260342539472</v>
      </c>
      <c r="AN22" t="s">
        <v>218</v>
      </c>
    </row>
    <row r="23" spans="9:40" x14ac:dyDescent="0.45">
      <c r="I23" t="s">
        <v>162</v>
      </c>
      <c r="J23" t="s">
        <v>225</v>
      </c>
      <c r="K23">
        <v>0.16851617895788054</v>
      </c>
      <c r="L23" t="s">
        <v>161</v>
      </c>
      <c r="N23" t="s">
        <v>182</v>
      </c>
      <c r="O23" t="s">
        <v>225</v>
      </c>
      <c r="P23">
        <v>0.1053539365223017</v>
      </c>
      <c r="Q23" t="s">
        <v>161</v>
      </c>
      <c r="S23" t="s">
        <v>202</v>
      </c>
      <c r="T23" t="s">
        <v>225</v>
      </c>
      <c r="U23">
        <v>0.11784329242649716</v>
      </c>
      <c r="V23" t="s">
        <v>161</v>
      </c>
      <c r="AC23" t="s">
        <v>19</v>
      </c>
      <c r="AD23" t="s">
        <v>225</v>
      </c>
      <c r="AE23">
        <v>0.1150112108779263</v>
      </c>
      <c r="AK23">
        <v>2025</v>
      </c>
      <c r="AL23" t="s">
        <v>219</v>
      </c>
      <c r="AM23">
        <v>0.16193333333333335</v>
      </c>
      <c r="AN23" t="s">
        <v>218</v>
      </c>
    </row>
    <row r="24" spans="9:40" x14ac:dyDescent="0.45">
      <c r="I24" t="s">
        <v>162</v>
      </c>
      <c r="J24" t="s">
        <v>226</v>
      </c>
      <c r="K24">
        <v>8.932401456156926E-7</v>
      </c>
      <c r="L24" t="s">
        <v>161</v>
      </c>
      <c r="N24" t="s">
        <v>182</v>
      </c>
      <c r="O24" t="s">
        <v>226</v>
      </c>
      <c r="P24">
        <v>0.13002287088989922</v>
      </c>
      <c r="Q24" t="s">
        <v>161</v>
      </c>
      <c r="S24" t="s">
        <v>202</v>
      </c>
      <c r="T24" t="s">
        <v>226</v>
      </c>
      <c r="U24">
        <v>0.11986717492024784</v>
      </c>
      <c r="V24" t="s">
        <v>161</v>
      </c>
      <c r="AC24" t="s">
        <v>19</v>
      </c>
      <c r="AD24" t="s">
        <v>226</v>
      </c>
      <c r="AE24">
        <v>0.1133168646329651</v>
      </c>
      <c r="AK24">
        <v>2025</v>
      </c>
      <c r="AL24" t="s">
        <v>221</v>
      </c>
      <c r="AM24">
        <v>0.23829999999999998</v>
      </c>
      <c r="AN24" t="s">
        <v>218</v>
      </c>
    </row>
    <row r="25" spans="9:40" x14ac:dyDescent="0.45">
      <c r="I25" t="s">
        <v>162</v>
      </c>
      <c r="J25" t="s">
        <v>227</v>
      </c>
      <c r="K25">
        <v>8.431253693965057E-3</v>
      </c>
      <c r="L25" t="s">
        <v>161</v>
      </c>
      <c r="N25" t="s">
        <v>182</v>
      </c>
      <c r="O25" t="s">
        <v>227</v>
      </c>
      <c r="P25">
        <v>2.3156495480571852E-2</v>
      </c>
      <c r="Q25" t="s">
        <v>161</v>
      </c>
      <c r="S25" t="s">
        <v>202</v>
      </c>
      <c r="T25" t="s">
        <v>227</v>
      </c>
      <c r="U25">
        <v>2.2255362876470418E-2</v>
      </c>
      <c r="V25" t="s">
        <v>161</v>
      </c>
      <c r="AC25" t="s">
        <v>19</v>
      </c>
      <c r="AD25" t="s">
        <v>227</v>
      </c>
      <c r="AE25">
        <v>2.0941185868452401E-2</v>
      </c>
      <c r="AK25">
        <v>2025</v>
      </c>
      <c r="AL25" t="s">
        <v>222</v>
      </c>
      <c r="AM25">
        <v>0.14673333333333335</v>
      </c>
      <c r="AN25" t="s">
        <v>218</v>
      </c>
    </row>
    <row r="26" spans="9:40" x14ac:dyDescent="0.45">
      <c r="I26" t="s">
        <v>162</v>
      </c>
      <c r="J26" t="s">
        <v>228</v>
      </c>
      <c r="K26">
        <v>0.27898524030852545</v>
      </c>
      <c r="L26" t="s">
        <v>161</v>
      </c>
      <c r="N26" t="s">
        <v>182</v>
      </c>
      <c r="O26" t="s">
        <v>228</v>
      </c>
      <c r="P26">
        <v>0.1050898855951144</v>
      </c>
      <c r="Q26" t="s">
        <v>161</v>
      </c>
      <c r="S26" t="s">
        <v>202</v>
      </c>
      <c r="T26" t="s">
        <v>228</v>
      </c>
      <c r="U26">
        <v>0.11162914957074054</v>
      </c>
      <c r="V26" t="s">
        <v>161</v>
      </c>
      <c r="AC26" t="s">
        <v>19</v>
      </c>
      <c r="AD26" t="s">
        <v>228</v>
      </c>
      <c r="AE26">
        <v>0.1163096359343711</v>
      </c>
      <c r="AK26">
        <v>2025</v>
      </c>
      <c r="AL26" t="s">
        <v>224</v>
      </c>
      <c r="AM26">
        <v>0.23150000000000001</v>
      </c>
      <c r="AN26" t="s">
        <v>218</v>
      </c>
    </row>
    <row r="27" spans="9:40" x14ac:dyDescent="0.45">
      <c r="I27" t="s">
        <v>162</v>
      </c>
      <c r="J27" t="s">
        <v>229</v>
      </c>
      <c r="K27">
        <v>5.6149949030663872E-3</v>
      </c>
      <c r="L27" t="s">
        <v>161</v>
      </c>
      <c r="N27" t="s">
        <v>182</v>
      </c>
      <c r="O27" t="s">
        <v>229</v>
      </c>
      <c r="P27">
        <v>0.13575064338051329</v>
      </c>
      <c r="Q27" t="s">
        <v>161</v>
      </c>
      <c r="S27" t="s">
        <v>202</v>
      </c>
      <c r="T27" t="s">
        <v>229</v>
      </c>
      <c r="U27">
        <v>0.1266066061696908</v>
      </c>
      <c r="V27" t="s">
        <v>161</v>
      </c>
      <c r="AC27" t="s">
        <v>19</v>
      </c>
      <c r="AD27" t="s">
        <v>229</v>
      </c>
      <c r="AE27">
        <v>0.11458134809624322</v>
      </c>
      <c r="AK27">
        <v>2026</v>
      </c>
      <c r="AL27" t="s">
        <v>219</v>
      </c>
      <c r="AM27">
        <v>0.16739999999999999</v>
      </c>
      <c r="AN27" t="s">
        <v>218</v>
      </c>
    </row>
    <row r="28" spans="9:40" x14ac:dyDescent="0.45">
      <c r="I28" t="s">
        <v>162</v>
      </c>
      <c r="J28" t="s">
        <v>230</v>
      </c>
      <c r="K28">
        <v>2.9144254812100905E-2</v>
      </c>
      <c r="L28" t="s">
        <v>161</v>
      </c>
      <c r="N28" t="s">
        <v>182</v>
      </c>
      <c r="O28" t="s">
        <v>230</v>
      </c>
      <c r="P28">
        <v>2.0187800688005131E-2</v>
      </c>
      <c r="Q28" t="s">
        <v>161</v>
      </c>
      <c r="S28" t="s">
        <v>202</v>
      </c>
      <c r="T28" t="s">
        <v>230</v>
      </c>
      <c r="U28">
        <v>2.1607370407787162E-2</v>
      </c>
      <c r="V28" t="s">
        <v>161</v>
      </c>
      <c r="AC28" t="s">
        <v>19</v>
      </c>
      <c r="AD28" t="s">
        <v>230</v>
      </c>
      <c r="AE28">
        <v>2.1170240809845968E-2</v>
      </c>
      <c r="AK28">
        <v>2026</v>
      </c>
      <c r="AL28" t="s">
        <v>221</v>
      </c>
      <c r="AM28">
        <v>0.24223333333333333</v>
      </c>
      <c r="AN28" t="s">
        <v>218</v>
      </c>
    </row>
    <row r="29" spans="9:40" x14ac:dyDescent="0.45">
      <c r="I29" t="s">
        <v>162</v>
      </c>
      <c r="J29" t="s">
        <v>231</v>
      </c>
      <c r="K29">
        <v>0.35376217338895188</v>
      </c>
      <c r="L29" t="s">
        <v>161</v>
      </c>
      <c r="N29" t="s">
        <v>182</v>
      </c>
      <c r="O29" t="s">
        <v>231</v>
      </c>
      <c r="P29">
        <v>4.8413837053543747E-2</v>
      </c>
      <c r="Q29" t="s">
        <v>161</v>
      </c>
      <c r="S29" t="s">
        <v>202</v>
      </c>
      <c r="T29" t="s">
        <v>231</v>
      </c>
      <c r="U29">
        <v>7.5387863294410135E-2</v>
      </c>
      <c r="V29" t="s">
        <v>161</v>
      </c>
      <c r="AC29" t="s">
        <v>19</v>
      </c>
      <c r="AD29" t="s">
        <v>231</v>
      </c>
      <c r="AE29">
        <v>0.11636398835065369</v>
      </c>
      <c r="AK29">
        <v>2026</v>
      </c>
      <c r="AL29" t="s">
        <v>222</v>
      </c>
      <c r="AM29">
        <v>0.153</v>
      </c>
      <c r="AN29" t="s">
        <v>218</v>
      </c>
    </row>
    <row r="30" spans="9:40" x14ac:dyDescent="0.45">
      <c r="I30" t="s">
        <v>162</v>
      </c>
      <c r="J30" t="s">
        <v>232</v>
      </c>
      <c r="K30">
        <v>1.8318349612564646E-2</v>
      </c>
      <c r="L30" t="s">
        <v>161</v>
      </c>
      <c r="N30" t="s">
        <v>182</v>
      </c>
      <c r="O30" t="s">
        <v>232</v>
      </c>
      <c r="P30">
        <v>6.7191206045088714E-2</v>
      </c>
      <c r="Q30" t="s">
        <v>161</v>
      </c>
      <c r="S30" t="s">
        <v>202</v>
      </c>
      <c r="T30" t="s">
        <v>232</v>
      </c>
      <c r="U30">
        <v>8.0667347804444706E-2</v>
      </c>
      <c r="V30" t="s">
        <v>161</v>
      </c>
      <c r="AC30" t="s">
        <v>19</v>
      </c>
      <c r="AD30" t="s">
        <v>232</v>
      </c>
      <c r="AE30">
        <v>0.11441497958187415</v>
      </c>
      <c r="AK30">
        <v>2026</v>
      </c>
      <c r="AL30" t="s">
        <v>224</v>
      </c>
      <c r="AM30">
        <v>0.21083333333333332</v>
      </c>
      <c r="AN30" t="s">
        <v>218</v>
      </c>
    </row>
    <row r="31" spans="9:40" x14ac:dyDescent="0.45">
      <c r="I31" t="s">
        <v>162</v>
      </c>
      <c r="J31" t="s">
        <v>233</v>
      </c>
      <c r="K31">
        <v>4.3612702133092575E-2</v>
      </c>
      <c r="L31" t="s">
        <v>161</v>
      </c>
      <c r="N31" t="s">
        <v>182</v>
      </c>
      <c r="O31" t="s">
        <v>233</v>
      </c>
      <c r="P31">
        <v>1.0037390768827845E-2</v>
      </c>
      <c r="Q31" t="s">
        <v>161</v>
      </c>
      <c r="S31" t="s">
        <v>202</v>
      </c>
      <c r="T31" t="s">
        <v>233</v>
      </c>
      <c r="U31">
        <v>1.5071082065426773E-2</v>
      </c>
      <c r="V31" t="s">
        <v>161</v>
      </c>
      <c r="AC31" t="s">
        <v>19</v>
      </c>
      <c r="AD31" t="s">
        <v>233</v>
      </c>
      <c r="AE31">
        <v>2.1174318395811156E-2</v>
      </c>
      <c r="AK31">
        <v>2027</v>
      </c>
      <c r="AL31" t="s">
        <v>219</v>
      </c>
      <c r="AM31">
        <v>0.1718666666666667</v>
      </c>
      <c r="AN31" t="s">
        <v>218</v>
      </c>
    </row>
    <row r="32" spans="9:40" x14ac:dyDescent="0.45">
      <c r="I32" t="s">
        <v>162</v>
      </c>
      <c r="J32" t="s">
        <v>234</v>
      </c>
      <c r="K32">
        <v>9.2089619267371595E-2</v>
      </c>
      <c r="L32" t="s">
        <v>161</v>
      </c>
      <c r="N32" t="s">
        <v>182</v>
      </c>
      <c r="O32" t="s">
        <v>234</v>
      </c>
      <c r="P32">
        <v>0.15579688383808213</v>
      </c>
      <c r="Q32" t="s">
        <v>161</v>
      </c>
      <c r="S32" t="s">
        <v>202</v>
      </c>
      <c r="T32" t="s">
        <v>234</v>
      </c>
      <c r="U32">
        <v>0.14000581994067773</v>
      </c>
      <c r="V32" t="s">
        <v>161</v>
      </c>
      <c r="AC32" t="s">
        <v>19</v>
      </c>
      <c r="AD32" t="s">
        <v>234</v>
      </c>
      <c r="AE32">
        <v>0.11380020962934309</v>
      </c>
      <c r="AK32">
        <v>2027</v>
      </c>
      <c r="AL32" t="s">
        <v>221</v>
      </c>
      <c r="AM32">
        <v>0.24816666666666665</v>
      </c>
      <c r="AN32" t="s">
        <v>218</v>
      </c>
    </row>
    <row r="33" spans="9:40" x14ac:dyDescent="0.45">
      <c r="I33" t="s">
        <v>162</v>
      </c>
      <c r="J33" t="s">
        <v>235</v>
      </c>
      <c r="K33">
        <v>0</v>
      </c>
      <c r="L33" t="s">
        <v>161</v>
      </c>
      <c r="N33" t="s">
        <v>182</v>
      </c>
      <c r="O33" t="s">
        <v>235</v>
      </c>
      <c r="P33">
        <v>0.16810013498874607</v>
      </c>
      <c r="Q33" t="s">
        <v>161</v>
      </c>
      <c r="S33" t="s">
        <v>202</v>
      </c>
      <c r="T33" t="s">
        <v>235</v>
      </c>
      <c r="U33">
        <v>0.14233807455149977</v>
      </c>
      <c r="V33" t="s">
        <v>161</v>
      </c>
      <c r="AC33" t="s">
        <v>19</v>
      </c>
      <c r="AD33" t="s">
        <v>235</v>
      </c>
      <c r="AE33">
        <v>0.1122024506365641</v>
      </c>
      <c r="AK33">
        <v>2027</v>
      </c>
      <c r="AL33" t="s">
        <v>222</v>
      </c>
      <c r="AM33">
        <v>0.14873333333333336</v>
      </c>
      <c r="AN33" t="s">
        <v>218</v>
      </c>
    </row>
    <row r="34" spans="9:40" x14ac:dyDescent="0.45">
      <c r="I34" t="s">
        <v>162</v>
      </c>
      <c r="J34" t="s">
        <v>236</v>
      </c>
      <c r="K34">
        <v>1.5243396823353505E-3</v>
      </c>
      <c r="L34" t="s">
        <v>161</v>
      </c>
      <c r="N34" t="s">
        <v>182</v>
      </c>
      <c r="O34" t="s">
        <v>236</v>
      </c>
      <c r="P34">
        <v>3.089891474930195E-2</v>
      </c>
      <c r="Q34" t="s">
        <v>161</v>
      </c>
      <c r="S34" t="s">
        <v>202</v>
      </c>
      <c r="T34" t="s">
        <v>236</v>
      </c>
      <c r="U34">
        <v>2.6720855972111109E-2</v>
      </c>
      <c r="V34" t="s">
        <v>161</v>
      </c>
      <c r="AC34" t="s">
        <v>19</v>
      </c>
      <c r="AD34" t="s">
        <v>236</v>
      </c>
      <c r="AE34">
        <v>2.0713567185949661E-2</v>
      </c>
      <c r="AK34">
        <v>2027</v>
      </c>
      <c r="AL34" t="s">
        <v>224</v>
      </c>
      <c r="AM34">
        <v>0.24223333333333333</v>
      </c>
      <c r="AN34" t="s">
        <v>218</v>
      </c>
    </row>
    <row r="35" spans="9:40" x14ac:dyDescent="0.45">
      <c r="I35" t="s">
        <v>163</v>
      </c>
      <c r="J35" t="s">
        <v>225</v>
      </c>
      <c r="K35">
        <v>0.16482142179916728</v>
      </c>
      <c r="L35" t="s">
        <v>161</v>
      </c>
      <c r="N35" t="s">
        <v>183</v>
      </c>
      <c r="O35" t="s">
        <v>225</v>
      </c>
      <c r="P35">
        <v>0.10584875094575126</v>
      </c>
      <c r="Q35" t="s">
        <v>161</v>
      </c>
      <c r="S35" t="s">
        <v>203</v>
      </c>
      <c r="T35" t="s">
        <v>225</v>
      </c>
      <c r="U35">
        <v>0.11882855916167628</v>
      </c>
      <c r="V35" t="s">
        <v>161</v>
      </c>
      <c r="AK35">
        <v>2028</v>
      </c>
      <c r="AL35" t="s">
        <v>219</v>
      </c>
      <c r="AM35">
        <v>0.14180000000000001</v>
      </c>
      <c r="AN35" t="s">
        <v>218</v>
      </c>
    </row>
    <row r="36" spans="9:40" x14ac:dyDescent="0.45">
      <c r="I36" t="s">
        <v>163</v>
      </c>
      <c r="J36" t="s">
        <v>226</v>
      </c>
      <c r="K36">
        <v>1.3702555882245474E-5</v>
      </c>
      <c r="L36" t="s">
        <v>161</v>
      </c>
      <c r="N36" t="s">
        <v>183</v>
      </c>
      <c r="O36" t="s">
        <v>226</v>
      </c>
      <c r="P36">
        <v>0.12735977414993183</v>
      </c>
      <c r="Q36" t="s">
        <v>161</v>
      </c>
      <c r="S36" t="s">
        <v>203</v>
      </c>
      <c r="T36" t="s">
        <v>226</v>
      </c>
      <c r="U36">
        <v>0.12463660880263405</v>
      </c>
      <c r="V36" t="s">
        <v>161</v>
      </c>
      <c r="AK36">
        <v>2028</v>
      </c>
      <c r="AL36" t="s">
        <v>221</v>
      </c>
      <c r="AM36">
        <v>0.20676666666666668</v>
      </c>
      <c r="AN36" t="s">
        <v>218</v>
      </c>
    </row>
    <row r="37" spans="9:40" x14ac:dyDescent="0.45">
      <c r="I37" t="s">
        <v>163</v>
      </c>
      <c r="J37" t="s">
        <v>227</v>
      </c>
      <c r="K37">
        <v>7.8869877600477954E-3</v>
      </c>
      <c r="L37" t="s">
        <v>161</v>
      </c>
      <c r="N37" t="s">
        <v>183</v>
      </c>
      <c r="O37" t="s">
        <v>227</v>
      </c>
      <c r="P37">
        <v>2.2142760332504851E-2</v>
      </c>
      <c r="Q37" t="s">
        <v>161</v>
      </c>
      <c r="S37" t="s">
        <v>203</v>
      </c>
      <c r="T37" t="s">
        <v>227</v>
      </c>
      <c r="U37">
        <v>2.3331367859919176E-2</v>
      </c>
      <c r="V37" t="s">
        <v>161</v>
      </c>
      <c r="AK37">
        <v>2028</v>
      </c>
      <c r="AL37" t="s">
        <v>222</v>
      </c>
      <c r="AM37">
        <v>0.12963333333333335</v>
      </c>
      <c r="AN37" t="s">
        <v>218</v>
      </c>
    </row>
    <row r="38" spans="9:40" x14ac:dyDescent="0.45">
      <c r="I38" t="s">
        <v>163</v>
      </c>
      <c r="J38" t="s">
        <v>228</v>
      </c>
      <c r="K38">
        <v>0.28581435750393325</v>
      </c>
      <c r="L38" t="s">
        <v>161</v>
      </c>
      <c r="N38" t="s">
        <v>183</v>
      </c>
      <c r="O38" t="s">
        <v>228</v>
      </c>
      <c r="P38">
        <v>0.11240328938174787</v>
      </c>
      <c r="Q38" t="s">
        <v>161</v>
      </c>
      <c r="S38" t="s">
        <v>203</v>
      </c>
      <c r="T38" t="s">
        <v>228</v>
      </c>
      <c r="U38">
        <v>0.10450159690453237</v>
      </c>
      <c r="V38" t="s">
        <v>161</v>
      </c>
      <c r="AK38">
        <v>2028</v>
      </c>
      <c r="AL38" t="s">
        <v>224</v>
      </c>
      <c r="AM38">
        <v>0.2020666666666667</v>
      </c>
      <c r="AN38" t="s">
        <v>218</v>
      </c>
    </row>
    <row r="39" spans="9:40" x14ac:dyDescent="0.45">
      <c r="I39" t="s">
        <v>163</v>
      </c>
      <c r="J39" t="s">
        <v>229</v>
      </c>
      <c r="K39">
        <v>6.5176444325687208E-3</v>
      </c>
      <c r="L39" t="s">
        <v>161</v>
      </c>
      <c r="N39" t="s">
        <v>183</v>
      </c>
      <c r="O39" t="s">
        <v>229</v>
      </c>
      <c r="P39">
        <v>0.13332203762603698</v>
      </c>
      <c r="Q39" t="s">
        <v>161</v>
      </c>
      <c r="S39" t="s">
        <v>203</v>
      </c>
      <c r="T39" t="s">
        <v>229</v>
      </c>
      <c r="U39">
        <v>0.12244462699021383</v>
      </c>
      <c r="V39" t="s">
        <v>161</v>
      </c>
      <c r="AK39">
        <v>2029</v>
      </c>
      <c r="AL39" t="s">
        <v>219</v>
      </c>
      <c r="AM39">
        <v>0.1318</v>
      </c>
      <c r="AN39" t="s">
        <v>218</v>
      </c>
    </row>
    <row r="40" spans="9:40" x14ac:dyDescent="0.45">
      <c r="I40" t="s">
        <v>163</v>
      </c>
      <c r="J40" t="s">
        <v>230</v>
      </c>
      <c r="K40">
        <v>2.970929746140779E-2</v>
      </c>
      <c r="L40" t="s">
        <v>161</v>
      </c>
      <c r="N40" t="s">
        <v>183</v>
      </c>
      <c r="O40" t="s">
        <v>230</v>
      </c>
      <c r="P40">
        <v>2.050327439341423E-2</v>
      </c>
      <c r="Q40" t="s">
        <v>161</v>
      </c>
      <c r="S40" t="s">
        <v>203</v>
      </c>
      <c r="T40" t="s">
        <v>230</v>
      </c>
      <c r="U40">
        <v>2.0499019788322612E-2</v>
      </c>
      <c r="V40" t="s">
        <v>161</v>
      </c>
      <c r="AK40">
        <v>2029</v>
      </c>
      <c r="AL40" t="s">
        <v>221</v>
      </c>
      <c r="AM40">
        <v>0.22176666666666667</v>
      </c>
      <c r="AN40" t="s">
        <v>218</v>
      </c>
    </row>
    <row r="41" spans="9:40" x14ac:dyDescent="0.45">
      <c r="I41" t="s">
        <v>163</v>
      </c>
      <c r="J41" t="s">
        <v>231</v>
      </c>
      <c r="K41">
        <v>0.35703434500444703</v>
      </c>
      <c r="L41" t="s">
        <v>161</v>
      </c>
      <c r="N41" t="s">
        <v>183</v>
      </c>
      <c r="O41" t="s">
        <v>231</v>
      </c>
      <c r="P41">
        <v>5.0913198860313751E-2</v>
      </c>
      <c r="Q41" t="s">
        <v>161</v>
      </c>
      <c r="S41" t="s">
        <v>203</v>
      </c>
      <c r="T41" t="s">
        <v>231</v>
      </c>
      <c r="U41">
        <v>7.1551065330918817E-2</v>
      </c>
      <c r="V41" t="s">
        <v>161</v>
      </c>
      <c r="AK41">
        <v>2029</v>
      </c>
      <c r="AL41" t="s">
        <v>222</v>
      </c>
      <c r="AM41">
        <v>0.13126666666666667</v>
      </c>
      <c r="AN41" t="s">
        <v>218</v>
      </c>
    </row>
    <row r="42" spans="9:40" x14ac:dyDescent="0.45">
      <c r="I42" t="s">
        <v>163</v>
      </c>
      <c r="J42" t="s">
        <v>232</v>
      </c>
      <c r="K42">
        <v>1.9551915828404456E-2</v>
      </c>
      <c r="L42" t="s">
        <v>161</v>
      </c>
      <c r="N42" t="s">
        <v>183</v>
      </c>
      <c r="O42" t="s">
        <v>232</v>
      </c>
      <c r="P42">
        <v>6.890951521176715E-2</v>
      </c>
      <c r="Q42" t="s">
        <v>161</v>
      </c>
      <c r="S42" t="s">
        <v>203</v>
      </c>
      <c r="T42" t="s">
        <v>232</v>
      </c>
      <c r="U42">
        <v>7.4978794950154401E-2</v>
      </c>
      <c r="V42" t="s">
        <v>161</v>
      </c>
      <c r="AK42">
        <v>2029</v>
      </c>
      <c r="AL42" t="s">
        <v>224</v>
      </c>
      <c r="AM42">
        <v>0.19369999999999998</v>
      </c>
      <c r="AN42" t="s">
        <v>218</v>
      </c>
    </row>
    <row r="43" spans="9:40" x14ac:dyDescent="0.45">
      <c r="I43" t="s">
        <v>163</v>
      </c>
      <c r="J43" t="s">
        <v>233</v>
      </c>
      <c r="K43">
        <v>4.4829257167455457E-2</v>
      </c>
      <c r="L43" t="s">
        <v>161</v>
      </c>
      <c r="N43" t="s">
        <v>183</v>
      </c>
      <c r="O43" t="s">
        <v>233</v>
      </c>
      <c r="P43">
        <v>1.0351885885446074E-2</v>
      </c>
      <c r="Q43" t="s">
        <v>161</v>
      </c>
      <c r="S43" t="s">
        <v>203</v>
      </c>
      <c r="T43" t="s">
        <v>233</v>
      </c>
      <c r="U43">
        <v>1.4505052892088956E-2</v>
      </c>
      <c r="V43" t="s">
        <v>161</v>
      </c>
      <c r="AK43">
        <v>2030</v>
      </c>
      <c r="AL43" t="s">
        <v>219</v>
      </c>
      <c r="AM43">
        <v>0.14249999999999999</v>
      </c>
      <c r="AN43" t="s">
        <v>218</v>
      </c>
    </row>
    <row r="44" spans="9:40" x14ac:dyDescent="0.45">
      <c r="I44" t="s">
        <v>163</v>
      </c>
      <c r="J44" t="s">
        <v>234</v>
      </c>
      <c r="K44">
        <v>8.2778721446603726E-2</v>
      </c>
      <c r="L44" t="s">
        <v>161</v>
      </c>
      <c r="N44" t="s">
        <v>183</v>
      </c>
      <c r="O44" t="s">
        <v>234</v>
      </c>
      <c r="P44">
        <v>0.15488404837302827</v>
      </c>
      <c r="Q44" t="s">
        <v>161</v>
      </c>
      <c r="S44" t="s">
        <v>203</v>
      </c>
      <c r="T44" t="s">
        <v>234</v>
      </c>
      <c r="U44">
        <v>0.14542607243144284</v>
      </c>
      <c r="V44" t="s">
        <v>161</v>
      </c>
      <c r="AK44">
        <v>2030</v>
      </c>
      <c r="AL44" t="s">
        <v>221</v>
      </c>
      <c r="AM44">
        <v>0.20966666666666667</v>
      </c>
      <c r="AN44" t="s">
        <v>218</v>
      </c>
    </row>
    <row r="45" spans="9:40" x14ac:dyDescent="0.45">
      <c r="I45" t="s">
        <v>163</v>
      </c>
      <c r="J45" t="s">
        <v>235</v>
      </c>
      <c r="K45">
        <v>0</v>
      </c>
      <c r="L45" t="s">
        <v>161</v>
      </c>
      <c r="N45" t="s">
        <v>183</v>
      </c>
      <c r="O45" t="s">
        <v>235</v>
      </c>
      <c r="P45">
        <v>0.16376834072705682</v>
      </c>
      <c r="Q45" t="s">
        <v>161</v>
      </c>
      <c r="S45" t="s">
        <v>203</v>
      </c>
      <c r="T45" t="s">
        <v>235</v>
      </c>
      <c r="U45">
        <v>0.15135280569713222</v>
      </c>
      <c r="V45" t="s">
        <v>161</v>
      </c>
      <c r="AK45">
        <v>2030</v>
      </c>
      <c r="AL45" t="s">
        <v>222</v>
      </c>
      <c r="AM45">
        <v>0.12216666666666666</v>
      </c>
      <c r="AN45" t="s">
        <v>218</v>
      </c>
    </row>
    <row r="46" spans="9:40" x14ac:dyDescent="0.45">
      <c r="I46" t="s">
        <v>163</v>
      </c>
      <c r="J46" t="s">
        <v>236</v>
      </c>
      <c r="K46">
        <v>1.0423490400801349E-3</v>
      </c>
      <c r="L46" t="s">
        <v>161</v>
      </c>
      <c r="N46" t="s">
        <v>183</v>
      </c>
      <c r="O46" t="s">
        <v>236</v>
      </c>
      <c r="P46">
        <v>2.9593124113003681E-2</v>
      </c>
      <c r="Q46" t="s">
        <v>161</v>
      </c>
      <c r="S46" t="s">
        <v>203</v>
      </c>
      <c r="T46" t="s">
        <v>236</v>
      </c>
      <c r="U46">
        <v>2.7944429190964796E-2</v>
      </c>
      <c r="V46" t="s">
        <v>161</v>
      </c>
      <c r="AK46">
        <v>2030</v>
      </c>
      <c r="AL46" t="s">
        <v>224</v>
      </c>
      <c r="AM46">
        <v>0.20263333333333333</v>
      </c>
      <c r="AN46" t="s">
        <v>218</v>
      </c>
    </row>
    <row r="47" spans="9:40" x14ac:dyDescent="0.45">
      <c r="I47" t="s">
        <v>164</v>
      </c>
      <c r="J47" t="s">
        <v>225</v>
      </c>
      <c r="K47">
        <v>0.14708710301535161</v>
      </c>
      <c r="L47" t="s">
        <v>161</v>
      </c>
      <c r="N47" t="s">
        <v>184</v>
      </c>
      <c r="O47" t="s">
        <v>225</v>
      </c>
      <c r="P47">
        <v>0.10946871851303384</v>
      </c>
      <c r="Q47" t="s">
        <v>161</v>
      </c>
      <c r="S47" t="s">
        <v>204</v>
      </c>
      <c r="T47" t="s">
        <v>225</v>
      </c>
      <c r="U47">
        <v>0.11982067136198235</v>
      </c>
      <c r="V47" t="s">
        <v>161</v>
      </c>
      <c r="AK47">
        <v>2031</v>
      </c>
      <c r="AL47" t="s">
        <v>219</v>
      </c>
      <c r="AM47">
        <v>0.13183333333333333</v>
      </c>
      <c r="AN47" t="s">
        <v>218</v>
      </c>
    </row>
    <row r="48" spans="9:40" x14ac:dyDescent="0.45">
      <c r="I48" t="s">
        <v>164</v>
      </c>
      <c r="J48" t="s">
        <v>226</v>
      </c>
      <c r="K48">
        <v>1.6227727218252818E-4</v>
      </c>
      <c r="L48" t="s">
        <v>161</v>
      </c>
      <c r="N48" t="s">
        <v>184</v>
      </c>
      <c r="O48" t="s">
        <v>226</v>
      </c>
      <c r="P48">
        <v>0.13140511903354546</v>
      </c>
      <c r="Q48" t="s">
        <v>161</v>
      </c>
      <c r="S48" t="s">
        <v>204</v>
      </c>
      <c r="T48" t="s">
        <v>226</v>
      </c>
      <c r="U48">
        <v>0.11887965186303433</v>
      </c>
      <c r="V48" t="s">
        <v>161</v>
      </c>
      <c r="AK48">
        <v>2031</v>
      </c>
      <c r="AL48" t="s">
        <v>221</v>
      </c>
      <c r="AM48">
        <v>0.2084</v>
      </c>
      <c r="AN48" t="s">
        <v>218</v>
      </c>
    </row>
    <row r="49" spans="9:40" x14ac:dyDescent="0.45">
      <c r="I49" t="s">
        <v>164</v>
      </c>
      <c r="J49" t="s">
        <v>227</v>
      </c>
      <c r="K49">
        <v>8.7758758418751033E-3</v>
      </c>
      <c r="L49" t="s">
        <v>161</v>
      </c>
      <c r="N49" t="s">
        <v>184</v>
      </c>
      <c r="O49" t="s">
        <v>227</v>
      </c>
      <c r="P49">
        <v>2.2493619515708396E-2</v>
      </c>
      <c r="Q49" t="s">
        <v>161</v>
      </c>
      <c r="S49" t="s">
        <v>204</v>
      </c>
      <c r="T49" t="s">
        <v>227</v>
      </c>
      <c r="U49">
        <v>2.1122124088813782E-2</v>
      </c>
      <c r="V49" t="s">
        <v>161</v>
      </c>
      <c r="AK49">
        <v>2031</v>
      </c>
      <c r="AL49" t="s">
        <v>222</v>
      </c>
      <c r="AM49">
        <v>0.127</v>
      </c>
      <c r="AN49" t="s">
        <v>218</v>
      </c>
    </row>
    <row r="50" spans="9:40" x14ac:dyDescent="0.45">
      <c r="I50" t="s">
        <v>164</v>
      </c>
      <c r="J50" t="s">
        <v>228</v>
      </c>
      <c r="K50">
        <v>0.31395103547002179</v>
      </c>
      <c r="L50" t="s">
        <v>161</v>
      </c>
      <c r="N50" t="s">
        <v>184</v>
      </c>
      <c r="O50" t="s">
        <v>228</v>
      </c>
      <c r="P50">
        <v>0.10947534836252645</v>
      </c>
      <c r="Q50" t="s">
        <v>161</v>
      </c>
      <c r="S50" t="s">
        <v>204</v>
      </c>
      <c r="T50" t="s">
        <v>228</v>
      </c>
      <c r="U50">
        <v>0.11734366610015415</v>
      </c>
      <c r="V50" t="s">
        <v>161</v>
      </c>
      <c r="AK50">
        <v>2031</v>
      </c>
      <c r="AL50" t="s">
        <v>224</v>
      </c>
      <c r="AM50">
        <v>0.19099999999999998</v>
      </c>
      <c r="AN50" t="s">
        <v>218</v>
      </c>
    </row>
    <row r="51" spans="9:40" x14ac:dyDescent="0.45">
      <c r="I51" t="s">
        <v>164</v>
      </c>
      <c r="J51" t="s">
        <v>229</v>
      </c>
      <c r="K51">
        <v>7.1813480901402422E-3</v>
      </c>
      <c r="L51" t="s">
        <v>161</v>
      </c>
      <c r="N51" t="s">
        <v>184</v>
      </c>
      <c r="O51" t="s">
        <v>229</v>
      </c>
      <c r="P51">
        <v>0.13637158472160399</v>
      </c>
      <c r="Q51" t="s">
        <v>161</v>
      </c>
      <c r="S51" t="s">
        <v>204</v>
      </c>
      <c r="T51" t="s">
        <v>229</v>
      </c>
      <c r="U51">
        <v>0.13072015390398187</v>
      </c>
      <c r="V51" t="s">
        <v>161</v>
      </c>
      <c r="AK51">
        <v>2032</v>
      </c>
      <c r="AL51" t="s">
        <v>219</v>
      </c>
      <c r="AM51">
        <v>0.14176666666666668</v>
      </c>
      <c r="AN51" t="s">
        <v>218</v>
      </c>
    </row>
    <row r="52" spans="9:40" x14ac:dyDescent="0.45">
      <c r="I52" t="s">
        <v>164</v>
      </c>
      <c r="J52" t="s">
        <v>230</v>
      </c>
      <c r="K52">
        <v>3.3247615137482159E-2</v>
      </c>
      <c r="L52" t="s">
        <v>161</v>
      </c>
      <c r="N52" t="s">
        <v>184</v>
      </c>
      <c r="O52" t="s">
        <v>230</v>
      </c>
      <c r="P52">
        <v>2.0863034843362577E-2</v>
      </c>
      <c r="Q52" t="s">
        <v>161</v>
      </c>
      <c r="S52" t="s">
        <v>204</v>
      </c>
      <c r="T52" t="s">
        <v>230</v>
      </c>
      <c r="U52">
        <v>2.2956749737623645E-2</v>
      </c>
      <c r="V52" t="s">
        <v>161</v>
      </c>
      <c r="AK52">
        <v>2032</v>
      </c>
      <c r="AL52" t="s">
        <v>221</v>
      </c>
      <c r="AM52">
        <v>0.20650000000000002</v>
      </c>
      <c r="AN52" t="s">
        <v>218</v>
      </c>
    </row>
    <row r="53" spans="9:40" x14ac:dyDescent="0.45">
      <c r="I53" t="s">
        <v>164</v>
      </c>
      <c r="J53" t="s">
        <v>231</v>
      </c>
      <c r="K53">
        <v>0.35081205409732574</v>
      </c>
      <c r="L53" t="s">
        <v>161</v>
      </c>
      <c r="N53" t="s">
        <v>184</v>
      </c>
      <c r="O53" t="s">
        <v>231</v>
      </c>
      <c r="P53">
        <v>4.6620906311808707E-2</v>
      </c>
      <c r="Q53" t="s">
        <v>161</v>
      </c>
      <c r="S53" t="s">
        <v>204</v>
      </c>
      <c r="T53" t="s">
        <v>231</v>
      </c>
      <c r="U53">
        <v>7.8813371215066652E-2</v>
      </c>
      <c r="V53" t="s">
        <v>161</v>
      </c>
      <c r="AK53">
        <v>2032</v>
      </c>
      <c r="AL53" t="s">
        <v>222</v>
      </c>
      <c r="AM53">
        <v>0.1303</v>
      </c>
      <c r="AN53" t="s">
        <v>218</v>
      </c>
    </row>
    <row r="54" spans="9:40" x14ac:dyDescent="0.45">
      <c r="I54" t="s">
        <v>164</v>
      </c>
      <c r="J54" t="s">
        <v>232</v>
      </c>
      <c r="K54">
        <v>2.3209282062334774E-2</v>
      </c>
      <c r="L54" t="s">
        <v>161</v>
      </c>
      <c r="N54" t="s">
        <v>184</v>
      </c>
      <c r="O54" t="s">
        <v>232</v>
      </c>
      <c r="P54">
        <v>6.5319850311821678E-2</v>
      </c>
      <c r="Q54" t="s">
        <v>161</v>
      </c>
      <c r="S54" t="s">
        <v>204</v>
      </c>
      <c r="T54" t="s">
        <v>232</v>
      </c>
      <c r="U54">
        <v>8.4505500980630921E-2</v>
      </c>
      <c r="V54" t="s">
        <v>161</v>
      </c>
      <c r="AK54">
        <v>2032</v>
      </c>
      <c r="AL54" t="s">
        <v>224</v>
      </c>
      <c r="AM54">
        <v>0.2034</v>
      </c>
      <c r="AN54" t="s">
        <v>218</v>
      </c>
    </row>
    <row r="55" spans="9:40" x14ac:dyDescent="0.45">
      <c r="I55" t="s">
        <v>164</v>
      </c>
      <c r="J55" t="s">
        <v>233</v>
      </c>
      <c r="K55">
        <v>4.7832000095898372E-2</v>
      </c>
      <c r="L55" t="s">
        <v>161</v>
      </c>
      <c r="N55" t="s">
        <v>184</v>
      </c>
      <c r="O55" t="s">
        <v>233</v>
      </c>
      <c r="P55">
        <v>8.9676002578795606E-3</v>
      </c>
      <c r="Q55" t="s">
        <v>161</v>
      </c>
      <c r="S55" t="s">
        <v>204</v>
      </c>
      <c r="T55" t="s">
        <v>233</v>
      </c>
      <c r="U55">
        <v>1.4632269988108135E-2</v>
      </c>
      <c r="V55" t="s">
        <v>161</v>
      </c>
      <c r="AK55">
        <v>2033</v>
      </c>
      <c r="AL55" t="s">
        <v>219</v>
      </c>
      <c r="AM55">
        <v>0.18843333333333334</v>
      </c>
      <c r="AN55" t="s">
        <v>218</v>
      </c>
    </row>
    <row r="56" spans="9:40" x14ac:dyDescent="0.45">
      <c r="I56" t="s">
        <v>164</v>
      </c>
      <c r="J56" t="s">
        <v>234</v>
      </c>
      <c r="K56">
        <v>6.636719275179645E-2</v>
      </c>
      <c r="L56" t="s">
        <v>161</v>
      </c>
      <c r="N56" t="s">
        <v>184</v>
      </c>
      <c r="O56" t="s">
        <v>234</v>
      </c>
      <c r="P56">
        <v>0.15438467900098837</v>
      </c>
      <c r="Q56" t="s">
        <v>161</v>
      </c>
      <c r="S56" t="s">
        <v>204</v>
      </c>
      <c r="T56" t="s">
        <v>234</v>
      </c>
      <c r="U56">
        <v>0.13450357034105781</v>
      </c>
      <c r="V56" t="s">
        <v>161</v>
      </c>
      <c r="AK56">
        <v>2033</v>
      </c>
      <c r="AL56" t="s">
        <v>221</v>
      </c>
      <c r="AM56">
        <v>0.30043333333333333</v>
      </c>
      <c r="AN56" t="s">
        <v>218</v>
      </c>
    </row>
    <row r="57" spans="9:40" x14ac:dyDescent="0.45">
      <c r="I57" t="s">
        <v>164</v>
      </c>
      <c r="J57" t="s">
        <v>235</v>
      </c>
      <c r="K57">
        <v>0</v>
      </c>
      <c r="L57" t="s">
        <v>161</v>
      </c>
      <c r="N57" t="s">
        <v>184</v>
      </c>
      <c r="O57" t="s">
        <v>235</v>
      </c>
      <c r="P57">
        <v>0.16455222809176043</v>
      </c>
      <c r="Q57" t="s">
        <v>161</v>
      </c>
      <c r="S57" t="s">
        <v>204</v>
      </c>
      <c r="T57" t="s">
        <v>235</v>
      </c>
      <c r="U57">
        <v>0.1315916157396026</v>
      </c>
      <c r="V57" t="s">
        <v>161</v>
      </c>
      <c r="AK57">
        <v>2033</v>
      </c>
      <c r="AL57" t="s">
        <v>222</v>
      </c>
      <c r="AM57">
        <v>0.17813333333333334</v>
      </c>
      <c r="AN57" t="s">
        <v>218</v>
      </c>
    </row>
    <row r="58" spans="9:40" x14ac:dyDescent="0.45">
      <c r="I58" t="s">
        <v>164</v>
      </c>
      <c r="J58" t="s">
        <v>236</v>
      </c>
      <c r="K58">
        <v>1.3742161655913513E-3</v>
      </c>
      <c r="L58" t="s">
        <v>161</v>
      </c>
      <c r="N58" t="s">
        <v>184</v>
      </c>
      <c r="O58" t="s">
        <v>236</v>
      </c>
      <c r="P58">
        <v>3.0077311035960268E-2</v>
      </c>
      <c r="Q58" t="s">
        <v>161</v>
      </c>
      <c r="S58" t="s">
        <v>204</v>
      </c>
      <c r="T58" t="s">
        <v>236</v>
      </c>
      <c r="U58">
        <v>2.5110654679945516E-2</v>
      </c>
      <c r="V58" t="s">
        <v>161</v>
      </c>
      <c r="AK58">
        <v>2033</v>
      </c>
      <c r="AL58" t="s">
        <v>224</v>
      </c>
      <c r="AM58">
        <v>0.2698666666666667</v>
      </c>
      <c r="AN58" t="s">
        <v>218</v>
      </c>
    </row>
    <row r="59" spans="9:40" x14ac:dyDescent="0.45">
      <c r="I59" t="s">
        <v>165</v>
      </c>
      <c r="J59" t="s">
        <v>225</v>
      </c>
      <c r="K59">
        <v>0.15306071796490894</v>
      </c>
      <c r="L59" t="s">
        <v>161</v>
      </c>
      <c r="N59" t="s">
        <v>185</v>
      </c>
      <c r="O59" t="s">
        <v>225</v>
      </c>
      <c r="P59">
        <v>0.11135014475400454</v>
      </c>
      <c r="Q59" t="s">
        <v>161</v>
      </c>
      <c r="S59" t="s">
        <v>205</v>
      </c>
      <c r="T59" t="s">
        <v>225</v>
      </c>
      <c r="U59">
        <v>0.12069133318702717</v>
      </c>
      <c r="V59" t="s">
        <v>161</v>
      </c>
      <c r="AK59">
        <v>2034</v>
      </c>
      <c r="AL59" t="s">
        <v>219</v>
      </c>
      <c r="AM59">
        <v>0.18399999999999997</v>
      </c>
      <c r="AN59" t="s">
        <v>218</v>
      </c>
    </row>
    <row r="60" spans="9:40" x14ac:dyDescent="0.45">
      <c r="I60" t="s">
        <v>165</v>
      </c>
      <c r="J60" t="s">
        <v>226</v>
      </c>
      <c r="K60">
        <v>5.1924181316008167E-5</v>
      </c>
      <c r="L60" t="s">
        <v>161</v>
      </c>
      <c r="N60" t="s">
        <v>185</v>
      </c>
      <c r="O60" t="s">
        <v>226</v>
      </c>
      <c r="P60">
        <v>0.12523937918833844</v>
      </c>
      <c r="Q60" t="s">
        <v>161</v>
      </c>
      <c r="S60" t="s">
        <v>205</v>
      </c>
      <c r="T60" t="s">
        <v>226</v>
      </c>
      <c r="U60">
        <v>0.11787847707137046</v>
      </c>
      <c r="V60" t="s">
        <v>161</v>
      </c>
      <c r="AK60">
        <v>2034</v>
      </c>
      <c r="AL60" t="s">
        <v>221</v>
      </c>
      <c r="AM60">
        <v>0.28463333333333335</v>
      </c>
      <c r="AN60" t="s">
        <v>218</v>
      </c>
    </row>
    <row r="61" spans="9:40" x14ac:dyDescent="0.45">
      <c r="I61" t="s">
        <v>165</v>
      </c>
      <c r="J61" t="s">
        <v>227</v>
      </c>
      <c r="K61">
        <v>7.5713810681285812E-3</v>
      </c>
      <c r="L61" t="s">
        <v>161</v>
      </c>
      <c r="N61" t="s">
        <v>185</v>
      </c>
      <c r="O61" t="s">
        <v>227</v>
      </c>
      <c r="P61">
        <v>2.273160902805535E-2</v>
      </c>
      <c r="Q61" t="s">
        <v>161</v>
      </c>
      <c r="S61" t="s">
        <v>205</v>
      </c>
      <c r="T61" t="s">
        <v>227</v>
      </c>
      <c r="U61">
        <v>2.1978030741242702E-2</v>
      </c>
      <c r="V61" t="s">
        <v>161</v>
      </c>
      <c r="AK61">
        <v>2034</v>
      </c>
      <c r="AL61" t="s">
        <v>222</v>
      </c>
      <c r="AM61">
        <v>0.16866666666666666</v>
      </c>
      <c r="AN61" t="s">
        <v>218</v>
      </c>
    </row>
    <row r="62" spans="9:40" x14ac:dyDescent="0.45">
      <c r="I62" t="s">
        <v>165</v>
      </c>
      <c r="J62" t="s">
        <v>228</v>
      </c>
      <c r="K62">
        <v>0.30904466104260436</v>
      </c>
      <c r="L62" t="s">
        <v>161</v>
      </c>
      <c r="N62" t="s">
        <v>185</v>
      </c>
      <c r="O62" t="s">
        <v>228</v>
      </c>
      <c r="P62">
        <v>0.10821665974140363</v>
      </c>
      <c r="Q62" t="s">
        <v>161</v>
      </c>
      <c r="S62" t="s">
        <v>205</v>
      </c>
      <c r="T62" t="s">
        <v>228</v>
      </c>
      <c r="U62">
        <v>0.11611128322094409</v>
      </c>
      <c r="V62" t="s">
        <v>161</v>
      </c>
      <c r="AK62">
        <v>2034</v>
      </c>
      <c r="AL62" t="s">
        <v>224</v>
      </c>
      <c r="AM62">
        <v>0.24139999999999998</v>
      </c>
      <c r="AN62" t="s">
        <v>218</v>
      </c>
    </row>
    <row r="63" spans="9:40" x14ac:dyDescent="0.45">
      <c r="I63" t="s">
        <v>165</v>
      </c>
      <c r="J63" t="s">
        <v>229</v>
      </c>
      <c r="K63">
        <v>7.0229479043634468E-3</v>
      </c>
      <c r="L63" t="s">
        <v>161</v>
      </c>
      <c r="N63" t="s">
        <v>185</v>
      </c>
      <c r="O63" t="s">
        <v>229</v>
      </c>
      <c r="P63">
        <v>0.13155875233534875</v>
      </c>
      <c r="Q63" t="s">
        <v>161</v>
      </c>
      <c r="S63" t="s">
        <v>205</v>
      </c>
      <c r="T63" t="s">
        <v>229</v>
      </c>
      <c r="U63">
        <v>0.12931316451955482</v>
      </c>
      <c r="V63" t="s">
        <v>161</v>
      </c>
      <c r="AK63">
        <v>2035</v>
      </c>
      <c r="AL63" t="s">
        <v>219</v>
      </c>
      <c r="AM63">
        <v>0.17983333333333332</v>
      </c>
      <c r="AN63" t="s">
        <v>218</v>
      </c>
    </row>
    <row r="64" spans="9:40" x14ac:dyDescent="0.45">
      <c r="I64" t="s">
        <v>165</v>
      </c>
      <c r="J64" t="s">
        <v>230</v>
      </c>
      <c r="K64">
        <v>3.1488766431332534E-2</v>
      </c>
      <c r="L64" t="s">
        <v>161</v>
      </c>
      <c r="N64" t="s">
        <v>185</v>
      </c>
      <c r="O64" t="s">
        <v>230</v>
      </c>
      <c r="P64">
        <v>2.138845617079806E-2</v>
      </c>
      <c r="Q64" t="s">
        <v>161</v>
      </c>
      <c r="S64" t="s">
        <v>205</v>
      </c>
      <c r="T64" t="s">
        <v>230</v>
      </c>
      <c r="U64">
        <v>2.2729308421843928E-2</v>
      </c>
      <c r="V64" t="s">
        <v>161</v>
      </c>
      <c r="AK64">
        <v>2035</v>
      </c>
      <c r="AL64" t="s">
        <v>221</v>
      </c>
      <c r="AM64">
        <v>0.28186666666666665</v>
      </c>
      <c r="AN64" t="s">
        <v>218</v>
      </c>
    </row>
    <row r="65" spans="9:40" x14ac:dyDescent="0.45">
      <c r="I65" t="s">
        <v>165</v>
      </c>
      <c r="J65" t="s">
        <v>231</v>
      </c>
      <c r="K65">
        <v>0.35605034037071298</v>
      </c>
      <c r="L65" t="s">
        <v>161</v>
      </c>
      <c r="N65" t="s">
        <v>185</v>
      </c>
      <c r="O65" t="s">
        <v>231</v>
      </c>
      <c r="P65">
        <v>5.8668681202414745E-2</v>
      </c>
      <c r="Q65" t="s">
        <v>161</v>
      </c>
      <c r="S65" t="s">
        <v>205</v>
      </c>
      <c r="T65" t="s">
        <v>231</v>
      </c>
      <c r="U65">
        <v>7.7587633614700349E-2</v>
      </c>
      <c r="V65" t="s">
        <v>161</v>
      </c>
      <c r="AK65">
        <v>2035</v>
      </c>
      <c r="AL65" t="s">
        <v>222</v>
      </c>
      <c r="AM65">
        <v>0.16829999999999998</v>
      </c>
      <c r="AN65" t="s">
        <v>218</v>
      </c>
    </row>
    <row r="66" spans="9:40" x14ac:dyDescent="0.45">
      <c r="I66" t="s">
        <v>165</v>
      </c>
      <c r="J66" t="s">
        <v>232</v>
      </c>
      <c r="K66">
        <v>2.1971173580011476E-2</v>
      </c>
      <c r="L66" t="s">
        <v>161</v>
      </c>
      <c r="N66" t="s">
        <v>185</v>
      </c>
      <c r="O66" t="s">
        <v>232</v>
      </c>
      <c r="P66">
        <v>7.0800671139349305E-2</v>
      </c>
      <c r="Q66" t="s">
        <v>161</v>
      </c>
      <c r="S66" t="s">
        <v>205</v>
      </c>
      <c r="T66" t="s">
        <v>232</v>
      </c>
      <c r="U66">
        <v>8.0974336852784531E-2</v>
      </c>
      <c r="V66" t="s">
        <v>161</v>
      </c>
      <c r="AK66">
        <v>2035</v>
      </c>
      <c r="AL66" t="s">
        <v>224</v>
      </c>
      <c r="AM66">
        <v>0.25866666666666666</v>
      </c>
      <c r="AN66" t="s">
        <v>218</v>
      </c>
    </row>
    <row r="67" spans="9:40" x14ac:dyDescent="0.45">
      <c r="I67" t="s">
        <v>165</v>
      </c>
      <c r="J67" t="s">
        <v>233</v>
      </c>
      <c r="K67">
        <v>4.4918500259002452E-2</v>
      </c>
      <c r="L67" t="s">
        <v>161</v>
      </c>
      <c r="N67" t="s">
        <v>185</v>
      </c>
      <c r="O67" t="s">
        <v>233</v>
      </c>
      <c r="P67">
        <v>1.2140305739412376E-2</v>
      </c>
      <c r="Q67" t="s">
        <v>161</v>
      </c>
      <c r="S67" t="s">
        <v>205</v>
      </c>
      <c r="T67" t="s">
        <v>233</v>
      </c>
      <c r="U67">
        <v>1.4867512490770606E-2</v>
      </c>
      <c r="V67" t="s">
        <v>161</v>
      </c>
      <c r="AK67">
        <v>2036</v>
      </c>
      <c r="AL67" t="s">
        <v>219</v>
      </c>
      <c r="AM67">
        <v>0.18996666666666664</v>
      </c>
      <c r="AN67" t="s">
        <v>218</v>
      </c>
    </row>
    <row r="68" spans="9:40" x14ac:dyDescent="0.45">
      <c r="I68" t="s">
        <v>165</v>
      </c>
      <c r="J68" t="s">
        <v>234</v>
      </c>
      <c r="K68">
        <v>6.78409002030569E-2</v>
      </c>
      <c r="L68" t="s">
        <v>161</v>
      </c>
      <c r="N68" t="s">
        <v>185</v>
      </c>
      <c r="O68" t="s">
        <v>234</v>
      </c>
      <c r="P68">
        <v>0.15004434639748795</v>
      </c>
      <c r="Q68" t="s">
        <v>161</v>
      </c>
      <c r="S68" t="s">
        <v>205</v>
      </c>
      <c r="T68" t="s">
        <v>234</v>
      </c>
      <c r="U68">
        <v>0.13686245167255945</v>
      </c>
      <c r="V68" t="s">
        <v>161</v>
      </c>
      <c r="AK68">
        <v>2036</v>
      </c>
      <c r="AL68" t="s">
        <v>221</v>
      </c>
      <c r="AM68">
        <v>0.30520000000000003</v>
      </c>
      <c r="AN68" t="s">
        <v>218</v>
      </c>
    </row>
    <row r="69" spans="9:40" x14ac:dyDescent="0.45">
      <c r="I69" t="s">
        <v>165</v>
      </c>
      <c r="J69" t="s">
        <v>235</v>
      </c>
      <c r="K69">
        <v>0</v>
      </c>
      <c r="L69" t="s">
        <v>161</v>
      </c>
      <c r="N69" t="s">
        <v>185</v>
      </c>
      <c r="O69" t="s">
        <v>235</v>
      </c>
      <c r="P69">
        <v>0.15890069655519737</v>
      </c>
      <c r="Q69" t="s">
        <v>161</v>
      </c>
      <c r="S69" t="s">
        <v>205</v>
      </c>
      <c r="T69" t="s">
        <v>235</v>
      </c>
      <c r="U69">
        <v>0.13568491202404137</v>
      </c>
      <c r="V69" t="s">
        <v>161</v>
      </c>
      <c r="AK69">
        <v>2036</v>
      </c>
      <c r="AL69" t="s">
        <v>222</v>
      </c>
      <c r="AM69">
        <v>0.16900000000000001</v>
      </c>
      <c r="AN69" t="s">
        <v>218</v>
      </c>
    </row>
    <row r="70" spans="9:40" x14ac:dyDescent="0.45">
      <c r="I70" t="s">
        <v>165</v>
      </c>
      <c r="J70" t="s">
        <v>236</v>
      </c>
      <c r="K70">
        <v>9.7868699456141921E-4</v>
      </c>
      <c r="L70" t="s">
        <v>161</v>
      </c>
      <c r="N70" t="s">
        <v>185</v>
      </c>
      <c r="O70" t="s">
        <v>236</v>
      </c>
      <c r="P70">
        <v>2.8960297748185919E-2</v>
      </c>
      <c r="Q70" t="s">
        <v>161</v>
      </c>
      <c r="S70" t="s">
        <v>205</v>
      </c>
      <c r="T70" t="s">
        <v>236</v>
      </c>
      <c r="U70">
        <v>2.5321556183160152E-2</v>
      </c>
      <c r="V70" t="s">
        <v>161</v>
      </c>
      <c r="AK70">
        <v>2036</v>
      </c>
      <c r="AL70" t="s">
        <v>224</v>
      </c>
      <c r="AM70">
        <v>0.24666666666666667</v>
      </c>
      <c r="AN70" t="s">
        <v>218</v>
      </c>
    </row>
    <row r="71" spans="9:40" x14ac:dyDescent="0.45">
      <c r="I71" t="s">
        <v>166</v>
      </c>
      <c r="J71" t="s">
        <v>225</v>
      </c>
      <c r="K71">
        <v>0.14351500097566641</v>
      </c>
      <c r="L71" t="s">
        <v>161</v>
      </c>
      <c r="N71" t="s">
        <v>186</v>
      </c>
      <c r="O71" t="s">
        <v>225</v>
      </c>
      <c r="P71">
        <v>0.11251646795448099</v>
      </c>
      <c r="Q71" t="s">
        <v>161</v>
      </c>
      <c r="S71" t="s">
        <v>206</v>
      </c>
      <c r="T71" t="s">
        <v>225</v>
      </c>
      <c r="U71">
        <v>0.1191648951421099</v>
      </c>
      <c r="V71" t="s">
        <v>161</v>
      </c>
      <c r="AK71">
        <v>2037</v>
      </c>
      <c r="AL71" t="s">
        <v>219</v>
      </c>
      <c r="AM71">
        <v>0.1988</v>
      </c>
      <c r="AN71" t="s">
        <v>218</v>
      </c>
    </row>
    <row r="72" spans="9:40" x14ac:dyDescent="0.45">
      <c r="I72" t="s">
        <v>166</v>
      </c>
      <c r="J72" t="s">
        <v>226</v>
      </c>
      <c r="K72">
        <v>0</v>
      </c>
      <c r="L72" t="s">
        <v>161</v>
      </c>
      <c r="N72" t="s">
        <v>186</v>
      </c>
      <c r="O72" t="s">
        <v>226</v>
      </c>
      <c r="P72">
        <v>0.12847513943281205</v>
      </c>
      <c r="Q72" t="s">
        <v>161</v>
      </c>
      <c r="S72" t="s">
        <v>206</v>
      </c>
      <c r="T72" t="s">
        <v>226</v>
      </c>
      <c r="U72">
        <v>0.1190277694420806</v>
      </c>
      <c r="V72" t="s">
        <v>161</v>
      </c>
      <c r="AK72">
        <v>2037</v>
      </c>
      <c r="AL72" t="s">
        <v>221</v>
      </c>
      <c r="AM72">
        <v>0.28876666666666667</v>
      </c>
      <c r="AN72" t="s">
        <v>218</v>
      </c>
    </row>
    <row r="73" spans="9:40" x14ac:dyDescent="0.45">
      <c r="I73" t="s">
        <v>166</v>
      </c>
      <c r="J73" t="s">
        <v>227</v>
      </c>
      <c r="K73">
        <v>6.635092060538748E-3</v>
      </c>
      <c r="L73" t="s">
        <v>161</v>
      </c>
      <c r="N73" t="s">
        <v>186</v>
      </c>
      <c r="O73" t="s">
        <v>227</v>
      </c>
      <c r="P73">
        <v>2.3661258584891487E-2</v>
      </c>
      <c r="Q73" t="s">
        <v>161</v>
      </c>
      <c r="S73" t="s">
        <v>206</v>
      </c>
      <c r="T73" t="s">
        <v>227</v>
      </c>
      <c r="U73">
        <v>2.1670909860085324E-2</v>
      </c>
      <c r="V73" t="s">
        <v>161</v>
      </c>
      <c r="AK73">
        <v>2037</v>
      </c>
      <c r="AL73" t="s">
        <v>222</v>
      </c>
      <c r="AM73">
        <v>0.17</v>
      </c>
      <c r="AN73" t="s">
        <v>218</v>
      </c>
    </row>
    <row r="74" spans="9:40" x14ac:dyDescent="0.45">
      <c r="I74" t="s">
        <v>166</v>
      </c>
      <c r="J74" t="s">
        <v>228</v>
      </c>
      <c r="K74">
        <v>0.33143924208251296</v>
      </c>
      <c r="L74" t="s">
        <v>161</v>
      </c>
      <c r="N74" t="s">
        <v>186</v>
      </c>
      <c r="O74" t="s">
        <v>228</v>
      </c>
      <c r="P74">
        <v>0.10567363678329007</v>
      </c>
      <c r="Q74" t="s">
        <v>161</v>
      </c>
      <c r="S74" t="s">
        <v>206</v>
      </c>
      <c r="T74" t="s">
        <v>228</v>
      </c>
      <c r="U74">
        <v>0.11560554792722924</v>
      </c>
      <c r="V74" t="s">
        <v>161</v>
      </c>
      <c r="AK74">
        <v>2037</v>
      </c>
      <c r="AL74" t="s">
        <v>224</v>
      </c>
      <c r="AM74">
        <v>0.25940000000000002</v>
      </c>
      <c r="AN74" t="s">
        <v>218</v>
      </c>
    </row>
    <row r="75" spans="9:40" x14ac:dyDescent="0.45">
      <c r="I75" t="s">
        <v>166</v>
      </c>
      <c r="J75" t="s">
        <v>229</v>
      </c>
      <c r="K75">
        <v>6.7319439027263396E-3</v>
      </c>
      <c r="L75" t="s">
        <v>161</v>
      </c>
      <c r="N75" t="s">
        <v>186</v>
      </c>
      <c r="O75" t="s">
        <v>229</v>
      </c>
      <c r="P75">
        <v>0.13478121801974247</v>
      </c>
      <c r="Q75" t="s">
        <v>161</v>
      </c>
      <c r="S75" t="s">
        <v>206</v>
      </c>
      <c r="T75" t="s">
        <v>229</v>
      </c>
      <c r="U75">
        <v>0.12678871249107898</v>
      </c>
      <c r="V75" t="s">
        <v>161</v>
      </c>
      <c r="AK75">
        <v>2038</v>
      </c>
      <c r="AL75" t="s">
        <v>219</v>
      </c>
      <c r="AM75">
        <v>0.18346666666666667</v>
      </c>
      <c r="AN75" t="s">
        <v>218</v>
      </c>
    </row>
    <row r="76" spans="9:40" x14ac:dyDescent="0.45">
      <c r="I76" t="s">
        <v>166</v>
      </c>
      <c r="J76" t="s">
        <v>230</v>
      </c>
      <c r="K76">
        <v>2.992786870012229E-2</v>
      </c>
      <c r="L76" t="s">
        <v>161</v>
      </c>
      <c r="N76" t="s">
        <v>186</v>
      </c>
      <c r="O76" t="s">
        <v>230</v>
      </c>
      <c r="P76">
        <v>1.9412951317309364E-2</v>
      </c>
      <c r="Q76" t="s">
        <v>161</v>
      </c>
      <c r="S76" t="s">
        <v>206</v>
      </c>
      <c r="T76" t="s">
        <v>230</v>
      </c>
      <c r="U76">
        <v>2.2279130006976625E-2</v>
      </c>
      <c r="V76" t="s">
        <v>161</v>
      </c>
      <c r="AK76">
        <v>2038</v>
      </c>
      <c r="AL76" t="s">
        <v>221</v>
      </c>
      <c r="AM76">
        <v>0.27763333333333334</v>
      </c>
      <c r="AN76" t="s">
        <v>218</v>
      </c>
    </row>
    <row r="77" spans="9:40" x14ac:dyDescent="0.45">
      <c r="I77" t="s">
        <v>166</v>
      </c>
      <c r="J77" t="s">
        <v>231</v>
      </c>
      <c r="K77">
        <v>0.35168363556636817</v>
      </c>
      <c r="L77" t="s">
        <v>161</v>
      </c>
      <c r="N77" t="s">
        <v>186</v>
      </c>
      <c r="O77" t="s">
        <v>231</v>
      </c>
      <c r="P77">
        <v>5.7125379145429443E-2</v>
      </c>
      <c r="Q77" t="s">
        <v>161</v>
      </c>
      <c r="S77" t="s">
        <v>206</v>
      </c>
      <c r="T77" t="s">
        <v>231</v>
      </c>
      <c r="U77">
        <v>7.8434441669920654E-2</v>
      </c>
      <c r="V77" t="s">
        <v>161</v>
      </c>
      <c r="AK77">
        <v>2038</v>
      </c>
      <c r="AL77" t="s">
        <v>222</v>
      </c>
      <c r="AM77">
        <v>0.17176666666666665</v>
      </c>
      <c r="AN77" t="s">
        <v>218</v>
      </c>
    </row>
    <row r="78" spans="9:40" x14ac:dyDescent="0.45">
      <c r="I78" t="s">
        <v>166</v>
      </c>
      <c r="J78" t="s">
        <v>232</v>
      </c>
      <c r="K78">
        <v>2.15161621680236E-2</v>
      </c>
      <c r="L78" t="s">
        <v>161</v>
      </c>
      <c r="N78" t="s">
        <v>186</v>
      </c>
      <c r="O78" t="s">
        <v>232</v>
      </c>
      <c r="P78">
        <v>7.3005474401008408E-2</v>
      </c>
      <c r="Q78" t="s">
        <v>161</v>
      </c>
      <c r="S78" t="s">
        <v>206</v>
      </c>
      <c r="T78" t="s">
        <v>232</v>
      </c>
      <c r="U78">
        <v>7.9599732291879305E-2</v>
      </c>
      <c r="V78" t="s">
        <v>161</v>
      </c>
      <c r="AK78">
        <v>2038</v>
      </c>
      <c r="AL78" t="s">
        <v>224</v>
      </c>
      <c r="AM78">
        <v>0.27460000000000001</v>
      </c>
      <c r="AN78" t="s">
        <v>218</v>
      </c>
    </row>
    <row r="79" spans="9:40" x14ac:dyDescent="0.45">
      <c r="I79" t="s">
        <v>166</v>
      </c>
      <c r="J79" t="s">
        <v>233</v>
      </c>
      <c r="K79">
        <v>4.1873991268462481E-2</v>
      </c>
      <c r="L79" t="s">
        <v>161</v>
      </c>
      <c r="N79" t="s">
        <v>186</v>
      </c>
      <c r="O79" t="s">
        <v>233</v>
      </c>
      <c r="P79">
        <v>1.1551367050975758E-2</v>
      </c>
      <c r="Q79" t="s">
        <v>161</v>
      </c>
      <c r="S79" t="s">
        <v>206</v>
      </c>
      <c r="T79" t="s">
        <v>233</v>
      </c>
      <c r="U79">
        <v>1.4232513379819393E-2</v>
      </c>
      <c r="V79" t="s">
        <v>161</v>
      </c>
      <c r="AK79">
        <v>2039</v>
      </c>
      <c r="AL79" t="s">
        <v>219</v>
      </c>
      <c r="AM79">
        <v>0.17120000000000002</v>
      </c>
      <c r="AN79" t="s">
        <v>218</v>
      </c>
    </row>
    <row r="80" spans="9:40" x14ac:dyDescent="0.45">
      <c r="I80" t="s">
        <v>166</v>
      </c>
      <c r="J80" t="s">
        <v>234</v>
      </c>
      <c r="K80">
        <v>6.6043108687498547E-2</v>
      </c>
      <c r="L80" t="s">
        <v>161</v>
      </c>
      <c r="N80" t="s">
        <v>186</v>
      </c>
      <c r="O80" t="s">
        <v>234</v>
      </c>
      <c r="P80">
        <v>0.14808177129134395</v>
      </c>
      <c r="Q80" t="s">
        <v>161</v>
      </c>
      <c r="S80" t="s">
        <v>206</v>
      </c>
      <c r="T80" t="s">
        <v>234</v>
      </c>
      <c r="U80">
        <v>0.1391332231820803</v>
      </c>
      <c r="V80" t="s">
        <v>161</v>
      </c>
      <c r="AK80">
        <v>2039</v>
      </c>
      <c r="AL80" t="s">
        <v>221</v>
      </c>
      <c r="AM80">
        <v>0.24663333333333334</v>
      </c>
      <c r="AN80" t="s">
        <v>218</v>
      </c>
    </row>
    <row r="81" spans="9:40" x14ac:dyDescent="0.45">
      <c r="I81" t="s">
        <v>166</v>
      </c>
      <c r="J81" t="s">
        <v>235</v>
      </c>
      <c r="K81">
        <v>0</v>
      </c>
      <c r="L81" t="s">
        <v>161</v>
      </c>
      <c r="N81" t="s">
        <v>186</v>
      </c>
      <c r="O81" t="s">
        <v>235</v>
      </c>
      <c r="P81">
        <v>0.15667096753272386</v>
      </c>
      <c r="Q81" t="s">
        <v>161</v>
      </c>
      <c r="S81" t="s">
        <v>206</v>
      </c>
      <c r="T81" t="s">
        <v>235</v>
      </c>
      <c r="U81">
        <v>0.13782428409537642</v>
      </c>
      <c r="V81" t="s">
        <v>161</v>
      </c>
      <c r="AK81">
        <v>2039</v>
      </c>
      <c r="AL81" t="s">
        <v>222</v>
      </c>
      <c r="AM81">
        <v>0.15043333333333334</v>
      </c>
      <c r="AN81" t="s">
        <v>218</v>
      </c>
    </row>
    <row r="82" spans="9:40" x14ac:dyDescent="0.45">
      <c r="I82" t="s">
        <v>166</v>
      </c>
      <c r="J82" t="s">
        <v>236</v>
      </c>
      <c r="K82">
        <v>6.3395458808286208E-4</v>
      </c>
      <c r="L82" t="s">
        <v>161</v>
      </c>
      <c r="N82" t="s">
        <v>186</v>
      </c>
      <c r="O82" t="s">
        <v>236</v>
      </c>
      <c r="P82">
        <v>2.9044368485990131E-2</v>
      </c>
      <c r="Q82" t="s">
        <v>161</v>
      </c>
      <c r="S82" t="s">
        <v>206</v>
      </c>
      <c r="T82" t="s">
        <v>236</v>
      </c>
      <c r="U82">
        <v>2.6238840511363912E-2</v>
      </c>
      <c r="V82" t="s">
        <v>161</v>
      </c>
      <c r="AK82">
        <v>2039</v>
      </c>
      <c r="AL82" t="s">
        <v>224</v>
      </c>
      <c r="AM82">
        <v>0.23576666666666668</v>
      </c>
      <c r="AN82" t="s">
        <v>218</v>
      </c>
    </row>
    <row r="83" spans="9:40" x14ac:dyDescent="0.45">
      <c r="I83" t="s">
        <v>167</v>
      </c>
      <c r="J83" t="s">
        <v>225</v>
      </c>
      <c r="K83">
        <v>0.14621008860179133</v>
      </c>
      <c r="L83" t="s">
        <v>161</v>
      </c>
      <c r="N83" t="s">
        <v>187</v>
      </c>
      <c r="O83" t="s">
        <v>225</v>
      </c>
      <c r="P83">
        <v>0.10703920986815968</v>
      </c>
      <c r="Q83" t="s">
        <v>161</v>
      </c>
      <c r="S83" t="s">
        <v>207</v>
      </c>
      <c r="T83" t="s">
        <v>225</v>
      </c>
      <c r="U83">
        <v>0.12334259709019253</v>
      </c>
      <c r="V83" t="s">
        <v>161</v>
      </c>
      <c r="AK83">
        <v>2040</v>
      </c>
      <c r="AL83" t="s">
        <v>219</v>
      </c>
      <c r="AM83">
        <v>0.17123333333333335</v>
      </c>
      <c r="AN83" t="s">
        <v>218</v>
      </c>
    </row>
    <row r="84" spans="9:40" x14ac:dyDescent="0.45">
      <c r="I84" t="s">
        <v>167</v>
      </c>
      <c r="J84" t="s">
        <v>226</v>
      </c>
      <c r="K84">
        <v>6.1766302427554196E-5</v>
      </c>
      <c r="L84" t="s">
        <v>161</v>
      </c>
      <c r="N84" t="s">
        <v>187</v>
      </c>
      <c r="O84" t="s">
        <v>226</v>
      </c>
      <c r="P84">
        <v>0.12550234749102124</v>
      </c>
      <c r="Q84" t="s">
        <v>161</v>
      </c>
      <c r="S84" t="s">
        <v>207</v>
      </c>
      <c r="T84" t="s">
        <v>226</v>
      </c>
      <c r="U84">
        <v>0.12920277810737035</v>
      </c>
      <c r="V84" t="s">
        <v>161</v>
      </c>
      <c r="AK84">
        <v>2040</v>
      </c>
      <c r="AL84" t="s">
        <v>221</v>
      </c>
      <c r="AM84">
        <v>0.24586666666666668</v>
      </c>
      <c r="AN84" t="s">
        <v>218</v>
      </c>
    </row>
    <row r="85" spans="9:40" x14ac:dyDescent="0.45">
      <c r="I85" t="s">
        <v>167</v>
      </c>
      <c r="J85" t="s">
        <v>227</v>
      </c>
      <c r="K85">
        <v>8.9407803422826299E-3</v>
      </c>
      <c r="L85" t="s">
        <v>161</v>
      </c>
      <c r="N85" t="s">
        <v>187</v>
      </c>
      <c r="O85" t="s">
        <v>227</v>
      </c>
      <c r="P85">
        <v>2.253867290105167E-2</v>
      </c>
      <c r="Q85" t="s">
        <v>161</v>
      </c>
      <c r="S85" t="s">
        <v>207</v>
      </c>
      <c r="T85" t="s">
        <v>227</v>
      </c>
      <c r="U85">
        <v>2.3727873062267132E-2</v>
      </c>
      <c r="V85" t="s">
        <v>161</v>
      </c>
      <c r="AK85">
        <v>2040</v>
      </c>
      <c r="AL85" t="s">
        <v>222</v>
      </c>
      <c r="AM85">
        <v>0.14873333333333336</v>
      </c>
      <c r="AN85" t="s">
        <v>218</v>
      </c>
    </row>
    <row r="86" spans="9:40" x14ac:dyDescent="0.45">
      <c r="I86" t="s">
        <v>167</v>
      </c>
      <c r="J86" t="s">
        <v>228</v>
      </c>
      <c r="K86">
        <v>0.32401165331803494</v>
      </c>
      <c r="L86" t="s">
        <v>161</v>
      </c>
      <c r="N86" t="s">
        <v>187</v>
      </c>
      <c r="O86" t="s">
        <v>228</v>
      </c>
      <c r="P86">
        <v>0.10932710460134</v>
      </c>
      <c r="Q86" t="s">
        <v>161</v>
      </c>
      <c r="S86" t="s">
        <v>207</v>
      </c>
      <c r="T86" t="s">
        <v>228</v>
      </c>
      <c r="U86">
        <v>0.10428638148282789</v>
      </c>
      <c r="V86" t="s">
        <v>161</v>
      </c>
      <c r="AK86">
        <v>2040</v>
      </c>
      <c r="AL86" t="s">
        <v>224</v>
      </c>
      <c r="AM86">
        <v>0.22436666666666669</v>
      </c>
      <c r="AN86" t="s">
        <v>218</v>
      </c>
    </row>
    <row r="87" spans="9:40" x14ac:dyDescent="0.45">
      <c r="I87" t="s">
        <v>167</v>
      </c>
      <c r="J87" t="s">
        <v>229</v>
      </c>
      <c r="K87">
        <v>8.5465713579776972E-3</v>
      </c>
      <c r="L87" t="s">
        <v>161</v>
      </c>
      <c r="N87" t="s">
        <v>187</v>
      </c>
      <c r="O87" t="s">
        <v>229</v>
      </c>
      <c r="P87">
        <v>0.13484076770693604</v>
      </c>
      <c r="Q87" t="s">
        <v>161</v>
      </c>
      <c r="S87" t="s">
        <v>207</v>
      </c>
      <c r="T87" t="s">
        <v>229</v>
      </c>
      <c r="U87">
        <v>0.11566897519877621</v>
      </c>
      <c r="V87" t="s">
        <v>161</v>
      </c>
      <c r="AK87">
        <v>2041</v>
      </c>
      <c r="AL87" t="s">
        <v>219</v>
      </c>
      <c r="AM87">
        <v>0.16470000000000001</v>
      </c>
      <c r="AN87" t="s">
        <v>218</v>
      </c>
    </row>
    <row r="88" spans="9:40" x14ac:dyDescent="0.45">
      <c r="I88" t="s">
        <v>167</v>
      </c>
      <c r="J88" t="s">
        <v>230</v>
      </c>
      <c r="K88">
        <v>3.6705610163595803E-2</v>
      </c>
      <c r="L88" t="s">
        <v>161</v>
      </c>
      <c r="N88" t="s">
        <v>187</v>
      </c>
      <c r="O88" t="s">
        <v>230</v>
      </c>
      <c r="P88">
        <v>2.1264789329261319E-2</v>
      </c>
      <c r="Q88" t="s">
        <v>161</v>
      </c>
      <c r="S88" t="s">
        <v>207</v>
      </c>
      <c r="T88" t="s">
        <v>230</v>
      </c>
      <c r="U88">
        <v>2.0509898065753977E-2</v>
      </c>
      <c r="V88" t="s">
        <v>161</v>
      </c>
      <c r="AK88">
        <v>2041</v>
      </c>
      <c r="AL88" t="s">
        <v>221</v>
      </c>
      <c r="AM88">
        <v>0.2588333333333333</v>
      </c>
      <c r="AN88" t="s">
        <v>218</v>
      </c>
    </row>
    <row r="89" spans="9:40" x14ac:dyDescent="0.45">
      <c r="I89" t="s">
        <v>167</v>
      </c>
      <c r="J89" t="s">
        <v>231</v>
      </c>
      <c r="K89">
        <v>0.33947074972025343</v>
      </c>
      <c r="L89" t="s">
        <v>161</v>
      </c>
      <c r="N89" t="s">
        <v>187</v>
      </c>
      <c r="O89" t="s">
        <v>231</v>
      </c>
      <c r="P89">
        <v>5.540608613493761E-2</v>
      </c>
      <c r="Q89" t="s">
        <v>161</v>
      </c>
      <c r="S89" t="s">
        <v>207</v>
      </c>
      <c r="T89" t="s">
        <v>231</v>
      </c>
      <c r="U89">
        <v>7.7329660704891293E-2</v>
      </c>
      <c r="V89" t="s">
        <v>161</v>
      </c>
      <c r="AK89">
        <v>2041</v>
      </c>
      <c r="AL89" t="s">
        <v>222</v>
      </c>
      <c r="AM89">
        <v>0.15066666666666667</v>
      </c>
      <c r="AN89" t="s">
        <v>218</v>
      </c>
    </row>
    <row r="90" spans="9:40" x14ac:dyDescent="0.45">
      <c r="I90" t="s">
        <v>167</v>
      </c>
      <c r="J90" t="s">
        <v>232</v>
      </c>
      <c r="K90">
        <v>2.4150738012662095E-2</v>
      </c>
      <c r="L90" t="s">
        <v>161</v>
      </c>
      <c r="N90" t="s">
        <v>187</v>
      </c>
      <c r="O90" t="s">
        <v>232</v>
      </c>
      <c r="P90">
        <v>7.1167662929517775E-2</v>
      </c>
      <c r="Q90" t="s">
        <v>161</v>
      </c>
      <c r="S90" t="s">
        <v>207</v>
      </c>
      <c r="T90" t="s">
        <v>232</v>
      </c>
      <c r="U90">
        <v>7.8432096674225654E-2</v>
      </c>
      <c r="V90" t="s">
        <v>161</v>
      </c>
      <c r="AK90">
        <v>2041</v>
      </c>
      <c r="AL90" t="s">
        <v>224</v>
      </c>
      <c r="AM90">
        <v>0.22919999999999999</v>
      </c>
      <c r="AN90" t="s">
        <v>218</v>
      </c>
    </row>
    <row r="91" spans="9:40" x14ac:dyDescent="0.45">
      <c r="I91" t="s">
        <v>167</v>
      </c>
      <c r="J91" t="s">
        <v>233</v>
      </c>
      <c r="K91">
        <v>4.8775676099112958E-2</v>
      </c>
      <c r="L91" t="s">
        <v>161</v>
      </c>
      <c r="N91" t="s">
        <v>187</v>
      </c>
      <c r="O91" t="s">
        <v>233</v>
      </c>
      <c r="P91">
        <v>1.211980309359233E-2</v>
      </c>
      <c r="Q91" t="s">
        <v>161</v>
      </c>
      <c r="S91" t="s">
        <v>207</v>
      </c>
      <c r="T91" t="s">
        <v>233</v>
      </c>
      <c r="U91">
        <v>1.3851232796589969E-2</v>
      </c>
      <c r="V91" t="s">
        <v>161</v>
      </c>
      <c r="AK91">
        <v>2042</v>
      </c>
      <c r="AL91" t="s">
        <v>219</v>
      </c>
      <c r="AM91">
        <v>0.17419999999999999</v>
      </c>
      <c r="AN91" t="s">
        <v>218</v>
      </c>
    </row>
    <row r="92" spans="9:40" x14ac:dyDescent="0.45">
      <c r="I92" t="s">
        <v>167</v>
      </c>
      <c r="J92" t="s">
        <v>234</v>
      </c>
      <c r="K92">
        <v>6.1967918960960974E-2</v>
      </c>
      <c r="L92" t="s">
        <v>161</v>
      </c>
      <c r="N92" t="s">
        <v>187</v>
      </c>
      <c r="O92" t="s">
        <v>234</v>
      </c>
      <c r="P92">
        <v>0.15083286836738852</v>
      </c>
      <c r="Q92" t="s">
        <v>161</v>
      </c>
      <c r="S92" t="s">
        <v>207</v>
      </c>
      <c r="T92" t="s">
        <v>234</v>
      </c>
      <c r="U92">
        <v>0.14463082254994009</v>
      </c>
      <c r="V92" t="s">
        <v>161</v>
      </c>
      <c r="AK92">
        <v>2042</v>
      </c>
      <c r="AL92" t="s">
        <v>221</v>
      </c>
      <c r="AM92">
        <v>0.27343333333333336</v>
      </c>
      <c r="AN92" t="s">
        <v>218</v>
      </c>
    </row>
    <row r="93" spans="9:40" x14ac:dyDescent="0.45">
      <c r="I93" t="s">
        <v>167</v>
      </c>
      <c r="J93" t="s">
        <v>235</v>
      </c>
      <c r="K93">
        <v>0</v>
      </c>
      <c r="L93" t="s">
        <v>161</v>
      </c>
      <c r="N93" t="s">
        <v>187</v>
      </c>
      <c r="O93" t="s">
        <v>235</v>
      </c>
      <c r="P93">
        <v>0.16096125278145412</v>
      </c>
      <c r="Q93" t="s">
        <v>161</v>
      </c>
      <c r="S93" t="s">
        <v>207</v>
      </c>
      <c r="T93" t="s">
        <v>235</v>
      </c>
      <c r="U93">
        <v>0.1412662121093213</v>
      </c>
      <c r="V93" t="s">
        <v>161</v>
      </c>
      <c r="AK93">
        <v>2042</v>
      </c>
      <c r="AL93" t="s">
        <v>222</v>
      </c>
      <c r="AM93">
        <v>0.17646666666666666</v>
      </c>
      <c r="AN93" t="s">
        <v>218</v>
      </c>
    </row>
    <row r="94" spans="9:40" x14ac:dyDescent="0.45">
      <c r="I94" t="s">
        <v>167</v>
      </c>
      <c r="J94" t="s">
        <v>236</v>
      </c>
      <c r="K94">
        <v>1.1584471209004344E-3</v>
      </c>
      <c r="L94" t="s">
        <v>161</v>
      </c>
      <c r="N94" t="s">
        <v>187</v>
      </c>
      <c r="O94" t="s">
        <v>236</v>
      </c>
      <c r="P94">
        <v>2.8999434795341946E-2</v>
      </c>
      <c r="Q94" t="s">
        <v>161</v>
      </c>
      <c r="S94" t="s">
        <v>207</v>
      </c>
      <c r="T94" t="s">
        <v>236</v>
      </c>
      <c r="U94">
        <v>2.7751472157843508E-2</v>
      </c>
      <c r="V94" t="s">
        <v>161</v>
      </c>
      <c r="AK94">
        <v>2042</v>
      </c>
      <c r="AL94" t="s">
        <v>224</v>
      </c>
      <c r="AM94">
        <v>0.25779999999999997</v>
      </c>
      <c r="AN94" t="s">
        <v>218</v>
      </c>
    </row>
    <row r="95" spans="9:40" x14ac:dyDescent="0.45">
      <c r="I95" t="s">
        <v>168</v>
      </c>
      <c r="J95" t="s">
        <v>225</v>
      </c>
      <c r="K95">
        <v>0.14799362982673261</v>
      </c>
      <c r="L95" t="s">
        <v>161</v>
      </c>
      <c r="N95" t="s">
        <v>188</v>
      </c>
      <c r="O95" t="s">
        <v>225</v>
      </c>
      <c r="P95">
        <v>0.11464150902267597</v>
      </c>
      <c r="Q95" t="s">
        <v>161</v>
      </c>
      <c r="S95" t="s">
        <v>208</v>
      </c>
      <c r="T95" t="s">
        <v>225</v>
      </c>
      <c r="U95">
        <v>0.11679550885690326</v>
      </c>
      <c r="V95" t="s">
        <v>161</v>
      </c>
      <c r="AK95">
        <v>2043</v>
      </c>
      <c r="AL95" t="s">
        <v>219</v>
      </c>
      <c r="AM95">
        <v>0.1859666666666667</v>
      </c>
      <c r="AN95" t="s">
        <v>218</v>
      </c>
    </row>
    <row r="96" spans="9:40" x14ac:dyDescent="0.45">
      <c r="I96" t="s">
        <v>168</v>
      </c>
      <c r="J96" t="s">
        <v>226</v>
      </c>
      <c r="K96">
        <v>0</v>
      </c>
      <c r="L96" t="s">
        <v>161</v>
      </c>
      <c r="N96" t="s">
        <v>188</v>
      </c>
      <c r="O96" t="s">
        <v>226</v>
      </c>
      <c r="P96">
        <v>0.12886300796776501</v>
      </c>
      <c r="Q96" t="s">
        <v>161</v>
      </c>
      <c r="S96" t="s">
        <v>208</v>
      </c>
      <c r="T96" t="s">
        <v>226</v>
      </c>
      <c r="U96">
        <v>0.12232246636659101</v>
      </c>
      <c r="V96" t="s">
        <v>161</v>
      </c>
      <c r="AK96">
        <v>2043</v>
      </c>
      <c r="AL96" t="s">
        <v>221</v>
      </c>
      <c r="AM96">
        <v>0.28320000000000001</v>
      </c>
      <c r="AN96" t="s">
        <v>218</v>
      </c>
    </row>
    <row r="97" spans="9:40" x14ac:dyDescent="0.45">
      <c r="I97" t="s">
        <v>168</v>
      </c>
      <c r="J97" t="s">
        <v>227</v>
      </c>
      <c r="K97">
        <v>7.6980630824023235E-3</v>
      </c>
      <c r="L97" t="s">
        <v>161</v>
      </c>
      <c r="N97" t="s">
        <v>188</v>
      </c>
      <c r="O97" t="s">
        <v>227</v>
      </c>
      <c r="P97">
        <v>2.2909571201892846E-2</v>
      </c>
      <c r="Q97" t="s">
        <v>161</v>
      </c>
      <c r="S97" t="s">
        <v>208</v>
      </c>
      <c r="T97" t="s">
        <v>227</v>
      </c>
      <c r="U97">
        <v>2.2474141521346417E-2</v>
      </c>
      <c r="V97" t="s">
        <v>161</v>
      </c>
      <c r="AK97">
        <v>2043</v>
      </c>
      <c r="AL97" t="s">
        <v>222</v>
      </c>
      <c r="AM97">
        <v>0.17396666666666669</v>
      </c>
      <c r="AN97" t="s">
        <v>218</v>
      </c>
    </row>
    <row r="98" spans="9:40" x14ac:dyDescent="0.45">
      <c r="I98" t="s">
        <v>168</v>
      </c>
      <c r="J98" t="s">
        <v>228</v>
      </c>
      <c r="K98">
        <v>0.33254590633469266</v>
      </c>
      <c r="L98" t="s">
        <v>161</v>
      </c>
      <c r="N98" t="s">
        <v>188</v>
      </c>
      <c r="O98" t="s">
        <v>228</v>
      </c>
      <c r="P98">
        <v>0.10262542910225293</v>
      </c>
      <c r="Q98" t="s">
        <v>161</v>
      </c>
      <c r="S98" t="s">
        <v>208</v>
      </c>
      <c r="T98" t="s">
        <v>228</v>
      </c>
      <c r="U98">
        <v>0.11251904487028977</v>
      </c>
      <c r="V98" t="s">
        <v>161</v>
      </c>
      <c r="AK98">
        <v>2043</v>
      </c>
      <c r="AL98" t="s">
        <v>224</v>
      </c>
      <c r="AM98">
        <v>0.26629999999999998</v>
      </c>
      <c r="AN98" t="s">
        <v>218</v>
      </c>
    </row>
    <row r="99" spans="9:40" x14ac:dyDescent="0.45">
      <c r="I99" t="s">
        <v>168</v>
      </c>
      <c r="J99" t="s">
        <v>229</v>
      </c>
      <c r="K99">
        <v>7.4482394608312852E-3</v>
      </c>
      <c r="L99" t="s">
        <v>161</v>
      </c>
      <c r="N99" t="s">
        <v>188</v>
      </c>
      <c r="O99" t="s">
        <v>229</v>
      </c>
      <c r="P99">
        <v>0.12462143346266699</v>
      </c>
      <c r="Q99" t="s">
        <v>161</v>
      </c>
      <c r="S99" t="s">
        <v>208</v>
      </c>
      <c r="T99" t="s">
        <v>229</v>
      </c>
      <c r="U99">
        <v>0.12357619677336053</v>
      </c>
      <c r="V99" t="s">
        <v>161</v>
      </c>
      <c r="AK99">
        <v>2044</v>
      </c>
      <c r="AL99" t="s">
        <v>219</v>
      </c>
      <c r="AM99">
        <v>0.19473333333333334</v>
      </c>
      <c r="AN99" t="s">
        <v>218</v>
      </c>
    </row>
    <row r="100" spans="9:40" x14ac:dyDescent="0.45">
      <c r="I100" t="s">
        <v>168</v>
      </c>
      <c r="J100" t="s">
        <v>230</v>
      </c>
      <c r="K100">
        <v>3.3071592253489622E-2</v>
      </c>
      <c r="L100" t="s">
        <v>161</v>
      </c>
      <c r="N100" t="s">
        <v>188</v>
      </c>
      <c r="O100" t="s">
        <v>230</v>
      </c>
      <c r="P100">
        <v>1.9652028075263415E-2</v>
      </c>
      <c r="Q100" t="s">
        <v>161</v>
      </c>
      <c r="S100" t="s">
        <v>208</v>
      </c>
      <c r="T100" t="s">
        <v>230</v>
      </c>
      <c r="U100">
        <v>2.225062496267334E-2</v>
      </c>
      <c r="V100" t="s">
        <v>161</v>
      </c>
      <c r="AK100">
        <v>2044</v>
      </c>
      <c r="AL100" t="s">
        <v>221</v>
      </c>
      <c r="AM100">
        <v>0.28893333333333332</v>
      </c>
      <c r="AN100" t="s">
        <v>218</v>
      </c>
    </row>
    <row r="101" spans="9:40" x14ac:dyDescent="0.45">
      <c r="I101" t="s">
        <v>168</v>
      </c>
      <c r="J101" t="s">
        <v>231</v>
      </c>
      <c r="K101">
        <v>0.340145355066793</v>
      </c>
      <c r="L101" t="s">
        <v>161</v>
      </c>
      <c r="N101" t="s">
        <v>188</v>
      </c>
      <c r="O101" t="s">
        <v>231</v>
      </c>
      <c r="P101">
        <v>6.3403509677820019E-2</v>
      </c>
      <c r="Q101" t="s">
        <v>161</v>
      </c>
      <c r="S101" t="s">
        <v>208</v>
      </c>
      <c r="T101" t="s">
        <v>231</v>
      </c>
      <c r="U101">
        <v>7.9499402055545926E-2</v>
      </c>
      <c r="V101" t="s">
        <v>161</v>
      </c>
      <c r="AK101">
        <v>2044</v>
      </c>
      <c r="AL101" t="s">
        <v>222</v>
      </c>
      <c r="AM101">
        <v>0.17733333333333334</v>
      </c>
      <c r="AN101" t="s">
        <v>218</v>
      </c>
    </row>
    <row r="102" spans="9:40" x14ac:dyDescent="0.45">
      <c r="I102" t="s">
        <v>168</v>
      </c>
      <c r="J102" t="s">
        <v>232</v>
      </c>
      <c r="K102">
        <v>2.1693016944948924E-2</v>
      </c>
      <c r="L102" t="s">
        <v>161</v>
      </c>
      <c r="N102" t="s">
        <v>188</v>
      </c>
      <c r="O102" t="s">
        <v>232</v>
      </c>
      <c r="P102">
        <v>6.96878496091934E-2</v>
      </c>
      <c r="Q102" t="s">
        <v>161</v>
      </c>
      <c r="S102" t="s">
        <v>208</v>
      </c>
      <c r="T102" t="s">
        <v>232</v>
      </c>
      <c r="U102">
        <v>8.9602894272889963E-2</v>
      </c>
      <c r="V102" t="s">
        <v>161</v>
      </c>
      <c r="AK102">
        <v>2044</v>
      </c>
      <c r="AL102" t="s">
        <v>224</v>
      </c>
      <c r="AM102">
        <v>0.26203333333333328</v>
      </c>
      <c r="AN102" t="s">
        <v>218</v>
      </c>
    </row>
    <row r="103" spans="9:40" x14ac:dyDescent="0.45">
      <c r="I103" t="s">
        <v>168</v>
      </c>
      <c r="J103" t="s">
        <v>233</v>
      </c>
      <c r="K103">
        <v>4.3196721735601941E-2</v>
      </c>
      <c r="L103" t="s">
        <v>161</v>
      </c>
      <c r="N103" t="s">
        <v>188</v>
      </c>
      <c r="O103" t="s">
        <v>233</v>
      </c>
      <c r="P103">
        <v>1.2809650150455352E-2</v>
      </c>
      <c r="Q103" t="s">
        <v>161</v>
      </c>
      <c r="S103" t="s">
        <v>208</v>
      </c>
      <c r="T103" t="s">
        <v>233</v>
      </c>
      <c r="U103">
        <v>1.6354871135072134E-2</v>
      </c>
      <c r="V103" t="s">
        <v>161</v>
      </c>
      <c r="AK103">
        <v>2045</v>
      </c>
      <c r="AL103" t="s">
        <v>219</v>
      </c>
      <c r="AM103">
        <v>0.13870000000000002</v>
      </c>
      <c r="AN103" t="s">
        <v>218</v>
      </c>
    </row>
    <row r="104" spans="9:40" x14ac:dyDescent="0.45">
      <c r="I104" t="s">
        <v>168</v>
      </c>
      <c r="J104" t="s">
        <v>234</v>
      </c>
      <c r="K104">
        <v>6.5372083222867014E-2</v>
      </c>
      <c r="L104" t="s">
        <v>161</v>
      </c>
      <c r="N104" t="s">
        <v>188</v>
      </c>
      <c r="O104" t="s">
        <v>234</v>
      </c>
      <c r="P104">
        <v>0.14885337491726194</v>
      </c>
      <c r="Q104" t="s">
        <v>161</v>
      </c>
      <c r="S104" t="s">
        <v>208</v>
      </c>
      <c r="T104" t="s">
        <v>234</v>
      </c>
      <c r="U104">
        <v>0.13445805852412235</v>
      </c>
      <c r="V104" t="s">
        <v>161</v>
      </c>
      <c r="AK104">
        <v>2045</v>
      </c>
      <c r="AL104" t="s">
        <v>221</v>
      </c>
      <c r="AM104">
        <v>0.20860000000000001</v>
      </c>
      <c r="AN104" t="s">
        <v>218</v>
      </c>
    </row>
    <row r="105" spans="9:40" x14ac:dyDescent="0.45">
      <c r="I105" t="s">
        <v>168</v>
      </c>
      <c r="J105" t="s">
        <v>235</v>
      </c>
      <c r="K105">
        <v>0</v>
      </c>
      <c r="L105" t="s">
        <v>161</v>
      </c>
      <c r="N105" t="s">
        <v>188</v>
      </c>
      <c r="O105" t="s">
        <v>235</v>
      </c>
      <c r="P105">
        <v>0.16277486001948011</v>
      </c>
      <c r="Q105" t="s">
        <v>161</v>
      </c>
      <c r="S105" t="s">
        <v>208</v>
      </c>
      <c r="T105" t="s">
        <v>235</v>
      </c>
      <c r="U105">
        <v>0.13391522503190095</v>
      </c>
      <c r="V105" t="s">
        <v>161</v>
      </c>
      <c r="AK105">
        <v>2045</v>
      </c>
      <c r="AL105" t="s">
        <v>222</v>
      </c>
      <c r="AM105">
        <v>0.12883333333333336</v>
      </c>
      <c r="AN105" t="s">
        <v>218</v>
      </c>
    </row>
    <row r="106" spans="9:40" x14ac:dyDescent="0.45">
      <c r="I106" t="s">
        <v>168</v>
      </c>
      <c r="J106" t="s">
        <v>236</v>
      </c>
      <c r="K106">
        <v>8.3539207164397711E-4</v>
      </c>
      <c r="L106" t="s">
        <v>161</v>
      </c>
      <c r="N106" t="s">
        <v>188</v>
      </c>
      <c r="O106" t="s">
        <v>236</v>
      </c>
      <c r="P106">
        <v>2.9157776793270942E-2</v>
      </c>
      <c r="Q106" t="s">
        <v>161</v>
      </c>
      <c r="S106" t="s">
        <v>208</v>
      </c>
      <c r="T106" t="s">
        <v>236</v>
      </c>
      <c r="U106">
        <v>2.6231565629303948E-2</v>
      </c>
      <c r="V106" t="s">
        <v>161</v>
      </c>
      <c r="AK106">
        <v>2045</v>
      </c>
      <c r="AL106" t="s">
        <v>224</v>
      </c>
      <c r="AM106">
        <v>0.19556666666666667</v>
      </c>
      <c r="AN106" t="s">
        <v>218</v>
      </c>
    </row>
    <row r="107" spans="9:40" x14ac:dyDescent="0.45">
      <c r="I107" t="s">
        <v>169</v>
      </c>
      <c r="J107" t="s">
        <v>225</v>
      </c>
      <c r="K107">
        <v>0.14748501693093147</v>
      </c>
      <c r="L107" t="s">
        <v>161</v>
      </c>
      <c r="N107" t="s">
        <v>189</v>
      </c>
      <c r="O107" t="s">
        <v>225</v>
      </c>
      <c r="P107">
        <v>0.11627367511283603</v>
      </c>
      <c r="Q107" t="s">
        <v>161</v>
      </c>
      <c r="S107" t="s">
        <v>209</v>
      </c>
      <c r="T107" t="s">
        <v>225</v>
      </c>
      <c r="U107">
        <v>0.11802845237758354</v>
      </c>
      <c r="V107" t="s">
        <v>161</v>
      </c>
      <c r="AK107">
        <v>2046</v>
      </c>
      <c r="AL107" t="s">
        <v>219</v>
      </c>
      <c r="AM107">
        <v>0.13133333333333333</v>
      </c>
      <c r="AN107" t="s">
        <v>218</v>
      </c>
    </row>
    <row r="108" spans="9:40" x14ac:dyDescent="0.45">
      <c r="I108" t="s">
        <v>169</v>
      </c>
      <c r="J108" t="s">
        <v>226</v>
      </c>
      <c r="K108">
        <v>0</v>
      </c>
      <c r="L108" t="s">
        <v>161</v>
      </c>
      <c r="N108" t="s">
        <v>189</v>
      </c>
      <c r="O108" t="s">
        <v>226</v>
      </c>
      <c r="P108">
        <v>0.12791680203017181</v>
      </c>
      <c r="Q108" t="s">
        <v>161</v>
      </c>
      <c r="S108" t="s">
        <v>209</v>
      </c>
      <c r="T108" t="s">
        <v>226</v>
      </c>
      <c r="U108">
        <v>0.12127021302951878</v>
      </c>
      <c r="V108" t="s">
        <v>161</v>
      </c>
      <c r="AK108">
        <v>2046</v>
      </c>
      <c r="AL108" t="s">
        <v>221</v>
      </c>
      <c r="AM108">
        <v>0.2114</v>
      </c>
      <c r="AN108" t="s">
        <v>218</v>
      </c>
    </row>
    <row r="109" spans="9:40" x14ac:dyDescent="0.45">
      <c r="I109" t="s">
        <v>169</v>
      </c>
      <c r="J109" t="s">
        <v>227</v>
      </c>
      <c r="K109">
        <v>5.8880549249184927E-3</v>
      </c>
      <c r="L109" t="s">
        <v>161</v>
      </c>
      <c r="N109" t="s">
        <v>189</v>
      </c>
      <c r="O109" t="s">
        <v>227</v>
      </c>
      <c r="P109">
        <v>2.3269566100731425E-2</v>
      </c>
      <c r="Q109" t="s">
        <v>161</v>
      </c>
      <c r="S109" t="s">
        <v>209</v>
      </c>
      <c r="T109" t="s">
        <v>227</v>
      </c>
      <c r="U109">
        <v>2.1679517855310779E-2</v>
      </c>
      <c r="V109" t="s">
        <v>161</v>
      </c>
      <c r="AK109">
        <v>2046</v>
      </c>
      <c r="AL109" t="s">
        <v>222</v>
      </c>
      <c r="AM109">
        <v>0.13186666666666666</v>
      </c>
      <c r="AN109" t="s">
        <v>218</v>
      </c>
    </row>
    <row r="110" spans="9:40" x14ac:dyDescent="0.45">
      <c r="I110" t="s">
        <v>169</v>
      </c>
      <c r="J110" t="s">
        <v>228</v>
      </c>
      <c r="K110">
        <v>0.31811672886050413</v>
      </c>
      <c r="L110" t="s">
        <v>161</v>
      </c>
      <c r="N110" t="s">
        <v>189</v>
      </c>
      <c r="O110" t="s">
        <v>228</v>
      </c>
      <c r="P110">
        <v>0.10308318477548947</v>
      </c>
      <c r="Q110" t="s">
        <v>161</v>
      </c>
      <c r="S110" t="s">
        <v>209</v>
      </c>
      <c r="T110" t="s">
        <v>228</v>
      </c>
      <c r="U110">
        <v>0.11667349465944182</v>
      </c>
      <c r="V110" t="s">
        <v>161</v>
      </c>
      <c r="AK110">
        <v>2046</v>
      </c>
      <c r="AL110" t="s">
        <v>224</v>
      </c>
      <c r="AM110">
        <v>0.19033333333333335</v>
      </c>
      <c r="AN110" t="s">
        <v>218</v>
      </c>
    </row>
    <row r="111" spans="9:40" x14ac:dyDescent="0.45">
      <c r="I111" t="s">
        <v>169</v>
      </c>
      <c r="J111" t="s">
        <v>229</v>
      </c>
      <c r="K111">
        <v>7.0770283696126252E-3</v>
      </c>
      <c r="L111" t="s">
        <v>161</v>
      </c>
      <c r="N111" t="s">
        <v>189</v>
      </c>
      <c r="O111" t="s">
        <v>229</v>
      </c>
      <c r="P111">
        <v>0.12557799310966328</v>
      </c>
      <c r="Q111" t="s">
        <v>161</v>
      </c>
      <c r="S111" t="s">
        <v>209</v>
      </c>
      <c r="T111" t="s">
        <v>229</v>
      </c>
      <c r="U111">
        <v>0.12707753502872207</v>
      </c>
      <c r="V111" t="s">
        <v>161</v>
      </c>
      <c r="AK111">
        <v>2047</v>
      </c>
      <c r="AL111" t="s">
        <v>219</v>
      </c>
      <c r="AM111">
        <v>0.16766666666666666</v>
      </c>
      <c r="AN111" t="s">
        <v>218</v>
      </c>
    </row>
    <row r="112" spans="9:40" x14ac:dyDescent="0.45">
      <c r="I112" t="s">
        <v>169</v>
      </c>
      <c r="J112" t="s">
        <v>230</v>
      </c>
      <c r="K112">
        <v>2.6211526858006123E-2</v>
      </c>
      <c r="L112" t="s">
        <v>161</v>
      </c>
      <c r="N112" t="s">
        <v>189</v>
      </c>
      <c r="O112" t="s">
        <v>230</v>
      </c>
      <c r="P112">
        <v>1.9724070334498123E-2</v>
      </c>
      <c r="Q112" t="s">
        <v>161</v>
      </c>
      <c r="S112" t="s">
        <v>209</v>
      </c>
      <c r="T112" t="s">
        <v>230</v>
      </c>
      <c r="U112">
        <v>2.2365865291345391E-2</v>
      </c>
      <c r="V112" t="s">
        <v>161</v>
      </c>
      <c r="AK112">
        <v>2047</v>
      </c>
      <c r="AL112" t="s">
        <v>221</v>
      </c>
      <c r="AM112">
        <v>0.25869999999999999</v>
      </c>
      <c r="AN112" t="s">
        <v>218</v>
      </c>
    </row>
    <row r="113" spans="9:40" x14ac:dyDescent="0.45">
      <c r="I113" t="s">
        <v>169</v>
      </c>
      <c r="J113" t="s">
        <v>231</v>
      </c>
      <c r="K113">
        <v>0.35646364253379442</v>
      </c>
      <c r="L113" t="s">
        <v>161</v>
      </c>
      <c r="N113" t="s">
        <v>189</v>
      </c>
      <c r="O113" t="s">
        <v>231</v>
      </c>
      <c r="P113">
        <v>6.7749864522577877E-2</v>
      </c>
      <c r="Q113" t="s">
        <v>161</v>
      </c>
      <c r="S113" t="s">
        <v>209</v>
      </c>
      <c r="T113" t="s">
        <v>231</v>
      </c>
      <c r="U113">
        <v>7.8245810754795489E-2</v>
      </c>
      <c r="V113" t="s">
        <v>161</v>
      </c>
      <c r="AK113">
        <v>2047</v>
      </c>
      <c r="AL113" t="s">
        <v>222</v>
      </c>
      <c r="AM113">
        <v>0.1474</v>
      </c>
      <c r="AN113" t="s">
        <v>218</v>
      </c>
    </row>
    <row r="114" spans="9:40" x14ac:dyDescent="0.45">
      <c r="I114" t="s">
        <v>169</v>
      </c>
      <c r="J114" t="s">
        <v>232</v>
      </c>
      <c r="K114">
        <v>2.0552655019045161E-2</v>
      </c>
      <c r="L114" t="s">
        <v>161</v>
      </c>
      <c r="N114" t="s">
        <v>189</v>
      </c>
      <c r="O114" t="s">
        <v>232</v>
      </c>
      <c r="P114">
        <v>7.3156489168983818E-2</v>
      </c>
      <c r="Q114" t="s">
        <v>161</v>
      </c>
      <c r="S114" t="s">
        <v>209</v>
      </c>
      <c r="T114" t="s">
        <v>232</v>
      </c>
      <c r="U114">
        <v>8.523372567169428E-2</v>
      </c>
      <c r="V114" t="s">
        <v>161</v>
      </c>
      <c r="AK114">
        <v>2047</v>
      </c>
      <c r="AL114" t="s">
        <v>224</v>
      </c>
      <c r="AM114">
        <v>0.2268</v>
      </c>
      <c r="AN114" t="s">
        <v>218</v>
      </c>
    </row>
    <row r="115" spans="9:40" x14ac:dyDescent="0.45">
      <c r="I115" t="s">
        <v>169</v>
      </c>
      <c r="J115" t="s">
        <v>233</v>
      </c>
      <c r="K115">
        <v>3.908130966457083E-2</v>
      </c>
      <c r="L115" t="s">
        <v>161</v>
      </c>
      <c r="N115" t="s">
        <v>189</v>
      </c>
      <c r="O115" t="s">
        <v>233</v>
      </c>
      <c r="P115">
        <v>1.3626137262716716E-2</v>
      </c>
      <c r="Q115" t="s">
        <v>161</v>
      </c>
      <c r="S115" t="s">
        <v>209</v>
      </c>
      <c r="T115" t="s">
        <v>233</v>
      </c>
      <c r="U115">
        <v>1.4904080547515762E-2</v>
      </c>
      <c r="V115" t="s">
        <v>161</v>
      </c>
      <c r="AK115">
        <v>2048</v>
      </c>
      <c r="AL115" t="s">
        <v>219</v>
      </c>
      <c r="AM115">
        <v>0.161</v>
      </c>
      <c r="AN115" t="s">
        <v>218</v>
      </c>
    </row>
    <row r="116" spans="9:40" x14ac:dyDescent="0.45">
      <c r="I116" t="s">
        <v>169</v>
      </c>
      <c r="J116" t="s">
        <v>234</v>
      </c>
      <c r="K116">
        <v>7.8463100102346167E-2</v>
      </c>
      <c r="L116" t="s">
        <v>161</v>
      </c>
      <c r="N116" t="s">
        <v>189</v>
      </c>
      <c r="O116" t="s">
        <v>234</v>
      </c>
      <c r="P116">
        <v>0.14718469225919933</v>
      </c>
      <c r="Q116" t="s">
        <v>161</v>
      </c>
      <c r="S116" t="s">
        <v>209</v>
      </c>
      <c r="T116" t="s">
        <v>234</v>
      </c>
      <c r="U116">
        <v>0.13545598643270512</v>
      </c>
      <c r="V116" t="s">
        <v>161</v>
      </c>
      <c r="AK116">
        <v>2048</v>
      </c>
      <c r="AL116" t="s">
        <v>221</v>
      </c>
      <c r="AM116">
        <v>0.25863333333333333</v>
      </c>
      <c r="AN116" t="s">
        <v>218</v>
      </c>
    </row>
    <row r="117" spans="9:40" x14ac:dyDescent="0.45">
      <c r="I117" t="s">
        <v>169</v>
      </c>
      <c r="J117" t="s">
        <v>235</v>
      </c>
      <c r="K117">
        <v>0</v>
      </c>
      <c r="L117" t="s">
        <v>161</v>
      </c>
      <c r="N117" t="s">
        <v>189</v>
      </c>
      <c r="O117" t="s">
        <v>235</v>
      </c>
      <c r="P117">
        <v>0.15414669934034034</v>
      </c>
      <c r="Q117" t="s">
        <v>161</v>
      </c>
      <c r="S117" t="s">
        <v>209</v>
      </c>
      <c r="T117" t="s">
        <v>235</v>
      </c>
      <c r="U117">
        <v>0.13314922664462783</v>
      </c>
      <c r="V117" t="s">
        <v>161</v>
      </c>
      <c r="AK117">
        <v>2048</v>
      </c>
      <c r="AL117" t="s">
        <v>222</v>
      </c>
      <c r="AM117">
        <v>0.15126666666666666</v>
      </c>
      <c r="AN117" t="s">
        <v>218</v>
      </c>
    </row>
    <row r="118" spans="9:40" x14ac:dyDescent="0.45">
      <c r="I118" t="s">
        <v>169</v>
      </c>
      <c r="J118" t="s">
        <v>236</v>
      </c>
      <c r="K118">
        <v>6.6093673627064676E-4</v>
      </c>
      <c r="L118" t="s">
        <v>161</v>
      </c>
      <c r="N118" t="s">
        <v>189</v>
      </c>
      <c r="O118" t="s">
        <v>236</v>
      </c>
      <c r="P118">
        <v>2.8290825982792867E-2</v>
      </c>
      <c r="Q118" t="s">
        <v>161</v>
      </c>
      <c r="S118" t="s">
        <v>209</v>
      </c>
      <c r="T118" t="s">
        <v>236</v>
      </c>
      <c r="U118">
        <v>2.5916091706739416E-2</v>
      </c>
      <c r="V118" t="s">
        <v>161</v>
      </c>
      <c r="AK118">
        <v>2048</v>
      </c>
      <c r="AL118" t="s">
        <v>224</v>
      </c>
      <c r="AM118">
        <v>0.22896666666666665</v>
      </c>
      <c r="AN118" t="s">
        <v>218</v>
      </c>
    </row>
    <row r="119" spans="9:40" x14ac:dyDescent="0.45">
      <c r="I119" t="s">
        <v>170</v>
      </c>
      <c r="J119" t="s">
        <v>225</v>
      </c>
      <c r="K119">
        <v>0.1311223068574501</v>
      </c>
      <c r="L119" t="s">
        <v>161</v>
      </c>
      <c r="N119" t="s">
        <v>190</v>
      </c>
      <c r="O119" t="s">
        <v>225</v>
      </c>
      <c r="P119">
        <v>0.12386705326102258</v>
      </c>
      <c r="Q119" t="s">
        <v>161</v>
      </c>
      <c r="S119" t="s">
        <v>210</v>
      </c>
      <c r="T119" t="s">
        <v>225</v>
      </c>
      <c r="U119">
        <v>0.11997954193614779</v>
      </c>
      <c r="V119" t="s">
        <v>161</v>
      </c>
      <c r="AK119">
        <v>2049</v>
      </c>
      <c r="AL119" t="s">
        <v>219</v>
      </c>
      <c r="AM119">
        <v>0.1527</v>
      </c>
      <c r="AN119" t="s">
        <v>218</v>
      </c>
    </row>
    <row r="120" spans="9:40" x14ac:dyDescent="0.45">
      <c r="I120" t="s">
        <v>170</v>
      </c>
      <c r="J120" t="s">
        <v>226</v>
      </c>
      <c r="K120">
        <v>0</v>
      </c>
      <c r="L120" t="s">
        <v>161</v>
      </c>
      <c r="N120" t="s">
        <v>190</v>
      </c>
      <c r="O120" t="s">
        <v>226</v>
      </c>
      <c r="P120">
        <v>0.13113718909657668</v>
      </c>
      <c r="Q120" t="s">
        <v>161</v>
      </c>
      <c r="S120" t="s">
        <v>210</v>
      </c>
      <c r="T120" t="s">
        <v>226</v>
      </c>
      <c r="U120">
        <v>0.12601201376789581</v>
      </c>
      <c r="V120" t="s">
        <v>161</v>
      </c>
      <c r="AK120">
        <v>2049</v>
      </c>
      <c r="AL120" t="s">
        <v>221</v>
      </c>
      <c r="AM120">
        <v>0.23553333333333334</v>
      </c>
      <c r="AN120" t="s">
        <v>218</v>
      </c>
    </row>
    <row r="121" spans="9:40" x14ac:dyDescent="0.45">
      <c r="I121" t="s">
        <v>170</v>
      </c>
      <c r="J121" t="s">
        <v>227</v>
      </c>
      <c r="K121">
        <v>5.8666465767972286E-3</v>
      </c>
      <c r="L121" t="s">
        <v>161</v>
      </c>
      <c r="N121" t="s">
        <v>190</v>
      </c>
      <c r="O121" t="s">
        <v>227</v>
      </c>
      <c r="P121">
        <v>2.370381604889743E-2</v>
      </c>
      <c r="Q121" t="s">
        <v>161</v>
      </c>
      <c r="S121" t="s">
        <v>210</v>
      </c>
      <c r="T121" t="s">
        <v>227</v>
      </c>
      <c r="U121">
        <v>2.2641199912306474E-2</v>
      </c>
      <c r="V121" t="s">
        <v>161</v>
      </c>
      <c r="AK121">
        <v>2049</v>
      </c>
      <c r="AL121" t="s">
        <v>222</v>
      </c>
      <c r="AM121">
        <v>0.15030000000000002</v>
      </c>
      <c r="AN121" t="s">
        <v>218</v>
      </c>
    </row>
    <row r="122" spans="9:40" x14ac:dyDescent="0.45">
      <c r="I122" t="s">
        <v>170</v>
      </c>
      <c r="J122" t="s">
        <v>228</v>
      </c>
      <c r="K122">
        <v>0.34278547830733974</v>
      </c>
      <c r="L122" t="s">
        <v>161</v>
      </c>
      <c r="N122" t="s">
        <v>190</v>
      </c>
      <c r="O122" t="s">
        <v>228</v>
      </c>
      <c r="P122">
        <v>0.10420238064621594</v>
      </c>
      <c r="Q122" t="s">
        <v>161</v>
      </c>
      <c r="S122" t="s">
        <v>210</v>
      </c>
      <c r="T122" t="s">
        <v>228</v>
      </c>
      <c r="U122">
        <v>0.11049988921113765</v>
      </c>
      <c r="V122" t="s">
        <v>161</v>
      </c>
      <c r="AK122">
        <v>2049</v>
      </c>
      <c r="AL122" t="s">
        <v>224</v>
      </c>
      <c r="AM122">
        <v>0.22430000000000003</v>
      </c>
      <c r="AN122" t="s">
        <v>218</v>
      </c>
    </row>
    <row r="123" spans="9:40" x14ac:dyDescent="0.45">
      <c r="I123" t="s">
        <v>170</v>
      </c>
      <c r="J123" t="s">
        <v>229</v>
      </c>
      <c r="K123">
        <v>8.0297647099174911E-3</v>
      </c>
      <c r="L123" t="s">
        <v>161</v>
      </c>
      <c r="N123" t="s">
        <v>190</v>
      </c>
      <c r="O123" t="s">
        <v>229</v>
      </c>
      <c r="P123">
        <v>0.12081579090460436</v>
      </c>
      <c r="Q123" t="s">
        <v>161</v>
      </c>
      <c r="S123" t="s">
        <v>210</v>
      </c>
      <c r="T123" t="s">
        <v>229</v>
      </c>
      <c r="U123">
        <v>0.12009541050423642</v>
      </c>
      <c r="V123" t="s">
        <v>161</v>
      </c>
      <c r="AK123">
        <v>2050</v>
      </c>
      <c r="AL123" t="s">
        <v>219</v>
      </c>
      <c r="AM123">
        <v>0.16236666666666666</v>
      </c>
      <c r="AN123" t="s">
        <v>218</v>
      </c>
    </row>
    <row r="124" spans="9:40" x14ac:dyDescent="0.45">
      <c r="I124" t="s">
        <v>170</v>
      </c>
      <c r="J124" t="s">
        <v>230</v>
      </c>
      <c r="K124">
        <v>2.902625441785096E-2</v>
      </c>
      <c r="L124" t="s">
        <v>161</v>
      </c>
      <c r="N124" t="s">
        <v>190</v>
      </c>
      <c r="O124" t="s">
        <v>230</v>
      </c>
      <c r="P124">
        <v>1.9444909445133808E-2</v>
      </c>
      <c r="Q124" t="s">
        <v>161</v>
      </c>
      <c r="S124" t="s">
        <v>210</v>
      </c>
      <c r="T124" t="s">
        <v>230</v>
      </c>
      <c r="U124">
        <v>2.1156203503485033E-2</v>
      </c>
      <c r="V124" t="s">
        <v>161</v>
      </c>
      <c r="AK124">
        <v>2050</v>
      </c>
      <c r="AL124" t="s">
        <v>221</v>
      </c>
      <c r="AM124">
        <v>0.24580000000000002</v>
      </c>
      <c r="AN124" t="s">
        <v>218</v>
      </c>
    </row>
    <row r="125" spans="9:40" x14ac:dyDescent="0.45">
      <c r="I125" t="s">
        <v>170</v>
      </c>
      <c r="J125" t="s">
        <v>231</v>
      </c>
      <c r="K125">
        <v>0.35114163866472548</v>
      </c>
      <c r="L125" t="s">
        <v>161</v>
      </c>
      <c r="N125" t="s">
        <v>190</v>
      </c>
      <c r="O125" t="s">
        <v>231</v>
      </c>
      <c r="P125">
        <v>7.6946812548772239E-2</v>
      </c>
      <c r="Q125" t="s">
        <v>161</v>
      </c>
      <c r="S125" t="s">
        <v>210</v>
      </c>
      <c r="T125" t="s">
        <v>231</v>
      </c>
      <c r="U125">
        <v>7.8636587386576015E-2</v>
      </c>
      <c r="V125" t="s">
        <v>161</v>
      </c>
      <c r="AK125">
        <v>2050</v>
      </c>
      <c r="AL125" t="s">
        <v>222</v>
      </c>
      <c r="AM125">
        <v>0.13863333333333336</v>
      </c>
      <c r="AN125" t="s">
        <v>218</v>
      </c>
    </row>
    <row r="126" spans="9:40" x14ac:dyDescent="0.45">
      <c r="I126" t="s">
        <v>170</v>
      </c>
      <c r="J126" t="s">
        <v>232</v>
      </c>
      <c r="K126">
        <v>2.278561642819929E-2</v>
      </c>
      <c r="L126" t="s">
        <v>161</v>
      </c>
      <c r="N126" t="s">
        <v>190</v>
      </c>
      <c r="O126" t="s">
        <v>232</v>
      </c>
      <c r="P126">
        <v>7.6411164283494648E-2</v>
      </c>
      <c r="Q126" t="s">
        <v>161</v>
      </c>
      <c r="S126" t="s">
        <v>210</v>
      </c>
      <c r="T126" t="s">
        <v>232</v>
      </c>
      <c r="U126">
        <v>8.2669025166627913E-2</v>
      </c>
      <c r="V126" t="s">
        <v>161</v>
      </c>
      <c r="AK126">
        <v>2050</v>
      </c>
      <c r="AL126" t="s">
        <v>224</v>
      </c>
      <c r="AM126">
        <v>0.22689999999999999</v>
      </c>
      <c r="AN126" t="s">
        <v>218</v>
      </c>
    </row>
    <row r="127" spans="9:40" x14ac:dyDescent="0.45">
      <c r="I127" t="s">
        <v>170</v>
      </c>
      <c r="J127" t="s">
        <v>233</v>
      </c>
      <c r="K127">
        <v>4.1316832892103424E-2</v>
      </c>
      <c r="L127" t="s">
        <v>161</v>
      </c>
      <c r="N127" t="s">
        <v>190</v>
      </c>
      <c r="O127" t="s">
        <v>233</v>
      </c>
      <c r="P127">
        <v>1.3810030158933617E-2</v>
      </c>
      <c r="Q127" t="s">
        <v>161</v>
      </c>
      <c r="S127" t="s">
        <v>210</v>
      </c>
      <c r="T127" t="s">
        <v>233</v>
      </c>
      <c r="U127">
        <v>1.463064399010533E-2</v>
      </c>
      <c r="V127" t="s">
        <v>161</v>
      </c>
    </row>
    <row r="128" spans="9:40" x14ac:dyDescent="0.45">
      <c r="I128" t="s">
        <v>170</v>
      </c>
      <c r="J128" t="s">
        <v>234</v>
      </c>
      <c r="K128">
        <v>6.7280370640921044E-2</v>
      </c>
      <c r="L128" t="s">
        <v>161</v>
      </c>
      <c r="N128" t="s">
        <v>190</v>
      </c>
      <c r="O128" t="s">
        <v>234</v>
      </c>
      <c r="P128">
        <v>0.1415238913396476</v>
      </c>
      <c r="Q128" t="s">
        <v>161</v>
      </c>
      <c r="S128" t="s">
        <v>210</v>
      </c>
      <c r="T128" t="s">
        <v>234</v>
      </c>
      <c r="U128">
        <v>0.14000318469266435</v>
      </c>
      <c r="V128" t="s">
        <v>161</v>
      </c>
    </row>
    <row r="129" spans="9:22" x14ac:dyDescent="0.45">
      <c r="I129" t="s">
        <v>170</v>
      </c>
      <c r="J129" t="s">
        <v>235</v>
      </c>
      <c r="K129">
        <v>0</v>
      </c>
      <c r="L129" t="s">
        <v>161</v>
      </c>
      <c r="N129" t="s">
        <v>190</v>
      </c>
      <c r="O129" t="s">
        <v>235</v>
      </c>
      <c r="P129">
        <v>0.14098339593626552</v>
      </c>
      <c r="Q129" t="s">
        <v>161</v>
      </c>
      <c r="S129" t="s">
        <v>210</v>
      </c>
      <c r="T129" t="s">
        <v>235</v>
      </c>
      <c r="U129">
        <v>0.13677922862293782</v>
      </c>
      <c r="V129" t="s">
        <v>161</v>
      </c>
    </row>
    <row r="130" spans="9:22" x14ac:dyDescent="0.45">
      <c r="I130" t="s">
        <v>170</v>
      </c>
      <c r="J130" t="s">
        <v>236</v>
      </c>
      <c r="K130">
        <v>6.450905046951229E-4</v>
      </c>
      <c r="L130" t="s">
        <v>161</v>
      </c>
      <c r="N130" t="s">
        <v>190</v>
      </c>
      <c r="O130" t="s">
        <v>236</v>
      </c>
      <c r="P130">
        <v>2.7153566330434652E-2</v>
      </c>
      <c r="Q130" t="s">
        <v>161</v>
      </c>
      <c r="S130" t="s">
        <v>210</v>
      </c>
      <c r="T130" t="s">
        <v>236</v>
      </c>
      <c r="U130">
        <v>2.6897071305879813E-2</v>
      </c>
      <c r="V130" t="s">
        <v>161</v>
      </c>
    </row>
    <row r="131" spans="9:22" x14ac:dyDescent="0.45">
      <c r="I131" t="s">
        <v>171</v>
      </c>
      <c r="J131" t="s">
        <v>225</v>
      </c>
      <c r="K131">
        <v>0.13741478842014485</v>
      </c>
      <c r="L131" t="s">
        <v>161</v>
      </c>
      <c r="N131" t="s">
        <v>191</v>
      </c>
      <c r="O131" t="s">
        <v>225</v>
      </c>
      <c r="P131">
        <v>0.13162280098779486</v>
      </c>
      <c r="Q131" t="s">
        <v>161</v>
      </c>
    </row>
    <row r="132" spans="9:22" x14ac:dyDescent="0.45">
      <c r="I132" t="s">
        <v>171</v>
      </c>
      <c r="J132" t="s">
        <v>226</v>
      </c>
      <c r="K132">
        <v>0</v>
      </c>
      <c r="L132" t="s">
        <v>161</v>
      </c>
      <c r="N132" t="s">
        <v>191</v>
      </c>
      <c r="O132" t="s">
        <v>226</v>
      </c>
      <c r="P132">
        <v>0.13866171026688773</v>
      </c>
      <c r="Q132" t="s">
        <v>161</v>
      </c>
    </row>
    <row r="133" spans="9:22" x14ac:dyDescent="0.45">
      <c r="I133" t="s">
        <v>171</v>
      </c>
      <c r="J133" t="s">
        <v>227</v>
      </c>
      <c r="K133">
        <v>5.9133799292727636E-3</v>
      </c>
      <c r="L133" t="s">
        <v>161</v>
      </c>
      <c r="N133" t="s">
        <v>191</v>
      </c>
      <c r="O133" t="s">
        <v>227</v>
      </c>
      <c r="P133">
        <v>2.3157491443153901E-2</v>
      </c>
      <c r="Q133" t="s">
        <v>161</v>
      </c>
    </row>
    <row r="134" spans="9:22" x14ac:dyDescent="0.45">
      <c r="I134" t="s">
        <v>171</v>
      </c>
      <c r="J134" t="s">
        <v>228</v>
      </c>
      <c r="K134">
        <v>0.33261502904320966</v>
      </c>
      <c r="L134" t="s">
        <v>161</v>
      </c>
      <c r="N134" t="s">
        <v>191</v>
      </c>
      <c r="O134" t="s">
        <v>228</v>
      </c>
      <c r="P134">
        <v>9.4793498858029693E-2</v>
      </c>
      <c r="Q134" t="s">
        <v>161</v>
      </c>
    </row>
    <row r="135" spans="9:22" x14ac:dyDescent="0.45">
      <c r="I135" t="s">
        <v>171</v>
      </c>
      <c r="J135" t="s">
        <v>229</v>
      </c>
      <c r="K135">
        <v>7.4557144868656602E-3</v>
      </c>
      <c r="L135" t="s">
        <v>161</v>
      </c>
      <c r="N135" t="s">
        <v>191</v>
      </c>
      <c r="O135" t="s">
        <v>229</v>
      </c>
      <c r="P135">
        <v>0.11093131118100444</v>
      </c>
      <c r="Q135" t="s">
        <v>161</v>
      </c>
    </row>
    <row r="136" spans="9:22" x14ac:dyDescent="0.45">
      <c r="I136" t="s">
        <v>171</v>
      </c>
      <c r="J136" t="s">
        <v>230</v>
      </c>
      <c r="K136">
        <v>2.6951678119677504E-2</v>
      </c>
      <c r="L136" t="s">
        <v>161</v>
      </c>
      <c r="N136" t="s">
        <v>191</v>
      </c>
      <c r="O136" t="s">
        <v>230</v>
      </c>
      <c r="P136">
        <v>1.7797662336433435E-2</v>
      </c>
      <c r="Q136" t="s">
        <v>161</v>
      </c>
    </row>
    <row r="137" spans="9:22" x14ac:dyDescent="0.45">
      <c r="I137" t="s">
        <v>171</v>
      </c>
      <c r="J137" t="s">
        <v>231</v>
      </c>
      <c r="K137">
        <v>0.35546138514709091</v>
      </c>
      <c r="L137" t="s">
        <v>161</v>
      </c>
      <c r="N137" t="s">
        <v>191</v>
      </c>
      <c r="O137" t="s">
        <v>231</v>
      </c>
      <c r="P137">
        <v>6.0966387397623618E-2</v>
      </c>
      <c r="Q137" t="s">
        <v>161</v>
      </c>
    </row>
    <row r="138" spans="9:22" x14ac:dyDescent="0.45">
      <c r="I138" t="s">
        <v>171</v>
      </c>
      <c r="J138" t="s">
        <v>232</v>
      </c>
      <c r="K138">
        <v>2.2251875249312093E-2</v>
      </c>
      <c r="L138" t="s">
        <v>161</v>
      </c>
      <c r="N138" t="s">
        <v>191</v>
      </c>
      <c r="O138" t="s">
        <v>232</v>
      </c>
      <c r="P138">
        <v>7.1814674663270378E-2</v>
      </c>
      <c r="Q138" t="s">
        <v>161</v>
      </c>
    </row>
    <row r="139" spans="9:22" x14ac:dyDescent="0.45">
      <c r="I139" t="s">
        <v>171</v>
      </c>
      <c r="J139" t="s">
        <v>233</v>
      </c>
      <c r="K139">
        <v>3.9875682746684758E-2</v>
      </c>
      <c r="L139" t="s">
        <v>161</v>
      </c>
      <c r="N139" t="s">
        <v>191</v>
      </c>
      <c r="O139" t="s">
        <v>233</v>
      </c>
      <c r="P139">
        <v>9.6598683377258805E-3</v>
      </c>
      <c r="Q139" t="s">
        <v>161</v>
      </c>
    </row>
    <row r="140" spans="9:22" x14ac:dyDescent="0.45">
      <c r="I140" t="s">
        <v>171</v>
      </c>
      <c r="J140" t="s">
        <v>234</v>
      </c>
      <c r="K140">
        <v>7.1347209267430434E-2</v>
      </c>
      <c r="L140" t="s">
        <v>161</v>
      </c>
      <c r="N140" t="s">
        <v>191</v>
      </c>
      <c r="O140" t="s">
        <v>234</v>
      </c>
      <c r="P140">
        <v>0.15622053381065229</v>
      </c>
      <c r="Q140" t="s">
        <v>161</v>
      </c>
    </row>
    <row r="141" spans="9:22" x14ac:dyDescent="0.45">
      <c r="I141" t="s">
        <v>171</v>
      </c>
      <c r="J141" t="s">
        <v>235</v>
      </c>
      <c r="K141">
        <v>0</v>
      </c>
      <c r="L141" t="s">
        <v>161</v>
      </c>
      <c r="N141" t="s">
        <v>191</v>
      </c>
      <c r="O141" t="s">
        <v>235</v>
      </c>
      <c r="P141">
        <v>0.15415419964662946</v>
      </c>
      <c r="Q141" t="s">
        <v>161</v>
      </c>
    </row>
    <row r="142" spans="9:22" x14ac:dyDescent="0.45">
      <c r="I142" t="s">
        <v>171</v>
      </c>
      <c r="J142" t="s">
        <v>236</v>
      </c>
      <c r="K142">
        <v>7.1325759030614014E-4</v>
      </c>
      <c r="L142" t="s">
        <v>161</v>
      </c>
      <c r="N142" t="s">
        <v>191</v>
      </c>
      <c r="O142" t="s">
        <v>236</v>
      </c>
      <c r="P142">
        <v>3.0219861070796598E-2</v>
      </c>
      <c r="Q142" t="s">
        <v>161</v>
      </c>
    </row>
    <row r="143" spans="9:22" x14ac:dyDescent="0.45">
      <c r="I143" t="s">
        <v>172</v>
      </c>
      <c r="J143" t="s">
        <v>225</v>
      </c>
      <c r="K143">
        <v>0.17676071799258217</v>
      </c>
      <c r="L143" t="s">
        <v>161</v>
      </c>
      <c r="N143" t="s">
        <v>192</v>
      </c>
      <c r="O143" t="s">
        <v>225</v>
      </c>
      <c r="P143">
        <v>0.12490441131667335</v>
      </c>
      <c r="Q143" t="s">
        <v>161</v>
      </c>
    </row>
    <row r="144" spans="9:22" x14ac:dyDescent="0.45">
      <c r="I144" t="s">
        <v>172</v>
      </c>
      <c r="J144" t="s">
        <v>226</v>
      </c>
      <c r="K144">
        <v>0</v>
      </c>
      <c r="L144" t="s">
        <v>161</v>
      </c>
      <c r="N144" t="s">
        <v>192</v>
      </c>
      <c r="O144" t="s">
        <v>226</v>
      </c>
      <c r="P144">
        <v>0.13725670908076715</v>
      </c>
      <c r="Q144" t="s">
        <v>161</v>
      </c>
    </row>
    <row r="145" spans="9:17" x14ac:dyDescent="0.45">
      <c r="I145" t="s">
        <v>172</v>
      </c>
      <c r="J145" t="s">
        <v>227</v>
      </c>
      <c r="K145">
        <v>6.790386229912476E-3</v>
      </c>
      <c r="L145" t="s">
        <v>161</v>
      </c>
      <c r="N145" t="s">
        <v>192</v>
      </c>
      <c r="O145" t="s">
        <v>227</v>
      </c>
      <c r="P145">
        <v>2.3972838251412363E-2</v>
      </c>
      <c r="Q145" t="s">
        <v>161</v>
      </c>
    </row>
    <row r="146" spans="9:17" x14ac:dyDescent="0.45">
      <c r="I146" t="s">
        <v>172</v>
      </c>
      <c r="J146" t="s">
        <v>228</v>
      </c>
      <c r="K146">
        <v>0.2906893139643178</v>
      </c>
      <c r="L146" t="s">
        <v>161</v>
      </c>
      <c r="N146" t="s">
        <v>192</v>
      </c>
      <c r="O146" t="s">
        <v>228</v>
      </c>
      <c r="P146">
        <v>9.2393855843589764E-2</v>
      </c>
      <c r="Q146" t="s">
        <v>161</v>
      </c>
    </row>
    <row r="147" spans="9:17" x14ac:dyDescent="0.45">
      <c r="I147" t="s">
        <v>172</v>
      </c>
      <c r="J147" t="s">
        <v>229</v>
      </c>
      <c r="K147">
        <v>4.5187600299922553E-3</v>
      </c>
      <c r="L147" t="s">
        <v>161</v>
      </c>
      <c r="N147" t="s">
        <v>192</v>
      </c>
      <c r="O147" t="s">
        <v>229</v>
      </c>
      <c r="P147">
        <v>0.12138218176088748</v>
      </c>
      <c r="Q147" t="s">
        <v>161</v>
      </c>
    </row>
    <row r="148" spans="9:17" x14ac:dyDescent="0.45">
      <c r="I148" t="s">
        <v>172</v>
      </c>
      <c r="J148" t="s">
        <v>230</v>
      </c>
      <c r="K148">
        <v>2.4172361347370216E-2</v>
      </c>
      <c r="L148" t="s">
        <v>161</v>
      </c>
      <c r="N148" t="s">
        <v>192</v>
      </c>
      <c r="O148" t="s">
        <v>230</v>
      </c>
      <c r="P148">
        <v>1.78856052897222E-2</v>
      </c>
      <c r="Q148" t="s">
        <v>161</v>
      </c>
    </row>
    <row r="149" spans="9:17" x14ac:dyDescent="0.45">
      <c r="I149" t="s">
        <v>172</v>
      </c>
      <c r="J149" t="s">
        <v>231</v>
      </c>
      <c r="K149">
        <v>0.34348985618042399</v>
      </c>
      <c r="L149" t="s">
        <v>161</v>
      </c>
      <c r="N149" t="s">
        <v>192</v>
      </c>
      <c r="O149" t="s">
        <v>231</v>
      </c>
      <c r="P149">
        <v>6.9637144121795808E-2</v>
      </c>
      <c r="Q149" t="s">
        <v>161</v>
      </c>
    </row>
    <row r="150" spans="9:17" x14ac:dyDescent="0.45">
      <c r="I150" t="s">
        <v>172</v>
      </c>
      <c r="J150" t="s">
        <v>232</v>
      </c>
      <c r="K150">
        <v>1.4161443553957159E-2</v>
      </c>
      <c r="L150" t="s">
        <v>161</v>
      </c>
      <c r="N150" t="s">
        <v>192</v>
      </c>
      <c r="O150" t="s">
        <v>232</v>
      </c>
      <c r="P150">
        <v>8.0378909910875901E-2</v>
      </c>
      <c r="Q150" t="s">
        <v>161</v>
      </c>
    </row>
    <row r="151" spans="9:17" x14ac:dyDescent="0.45">
      <c r="I151" t="s">
        <v>172</v>
      </c>
      <c r="J151" t="s">
        <v>233</v>
      </c>
      <c r="K151">
        <v>3.7019261964853681E-2</v>
      </c>
      <c r="L151" t="s">
        <v>161</v>
      </c>
      <c r="N151" t="s">
        <v>192</v>
      </c>
      <c r="O151" t="s">
        <v>233</v>
      </c>
      <c r="P151">
        <v>1.1707139258762246E-2</v>
      </c>
      <c r="Q151" t="s">
        <v>161</v>
      </c>
    </row>
    <row r="152" spans="9:17" x14ac:dyDescent="0.45">
      <c r="I152" t="s">
        <v>172</v>
      </c>
      <c r="J152" t="s">
        <v>234</v>
      </c>
      <c r="K152">
        <v>0.10132831174925523</v>
      </c>
      <c r="L152" t="s">
        <v>161</v>
      </c>
      <c r="N152" t="s">
        <v>192</v>
      </c>
      <c r="O152" t="s">
        <v>234</v>
      </c>
      <c r="P152">
        <v>0.14630639863755404</v>
      </c>
      <c r="Q152" t="s">
        <v>161</v>
      </c>
    </row>
    <row r="153" spans="9:17" x14ac:dyDescent="0.45">
      <c r="I153" t="s">
        <v>172</v>
      </c>
      <c r="J153" t="s">
        <v>235</v>
      </c>
      <c r="K153">
        <v>0</v>
      </c>
      <c r="L153" t="s">
        <v>161</v>
      </c>
      <c r="N153" t="s">
        <v>192</v>
      </c>
      <c r="O153" t="s">
        <v>235</v>
      </c>
      <c r="P153">
        <v>0.14639633913786029</v>
      </c>
      <c r="Q153" t="s">
        <v>161</v>
      </c>
    </row>
    <row r="154" spans="9:17" x14ac:dyDescent="0.45">
      <c r="I154" t="s">
        <v>172</v>
      </c>
      <c r="J154" t="s">
        <v>236</v>
      </c>
      <c r="K154">
        <v>1.0695869873361343E-3</v>
      </c>
      <c r="L154" t="s">
        <v>161</v>
      </c>
      <c r="N154" t="s">
        <v>192</v>
      </c>
      <c r="O154" t="s">
        <v>236</v>
      </c>
      <c r="P154">
        <v>2.7778467390096838E-2</v>
      </c>
      <c r="Q154" t="s">
        <v>161</v>
      </c>
    </row>
    <row r="155" spans="9:17" x14ac:dyDescent="0.45">
      <c r="I155" t="s">
        <v>173</v>
      </c>
      <c r="J155" t="s">
        <v>225</v>
      </c>
      <c r="K155">
        <v>0.1638301138912148</v>
      </c>
      <c r="L155" t="s">
        <v>161</v>
      </c>
      <c r="N155" t="s">
        <v>193</v>
      </c>
      <c r="O155" t="s">
        <v>225</v>
      </c>
      <c r="P155">
        <v>0.12271947782974865</v>
      </c>
      <c r="Q155" t="s">
        <v>161</v>
      </c>
    </row>
    <row r="156" spans="9:17" x14ac:dyDescent="0.45">
      <c r="I156" t="s">
        <v>173</v>
      </c>
      <c r="J156" t="s">
        <v>226</v>
      </c>
      <c r="K156">
        <v>0</v>
      </c>
      <c r="L156" t="s">
        <v>161</v>
      </c>
      <c r="N156" t="s">
        <v>193</v>
      </c>
      <c r="O156" t="s">
        <v>226</v>
      </c>
      <c r="P156">
        <v>0.13756292176929702</v>
      </c>
      <c r="Q156" t="s">
        <v>161</v>
      </c>
    </row>
    <row r="157" spans="9:17" x14ac:dyDescent="0.45">
      <c r="I157" t="s">
        <v>173</v>
      </c>
      <c r="J157" t="s">
        <v>227</v>
      </c>
      <c r="K157">
        <v>5.6305512510541889E-3</v>
      </c>
      <c r="L157" t="s">
        <v>161</v>
      </c>
      <c r="N157" t="s">
        <v>193</v>
      </c>
      <c r="O157" t="s">
        <v>227</v>
      </c>
      <c r="P157">
        <v>2.4129945854966698E-2</v>
      </c>
      <c r="Q157" t="s">
        <v>161</v>
      </c>
    </row>
    <row r="158" spans="9:17" x14ac:dyDescent="0.45">
      <c r="I158" t="s">
        <v>173</v>
      </c>
      <c r="J158" t="s">
        <v>228</v>
      </c>
      <c r="K158">
        <v>0.30614741398612705</v>
      </c>
      <c r="L158" t="s">
        <v>161</v>
      </c>
      <c r="N158" t="s">
        <v>193</v>
      </c>
      <c r="O158" t="s">
        <v>228</v>
      </c>
      <c r="P158">
        <v>9.9076740974980135E-2</v>
      </c>
      <c r="Q158" t="s">
        <v>161</v>
      </c>
    </row>
    <row r="159" spans="9:17" x14ac:dyDescent="0.45">
      <c r="I159" t="s">
        <v>173</v>
      </c>
      <c r="J159" t="s">
        <v>229</v>
      </c>
      <c r="K159">
        <v>5.5352491288523315E-3</v>
      </c>
      <c r="L159" t="s">
        <v>161</v>
      </c>
      <c r="N159" t="s">
        <v>193</v>
      </c>
      <c r="O159" t="s">
        <v>229</v>
      </c>
      <c r="P159">
        <v>0.12731385486100971</v>
      </c>
      <c r="Q159" t="s">
        <v>161</v>
      </c>
    </row>
    <row r="160" spans="9:17" x14ac:dyDescent="0.45">
      <c r="I160" t="s">
        <v>173</v>
      </c>
      <c r="J160" t="s">
        <v>230</v>
      </c>
      <c r="K160">
        <v>2.4906446475187031E-2</v>
      </c>
      <c r="L160" t="s">
        <v>161</v>
      </c>
      <c r="N160" t="s">
        <v>193</v>
      </c>
      <c r="O160" t="s">
        <v>230</v>
      </c>
      <c r="P160">
        <v>1.8857213535829344E-2</v>
      </c>
      <c r="Q160" t="s">
        <v>161</v>
      </c>
    </row>
    <row r="161" spans="9:17" x14ac:dyDescent="0.45">
      <c r="I161" t="s">
        <v>173</v>
      </c>
      <c r="J161" t="s">
        <v>231</v>
      </c>
      <c r="K161">
        <v>0.35364045100403874</v>
      </c>
      <c r="L161" t="s">
        <v>161</v>
      </c>
      <c r="N161" t="s">
        <v>193</v>
      </c>
      <c r="O161" t="s">
        <v>231</v>
      </c>
      <c r="P161">
        <v>6.4443452867874035E-2</v>
      </c>
      <c r="Q161" t="s">
        <v>161</v>
      </c>
    </row>
    <row r="162" spans="9:17" x14ac:dyDescent="0.45">
      <c r="I162" t="s">
        <v>173</v>
      </c>
      <c r="J162" t="s">
        <v>232</v>
      </c>
      <c r="K162">
        <v>1.6133848232990119E-2</v>
      </c>
      <c r="L162" t="s">
        <v>161</v>
      </c>
      <c r="N162" t="s">
        <v>193</v>
      </c>
      <c r="O162" t="s">
        <v>232</v>
      </c>
      <c r="P162">
        <v>8.0708018890960756E-2</v>
      </c>
      <c r="Q162" t="s">
        <v>161</v>
      </c>
    </row>
    <row r="163" spans="9:17" x14ac:dyDescent="0.45">
      <c r="I163" t="s">
        <v>173</v>
      </c>
      <c r="J163" t="s">
        <v>233</v>
      </c>
      <c r="K163">
        <v>3.6842264829476418E-2</v>
      </c>
      <c r="L163" t="s">
        <v>161</v>
      </c>
      <c r="N163" t="s">
        <v>193</v>
      </c>
      <c r="O163" t="s">
        <v>233</v>
      </c>
      <c r="P163">
        <v>1.1533095948930802E-2</v>
      </c>
      <c r="Q163" t="s">
        <v>161</v>
      </c>
    </row>
    <row r="164" spans="9:17" x14ac:dyDescent="0.45">
      <c r="I164" t="s">
        <v>173</v>
      </c>
      <c r="J164" t="s">
        <v>234</v>
      </c>
      <c r="K164">
        <v>8.6793003448975128E-2</v>
      </c>
      <c r="L164" t="s">
        <v>161</v>
      </c>
      <c r="N164" t="s">
        <v>193</v>
      </c>
      <c r="O164" t="s">
        <v>234</v>
      </c>
      <c r="P164">
        <v>0.1398259288173333</v>
      </c>
      <c r="Q164" t="s">
        <v>161</v>
      </c>
    </row>
    <row r="165" spans="9:17" x14ac:dyDescent="0.45">
      <c r="I165" t="s">
        <v>173</v>
      </c>
      <c r="J165" t="s">
        <v>235</v>
      </c>
      <c r="K165">
        <v>0</v>
      </c>
      <c r="L165" t="s">
        <v>161</v>
      </c>
      <c r="N165" t="s">
        <v>193</v>
      </c>
      <c r="O165" t="s">
        <v>235</v>
      </c>
      <c r="P165">
        <v>0.1464381641137979</v>
      </c>
      <c r="Q165" t="s">
        <v>161</v>
      </c>
    </row>
    <row r="166" spans="9:17" x14ac:dyDescent="0.45">
      <c r="I166" t="s">
        <v>173</v>
      </c>
      <c r="J166" t="s">
        <v>236</v>
      </c>
      <c r="K166">
        <v>5.4065775208311795E-4</v>
      </c>
      <c r="L166" t="s">
        <v>161</v>
      </c>
      <c r="N166" t="s">
        <v>193</v>
      </c>
      <c r="O166" t="s">
        <v>236</v>
      </c>
      <c r="P166">
        <v>2.7391184535267829E-2</v>
      </c>
      <c r="Q166" t="s">
        <v>161</v>
      </c>
    </row>
    <row r="167" spans="9:17" x14ac:dyDescent="0.45">
      <c r="I167" t="s">
        <v>174</v>
      </c>
      <c r="J167" t="s">
        <v>225</v>
      </c>
      <c r="K167">
        <v>0.17768231483382463</v>
      </c>
      <c r="L167" t="s">
        <v>161</v>
      </c>
      <c r="N167" t="s">
        <v>194</v>
      </c>
      <c r="O167" t="s">
        <v>225</v>
      </c>
      <c r="P167">
        <v>0.1213046823183483</v>
      </c>
      <c r="Q167" t="s">
        <v>161</v>
      </c>
    </row>
    <row r="168" spans="9:17" x14ac:dyDescent="0.45">
      <c r="I168" t="s">
        <v>174</v>
      </c>
      <c r="J168" t="s">
        <v>226</v>
      </c>
      <c r="K168">
        <v>0</v>
      </c>
      <c r="L168" t="s">
        <v>161</v>
      </c>
      <c r="N168" t="s">
        <v>194</v>
      </c>
      <c r="O168" t="s">
        <v>226</v>
      </c>
      <c r="P168">
        <v>0.13248889825280147</v>
      </c>
      <c r="Q168" t="s">
        <v>161</v>
      </c>
    </row>
    <row r="169" spans="9:17" x14ac:dyDescent="0.45">
      <c r="I169" t="s">
        <v>174</v>
      </c>
      <c r="J169" t="s">
        <v>227</v>
      </c>
      <c r="K169">
        <v>7.8547647344742108E-3</v>
      </c>
      <c r="L169" t="s">
        <v>161</v>
      </c>
      <c r="N169" t="s">
        <v>194</v>
      </c>
      <c r="O169" t="s">
        <v>227</v>
      </c>
      <c r="P169">
        <v>2.4863004782431138E-2</v>
      </c>
      <c r="Q169" t="s">
        <v>161</v>
      </c>
    </row>
    <row r="170" spans="9:17" x14ac:dyDescent="0.45">
      <c r="I170" t="s">
        <v>174</v>
      </c>
      <c r="J170" t="s">
        <v>228</v>
      </c>
      <c r="K170">
        <v>0.28440561578572049</v>
      </c>
      <c r="L170" t="s">
        <v>161</v>
      </c>
      <c r="N170" t="s">
        <v>194</v>
      </c>
      <c r="O170" t="s">
        <v>228</v>
      </c>
      <c r="P170">
        <v>9.998023910748087E-2</v>
      </c>
      <c r="Q170" t="s">
        <v>161</v>
      </c>
    </row>
    <row r="171" spans="9:17" x14ac:dyDescent="0.45">
      <c r="I171" t="s">
        <v>174</v>
      </c>
      <c r="J171" t="s">
        <v>229</v>
      </c>
      <c r="K171">
        <v>4.4839297236329229E-3</v>
      </c>
      <c r="L171" t="s">
        <v>161</v>
      </c>
      <c r="N171" t="s">
        <v>194</v>
      </c>
      <c r="O171" t="s">
        <v>229</v>
      </c>
      <c r="P171">
        <v>0.13024421292121979</v>
      </c>
      <c r="Q171" t="s">
        <v>161</v>
      </c>
    </row>
    <row r="172" spans="9:17" x14ac:dyDescent="0.45">
      <c r="I172" t="s">
        <v>174</v>
      </c>
      <c r="J172" t="s">
        <v>230</v>
      </c>
      <c r="K172">
        <v>2.6415597627693185E-2</v>
      </c>
      <c r="L172" t="s">
        <v>161</v>
      </c>
      <c r="N172" t="s">
        <v>194</v>
      </c>
      <c r="O172" t="s">
        <v>230</v>
      </c>
      <c r="P172">
        <v>1.8452652354476573E-2</v>
      </c>
      <c r="Q172" t="s">
        <v>161</v>
      </c>
    </row>
    <row r="173" spans="9:17" x14ac:dyDescent="0.45">
      <c r="I173" t="s">
        <v>174</v>
      </c>
      <c r="J173" t="s">
        <v>231</v>
      </c>
      <c r="K173">
        <v>0.34047817135939751</v>
      </c>
      <c r="L173" t="s">
        <v>161</v>
      </c>
      <c r="N173" t="s">
        <v>194</v>
      </c>
      <c r="O173" t="s">
        <v>231</v>
      </c>
      <c r="P173">
        <v>6.5736582451925971E-2</v>
      </c>
      <c r="Q173" t="s">
        <v>161</v>
      </c>
    </row>
    <row r="174" spans="9:17" x14ac:dyDescent="0.45">
      <c r="I174" t="s">
        <v>174</v>
      </c>
      <c r="J174" t="s">
        <v>232</v>
      </c>
      <c r="K174">
        <v>1.4887942936778878E-2</v>
      </c>
      <c r="L174" t="s">
        <v>161</v>
      </c>
      <c r="N174" t="s">
        <v>194</v>
      </c>
      <c r="O174" t="s">
        <v>232</v>
      </c>
      <c r="P174">
        <v>7.635477773776371E-2</v>
      </c>
      <c r="Q174" t="s">
        <v>161</v>
      </c>
    </row>
    <row r="175" spans="9:17" x14ac:dyDescent="0.45">
      <c r="I175" t="s">
        <v>174</v>
      </c>
      <c r="J175" t="s">
        <v>233</v>
      </c>
      <c r="K175">
        <v>3.766778293334494E-2</v>
      </c>
      <c r="L175" t="s">
        <v>161</v>
      </c>
      <c r="N175" t="s">
        <v>194</v>
      </c>
      <c r="O175" t="s">
        <v>233</v>
      </c>
      <c r="P175">
        <v>1.1892885895286332E-2</v>
      </c>
      <c r="Q175" t="s">
        <v>161</v>
      </c>
    </row>
    <row r="176" spans="9:17" x14ac:dyDescent="0.45">
      <c r="I176" t="s">
        <v>174</v>
      </c>
      <c r="J176" t="s">
        <v>234</v>
      </c>
      <c r="K176">
        <v>0.10474519817968331</v>
      </c>
      <c r="L176" t="s">
        <v>161</v>
      </c>
      <c r="N176" t="s">
        <v>194</v>
      </c>
      <c r="O176" t="s">
        <v>234</v>
      </c>
      <c r="P176">
        <v>0.14269633135479187</v>
      </c>
      <c r="Q176" t="s">
        <v>161</v>
      </c>
    </row>
    <row r="177" spans="9:17" x14ac:dyDescent="0.45">
      <c r="I177" t="s">
        <v>174</v>
      </c>
      <c r="J177" t="s">
        <v>235</v>
      </c>
      <c r="K177">
        <v>0</v>
      </c>
      <c r="L177" t="s">
        <v>161</v>
      </c>
      <c r="N177" t="s">
        <v>194</v>
      </c>
      <c r="O177" t="s">
        <v>235</v>
      </c>
      <c r="P177">
        <v>0.1480552714323676</v>
      </c>
      <c r="Q177" t="s">
        <v>161</v>
      </c>
    </row>
    <row r="178" spans="9:17" x14ac:dyDescent="0.45">
      <c r="I178" t="s">
        <v>174</v>
      </c>
      <c r="J178" t="s">
        <v>236</v>
      </c>
      <c r="K178">
        <v>1.378681885452667E-3</v>
      </c>
      <c r="L178" t="s">
        <v>161</v>
      </c>
      <c r="N178" t="s">
        <v>194</v>
      </c>
      <c r="O178" t="s">
        <v>236</v>
      </c>
      <c r="P178">
        <v>2.7930461391106214E-2</v>
      </c>
      <c r="Q178" t="s">
        <v>161</v>
      </c>
    </row>
    <row r="179" spans="9:17" x14ac:dyDescent="0.45">
      <c r="I179" t="s">
        <v>175</v>
      </c>
      <c r="J179" t="s">
        <v>225</v>
      </c>
      <c r="K179">
        <v>0.17462633295987517</v>
      </c>
      <c r="L179" t="s">
        <v>161</v>
      </c>
      <c r="N179" t="s">
        <v>195</v>
      </c>
      <c r="O179" t="s">
        <v>225</v>
      </c>
      <c r="P179">
        <v>0.12435981738363847</v>
      </c>
      <c r="Q179" t="s">
        <v>161</v>
      </c>
    </row>
    <row r="180" spans="9:17" x14ac:dyDescent="0.45">
      <c r="I180" t="s">
        <v>175</v>
      </c>
      <c r="J180" t="s">
        <v>226</v>
      </c>
      <c r="K180">
        <v>0</v>
      </c>
      <c r="L180" t="s">
        <v>161</v>
      </c>
      <c r="N180" t="s">
        <v>195</v>
      </c>
      <c r="O180" t="s">
        <v>226</v>
      </c>
      <c r="P180">
        <v>0.11600084260602897</v>
      </c>
      <c r="Q180" t="s">
        <v>161</v>
      </c>
    </row>
    <row r="181" spans="9:17" x14ac:dyDescent="0.45">
      <c r="I181" t="s">
        <v>175</v>
      </c>
      <c r="J181" t="s">
        <v>227</v>
      </c>
      <c r="K181">
        <v>8.0813317248831212E-3</v>
      </c>
      <c r="L181" t="s">
        <v>161</v>
      </c>
      <c r="N181" t="s">
        <v>195</v>
      </c>
      <c r="O181" t="s">
        <v>227</v>
      </c>
      <c r="P181">
        <v>2.6157529396756727E-2</v>
      </c>
      <c r="Q181" t="s">
        <v>161</v>
      </c>
    </row>
    <row r="182" spans="9:17" x14ac:dyDescent="0.45">
      <c r="I182" t="s">
        <v>175</v>
      </c>
      <c r="J182" t="s">
        <v>228</v>
      </c>
      <c r="K182">
        <v>0.28435205834353594</v>
      </c>
      <c r="L182" t="s">
        <v>161</v>
      </c>
      <c r="N182" t="s">
        <v>195</v>
      </c>
      <c r="O182" t="s">
        <v>228</v>
      </c>
      <c r="P182">
        <v>0.12126386167415086</v>
      </c>
      <c r="Q182" t="s">
        <v>161</v>
      </c>
    </row>
    <row r="183" spans="9:17" x14ac:dyDescent="0.45">
      <c r="I183" t="s">
        <v>175</v>
      </c>
      <c r="J183" t="s">
        <v>229</v>
      </c>
      <c r="K183">
        <v>5.2957833417648006E-3</v>
      </c>
      <c r="L183" t="s">
        <v>161</v>
      </c>
      <c r="N183" t="s">
        <v>195</v>
      </c>
      <c r="O183" t="s">
        <v>229</v>
      </c>
      <c r="P183">
        <v>0.10760369999013787</v>
      </c>
      <c r="Q183" t="s">
        <v>161</v>
      </c>
    </row>
    <row r="184" spans="9:17" x14ac:dyDescent="0.45">
      <c r="I184" t="s">
        <v>175</v>
      </c>
      <c r="J184" t="s">
        <v>230</v>
      </c>
      <c r="K184">
        <v>2.7421393908621455E-2</v>
      </c>
      <c r="L184" t="s">
        <v>161</v>
      </c>
      <c r="N184" t="s">
        <v>195</v>
      </c>
      <c r="O184" t="s">
        <v>230</v>
      </c>
      <c r="P184">
        <v>2.3183969046213022E-2</v>
      </c>
      <c r="Q184" t="s">
        <v>161</v>
      </c>
    </row>
    <row r="185" spans="9:17" x14ac:dyDescent="0.45">
      <c r="I185" t="s">
        <v>175</v>
      </c>
      <c r="J185" t="s">
        <v>231</v>
      </c>
      <c r="K185">
        <v>0.35200916260370696</v>
      </c>
      <c r="L185" t="s">
        <v>161</v>
      </c>
      <c r="N185" t="s">
        <v>195</v>
      </c>
      <c r="O185" t="s">
        <v>231</v>
      </c>
      <c r="P185">
        <v>5.6302172393367246E-2</v>
      </c>
      <c r="Q185" t="s">
        <v>161</v>
      </c>
    </row>
    <row r="186" spans="9:17" x14ac:dyDescent="0.45">
      <c r="I186" t="s">
        <v>175</v>
      </c>
      <c r="J186" t="s">
        <v>232</v>
      </c>
      <c r="K186">
        <v>1.7092300709790387E-2</v>
      </c>
      <c r="L186" t="s">
        <v>161</v>
      </c>
      <c r="N186" t="s">
        <v>195</v>
      </c>
      <c r="O186" t="s">
        <v>232</v>
      </c>
      <c r="P186">
        <v>3.6580059560344165E-2</v>
      </c>
      <c r="Q186" t="s">
        <v>161</v>
      </c>
    </row>
    <row r="187" spans="9:17" x14ac:dyDescent="0.45">
      <c r="I187" t="s">
        <v>175</v>
      </c>
      <c r="J187" t="s">
        <v>233</v>
      </c>
      <c r="K187">
        <v>4.1125232284389038E-2</v>
      </c>
      <c r="L187" t="s">
        <v>161</v>
      </c>
      <c r="N187" t="s">
        <v>195</v>
      </c>
      <c r="O187" t="s">
        <v>233</v>
      </c>
      <c r="P187">
        <v>1.1827301590906801E-2</v>
      </c>
      <c r="Q187" t="s">
        <v>161</v>
      </c>
    </row>
    <row r="188" spans="9:17" x14ac:dyDescent="0.45">
      <c r="I188" t="s">
        <v>175</v>
      </c>
      <c r="J188" t="s">
        <v>234</v>
      </c>
      <c r="K188">
        <v>8.8965275313366191E-2</v>
      </c>
      <c r="L188" t="s">
        <v>161</v>
      </c>
      <c r="N188" t="s">
        <v>195</v>
      </c>
      <c r="O188" t="s">
        <v>234</v>
      </c>
      <c r="P188">
        <v>0.17218055683289313</v>
      </c>
      <c r="Q188" t="s">
        <v>161</v>
      </c>
    </row>
    <row r="189" spans="9:17" x14ac:dyDescent="0.45">
      <c r="I189" t="s">
        <v>175</v>
      </c>
      <c r="J189" t="s">
        <v>235</v>
      </c>
      <c r="K189">
        <v>0</v>
      </c>
      <c r="L189" t="s">
        <v>161</v>
      </c>
      <c r="N189" t="s">
        <v>195</v>
      </c>
      <c r="O189" t="s">
        <v>235</v>
      </c>
      <c r="P189">
        <v>0.17164648331855289</v>
      </c>
      <c r="Q189" t="s">
        <v>161</v>
      </c>
    </row>
    <row r="190" spans="9:17" x14ac:dyDescent="0.45">
      <c r="I190" t="s">
        <v>175</v>
      </c>
      <c r="J190" t="s">
        <v>236</v>
      </c>
      <c r="K190">
        <v>1.0311288100668418E-3</v>
      </c>
      <c r="L190" t="s">
        <v>161</v>
      </c>
      <c r="N190" t="s">
        <v>195</v>
      </c>
      <c r="O190" t="s">
        <v>236</v>
      </c>
      <c r="P190">
        <v>3.2893706207016461E-2</v>
      </c>
      <c r="Q190" t="s">
        <v>161</v>
      </c>
    </row>
    <row r="191" spans="9:17" x14ac:dyDescent="0.45">
      <c r="I191" t="s">
        <v>176</v>
      </c>
      <c r="J191" t="s">
        <v>225</v>
      </c>
      <c r="K191">
        <v>0.16535050950154984</v>
      </c>
      <c r="L191" t="s">
        <v>161</v>
      </c>
      <c r="N191" t="s">
        <v>196</v>
      </c>
      <c r="O191" t="s">
        <v>225</v>
      </c>
      <c r="P191">
        <v>0.12598411568464496</v>
      </c>
      <c r="Q191" t="s">
        <v>161</v>
      </c>
    </row>
    <row r="192" spans="9:17" x14ac:dyDescent="0.45">
      <c r="I192" t="s">
        <v>176</v>
      </c>
      <c r="J192" t="s">
        <v>226</v>
      </c>
      <c r="K192">
        <v>0</v>
      </c>
      <c r="L192" t="s">
        <v>161</v>
      </c>
      <c r="N192" t="s">
        <v>196</v>
      </c>
      <c r="O192" t="s">
        <v>226</v>
      </c>
      <c r="P192">
        <v>0.13548404112043672</v>
      </c>
      <c r="Q192" t="s">
        <v>161</v>
      </c>
    </row>
    <row r="193" spans="9:17" x14ac:dyDescent="0.45">
      <c r="I193" t="s">
        <v>176</v>
      </c>
      <c r="J193" t="s">
        <v>227</v>
      </c>
      <c r="K193">
        <v>7.6028739033863289E-3</v>
      </c>
      <c r="L193" t="s">
        <v>161</v>
      </c>
      <c r="N193" t="s">
        <v>196</v>
      </c>
      <c r="O193" t="s">
        <v>227</v>
      </c>
      <c r="P193">
        <v>2.3891267948072226E-2</v>
      </c>
      <c r="Q193" t="s">
        <v>161</v>
      </c>
    </row>
    <row r="194" spans="9:17" x14ac:dyDescent="0.45">
      <c r="I194" t="s">
        <v>176</v>
      </c>
      <c r="J194" t="s">
        <v>228</v>
      </c>
      <c r="K194">
        <v>0.29820494813786341</v>
      </c>
      <c r="L194" t="s">
        <v>161</v>
      </c>
      <c r="N194" t="s">
        <v>196</v>
      </c>
      <c r="O194" t="s">
        <v>228</v>
      </c>
      <c r="P194">
        <v>0.10599905498595771</v>
      </c>
      <c r="Q194" t="s">
        <v>161</v>
      </c>
    </row>
    <row r="195" spans="9:17" x14ac:dyDescent="0.45">
      <c r="I195" t="s">
        <v>176</v>
      </c>
      <c r="J195" t="s">
        <v>229</v>
      </c>
      <c r="K195">
        <v>6.1292847500394911E-3</v>
      </c>
      <c r="L195" t="s">
        <v>161</v>
      </c>
      <c r="N195" t="s">
        <v>196</v>
      </c>
      <c r="O195" t="s">
        <v>229</v>
      </c>
      <c r="P195">
        <v>0.11330297601659965</v>
      </c>
      <c r="Q195" t="s">
        <v>161</v>
      </c>
    </row>
    <row r="196" spans="9:17" x14ac:dyDescent="0.45">
      <c r="I196" t="s">
        <v>176</v>
      </c>
      <c r="J196" t="s">
        <v>230</v>
      </c>
      <c r="K196">
        <v>2.7566362099425125E-2</v>
      </c>
      <c r="L196" t="s">
        <v>161</v>
      </c>
      <c r="N196" t="s">
        <v>196</v>
      </c>
      <c r="O196" t="s">
        <v>230</v>
      </c>
      <c r="P196">
        <v>2.0018946542823293E-2</v>
      </c>
      <c r="Q196" t="s">
        <v>161</v>
      </c>
    </row>
    <row r="197" spans="9:17" x14ac:dyDescent="0.45">
      <c r="I197" t="s">
        <v>176</v>
      </c>
      <c r="J197" t="s">
        <v>231</v>
      </c>
      <c r="K197">
        <v>0.35782597171881775</v>
      </c>
      <c r="L197" t="s">
        <v>161</v>
      </c>
      <c r="N197" t="s">
        <v>196</v>
      </c>
      <c r="O197" t="s">
        <v>231</v>
      </c>
      <c r="P197">
        <v>4.6962984433403E-2</v>
      </c>
      <c r="Q197" t="s">
        <v>161</v>
      </c>
    </row>
    <row r="198" spans="9:17" x14ac:dyDescent="0.45">
      <c r="I198" t="s">
        <v>176</v>
      </c>
      <c r="J198" t="s">
        <v>232</v>
      </c>
      <c r="K198">
        <v>1.9412565379257382E-2</v>
      </c>
      <c r="L198" t="s">
        <v>161</v>
      </c>
      <c r="N198" t="s">
        <v>196</v>
      </c>
      <c r="O198" t="s">
        <v>232</v>
      </c>
      <c r="P198">
        <v>5.2161714136209715E-2</v>
      </c>
      <c r="Q198" t="s">
        <v>161</v>
      </c>
    </row>
    <row r="199" spans="9:17" x14ac:dyDescent="0.45">
      <c r="I199" t="s">
        <v>176</v>
      </c>
      <c r="J199" t="s">
        <v>233</v>
      </c>
      <c r="K199">
        <v>4.2579504658444865E-2</v>
      </c>
      <c r="L199" t="s">
        <v>161</v>
      </c>
      <c r="N199" t="s">
        <v>196</v>
      </c>
      <c r="O199" t="s">
        <v>233</v>
      </c>
      <c r="P199">
        <v>8.6732498575071721E-3</v>
      </c>
      <c r="Q199" t="s">
        <v>161</v>
      </c>
    </row>
    <row r="200" spans="9:17" x14ac:dyDescent="0.45">
      <c r="I200" t="s">
        <v>176</v>
      </c>
      <c r="J200" t="s">
        <v>234</v>
      </c>
      <c r="K200">
        <v>7.4702840536854734E-2</v>
      </c>
      <c r="L200" t="s">
        <v>161</v>
      </c>
      <c r="N200" t="s">
        <v>196</v>
      </c>
      <c r="O200" t="s">
        <v>234</v>
      </c>
      <c r="P200">
        <v>0.16335731391424585</v>
      </c>
      <c r="Q200" t="s">
        <v>161</v>
      </c>
    </row>
    <row r="201" spans="9:17" x14ac:dyDescent="0.45">
      <c r="I201" t="s">
        <v>176</v>
      </c>
      <c r="J201" t="s">
        <v>235</v>
      </c>
      <c r="K201">
        <v>0</v>
      </c>
      <c r="L201" t="s">
        <v>161</v>
      </c>
      <c r="N201" t="s">
        <v>196</v>
      </c>
      <c r="O201" t="s">
        <v>235</v>
      </c>
      <c r="P201">
        <v>0.17184219609570309</v>
      </c>
      <c r="Q201" t="s">
        <v>161</v>
      </c>
    </row>
    <row r="202" spans="9:17" x14ac:dyDescent="0.45">
      <c r="I202" t="s">
        <v>176</v>
      </c>
      <c r="J202" t="s">
        <v>236</v>
      </c>
      <c r="K202">
        <v>6.2513931436027244E-4</v>
      </c>
      <c r="L202" t="s">
        <v>161</v>
      </c>
      <c r="N202" t="s">
        <v>196</v>
      </c>
      <c r="O202" t="s">
        <v>236</v>
      </c>
      <c r="P202">
        <v>3.2322139264399516E-2</v>
      </c>
      <c r="Q202" t="s">
        <v>161</v>
      </c>
    </row>
    <row r="203" spans="9:17" x14ac:dyDescent="0.45">
      <c r="I203" t="s">
        <v>177</v>
      </c>
      <c r="J203" t="s">
        <v>225</v>
      </c>
      <c r="K203">
        <v>0.15608795061906866</v>
      </c>
      <c r="L203" t="s">
        <v>161</v>
      </c>
      <c r="N203" t="s">
        <v>197</v>
      </c>
      <c r="O203" t="s">
        <v>225</v>
      </c>
      <c r="P203">
        <v>0.12123017759662333</v>
      </c>
      <c r="Q203" t="s">
        <v>161</v>
      </c>
    </row>
    <row r="204" spans="9:17" x14ac:dyDescent="0.45">
      <c r="I204" t="s">
        <v>177</v>
      </c>
      <c r="J204" t="s">
        <v>226</v>
      </c>
      <c r="K204">
        <v>0</v>
      </c>
      <c r="L204" t="s">
        <v>161</v>
      </c>
      <c r="N204" t="s">
        <v>197</v>
      </c>
      <c r="O204" t="s">
        <v>226</v>
      </c>
      <c r="P204">
        <v>0.13024871185083761</v>
      </c>
      <c r="Q204" t="s">
        <v>161</v>
      </c>
    </row>
    <row r="205" spans="9:17" x14ac:dyDescent="0.45">
      <c r="I205" t="s">
        <v>177</v>
      </c>
      <c r="J205" t="s">
        <v>227</v>
      </c>
      <c r="K205">
        <v>7.6006402443158181E-3</v>
      </c>
      <c r="L205" t="s">
        <v>161</v>
      </c>
      <c r="N205" t="s">
        <v>197</v>
      </c>
      <c r="O205" t="s">
        <v>227</v>
      </c>
      <c r="P205">
        <v>2.6390890948568804E-2</v>
      </c>
      <c r="Q205" t="s">
        <v>161</v>
      </c>
    </row>
    <row r="206" spans="9:17" x14ac:dyDescent="0.45">
      <c r="I206" t="s">
        <v>177</v>
      </c>
      <c r="J206" t="s">
        <v>228</v>
      </c>
      <c r="K206">
        <v>0.3126664984864278</v>
      </c>
      <c r="L206" t="s">
        <v>161</v>
      </c>
      <c r="N206" t="s">
        <v>197</v>
      </c>
      <c r="O206" t="s">
        <v>228</v>
      </c>
      <c r="P206">
        <v>0.11391332693124738</v>
      </c>
      <c r="Q206" t="s">
        <v>161</v>
      </c>
    </row>
    <row r="207" spans="9:17" x14ac:dyDescent="0.45">
      <c r="I207" t="s">
        <v>177</v>
      </c>
      <c r="J207" t="s">
        <v>229</v>
      </c>
      <c r="K207">
        <v>6.515140342429334E-3</v>
      </c>
      <c r="L207" t="s">
        <v>161</v>
      </c>
      <c r="N207" t="s">
        <v>197</v>
      </c>
      <c r="O207" t="s">
        <v>229</v>
      </c>
      <c r="P207">
        <v>0.11827639760924574</v>
      </c>
      <c r="Q207" t="s">
        <v>161</v>
      </c>
    </row>
    <row r="208" spans="9:17" x14ac:dyDescent="0.45">
      <c r="I208" t="s">
        <v>177</v>
      </c>
      <c r="J208" t="s">
        <v>230</v>
      </c>
      <c r="K208">
        <v>2.8756938685473233E-2</v>
      </c>
      <c r="L208" t="s">
        <v>161</v>
      </c>
      <c r="N208" t="s">
        <v>197</v>
      </c>
      <c r="O208" t="s">
        <v>230</v>
      </c>
      <c r="P208">
        <v>2.1101225428103488E-2</v>
      </c>
      <c r="Q208" t="s">
        <v>161</v>
      </c>
    </row>
    <row r="209" spans="9:17" x14ac:dyDescent="0.45">
      <c r="I209" t="s">
        <v>177</v>
      </c>
      <c r="J209" t="s">
        <v>231</v>
      </c>
      <c r="K209">
        <v>0.35468054339297161</v>
      </c>
      <c r="L209" t="s">
        <v>161</v>
      </c>
      <c r="N209" t="s">
        <v>197</v>
      </c>
      <c r="O209" t="s">
        <v>231</v>
      </c>
      <c r="P209">
        <v>5.6397514600846819E-2</v>
      </c>
      <c r="Q209" t="s">
        <v>161</v>
      </c>
    </row>
    <row r="210" spans="9:17" x14ac:dyDescent="0.45">
      <c r="I210" t="s">
        <v>177</v>
      </c>
      <c r="J210" t="s">
        <v>232</v>
      </c>
      <c r="K210">
        <v>2.0563016771355264E-2</v>
      </c>
      <c r="L210" t="s">
        <v>161</v>
      </c>
      <c r="N210" t="s">
        <v>197</v>
      </c>
      <c r="O210" t="s">
        <v>232</v>
      </c>
      <c r="P210">
        <v>5.7251497207763888E-2</v>
      </c>
      <c r="Q210" t="s">
        <v>161</v>
      </c>
    </row>
    <row r="211" spans="9:17" x14ac:dyDescent="0.45">
      <c r="I211" t="s">
        <v>177</v>
      </c>
      <c r="J211" t="s">
        <v>233</v>
      </c>
      <c r="K211">
        <v>4.2559454998078554E-2</v>
      </c>
      <c r="L211" t="s">
        <v>161</v>
      </c>
      <c r="N211" t="s">
        <v>197</v>
      </c>
      <c r="O211" t="s">
        <v>233</v>
      </c>
      <c r="P211">
        <v>1.1792351032209207E-2</v>
      </c>
      <c r="Q211" t="s">
        <v>161</v>
      </c>
    </row>
    <row r="212" spans="9:17" x14ac:dyDescent="0.45">
      <c r="I212" t="s">
        <v>177</v>
      </c>
      <c r="J212" t="s">
        <v>234</v>
      </c>
      <c r="K212">
        <v>6.9896980612889376E-2</v>
      </c>
      <c r="L212" t="s">
        <v>161</v>
      </c>
      <c r="N212" t="s">
        <v>197</v>
      </c>
      <c r="O212" t="s">
        <v>234</v>
      </c>
      <c r="P212">
        <v>0.15354524042948181</v>
      </c>
      <c r="Q212" t="s">
        <v>161</v>
      </c>
    </row>
    <row r="213" spans="9:17" x14ac:dyDescent="0.45">
      <c r="I213" t="s">
        <v>177</v>
      </c>
      <c r="J213" t="s">
        <v>235</v>
      </c>
      <c r="K213">
        <v>0</v>
      </c>
      <c r="L213" t="s">
        <v>161</v>
      </c>
      <c r="N213" t="s">
        <v>197</v>
      </c>
      <c r="O213" t="s">
        <v>235</v>
      </c>
      <c r="P213">
        <v>0.15957690638823219</v>
      </c>
      <c r="Q213" t="s">
        <v>161</v>
      </c>
    </row>
    <row r="214" spans="9:17" x14ac:dyDescent="0.45">
      <c r="I214" t="s">
        <v>177</v>
      </c>
      <c r="J214" t="s">
        <v>236</v>
      </c>
      <c r="K214">
        <v>6.7283584699035144E-4</v>
      </c>
      <c r="L214" t="s">
        <v>161</v>
      </c>
      <c r="N214" t="s">
        <v>197</v>
      </c>
      <c r="O214" t="s">
        <v>236</v>
      </c>
      <c r="P214">
        <v>3.0275759976838974E-2</v>
      </c>
      <c r="Q214" t="s">
        <v>161</v>
      </c>
    </row>
    <row r="215" spans="9:17" x14ac:dyDescent="0.45">
      <c r="I215" t="s">
        <v>178</v>
      </c>
      <c r="J215" t="s">
        <v>225</v>
      </c>
      <c r="K215">
        <v>0.15464481366483115</v>
      </c>
      <c r="L215" t="s">
        <v>161</v>
      </c>
      <c r="N215" t="s">
        <v>198</v>
      </c>
      <c r="O215" t="s">
        <v>225</v>
      </c>
      <c r="P215">
        <v>0.13239289026852008</v>
      </c>
      <c r="Q215" t="s">
        <v>161</v>
      </c>
    </row>
    <row r="216" spans="9:17" x14ac:dyDescent="0.45">
      <c r="I216" t="s">
        <v>178</v>
      </c>
      <c r="J216" t="s">
        <v>226</v>
      </c>
      <c r="K216">
        <v>0</v>
      </c>
      <c r="L216" t="s">
        <v>161</v>
      </c>
      <c r="N216" t="s">
        <v>198</v>
      </c>
      <c r="O216" t="s">
        <v>226</v>
      </c>
      <c r="P216">
        <v>0.1300242629252357</v>
      </c>
      <c r="Q216" t="s">
        <v>161</v>
      </c>
    </row>
    <row r="217" spans="9:17" x14ac:dyDescent="0.45">
      <c r="I217" t="s">
        <v>178</v>
      </c>
      <c r="J217" t="s">
        <v>227</v>
      </c>
      <c r="K217">
        <v>6.5238696918299881E-3</v>
      </c>
      <c r="L217" t="s">
        <v>161</v>
      </c>
      <c r="N217" t="s">
        <v>198</v>
      </c>
      <c r="O217" t="s">
        <v>227</v>
      </c>
      <c r="P217">
        <v>2.4536627810902323E-2</v>
      </c>
      <c r="Q217" t="s">
        <v>161</v>
      </c>
    </row>
    <row r="218" spans="9:17" x14ac:dyDescent="0.45">
      <c r="I218" t="s">
        <v>178</v>
      </c>
      <c r="J218" t="s">
        <v>228</v>
      </c>
      <c r="K218">
        <v>0.30402754747418442</v>
      </c>
      <c r="L218" t="s">
        <v>161</v>
      </c>
      <c r="N218" t="s">
        <v>198</v>
      </c>
      <c r="O218" t="s">
        <v>228</v>
      </c>
      <c r="P218">
        <v>0.11270969829927263</v>
      </c>
      <c r="Q218" t="s">
        <v>161</v>
      </c>
    </row>
    <row r="219" spans="9:17" x14ac:dyDescent="0.45">
      <c r="I219" t="s">
        <v>178</v>
      </c>
      <c r="J219" t="s">
        <v>229</v>
      </c>
      <c r="K219">
        <v>6.128828611785586E-3</v>
      </c>
      <c r="L219" t="s">
        <v>161</v>
      </c>
      <c r="N219" t="s">
        <v>198</v>
      </c>
      <c r="O219" t="s">
        <v>229</v>
      </c>
      <c r="P219">
        <v>0.11435029329950268</v>
      </c>
      <c r="Q219" t="s">
        <v>161</v>
      </c>
    </row>
    <row r="220" spans="9:17" x14ac:dyDescent="0.45">
      <c r="I220" t="s">
        <v>178</v>
      </c>
      <c r="J220" t="s">
        <v>230</v>
      </c>
      <c r="K220">
        <v>2.6395626080338623E-2</v>
      </c>
      <c r="L220" t="s">
        <v>161</v>
      </c>
      <c r="N220" t="s">
        <v>198</v>
      </c>
      <c r="O220" t="s">
        <v>230</v>
      </c>
      <c r="P220">
        <v>2.1179748514660108E-2</v>
      </c>
      <c r="Q220" t="s">
        <v>161</v>
      </c>
    </row>
    <row r="221" spans="9:17" x14ac:dyDescent="0.45">
      <c r="I221" t="s">
        <v>178</v>
      </c>
      <c r="J221" t="s">
        <v>231</v>
      </c>
      <c r="K221">
        <v>0.36647745307994395</v>
      </c>
      <c r="L221" t="s">
        <v>161</v>
      </c>
      <c r="N221" t="s">
        <v>198</v>
      </c>
      <c r="O221" t="s">
        <v>231</v>
      </c>
      <c r="P221">
        <v>6.2854256696872529E-2</v>
      </c>
      <c r="Q221" t="s">
        <v>161</v>
      </c>
    </row>
    <row r="222" spans="9:17" x14ac:dyDescent="0.45">
      <c r="I222" t="s">
        <v>178</v>
      </c>
      <c r="J222" t="s">
        <v>232</v>
      </c>
      <c r="K222">
        <v>1.9784318666550584E-2</v>
      </c>
      <c r="L222" t="s">
        <v>161</v>
      </c>
      <c r="N222" t="s">
        <v>198</v>
      </c>
      <c r="O222" t="s">
        <v>232</v>
      </c>
      <c r="P222">
        <v>6.6227968366499038E-2</v>
      </c>
      <c r="Q222" t="s">
        <v>161</v>
      </c>
    </row>
    <row r="223" spans="9:17" x14ac:dyDescent="0.45">
      <c r="I223" t="s">
        <v>178</v>
      </c>
      <c r="J223" t="s">
        <v>233</v>
      </c>
      <c r="K223">
        <v>4.1768620172015991E-2</v>
      </c>
      <c r="L223" t="s">
        <v>161</v>
      </c>
      <c r="N223" t="s">
        <v>198</v>
      </c>
      <c r="O223" t="s">
        <v>233</v>
      </c>
      <c r="P223">
        <v>1.1243888686688222E-2</v>
      </c>
      <c r="Q223" t="s">
        <v>161</v>
      </c>
    </row>
    <row r="224" spans="9:17" x14ac:dyDescent="0.45">
      <c r="I224" t="s">
        <v>178</v>
      </c>
      <c r="J224" t="s">
        <v>234</v>
      </c>
      <c r="K224">
        <v>7.3708876932451151E-2</v>
      </c>
      <c r="L224" t="s">
        <v>161</v>
      </c>
      <c r="N224" t="s">
        <v>198</v>
      </c>
      <c r="O224" t="s">
        <v>234</v>
      </c>
      <c r="P224">
        <v>0.14609514388414002</v>
      </c>
      <c r="Q224" t="s">
        <v>161</v>
      </c>
    </row>
    <row r="225" spans="9:17" x14ac:dyDescent="0.45">
      <c r="I225" t="s">
        <v>178</v>
      </c>
      <c r="J225" t="s">
        <v>235</v>
      </c>
      <c r="K225">
        <v>0</v>
      </c>
      <c r="L225" t="s">
        <v>161</v>
      </c>
      <c r="N225" t="s">
        <v>198</v>
      </c>
      <c r="O225" t="s">
        <v>235</v>
      </c>
      <c r="P225">
        <v>0.14908803832105674</v>
      </c>
      <c r="Q225" t="s">
        <v>161</v>
      </c>
    </row>
    <row r="226" spans="9:17" x14ac:dyDescent="0.45">
      <c r="I226" t="s">
        <v>178</v>
      </c>
      <c r="J226" t="s">
        <v>236</v>
      </c>
      <c r="K226">
        <v>5.4004562606586783E-4</v>
      </c>
      <c r="L226" t="s">
        <v>161</v>
      </c>
      <c r="N226" t="s">
        <v>198</v>
      </c>
      <c r="O226" t="s">
        <v>236</v>
      </c>
      <c r="P226">
        <v>2.9297182926649644E-2</v>
      </c>
      <c r="Q226" t="s">
        <v>161</v>
      </c>
    </row>
    <row r="227" spans="9:17" x14ac:dyDescent="0.45">
      <c r="I227" t="s">
        <v>179</v>
      </c>
      <c r="J227" t="s">
        <v>225</v>
      </c>
      <c r="K227">
        <v>0.1631328985866293</v>
      </c>
      <c r="L227" t="s">
        <v>161</v>
      </c>
      <c r="N227" t="s">
        <v>199</v>
      </c>
      <c r="O227" t="s">
        <v>225</v>
      </c>
      <c r="P227">
        <v>0.11339572242208756</v>
      </c>
      <c r="Q227" t="s">
        <v>161</v>
      </c>
    </row>
    <row r="228" spans="9:17" x14ac:dyDescent="0.45">
      <c r="I228" t="s">
        <v>179</v>
      </c>
      <c r="J228" t="s">
        <v>226</v>
      </c>
      <c r="K228">
        <v>0</v>
      </c>
      <c r="L228" t="s">
        <v>161</v>
      </c>
      <c r="N228" t="s">
        <v>199</v>
      </c>
      <c r="O228" t="s">
        <v>226</v>
      </c>
      <c r="P228">
        <v>0.12917244552668652</v>
      </c>
      <c r="Q228" t="s">
        <v>161</v>
      </c>
    </row>
    <row r="229" spans="9:17" x14ac:dyDescent="0.45">
      <c r="I229" t="s">
        <v>179</v>
      </c>
      <c r="J229" t="s">
        <v>227</v>
      </c>
      <c r="K229">
        <v>6.8661964429470868E-3</v>
      </c>
      <c r="L229" t="s">
        <v>161</v>
      </c>
      <c r="N229" t="s">
        <v>199</v>
      </c>
      <c r="O229" t="s">
        <v>227</v>
      </c>
      <c r="P229">
        <v>2.5673268929690952E-2</v>
      </c>
      <c r="Q229" t="s">
        <v>161</v>
      </c>
    </row>
    <row r="230" spans="9:17" x14ac:dyDescent="0.45">
      <c r="I230" t="s">
        <v>179</v>
      </c>
      <c r="J230" t="s">
        <v>228</v>
      </c>
      <c r="K230">
        <v>0.29464726707087108</v>
      </c>
      <c r="L230" t="s">
        <v>161</v>
      </c>
      <c r="N230" t="s">
        <v>199</v>
      </c>
      <c r="O230" t="s">
        <v>228</v>
      </c>
      <c r="P230">
        <v>9.7705456262231052E-2</v>
      </c>
      <c r="Q230" t="s">
        <v>161</v>
      </c>
    </row>
    <row r="231" spans="9:17" x14ac:dyDescent="0.45">
      <c r="I231" t="s">
        <v>179</v>
      </c>
      <c r="J231" t="s">
        <v>229</v>
      </c>
      <c r="K231">
        <v>5.1694602219128222E-3</v>
      </c>
      <c r="L231" t="s">
        <v>161</v>
      </c>
      <c r="N231" t="s">
        <v>199</v>
      </c>
      <c r="O231" t="s">
        <v>229</v>
      </c>
      <c r="P231">
        <v>0.12589120043493884</v>
      </c>
      <c r="Q231" t="s">
        <v>161</v>
      </c>
    </row>
    <row r="232" spans="9:17" x14ac:dyDescent="0.45">
      <c r="I232" t="s">
        <v>179</v>
      </c>
      <c r="J232" t="s">
        <v>230</v>
      </c>
      <c r="K232">
        <v>2.5026081658708711E-2</v>
      </c>
      <c r="L232" t="s">
        <v>161</v>
      </c>
      <c r="N232" t="s">
        <v>199</v>
      </c>
      <c r="O232" t="s">
        <v>230</v>
      </c>
      <c r="P232">
        <v>2.0013893581680563E-2</v>
      </c>
      <c r="Q232" t="s">
        <v>161</v>
      </c>
    </row>
    <row r="233" spans="9:17" x14ac:dyDescent="0.45">
      <c r="I233" t="s">
        <v>179</v>
      </c>
      <c r="J233" t="s">
        <v>231</v>
      </c>
      <c r="K233">
        <v>0.36243114341359489</v>
      </c>
      <c r="L233" t="s">
        <v>161</v>
      </c>
      <c r="N233" t="s">
        <v>199</v>
      </c>
      <c r="O233" t="s">
        <v>231</v>
      </c>
      <c r="P233">
        <v>5.3705694395369825E-2</v>
      </c>
      <c r="Q233" t="s">
        <v>161</v>
      </c>
    </row>
    <row r="234" spans="9:17" x14ac:dyDescent="0.45">
      <c r="I234" t="s">
        <v>179</v>
      </c>
      <c r="J234" t="s">
        <v>232</v>
      </c>
      <c r="K234">
        <v>1.7732040318542825E-2</v>
      </c>
      <c r="L234" t="s">
        <v>161</v>
      </c>
      <c r="N234" t="s">
        <v>199</v>
      </c>
      <c r="O234" t="s">
        <v>232</v>
      </c>
      <c r="P234">
        <v>6.5947661872648292E-2</v>
      </c>
      <c r="Q234" t="s">
        <v>161</v>
      </c>
    </row>
    <row r="235" spans="9:17" x14ac:dyDescent="0.45">
      <c r="I235" t="s">
        <v>179</v>
      </c>
      <c r="J235" t="s">
        <v>233</v>
      </c>
      <c r="K235">
        <v>3.955411354053974E-2</v>
      </c>
      <c r="L235" t="s">
        <v>161</v>
      </c>
      <c r="N235" t="s">
        <v>199</v>
      </c>
      <c r="O235" t="s">
        <v>233</v>
      </c>
      <c r="P235">
        <v>1.0346325653968529E-2</v>
      </c>
      <c r="Q235" t="s">
        <v>161</v>
      </c>
    </row>
    <row r="236" spans="9:17" x14ac:dyDescent="0.45">
      <c r="I236" t="s">
        <v>179</v>
      </c>
      <c r="J236" t="s">
        <v>234</v>
      </c>
      <c r="K236">
        <v>8.4745112537106607E-2</v>
      </c>
      <c r="L236" t="s">
        <v>161</v>
      </c>
      <c r="N236" t="s">
        <v>199</v>
      </c>
      <c r="O236" t="s">
        <v>234</v>
      </c>
      <c r="P236">
        <v>0.16035041380106335</v>
      </c>
      <c r="Q236" t="s">
        <v>161</v>
      </c>
    </row>
    <row r="237" spans="9:17" x14ac:dyDescent="0.45">
      <c r="I237" t="s">
        <v>179</v>
      </c>
      <c r="J237" t="s">
        <v>235</v>
      </c>
      <c r="K237">
        <v>0</v>
      </c>
      <c r="L237" t="s">
        <v>161</v>
      </c>
      <c r="N237" t="s">
        <v>199</v>
      </c>
      <c r="O237" t="s">
        <v>235</v>
      </c>
      <c r="P237">
        <v>0.16528964874167537</v>
      </c>
      <c r="Q237" t="s">
        <v>161</v>
      </c>
    </row>
    <row r="238" spans="9:17" x14ac:dyDescent="0.45">
      <c r="I238" t="s">
        <v>179</v>
      </c>
      <c r="J238" t="s">
        <v>236</v>
      </c>
      <c r="K238">
        <v>6.9568620914811164E-4</v>
      </c>
      <c r="L238" t="s">
        <v>161</v>
      </c>
      <c r="N238" t="s">
        <v>199</v>
      </c>
      <c r="O238" t="s">
        <v>236</v>
      </c>
      <c r="P238">
        <v>3.2508268377960572E-2</v>
      </c>
      <c r="Q238" t="s">
        <v>161</v>
      </c>
    </row>
    <row r="239" spans="9:17" x14ac:dyDescent="0.45">
      <c r="I239" t="s">
        <v>180</v>
      </c>
      <c r="J239" t="s">
        <v>225</v>
      </c>
      <c r="K239">
        <v>0.15986748573030635</v>
      </c>
      <c r="L239" t="s">
        <v>161</v>
      </c>
      <c r="N239" t="s">
        <v>200</v>
      </c>
      <c r="O239" t="s">
        <v>225</v>
      </c>
      <c r="P239">
        <v>0.11776647773773191</v>
      </c>
      <c r="Q239" t="s">
        <v>161</v>
      </c>
    </row>
    <row r="240" spans="9:17" x14ac:dyDescent="0.45">
      <c r="I240" t="s">
        <v>180</v>
      </c>
      <c r="J240" t="s">
        <v>226</v>
      </c>
      <c r="K240">
        <v>0</v>
      </c>
      <c r="L240" t="s">
        <v>161</v>
      </c>
      <c r="N240" t="s">
        <v>200</v>
      </c>
      <c r="O240" t="s">
        <v>226</v>
      </c>
      <c r="P240">
        <v>0.13064870170854589</v>
      </c>
      <c r="Q240" t="s">
        <v>161</v>
      </c>
    </row>
    <row r="241" spans="9:17" x14ac:dyDescent="0.45">
      <c r="I241" t="s">
        <v>180</v>
      </c>
      <c r="J241" t="s">
        <v>227</v>
      </c>
      <c r="K241">
        <v>6.145219881092844E-3</v>
      </c>
      <c r="L241" t="s">
        <v>161</v>
      </c>
      <c r="N241" t="s">
        <v>200</v>
      </c>
      <c r="O241" t="s">
        <v>227</v>
      </c>
      <c r="P241">
        <v>2.3617261745249432E-2</v>
      </c>
      <c r="Q241" t="s">
        <v>161</v>
      </c>
    </row>
    <row r="242" spans="9:17" x14ac:dyDescent="0.45">
      <c r="I242" t="s">
        <v>180</v>
      </c>
      <c r="J242" t="s">
        <v>228</v>
      </c>
      <c r="K242">
        <v>0.30124685927215222</v>
      </c>
      <c r="L242" t="s">
        <v>161</v>
      </c>
      <c r="N242" t="s">
        <v>200</v>
      </c>
      <c r="O242" t="s">
        <v>228</v>
      </c>
      <c r="P242">
        <v>0.10300255108068275</v>
      </c>
      <c r="Q242" t="s">
        <v>161</v>
      </c>
    </row>
    <row r="243" spans="9:17" x14ac:dyDescent="0.45">
      <c r="I243" t="s">
        <v>180</v>
      </c>
      <c r="J243" t="s">
        <v>229</v>
      </c>
      <c r="K243">
        <v>5.5725330442210853E-3</v>
      </c>
      <c r="L243" t="s">
        <v>161</v>
      </c>
      <c r="N243" t="s">
        <v>200</v>
      </c>
      <c r="O243" t="s">
        <v>229</v>
      </c>
      <c r="P243">
        <v>0.12786275191482502</v>
      </c>
      <c r="Q243" t="s">
        <v>161</v>
      </c>
    </row>
    <row r="244" spans="9:17" x14ac:dyDescent="0.45">
      <c r="I244" t="s">
        <v>180</v>
      </c>
      <c r="J244" t="s">
        <v>230</v>
      </c>
      <c r="K244">
        <v>2.5743361936452845E-2</v>
      </c>
      <c r="L244" t="s">
        <v>161</v>
      </c>
      <c r="N244" t="s">
        <v>200</v>
      </c>
      <c r="O244" t="s">
        <v>230</v>
      </c>
      <c r="P244">
        <v>1.9142255365904616E-2</v>
      </c>
      <c r="Q244" t="s">
        <v>161</v>
      </c>
    </row>
    <row r="245" spans="9:17" x14ac:dyDescent="0.45">
      <c r="I245" t="s">
        <v>180</v>
      </c>
      <c r="J245" t="s">
        <v>231</v>
      </c>
      <c r="K245">
        <v>0.36255423828976124</v>
      </c>
      <c r="L245" t="s">
        <v>161</v>
      </c>
      <c r="N245" t="s">
        <v>200</v>
      </c>
      <c r="O245" t="s">
        <v>231</v>
      </c>
      <c r="P245">
        <v>5.5477416272517045E-2</v>
      </c>
      <c r="Q245" t="s">
        <v>161</v>
      </c>
    </row>
    <row r="246" spans="9:17" x14ac:dyDescent="0.45">
      <c r="I246" t="s">
        <v>180</v>
      </c>
      <c r="J246" t="s">
        <v>232</v>
      </c>
      <c r="K246">
        <v>1.7930603888623324E-2</v>
      </c>
      <c r="L246" t="s">
        <v>161</v>
      </c>
      <c r="N246" t="s">
        <v>200</v>
      </c>
      <c r="O246" t="s">
        <v>232</v>
      </c>
      <c r="P246">
        <v>7.0356292279453989E-2</v>
      </c>
      <c r="Q246" t="s">
        <v>161</v>
      </c>
    </row>
    <row r="247" spans="9:17" x14ac:dyDescent="0.45">
      <c r="I247" t="s">
        <v>180</v>
      </c>
      <c r="J247" t="s">
        <v>233</v>
      </c>
      <c r="K247">
        <v>4.0249185852881182E-2</v>
      </c>
      <c r="L247" t="s">
        <v>161</v>
      </c>
      <c r="N247" t="s">
        <v>200</v>
      </c>
      <c r="O247" t="s">
        <v>233</v>
      </c>
      <c r="P247">
        <v>9.916810220771911E-3</v>
      </c>
      <c r="Q247" t="s">
        <v>161</v>
      </c>
    </row>
    <row r="248" spans="9:17" x14ac:dyDescent="0.45">
      <c r="I248" t="s">
        <v>180</v>
      </c>
      <c r="J248" t="s">
        <v>234</v>
      </c>
      <c r="K248">
        <v>8.018166047995505E-2</v>
      </c>
      <c r="L248" t="s">
        <v>161</v>
      </c>
      <c r="N248" t="s">
        <v>200</v>
      </c>
      <c r="O248" t="s">
        <v>234</v>
      </c>
      <c r="P248">
        <v>0.15195709471197072</v>
      </c>
      <c r="Q248" t="s">
        <v>161</v>
      </c>
    </row>
    <row r="249" spans="9:17" x14ac:dyDescent="0.45">
      <c r="I249" t="s">
        <v>180</v>
      </c>
      <c r="J249" t="s">
        <v>235</v>
      </c>
      <c r="K249">
        <v>0</v>
      </c>
      <c r="L249" t="s">
        <v>161</v>
      </c>
      <c r="N249" t="s">
        <v>200</v>
      </c>
      <c r="O249" t="s">
        <v>235</v>
      </c>
      <c r="P249">
        <v>0.15998726470065508</v>
      </c>
      <c r="Q249" t="s">
        <v>161</v>
      </c>
    </row>
    <row r="250" spans="9:17" x14ac:dyDescent="0.45">
      <c r="I250" t="s">
        <v>180</v>
      </c>
      <c r="J250" t="s">
        <v>236</v>
      </c>
      <c r="K250">
        <v>5.0885162455359867E-4</v>
      </c>
      <c r="L250" t="s">
        <v>161</v>
      </c>
      <c r="N250" t="s">
        <v>200</v>
      </c>
      <c r="O250" t="s">
        <v>236</v>
      </c>
      <c r="P250">
        <v>3.0265122261687968E-2</v>
      </c>
      <c r="Q25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2025-11-19T08:18:11Z</dcterms:modified>
</cp:coreProperties>
</file>