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SuppXLS\"/>
    </mc:Choice>
  </mc:AlternateContent>
  <xr:revisionPtr revIDLastSave="0" documentId="8_{BDE937DB-F127-4121-9C2D-08915C10B85E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<sst xmlns="http://schemas.openxmlformats.org/spreadsheetml/2006/main" count="11434" uniqueCount="293">
  <si>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</si>
  <si>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</si>
  <si>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</si>
  <si>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</si>
  <si>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</si>
  <si>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</si>
  <si>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</si>
  <si>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</si>
  <si>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</si>
  <si>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</si>
  <si>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</si>
  <si>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</si>
  <si>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</si>
  <si>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</si>
  <si>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</si>
  <si>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</si>
  <si>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</si>
  <si>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</si>
  <si>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</si>
  <si>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</si>
  <si>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</si>
  <si>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</si>
  <si>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</si>
  <si>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</si>
  <si>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</si>
  <si>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</si>
  <si>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</si>
  <si>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</si>
  <si>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</si>
  <si>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</si>
  <si>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</si>
  <si>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</si>
  <si>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</si>
  <si>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</si>
  <si>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</si>
  <si>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</si>
  <si>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</si>
  <si>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</si>
  <si>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</si>
  <si>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</si>
  <si>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</si>
  <si>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</si>
  <si>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</si>
  <si>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</si>
  <si>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</si>
  <si>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</si>
  <si>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</si>
  <si>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</si>
  <si>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</si>
  <si>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</si>
  <si>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</si>
  <si>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</si>
  <si>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</si>
  <si>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</si>
  <si>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</si>
  <si>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</si>
  <si>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</si>
  <si>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</si>
  <si>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</si>
  <si>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</si>
  <si>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</si>
  <si>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</si>
  <si>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</si>
  <si>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</si>
  <si>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</si>
  <si>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</si>
  <si>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</si>
  <si>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</si>
  <si>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</si>
  <si>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</si>
  <si>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</si>
  <si>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</si>
  <si>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</si>
  <si>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</si>
  <si>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</si>
  <si>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</si>
  <si>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</si>
  <si>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</si>
  <si>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</si>
  <si>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</si>
  <si>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</si>
  <si>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</si>
  <si>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</si>
  <si>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</si>
  <si>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</si>
  <si>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</si>
  <si>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</si>
  <si>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</si>
  <si>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</si>
  <si>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</si>
  <si>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</si>
  <si>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</si>
  <si>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</si>
  <si>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</si>
  <si>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</si>
  <si>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</si>
  <si>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</si>
  <si>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</si>
  <si>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</si>
  <si>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</si>
  <si>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</si>
  <si>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</si>
  <si>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</si>
  <si>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</si>
  <si>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</si>
  <si>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</si>
  <si>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</si>
  <si>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</si>
  <si>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</si>
  <si>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</si>
  <si>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</si>
  <si>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</si>
  <si>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</si>
  <si>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</si>
  <si>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</si>
  <si>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</si>
  <si>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</si>
  <si>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</si>
  <si>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</si>
  <si>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</si>
  <si>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</si>
  <si>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</si>
  <si>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</si>
  <si>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</si>
  <si>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</si>
  <si>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</si>
  <si>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</si>
  <si>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</si>
  <si>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</si>
  <si>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</si>
  <si>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</si>
  <si>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</si>
  <si>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</si>
  <si>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</si>
  <si>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</si>
  <si>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</si>
  <si>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</si>
  <si>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</si>
  <si>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</si>
  <si>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</si>
  <si>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</si>
  <si>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</si>
  <si>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</si>
  <si>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SWE</t>
  </si>
  <si>
    <t>R10EUROPE</t>
  </si>
  <si>
    <t>Nordic pricing, strong forestry sector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</si>
  <si>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</si>
  <si>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</si>
  <si>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</si>
  <si>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</si>
  <si>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</si>
  <si>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</si>
  <si>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</si>
  <si>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</si>
  <si>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</si>
  <si>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</si>
  <si>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</si>
  <si>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</si>
  <si>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</si>
  <si>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</si>
  <si>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</si>
  <si>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</si>
  <si>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</si>
  <si>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</si>
  <si>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</si>
  <si>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</si>
  <si>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</si>
  <si>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</si>
  <si>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</si>
  <si>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</si>
  <si>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</si>
  <si>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</si>
  <si>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</si>
  <si>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</si>
  <si>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</si>
  <si>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</si>
  <si>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</si>
  <si>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</si>
  <si>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</si>
  <si>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</si>
  <si>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</si>
  <si>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</si>
  <si>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</si>
  <si>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</si>
  <si>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</si>
  <si>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</si>
  <si>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</si>
  <si>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</si>
  <si>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</si>
  <si>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</si>
  <si>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</si>
  <si>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</si>
  <si>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</si>
  <si>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</si>
  <si>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</si>
  <si>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</si>
  <si>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</si>
  <si>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</si>
  <si>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</si>
  <si>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</si>
  <si>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</si>
  <si>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</si>
  <si>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</si>
  <si>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</si>
  <si>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</si>
  <si>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</si>
  <si>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</si>
  <si>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</si>
  <si>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</si>
  <si>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</si>
  <si>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</si>
  <si>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</si>
  <si>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</si>
  <si>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</si>
  <si>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</si>
  <si>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</si>
  <si>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</si>
  <si>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g_yrfr</t>
  </si>
  <si>
    <t>day_night</t>
  </si>
  <si>
    <t>D</t>
  </si>
  <si>
    <t>S01aH03,S03aH03,S02aH03</t>
  </si>
  <si>
    <t>N</t>
  </si>
  <si>
    <t>S02aH01,S03aH02,S02aH02,S01aH01,S01aH02,S03aH01</t>
  </si>
  <si>
    <t>com_pkflx</t>
  </si>
  <si>
    <t>ncap_afs</t>
  </si>
  <si>
    <t>pset_ci</t>
  </si>
  <si>
    <t>hydro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</si>
  <si>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</si>
  <si>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</si>
  <si>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</si>
  <si>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</si>
  <si>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</si>
  <si>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</si>
  <si>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</si>
  <si>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</si>
  <si>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</si>
  <si>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</si>
  <si>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</si>
  <si>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</si>
  <si>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</si>
  <si>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</si>
  <si>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</si>
  <si>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</si>
  <si>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</si>
  <si>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</si>
  <si>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</si>
  <si>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</si>
  <si>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</si>
  <si>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</si>
  <si>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</si>
  <si>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</si>
  <si>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</si>
  <si>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</si>
  <si>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</si>
  <si>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</si>
  <si>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</si>
  <si>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</si>
  <si>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</si>
  <si>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</si>
  <si>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</si>
  <si>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</si>
  <si>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</si>
  <si>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</si>
  <si>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</si>
  <si>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</si>
  <si>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</si>
  <si>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</si>
  <si>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</si>
  <si>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S02aH03,S07aH03,S06aH03,S03aH03,S01aH03,S05aH03,S04aH03</t>
  </si>
  <si>
    <t>S01aH02,S04aH04,S01aH01,S04aH01,S04aH06,S05aH04,S06aH02,S02aH06,S03aH05,S05aH05,S06aH04,S01aH06,S07aH01,S03aH04,S02aH02,S06aH06,S04aH02,S02aH04,S02aH05,S07aH04,S03aH01,S04aH05,S06aH01,S03aH02,S07aH05,S01aH04,S05aH01,S07aH02,S07aH06,S01aH05,S03aH06,S06aH05,S02aH01,S05aH02,S05aH06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</si>
  <si>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</si>
  <si>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</si>
  <si>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</si>
  <si>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</si>
  <si>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</si>
  <si>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</si>
  <si>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</si>
  <si>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</si>
  <si>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</si>
  <si>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</si>
  <si>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</si>
  <si>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</si>
  <si>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</si>
  <si>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</si>
  <si>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</si>
  <si>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</si>
  <si>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</si>
  <si>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</si>
  <si>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</si>
  <si>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</si>
  <si>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</si>
  <si>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FaP,SaP,SaD,WaD,RaD,FaD,WaP,RaP</t>
  </si>
  <si>
    <t>FaP,SaP,SaN,WaN,RaP,RaN,WaP,FaN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</si>
</sst>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138.66999999999999</c:v>
                </c:pt>
                <c:pt idx="1">
                  <c:v>145.6035</c:v>
                </c:pt>
                <c:pt idx="2">
                  <c:v>162.24389999999997</c:v>
                </c:pt>
                <c:pt idx="3">
                  <c:v>183.0444</c:v>
                </c:pt>
                <c:pt idx="4">
                  <c:v>208.005</c:v>
                </c:pt>
                <c:pt idx="5">
                  <c:v>232.96559999999997</c:v>
                </c:pt>
                <c:pt idx="6">
                  <c:v>250.99269999999999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138.66999999999999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138.66999999999999</v>
      </c>
      <c r="U14" s="8">
        <f t="shared" ref="U14:Z14" si="3">$S$12*J15</f>
        <v>145.6035</v>
      </c>
      <c r="V14" s="8">
        <f t="shared" si="3"/>
        <v>162.24389999999997</v>
      </c>
      <c r="W14" s="8">
        <f t="shared" si="3"/>
        <v>183.0444</v>
      </c>
      <c r="X14" s="8">
        <f t="shared" si="3"/>
        <v>208.005</v>
      </c>
      <c r="Y14" s="8">
        <f t="shared" si="3"/>
        <v>232.96559999999997</v>
      </c>
      <c r="Z14" s="8">
        <f t="shared" si="3"/>
        <v>250.99269999999999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1.6224389999999997</v>
      </c>
      <c r="W18" s="6">
        <f t="shared" si="7"/>
        <v>1.830444</v>
      </c>
      <c r="X18" s="6">
        <f t="shared" si="7"/>
        <v>2.08005</v>
      </c>
      <c r="Y18" s="6">
        <f t="shared" si="7"/>
        <v>4.659311999999999</v>
      </c>
      <c r="Z18" s="6">
        <f t="shared" si="7"/>
        <v>7.5297809999999989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49.921199999999992</v>
      </c>
      <c r="U19" s="6">
        <f t="shared" si="7"/>
        <v>46.593119999999999</v>
      </c>
      <c r="V19" s="6">
        <f t="shared" si="7"/>
        <v>50.295608999999992</v>
      </c>
      <c r="W19" s="6">
        <f t="shared" si="7"/>
        <v>53.082875999999992</v>
      </c>
      <c r="X19" s="6">
        <f t="shared" si="7"/>
        <v>60.321449999999992</v>
      </c>
      <c r="Y19" s="6">
        <f t="shared" si="7"/>
        <v>67.560023999999984</v>
      </c>
      <c r="Z19" s="6">
        <f t="shared" si="7"/>
        <v>75.297809999999998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83.201999999999984</v>
      </c>
      <c r="U20" s="6">
        <f t="shared" si="7"/>
        <v>87.362099999999998</v>
      </c>
      <c r="V20" s="6">
        <f t="shared" si="7"/>
        <v>97.346339999999984</v>
      </c>
      <c r="W20" s="6">
        <f t="shared" si="7"/>
        <v>104.33530799999998</v>
      </c>
      <c r="X20" s="6">
        <f t="shared" si="7"/>
        <v>112.32270000000001</v>
      </c>
      <c r="Y20" s="6">
        <f t="shared" si="7"/>
        <v>121.14211199999998</v>
      </c>
      <c r="Z20" s="6">
        <f t="shared" si="7"/>
        <v>133.02613099999999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4.1600999999999999</v>
      </c>
      <c r="U21" s="6">
        <f t="shared" ref="U21:Z21" si="8">T21</f>
        <v>4.1600999999999999</v>
      </c>
      <c r="V21" s="6">
        <f t="shared" si="8"/>
        <v>4.1600999999999999</v>
      </c>
      <c r="W21" s="6">
        <f t="shared" si="8"/>
        <v>4.1600999999999999</v>
      </c>
      <c r="X21" s="6">
        <f t="shared" si="8"/>
        <v>4.1600999999999999</v>
      </c>
      <c r="Y21" s="6">
        <f t="shared" si="8"/>
        <v>4.1600999999999999</v>
      </c>
      <c r="Z21" s="6">
        <f t="shared" si="8"/>
        <v>4.1600999999999999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1.3867000000000189</v>
      </c>
      <c r="U22" s="6">
        <f t="shared" si="9"/>
        <v>7.4881799999999998</v>
      </c>
      <c r="V22" s="6">
        <f t="shared" si="9"/>
        <v>10.441850999999986</v>
      </c>
      <c r="W22" s="6">
        <f t="shared" si="9"/>
        <v>21.466116000000028</v>
      </c>
      <c r="X22" s="6">
        <f t="shared" si="9"/>
        <v>31.200749999999999</v>
      </c>
      <c r="Y22" s="6">
        <f t="shared" si="9"/>
        <v>40.103363999999999</v>
      </c>
      <c r="Z22" s="6">
        <f t="shared" si="9"/>
        <v>38.508658999999994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6.18</v>
      </c>
      <c r="S28" t="s">
        <v>32</v>
      </c>
      <c r="T28" s="3">
        <f>Q28</f>
        <v>6.18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-39.4</v>
      </c>
      <c r="S29" t="s">
        <v>35</v>
      </c>
      <c r="T29" s="3">
        <f>-1*Q29</f>
        <v>39.4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22</v>
      </c>
      <c r="O48">
        <f>VLOOKUP($E$5,$AK$9:$AM$15,3,FALSE)*I48</f>
        <v>66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0</v>
      </c>
      <c r="D84">
        <v>0</v>
      </c>
      <c r="E84">
        <v>0</v>
      </c>
      <c r="F84" t="s">
        <v>149</v>
      </c>
    </row>
    <row r="85" spans="1:6" x14ac:dyDescent="0.45">
      <c r="A85" t="s">
        <v>32</v>
      </c>
      <c r="B85" t="s">
        <v>148</v>
      </c>
      <c r="C85">
        <v>9.2449999999999992</v>
      </c>
      <c r="D85">
        <v>11.925000000000001</v>
      </c>
      <c r="E85">
        <v>13.425000000000001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18</v>
      </c>
      <c r="I11">
        <v>26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72.400000000000006</v>
      </c>
      <c r="D11">
        <v>68.59</v>
      </c>
      <c r="E11">
        <v>3.19</v>
      </c>
      <c r="F11">
        <v>0</v>
      </c>
      <c r="G11">
        <v>18.309999999999999</v>
      </c>
      <c r="H11">
        <v>-13.63</v>
      </c>
      <c r="I11">
        <v>140.96</v>
      </c>
    </row>
    <row r="12" spans="1:9" x14ac:dyDescent="0.45">
      <c r="A12" t="s">
        <v>143</v>
      </c>
      <c r="B12">
        <v>2001</v>
      </c>
      <c r="C12">
        <v>74.58</v>
      </c>
      <c r="D12">
        <v>71.52</v>
      </c>
      <c r="E12">
        <v>2.86</v>
      </c>
      <c r="F12">
        <v>0</v>
      </c>
      <c r="G12">
        <v>11.16</v>
      </c>
      <c r="H12">
        <v>-18.45</v>
      </c>
      <c r="I12">
        <v>157.69</v>
      </c>
    </row>
    <row r="13" spans="1:9" x14ac:dyDescent="0.45">
      <c r="A13" t="s">
        <v>143</v>
      </c>
      <c r="B13">
        <v>2002</v>
      </c>
      <c r="C13">
        <v>73.42</v>
      </c>
      <c r="D13">
        <v>70.790000000000006</v>
      </c>
      <c r="E13">
        <v>2.87</v>
      </c>
      <c r="F13">
        <v>0</v>
      </c>
      <c r="G13">
        <v>20.11</v>
      </c>
      <c r="H13">
        <v>-14.75</v>
      </c>
      <c r="I13">
        <v>143.26</v>
      </c>
    </row>
    <row r="14" spans="1:9" x14ac:dyDescent="0.45">
      <c r="A14" t="s">
        <v>143</v>
      </c>
      <c r="B14">
        <v>2003</v>
      </c>
      <c r="C14">
        <v>70.5</v>
      </c>
      <c r="D14">
        <v>70.5</v>
      </c>
      <c r="E14">
        <v>2.84</v>
      </c>
      <c r="F14">
        <v>0</v>
      </c>
      <c r="G14">
        <v>24.29</v>
      </c>
      <c r="H14">
        <v>-11.46</v>
      </c>
      <c r="I14">
        <v>132.83000000000001</v>
      </c>
    </row>
    <row r="15" spans="1:9" x14ac:dyDescent="0.45">
      <c r="A15" t="s">
        <v>143</v>
      </c>
      <c r="B15">
        <v>2004</v>
      </c>
      <c r="C15">
        <v>72.16</v>
      </c>
      <c r="D15">
        <v>70.180000000000007</v>
      </c>
      <c r="E15">
        <v>2.99</v>
      </c>
      <c r="F15">
        <v>0</v>
      </c>
      <c r="G15">
        <v>15.65</v>
      </c>
      <c r="H15">
        <v>-17.75</v>
      </c>
      <c r="I15">
        <v>149.34</v>
      </c>
    </row>
    <row r="16" spans="1:9" x14ac:dyDescent="0.45">
      <c r="A16" t="s">
        <v>143</v>
      </c>
      <c r="B16">
        <v>2005</v>
      </c>
      <c r="C16">
        <v>73.94</v>
      </c>
      <c r="D16">
        <v>70.319999999999993</v>
      </c>
      <c r="E16">
        <v>2.82</v>
      </c>
      <c r="F16">
        <v>0</v>
      </c>
      <c r="G16">
        <v>14.58</v>
      </c>
      <c r="H16">
        <v>-21.97</v>
      </c>
      <c r="I16">
        <v>156.16999999999999</v>
      </c>
    </row>
    <row r="17" spans="1:9" x14ac:dyDescent="0.45">
      <c r="A17" t="s">
        <v>143</v>
      </c>
      <c r="B17">
        <v>2006</v>
      </c>
      <c r="C17">
        <v>72.180000000000007</v>
      </c>
      <c r="D17">
        <v>70.58</v>
      </c>
      <c r="E17">
        <v>2.88</v>
      </c>
      <c r="F17">
        <v>0</v>
      </c>
      <c r="G17">
        <v>17.54</v>
      </c>
      <c r="H17">
        <v>-11.5</v>
      </c>
      <c r="I17">
        <v>141.37</v>
      </c>
    </row>
    <row r="18" spans="1:9" x14ac:dyDescent="0.45">
      <c r="A18" t="s">
        <v>143</v>
      </c>
      <c r="B18">
        <v>2007</v>
      </c>
      <c r="C18">
        <v>73.3</v>
      </c>
      <c r="D18">
        <v>70.17</v>
      </c>
      <c r="E18">
        <v>2.93</v>
      </c>
      <c r="F18">
        <v>0</v>
      </c>
      <c r="G18">
        <v>16.05</v>
      </c>
      <c r="H18">
        <v>-14.74</v>
      </c>
      <c r="I18">
        <v>146.91</v>
      </c>
    </row>
    <row r="19" spans="1:9" x14ac:dyDescent="0.45">
      <c r="A19" t="s">
        <v>143</v>
      </c>
      <c r="B19">
        <v>2008</v>
      </c>
      <c r="C19">
        <v>73.260000000000005</v>
      </c>
      <c r="D19">
        <v>68.61</v>
      </c>
      <c r="E19">
        <v>2.37</v>
      </c>
      <c r="F19">
        <v>0</v>
      </c>
      <c r="G19">
        <v>12.75</v>
      </c>
      <c r="H19">
        <v>-14.72</v>
      </c>
      <c r="I19">
        <v>148.16999999999999</v>
      </c>
    </row>
    <row r="20" spans="1:9" x14ac:dyDescent="0.45">
      <c r="A20" t="s">
        <v>143</v>
      </c>
      <c r="B20">
        <v>2009</v>
      </c>
      <c r="C20">
        <v>65.69</v>
      </c>
      <c r="D20">
        <v>69.52</v>
      </c>
      <c r="E20">
        <v>2.44</v>
      </c>
      <c r="F20">
        <v>0</v>
      </c>
      <c r="G20">
        <v>13.76</v>
      </c>
      <c r="H20">
        <v>-9.08</v>
      </c>
      <c r="I20">
        <v>134.99</v>
      </c>
    </row>
    <row r="21" spans="1:9" x14ac:dyDescent="0.45">
      <c r="A21" t="s">
        <v>143</v>
      </c>
      <c r="B21">
        <v>2010</v>
      </c>
      <c r="C21">
        <v>69.2</v>
      </c>
      <c r="D21">
        <v>74.430000000000007</v>
      </c>
      <c r="E21">
        <v>2.4</v>
      </c>
      <c r="F21">
        <v>0</v>
      </c>
      <c r="G21">
        <v>14.93</v>
      </c>
      <c r="H21">
        <v>-12.85</v>
      </c>
      <c r="I21">
        <v>146.83000000000001</v>
      </c>
    </row>
    <row r="22" spans="1:9" x14ac:dyDescent="0.45">
      <c r="A22" t="s">
        <v>143</v>
      </c>
      <c r="B22">
        <v>2011</v>
      </c>
      <c r="C22">
        <v>68.78</v>
      </c>
      <c r="D22">
        <v>68.19</v>
      </c>
      <c r="E22">
        <v>2.64</v>
      </c>
      <c r="F22">
        <v>0</v>
      </c>
      <c r="G22">
        <v>12.48</v>
      </c>
      <c r="H22">
        <v>-19.71</v>
      </c>
      <c r="I22">
        <v>148.94999999999999</v>
      </c>
    </row>
    <row r="23" spans="1:9" x14ac:dyDescent="0.45">
      <c r="A23" t="s">
        <v>143</v>
      </c>
      <c r="B23">
        <v>2012</v>
      </c>
      <c r="C23">
        <v>69.709999999999994</v>
      </c>
      <c r="D23">
        <v>70.52</v>
      </c>
      <c r="E23">
        <v>2.68</v>
      </c>
      <c r="F23">
        <v>0</v>
      </c>
      <c r="G23">
        <v>11.68</v>
      </c>
      <c r="H23">
        <v>-31.26</v>
      </c>
      <c r="I23">
        <v>164.64</v>
      </c>
    </row>
    <row r="24" spans="1:9" x14ac:dyDescent="0.45">
      <c r="A24" t="s">
        <v>143</v>
      </c>
      <c r="B24">
        <v>2013</v>
      </c>
      <c r="C24">
        <v>66.510000000000005</v>
      </c>
      <c r="D24">
        <v>70.25</v>
      </c>
      <c r="E24">
        <v>2.75</v>
      </c>
      <c r="F24">
        <v>0</v>
      </c>
      <c r="G24">
        <v>12.67</v>
      </c>
      <c r="H24">
        <v>-22.68</v>
      </c>
      <c r="I24">
        <v>151.57</v>
      </c>
    </row>
    <row r="25" spans="1:9" x14ac:dyDescent="0.45">
      <c r="A25" t="s">
        <v>143</v>
      </c>
      <c r="B25">
        <v>2014</v>
      </c>
      <c r="C25">
        <v>62.68</v>
      </c>
      <c r="D25">
        <v>68.849999999999994</v>
      </c>
      <c r="E25">
        <v>2.62</v>
      </c>
      <c r="F25">
        <v>0</v>
      </c>
      <c r="G25">
        <v>13.85</v>
      </c>
      <c r="H25">
        <v>-29.48</v>
      </c>
      <c r="I25">
        <v>151.75</v>
      </c>
    </row>
    <row r="26" spans="1:9" x14ac:dyDescent="0.45">
      <c r="A26" t="s">
        <v>143</v>
      </c>
      <c r="B26">
        <v>2015</v>
      </c>
      <c r="C26">
        <v>61.39</v>
      </c>
      <c r="D26">
        <v>71.98</v>
      </c>
      <c r="E26">
        <v>2.6</v>
      </c>
      <c r="F26">
        <v>0</v>
      </c>
      <c r="G26">
        <v>9.2899999999999991</v>
      </c>
      <c r="H26">
        <v>-31.89</v>
      </c>
      <c r="I26">
        <v>160.51</v>
      </c>
    </row>
    <row r="27" spans="1:9" x14ac:dyDescent="0.45">
      <c r="A27" t="s">
        <v>143</v>
      </c>
      <c r="B27">
        <v>2016</v>
      </c>
      <c r="C27">
        <v>63.35</v>
      </c>
      <c r="D27">
        <v>74.540000000000006</v>
      </c>
      <c r="E27">
        <v>2.66</v>
      </c>
      <c r="F27">
        <v>0</v>
      </c>
      <c r="G27">
        <v>14.29</v>
      </c>
      <c r="H27">
        <v>-26.02</v>
      </c>
      <c r="I27">
        <v>154.44999999999999</v>
      </c>
    </row>
    <row r="28" spans="1:9" x14ac:dyDescent="0.45">
      <c r="A28" t="s">
        <v>143</v>
      </c>
      <c r="B28">
        <v>2017</v>
      </c>
      <c r="C28">
        <v>65.209999999999994</v>
      </c>
      <c r="D28">
        <v>73.84</v>
      </c>
      <c r="E28">
        <v>2.48</v>
      </c>
      <c r="F28">
        <v>0</v>
      </c>
      <c r="G28">
        <v>11.9</v>
      </c>
      <c r="H28">
        <v>-30.89</v>
      </c>
      <c r="I28">
        <v>162.68</v>
      </c>
    </row>
    <row r="29" spans="1:9" x14ac:dyDescent="0.45">
      <c r="A29" t="s">
        <v>143</v>
      </c>
      <c r="B29">
        <v>2018</v>
      </c>
      <c r="C29">
        <v>66.069999999999993</v>
      </c>
      <c r="D29">
        <v>74.27</v>
      </c>
      <c r="E29">
        <v>2.57</v>
      </c>
      <c r="F29">
        <v>0</v>
      </c>
      <c r="G29">
        <v>12.2</v>
      </c>
      <c r="H29">
        <v>-29.42</v>
      </c>
      <c r="I29">
        <v>162.07</v>
      </c>
    </row>
    <row r="30" spans="1:9" x14ac:dyDescent="0.45">
      <c r="A30" t="s">
        <v>143</v>
      </c>
      <c r="B30">
        <v>2019</v>
      </c>
      <c r="C30">
        <v>63.73</v>
      </c>
      <c r="D30">
        <v>72.34</v>
      </c>
      <c r="E30">
        <v>2.48</v>
      </c>
      <c r="F30">
        <v>0.24</v>
      </c>
      <c r="G30">
        <v>9.07</v>
      </c>
      <c r="H30">
        <v>-35.229999999999997</v>
      </c>
      <c r="I30">
        <v>167.18</v>
      </c>
    </row>
    <row r="31" spans="1:9" x14ac:dyDescent="0.45">
      <c r="A31" t="s">
        <v>143</v>
      </c>
      <c r="B31">
        <v>2020</v>
      </c>
      <c r="C31">
        <v>59.6</v>
      </c>
      <c r="D31">
        <v>72.86</v>
      </c>
      <c r="E31">
        <v>2.2599999999999998</v>
      </c>
      <c r="F31">
        <v>0.38</v>
      </c>
      <c r="G31">
        <v>11.83</v>
      </c>
      <c r="H31">
        <v>-36.82</v>
      </c>
      <c r="I31">
        <v>162.25</v>
      </c>
    </row>
    <row r="32" spans="1:9" x14ac:dyDescent="0.45">
      <c r="A32" t="s">
        <v>143</v>
      </c>
      <c r="B32">
        <v>2021</v>
      </c>
      <c r="C32">
        <v>61.78</v>
      </c>
      <c r="D32">
        <v>77.36</v>
      </c>
      <c r="E32">
        <v>2.56</v>
      </c>
      <c r="F32">
        <v>0.7</v>
      </c>
      <c r="G32">
        <v>8.34</v>
      </c>
      <c r="H32">
        <v>-33.909999999999997</v>
      </c>
      <c r="I32">
        <v>170.42</v>
      </c>
    </row>
    <row r="33" spans="1:9" x14ac:dyDescent="0.45">
      <c r="A33" t="s">
        <v>143</v>
      </c>
      <c r="B33">
        <v>2022</v>
      </c>
      <c r="C33">
        <v>59.36</v>
      </c>
      <c r="D33">
        <v>73.17</v>
      </c>
      <c r="E33">
        <v>2.66</v>
      </c>
      <c r="F33">
        <v>1.1299999999999999</v>
      </c>
      <c r="G33">
        <v>6.18</v>
      </c>
      <c r="H33">
        <v>-39.4</v>
      </c>
      <c r="I33">
        <v>171.89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218</v>
      </c>
      <c r="D10" t="s">
        <v>124</v>
      </c>
      <c r="F10" t="s">
        <v>218</v>
      </c>
      <c r="G10" t="s">
        <v>126</v>
      </c>
      <c r="I10" t="s">
        <v>218</v>
      </c>
      <c r="J10" t="s">
        <v>106</v>
      </c>
      <c r="L10" t="s">
        <v>218</v>
      </c>
      <c r="M10" t="s">
        <v>131</v>
      </c>
    </row>
    <row r="11" spans="1:13" x14ac:dyDescent="0.45">
      <c r="B11" s="15"/>
      <c r="C11" s="15" t="s">
        <v>219</v>
      </c>
      <c r="D11" t="s">
        <v>220</v>
      </c>
      <c r="F11" t="s">
        <v>219</v>
      </c>
      <c r="G11" t="s">
        <v>268</v>
      </c>
      <c r="I11" t="s">
        <v>219</v>
      </c>
      <c r="J11" t="s">
        <v>272</v>
      </c>
      <c r="L11" t="s">
        <v>219</v>
      </c>
      <c r="M11" t="s">
        <v>291</v>
      </c>
    </row>
    <row r="12" spans="1:13" x14ac:dyDescent="0.45">
      <c r="B12" s="15"/>
      <c r="C12" s="15" t="s">
        <v>221</v>
      </c>
      <c r="D12" t="s">
        <v>222</v>
      </c>
      <c r="F12" t="s">
        <v>221</v>
      </c>
      <c r="G12" t="s">
        <v>269</v>
      </c>
      <c r="I12" t="s">
        <v>221</v>
      </c>
      <c r="J12" t="s">
        <v>272</v>
      </c>
      <c r="L12" t="s">
        <v>221</v>
      </c>
      <c r="M12" t="s">
        <v>292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8098-DE91-45A1-8582-E03C7B8EBF8A}">
  <dimension ref="A9:AN1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217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223</v>
      </c>
      <c r="AK10" t="s">
        <v>47</v>
      </c>
      <c r="AL10" t="s">
        <v>121</v>
      </c>
      <c r="AM10" t="s">
        <v>224</v>
      </c>
      <c r="AN10" t="s">
        <v>225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156</v>
      </c>
      <c r="I11" t="s">
        <v>164</v>
      </c>
      <c r="J11" t="s">
        <v>165</v>
      </c>
      <c r="K11">
        <v>0</v>
      </c>
      <c r="L11" t="s">
        <v>166</v>
      </c>
      <c r="N11" t="s">
        <v>187</v>
      </c>
      <c r="O11" t="s">
        <v>165</v>
      </c>
      <c r="P11">
        <v>6.830009788623663E-2</v>
      </c>
      <c r="Q11" t="s">
        <v>166</v>
      </c>
      <c r="S11" t="s">
        <v>201</v>
      </c>
      <c r="T11" t="s">
        <v>165</v>
      </c>
      <c r="U11">
        <v>6.7880172048506937E-2</v>
      </c>
      <c r="V11" t="s">
        <v>166</v>
      </c>
      <c r="X11">
        <v>6.8493150684931503E-2</v>
      </c>
      <c r="Y11">
        <v>1.0660567337095693E-2</v>
      </c>
      <c r="Z11" t="s">
        <v>165</v>
      </c>
      <c r="AA11" t="s">
        <v>25</v>
      </c>
      <c r="AC11" t="s">
        <v>22</v>
      </c>
      <c r="AD11" t="s">
        <v>165</v>
      </c>
      <c r="AE11">
        <v>7.1226357321640649E-2</v>
      </c>
      <c r="AG11" t="s">
        <v>96</v>
      </c>
      <c r="AH11" t="s">
        <v>165</v>
      </c>
      <c r="AI11">
        <v>0.1045044651004694</v>
      </c>
      <c r="AK11">
        <v>2020</v>
      </c>
      <c r="AL11" t="s">
        <v>155</v>
      </c>
      <c r="AM11">
        <v>0.55262683253132727</v>
      </c>
      <c r="AN11" t="s">
        <v>226</v>
      </c>
    </row>
    <row r="12" spans="1:40" x14ac:dyDescent="0.45">
      <c r="C12" t="s">
        <v>159</v>
      </c>
      <c r="E12" t="s">
        <v>160</v>
      </c>
      <c r="G12" t="s">
        <v>156</v>
      </c>
      <c r="I12" t="s">
        <v>164</v>
      </c>
      <c r="J12" t="s">
        <v>167</v>
      </c>
      <c r="K12">
        <v>6.1235867843724727E-4</v>
      </c>
      <c r="L12" t="s">
        <v>166</v>
      </c>
      <c r="N12" t="s">
        <v>187</v>
      </c>
      <c r="O12" t="s">
        <v>167</v>
      </c>
      <c r="P12">
        <v>1.3739531996399785E-2</v>
      </c>
      <c r="Q12" t="s">
        <v>166</v>
      </c>
      <c r="S12" t="s">
        <v>201</v>
      </c>
      <c r="T12" t="s">
        <v>167</v>
      </c>
      <c r="U12">
        <v>1.3541648414866572E-2</v>
      </c>
      <c r="V12" t="s">
        <v>166</v>
      </c>
      <c r="X12">
        <v>1.3698630136986301E-2</v>
      </c>
      <c r="Y12">
        <v>6.9214131218457119E-3</v>
      </c>
      <c r="Z12" t="s">
        <v>167</v>
      </c>
      <c r="AA12" t="s">
        <v>25</v>
      </c>
      <c r="AC12" t="s">
        <v>22</v>
      </c>
      <c r="AD12" t="s">
        <v>167</v>
      </c>
      <c r="AE12">
        <v>1.6409533756646069E-2</v>
      </c>
      <c r="AG12" t="s">
        <v>96</v>
      </c>
      <c r="AH12" t="s">
        <v>167</v>
      </c>
      <c r="AI12">
        <v>8.2406661294654793E-2</v>
      </c>
      <c r="AK12">
        <v>2020</v>
      </c>
      <c r="AL12" t="s">
        <v>159</v>
      </c>
      <c r="AM12">
        <v>0.44965042296527818</v>
      </c>
      <c r="AN12" t="s">
        <v>226</v>
      </c>
    </row>
    <row r="13" spans="1:40" x14ac:dyDescent="0.45">
      <c r="C13" t="s">
        <v>161</v>
      </c>
      <c r="E13" t="s">
        <v>162</v>
      </c>
      <c r="G13" t="s">
        <v>156</v>
      </c>
      <c r="I13" t="s">
        <v>164</v>
      </c>
      <c r="J13" t="s">
        <v>168</v>
      </c>
      <c r="K13">
        <v>0.28323516733926712</v>
      </c>
      <c r="L13" t="s">
        <v>166</v>
      </c>
      <c r="N13" t="s">
        <v>187</v>
      </c>
      <c r="O13" t="s">
        <v>168</v>
      </c>
      <c r="P13">
        <v>0.25267497725717003</v>
      </c>
      <c r="Q13" t="s">
        <v>166</v>
      </c>
      <c r="S13" t="s">
        <v>201</v>
      </c>
      <c r="T13" t="s">
        <v>168</v>
      </c>
      <c r="U13">
        <v>0.24671076209983003</v>
      </c>
      <c r="V13" t="s">
        <v>166</v>
      </c>
      <c r="X13">
        <v>0.24657534246575341</v>
      </c>
      <c r="Y13">
        <v>0.31118514282872989</v>
      </c>
      <c r="Z13" t="s">
        <v>168</v>
      </c>
      <c r="AA13" t="s">
        <v>25</v>
      </c>
      <c r="AC13" t="s">
        <v>22</v>
      </c>
      <c r="AD13" t="s">
        <v>168</v>
      </c>
      <c r="AE13">
        <v>0.30245306518330267</v>
      </c>
      <c r="AG13" t="s">
        <v>96</v>
      </c>
      <c r="AH13" t="s">
        <v>168</v>
      </c>
      <c r="AI13">
        <v>0.10616424563457083</v>
      </c>
      <c r="AK13">
        <v>2020</v>
      </c>
      <c r="AL13" t="s">
        <v>161</v>
      </c>
      <c r="AM13">
        <v>0.54288552671717938</v>
      </c>
      <c r="AN13" t="s">
        <v>226</v>
      </c>
    </row>
    <row r="14" spans="1:40" x14ac:dyDescent="0.45">
      <c r="I14" t="s">
        <v>164</v>
      </c>
      <c r="J14" t="s">
        <v>169</v>
      </c>
      <c r="K14">
        <v>3.3324995067851629E-3</v>
      </c>
      <c r="L14" t="s">
        <v>166</v>
      </c>
      <c r="N14" t="s">
        <v>187</v>
      </c>
      <c r="O14" t="s">
        <v>169</v>
      </c>
      <c r="P14">
        <v>6.8796278721879198E-2</v>
      </c>
      <c r="Q14" t="s">
        <v>166</v>
      </c>
      <c r="S14" t="s">
        <v>201</v>
      </c>
      <c r="T14" t="s">
        <v>169</v>
      </c>
      <c r="U14">
        <v>7.3190243048900455E-2</v>
      </c>
      <c r="V14" t="s">
        <v>166</v>
      </c>
      <c r="X14">
        <v>8.7328767123287673E-2</v>
      </c>
      <c r="Y14">
        <v>1.3592223354797008E-2</v>
      </c>
      <c r="Z14" t="s">
        <v>169</v>
      </c>
      <c r="AA14" t="s">
        <v>25</v>
      </c>
      <c r="AC14" t="s">
        <v>22</v>
      </c>
      <c r="AD14" t="s">
        <v>169</v>
      </c>
      <c r="AE14">
        <v>5.2163650684026668E-2</v>
      </c>
      <c r="AG14" t="s">
        <v>96</v>
      </c>
      <c r="AH14" t="s">
        <v>169</v>
      </c>
      <c r="AI14">
        <v>0.19498715457841476</v>
      </c>
      <c r="AK14">
        <v>2021</v>
      </c>
      <c r="AL14" t="s">
        <v>155</v>
      </c>
      <c r="AM14">
        <v>0.57943598701102972</v>
      </c>
      <c r="AN14" t="s">
        <v>226</v>
      </c>
    </row>
    <row r="15" spans="1:40" x14ac:dyDescent="0.45">
      <c r="I15" t="s">
        <v>164</v>
      </c>
      <c r="J15" t="s">
        <v>170</v>
      </c>
      <c r="K15">
        <v>1.2861926259746507E-2</v>
      </c>
      <c r="L15" t="s">
        <v>166</v>
      </c>
      <c r="N15" t="s">
        <v>187</v>
      </c>
      <c r="O15" t="s">
        <v>170</v>
      </c>
      <c r="P15">
        <v>1.2500985255584124E-2</v>
      </c>
      <c r="Q15" t="s">
        <v>166</v>
      </c>
      <c r="S15" t="s">
        <v>201</v>
      </c>
      <c r="T15" t="s">
        <v>170</v>
      </c>
      <c r="U15">
        <v>1.4204451336073133E-2</v>
      </c>
      <c r="V15" t="s">
        <v>166</v>
      </c>
      <c r="X15">
        <v>1.7465753424657535E-2</v>
      </c>
      <c r="Y15">
        <v>8.8248017303532832E-3</v>
      </c>
      <c r="Z15" t="s">
        <v>170</v>
      </c>
      <c r="AA15" t="s">
        <v>25</v>
      </c>
      <c r="AC15" t="s">
        <v>22</v>
      </c>
      <c r="AD15" t="s">
        <v>170</v>
      </c>
      <c r="AE15">
        <v>1.2652644818091592E-2</v>
      </c>
      <c r="AG15" t="s">
        <v>96</v>
      </c>
      <c r="AH15" t="s">
        <v>170</v>
      </c>
      <c r="AI15">
        <v>0.11778356518240907</v>
      </c>
      <c r="AK15">
        <v>2021</v>
      </c>
      <c r="AL15" t="s">
        <v>159</v>
      </c>
      <c r="AM15">
        <v>0.46060951557206786</v>
      </c>
      <c r="AN15" t="s">
        <v>226</v>
      </c>
    </row>
    <row r="16" spans="1:40" x14ac:dyDescent="0.45">
      <c r="I16" t="s">
        <v>164</v>
      </c>
      <c r="J16" t="s">
        <v>171</v>
      </c>
      <c r="K16">
        <v>0.63038129074519222</v>
      </c>
      <c r="L16" t="s">
        <v>166</v>
      </c>
      <c r="N16" t="s">
        <v>187</v>
      </c>
      <c r="O16" t="s">
        <v>171</v>
      </c>
      <c r="P16">
        <v>0.24210257420177803</v>
      </c>
      <c r="Q16" t="s">
        <v>166</v>
      </c>
      <c r="S16" t="s">
        <v>201</v>
      </c>
      <c r="T16" t="s">
        <v>171</v>
      </c>
      <c r="U16">
        <v>0.25829973018936314</v>
      </c>
      <c r="V16" t="s">
        <v>166</v>
      </c>
      <c r="X16">
        <v>0.31438356164383563</v>
      </c>
      <c r="Y16">
        <v>0.39676105710663062</v>
      </c>
      <c r="Z16" t="s">
        <v>171</v>
      </c>
      <c r="AA16" t="s">
        <v>25</v>
      </c>
      <c r="AC16" t="s">
        <v>22</v>
      </c>
      <c r="AD16" t="s">
        <v>171</v>
      </c>
      <c r="AE16">
        <v>0.28802203848146596</v>
      </c>
      <c r="AG16" t="s">
        <v>96</v>
      </c>
      <c r="AH16" t="s">
        <v>171</v>
      </c>
      <c r="AI16">
        <v>9.5175834521476821E-2</v>
      </c>
      <c r="AK16">
        <v>2021</v>
      </c>
      <c r="AL16" t="s">
        <v>161</v>
      </c>
      <c r="AM16">
        <v>0.52666803541565199</v>
      </c>
      <c r="AN16" t="s">
        <v>226</v>
      </c>
    </row>
    <row r="17" spans="9:40" x14ac:dyDescent="0.45">
      <c r="I17" t="s">
        <v>164</v>
      </c>
      <c r="J17" t="s">
        <v>172</v>
      </c>
      <c r="K17">
        <v>0</v>
      </c>
      <c r="L17" t="s">
        <v>166</v>
      </c>
      <c r="N17" t="s">
        <v>187</v>
      </c>
      <c r="O17" t="s">
        <v>172</v>
      </c>
      <c r="P17">
        <v>7.049778252225522E-2</v>
      </c>
      <c r="Q17" t="s">
        <v>166</v>
      </c>
      <c r="S17" t="s">
        <v>201</v>
      </c>
      <c r="T17" t="s">
        <v>172</v>
      </c>
      <c r="U17">
        <v>6.7273682759043343E-2</v>
      </c>
      <c r="V17" t="s">
        <v>166</v>
      </c>
      <c r="X17">
        <v>5.2511415525114152E-2</v>
      </c>
      <c r="Y17">
        <v>8.1731016251066976E-3</v>
      </c>
      <c r="Z17" t="s">
        <v>172</v>
      </c>
      <c r="AA17" t="s">
        <v>25</v>
      </c>
      <c r="AC17" t="s">
        <v>22</v>
      </c>
      <c r="AD17" t="s">
        <v>172</v>
      </c>
      <c r="AE17">
        <v>4.4320044999458991E-2</v>
      </c>
      <c r="AG17" t="s">
        <v>96</v>
      </c>
      <c r="AH17" t="s">
        <v>172</v>
      </c>
      <c r="AI17">
        <v>0.11558861949205435</v>
      </c>
      <c r="AK17">
        <v>2022</v>
      </c>
      <c r="AL17" t="s">
        <v>155</v>
      </c>
      <c r="AM17">
        <v>0.51166006331722302</v>
      </c>
      <c r="AN17" t="s">
        <v>226</v>
      </c>
    </row>
    <row r="18" spans="9:40" x14ac:dyDescent="0.45">
      <c r="I18" t="s">
        <v>164</v>
      </c>
      <c r="J18" t="s">
        <v>173</v>
      </c>
      <c r="K18">
        <v>0</v>
      </c>
      <c r="L18" t="s">
        <v>166</v>
      </c>
      <c r="N18" t="s">
        <v>187</v>
      </c>
      <c r="O18" t="s">
        <v>173</v>
      </c>
      <c r="P18">
        <v>1.4338486460943991E-2</v>
      </c>
      <c r="Q18" t="s">
        <v>166</v>
      </c>
      <c r="S18" t="s">
        <v>201</v>
      </c>
      <c r="T18" t="s">
        <v>173</v>
      </c>
      <c r="U18">
        <v>1.3751443361047647E-2</v>
      </c>
      <c r="V18" t="s">
        <v>166</v>
      </c>
      <c r="X18">
        <v>1.0502283105022832E-2</v>
      </c>
      <c r="Y18">
        <v>5.3064167267483807E-3</v>
      </c>
      <c r="Z18" t="s">
        <v>173</v>
      </c>
      <c r="AA18" t="s">
        <v>25</v>
      </c>
      <c r="AC18" t="s">
        <v>22</v>
      </c>
      <c r="AD18" t="s">
        <v>173</v>
      </c>
      <c r="AE18">
        <v>1.0394112375579256E-2</v>
      </c>
      <c r="AG18" t="s">
        <v>96</v>
      </c>
      <c r="AH18" t="s">
        <v>173</v>
      </c>
      <c r="AI18">
        <v>0.13670768308900438</v>
      </c>
      <c r="AK18">
        <v>2022</v>
      </c>
      <c r="AL18" t="s">
        <v>159</v>
      </c>
      <c r="AM18">
        <v>0.46158973686511057</v>
      </c>
      <c r="AN18" t="s">
        <v>226</v>
      </c>
    </row>
    <row r="19" spans="9:40" x14ac:dyDescent="0.45">
      <c r="I19" t="s">
        <v>164</v>
      </c>
      <c r="J19" t="s">
        <v>174</v>
      </c>
      <c r="K19">
        <v>6.9576757470572057E-2</v>
      </c>
      <c r="L19" t="s">
        <v>166</v>
      </c>
      <c r="N19" t="s">
        <v>187</v>
      </c>
      <c r="O19" t="s">
        <v>174</v>
      </c>
      <c r="P19">
        <v>0.25704928569775143</v>
      </c>
      <c r="Q19" t="s">
        <v>166</v>
      </c>
      <c r="S19" t="s">
        <v>201</v>
      </c>
      <c r="T19" t="s">
        <v>174</v>
      </c>
      <c r="U19">
        <v>0.24514786674237013</v>
      </c>
      <c r="V19" t="s">
        <v>166</v>
      </c>
      <c r="X19">
        <v>0.18904109589041096</v>
      </c>
      <c r="Y19">
        <v>0.23857527616869292</v>
      </c>
      <c r="Z19" t="s">
        <v>174</v>
      </c>
      <c r="AA19" t="s">
        <v>25</v>
      </c>
      <c r="AC19" t="s">
        <v>22</v>
      </c>
      <c r="AD19" t="s">
        <v>174</v>
      </c>
      <c r="AE19">
        <v>0.20235855237978823</v>
      </c>
      <c r="AG19" t="s">
        <v>96</v>
      </c>
      <c r="AH19" t="s">
        <v>174</v>
      </c>
      <c r="AI19">
        <v>0.11378625208698345</v>
      </c>
      <c r="AK19">
        <v>2022</v>
      </c>
      <c r="AL19" t="s">
        <v>161</v>
      </c>
      <c r="AM19">
        <v>0.49146560013987234</v>
      </c>
      <c r="AN19" t="s">
        <v>226</v>
      </c>
    </row>
    <row r="20" spans="9:40" x14ac:dyDescent="0.45">
      <c r="I20" t="s">
        <v>175</v>
      </c>
      <c r="J20" t="s">
        <v>165</v>
      </c>
      <c r="K20">
        <v>0</v>
      </c>
      <c r="L20" t="s">
        <v>166</v>
      </c>
      <c r="N20" t="s">
        <v>188</v>
      </c>
      <c r="O20" t="s">
        <v>165</v>
      </c>
      <c r="P20">
        <v>7.2910655793929025E-2</v>
      </c>
      <c r="Q20" t="s">
        <v>166</v>
      </c>
      <c r="S20" t="s">
        <v>202</v>
      </c>
      <c r="T20" t="s">
        <v>165</v>
      </c>
      <c r="U20">
        <v>7.1645216614807578E-2</v>
      </c>
      <c r="V20" t="s">
        <v>166</v>
      </c>
      <c r="AC20" t="s">
        <v>19</v>
      </c>
      <c r="AD20" t="s">
        <v>165</v>
      </c>
      <c r="AE20">
        <v>6.795067447113011E-2</v>
      </c>
      <c r="AK20">
        <v>2025</v>
      </c>
      <c r="AL20" t="s">
        <v>155</v>
      </c>
      <c r="AM20">
        <v>0.5242</v>
      </c>
      <c r="AN20" t="s">
        <v>226</v>
      </c>
    </row>
    <row r="21" spans="9:40" x14ac:dyDescent="0.45">
      <c r="I21" t="s">
        <v>175</v>
      </c>
      <c r="J21" t="s">
        <v>167</v>
      </c>
      <c r="K21">
        <v>6.3725004991658629E-4</v>
      </c>
      <c r="L21" t="s">
        <v>166</v>
      </c>
      <c r="N21" t="s">
        <v>188</v>
      </c>
      <c r="O21" t="s">
        <v>167</v>
      </c>
      <c r="P21">
        <v>1.4398255957280724E-2</v>
      </c>
      <c r="Q21" t="s">
        <v>166</v>
      </c>
      <c r="S21" t="s">
        <v>202</v>
      </c>
      <c r="T21" t="s">
        <v>167</v>
      </c>
      <c r="U21">
        <v>1.4389107618950372E-2</v>
      </c>
      <c r="V21" t="s">
        <v>166</v>
      </c>
      <c r="AC21" t="s">
        <v>19</v>
      </c>
      <c r="AD21" t="s">
        <v>167</v>
      </c>
      <c r="AE21">
        <v>1.3723370333502188E-2</v>
      </c>
      <c r="AK21">
        <v>2025</v>
      </c>
      <c r="AL21" t="s">
        <v>159</v>
      </c>
      <c r="AM21">
        <v>0.40256000000000008</v>
      </c>
      <c r="AN21" t="s">
        <v>226</v>
      </c>
    </row>
    <row r="22" spans="9:40" x14ac:dyDescent="0.45">
      <c r="I22" t="s">
        <v>175</v>
      </c>
      <c r="J22" t="s">
        <v>168</v>
      </c>
      <c r="K22">
        <v>0.2888478320379918</v>
      </c>
      <c r="L22" t="s">
        <v>166</v>
      </c>
      <c r="N22" t="s">
        <v>188</v>
      </c>
      <c r="O22" t="s">
        <v>168</v>
      </c>
      <c r="P22">
        <v>0.25410000432442814</v>
      </c>
      <c r="Q22" t="s">
        <v>166</v>
      </c>
      <c r="S22" t="s">
        <v>202</v>
      </c>
      <c r="T22" t="s">
        <v>168</v>
      </c>
      <c r="U22">
        <v>0.24869629566336987</v>
      </c>
      <c r="V22" t="s">
        <v>166</v>
      </c>
      <c r="AC22" t="s">
        <v>19</v>
      </c>
      <c r="AD22" t="s">
        <v>168</v>
      </c>
      <c r="AE22">
        <v>0.24745661182742515</v>
      </c>
      <c r="AK22">
        <v>2025</v>
      </c>
      <c r="AL22" t="s">
        <v>161</v>
      </c>
      <c r="AM22">
        <v>0.48883333333333329</v>
      </c>
      <c r="AN22" t="s">
        <v>226</v>
      </c>
    </row>
    <row r="23" spans="9:40" x14ac:dyDescent="0.45">
      <c r="I23" t="s">
        <v>175</v>
      </c>
      <c r="J23" t="s">
        <v>169</v>
      </c>
      <c r="K23">
        <v>3.2424609318482726E-3</v>
      </c>
      <c r="L23" t="s">
        <v>166</v>
      </c>
      <c r="N23" t="s">
        <v>188</v>
      </c>
      <c r="O23" t="s">
        <v>169</v>
      </c>
      <c r="P23">
        <v>6.7836524394634112E-2</v>
      </c>
      <c r="Q23" t="s">
        <v>166</v>
      </c>
      <c r="S23" t="s">
        <v>202</v>
      </c>
      <c r="T23" t="s">
        <v>169</v>
      </c>
      <c r="U23">
        <v>7.489359438713182E-2</v>
      </c>
      <c r="V23" t="s">
        <v>166</v>
      </c>
      <c r="AC23" t="s">
        <v>19</v>
      </c>
      <c r="AD23" t="s">
        <v>169</v>
      </c>
      <c r="AE23">
        <v>8.5932842238912704E-2</v>
      </c>
      <c r="AK23">
        <v>2026</v>
      </c>
      <c r="AL23" t="s">
        <v>155</v>
      </c>
      <c r="AM23">
        <v>0.53537499999999993</v>
      </c>
      <c r="AN23" t="s">
        <v>226</v>
      </c>
    </row>
    <row r="24" spans="9:40" x14ac:dyDescent="0.45">
      <c r="I24" t="s">
        <v>175</v>
      </c>
      <c r="J24" t="s">
        <v>170</v>
      </c>
      <c r="K24">
        <v>1.261017863875068E-2</v>
      </c>
      <c r="L24" t="s">
        <v>166</v>
      </c>
      <c r="N24" t="s">
        <v>188</v>
      </c>
      <c r="O24" t="s">
        <v>170</v>
      </c>
      <c r="P24">
        <v>1.2529520524345038E-2</v>
      </c>
      <c r="Q24" t="s">
        <v>166</v>
      </c>
      <c r="S24" t="s">
        <v>202</v>
      </c>
      <c r="T24" t="s">
        <v>170</v>
      </c>
      <c r="U24">
        <v>1.3727432142704197E-2</v>
      </c>
      <c r="V24" t="s">
        <v>166</v>
      </c>
      <c r="AC24" t="s">
        <v>19</v>
      </c>
      <c r="AD24" t="s">
        <v>170</v>
      </c>
      <c r="AE24">
        <v>1.7323229936903627E-2</v>
      </c>
      <c r="AK24">
        <v>2026</v>
      </c>
      <c r="AL24" t="s">
        <v>159</v>
      </c>
      <c r="AM24">
        <v>0.39956000000000003</v>
      </c>
      <c r="AN24" t="s">
        <v>226</v>
      </c>
    </row>
    <row r="25" spans="9:40" x14ac:dyDescent="0.45">
      <c r="I25" t="s">
        <v>175</v>
      </c>
      <c r="J25" t="s">
        <v>171</v>
      </c>
      <c r="K25">
        <v>0.62627105632445002</v>
      </c>
      <c r="L25" t="s">
        <v>166</v>
      </c>
      <c r="N25" t="s">
        <v>188</v>
      </c>
      <c r="O25" t="s">
        <v>171</v>
      </c>
      <c r="P25">
        <v>0.23712442809046183</v>
      </c>
      <c r="Q25" t="s">
        <v>166</v>
      </c>
      <c r="S25" t="s">
        <v>202</v>
      </c>
      <c r="T25" t="s">
        <v>171</v>
      </c>
      <c r="U25">
        <v>0.23932782870846106</v>
      </c>
      <c r="V25" t="s">
        <v>166</v>
      </c>
      <c r="AC25" t="s">
        <v>19</v>
      </c>
      <c r="AD25" t="s">
        <v>171</v>
      </c>
      <c r="AE25">
        <v>0.31552872903654366</v>
      </c>
      <c r="AK25">
        <v>2026</v>
      </c>
      <c r="AL25" t="s">
        <v>161</v>
      </c>
      <c r="AM25">
        <v>0.50503333333333333</v>
      </c>
      <c r="AN25" t="s">
        <v>226</v>
      </c>
    </row>
    <row r="26" spans="9:40" x14ac:dyDescent="0.45">
      <c r="I26" t="s">
        <v>175</v>
      </c>
      <c r="J26" t="s">
        <v>172</v>
      </c>
      <c r="K26">
        <v>0</v>
      </c>
      <c r="L26" t="s">
        <v>166</v>
      </c>
      <c r="N26" t="s">
        <v>188</v>
      </c>
      <c r="O26" t="s">
        <v>172</v>
      </c>
      <c r="P26">
        <v>7.1568342574479152E-2</v>
      </c>
      <c r="Q26" t="s">
        <v>166</v>
      </c>
      <c r="S26" t="s">
        <v>202</v>
      </c>
      <c r="T26" t="s">
        <v>172</v>
      </c>
      <c r="U26">
        <v>7.4589741345869653E-2</v>
      </c>
      <c r="V26" t="s">
        <v>166</v>
      </c>
      <c r="AC26" t="s">
        <v>19</v>
      </c>
      <c r="AD26" t="s">
        <v>172</v>
      </c>
      <c r="AE26">
        <v>5.1948982681591753E-2</v>
      </c>
      <c r="AK26">
        <v>2027</v>
      </c>
      <c r="AL26" t="s">
        <v>155</v>
      </c>
      <c r="AM26">
        <v>0.50222500000000003</v>
      </c>
      <c r="AN26" t="s">
        <v>226</v>
      </c>
    </row>
    <row r="27" spans="9:40" x14ac:dyDescent="0.45">
      <c r="I27" t="s">
        <v>175</v>
      </c>
      <c r="J27" t="s">
        <v>173</v>
      </c>
      <c r="K27">
        <v>0</v>
      </c>
      <c r="L27" t="s">
        <v>166</v>
      </c>
      <c r="N27" t="s">
        <v>188</v>
      </c>
      <c r="O27" t="s">
        <v>173</v>
      </c>
      <c r="P27">
        <v>1.3857072571797968E-2</v>
      </c>
      <c r="Q27" t="s">
        <v>166</v>
      </c>
      <c r="S27" t="s">
        <v>202</v>
      </c>
      <c r="T27" t="s">
        <v>173</v>
      </c>
      <c r="U27">
        <v>1.4895775253727249E-2</v>
      </c>
      <c r="V27" t="s">
        <v>166</v>
      </c>
      <c r="AC27" t="s">
        <v>19</v>
      </c>
      <c r="AD27" t="s">
        <v>173</v>
      </c>
      <c r="AE27">
        <v>1.0483992141038387E-2</v>
      </c>
      <c r="AK27">
        <v>2027</v>
      </c>
      <c r="AL27" t="s">
        <v>159</v>
      </c>
      <c r="AM27">
        <v>0.41533999999999993</v>
      </c>
      <c r="AN27" t="s">
        <v>226</v>
      </c>
    </row>
    <row r="28" spans="9:40" x14ac:dyDescent="0.45">
      <c r="I28" t="s">
        <v>175</v>
      </c>
      <c r="J28" t="s">
        <v>174</v>
      </c>
      <c r="K28">
        <v>6.8391222017043771E-2</v>
      </c>
      <c r="L28" t="s">
        <v>166</v>
      </c>
      <c r="N28" t="s">
        <v>188</v>
      </c>
      <c r="O28" t="s">
        <v>174</v>
      </c>
      <c r="P28">
        <v>0.25567519576864395</v>
      </c>
      <c r="Q28" t="s">
        <v>166</v>
      </c>
      <c r="S28" t="s">
        <v>202</v>
      </c>
      <c r="T28" t="s">
        <v>174</v>
      </c>
      <c r="U28">
        <v>0.24783500826497645</v>
      </c>
      <c r="V28" t="s">
        <v>166</v>
      </c>
      <c r="AC28" t="s">
        <v>19</v>
      </c>
      <c r="AD28" t="s">
        <v>174</v>
      </c>
      <c r="AE28">
        <v>0.18965156733295246</v>
      </c>
      <c r="AK28">
        <v>2027</v>
      </c>
      <c r="AL28" t="s">
        <v>161</v>
      </c>
      <c r="AM28">
        <v>0.49429999999999996</v>
      </c>
      <c r="AN28" t="s">
        <v>226</v>
      </c>
    </row>
    <row r="29" spans="9:40" x14ac:dyDescent="0.45">
      <c r="I29" t="s">
        <v>176</v>
      </c>
      <c r="J29" t="s">
        <v>165</v>
      </c>
      <c r="K29">
        <v>0</v>
      </c>
      <c r="L29" t="s">
        <v>166</v>
      </c>
      <c r="N29" t="s">
        <v>189</v>
      </c>
      <c r="O29" t="s">
        <v>165</v>
      </c>
      <c r="P29">
        <v>7.1211162544355069E-2</v>
      </c>
      <c r="Q29" t="s">
        <v>166</v>
      </c>
      <c r="S29" t="s">
        <v>203</v>
      </c>
      <c r="T29" t="s">
        <v>165</v>
      </c>
      <c r="U29">
        <v>6.8867006411574061E-2</v>
      </c>
      <c r="V29" t="s">
        <v>166</v>
      </c>
      <c r="AK29">
        <v>2028</v>
      </c>
      <c r="AL29" t="s">
        <v>155</v>
      </c>
      <c r="AM29">
        <v>0.55312499999999998</v>
      </c>
      <c r="AN29" t="s">
        <v>226</v>
      </c>
    </row>
    <row r="30" spans="9:40" x14ac:dyDescent="0.45">
      <c r="I30" t="s">
        <v>176</v>
      </c>
      <c r="J30" t="s">
        <v>167</v>
      </c>
      <c r="K30">
        <v>3.6992297449160732E-4</v>
      </c>
      <c r="L30" t="s">
        <v>166</v>
      </c>
      <c r="N30" t="s">
        <v>189</v>
      </c>
      <c r="O30" t="s">
        <v>167</v>
      </c>
      <c r="P30">
        <v>1.4373196625600543E-2</v>
      </c>
      <c r="Q30" t="s">
        <v>166</v>
      </c>
      <c r="S30" t="s">
        <v>203</v>
      </c>
      <c r="T30" t="s">
        <v>167</v>
      </c>
      <c r="U30">
        <v>1.3427653517208768E-2</v>
      </c>
      <c r="V30" t="s">
        <v>166</v>
      </c>
      <c r="AK30">
        <v>2028</v>
      </c>
      <c r="AL30" t="s">
        <v>159</v>
      </c>
      <c r="AM30">
        <v>0.40156000000000003</v>
      </c>
      <c r="AN30" t="s">
        <v>226</v>
      </c>
    </row>
    <row r="31" spans="9:40" x14ac:dyDescent="0.45">
      <c r="I31" t="s">
        <v>176</v>
      </c>
      <c r="J31" t="s">
        <v>168</v>
      </c>
      <c r="K31">
        <v>0.29241908476798767</v>
      </c>
      <c r="L31" t="s">
        <v>166</v>
      </c>
      <c r="N31" t="s">
        <v>189</v>
      </c>
      <c r="O31" t="s">
        <v>168</v>
      </c>
      <c r="P31">
        <v>0.24898932049829331</v>
      </c>
      <c r="Q31" t="s">
        <v>166</v>
      </c>
      <c r="S31" t="s">
        <v>203</v>
      </c>
      <c r="T31" t="s">
        <v>168</v>
      </c>
      <c r="U31">
        <v>0.23930717752323377</v>
      </c>
      <c r="V31" t="s">
        <v>166</v>
      </c>
      <c r="AK31">
        <v>2028</v>
      </c>
      <c r="AL31" t="s">
        <v>161</v>
      </c>
      <c r="AM31">
        <v>0.50539999999999996</v>
      </c>
      <c r="AN31" t="s">
        <v>226</v>
      </c>
    </row>
    <row r="32" spans="9:40" x14ac:dyDescent="0.45">
      <c r="I32" t="s">
        <v>176</v>
      </c>
      <c r="J32" t="s">
        <v>169</v>
      </c>
      <c r="K32">
        <v>2.5175282348001743E-3</v>
      </c>
      <c r="L32" t="s">
        <v>166</v>
      </c>
      <c r="N32" t="s">
        <v>189</v>
      </c>
      <c r="O32" t="s">
        <v>169</v>
      </c>
      <c r="P32">
        <v>6.1017140049293865E-2</v>
      </c>
      <c r="Q32" t="s">
        <v>166</v>
      </c>
      <c r="S32" t="s">
        <v>203</v>
      </c>
      <c r="T32" t="s">
        <v>169</v>
      </c>
      <c r="U32">
        <v>8.1408924343965808E-2</v>
      </c>
      <c r="V32" t="s">
        <v>166</v>
      </c>
      <c r="AK32">
        <v>2029</v>
      </c>
      <c r="AL32" t="s">
        <v>155</v>
      </c>
      <c r="AM32">
        <v>0.5363</v>
      </c>
      <c r="AN32" t="s">
        <v>226</v>
      </c>
    </row>
    <row r="33" spans="9:40" x14ac:dyDescent="0.45">
      <c r="I33" t="s">
        <v>176</v>
      </c>
      <c r="J33" t="s">
        <v>170</v>
      </c>
      <c r="K33">
        <v>1.1191342943215962E-2</v>
      </c>
      <c r="L33" t="s">
        <v>166</v>
      </c>
      <c r="N33" t="s">
        <v>189</v>
      </c>
      <c r="O33" t="s">
        <v>170</v>
      </c>
      <c r="P33">
        <v>1.1443234727879992E-2</v>
      </c>
      <c r="Q33" t="s">
        <v>166</v>
      </c>
      <c r="S33" t="s">
        <v>203</v>
      </c>
      <c r="T33" t="s">
        <v>170</v>
      </c>
      <c r="U33">
        <v>1.597519090562026E-2</v>
      </c>
      <c r="V33" t="s">
        <v>166</v>
      </c>
      <c r="AK33">
        <v>2029</v>
      </c>
      <c r="AL33" t="s">
        <v>159</v>
      </c>
      <c r="AM33">
        <v>0.41891999999999996</v>
      </c>
      <c r="AN33" t="s">
        <v>226</v>
      </c>
    </row>
    <row r="34" spans="9:40" x14ac:dyDescent="0.45">
      <c r="I34" t="s">
        <v>176</v>
      </c>
      <c r="J34" t="s">
        <v>171</v>
      </c>
      <c r="K34">
        <v>0.62564746918407987</v>
      </c>
      <c r="L34" t="s">
        <v>166</v>
      </c>
      <c r="N34" t="s">
        <v>189</v>
      </c>
      <c r="O34" t="s">
        <v>171</v>
      </c>
      <c r="P34">
        <v>0.22025646511584485</v>
      </c>
      <c r="Q34" t="s">
        <v>166</v>
      </c>
      <c r="S34" t="s">
        <v>203</v>
      </c>
      <c r="T34" t="s">
        <v>171</v>
      </c>
      <c r="U34">
        <v>0.27271342329582987</v>
      </c>
      <c r="V34" t="s">
        <v>166</v>
      </c>
      <c r="AK34">
        <v>2029</v>
      </c>
      <c r="AL34" t="s">
        <v>161</v>
      </c>
      <c r="AM34">
        <v>0.50106666666666666</v>
      </c>
      <c r="AN34" t="s">
        <v>226</v>
      </c>
    </row>
    <row r="35" spans="9:40" x14ac:dyDescent="0.45">
      <c r="I35" t="s">
        <v>176</v>
      </c>
      <c r="J35" t="s">
        <v>172</v>
      </c>
      <c r="K35">
        <v>0</v>
      </c>
      <c r="L35" t="s">
        <v>166</v>
      </c>
      <c r="N35" t="s">
        <v>189</v>
      </c>
      <c r="O35" t="s">
        <v>172</v>
      </c>
      <c r="P35">
        <v>7.9129277850596952E-2</v>
      </c>
      <c r="Q35" t="s">
        <v>166</v>
      </c>
      <c r="S35" t="s">
        <v>203</v>
      </c>
      <c r="T35" t="s">
        <v>172</v>
      </c>
      <c r="U35">
        <v>6.6682051597576855E-2</v>
      </c>
      <c r="V35" t="s">
        <v>166</v>
      </c>
      <c r="AK35">
        <v>2030</v>
      </c>
      <c r="AL35" t="s">
        <v>155</v>
      </c>
      <c r="AM35">
        <v>0.51837500000000003</v>
      </c>
      <c r="AN35" t="s">
        <v>226</v>
      </c>
    </row>
    <row r="36" spans="9:40" x14ac:dyDescent="0.45">
      <c r="I36" t="s">
        <v>176</v>
      </c>
      <c r="J36" t="s">
        <v>173</v>
      </c>
      <c r="K36">
        <v>0</v>
      </c>
      <c r="L36" t="s">
        <v>166</v>
      </c>
      <c r="N36" t="s">
        <v>189</v>
      </c>
      <c r="O36" t="s">
        <v>173</v>
      </c>
      <c r="P36">
        <v>1.5055482063330215E-2</v>
      </c>
      <c r="Q36" t="s">
        <v>166</v>
      </c>
      <c r="S36" t="s">
        <v>203</v>
      </c>
      <c r="T36" t="s">
        <v>173</v>
      </c>
      <c r="U36">
        <v>1.3267198020338815E-2</v>
      </c>
      <c r="V36" t="s">
        <v>166</v>
      </c>
      <c r="AK36">
        <v>2030</v>
      </c>
      <c r="AL36" t="s">
        <v>159</v>
      </c>
      <c r="AM36">
        <v>0.39418000000000003</v>
      </c>
      <c r="AN36" t="s">
        <v>226</v>
      </c>
    </row>
    <row r="37" spans="9:40" x14ac:dyDescent="0.45">
      <c r="I37" t="s">
        <v>176</v>
      </c>
      <c r="J37" t="s">
        <v>174</v>
      </c>
      <c r="K37">
        <v>6.7854651895422835E-2</v>
      </c>
      <c r="L37" t="s">
        <v>166</v>
      </c>
      <c r="N37" t="s">
        <v>189</v>
      </c>
      <c r="O37" t="s">
        <v>174</v>
      </c>
      <c r="P37">
        <v>0.27852472052480809</v>
      </c>
      <c r="Q37" t="s">
        <v>166</v>
      </c>
      <c r="S37" t="s">
        <v>203</v>
      </c>
      <c r="T37" t="s">
        <v>174</v>
      </c>
      <c r="U37">
        <v>0.22835137438465225</v>
      </c>
      <c r="V37" t="s">
        <v>166</v>
      </c>
      <c r="AK37">
        <v>2030</v>
      </c>
      <c r="AL37" t="s">
        <v>161</v>
      </c>
      <c r="AM37">
        <v>0.48819999999999997</v>
      </c>
      <c r="AN37" t="s">
        <v>226</v>
      </c>
    </row>
    <row r="38" spans="9:40" x14ac:dyDescent="0.45">
      <c r="I38" t="s">
        <v>177</v>
      </c>
      <c r="J38" t="s">
        <v>165</v>
      </c>
      <c r="K38">
        <v>0</v>
      </c>
      <c r="L38" t="s">
        <v>166</v>
      </c>
      <c r="N38" t="s">
        <v>190</v>
      </c>
      <c r="O38" t="s">
        <v>165</v>
      </c>
      <c r="P38">
        <v>7.2950266829690066E-2</v>
      </c>
      <c r="Q38" t="s">
        <v>166</v>
      </c>
      <c r="S38" t="s">
        <v>204</v>
      </c>
      <c r="T38" t="s">
        <v>165</v>
      </c>
      <c r="U38">
        <v>7.1783163188875676E-2</v>
      </c>
      <c r="V38" t="s">
        <v>166</v>
      </c>
      <c r="AK38">
        <v>2031</v>
      </c>
      <c r="AL38" t="s">
        <v>155</v>
      </c>
      <c r="AM38">
        <v>0.4536</v>
      </c>
      <c r="AN38" t="s">
        <v>226</v>
      </c>
    </row>
    <row r="39" spans="9:40" x14ac:dyDescent="0.45">
      <c r="I39" t="s">
        <v>177</v>
      </c>
      <c r="J39" t="s">
        <v>167</v>
      </c>
      <c r="K39">
        <v>4.1646467779077215E-4</v>
      </c>
      <c r="L39" t="s">
        <v>166</v>
      </c>
      <c r="N39" t="s">
        <v>190</v>
      </c>
      <c r="O39" t="s">
        <v>167</v>
      </c>
      <c r="P39">
        <v>1.4332365512845087E-2</v>
      </c>
      <c r="Q39" t="s">
        <v>166</v>
      </c>
      <c r="S39" t="s">
        <v>204</v>
      </c>
      <c r="T39" t="s">
        <v>167</v>
      </c>
      <c r="U39">
        <v>1.4372254559064167E-2</v>
      </c>
      <c r="V39" t="s">
        <v>166</v>
      </c>
      <c r="AK39">
        <v>2031</v>
      </c>
      <c r="AL39" t="s">
        <v>159</v>
      </c>
      <c r="AM39">
        <v>0.34453999999999996</v>
      </c>
      <c r="AN39" t="s">
        <v>226</v>
      </c>
    </row>
    <row r="40" spans="9:40" x14ac:dyDescent="0.45">
      <c r="I40" t="s">
        <v>177</v>
      </c>
      <c r="J40" t="s">
        <v>168</v>
      </c>
      <c r="K40">
        <v>0.26558179929740661</v>
      </c>
      <c r="L40" t="s">
        <v>166</v>
      </c>
      <c r="N40" t="s">
        <v>190</v>
      </c>
      <c r="O40" t="s">
        <v>168</v>
      </c>
      <c r="P40">
        <v>0.26179092804653536</v>
      </c>
      <c r="Q40" t="s">
        <v>166</v>
      </c>
      <c r="S40" t="s">
        <v>204</v>
      </c>
      <c r="T40" t="s">
        <v>168</v>
      </c>
      <c r="U40">
        <v>0.24586951192895357</v>
      </c>
      <c r="V40" t="s">
        <v>166</v>
      </c>
      <c r="AK40">
        <v>2031</v>
      </c>
      <c r="AL40" t="s">
        <v>161</v>
      </c>
      <c r="AM40">
        <v>0.41120000000000001</v>
      </c>
      <c r="AN40" t="s">
        <v>226</v>
      </c>
    </row>
    <row r="41" spans="9:40" x14ac:dyDescent="0.45">
      <c r="I41" t="s">
        <v>177</v>
      </c>
      <c r="J41" t="s">
        <v>169</v>
      </c>
      <c r="K41">
        <v>2.4934861502342136E-3</v>
      </c>
      <c r="L41" t="s">
        <v>166</v>
      </c>
      <c r="N41" t="s">
        <v>190</v>
      </c>
      <c r="O41" t="s">
        <v>169</v>
      </c>
      <c r="P41">
        <v>6.8296207281779153E-2</v>
      </c>
      <c r="Q41" t="s">
        <v>166</v>
      </c>
      <c r="S41" t="s">
        <v>204</v>
      </c>
      <c r="T41" t="s">
        <v>169</v>
      </c>
      <c r="U41">
        <v>7.3299141097826703E-2</v>
      </c>
      <c r="V41" t="s">
        <v>166</v>
      </c>
      <c r="AK41">
        <v>2032</v>
      </c>
      <c r="AL41" t="s">
        <v>155</v>
      </c>
      <c r="AM41">
        <v>0.4345</v>
      </c>
      <c r="AN41" t="s">
        <v>226</v>
      </c>
    </row>
    <row r="42" spans="9:40" x14ac:dyDescent="0.45">
      <c r="I42" t="s">
        <v>177</v>
      </c>
      <c r="J42" t="s">
        <v>170</v>
      </c>
      <c r="K42">
        <v>1.1099850349220876E-2</v>
      </c>
      <c r="L42" t="s">
        <v>166</v>
      </c>
      <c r="N42" t="s">
        <v>190</v>
      </c>
      <c r="O42" t="s">
        <v>170</v>
      </c>
      <c r="P42">
        <v>1.2920787001727975E-2</v>
      </c>
      <c r="Q42" t="s">
        <v>166</v>
      </c>
      <c r="S42" t="s">
        <v>204</v>
      </c>
      <c r="T42" t="s">
        <v>170</v>
      </c>
      <c r="U42">
        <v>1.428347859225078E-2</v>
      </c>
      <c r="V42" t="s">
        <v>166</v>
      </c>
      <c r="AK42">
        <v>2032</v>
      </c>
      <c r="AL42" t="s">
        <v>159</v>
      </c>
      <c r="AM42">
        <v>0.36232000000000003</v>
      </c>
      <c r="AN42" t="s">
        <v>226</v>
      </c>
    </row>
    <row r="43" spans="9:40" x14ac:dyDescent="0.45">
      <c r="I43" t="s">
        <v>177</v>
      </c>
      <c r="J43" t="s">
        <v>171</v>
      </c>
      <c r="K43">
        <v>0.64892292847741795</v>
      </c>
      <c r="L43" t="s">
        <v>166</v>
      </c>
      <c r="N43" t="s">
        <v>190</v>
      </c>
      <c r="O43" t="s">
        <v>171</v>
      </c>
      <c r="P43">
        <v>0.24799630534781156</v>
      </c>
      <c r="Q43" t="s">
        <v>166</v>
      </c>
      <c r="S43" t="s">
        <v>204</v>
      </c>
      <c r="T43" t="s">
        <v>171</v>
      </c>
      <c r="U43">
        <v>0.23708247679579156</v>
      </c>
      <c r="V43" t="s">
        <v>166</v>
      </c>
      <c r="AK43">
        <v>2032</v>
      </c>
      <c r="AL43" t="s">
        <v>161</v>
      </c>
      <c r="AM43">
        <v>0.42463333333333336</v>
      </c>
      <c r="AN43" t="s">
        <v>226</v>
      </c>
    </row>
    <row r="44" spans="9:40" x14ac:dyDescent="0.45">
      <c r="I44" t="s">
        <v>177</v>
      </c>
      <c r="J44" t="s">
        <v>172</v>
      </c>
      <c r="K44">
        <v>0</v>
      </c>
      <c r="L44" t="s">
        <v>166</v>
      </c>
      <c r="N44" t="s">
        <v>190</v>
      </c>
      <c r="O44" t="s">
        <v>172</v>
      </c>
      <c r="P44">
        <v>6.67902377163785E-2</v>
      </c>
      <c r="Q44" t="s">
        <v>166</v>
      </c>
      <c r="S44" t="s">
        <v>204</v>
      </c>
      <c r="T44" t="s">
        <v>172</v>
      </c>
      <c r="U44">
        <v>6.974193273547899E-2</v>
      </c>
      <c r="V44" t="s">
        <v>166</v>
      </c>
      <c r="AK44">
        <v>2033</v>
      </c>
      <c r="AL44" t="s">
        <v>155</v>
      </c>
      <c r="AM44">
        <v>0.4521</v>
      </c>
      <c r="AN44" t="s">
        <v>226</v>
      </c>
    </row>
    <row r="45" spans="9:40" x14ac:dyDescent="0.45">
      <c r="I45" t="s">
        <v>177</v>
      </c>
      <c r="J45" t="s">
        <v>173</v>
      </c>
      <c r="K45">
        <v>0</v>
      </c>
      <c r="L45" t="s">
        <v>166</v>
      </c>
      <c r="N45" t="s">
        <v>190</v>
      </c>
      <c r="O45" t="s">
        <v>173</v>
      </c>
      <c r="P45">
        <v>1.3224733094142623E-2</v>
      </c>
      <c r="Q45" t="s">
        <v>166</v>
      </c>
      <c r="S45" t="s">
        <v>204</v>
      </c>
      <c r="T45" t="s">
        <v>173</v>
      </c>
      <c r="U45">
        <v>1.3959017775348369E-2</v>
      </c>
      <c r="V45" t="s">
        <v>166</v>
      </c>
      <c r="AK45">
        <v>2033</v>
      </c>
      <c r="AL45" t="s">
        <v>159</v>
      </c>
      <c r="AM45">
        <v>0.35693999999999992</v>
      </c>
      <c r="AN45" t="s">
        <v>226</v>
      </c>
    </row>
    <row r="46" spans="9:40" x14ac:dyDescent="0.45">
      <c r="I46" t="s">
        <v>177</v>
      </c>
      <c r="J46" t="s">
        <v>174</v>
      </c>
      <c r="K46">
        <v>7.1485471047925533E-2</v>
      </c>
      <c r="L46" t="s">
        <v>166</v>
      </c>
      <c r="N46" t="s">
        <v>190</v>
      </c>
      <c r="O46" t="s">
        <v>174</v>
      </c>
      <c r="P46">
        <v>0.24169816916908987</v>
      </c>
      <c r="Q46" t="s">
        <v>166</v>
      </c>
      <c r="S46" t="s">
        <v>204</v>
      </c>
      <c r="T46" t="s">
        <v>174</v>
      </c>
      <c r="U46">
        <v>0.25960902332640556</v>
      </c>
      <c r="V46" t="s">
        <v>166</v>
      </c>
      <c r="AK46">
        <v>2033</v>
      </c>
      <c r="AL46" t="s">
        <v>161</v>
      </c>
      <c r="AM46">
        <v>0.42016666666666663</v>
      </c>
      <c r="AN46" t="s">
        <v>226</v>
      </c>
    </row>
    <row r="47" spans="9:40" x14ac:dyDescent="0.45">
      <c r="I47" t="s">
        <v>178</v>
      </c>
      <c r="J47" t="s">
        <v>165</v>
      </c>
      <c r="K47">
        <v>0</v>
      </c>
      <c r="L47" t="s">
        <v>166</v>
      </c>
      <c r="N47" t="s">
        <v>191</v>
      </c>
      <c r="O47" t="s">
        <v>165</v>
      </c>
      <c r="P47">
        <v>7.4090021134673473E-2</v>
      </c>
      <c r="Q47" t="s">
        <v>166</v>
      </c>
      <c r="S47" t="s">
        <v>205</v>
      </c>
      <c r="T47" t="s">
        <v>165</v>
      </c>
      <c r="U47">
        <v>7.03774640622917E-2</v>
      </c>
      <c r="V47" t="s">
        <v>166</v>
      </c>
      <c r="AK47">
        <v>2034</v>
      </c>
      <c r="AL47" t="s">
        <v>155</v>
      </c>
      <c r="AM47">
        <v>0.44742499999999996</v>
      </c>
      <c r="AN47" t="s">
        <v>226</v>
      </c>
    </row>
    <row r="48" spans="9:40" x14ac:dyDescent="0.45">
      <c r="I48" t="s">
        <v>178</v>
      </c>
      <c r="J48" t="s">
        <v>167</v>
      </c>
      <c r="K48">
        <v>2.0024864579424456E-4</v>
      </c>
      <c r="L48" t="s">
        <v>166</v>
      </c>
      <c r="N48" t="s">
        <v>191</v>
      </c>
      <c r="O48" t="s">
        <v>167</v>
      </c>
      <c r="P48">
        <v>1.4759039064213279E-2</v>
      </c>
      <c r="Q48" t="s">
        <v>166</v>
      </c>
      <c r="S48" t="s">
        <v>205</v>
      </c>
      <c r="T48" t="s">
        <v>167</v>
      </c>
      <c r="U48">
        <v>1.4661728853858132E-2</v>
      </c>
      <c r="V48" t="s">
        <v>166</v>
      </c>
      <c r="AK48">
        <v>2034</v>
      </c>
      <c r="AL48" t="s">
        <v>159</v>
      </c>
      <c r="AM48">
        <v>0.36607999999999996</v>
      </c>
      <c r="AN48" t="s">
        <v>226</v>
      </c>
    </row>
    <row r="49" spans="9:40" x14ac:dyDescent="0.45">
      <c r="I49" t="s">
        <v>178</v>
      </c>
      <c r="J49" t="s">
        <v>168</v>
      </c>
      <c r="K49">
        <v>0.29260597062367233</v>
      </c>
      <c r="L49" t="s">
        <v>166</v>
      </c>
      <c r="N49" t="s">
        <v>191</v>
      </c>
      <c r="O49" t="s">
        <v>168</v>
      </c>
      <c r="P49">
        <v>0.26302625903333404</v>
      </c>
      <c r="Q49" t="s">
        <v>166</v>
      </c>
      <c r="S49" t="s">
        <v>205</v>
      </c>
      <c r="T49" t="s">
        <v>168</v>
      </c>
      <c r="U49">
        <v>0.25599977522136869</v>
      </c>
      <c r="V49" t="s">
        <v>166</v>
      </c>
      <c r="AK49">
        <v>2034</v>
      </c>
      <c r="AL49" t="s">
        <v>161</v>
      </c>
      <c r="AM49">
        <v>0.41300000000000003</v>
      </c>
      <c r="AN49" t="s">
        <v>226</v>
      </c>
    </row>
    <row r="50" spans="9:40" x14ac:dyDescent="0.45">
      <c r="I50" t="s">
        <v>178</v>
      </c>
      <c r="J50" t="s">
        <v>169</v>
      </c>
      <c r="K50">
        <v>2.1024192253829973E-3</v>
      </c>
      <c r="L50" t="s">
        <v>166</v>
      </c>
      <c r="N50" t="s">
        <v>191</v>
      </c>
      <c r="O50" t="s">
        <v>169</v>
      </c>
      <c r="P50">
        <v>6.3498226322489276E-2</v>
      </c>
      <c r="Q50" t="s">
        <v>166</v>
      </c>
      <c r="S50" t="s">
        <v>205</v>
      </c>
      <c r="T50" t="s">
        <v>169</v>
      </c>
      <c r="U50">
        <v>7.3018766686576614E-2</v>
      </c>
      <c r="V50" t="s">
        <v>166</v>
      </c>
      <c r="AK50">
        <v>2035</v>
      </c>
      <c r="AL50" t="s">
        <v>155</v>
      </c>
      <c r="AM50">
        <v>0.56027500000000008</v>
      </c>
      <c r="AN50" t="s">
        <v>226</v>
      </c>
    </row>
    <row r="51" spans="9:40" x14ac:dyDescent="0.45">
      <c r="I51" t="s">
        <v>178</v>
      </c>
      <c r="J51" t="s">
        <v>170</v>
      </c>
      <c r="K51">
        <v>1.1146531799638792E-2</v>
      </c>
      <c r="L51" t="s">
        <v>166</v>
      </c>
      <c r="N51" t="s">
        <v>191</v>
      </c>
      <c r="O51" t="s">
        <v>170</v>
      </c>
      <c r="P51">
        <v>1.1915590078452542E-2</v>
      </c>
      <c r="Q51" t="s">
        <v>166</v>
      </c>
      <c r="S51" t="s">
        <v>205</v>
      </c>
      <c r="T51" t="s">
        <v>170</v>
      </c>
      <c r="U51">
        <v>1.2988705822583034E-2</v>
      </c>
      <c r="V51" t="s">
        <v>166</v>
      </c>
      <c r="AK51">
        <v>2035</v>
      </c>
      <c r="AL51" t="s">
        <v>159</v>
      </c>
      <c r="AM51">
        <v>0.48680000000000001</v>
      </c>
      <c r="AN51" t="s">
        <v>226</v>
      </c>
    </row>
    <row r="52" spans="9:40" x14ac:dyDescent="0.45">
      <c r="I52" t="s">
        <v>178</v>
      </c>
      <c r="J52" t="s">
        <v>171</v>
      </c>
      <c r="K52">
        <v>0.62343089097887849</v>
      </c>
      <c r="L52" t="s">
        <v>166</v>
      </c>
      <c r="N52" t="s">
        <v>191</v>
      </c>
      <c r="O52" t="s">
        <v>171</v>
      </c>
      <c r="P52">
        <v>0.21486353716336437</v>
      </c>
      <c r="Q52" t="s">
        <v>166</v>
      </c>
      <c r="S52" t="s">
        <v>205</v>
      </c>
      <c r="T52" t="s">
        <v>171</v>
      </c>
      <c r="U52">
        <v>0.23137234033319293</v>
      </c>
      <c r="V52" t="s">
        <v>166</v>
      </c>
      <c r="AK52">
        <v>2035</v>
      </c>
      <c r="AL52" t="s">
        <v>161</v>
      </c>
      <c r="AM52">
        <v>0.52510000000000001</v>
      </c>
      <c r="AN52" t="s">
        <v>226</v>
      </c>
    </row>
    <row r="53" spans="9:40" x14ac:dyDescent="0.45">
      <c r="I53" t="s">
        <v>178</v>
      </c>
      <c r="J53" t="s">
        <v>172</v>
      </c>
      <c r="K53">
        <v>0</v>
      </c>
      <c r="L53" t="s">
        <v>166</v>
      </c>
      <c r="N53" t="s">
        <v>191</v>
      </c>
      <c r="O53" t="s">
        <v>172</v>
      </c>
      <c r="P53">
        <v>7.5998787594125497E-2</v>
      </c>
      <c r="Q53" t="s">
        <v>166</v>
      </c>
      <c r="S53" t="s">
        <v>205</v>
      </c>
      <c r="T53" t="s">
        <v>172</v>
      </c>
      <c r="U53">
        <v>7.2874542295233255E-2</v>
      </c>
      <c r="V53" t="s">
        <v>166</v>
      </c>
      <c r="AK53">
        <v>2036</v>
      </c>
      <c r="AL53" t="s">
        <v>155</v>
      </c>
      <c r="AM53">
        <v>0.56669999999999998</v>
      </c>
      <c r="AN53" t="s">
        <v>226</v>
      </c>
    </row>
    <row r="54" spans="9:40" x14ac:dyDescent="0.45">
      <c r="I54" t="s">
        <v>178</v>
      </c>
      <c r="J54" t="s">
        <v>173</v>
      </c>
      <c r="K54">
        <v>0</v>
      </c>
      <c r="L54" t="s">
        <v>166</v>
      </c>
      <c r="N54" t="s">
        <v>191</v>
      </c>
      <c r="O54" t="s">
        <v>173</v>
      </c>
      <c r="P54">
        <v>1.4666443233343141E-2</v>
      </c>
      <c r="Q54" t="s">
        <v>166</v>
      </c>
      <c r="S54" t="s">
        <v>205</v>
      </c>
      <c r="T54" t="s">
        <v>173</v>
      </c>
      <c r="U54">
        <v>1.4136445439165325E-2</v>
      </c>
      <c r="V54" t="s">
        <v>166</v>
      </c>
      <c r="AK54">
        <v>2036</v>
      </c>
      <c r="AL54" t="s">
        <v>159</v>
      </c>
      <c r="AM54">
        <v>0.49874000000000002</v>
      </c>
      <c r="AN54" t="s">
        <v>226</v>
      </c>
    </row>
    <row r="55" spans="9:40" x14ac:dyDescent="0.45">
      <c r="I55" t="s">
        <v>178</v>
      </c>
      <c r="J55" t="s">
        <v>174</v>
      </c>
      <c r="K55">
        <v>7.0513938726634168E-2</v>
      </c>
      <c r="L55" t="s">
        <v>166</v>
      </c>
      <c r="N55" t="s">
        <v>191</v>
      </c>
      <c r="O55" t="s">
        <v>174</v>
      </c>
      <c r="P55">
        <v>0.26718209637600215</v>
      </c>
      <c r="Q55" t="s">
        <v>166</v>
      </c>
      <c r="S55" t="s">
        <v>205</v>
      </c>
      <c r="T55" t="s">
        <v>174</v>
      </c>
      <c r="U55">
        <v>0.25457023128572942</v>
      </c>
      <c r="V55" t="s">
        <v>166</v>
      </c>
      <c r="AK55">
        <v>2036</v>
      </c>
      <c r="AL55" t="s">
        <v>161</v>
      </c>
      <c r="AM55">
        <v>0.56856666666666655</v>
      </c>
      <c r="AN55" t="s">
        <v>226</v>
      </c>
    </row>
    <row r="56" spans="9:40" x14ac:dyDescent="0.45">
      <c r="I56" t="s">
        <v>179</v>
      </c>
      <c r="J56" t="s">
        <v>165</v>
      </c>
      <c r="K56">
        <v>0</v>
      </c>
      <c r="L56" t="s">
        <v>166</v>
      </c>
      <c r="N56" t="s">
        <v>192</v>
      </c>
      <c r="O56" t="s">
        <v>165</v>
      </c>
      <c r="P56">
        <v>7.3494596668895559E-2</v>
      </c>
      <c r="Q56" t="s">
        <v>166</v>
      </c>
      <c r="S56" t="s">
        <v>206</v>
      </c>
      <c r="T56" t="s">
        <v>165</v>
      </c>
      <c r="U56">
        <v>6.6276834356279124E-2</v>
      </c>
      <c r="V56" t="s">
        <v>166</v>
      </c>
      <c r="AK56">
        <v>2037</v>
      </c>
      <c r="AL56" t="s">
        <v>155</v>
      </c>
      <c r="AM56">
        <v>0.50550000000000006</v>
      </c>
      <c r="AN56" t="s">
        <v>226</v>
      </c>
    </row>
    <row r="57" spans="9:40" x14ac:dyDescent="0.45">
      <c r="I57" t="s">
        <v>179</v>
      </c>
      <c r="J57" t="s">
        <v>167</v>
      </c>
      <c r="K57">
        <v>1.0578040320952396E-4</v>
      </c>
      <c r="L57" t="s">
        <v>166</v>
      </c>
      <c r="N57" t="s">
        <v>192</v>
      </c>
      <c r="O57" t="s">
        <v>167</v>
      </c>
      <c r="P57">
        <v>1.5540757906491504E-2</v>
      </c>
      <c r="Q57" t="s">
        <v>166</v>
      </c>
      <c r="S57" t="s">
        <v>206</v>
      </c>
      <c r="T57" t="s">
        <v>167</v>
      </c>
      <c r="U57">
        <v>1.3403257928428648E-2</v>
      </c>
      <c r="V57" t="s">
        <v>166</v>
      </c>
      <c r="AK57">
        <v>2037</v>
      </c>
      <c r="AL57" t="s">
        <v>159</v>
      </c>
      <c r="AM57">
        <v>0.42618</v>
      </c>
      <c r="AN57" t="s">
        <v>226</v>
      </c>
    </row>
    <row r="58" spans="9:40" x14ac:dyDescent="0.45">
      <c r="I58" t="s">
        <v>179</v>
      </c>
      <c r="J58" t="s">
        <v>168</v>
      </c>
      <c r="K58">
        <v>0.28032049304861278</v>
      </c>
      <c r="L58" t="s">
        <v>166</v>
      </c>
      <c r="N58" t="s">
        <v>192</v>
      </c>
      <c r="O58" t="s">
        <v>168</v>
      </c>
      <c r="P58">
        <v>0.24233175602920468</v>
      </c>
      <c r="Q58" t="s">
        <v>166</v>
      </c>
      <c r="S58" t="s">
        <v>206</v>
      </c>
      <c r="T58" t="s">
        <v>168</v>
      </c>
      <c r="U58">
        <v>0.24793294176173333</v>
      </c>
      <c r="V58" t="s">
        <v>166</v>
      </c>
      <c r="AK58">
        <v>2037</v>
      </c>
      <c r="AL58" t="s">
        <v>161</v>
      </c>
      <c r="AM58">
        <v>0.44293333333333335</v>
      </c>
      <c r="AN58" t="s">
        <v>226</v>
      </c>
    </row>
    <row r="59" spans="9:40" x14ac:dyDescent="0.45">
      <c r="I59" t="s">
        <v>179</v>
      </c>
      <c r="J59" t="s">
        <v>169</v>
      </c>
      <c r="K59">
        <v>1.13151049473003E-3</v>
      </c>
      <c r="L59" t="s">
        <v>166</v>
      </c>
      <c r="N59" t="s">
        <v>192</v>
      </c>
      <c r="O59" t="s">
        <v>169</v>
      </c>
      <c r="P59">
        <v>6.2371045532023509E-2</v>
      </c>
      <c r="Q59" t="s">
        <v>166</v>
      </c>
      <c r="S59" t="s">
        <v>206</v>
      </c>
      <c r="T59" t="s">
        <v>169</v>
      </c>
      <c r="U59">
        <v>7.6168327126657123E-2</v>
      </c>
      <c r="V59" t="s">
        <v>166</v>
      </c>
      <c r="AK59">
        <v>2038</v>
      </c>
      <c r="AL59" t="s">
        <v>155</v>
      </c>
      <c r="AM59">
        <v>0.45584999999999998</v>
      </c>
      <c r="AN59" t="s">
        <v>226</v>
      </c>
    </row>
    <row r="60" spans="9:40" x14ac:dyDescent="0.45">
      <c r="I60" t="s">
        <v>179</v>
      </c>
      <c r="J60" t="s">
        <v>170</v>
      </c>
      <c r="K60">
        <v>9.2916443520660672E-3</v>
      </c>
      <c r="L60" t="s">
        <v>166</v>
      </c>
      <c r="N60" t="s">
        <v>192</v>
      </c>
      <c r="O60" t="s">
        <v>170</v>
      </c>
      <c r="P60">
        <v>1.1543274026247857E-2</v>
      </c>
      <c r="Q60" t="s">
        <v>166</v>
      </c>
      <c r="S60" t="s">
        <v>206</v>
      </c>
      <c r="T60" t="s">
        <v>170</v>
      </c>
      <c r="U60">
        <v>1.4402648762580014E-2</v>
      </c>
      <c r="V60" t="s">
        <v>166</v>
      </c>
      <c r="AK60">
        <v>2038</v>
      </c>
      <c r="AL60" t="s">
        <v>159</v>
      </c>
      <c r="AM60">
        <v>0.35202</v>
      </c>
      <c r="AN60" t="s">
        <v>226</v>
      </c>
    </row>
    <row r="61" spans="9:40" x14ac:dyDescent="0.45">
      <c r="I61" t="s">
        <v>179</v>
      </c>
      <c r="J61" t="s">
        <v>171</v>
      </c>
      <c r="K61">
        <v>0.6376669006956055</v>
      </c>
      <c r="L61" t="s">
        <v>166</v>
      </c>
      <c r="N61" t="s">
        <v>192</v>
      </c>
      <c r="O61" t="s">
        <v>171</v>
      </c>
      <c r="P61">
        <v>0.21110261573168781</v>
      </c>
      <c r="Q61" t="s">
        <v>166</v>
      </c>
      <c r="S61" t="s">
        <v>206</v>
      </c>
      <c r="T61" t="s">
        <v>171</v>
      </c>
      <c r="U61">
        <v>0.25954367645225801</v>
      </c>
      <c r="V61" t="s">
        <v>166</v>
      </c>
      <c r="AK61">
        <v>2038</v>
      </c>
      <c r="AL61" t="s">
        <v>161</v>
      </c>
      <c r="AM61">
        <v>0.42670000000000002</v>
      </c>
      <c r="AN61" t="s">
        <v>226</v>
      </c>
    </row>
    <row r="62" spans="9:40" x14ac:dyDescent="0.45">
      <c r="I62" t="s">
        <v>179</v>
      </c>
      <c r="J62" t="s">
        <v>172</v>
      </c>
      <c r="K62">
        <v>0</v>
      </c>
      <c r="L62" t="s">
        <v>166</v>
      </c>
      <c r="N62" t="s">
        <v>192</v>
      </c>
      <c r="O62" t="s">
        <v>172</v>
      </c>
      <c r="P62">
        <v>7.9733080923952357E-2</v>
      </c>
      <c r="Q62" t="s">
        <v>166</v>
      </c>
      <c r="S62" t="s">
        <v>206</v>
      </c>
      <c r="T62" t="s">
        <v>172</v>
      </c>
      <c r="U62">
        <v>6.541487872456693E-2</v>
      </c>
      <c r="V62" t="s">
        <v>166</v>
      </c>
      <c r="AK62">
        <v>2039</v>
      </c>
      <c r="AL62" t="s">
        <v>155</v>
      </c>
      <c r="AM62">
        <v>0.41827500000000001</v>
      </c>
      <c r="AN62" t="s">
        <v>226</v>
      </c>
    </row>
    <row r="63" spans="9:40" x14ac:dyDescent="0.45">
      <c r="I63" t="s">
        <v>179</v>
      </c>
      <c r="J63" t="s">
        <v>173</v>
      </c>
      <c r="K63">
        <v>0</v>
      </c>
      <c r="L63" t="s">
        <v>166</v>
      </c>
      <c r="N63" t="s">
        <v>192</v>
      </c>
      <c r="O63" t="s">
        <v>173</v>
      </c>
      <c r="P63">
        <v>1.6123741675491608E-2</v>
      </c>
      <c r="Q63" t="s">
        <v>166</v>
      </c>
      <c r="S63" t="s">
        <v>206</v>
      </c>
      <c r="T63" t="s">
        <v>173</v>
      </c>
      <c r="U63">
        <v>1.2948573769981944E-2</v>
      </c>
      <c r="V63" t="s">
        <v>166</v>
      </c>
      <c r="AK63">
        <v>2039</v>
      </c>
      <c r="AL63" t="s">
        <v>159</v>
      </c>
      <c r="AM63">
        <v>0.34854000000000002</v>
      </c>
      <c r="AN63" t="s">
        <v>226</v>
      </c>
    </row>
    <row r="64" spans="9:40" x14ac:dyDescent="0.45">
      <c r="I64" t="s">
        <v>179</v>
      </c>
      <c r="J64" t="s">
        <v>174</v>
      </c>
      <c r="K64">
        <v>7.1483671005775198E-2</v>
      </c>
      <c r="L64" t="s">
        <v>166</v>
      </c>
      <c r="N64" t="s">
        <v>192</v>
      </c>
      <c r="O64" t="s">
        <v>174</v>
      </c>
      <c r="P64">
        <v>0.28775913150600424</v>
      </c>
      <c r="Q64" t="s">
        <v>166</v>
      </c>
      <c r="S64" t="s">
        <v>206</v>
      </c>
      <c r="T64" t="s">
        <v>174</v>
      </c>
      <c r="U64">
        <v>0.24390886111751434</v>
      </c>
      <c r="V64" t="s">
        <v>166</v>
      </c>
      <c r="AK64">
        <v>2039</v>
      </c>
      <c r="AL64" t="s">
        <v>161</v>
      </c>
      <c r="AM64">
        <v>0.40273333333333333</v>
      </c>
      <c r="AN64" t="s">
        <v>226</v>
      </c>
    </row>
    <row r="65" spans="9:40" x14ac:dyDescent="0.45">
      <c r="I65" t="s">
        <v>180</v>
      </c>
      <c r="J65" t="s">
        <v>165</v>
      </c>
      <c r="K65">
        <v>0</v>
      </c>
      <c r="L65" t="s">
        <v>166</v>
      </c>
      <c r="N65" t="s">
        <v>193</v>
      </c>
      <c r="O65" t="s">
        <v>165</v>
      </c>
      <c r="P65">
        <v>6.8676488843908673E-2</v>
      </c>
      <c r="Q65" t="s">
        <v>166</v>
      </c>
      <c r="S65" t="s">
        <v>207</v>
      </c>
      <c r="T65" t="s">
        <v>165</v>
      </c>
      <c r="U65">
        <v>6.3244789350129421E-2</v>
      </c>
      <c r="V65" t="s">
        <v>166</v>
      </c>
      <c r="AK65">
        <v>2040</v>
      </c>
      <c r="AL65" t="s">
        <v>155</v>
      </c>
      <c r="AM65">
        <v>0.49880000000000008</v>
      </c>
      <c r="AN65" t="s">
        <v>226</v>
      </c>
    </row>
    <row r="66" spans="9:40" x14ac:dyDescent="0.45">
      <c r="I66" t="s">
        <v>180</v>
      </c>
      <c r="J66" t="s">
        <v>167</v>
      </c>
      <c r="K66">
        <v>9.2432786804073706E-7</v>
      </c>
      <c r="L66" t="s">
        <v>166</v>
      </c>
      <c r="N66" t="s">
        <v>193</v>
      </c>
      <c r="O66" t="s">
        <v>167</v>
      </c>
      <c r="P66">
        <v>1.4249237735821171E-2</v>
      </c>
      <c r="Q66" t="s">
        <v>166</v>
      </c>
      <c r="S66" t="s">
        <v>207</v>
      </c>
      <c r="T66" t="s">
        <v>167</v>
      </c>
      <c r="U66">
        <v>1.3040225857971712E-2</v>
      </c>
      <c r="V66" t="s">
        <v>166</v>
      </c>
      <c r="AK66">
        <v>2040</v>
      </c>
      <c r="AL66" t="s">
        <v>159</v>
      </c>
      <c r="AM66">
        <v>0.41532000000000002</v>
      </c>
      <c r="AN66" t="s">
        <v>226</v>
      </c>
    </row>
    <row r="67" spans="9:40" x14ac:dyDescent="0.45">
      <c r="I67" t="s">
        <v>180</v>
      </c>
      <c r="J67" t="s">
        <v>168</v>
      </c>
      <c r="K67">
        <v>0.28397299501527573</v>
      </c>
      <c r="L67" t="s">
        <v>166</v>
      </c>
      <c r="N67" t="s">
        <v>193</v>
      </c>
      <c r="O67" t="s">
        <v>168</v>
      </c>
      <c r="P67">
        <v>0.23644935630467917</v>
      </c>
      <c r="Q67" t="s">
        <v>166</v>
      </c>
      <c r="S67" t="s">
        <v>207</v>
      </c>
      <c r="T67" t="s">
        <v>168</v>
      </c>
      <c r="U67">
        <v>0.22488032882219902</v>
      </c>
      <c r="V67" t="s">
        <v>166</v>
      </c>
      <c r="AK67">
        <v>2040</v>
      </c>
      <c r="AL67" t="s">
        <v>161</v>
      </c>
      <c r="AM67">
        <v>0.48173333333333329</v>
      </c>
      <c r="AN67" t="s">
        <v>226</v>
      </c>
    </row>
    <row r="68" spans="9:40" x14ac:dyDescent="0.45">
      <c r="I68" t="s">
        <v>180</v>
      </c>
      <c r="J68" t="s">
        <v>169</v>
      </c>
      <c r="K68">
        <v>5.3299589148549662E-4</v>
      </c>
      <c r="L68" t="s">
        <v>166</v>
      </c>
      <c r="N68" t="s">
        <v>193</v>
      </c>
      <c r="O68" t="s">
        <v>169</v>
      </c>
      <c r="P68">
        <v>6.1086248273693695E-2</v>
      </c>
      <c r="Q68" t="s">
        <v>166</v>
      </c>
      <c r="S68" t="s">
        <v>207</v>
      </c>
      <c r="T68" t="s">
        <v>169</v>
      </c>
      <c r="U68">
        <v>6.4375908627152728E-2</v>
      </c>
      <c r="V68" t="s">
        <v>166</v>
      </c>
      <c r="AK68">
        <v>2041</v>
      </c>
      <c r="AL68" t="s">
        <v>155</v>
      </c>
      <c r="AM68">
        <v>0.530725</v>
      </c>
      <c r="AN68" t="s">
        <v>226</v>
      </c>
    </row>
    <row r="69" spans="9:40" x14ac:dyDescent="0.45">
      <c r="I69" t="s">
        <v>180</v>
      </c>
      <c r="J69" t="s">
        <v>170</v>
      </c>
      <c r="K69">
        <v>7.9166220291504424E-3</v>
      </c>
      <c r="L69" t="s">
        <v>166</v>
      </c>
      <c r="N69" t="s">
        <v>193</v>
      </c>
      <c r="O69" t="s">
        <v>170</v>
      </c>
      <c r="P69">
        <v>1.1269395685914022E-2</v>
      </c>
      <c r="Q69" t="s">
        <v>166</v>
      </c>
      <c r="S69" t="s">
        <v>207</v>
      </c>
      <c r="T69" t="s">
        <v>170</v>
      </c>
      <c r="U69">
        <v>1.1657946458846883E-2</v>
      </c>
      <c r="V69" t="s">
        <v>166</v>
      </c>
      <c r="AK69">
        <v>2041</v>
      </c>
      <c r="AL69" t="s">
        <v>159</v>
      </c>
      <c r="AM69">
        <v>0.42110000000000003</v>
      </c>
      <c r="AN69" t="s">
        <v>226</v>
      </c>
    </row>
    <row r="70" spans="9:40" x14ac:dyDescent="0.45">
      <c r="I70" t="s">
        <v>180</v>
      </c>
      <c r="J70" t="s">
        <v>171</v>
      </c>
      <c r="K70">
        <v>0.63473158927609352</v>
      </c>
      <c r="L70" t="s">
        <v>166</v>
      </c>
      <c r="N70" t="s">
        <v>193</v>
      </c>
      <c r="O70" t="s">
        <v>171</v>
      </c>
      <c r="P70">
        <v>0.20912060565715107</v>
      </c>
      <c r="Q70" t="s">
        <v>166</v>
      </c>
      <c r="S70" t="s">
        <v>207</v>
      </c>
      <c r="T70" t="s">
        <v>171</v>
      </c>
      <c r="U70">
        <v>0.2254200427835692</v>
      </c>
      <c r="V70" t="s">
        <v>166</v>
      </c>
      <c r="AK70">
        <v>2041</v>
      </c>
      <c r="AL70" t="s">
        <v>161</v>
      </c>
      <c r="AM70">
        <v>0.51103333333333334</v>
      </c>
      <c r="AN70" t="s">
        <v>226</v>
      </c>
    </row>
    <row r="71" spans="9:40" x14ac:dyDescent="0.45">
      <c r="I71" t="s">
        <v>180</v>
      </c>
      <c r="J71" t="s">
        <v>172</v>
      </c>
      <c r="K71">
        <v>0</v>
      </c>
      <c r="L71" t="s">
        <v>166</v>
      </c>
      <c r="N71" t="s">
        <v>193</v>
      </c>
      <c r="O71" t="s">
        <v>172</v>
      </c>
      <c r="P71">
        <v>8.4760247549914888E-2</v>
      </c>
      <c r="Q71" t="s">
        <v>166</v>
      </c>
      <c r="S71" t="s">
        <v>207</v>
      </c>
      <c r="T71" t="s">
        <v>172</v>
      </c>
      <c r="U71">
        <v>8.2278104065594632E-2</v>
      </c>
      <c r="V71" t="s">
        <v>166</v>
      </c>
      <c r="AK71">
        <v>2042</v>
      </c>
      <c r="AL71" t="s">
        <v>155</v>
      </c>
      <c r="AM71">
        <v>0.542875</v>
      </c>
      <c r="AN71" t="s">
        <v>226</v>
      </c>
    </row>
    <row r="72" spans="9:40" x14ac:dyDescent="0.45">
      <c r="I72" t="s">
        <v>180</v>
      </c>
      <c r="J72" t="s">
        <v>173</v>
      </c>
      <c r="K72">
        <v>0</v>
      </c>
      <c r="L72" t="s">
        <v>166</v>
      </c>
      <c r="N72" t="s">
        <v>193</v>
      </c>
      <c r="O72" t="s">
        <v>173</v>
      </c>
      <c r="P72">
        <v>1.6471576560839855E-2</v>
      </c>
      <c r="Q72" t="s">
        <v>166</v>
      </c>
      <c r="S72" t="s">
        <v>207</v>
      </c>
      <c r="T72" t="s">
        <v>173</v>
      </c>
      <c r="U72">
        <v>1.6417865856845223E-2</v>
      </c>
      <c r="V72" t="s">
        <v>166</v>
      </c>
      <c r="AK72">
        <v>2042</v>
      </c>
      <c r="AL72" t="s">
        <v>159</v>
      </c>
      <c r="AM72">
        <v>0.41365999999999997</v>
      </c>
      <c r="AN72" t="s">
        <v>226</v>
      </c>
    </row>
    <row r="73" spans="9:40" x14ac:dyDescent="0.45">
      <c r="I73" t="s">
        <v>180</v>
      </c>
      <c r="J73" t="s">
        <v>174</v>
      </c>
      <c r="K73">
        <v>7.2844873460126233E-2</v>
      </c>
      <c r="L73" t="s">
        <v>166</v>
      </c>
      <c r="N73" t="s">
        <v>193</v>
      </c>
      <c r="O73" t="s">
        <v>174</v>
      </c>
      <c r="P73">
        <v>0.29791684338807883</v>
      </c>
      <c r="Q73" t="s">
        <v>166</v>
      </c>
      <c r="S73" t="s">
        <v>207</v>
      </c>
      <c r="T73" t="s">
        <v>174</v>
      </c>
      <c r="U73">
        <v>0.29868478817769684</v>
      </c>
      <c r="V73" t="s">
        <v>166</v>
      </c>
      <c r="AK73">
        <v>2042</v>
      </c>
      <c r="AL73" t="s">
        <v>161</v>
      </c>
      <c r="AM73">
        <v>0.45073333333333337</v>
      </c>
      <c r="AN73" t="s">
        <v>226</v>
      </c>
    </row>
    <row r="74" spans="9:40" x14ac:dyDescent="0.45">
      <c r="I74" t="s">
        <v>181</v>
      </c>
      <c r="J74" t="s">
        <v>165</v>
      </c>
      <c r="K74">
        <v>0</v>
      </c>
      <c r="L74" t="s">
        <v>166</v>
      </c>
      <c r="N74" t="s">
        <v>194</v>
      </c>
      <c r="O74" t="s">
        <v>165</v>
      </c>
      <c r="P74">
        <v>6.7262102177783653E-2</v>
      </c>
      <c r="Q74" t="s">
        <v>166</v>
      </c>
      <c r="S74" t="s">
        <v>208</v>
      </c>
      <c r="T74" t="s">
        <v>165</v>
      </c>
      <c r="U74">
        <v>6.0256919511592212E-2</v>
      </c>
      <c r="V74" t="s">
        <v>166</v>
      </c>
      <c r="AK74">
        <v>2043</v>
      </c>
      <c r="AL74" t="s">
        <v>155</v>
      </c>
      <c r="AM74">
        <v>0.51272499999999999</v>
      </c>
      <c r="AN74" t="s">
        <v>226</v>
      </c>
    </row>
    <row r="75" spans="9:40" x14ac:dyDescent="0.45">
      <c r="I75" t="s">
        <v>181</v>
      </c>
      <c r="J75" t="s">
        <v>167</v>
      </c>
      <c r="K75">
        <v>5.6561861589506476E-5</v>
      </c>
      <c r="L75" t="s">
        <v>166</v>
      </c>
      <c r="N75" t="s">
        <v>194</v>
      </c>
      <c r="O75" t="s">
        <v>167</v>
      </c>
      <c r="P75">
        <v>1.398957971046819E-2</v>
      </c>
      <c r="Q75" t="s">
        <v>166</v>
      </c>
      <c r="S75" t="s">
        <v>208</v>
      </c>
      <c r="T75" t="s">
        <v>167</v>
      </c>
      <c r="U75">
        <v>1.2437422514804612E-2</v>
      </c>
      <c r="V75" t="s">
        <v>166</v>
      </c>
      <c r="AK75">
        <v>2043</v>
      </c>
      <c r="AL75" t="s">
        <v>159</v>
      </c>
      <c r="AM75">
        <v>0.42168</v>
      </c>
      <c r="AN75" t="s">
        <v>226</v>
      </c>
    </row>
    <row r="76" spans="9:40" x14ac:dyDescent="0.45">
      <c r="I76" t="s">
        <v>181</v>
      </c>
      <c r="J76" t="s">
        <v>168</v>
      </c>
      <c r="K76">
        <v>0.29339386082089969</v>
      </c>
      <c r="L76" t="s">
        <v>166</v>
      </c>
      <c r="N76" t="s">
        <v>194</v>
      </c>
      <c r="O76" t="s">
        <v>168</v>
      </c>
      <c r="P76">
        <v>0.24813805071527589</v>
      </c>
      <c r="Q76" t="s">
        <v>166</v>
      </c>
      <c r="S76" t="s">
        <v>208</v>
      </c>
      <c r="T76" t="s">
        <v>168</v>
      </c>
      <c r="U76">
        <v>0.23552788419304826</v>
      </c>
      <c r="V76" t="s">
        <v>166</v>
      </c>
      <c r="AK76">
        <v>2043</v>
      </c>
      <c r="AL76" t="s">
        <v>161</v>
      </c>
      <c r="AM76">
        <v>0.47439999999999999</v>
      </c>
      <c r="AN76" t="s">
        <v>226</v>
      </c>
    </row>
    <row r="77" spans="9:40" x14ac:dyDescent="0.45">
      <c r="I77" t="s">
        <v>181</v>
      </c>
      <c r="J77" t="s">
        <v>169</v>
      </c>
      <c r="K77">
        <v>1.6077085793537919E-3</v>
      </c>
      <c r="L77" t="s">
        <v>166</v>
      </c>
      <c r="N77" t="s">
        <v>194</v>
      </c>
      <c r="O77" t="s">
        <v>169</v>
      </c>
      <c r="P77">
        <v>6.4248681075301226E-2</v>
      </c>
      <c r="Q77" t="s">
        <v>166</v>
      </c>
      <c r="S77" t="s">
        <v>208</v>
      </c>
      <c r="T77" t="s">
        <v>169</v>
      </c>
      <c r="U77">
        <v>7.1621431130256513E-2</v>
      </c>
      <c r="V77" t="s">
        <v>166</v>
      </c>
      <c r="AK77">
        <v>2044</v>
      </c>
      <c r="AL77" t="s">
        <v>155</v>
      </c>
      <c r="AM77">
        <v>0.48259999999999997</v>
      </c>
      <c r="AN77" t="s">
        <v>226</v>
      </c>
    </row>
    <row r="78" spans="9:40" x14ac:dyDescent="0.45">
      <c r="I78" t="s">
        <v>181</v>
      </c>
      <c r="J78" t="s">
        <v>170</v>
      </c>
      <c r="K78">
        <v>9.8339991775817093E-3</v>
      </c>
      <c r="L78" t="s">
        <v>166</v>
      </c>
      <c r="N78" t="s">
        <v>194</v>
      </c>
      <c r="O78" t="s">
        <v>170</v>
      </c>
      <c r="P78">
        <v>1.2011208316022174E-2</v>
      </c>
      <c r="Q78" t="s">
        <v>166</v>
      </c>
      <c r="S78" t="s">
        <v>208</v>
      </c>
      <c r="T78" t="s">
        <v>170</v>
      </c>
      <c r="U78">
        <v>1.3418531356258265E-2</v>
      </c>
      <c r="V78" t="s">
        <v>166</v>
      </c>
      <c r="AK78">
        <v>2044</v>
      </c>
      <c r="AL78" t="s">
        <v>159</v>
      </c>
      <c r="AM78">
        <v>0.40964</v>
      </c>
      <c r="AN78" t="s">
        <v>226</v>
      </c>
    </row>
    <row r="79" spans="9:40" x14ac:dyDescent="0.45">
      <c r="I79" t="s">
        <v>181</v>
      </c>
      <c r="J79" t="s">
        <v>171</v>
      </c>
      <c r="K79">
        <v>0.62287963268965785</v>
      </c>
      <c r="L79" t="s">
        <v>166</v>
      </c>
      <c r="N79" t="s">
        <v>194</v>
      </c>
      <c r="O79" t="s">
        <v>171</v>
      </c>
      <c r="P79">
        <v>0.23112284318061943</v>
      </c>
      <c r="Q79" t="s">
        <v>166</v>
      </c>
      <c r="S79" t="s">
        <v>208</v>
      </c>
      <c r="T79" t="s">
        <v>171</v>
      </c>
      <c r="U79">
        <v>0.25417937664869578</v>
      </c>
      <c r="V79" t="s">
        <v>166</v>
      </c>
      <c r="AK79">
        <v>2044</v>
      </c>
      <c r="AL79" t="s">
        <v>161</v>
      </c>
      <c r="AM79">
        <v>0.49093333333333339</v>
      </c>
      <c r="AN79" t="s">
        <v>226</v>
      </c>
    </row>
    <row r="80" spans="9:40" x14ac:dyDescent="0.45">
      <c r="I80" t="s">
        <v>181</v>
      </c>
      <c r="J80" t="s">
        <v>172</v>
      </c>
      <c r="K80">
        <v>0</v>
      </c>
      <c r="L80" t="s">
        <v>166</v>
      </c>
      <c r="N80" t="s">
        <v>194</v>
      </c>
      <c r="O80" t="s">
        <v>172</v>
      </c>
      <c r="P80">
        <v>7.6331909510560347E-2</v>
      </c>
      <c r="Q80" t="s">
        <v>166</v>
      </c>
      <c r="S80" t="s">
        <v>208</v>
      </c>
      <c r="T80" t="s">
        <v>172</v>
      </c>
      <c r="U80">
        <v>7.2268095679954125E-2</v>
      </c>
      <c r="V80" t="s">
        <v>166</v>
      </c>
      <c r="AK80">
        <v>2045</v>
      </c>
      <c r="AL80" t="s">
        <v>155</v>
      </c>
      <c r="AM80">
        <v>0.52002499999999996</v>
      </c>
      <c r="AN80" t="s">
        <v>226</v>
      </c>
    </row>
    <row r="81" spans="9:40" x14ac:dyDescent="0.45">
      <c r="I81" t="s">
        <v>181</v>
      </c>
      <c r="J81" t="s">
        <v>173</v>
      </c>
      <c r="K81">
        <v>0</v>
      </c>
      <c r="L81" t="s">
        <v>166</v>
      </c>
      <c r="N81" t="s">
        <v>194</v>
      </c>
      <c r="O81" t="s">
        <v>173</v>
      </c>
      <c r="P81">
        <v>1.5596783510613402E-2</v>
      </c>
      <c r="Q81" t="s">
        <v>166</v>
      </c>
      <c r="S81" t="s">
        <v>208</v>
      </c>
      <c r="T81" t="s">
        <v>173</v>
      </c>
      <c r="U81">
        <v>1.417097553289089E-2</v>
      </c>
      <c r="V81" t="s">
        <v>166</v>
      </c>
      <c r="AK81">
        <v>2045</v>
      </c>
      <c r="AL81" t="s">
        <v>159</v>
      </c>
      <c r="AM81">
        <v>0.41634000000000004</v>
      </c>
      <c r="AN81" t="s">
        <v>226</v>
      </c>
    </row>
    <row r="82" spans="9:40" x14ac:dyDescent="0.45">
      <c r="I82" t="s">
        <v>181</v>
      </c>
      <c r="J82" t="s">
        <v>174</v>
      </c>
      <c r="K82">
        <v>7.2228236870917228E-2</v>
      </c>
      <c r="L82" t="s">
        <v>166</v>
      </c>
      <c r="N82" t="s">
        <v>194</v>
      </c>
      <c r="O82" t="s">
        <v>174</v>
      </c>
      <c r="P82">
        <v>0.27129884180336067</v>
      </c>
      <c r="Q82" t="s">
        <v>166</v>
      </c>
      <c r="S82" t="s">
        <v>208</v>
      </c>
      <c r="T82" t="s">
        <v>174</v>
      </c>
      <c r="U82">
        <v>0.26611936343249715</v>
      </c>
      <c r="V82" t="s">
        <v>166</v>
      </c>
      <c r="AK82">
        <v>2045</v>
      </c>
      <c r="AL82" t="s">
        <v>161</v>
      </c>
      <c r="AM82">
        <v>0.46880000000000005</v>
      </c>
      <c r="AN82" t="s">
        <v>226</v>
      </c>
    </row>
    <row r="83" spans="9:40" x14ac:dyDescent="0.45">
      <c r="I83" t="s">
        <v>182</v>
      </c>
      <c r="J83" t="s">
        <v>165</v>
      </c>
      <c r="K83">
        <v>0</v>
      </c>
      <c r="L83" t="s">
        <v>166</v>
      </c>
      <c r="N83" t="s">
        <v>195</v>
      </c>
      <c r="O83" t="s">
        <v>165</v>
      </c>
      <c r="P83">
        <v>7.1907050066433123E-2</v>
      </c>
      <c r="Q83" t="s">
        <v>166</v>
      </c>
      <c r="S83" t="s">
        <v>209</v>
      </c>
      <c r="T83" t="s">
        <v>165</v>
      </c>
      <c r="U83">
        <v>6.5133914470400234E-2</v>
      </c>
      <c r="V83" t="s">
        <v>166</v>
      </c>
      <c r="AK83">
        <v>2046</v>
      </c>
      <c r="AL83" t="s">
        <v>155</v>
      </c>
      <c r="AM83">
        <v>0.51172499999999999</v>
      </c>
      <c r="AN83" t="s">
        <v>226</v>
      </c>
    </row>
    <row r="84" spans="9:40" x14ac:dyDescent="0.45">
      <c r="I84" t="s">
        <v>182</v>
      </c>
      <c r="J84" t="s">
        <v>167</v>
      </c>
      <c r="K84">
        <v>3.1675561986227072E-4</v>
      </c>
      <c r="L84" t="s">
        <v>166</v>
      </c>
      <c r="N84" t="s">
        <v>195</v>
      </c>
      <c r="O84" t="s">
        <v>167</v>
      </c>
      <c r="P84">
        <v>1.4799922317172549E-2</v>
      </c>
      <c r="Q84" t="s">
        <v>166</v>
      </c>
      <c r="S84" t="s">
        <v>209</v>
      </c>
      <c r="T84" t="s">
        <v>167</v>
      </c>
      <c r="U84">
        <v>1.2929633287638014E-2</v>
      </c>
      <c r="V84" t="s">
        <v>166</v>
      </c>
      <c r="AK84">
        <v>2046</v>
      </c>
      <c r="AL84" t="s">
        <v>159</v>
      </c>
      <c r="AM84">
        <v>0.41324000000000005</v>
      </c>
      <c r="AN84" t="s">
        <v>226</v>
      </c>
    </row>
    <row r="85" spans="9:40" x14ac:dyDescent="0.45">
      <c r="I85" t="s">
        <v>182</v>
      </c>
      <c r="J85" t="s">
        <v>168</v>
      </c>
      <c r="K85">
        <v>0.28917792692719124</v>
      </c>
      <c r="L85" t="s">
        <v>166</v>
      </c>
      <c r="N85" t="s">
        <v>195</v>
      </c>
      <c r="O85" t="s">
        <v>168</v>
      </c>
      <c r="P85">
        <v>0.24600020154787502</v>
      </c>
      <c r="Q85" t="s">
        <v>166</v>
      </c>
      <c r="S85" t="s">
        <v>209</v>
      </c>
      <c r="T85" t="s">
        <v>168</v>
      </c>
      <c r="U85">
        <v>0.23806947015905272</v>
      </c>
      <c r="V85" t="s">
        <v>166</v>
      </c>
      <c r="AK85">
        <v>2046</v>
      </c>
      <c r="AL85" t="s">
        <v>161</v>
      </c>
      <c r="AM85">
        <v>0.48100000000000004</v>
      </c>
      <c r="AN85" t="s">
        <v>226</v>
      </c>
    </row>
    <row r="86" spans="9:40" x14ac:dyDescent="0.45">
      <c r="I86" t="s">
        <v>182</v>
      </c>
      <c r="J86" t="s">
        <v>169</v>
      </c>
      <c r="K86">
        <v>2.6855198826242813E-3</v>
      </c>
      <c r="L86" t="s">
        <v>166</v>
      </c>
      <c r="N86" t="s">
        <v>195</v>
      </c>
      <c r="O86" t="s">
        <v>169</v>
      </c>
      <c r="P86">
        <v>6.4797403008117802E-2</v>
      </c>
      <c r="Q86" t="s">
        <v>166</v>
      </c>
      <c r="S86" t="s">
        <v>209</v>
      </c>
      <c r="T86" t="s">
        <v>169</v>
      </c>
      <c r="U86">
        <v>7.0857111745309204E-2</v>
      </c>
      <c r="V86" t="s">
        <v>166</v>
      </c>
      <c r="AK86">
        <v>2047</v>
      </c>
      <c r="AL86" t="s">
        <v>155</v>
      </c>
      <c r="AM86">
        <v>0.51205000000000001</v>
      </c>
      <c r="AN86" t="s">
        <v>226</v>
      </c>
    </row>
    <row r="87" spans="9:40" x14ac:dyDescent="0.45">
      <c r="I87" t="s">
        <v>182</v>
      </c>
      <c r="J87" t="s">
        <v>170</v>
      </c>
      <c r="K87">
        <v>1.1169263083290207E-2</v>
      </c>
      <c r="L87" t="s">
        <v>166</v>
      </c>
      <c r="N87" t="s">
        <v>195</v>
      </c>
      <c r="O87" t="s">
        <v>170</v>
      </c>
      <c r="P87">
        <v>1.2214689605101784E-2</v>
      </c>
      <c r="Q87" t="s">
        <v>166</v>
      </c>
      <c r="S87" t="s">
        <v>209</v>
      </c>
      <c r="T87" t="s">
        <v>170</v>
      </c>
      <c r="U87">
        <v>1.3389992968231337E-2</v>
      </c>
      <c r="V87" t="s">
        <v>166</v>
      </c>
      <c r="AK87">
        <v>2047</v>
      </c>
      <c r="AL87" t="s">
        <v>159</v>
      </c>
      <c r="AM87">
        <v>0.41805999999999999</v>
      </c>
      <c r="AN87" t="s">
        <v>226</v>
      </c>
    </row>
    <row r="88" spans="9:40" x14ac:dyDescent="0.45">
      <c r="I88" t="s">
        <v>182</v>
      </c>
      <c r="J88" t="s">
        <v>171</v>
      </c>
      <c r="K88">
        <v>0.62780431744958465</v>
      </c>
      <c r="L88" t="s">
        <v>166</v>
      </c>
      <c r="N88" t="s">
        <v>195</v>
      </c>
      <c r="O88" t="s">
        <v>171</v>
      </c>
      <c r="P88">
        <v>0.21586571887652234</v>
      </c>
      <c r="Q88" t="s">
        <v>166</v>
      </c>
      <c r="S88" t="s">
        <v>209</v>
      </c>
      <c r="T88" t="s">
        <v>171</v>
      </c>
      <c r="U88">
        <v>0.2396642692699959</v>
      </c>
      <c r="V88" t="s">
        <v>166</v>
      </c>
      <c r="AK88">
        <v>2047</v>
      </c>
      <c r="AL88" t="s">
        <v>161</v>
      </c>
      <c r="AM88">
        <v>0.49996666666666661</v>
      </c>
      <c r="AN88" t="s">
        <v>226</v>
      </c>
    </row>
    <row r="89" spans="9:40" x14ac:dyDescent="0.45">
      <c r="I89" t="s">
        <v>182</v>
      </c>
      <c r="J89" t="s">
        <v>172</v>
      </c>
      <c r="K89">
        <v>0</v>
      </c>
      <c r="L89" t="s">
        <v>166</v>
      </c>
      <c r="N89" t="s">
        <v>195</v>
      </c>
      <c r="O89" t="s">
        <v>172</v>
      </c>
      <c r="P89">
        <v>7.8068242870606638E-2</v>
      </c>
      <c r="Q89" t="s">
        <v>166</v>
      </c>
      <c r="S89" t="s">
        <v>209</v>
      </c>
      <c r="T89" t="s">
        <v>172</v>
      </c>
      <c r="U89">
        <v>7.553338402009746E-2</v>
      </c>
      <c r="V89" t="s">
        <v>166</v>
      </c>
      <c r="AK89">
        <v>2048</v>
      </c>
      <c r="AL89" t="s">
        <v>155</v>
      </c>
      <c r="AM89">
        <v>0.54055000000000009</v>
      </c>
      <c r="AN89" t="s">
        <v>226</v>
      </c>
    </row>
    <row r="90" spans="9:40" x14ac:dyDescent="0.45">
      <c r="I90" t="s">
        <v>182</v>
      </c>
      <c r="J90" t="s">
        <v>173</v>
      </c>
      <c r="K90">
        <v>0</v>
      </c>
      <c r="L90" t="s">
        <v>166</v>
      </c>
      <c r="N90" t="s">
        <v>195</v>
      </c>
      <c r="O90" t="s">
        <v>173</v>
      </c>
      <c r="P90">
        <v>1.5824622334701468E-2</v>
      </c>
      <c r="Q90" t="s">
        <v>166</v>
      </c>
      <c r="S90" t="s">
        <v>209</v>
      </c>
      <c r="T90" t="s">
        <v>173</v>
      </c>
      <c r="U90">
        <v>1.4788624740345615E-2</v>
      </c>
      <c r="V90" t="s">
        <v>166</v>
      </c>
      <c r="AK90">
        <v>2048</v>
      </c>
      <c r="AL90" t="s">
        <v>159</v>
      </c>
      <c r="AM90">
        <v>0.41459999999999997</v>
      </c>
      <c r="AN90" t="s">
        <v>226</v>
      </c>
    </row>
    <row r="91" spans="9:40" x14ac:dyDescent="0.45">
      <c r="I91" t="s">
        <v>182</v>
      </c>
      <c r="J91" t="s">
        <v>174</v>
      </c>
      <c r="K91">
        <v>6.8846217037450211E-2</v>
      </c>
      <c r="L91" t="s">
        <v>166</v>
      </c>
      <c r="N91" t="s">
        <v>195</v>
      </c>
      <c r="O91" t="s">
        <v>174</v>
      </c>
      <c r="P91">
        <v>0.28052214937346553</v>
      </c>
      <c r="Q91" t="s">
        <v>166</v>
      </c>
      <c r="S91" t="s">
        <v>209</v>
      </c>
      <c r="T91" t="s">
        <v>174</v>
      </c>
      <c r="U91">
        <v>0.26963359933892872</v>
      </c>
      <c r="V91" t="s">
        <v>166</v>
      </c>
      <c r="AK91">
        <v>2048</v>
      </c>
      <c r="AL91" t="s">
        <v>161</v>
      </c>
      <c r="AM91">
        <v>0.49543333333333334</v>
      </c>
      <c r="AN91" t="s">
        <v>226</v>
      </c>
    </row>
    <row r="92" spans="9:40" x14ac:dyDescent="0.45">
      <c r="I92" t="s">
        <v>183</v>
      </c>
      <c r="J92" t="s">
        <v>165</v>
      </c>
      <c r="K92">
        <v>0</v>
      </c>
      <c r="L92" t="s">
        <v>166</v>
      </c>
      <c r="N92" t="s">
        <v>196</v>
      </c>
      <c r="O92" t="s">
        <v>165</v>
      </c>
      <c r="P92">
        <v>6.8788913070148075E-2</v>
      </c>
      <c r="Q92" t="s">
        <v>166</v>
      </c>
      <c r="S92" t="s">
        <v>210</v>
      </c>
      <c r="T92" t="s">
        <v>165</v>
      </c>
      <c r="U92">
        <v>6.4234228959877404E-2</v>
      </c>
      <c r="V92" t="s">
        <v>166</v>
      </c>
      <c r="AK92">
        <v>2049</v>
      </c>
      <c r="AL92" t="s">
        <v>155</v>
      </c>
      <c r="AM92">
        <v>0.51152500000000001</v>
      </c>
      <c r="AN92" t="s">
        <v>226</v>
      </c>
    </row>
    <row r="93" spans="9:40" x14ac:dyDescent="0.45">
      <c r="I93" t="s">
        <v>183</v>
      </c>
      <c r="J93" t="s">
        <v>167</v>
      </c>
      <c r="K93">
        <v>1.3470729517761265E-4</v>
      </c>
      <c r="L93" t="s">
        <v>166</v>
      </c>
      <c r="N93" t="s">
        <v>196</v>
      </c>
      <c r="O93" t="s">
        <v>167</v>
      </c>
      <c r="P93">
        <v>1.4340646891883833E-2</v>
      </c>
      <c r="Q93" t="s">
        <v>166</v>
      </c>
      <c r="S93" t="s">
        <v>210</v>
      </c>
      <c r="T93" t="s">
        <v>167</v>
      </c>
      <c r="U93">
        <v>1.3153442651666888E-2</v>
      </c>
      <c r="V93" t="s">
        <v>166</v>
      </c>
      <c r="AK93">
        <v>2049</v>
      </c>
      <c r="AL93" t="s">
        <v>159</v>
      </c>
      <c r="AM93">
        <v>0.40432000000000007</v>
      </c>
      <c r="AN93" t="s">
        <v>226</v>
      </c>
    </row>
    <row r="94" spans="9:40" x14ac:dyDescent="0.45">
      <c r="I94" t="s">
        <v>183</v>
      </c>
      <c r="J94" t="s">
        <v>168</v>
      </c>
      <c r="K94">
        <v>0.29318864118546278</v>
      </c>
      <c r="L94" t="s">
        <v>166</v>
      </c>
      <c r="N94" t="s">
        <v>196</v>
      </c>
      <c r="O94" t="s">
        <v>168</v>
      </c>
      <c r="P94">
        <v>0.22244533458590035</v>
      </c>
      <c r="Q94" t="s">
        <v>166</v>
      </c>
      <c r="S94" t="s">
        <v>210</v>
      </c>
      <c r="T94" t="s">
        <v>168</v>
      </c>
      <c r="U94">
        <v>0.24646789356567894</v>
      </c>
      <c r="V94" t="s">
        <v>166</v>
      </c>
      <c r="AK94">
        <v>2049</v>
      </c>
      <c r="AL94" t="s">
        <v>161</v>
      </c>
      <c r="AM94">
        <v>0.50243333333333329</v>
      </c>
      <c r="AN94" t="s">
        <v>226</v>
      </c>
    </row>
    <row r="95" spans="9:40" x14ac:dyDescent="0.45">
      <c r="I95" t="s">
        <v>183</v>
      </c>
      <c r="J95" t="s">
        <v>169</v>
      </c>
      <c r="K95">
        <v>1.8497877772090713E-3</v>
      </c>
      <c r="L95" t="s">
        <v>166</v>
      </c>
      <c r="N95" t="s">
        <v>196</v>
      </c>
      <c r="O95" t="s">
        <v>169</v>
      </c>
      <c r="P95">
        <v>6.5227964666071808E-2</v>
      </c>
      <c r="Q95" t="s">
        <v>166</v>
      </c>
      <c r="S95" t="s">
        <v>210</v>
      </c>
      <c r="T95" t="s">
        <v>169</v>
      </c>
      <c r="U95">
        <v>6.6208707880323139E-2</v>
      </c>
      <c r="V95" t="s">
        <v>166</v>
      </c>
      <c r="AK95">
        <v>2050</v>
      </c>
      <c r="AL95" t="s">
        <v>155</v>
      </c>
      <c r="AM95">
        <v>0.54810000000000003</v>
      </c>
      <c r="AN95" t="s">
        <v>226</v>
      </c>
    </row>
    <row r="96" spans="9:40" x14ac:dyDescent="0.45">
      <c r="I96" t="s">
        <v>183</v>
      </c>
      <c r="J96" t="s">
        <v>170</v>
      </c>
      <c r="K96">
        <v>9.8108105142765915E-3</v>
      </c>
      <c r="L96" t="s">
        <v>166</v>
      </c>
      <c r="N96" t="s">
        <v>196</v>
      </c>
      <c r="O96" t="s">
        <v>170</v>
      </c>
      <c r="P96">
        <v>1.2095936312520129E-2</v>
      </c>
      <c r="Q96" t="s">
        <v>166</v>
      </c>
      <c r="S96" t="s">
        <v>210</v>
      </c>
      <c r="T96" t="s">
        <v>170</v>
      </c>
      <c r="U96">
        <v>1.2798099340874213E-2</v>
      </c>
      <c r="V96" t="s">
        <v>166</v>
      </c>
      <c r="AK96">
        <v>2050</v>
      </c>
      <c r="AL96" t="s">
        <v>159</v>
      </c>
      <c r="AM96">
        <v>0.42466000000000009</v>
      </c>
      <c r="AN96" t="s">
        <v>226</v>
      </c>
    </row>
    <row r="97" spans="9:40" x14ac:dyDescent="0.45">
      <c r="I97" t="s">
        <v>183</v>
      </c>
      <c r="J97" t="s">
        <v>171</v>
      </c>
      <c r="K97">
        <v>0.62578521775128582</v>
      </c>
      <c r="L97" t="s">
        <v>166</v>
      </c>
      <c r="N97" t="s">
        <v>196</v>
      </c>
      <c r="O97" t="s">
        <v>171</v>
      </c>
      <c r="P97">
        <v>0.22889956746127066</v>
      </c>
      <c r="Q97" t="s">
        <v>166</v>
      </c>
      <c r="S97" t="s">
        <v>210</v>
      </c>
      <c r="T97" t="s">
        <v>171</v>
      </c>
      <c r="U97">
        <v>0.24241332878629893</v>
      </c>
      <c r="V97" t="s">
        <v>166</v>
      </c>
      <c r="AK97">
        <v>2050</v>
      </c>
      <c r="AL97" t="s">
        <v>161</v>
      </c>
      <c r="AM97">
        <v>0.47846666666666665</v>
      </c>
      <c r="AN97" t="s">
        <v>226</v>
      </c>
    </row>
    <row r="98" spans="9:40" x14ac:dyDescent="0.45">
      <c r="I98" t="s">
        <v>183</v>
      </c>
      <c r="J98" t="s">
        <v>172</v>
      </c>
      <c r="K98">
        <v>0</v>
      </c>
      <c r="L98" t="s">
        <v>166</v>
      </c>
      <c r="N98" t="s">
        <v>196</v>
      </c>
      <c r="O98" t="s">
        <v>172</v>
      </c>
      <c r="P98">
        <v>8.069892118946384E-2</v>
      </c>
      <c r="Q98" t="s">
        <v>166</v>
      </c>
      <c r="S98" t="s">
        <v>210</v>
      </c>
      <c r="T98" t="s">
        <v>172</v>
      </c>
      <c r="U98">
        <v>7.3775997138038008E-2</v>
      </c>
      <c r="V98" t="s">
        <v>166</v>
      </c>
    </row>
    <row r="99" spans="9:40" x14ac:dyDescent="0.45">
      <c r="I99" t="s">
        <v>183</v>
      </c>
      <c r="J99" t="s">
        <v>173</v>
      </c>
      <c r="K99">
        <v>0</v>
      </c>
      <c r="L99" t="s">
        <v>166</v>
      </c>
      <c r="N99" t="s">
        <v>196</v>
      </c>
      <c r="O99" t="s">
        <v>173</v>
      </c>
      <c r="P99">
        <v>1.6231450239497406E-2</v>
      </c>
      <c r="Q99" t="s">
        <v>166</v>
      </c>
      <c r="S99" t="s">
        <v>210</v>
      </c>
      <c r="T99" t="s">
        <v>173</v>
      </c>
      <c r="U99">
        <v>1.4844612769650357E-2</v>
      </c>
      <c r="V99" t="s">
        <v>166</v>
      </c>
    </row>
    <row r="100" spans="9:40" x14ac:dyDescent="0.45">
      <c r="I100" t="s">
        <v>183</v>
      </c>
      <c r="J100" t="s">
        <v>174</v>
      </c>
      <c r="K100">
        <v>6.9230835476590841E-2</v>
      </c>
      <c r="L100" t="s">
        <v>166</v>
      </c>
      <c r="N100" t="s">
        <v>196</v>
      </c>
      <c r="O100" t="s">
        <v>174</v>
      </c>
      <c r="P100">
        <v>0.29127126558324096</v>
      </c>
      <c r="Q100" t="s">
        <v>166</v>
      </c>
      <c r="S100" t="s">
        <v>210</v>
      </c>
      <c r="T100" t="s">
        <v>174</v>
      </c>
      <c r="U100">
        <v>0.26610368890759345</v>
      </c>
      <c r="V100" t="s">
        <v>166</v>
      </c>
    </row>
    <row r="101" spans="9:40" x14ac:dyDescent="0.45">
      <c r="I101" t="s">
        <v>184</v>
      </c>
      <c r="J101" t="s">
        <v>165</v>
      </c>
      <c r="K101">
        <v>0</v>
      </c>
      <c r="L101" t="s">
        <v>166</v>
      </c>
      <c r="N101" t="s">
        <v>197</v>
      </c>
      <c r="O101" t="s">
        <v>165</v>
      </c>
      <c r="P101">
        <v>6.4225394190826526E-2</v>
      </c>
      <c r="Q101" t="s">
        <v>166</v>
      </c>
      <c r="S101" t="s">
        <v>211</v>
      </c>
      <c r="T101" t="s">
        <v>165</v>
      </c>
      <c r="U101">
        <v>6.6310325126246752E-2</v>
      </c>
      <c r="V101" t="s">
        <v>166</v>
      </c>
    </row>
    <row r="102" spans="9:40" x14ac:dyDescent="0.45">
      <c r="I102" t="s">
        <v>184</v>
      </c>
      <c r="J102" t="s">
        <v>167</v>
      </c>
      <c r="K102">
        <v>0</v>
      </c>
      <c r="L102" t="s">
        <v>166</v>
      </c>
      <c r="N102" t="s">
        <v>197</v>
      </c>
      <c r="O102" t="s">
        <v>167</v>
      </c>
      <c r="P102">
        <v>1.2980122328319956E-2</v>
      </c>
      <c r="Q102" t="s">
        <v>166</v>
      </c>
      <c r="S102" t="s">
        <v>211</v>
      </c>
      <c r="T102" t="s">
        <v>167</v>
      </c>
      <c r="U102">
        <v>1.3767921437216689E-2</v>
      </c>
      <c r="V102" t="s">
        <v>166</v>
      </c>
    </row>
    <row r="103" spans="9:40" x14ac:dyDescent="0.45">
      <c r="I103" t="s">
        <v>184</v>
      </c>
      <c r="J103" t="s">
        <v>168</v>
      </c>
      <c r="K103">
        <v>0.28371257328550165</v>
      </c>
      <c r="L103" t="s">
        <v>166</v>
      </c>
      <c r="N103" t="s">
        <v>197</v>
      </c>
      <c r="O103" t="s">
        <v>168</v>
      </c>
      <c r="P103">
        <v>0.2337765275459498</v>
      </c>
      <c r="Q103" t="s">
        <v>166</v>
      </c>
      <c r="S103" t="s">
        <v>211</v>
      </c>
      <c r="T103" t="s">
        <v>168</v>
      </c>
      <c r="U103">
        <v>0.25182127082577704</v>
      </c>
      <c r="V103" t="s">
        <v>166</v>
      </c>
    </row>
    <row r="104" spans="9:40" x14ac:dyDescent="0.45">
      <c r="I104" t="s">
        <v>184</v>
      </c>
      <c r="J104" t="s">
        <v>169</v>
      </c>
      <c r="K104">
        <v>8.0895472468701915E-6</v>
      </c>
      <c r="L104" t="s">
        <v>166</v>
      </c>
      <c r="N104" t="s">
        <v>197</v>
      </c>
      <c r="O104" t="s">
        <v>169</v>
      </c>
      <c r="P104">
        <v>6.1398627034206774E-2</v>
      </c>
      <c r="Q104" t="s">
        <v>166</v>
      </c>
      <c r="S104" t="s">
        <v>211</v>
      </c>
      <c r="T104" t="s">
        <v>169</v>
      </c>
      <c r="U104">
        <v>6.2341344611858078E-2</v>
      </c>
      <c r="V104" t="s">
        <v>166</v>
      </c>
    </row>
    <row r="105" spans="9:40" x14ac:dyDescent="0.45">
      <c r="I105" t="s">
        <v>184</v>
      </c>
      <c r="J105" t="s">
        <v>170</v>
      </c>
      <c r="K105">
        <v>6.6510299130977139E-3</v>
      </c>
      <c r="L105" t="s">
        <v>166</v>
      </c>
      <c r="N105" t="s">
        <v>197</v>
      </c>
      <c r="O105" t="s">
        <v>170</v>
      </c>
      <c r="P105">
        <v>1.1320646582588459E-2</v>
      </c>
      <c r="Q105" t="s">
        <v>166</v>
      </c>
      <c r="S105" t="s">
        <v>211</v>
      </c>
      <c r="T105" t="s">
        <v>170</v>
      </c>
      <c r="U105">
        <v>1.1712674487625254E-2</v>
      </c>
      <c r="V105" t="s">
        <v>166</v>
      </c>
    </row>
    <row r="106" spans="9:40" x14ac:dyDescent="0.45">
      <c r="I106" t="s">
        <v>184</v>
      </c>
      <c r="J106" t="s">
        <v>171</v>
      </c>
      <c r="K106">
        <v>0.63831456824409616</v>
      </c>
      <c r="L106" t="s">
        <v>166</v>
      </c>
      <c r="N106" t="s">
        <v>197</v>
      </c>
      <c r="O106" t="s">
        <v>171</v>
      </c>
      <c r="P106">
        <v>0.20843004156350944</v>
      </c>
      <c r="Q106" t="s">
        <v>166</v>
      </c>
      <c r="S106" t="s">
        <v>211</v>
      </c>
      <c r="T106" t="s">
        <v>171</v>
      </c>
      <c r="U106">
        <v>0.22496096444625679</v>
      </c>
      <c r="V106" t="s">
        <v>166</v>
      </c>
    </row>
    <row r="107" spans="9:40" x14ac:dyDescent="0.45">
      <c r="I107" t="s">
        <v>184</v>
      </c>
      <c r="J107" t="s">
        <v>172</v>
      </c>
      <c r="K107">
        <v>0</v>
      </c>
      <c r="L107" t="s">
        <v>166</v>
      </c>
      <c r="N107" t="s">
        <v>197</v>
      </c>
      <c r="O107" t="s">
        <v>172</v>
      </c>
      <c r="P107">
        <v>8.804432059337125E-2</v>
      </c>
      <c r="Q107" t="s">
        <v>166</v>
      </c>
      <c r="S107" t="s">
        <v>211</v>
      </c>
      <c r="T107" t="s">
        <v>172</v>
      </c>
      <c r="U107">
        <v>7.6712359729984275E-2</v>
      </c>
      <c r="V107" t="s">
        <v>166</v>
      </c>
    </row>
    <row r="108" spans="9:40" x14ac:dyDescent="0.45">
      <c r="I108" t="s">
        <v>184</v>
      </c>
      <c r="J108" t="s">
        <v>173</v>
      </c>
      <c r="K108">
        <v>0</v>
      </c>
      <c r="L108" t="s">
        <v>166</v>
      </c>
      <c r="N108" t="s">
        <v>197</v>
      </c>
      <c r="O108" t="s">
        <v>173</v>
      </c>
      <c r="P108">
        <v>1.6693938485367918E-2</v>
      </c>
      <c r="Q108" t="s">
        <v>166</v>
      </c>
      <c r="S108" t="s">
        <v>211</v>
      </c>
      <c r="T108" t="s">
        <v>173</v>
      </c>
      <c r="U108">
        <v>1.5617427469035269E-2</v>
      </c>
      <c r="V108" t="s">
        <v>166</v>
      </c>
    </row>
    <row r="109" spans="9:40" x14ac:dyDescent="0.45">
      <c r="I109" t="s">
        <v>184</v>
      </c>
      <c r="J109" t="s">
        <v>174</v>
      </c>
      <c r="K109">
        <v>7.1313739010059121E-2</v>
      </c>
      <c r="L109" t="s">
        <v>166</v>
      </c>
      <c r="N109" t="s">
        <v>197</v>
      </c>
      <c r="O109" t="s">
        <v>174</v>
      </c>
      <c r="P109">
        <v>0.30313038167585693</v>
      </c>
      <c r="Q109" t="s">
        <v>166</v>
      </c>
      <c r="S109" t="s">
        <v>211</v>
      </c>
      <c r="T109" t="s">
        <v>174</v>
      </c>
      <c r="U109">
        <v>0.27675571186599707</v>
      </c>
      <c r="V109" t="s">
        <v>166</v>
      </c>
    </row>
    <row r="110" spans="9:40" x14ac:dyDescent="0.45">
      <c r="I110" t="s">
        <v>185</v>
      </c>
      <c r="J110" t="s">
        <v>165</v>
      </c>
      <c r="K110">
        <v>0</v>
      </c>
      <c r="L110" t="s">
        <v>166</v>
      </c>
      <c r="N110" t="s">
        <v>198</v>
      </c>
      <c r="O110" t="s">
        <v>165</v>
      </c>
      <c r="P110">
        <v>6.9944731704428817E-2</v>
      </c>
      <c r="Q110" t="s">
        <v>166</v>
      </c>
      <c r="S110" t="s">
        <v>212</v>
      </c>
      <c r="T110" t="s">
        <v>165</v>
      </c>
      <c r="U110">
        <v>7.418977221218187E-2</v>
      </c>
      <c r="V110" t="s">
        <v>166</v>
      </c>
    </row>
    <row r="111" spans="9:40" x14ac:dyDescent="0.45">
      <c r="I111" t="s">
        <v>185</v>
      </c>
      <c r="J111" t="s">
        <v>167</v>
      </c>
      <c r="K111">
        <v>1.0921885855243698E-6</v>
      </c>
      <c r="L111" t="s">
        <v>166</v>
      </c>
      <c r="N111" t="s">
        <v>198</v>
      </c>
      <c r="O111" t="s">
        <v>167</v>
      </c>
      <c r="P111">
        <v>1.422445891477612E-2</v>
      </c>
      <c r="Q111" t="s">
        <v>166</v>
      </c>
      <c r="S111" t="s">
        <v>212</v>
      </c>
      <c r="T111" t="s">
        <v>167</v>
      </c>
      <c r="U111">
        <v>1.4536448749343414E-2</v>
      </c>
      <c r="V111" t="s">
        <v>166</v>
      </c>
    </row>
    <row r="112" spans="9:40" x14ac:dyDescent="0.45">
      <c r="I112" t="s">
        <v>185</v>
      </c>
      <c r="J112" t="s">
        <v>168</v>
      </c>
      <c r="K112">
        <v>0.29728500981293171</v>
      </c>
      <c r="L112" t="s">
        <v>166</v>
      </c>
      <c r="N112" t="s">
        <v>198</v>
      </c>
      <c r="O112" t="s">
        <v>168</v>
      </c>
      <c r="P112">
        <v>0.24850516708664661</v>
      </c>
      <c r="Q112" t="s">
        <v>166</v>
      </c>
      <c r="S112" t="s">
        <v>212</v>
      </c>
      <c r="T112" t="s">
        <v>168</v>
      </c>
      <c r="U112">
        <v>0.26767256239256043</v>
      </c>
      <c r="V112" t="s">
        <v>166</v>
      </c>
    </row>
    <row r="113" spans="9:22" x14ac:dyDescent="0.45">
      <c r="I113" t="s">
        <v>185</v>
      </c>
      <c r="J113" t="s">
        <v>169</v>
      </c>
      <c r="K113">
        <v>3.0852646598264428E-4</v>
      </c>
      <c r="L113" t="s">
        <v>166</v>
      </c>
      <c r="N113" t="s">
        <v>198</v>
      </c>
      <c r="O113" t="s">
        <v>169</v>
      </c>
      <c r="P113">
        <v>6.003794553951429E-2</v>
      </c>
      <c r="Q113" t="s">
        <v>166</v>
      </c>
      <c r="S113" t="s">
        <v>212</v>
      </c>
      <c r="T113" t="s">
        <v>169</v>
      </c>
      <c r="U113">
        <v>6.6709592863768527E-2</v>
      </c>
      <c r="V113" t="s">
        <v>166</v>
      </c>
    </row>
    <row r="114" spans="9:22" x14ac:dyDescent="0.45">
      <c r="I114" t="s">
        <v>185</v>
      </c>
      <c r="J114" t="s">
        <v>170</v>
      </c>
      <c r="K114">
        <v>8.2359961586032857E-3</v>
      </c>
      <c r="L114" t="s">
        <v>166</v>
      </c>
      <c r="N114" t="s">
        <v>198</v>
      </c>
      <c r="O114" t="s">
        <v>170</v>
      </c>
      <c r="P114">
        <v>1.118118099241211E-2</v>
      </c>
      <c r="Q114" t="s">
        <v>166</v>
      </c>
      <c r="S114" t="s">
        <v>212</v>
      </c>
      <c r="T114" t="s">
        <v>170</v>
      </c>
      <c r="U114">
        <v>1.2456940344444426E-2</v>
      </c>
      <c r="V114" t="s">
        <v>166</v>
      </c>
    </row>
    <row r="115" spans="9:22" x14ac:dyDescent="0.45">
      <c r="I115" t="s">
        <v>185</v>
      </c>
      <c r="J115" t="s">
        <v>171</v>
      </c>
      <c r="K115">
        <v>0.63135392201461527</v>
      </c>
      <c r="L115" t="s">
        <v>166</v>
      </c>
      <c r="N115" t="s">
        <v>198</v>
      </c>
      <c r="O115" t="s">
        <v>171</v>
      </c>
      <c r="P115">
        <v>0.20395666070038321</v>
      </c>
      <c r="Q115" t="s">
        <v>166</v>
      </c>
      <c r="S115" t="s">
        <v>212</v>
      </c>
      <c r="T115" t="s">
        <v>171</v>
      </c>
      <c r="U115">
        <v>0.23530953710642211</v>
      </c>
      <c r="V115" t="s">
        <v>166</v>
      </c>
    </row>
    <row r="116" spans="9:22" x14ac:dyDescent="0.45">
      <c r="I116" t="s">
        <v>185</v>
      </c>
      <c r="J116" t="s">
        <v>172</v>
      </c>
      <c r="K116">
        <v>0</v>
      </c>
      <c r="L116" t="s">
        <v>166</v>
      </c>
      <c r="N116" t="s">
        <v>198</v>
      </c>
      <c r="O116" t="s">
        <v>172</v>
      </c>
      <c r="P116">
        <v>8.5635646638901733E-2</v>
      </c>
      <c r="Q116" t="s">
        <v>166</v>
      </c>
      <c r="S116" t="s">
        <v>212</v>
      </c>
      <c r="T116" t="s">
        <v>172</v>
      </c>
      <c r="U116">
        <v>6.7599156315736889E-2</v>
      </c>
      <c r="V116" t="s">
        <v>166</v>
      </c>
    </row>
    <row r="117" spans="9:22" x14ac:dyDescent="0.45">
      <c r="I117" t="s">
        <v>185</v>
      </c>
      <c r="J117" t="s">
        <v>173</v>
      </c>
      <c r="K117">
        <v>0</v>
      </c>
      <c r="L117" t="s">
        <v>166</v>
      </c>
      <c r="N117" t="s">
        <v>198</v>
      </c>
      <c r="O117" t="s">
        <v>173</v>
      </c>
      <c r="P117">
        <v>1.636854738379374E-2</v>
      </c>
      <c r="Q117" t="s">
        <v>166</v>
      </c>
      <c r="S117" t="s">
        <v>212</v>
      </c>
      <c r="T117" t="s">
        <v>173</v>
      </c>
      <c r="U117">
        <v>1.3579859668637359E-2</v>
      </c>
      <c r="V117" t="s">
        <v>166</v>
      </c>
    </row>
    <row r="118" spans="9:22" x14ac:dyDescent="0.45">
      <c r="I118" t="s">
        <v>185</v>
      </c>
      <c r="J118" t="s">
        <v>174</v>
      </c>
      <c r="K118">
        <v>6.281545335927903E-2</v>
      </c>
      <c r="L118" t="s">
        <v>166</v>
      </c>
      <c r="N118" t="s">
        <v>198</v>
      </c>
      <c r="O118" t="s">
        <v>174</v>
      </c>
      <c r="P118">
        <v>0.29014566103914086</v>
      </c>
      <c r="Q118" t="s">
        <v>166</v>
      </c>
      <c r="S118" t="s">
        <v>212</v>
      </c>
      <c r="T118" t="s">
        <v>174</v>
      </c>
      <c r="U118">
        <v>0.24794613034690779</v>
      </c>
      <c r="V118" t="s">
        <v>166</v>
      </c>
    </row>
    <row r="119" spans="9:22" x14ac:dyDescent="0.45">
      <c r="I119" t="s">
        <v>186</v>
      </c>
      <c r="J119" t="s">
        <v>165</v>
      </c>
      <c r="K119">
        <v>0</v>
      </c>
      <c r="L119" t="s">
        <v>166</v>
      </c>
      <c r="N119" t="s">
        <v>199</v>
      </c>
      <c r="O119" t="s">
        <v>165</v>
      </c>
      <c r="P119">
        <v>6.2477987155443566E-2</v>
      </c>
      <c r="Q119" t="s">
        <v>166</v>
      </c>
      <c r="S119" t="s">
        <v>213</v>
      </c>
      <c r="T119" t="s">
        <v>165</v>
      </c>
      <c r="U119">
        <v>6.6033407875589117E-2</v>
      </c>
      <c r="V119" t="s">
        <v>166</v>
      </c>
    </row>
    <row r="120" spans="9:22" x14ac:dyDescent="0.45">
      <c r="I120" t="s">
        <v>186</v>
      </c>
      <c r="J120" t="s">
        <v>167</v>
      </c>
      <c r="K120">
        <v>3.5194149431957241E-5</v>
      </c>
      <c r="L120" t="s">
        <v>166</v>
      </c>
      <c r="N120" t="s">
        <v>199</v>
      </c>
      <c r="O120" t="s">
        <v>167</v>
      </c>
      <c r="P120">
        <v>1.2781096894665417E-2</v>
      </c>
      <c r="Q120" t="s">
        <v>166</v>
      </c>
      <c r="S120" t="s">
        <v>213</v>
      </c>
      <c r="T120" t="s">
        <v>167</v>
      </c>
      <c r="U120">
        <v>1.3525759174949805E-2</v>
      </c>
      <c r="V120" t="s">
        <v>166</v>
      </c>
    </row>
    <row r="121" spans="9:22" x14ac:dyDescent="0.45">
      <c r="I121" t="s">
        <v>186</v>
      </c>
      <c r="J121" t="s">
        <v>168</v>
      </c>
      <c r="K121">
        <v>0.29525039365727113</v>
      </c>
      <c r="L121" t="s">
        <v>166</v>
      </c>
      <c r="N121" t="s">
        <v>199</v>
      </c>
      <c r="O121" t="s">
        <v>168</v>
      </c>
      <c r="P121">
        <v>0.23344864322664424</v>
      </c>
      <c r="Q121" t="s">
        <v>166</v>
      </c>
      <c r="S121" t="s">
        <v>213</v>
      </c>
      <c r="T121" t="s">
        <v>168</v>
      </c>
      <c r="U121">
        <v>0.25016813148059525</v>
      </c>
      <c r="V121" t="s">
        <v>166</v>
      </c>
    </row>
    <row r="122" spans="9:22" x14ac:dyDescent="0.45">
      <c r="I122" t="s">
        <v>186</v>
      </c>
      <c r="J122" t="s">
        <v>169</v>
      </c>
      <c r="K122">
        <v>1.2611547309847326E-3</v>
      </c>
      <c r="L122" t="s">
        <v>166</v>
      </c>
      <c r="N122" t="s">
        <v>199</v>
      </c>
      <c r="O122" t="s">
        <v>169</v>
      </c>
      <c r="P122">
        <v>6.6792355350996452E-2</v>
      </c>
      <c r="Q122" t="s">
        <v>166</v>
      </c>
      <c r="S122" t="s">
        <v>213</v>
      </c>
      <c r="T122" t="s">
        <v>169</v>
      </c>
      <c r="U122">
        <v>6.6686087568171681E-2</v>
      </c>
      <c r="V122" t="s">
        <v>166</v>
      </c>
    </row>
    <row r="123" spans="9:22" x14ac:dyDescent="0.45">
      <c r="I123" t="s">
        <v>186</v>
      </c>
      <c r="J123" t="s">
        <v>170</v>
      </c>
      <c r="K123">
        <v>9.7581911139975851E-3</v>
      </c>
      <c r="L123" t="s">
        <v>166</v>
      </c>
      <c r="N123" t="s">
        <v>199</v>
      </c>
      <c r="O123" t="s">
        <v>170</v>
      </c>
      <c r="P123">
        <v>1.2431321549917267E-2</v>
      </c>
      <c r="Q123" t="s">
        <v>166</v>
      </c>
      <c r="S123" t="s">
        <v>213</v>
      </c>
      <c r="T123" t="s">
        <v>170</v>
      </c>
      <c r="U123">
        <v>1.2528229971862977E-2</v>
      </c>
      <c r="V123" t="s">
        <v>166</v>
      </c>
    </row>
    <row r="124" spans="9:22" x14ac:dyDescent="0.45">
      <c r="I124" t="s">
        <v>186</v>
      </c>
      <c r="J124" t="s">
        <v>171</v>
      </c>
      <c r="K124">
        <v>0.62953961283366477</v>
      </c>
      <c r="L124" t="s">
        <v>166</v>
      </c>
      <c r="N124" t="s">
        <v>199</v>
      </c>
      <c r="O124" t="s">
        <v>171</v>
      </c>
      <c r="P124">
        <v>0.22752495211783799</v>
      </c>
      <c r="Q124" t="s">
        <v>166</v>
      </c>
      <c r="S124" t="s">
        <v>213</v>
      </c>
      <c r="T124" t="s">
        <v>171</v>
      </c>
      <c r="U124">
        <v>0.23348410352366655</v>
      </c>
      <c r="V124" t="s">
        <v>166</v>
      </c>
    </row>
    <row r="125" spans="9:22" x14ac:dyDescent="0.45">
      <c r="I125" t="s">
        <v>186</v>
      </c>
      <c r="J125" t="s">
        <v>172</v>
      </c>
      <c r="K125">
        <v>0</v>
      </c>
      <c r="L125" t="s">
        <v>166</v>
      </c>
      <c r="N125" t="s">
        <v>199</v>
      </c>
      <c r="O125" t="s">
        <v>172</v>
      </c>
      <c r="P125">
        <v>8.1300967924562789E-2</v>
      </c>
      <c r="Q125" t="s">
        <v>166</v>
      </c>
      <c r="S125" t="s">
        <v>213</v>
      </c>
      <c r="T125" t="s">
        <v>172</v>
      </c>
      <c r="U125">
        <v>7.2939740355982413E-2</v>
      </c>
      <c r="V125" t="s">
        <v>166</v>
      </c>
    </row>
    <row r="126" spans="9:22" x14ac:dyDescent="0.45">
      <c r="I126" t="s">
        <v>186</v>
      </c>
      <c r="J126" t="s">
        <v>173</v>
      </c>
      <c r="K126">
        <v>0</v>
      </c>
      <c r="L126" t="s">
        <v>166</v>
      </c>
      <c r="N126" t="s">
        <v>199</v>
      </c>
      <c r="O126" t="s">
        <v>173</v>
      </c>
      <c r="P126">
        <v>1.5703115352693253E-2</v>
      </c>
      <c r="Q126" t="s">
        <v>166</v>
      </c>
      <c r="S126" t="s">
        <v>213</v>
      </c>
      <c r="T126" t="s">
        <v>173</v>
      </c>
      <c r="U126">
        <v>1.4800394569143109E-2</v>
      </c>
      <c r="V126" t="s">
        <v>166</v>
      </c>
    </row>
    <row r="127" spans="9:22" x14ac:dyDescent="0.45">
      <c r="I127" t="s">
        <v>186</v>
      </c>
      <c r="J127" t="s">
        <v>174</v>
      </c>
      <c r="K127">
        <v>6.4155453514647451E-2</v>
      </c>
      <c r="L127" t="s">
        <v>166</v>
      </c>
      <c r="N127" t="s">
        <v>199</v>
      </c>
      <c r="O127" t="s">
        <v>174</v>
      </c>
      <c r="P127">
        <v>0.28753956042724099</v>
      </c>
      <c r="Q127" t="s">
        <v>166</v>
      </c>
      <c r="S127" t="s">
        <v>213</v>
      </c>
      <c r="T127" t="s">
        <v>174</v>
      </c>
      <c r="U127">
        <v>0.2698341454800352</v>
      </c>
      <c r="V127" t="s">
        <v>166</v>
      </c>
    </row>
    <row r="128" spans="9:22" x14ac:dyDescent="0.45">
      <c r="N128" t="s">
        <v>200</v>
      </c>
      <c r="O128" t="s">
        <v>165</v>
      </c>
      <c r="P128">
        <v>6.4958116192146267E-2</v>
      </c>
      <c r="Q128" t="s">
        <v>166</v>
      </c>
      <c r="S128" t="s">
        <v>214</v>
      </c>
      <c r="T128" t="s">
        <v>165</v>
      </c>
      <c r="U128">
        <v>6.9754882764593767E-2</v>
      </c>
      <c r="V128" t="s">
        <v>166</v>
      </c>
    </row>
    <row r="129" spans="14:22" x14ac:dyDescent="0.45">
      <c r="N129" t="s">
        <v>200</v>
      </c>
      <c r="O129" t="s">
        <v>167</v>
      </c>
      <c r="P129">
        <v>1.3613593227189949E-2</v>
      </c>
      <c r="Q129" t="s">
        <v>166</v>
      </c>
      <c r="S129" t="s">
        <v>214</v>
      </c>
      <c r="T129" t="s">
        <v>167</v>
      </c>
      <c r="U129">
        <v>1.4155048724634554E-2</v>
      </c>
      <c r="V129" t="s">
        <v>166</v>
      </c>
    </row>
    <row r="130" spans="14:22" x14ac:dyDescent="0.45">
      <c r="N130" t="s">
        <v>200</v>
      </c>
      <c r="O130" t="s">
        <v>168</v>
      </c>
      <c r="P130">
        <v>0.22289138058769511</v>
      </c>
      <c r="Q130" t="s">
        <v>166</v>
      </c>
      <c r="S130" t="s">
        <v>214</v>
      </c>
      <c r="T130" t="s">
        <v>168</v>
      </c>
      <c r="U130">
        <v>0.25671562642728019</v>
      </c>
      <c r="V130" t="s">
        <v>166</v>
      </c>
    </row>
    <row r="131" spans="14:22" x14ac:dyDescent="0.45">
      <c r="N131" t="s">
        <v>200</v>
      </c>
      <c r="O131" t="s">
        <v>169</v>
      </c>
      <c r="P131">
        <v>6.725915136120067E-2</v>
      </c>
      <c r="Q131" t="s">
        <v>166</v>
      </c>
      <c r="S131" t="s">
        <v>214</v>
      </c>
      <c r="T131" t="s">
        <v>169</v>
      </c>
      <c r="U131">
        <v>6.7015356056406822E-2</v>
      </c>
      <c r="V131" t="s">
        <v>166</v>
      </c>
    </row>
    <row r="132" spans="14:22" x14ac:dyDescent="0.45">
      <c r="N132" t="s">
        <v>200</v>
      </c>
      <c r="O132" t="s">
        <v>170</v>
      </c>
      <c r="P132">
        <v>1.2616289235803036E-2</v>
      </c>
      <c r="Q132" t="s">
        <v>166</v>
      </c>
      <c r="S132" t="s">
        <v>214</v>
      </c>
      <c r="T132" t="s">
        <v>170</v>
      </c>
      <c r="U132">
        <v>1.2053277211687901E-2</v>
      </c>
      <c r="V132" t="s">
        <v>166</v>
      </c>
    </row>
    <row r="133" spans="14:22" x14ac:dyDescent="0.45">
      <c r="N133" t="s">
        <v>200</v>
      </c>
      <c r="O133" t="s">
        <v>171</v>
      </c>
      <c r="P133">
        <v>0.22321424397066136</v>
      </c>
      <c r="Q133" t="s">
        <v>166</v>
      </c>
      <c r="S133" t="s">
        <v>214</v>
      </c>
      <c r="T133" t="s">
        <v>171</v>
      </c>
      <c r="U133">
        <v>0.22787083375608846</v>
      </c>
      <c r="V133" t="s">
        <v>166</v>
      </c>
    </row>
    <row r="134" spans="14:22" x14ac:dyDescent="0.45">
      <c r="N134" t="s">
        <v>200</v>
      </c>
      <c r="O134" t="s">
        <v>172</v>
      </c>
      <c r="P134">
        <v>8.217835869536351E-2</v>
      </c>
      <c r="Q134" t="s">
        <v>166</v>
      </c>
      <c r="S134" t="s">
        <v>214</v>
      </c>
      <c r="T134" t="s">
        <v>172</v>
      </c>
      <c r="U134">
        <v>7.1824781646308788E-2</v>
      </c>
      <c r="V134" t="s">
        <v>166</v>
      </c>
    </row>
    <row r="135" spans="14:22" x14ac:dyDescent="0.45">
      <c r="N135" t="s">
        <v>200</v>
      </c>
      <c r="O135" t="s">
        <v>173</v>
      </c>
      <c r="P135">
        <v>1.6043221498773248E-2</v>
      </c>
      <c r="Q135" t="s">
        <v>166</v>
      </c>
      <c r="S135" t="s">
        <v>214</v>
      </c>
      <c r="T135" t="s">
        <v>173</v>
      </c>
      <c r="U135">
        <v>1.4586865103248112E-2</v>
      </c>
      <c r="V135" t="s">
        <v>166</v>
      </c>
    </row>
    <row r="136" spans="14:22" x14ac:dyDescent="0.45">
      <c r="N136" t="s">
        <v>200</v>
      </c>
      <c r="O136" t="s">
        <v>174</v>
      </c>
      <c r="P136">
        <v>0.29722564523116735</v>
      </c>
      <c r="Q136" t="s">
        <v>166</v>
      </c>
      <c r="S136" t="s">
        <v>214</v>
      </c>
      <c r="T136" t="s">
        <v>174</v>
      </c>
      <c r="U136">
        <v>0.26602332830975156</v>
      </c>
      <c r="V136" t="s">
        <v>166</v>
      </c>
    </row>
    <row r="137" spans="14:22" x14ac:dyDescent="0.45">
      <c r="S137" t="s">
        <v>215</v>
      </c>
      <c r="T137" t="s">
        <v>165</v>
      </c>
      <c r="U137">
        <v>7.2700593462412921E-2</v>
      </c>
      <c r="V137" t="s">
        <v>166</v>
      </c>
    </row>
    <row r="138" spans="14:22" x14ac:dyDescent="0.45">
      <c r="S138" t="s">
        <v>215</v>
      </c>
      <c r="T138" t="s">
        <v>167</v>
      </c>
      <c r="U138">
        <v>1.421512609829563E-2</v>
      </c>
      <c r="V138" t="s">
        <v>166</v>
      </c>
    </row>
    <row r="139" spans="14:22" x14ac:dyDescent="0.45">
      <c r="S139" t="s">
        <v>215</v>
      </c>
      <c r="T139" t="s">
        <v>168</v>
      </c>
      <c r="U139">
        <v>0.26206447283519479</v>
      </c>
      <c r="V139" t="s">
        <v>166</v>
      </c>
    </row>
    <row r="140" spans="14:22" x14ac:dyDescent="0.45">
      <c r="S140" t="s">
        <v>215</v>
      </c>
      <c r="T140" t="s">
        <v>169</v>
      </c>
      <c r="U140">
        <v>6.6717837126852336E-2</v>
      </c>
      <c r="V140" t="s">
        <v>166</v>
      </c>
    </row>
    <row r="141" spans="14:22" x14ac:dyDescent="0.45">
      <c r="S141" t="s">
        <v>215</v>
      </c>
      <c r="T141" t="s">
        <v>170</v>
      </c>
      <c r="U141">
        <v>1.2668744310228115E-2</v>
      </c>
      <c r="V141" t="s">
        <v>166</v>
      </c>
    </row>
    <row r="142" spans="14:22" x14ac:dyDescent="0.45">
      <c r="S142" t="s">
        <v>215</v>
      </c>
      <c r="T142" t="s">
        <v>171</v>
      </c>
      <c r="U142">
        <v>0.23623364981048706</v>
      </c>
      <c r="V142" t="s">
        <v>166</v>
      </c>
    </row>
    <row r="143" spans="14:22" x14ac:dyDescent="0.45">
      <c r="S143" t="s">
        <v>215</v>
      </c>
      <c r="T143" t="s">
        <v>172</v>
      </c>
      <c r="U143">
        <v>6.8708187639850454E-2</v>
      </c>
      <c r="V143" t="s">
        <v>166</v>
      </c>
    </row>
    <row r="144" spans="14:22" x14ac:dyDescent="0.45">
      <c r="S144" t="s">
        <v>215</v>
      </c>
      <c r="T144" t="s">
        <v>173</v>
      </c>
      <c r="U144">
        <v>1.3985644504707769E-2</v>
      </c>
      <c r="V144" t="s">
        <v>166</v>
      </c>
    </row>
    <row r="145" spans="19:22" x14ac:dyDescent="0.45">
      <c r="S145" t="s">
        <v>215</v>
      </c>
      <c r="T145" t="s">
        <v>174</v>
      </c>
      <c r="U145">
        <v>0.25270574421196951</v>
      </c>
      <c r="V145" t="s">
        <v>166</v>
      </c>
    </row>
    <row r="146" spans="19:22" x14ac:dyDescent="0.45">
      <c r="S146" t="s">
        <v>216</v>
      </c>
      <c r="T146" t="s">
        <v>165</v>
      </c>
      <c r="U146">
        <v>6.8995639045725032E-2</v>
      </c>
      <c r="V146" t="s">
        <v>166</v>
      </c>
    </row>
    <row r="147" spans="19:22" x14ac:dyDescent="0.45">
      <c r="S147" t="s">
        <v>216</v>
      </c>
      <c r="T147" t="s">
        <v>167</v>
      </c>
      <c r="U147">
        <v>1.3775340475823952E-2</v>
      </c>
      <c r="V147" t="s">
        <v>166</v>
      </c>
    </row>
    <row r="148" spans="19:22" x14ac:dyDescent="0.45">
      <c r="S148" t="s">
        <v>216</v>
      </c>
      <c r="T148" t="s">
        <v>168</v>
      </c>
      <c r="U148">
        <v>0.25437491029006298</v>
      </c>
      <c r="V148" t="s">
        <v>166</v>
      </c>
    </row>
    <row r="149" spans="19:22" x14ac:dyDescent="0.45">
      <c r="S149" t="s">
        <v>216</v>
      </c>
      <c r="T149" t="s">
        <v>169</v>
      </c>
      <c r="U149">
        <v>6.4088762494784485E-2</v>
      </c>
      <c r="V149" t="s">
        <v>166</v>
      </c>
    </row>
    <row r="150" spans="19:22" x14ac:dyDescent="0.45">
      <c r="S150" t="s">
        <v>216</v>
      </c>
      <c r="T150" t="s">
        <v>170</v>
      </c>
      <c r="U150">
        <v>1.1901508946711985E-2</v>
      </c>
      <c r="V150" t="s">
        <v>166</v>
      </c>
    </row>
    <row r="151" spans="19:22" x14ac:dyDescent="0.45">
      <c r="S151" t="s">
        <v>216</v>
      </c>
      <c r="T151" t="s">
        <v>171</v>
      </c>
      <c r="U151">
        <v>0.23250549917034541</v>
      </c>
      <c r="V151" t="s">
        <v>166</v>
      </c>
    </row>
    <row r="152" spans="19:22" x14ac:dyDescent="0.45">
      <c r="S152" t="s">
        <v>216</v>
      </c>
      <c r="T152" t="s">
        <v>172</v>
      </c>
      <c r="U152">
        <v>7.3108817701445894E-2</v>
      </c>
      <c r="V152" t="s">
        <v>166</v>
      </c>
    </row>
    <row r="153" spans="19:22" x14ac:dyDescent="0.45">
      <c r="S153" t="s">
        <v>216</v>
      </c>
      <c r="T153" t="s">
        <v>173</v>
      </c>
      <c r="U153">
        <v>1.4760713224024509E-2</v>
      </c>
      <c r="V153" t="s">
        <v>166</v>
      </c>
    </row>
    <row r="154" spans="19:22" x14ac:dyDescent="0.45">
      <c r="S154" t="s">
        <v>216</v>
      </c>
      <c r="T154" t="s">
        <v>174</v>
      </c>
      <c r="U154">
        <v>0.26648880865107621</v>
      </c>
      <c r="V154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5D7F-A9C1-4DC3-9D5B-0CA7529B05DD}">
  <dimension ref="A9:AN68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217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223</v>
      </c>
      <c r="AK10" t="s">
        <v>47</v>
      </c>
      <c r="AL10" t="s">
        <v>121</v>
      </c>
      <c r="AM10" t="s">
        <v>224</v>
      </c>
      <c r="AN10" t="s">
        <v>225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227</v>
      </c>
      <c r="G11" t="s">
        <v>156</v>
      </c>
      <c r="I11" t="s">
        <v>164</v>
      </c>
      <c r="J11" t="s">
        <v>165</v>
      </c>
      <c r="K11">
        <v>0</v>
      </c>
      <c r="L11" t="s">
        <v>166</v>
      </c>
      <c r="N11" t="s">
        <v>187</v>
      </c>
      <c r="O11" t="s">
        <v>165</v>
      </c>
      <c r="P11">
        <v>3.1077519423972789E-2</v>
      </c>
      <c r="Q11" t="s">
        <v>166</v>
      </c>
      <c r="S11" t="s">
        <v>201</v>
      </c>
      <c r="T11" t="s">
        <v>165</v>
      </c>
      <c r="U11">
        <v>3.3638629520195036E-2</v>
      </c>
      <c r="V11" t="s">
        <v>166</v>
      </c>
      <c r="X11">
        <v>3.3675799086757989E-2</v>
      </c>
      <c r="Y11">
        <v>5.2414456074053829E-3</v>
      </c>
      <c r="Z11" t="s">
        <v>165</v>
      </c>
      <c r="AA11" t="s">
        <v>25</v>
      </c>
      <c r="AC11" t="s">
        <v>22</v>
      </c>
      <c r="AD11" t="s">
        <v>165</v>
      </c>
      <c r="AE11">
        <v>3.4963814480718829E-2</v>
      </c>
      <c r="AG11" t="s">
        <v>96</v>
      </c>
      <c r="AH11" t="s">
        <v>165</v>
      </c>
      <c r="AI11">
        <v>8.4825708670224653E-2</v>
      </c>
      <c r="AK11">
        <v>2020</v>
      </c>
      <c r="AL11" t="s">
        <v>155</v>
      </c>
      <c r="AM11">
        <v>0.53997580537835499</v>
      </c>
      <c r="AN11" t="s">
        <v>226</v>
      </c>
    </row>
    <row r="12" spans="1:40" x14ac:dyDescent="0.45">
      <c r="C12" t="s">
        <v>159</v>
      </c>
      <c r="E12" t="s">
        <v>160</v>
      </c>
      <c r="G12" t="s">
        <v>156</v>
      </c>
      <c r="I12" t="s">
        <v>164</v>
      </c>
      <c r="J12" t="s">
        <v>167</v>
      </c>
      <c r="K12">
        <v>0</v>
      </c>
      <c r="L12" t="s">
        <v>166</v>
      </c>
      <c r="N12" t="s">
        <v>187</v>
      </c>
      <c r="O12" t="s">
        <v>167</v>
      </c>
      <c r="P12">
        <v>6.3255524638263652E-3</v>
      </c>
      <c r="Q12" t="s">
        <v>166</v>
      </c>
      <c r="S12" t="s">
        <v>201</v>
      </c>
      <c r="T12" t="s">
        <v>167</v>
      </c>
      <c r="U12">
        <v>6.8857991165312202E-3</v>
      </c>
      <c r="V12" t="s">
        <v>166</v>
      </c>
      <c r="X12">
        <v>6.735159817351598E-3</v>
      </c>
      <c r="Y12">
        <v>3.4030281182408089E-3</v>
      </c>
      <c r="Z12" t="s">
        <v>167</v>
      </c>
      <c r="AA12" t="s">
        <v>25</v>
      </c>
      <c r="AC12" t="s">
        <v>22</v>
      </c>
      <c r="AD12" t="s">
        <v>167</v>
      </c>
      <c r="AE12">
        <v>7.9426274953746066E-3</v>
      </c>
      <c r="AG12" t="s">
        <v>96</v>
      </c>
      <c r="AH12" t="s">
        <v>167</v>
      </c>
      <c r="AI12">
        <v>8.7931170937040504E-2</v>
      </c>
      <c r="AK12">
        <v>2020</v>
      </c>
      <c r="AL12" t="s">
        <v>159</v>
      </c>
      <c r="AM12">
        <v>0.58972695641917794</v>
      </c>
      <c r="AN12" t="s">
        <v>226</v>
      </c>
    </row>
    <row r="13" spans="1:40" x14ac:dyDescent="0.45">
      <c r="C13" t="s">
        <v>161</v>
      </c>
      <c r="E13" t="s">
        <v>162</v>
      </c>
      <c r="G13" t="s">
        <v>156</v>
      </c>
      <c r="I13" t="s">
        <v>164</v>
      </c>
      <c r="J13" t="s">
        <v>168</v>
      </c>
      <c r="K13">
        <v>4.4201615163035494E-2</v>
      </c>
      <c r="L13" t="s">
        <v>166</v>
      </c>
      <c r="N13" t="s">
        <v>187</v>
      </c>
      <c r="O13" t="s">
        <v>168</v>
      </c>
      <c r="P13">
        <v>9.6458991624980714E-2</v>
      </c>
      <c r="Q13" t="s">
        <v>166</v>
      </c>
      <c r="S13" t="s">
        <v>201</v>
      </c>
      <c r="T13" t="s">
        <v>168</v>
      </c>
      <c r="U13">
        <v>0.10353800329135995</v>
      </c>
      <c r="V13" t="s">
        <v>166</v>
      </c>
      <c r="X13">
        <v>0.10102739726027397</v>
      </c>
      <c r="Y13">
        <v>0.14322054545906571</v>
      </c>
      <c r="Z13" t="s">
        <v>168</v>
      </c>
      <c r="AA13" t="s">
        <v>25</v>
      </c>
      <c r="AC13" t="s">
        <v>22</v>
      </c>
      <c r="AD13" t="s">
        <v>168</v>
      </c>
      <c r="AE13">
        <v>0.12840083162626303</v>
      </c>
      <c r="AG13" t="s">
        <v>96</v>
      </c>
      <c r="AH13" t="s">
        <v>168</v>
      </c>
      <c r="AI13">
        <v>8.0457657307003272E-2</v>
      </c>
      <c r="AK13">
        <v>2020</v>
      </c>
      <c r="AL13" t="s">
        <v>161</v>
      </c>
      <c r="AM13">
        <v>0.54082876294942106</v>
      </c>
      <c r="AN13" t="s">
        <v>226</v>
      </c>
    </row>
    <row r="14" spans="1:40" x14ac:dyDescent="0.45">
      <c r="C14" t="s">
        <v>228</v>
      </c>
      <c r="E14" t="s">
        <v>229</v>
      </c>
      <c r="G14" t="s">
        <v>156</v>
      </c>
      <c r="I14" t="s">
        <v>164</v>
      </c>
      <c r="J14" t="s">
        <v>235</v>
      </c>
      <c r="K14">
        <v>0</v>
      </c>
      <c r="L14" t="s">
        <v>166</v>
      </c>
      <c r="N14" t="s">
        <v>187</v>
      </c>
      <c r="O14" t="s">
        <v>235</v>
      </c>
      <c r="P14">
        <v>6.2771577955292772E-3</v>
      </c>
      <c r="Q14" t="s">
        <v>166</v>
      </c>
      <c r="S14" t="s">
        <v>201</v>
      </c>
      <c r="T14" t="s">
        <v>235</v>
      </c>
      <c r="U14">
        <v>6.7052161840084959E-3</v>
      </c>
      <c r="V14" t="s">
        <v>166</v>
      </c>
      <c r="X14">
        <v>6.735159817351598E-3</v>
      </c>
      <c r="Y14">
        <v>4.693831887228701E-3</v>
      </c>
      <c r="Z14" t="s">
        <v>235</v>
      </c>
      <c r="AA14" t="s">
        <v>25</v>
      </c>
      <c r="AC14" t="s">
        <v>22</v>
      </c>
      <c r="AD14" t="s">
        <v>235</v>
      </c>
      <c r="AE14">
        <v>8.1895508775145023E-3</v>
      </c>
      <c r="AG14" t="s">
        <v>96</v>
      </c>
      <c r="AH14" t="s">
        <v>235</v>
      </c>
      <c r="AI14">
        <v>5.7921346591944145E-2</v>
      </c>
      <c r="AK14">
        <v>2020</v>
      </c>
      <c r="AL14" t="s">
        <v>228</v>
      </c>
      <c r="AM14">
        <v>0.46134530915889649</v>
      </c>
      <c r="AN14" t="s">
        <v>226</v>
      </c>
    </row>
    <row r="15" spans="1:40" x14ac:dyDescent="0.45">
      <c r="C15" t="s">
        <v>230</v>
      </c>
      <c r="E15" t="s">
        <v>231</v>
      </c>
      <c r="G15" t="s">
        <v>156</v>
      </c>
      <c r="I15" t="s">
        <v>164</v>
      </c>
      <c r="J15" t="s">
        <v>236</v>
      </c>
      <c r="K15">
        <v>0</v>
      </c>
      <c r="L15" t="s">
        <v>166</v>
      </c>
      <c r="N15" t="s">
        <v>187</v>
      </c>
      <c r="O15" t="s">
        <v>236</v>
      </c>
      <c r="P15">
        <v>6.1937246195319434E-3</v>
      </c>
      <c r="Q15" t="s">
        <v>166</v>
      </c>
      <c r="S15" t="s">
        <v>201</v>
      </c>
      <c r="T15" t="s">
        <v>236</v>
      </c>
      <c r="U15">
        <v>6.5797550256142751E-3</v>
      </c>
      <c r="V15" t="s">
        <v>166</v>
      </c>
      <c r="X15">
        <v>6.735159817351598E-3</v>
      </c>
      <c r="Y15">
        <v>3.3247975867869962E-3</v>
      </c>
      <c r="Z15" t="s">
        <v>236</v>
      </c>
      <c r="AA15" t="s">
        <v>25</v>
      </c>
      <c r="AC15" t="s">
        <v>22</v>
      </c>
      <c r="AD15" t="s">
        <v>236</v>
      </c>
      <c r="AE15">
        <v>7.8549129179228388E-3</v>
      </c>
      <c r="AG15" t="s">
        <v>96</v>
      </c>
      <c r="AH15" t="s">
        <v>236</v>
      </c>
      <c r="AI15">
        <v>4.6927244833164128E-2</v>
      </c>
      <c r="AK15">
        <v>2020</v>
      </c>
      <c r="AL15" t="s">
        <v>230</v>
      </c>
      <c r="AM15">
        <v>0.40287087819080508</v>
      </c>
      <c r="AN15" t="s">
        <v>226</v>
      </c>
    </row>
    <row r="16" spans="1:40" x14ac:dyDescent="0.45">
      <c r="C16" t="s">
        <v>232</v>
      </c>
      <c r="E16" t="s">
        <v>233</v>
      </c>
      <c r="G16" t="s">
        <v>156</v>
      </c>
      <c r="I16" t="s">
        <v>164</v>
      </c>
      <c r="J16" t="s">
        <v>237</v>
      </c>
      <c r="K16">
        <v>0</v>
      </c>
      <c r="L16" t="s">
        <v>166</v>
      </c>
      <c r="N16" t="s">
        <v>187</v>
      </c>
      <c r="O16" t="s">
        <v>237</v>
      </c>
      <c r="P16">
        <v>6.0601798688071206E-3</v>
      </c>
      <c r="Q16" t="s">
        <v>166</v>
      </c>
      <c r="S16" t="s">
        <v>201</v>
      </c>
      <c r="T16" t="s">
        <v>237</v>
      </c>
      <c r="U16">
        <v>6.676899435096968E-3</v>
      </c>
      <c r="V16" t="s">
        <v>166</v>
      </c>
      <c r="X16">
        <v>6.735159817351598E-3</v>
      </c>
      <c r="Y16">
        <v>1.7601869577107631E-3</v>
      </c>
      <c r="Z16" t="s">
        <v>237</v>
      </c>
      <c r="AA16" t="s">
        <v>25</v>
      </c>
      <c r="AC16" t="s">
        <v>22</v>
      </c>
      <c r="AD16" t="s">
        <v>237</v>
      </c>
      <c r="AE16">
        <v>7.2390071833192543E-3</v>
      </c>
      <c r="AG16" t="s">
        <v>96</v>
      </c>
      <c r="AH16" t="s">
        <v>237</v>
      </c>
      <c r="AI16">
        <v>5.4231306262952916E-2</v>
      </c>
      <c r="AK16">
        <v>2020</v>
      </c>
      <c r="AL16" t="s">
        <v>232</v>
      </c>
      <c r="AM16">
        <v>0.48242941295957747</v>
      </c>
      <c r="AN16" t="s">
        <v>226</v>
      </c>
    </row>
    <row r="17" spans="3:40" x14ac:dyDescent="0.45">
      <c r="C17" t="s">
        <v>234</v>
      </c>
      <c r="I17" t="s">
        <v>164</v>
      </c>
      <c r="J17" t="s">
        <v>169</v>
      </c>
      <c r="K17">
        <v>0</v>
      </c>
      <c r="L17" t="s">
        <v>166</v>
      </c>
      <c r="N17" t="s">
        <v>187</v>
      </c>
      <c r="O17" t="s">
        <v>169</v>
      </c>
      <c r="P17">
        <v>1.6973060528862702E-2</v>
      </c>
      <c r="Q17" t="s">
        <v>166</v>
      </c>
      <c r="S17" t="s">
        <v>201</v>
      </c>
      <c r="T17" t="s">
        <v>169</v>
      </c>
      <c r="U17">
        <v>1.6111211897046177E-2</v>
      </c>
      <c r="V17" t="s">
        <v>166</v>
      </c>
      <c r="X17">
        <v>1.7694063926940638E-2</v>
      </c>
      <c r="Y17">
        <v>2.7539798954163875E-3</v>
      </c>
      <c r="Z17" t="s">
        <v>169</v>
      </c>
      <c r="AA17" t="s">
        <v>25</v>
      </c>
      <c r="AC17" t="s">
        <v>22</v>
      </c>
      <c r="AD17" t="s">
        <v>169</v>
      </c>
      <c r="AE17">
        <v>1.9755865551821055E-2</v>
      </c>
      <c r="AG17" t="s">
        <v>96</v>
      </c>
      <c r="AH17" t="s">
        <v>169</v>
      </c>
      <c r="AI17">
        <v>4.4006931003524041E-2</v>
      </c>
      <c r="AK17">
        <v>2020</v>
      </c>
      <c r="AL17" t="s">
        <v>234</v>
      </c>
      <c r="AM17">
        <v>0.57311358359598019</v>
      </c>
      <c r="AN17" t="s">
        <v>226</v>
      </c>
    </row>
    <row r="18" spans="3:40" x14ac:dyDescent="0.45">
      <c r="I18" t="s">
        <v>164</v>
      </c>
      <c r="J18" t="s">
        <v>170</v>
      </c>
      <c r="K18">
        <v>0</v>
      </c>
      <c r="L18" t="s">
        <v>166</v>
      </c>
      <c r="N18" t="s">
        <v>187</v>
      </c>
      <c r="O18" t="s">
        <v>170</v>
      </c>
      <c r="P18">
        <v>3.1649612352864088E-3</v>
      </c>
      <c r="Q18" t="s">
        <v>166</v>
      </c>
      <c r="S18" t="s">
        <v>201</v>
      </c>
      <c r="T18" t="s">
        <v>170</v>
      </c>
      <c r="U18">
        <v>3.3116972472578359E-3</v>
      </c>
      <c r="V18" t="s">
        <v>166</v>
      </c>
      <c r="X18">
        <v>3.5388127853881279E-3</v>
      </c>
      <c r="Y18">
        <v>1.7880317231434744E-3</v>
      </c>
      <c r="Z18" t="s">
        <v>170</v>
      </c>
      <c r="AA18" t="s">
        <v>25</v>
      </c>
      <c r="AC18" t="s">
        <v>22</v>
      </c>
      <c r="AD18" t="s">
        <v>170</v>
      </c>
      <c r="AE18">
        <v>4.4492369430459196E-3</v>
      </c>
      <c r="AG18" t="s">
        <v>96</v>
      </c>
      <c r="AH18" t="s">
        <v>170</v>
      </c>
      <c r="AI18">
        <v>4.9439425530878323E-2</v>
      </c>
      <c r="AK18">
        <v>2021</v>
      </c>
      <c r="AL18" t="s">
        <v>155</v>
      </c>
      <c r="AM18">
        <v>0.64834862411084626</v>
      </c>
      <c r="AN18" t="s">
        <v>226</v>
      </c>
    </row>
    <row r="19" spans="3:40" x14ac:dyDescent="0.45">
      <c r="I19" t="s">
        <v>164</v>
      </c>
      <c r="J19" t="s">
        <v>171</v>
      </c>
      <c r="K19">
        <v>0.10642574807500765</v>
      </c>
      <c r="L19" t="s">
        <v>166</v>
      </c>
      <c r="N19" t="s">
        <v>187</v>
      </c>
      <c r="O19" t="s">
        <v>171</v>
      </c>
      <c r="P19">
        <v>5.554111409878619E-2</v>
      </c>
      <c r="Q19" t="s">
        <v>166</v>
      </c>
      <c r="S19" t="s">
        <v>201</v>
      </c>
      <c r="T19" t="s">
        <v>171</v>
      </c>
      <c r="U19">
        <v>4.7394209281315193E-2</v>
      </c>
      <c r="V19" t="s">
        <v>166</v>
      </c>
      <c r="X19">
        <v>5.3082191780821915E-2</v>
      </c>
      <c r="Y19">
        <v>7.5251473037814195E-2</v>
      </c>
      <c r="Z19" t="s">
        <v>171</v>
      </c>
      <c r="AA19" t="s">
        <v>25</v>
      </c>
      <c r="AC19" t="s">
        <v>22</v>
      </c>
      <c r="AD19" t="s">
        <v>171</v>
      </c>
      <c r="AE19">
        <v>6.9263462621464739E-2</v>
      </c>
      <c r="AG19" t="s">
        <v>96</v>
      </c>
      <c r="AH19" t="s">
        <v>171</v>
      </c>
      <c r="AI19">
        <v>6.244980718092652E-2</v>
      </c>
      <c r="AK19">
        <v>2021</v>
      </c>
      <c r="AL19" t="s">
        <v>159</v>
      </c>
      <c r="AM19">
        <v>0.52338267382202042</v>
      </c>
      <c r="AN19" t="s">
        <v>226</v>
      </c>
    </row>
    <row r="20" spans="3:40" x14ac:dyDescent="0.45">
      <c r="I20" t="s">
        <v>164</v>
      </c>
      <c r="J20" t="s">
        <v>238</v>
      </c>
      <c r="K20">
        <v>0</v>
      </c>
      <c r="L20" t="s">
        <v>166</v>
      </c>
      <c r="N20" t="s">
        <v>187</v>
      </c>
      <c r="O20" t="s">
        <v>238</v>
      </c>
      <c r="P20">
        <v>4.0260787522774883E-3</v>
      </c>
      <c r="Q20" t="s">
        <v>166</v>
      </c>
      <c r="S20" t="s">
        <v>201</v>
      </c>
      <c r="T20" t="s">
        <v>238</v>
      </c>
      <c r="U20">
        <v>3.2273297469579973E-3</v>
      </c>
      <c r="V20" t="s">
        <v>166</v>
      </c>
      <c r="X20">
        <v>3.5388127853881279E-3</v>
      </c>
      <c r="Y20">
        <v>2.4662506526116909E-3</v>
      </c>
      <c r="Z20" t="s">
        <v>238</v>
      </c>
      <c r="AA20" t="s">
        <v>25</v>
      </c>
      <c r="AC20" t="s">
        <v>22</v>
      </c>
      <c r="AD20" t="s">
        <v>238</v>
      </c>
      <c r="AE20">
        <v>4.4176868589618596E-3</v>
      </c>
      <c r="AG20" t="s">
        <v>96</v>
      </c>
      <c r="AH20" t="s">
        <v>238</v>
      </c>
      <c r="AI20">
        <v>2.0443683644546518E-2</v>
      </c>
      <c r="AK20">
        <v>2021</v>
      </c>
      <c r="AL20" t="s">
        <v>161</v>
      </c>
      <c r="AM20">
        <v>0.49766402600040621</v>
      </c>
      <c r="AN20" t="s">
        <v>226</v>
      </c>
    </row>
    <row r="21" spans="3:40" x14ac:dyDescent="0.45">
      <c r="I21" t="s">
        <v>164</v>
      </c>
      <c r="J21" t="s">
        <v>239</v>
      </c>
      <c r="K21">
        <v>0</v>
      </c>
      <c r="L21" t="s">
        <v>166</v>
      </c>
      <c r="N21" t="s">
        <v>187</v>
      </c>
      <c r="O21" t="s">
        <v>239</v>
      </c>
      <c r="P21">
        <v>3.881791703528393E-3</v>
      </c>
      <c r="Q21" t="s">
        <v>166</v>
      </c>
      <c r="S21" t="s">
        <v>201</v>
      </c>
      <c r="T21" t="s">
        <v>239</v>
      </c>
      <c r="U21">
        <v>3.2086737989215613E-3</v>
      </c>
      <c r="V21" t="s">
        <v>166</v>
      </c>
      <c r="X21">
        <v>3.5388127853881279E-3</v>
      </c>
      <c r="Y21">
        <v>1.7469275455999477E-3</v>
      </c>
      <c r="Z21" t="s">
        <v>239</v>
      </c>
      <c r="AA21" t="s">
        <v>25</v>
      </c>
      <c r="AC21" t="s">
        <v>22</v>
      </c>
      <c r="AD21" t="s">
        <v>239</v>
      </c>
      <c r="AE21">
        <v>4.2398307745133944E-3</v>
      </c>
      <c r="AG21" t="s">
        <v>96</v>
      </c>
      <c r="AH21" t="s">
        <v>239</v>
      </c>
      <c r="AI21">
        <v>1.6457806701446698E-2</v>
      </c>
      <c r="AK21">
        <v>2021</v>
      </c>
      <c r="AL21" t="s">
        <v>228</v>
      </c>
      <c r="AM21">
        <v>0.46911960317928353</v>
      </c>
      <c r="AN21" t="s">
        <v>226</v>
      </c>
    </row>
    <row r="22" spans="3:40" x14ac:dyDescent="0.45">
      <c r="I22" t="s">
        <v>164</v>
      </c>
      <c r="J22" t="s">
        <v>240</v>
      </c>
      <c r="K22">
        <v>0</v>
      </c>
      <c r="L22" t="s">
        <v>166</v>
      </c>
      <c r="N22" t="s">
        <v>187</v>
      </c>
      <c r="O22" t="s">
        <v>240</v>
      </c>
      <c r="P22">
        <v>3.7801751836476411E-3</v>
      </c>
      <c r="Q22" t="s">
        <v>166</v>
      </c>
      <c r="S22" t="s">
        <v>201</v>
      </c>
      <c r="T22" t="s">
        <v>240</v>
      </c>
      <c r="U22">
        <v>3.3131522617990709E-3</v>
      </c>
      <c r="V22" t="s">
        <v>166</v>
      </c>
      <c r="X22">
        <v>3.5388127853881279E-3</v>
      </c>
      <c r="Y22">
        <v>9.2484399472938378E-4</v>
      </c>
      <c r="Z22" t="s">
        <v>240</v>
      </c>
      <c r="AA22" t="s">
        <v>25</v>
      </c>
      <c r="AC22" t="s">
        <v>22</v>
      </c>
      <c r="AD22" t="s">
        <v>240</v>
      </c>
      <c r="AE22">
        <v>4.0243461494142152E-3</v>
      </c>
      <c r="AG22" t="s">
        <v>96</v>
      </c>
      <c r="AH22" t="s">
        <v>240</v>
      </c>
      <c r="AI22">
        <v>2.2505192746491653E-2</v>
      </c>
      <c r="AK22">
        <v>2021</v>
      </c>
      <c r="AL22" t="s">
        <v>230</v>
      </c>
      <c r="AM22">
        <v>0.42656916514320542</v>
      </c>
      <c r="AN22" t="s">
        <v>226</v>
      </c>
    </row>
    <row r="23" spans="3:40" x14ac:dyDescent="0.45">
      <c r="I23" t="s">
        <v>164</v>
      </c>
      <c r="J23" t="s">
        <v>172</v>
      </c>
      <c r="K23">
        <v>0</v>
      </c>
      <c r="L23" t="s">
        <v>166</v>
      </c>
      <c r="N23" t="s">
        <v>187</v>
      </c>
      <c r="O23" t="s">
        <v>172</v>
      </c>
      <c r="P23">
        <v>2.0249517933401139E-2</v>
      </c>
      <c r="Q23" t="s">
        <v>166</v>
      </c>
      <c r="S23" t="s">
        <v>201</v>
      </c>
      <c r="T23" t="s">
        <v>172</v>
      </c>
      <c r="U23">
        <v>1.8130330631265734E-2</v>
      </c>
      <c r="V23" t="s">
        <v>166</v>
      </c>
      <c r="X23">
        <v>1.7123287671232876E-2</v>
      </c>
      <c r="Y23">
        <v>2.6651418342739236E-3</v>
      </c>
      <c r="Z23" t="s">
        <v>172</v>
      </c>
      <c r="AA23" t="s">
        <v>25</v>
      </c>
      <c r="AC23" t="s">
        <v>22</v>
      </c>
      <c r="AD23" t="s">
        <v>172</v>
      </c>
      <c r="AE23">
        <v>1.6506677289100772E-2</v>
      </c>
      <c r="AG23" t="s">
        <v>96</v>
      </c>
      <c r="AH23" t="s">
        <v>172</v>
      </c>
      <c r="AI23">
        <v>0.15483524325920572</v>
      </c>
      <c r="AK23">
        <v>2021</v>
      </c>
      <c r="AL23" t="s">
        <v>232</v>
      </c>
      <c r="AM23">
        <v>0.44311428253163232</v>
      </c>
      <c r="AN23" t="s">
        <v>226</v>
      </c>
    </row>
    <row r="24" spans="3:40" x14ac:dyDescent="0.45">
      <c r="I24" t="s">
        <v>164</v>
      </c>
      <c r="J24" t="s">
        <v>173</v>
      </c>
      <c r="K24">
        <v>6.1235867843724727E-4</v>
      </c>
      <c r="L24" t="s">
        <v>166</v>
      </c>
      <c r="N24" t="s">
        <v>187</v>
      </c>
      <c r="O24" t="s">
        <v>173</v>
      </c>
      <c r="P24">
        <v>4.2490182972870112E-3</v>
      </c>
      <c r="Q24" t="s">
        <v>166</v>
      </c>
      <c r="S24" t="s">
        <v>201</v>
      </c>
      <c r="T24" t="s">
        <v>173</v>
      </c>
      <c r="U24">
        <v>3.3441520510775163E-3</v>
      </c>
      <c r="V24" t="s">
        <v>166</v>
      </c>
      <c r="X24">
        <v>3.4246575342465752E-3</v>
      </c>
      <c r="Y24">
        <v>1.7303532804614269E-3</v>
      </c>
      <c r="Z24" t="s">
        <v>173</v>
      </c>
      <c r="AA24" t="s">
        <v>25</v>
      </c>
      <c r="AC24" t="s">
        <v>22</v>
      </c>
      <c r="AD24" t="s">
        <v>173</v>
      </c>
      <c r="AE24">
        <v>4.0176693182255429E-3</v>
      </c>
      <c r="AG24" t="s">
        <v>96</v>
      </c>
      <c r="AH24" t="s">
        <v>173</v>
      </c>
      <c r="AI24">
        <v>4.8203444733709855E-2</v>
      </c>
      <c r="AK24">
        <v>2021</v>
      </c>
      <c r="AL24" t="s">
        <v>234</v>
      </c>
      <c r="AM24">
        <v>0.56844491185766177</v>
      </c>
      <c r="AN24" t="s">
        <v>226</v>
      </c>
    </row>
    <row r="25" spans="3:40" x14ac:dyDescent="0.45">
      <c r="I25" t="s">
        <v>164</v>
      </c>
      <c r="J25" t="s">
        <v>174</v>
      </c>
      <c r="K25">
        <v>0.13260780410122394</v>
      </c>
      <c r="L25" t="s">
        <v>166</v>
      </c>
      <c r="N25" t="s">
        <v>187</v>
      </c>
      <c r="O25" t="s">
        <v>174</v>
      </c>
      <c r="P25">
        <v>5.8062028302323536E-2</v>
      </c>
      <c r="Q25" t="s">
        <v>166</v>
      </c>
      <c r="S25" t="s">
        <v>201</v>
      </c>
      <c r="T25" t="s">
        <v>174</v>
      </c>
      <c r="U25">
        <v>5.4039759047741269E-2</v>
      </c>
      <c r="V25" t="s">
        <v>166</v>
      </c>
      <c r="X25">
        <v>5.1369863013698627E-2</v>
      </c>
      <c r="Y25">
        <v>7.2824006165626634E-2</v>
      </c>
      <c r="Z25" t="s">
        <v>174</v>
      </c>
      <c r="AA25" t="s">
        <v>25</v>
      </c>
      <c r="AC25" t="s">
        <v>22</v>
      </c>
      <c r="AD25" t="s">
        <v>174</v>
      </c>
      <c r="AE25">
        <v>5.8890707423285303E-2</v>
      </c>
      <c r="AG25" t="s">
        <v>96</v>
      </c>
      <c r="AH25" t="s">
        <v>174</v>
      </c>
      <c r="AI25">
        <v>5.1599744732345965E-2</v>
      </c>
      <c r="AK25">
        <v>2022</v>
      </c>
      <c r="AL25" t="s">
        <v>155</v>
      </c>
      <c r="AM25">
        <v>0.52899970963995357</v>
      </c>
      <c r="AN25" t="s">
        <v>226</v>
      </c>
    </row>
    <row r="26" spans="3:40" x14ac:dyDescent="0.45">
      <c r="I26" t="s">
        <v>164</v>
      </c>
      <c r="J26" t="s">
        <v>241</v>
      </c>
      <c r="K26">
        <v>0</v>
      </c>
      <c r="L26" t="s">
        <v>166</v>
      </c>
      <c r="N26" t="s">
        <v>187</v>
      </c>
      <c r="O26" t="s">
        <v>241</v>
      </c>
      <c r="P26">
        <v>4.1227616533222574E-3</v>
      </c>
      <c r="Q26" t="s">
        <v>166</v>
      </c>
      <c r="S26" t="s">
        <v>201</v>
      </c>
      <c r="T26" t="s">
        <v>241</v>
      </c>
      <c r="U26">
        <v>4.0173573755957611E-3</v>
      </c>
      <c r="V26" t="s">
        <v>166</v>
      </c>
      <c r="X26">
        <v>3.4246575342465752E-3</v>
      </c>
      <c r="Y26">
        <v>2.3866941799467974E-3</v>
      </c>
      <c r="Z26" t="s">
        <v>241</v>
      </c>
      <c r="AA26" t="s">
        <v>25</v>
      </c>
      <c r="AC26" t="s">
        <v>22</v>
      </c>
      <c r="AD26" t="s">
        <v>241</v>
      </c>
      <c r="AE26">
        <v>3.4411399588531928E-3</v>
      </c>
      <c r="AG26" t="s">
        <v>96</v>
      </c>
      <c r="AH26" t="s">
        <v>241</v>
      </c>
      <c r="AI26">
        <v>3.4615123174179363E-2</v>
      </c>
      <c r="AK26">
        <v>2022</v>
      </c>
      <c r="AL26" t="s">
        <v>159</v>
      </c>
      <c r="AM26">
        <v>0.49829530553370049</v>
      </c>
      <c r="AN26" t="s">
        <v>226</v>
      </c>
    </row>
    <row r="27" spans="3:40" x14ac:dyDescent="0.45">
      <c r="I27" t="s">
        <v>164</v>
      </c>
      <c r="J27" t="s">
        <v>242</v>
      </c>
      <c r="K27">
        <v>0</v>
      </c>
      <c r="L27" t="s">
        <v>166</v>
      </c>
      <c r="N27" t="s">
        <v>187</v>
      </c>
      <c r="O27" t="s">
        <v>242</v>
      </c>
      <c r="P27">
        <v>4.133562028075452E-3</v>
      </c>
      <c r="Q27" t="s">
        <v>166</v>
      </c>
      <c r="S27" t="s">
        <v>201</v>
      </c>
      <c r="T27" t="s">
        <v>242</v>
      </c>
      <c r="U27">
        <v>3.9728021941457144E-3</v>
      </c>
      <c r="V27" t="s">
        <v>166</v>
      </c>
      <c r="X27">
        <v>3.4246575342465752E-3</v>
      </c>
      <c r="Y27">
        <v>1.6905750441289814E-3</v>
      </c>
      <c r="Z27" t="s">
        <v>242</v>
      </c>
      <c r="AA27" t="s">
        <v>25</v>
      </c>
      <c r="AC27" t="s">
        <v>22</v>
      </c>
      <c r="AD27" t="s">
        <v>242</v>
      </c>
      <c r="AE27">
        <v>3.3053320986762514E-3</v>
      </c>
      <c r="AG27" t="s">
        <v>96</v>
      </c>
      <c r="AH27" t="s">
        <v>242</v>
      </c>
      <c r="AI27">
        <v>2.9064298844026615E-2</v>
      </c>
      <c r="AK27">
        <v>2022</v>
      </c>
      <c r="AL27" t="s">
        <v>161</v>
      </c>
      <c r="AM27">
        <v>0.49034552845528451</v>
      </c>
      <c r="AN27" t="s">
        <v>226</v>
      </c>
    </row>
    <row r="28" spans="3:40" x14ac:dyDescent="0.45">
      <c r="I28" t="s">
        <v>164</v>
      </c>
      <c r="J28" t="s">
        <v>243</v>
      </c>
      <c r="K28">
        <v>0</v>
      </c>
      <c r="L28" t="s">
        <v>166</v>
      </c>
      <c r="N28" t="s">
        <v>187</v>
      </c>
      <c r="O28" t="s">
        <v>243</v>
      </c>
      <c r="P28">
        <v>4.1374116263600338E-3</v>
      </c>
      <c r="Q28" t="s">
        <v>166</v>
      </c>
      <c r="S28" t="s">
        <v>201</v>
      </c>
      <c r="T28" t="s">
        <v>243</v>
      </c>
      <c r="U28">
        <v>4.037604457273772E-3</v>
      </c>
      <c r="V28" t="s">
        <v>166</v>
      </c>
      <c r="X28">
        <v>3.4246575342465752E-3</v>
      </c>
      <c r="Y28">
        <v>8.9501031748004888E-4</v>
      </c>
      <c r="Z28" t="s">
        <v>243</v>
      </c>
      <c r="AA28" t="s">
        <v>25</v>
      </c>
      <c r="AC28" t="s">
        <v>22</v>
      </c>
      <c r="AD28" t="s">
        <v>243</v>
      </c>
      <c r="AE28">
        <v>3.1862566931141088E-3</v>
      </c>
      <c r="AG28" t="s">
        <v>96</v>
      </c>
      <c r="AH28" t="s">
        <v>243</v>
      </c>
      <c r="AI28">
        <v>3.6286039334493925E-2</v>
      </c>
      <c r="AK28">
        <v>2022</v>
      </c>
      <c r="AL28" t="s">
        <v>228</v>
      </c>
      <c r="AM28">
        <v>0.45588283503802779</v>
      </c>
      <c r="AN28" t="s">
        <v>226</v>
      </c>
    </row>
    <row r="29" spans="3:40" x14ac:dyDescent="0.45">
      <c r="I29" t="s">
        <v>164</v>
      </c>
      <c r="J29" t="s">
        <v>244</v>
      </c>
      <c r="K29">
        <v>3.3324995067851629E-3</v>
      </c>
      <c r="L29" t="s">
        <v>166</v>
      </c>
      <c r="N29" t="s">
        <v>187</v>
      </c>
      <c r="O29" t="s">
        <v>244</v>
      </c>
      <c r="P29">
        <v>5.5264457778661312E-2</v>
      </c>
      <c r="Q29" t="s">
        <v>166</v>
      </c>
      <c r="S29" t="s">
        <v>201</v>
      </c>
      <c r="T29" t="s">
        <v>244</v>
      </c>
      <c r="U29">
        <v>5.700350123402579E-2</v>
      </c>
      <c r="V29" t="s">
        <v>166</v>
      </c>
      <c r="X29">
        <v>7.0205479452054798E-2</v>
      </c>
      <c r="Y29">
        <v>1.0927081520523085E-2</v>
      </c>
      <c r="Z29" t="s">
        <v>244</v>
      </c>
      <c r="AA29" t="s">
        <v>25</v>
      </c>
      <c r="AC29" t="s">
        <v>22</v>
      </c>
      <c r="AD29" t="s">
        <v>244</v>
      </c>
      <c r="AE29">
        <v>4.0908722382367944E-2</v>
      </c>
      <c r="AG29" t="s">
        <v>96</v>
      </c>
      <c r="AH29" t="s">
        <v>244</v>
      </c>
      <c r="AI29">
        <v>0.20914470555850806</v>
      </c>
      <c r="AK29">
        <v>2022</v>
      </c>
      <c r="AL29" t="s">
        <v>230</v>
      </c>
      <c r="AM29">
        <v>0.48441734417344168</v>
      </c>
      <c r="AN29" t="s">
        <v>226</v>
      </c>
    </row>
    <row r="30" spans="3:40" x14ac:dyDescent="0.45">
      <c r="I30" t="s">
        <v>164</v>
      </c>
      <c r="J30" t="s">
        <v>245</v>
      </c>
      <c r="K30">
        <v>1.2861926259746507E-2</v>
      </c>
      <c r="L30" t="s">
        <v>166</v>
      </c>
      <c r="N30" t="s">
        <v>187</v>
      </c>
      <c r="O30" t="s">
        <v>245</v>
      </c>
      <c r="P30">
        <v>9.9547561922081855E-3</v>
      </c>
      <c r="Q30" t="s">
        <v>166</v>
      </c>
      <c r="S30" t="s">
        <v>201</v>
      </c>
      <c r="T30" t="s">
        <v>245</v>
      </c>
      <c r="U30">
        <v>1.1003683776349327E-2</v>
      </c>
      <c r="V30" t="s">
        <v>166</v>
      </c>
      <c r="X30">
        <v>1.4041095890410958E-2</v>
      </c>
      <c r="Y30">
        <v>7.0944484498918553E-3</v>
      </c>
      <c r="Z30" t="s">
        <v>245</v>
      </c>
      <c r="AA30" t="s">
        <v>25</v>
      </c>
      <c r="AC30" t="s">
        <v>22</v>
      </c>
      <c r="AD30" t="s">
        <v>245</v>
      </c>
      <c r="AE30">
        <v>9.9973616406061581E-3</v>
      </c>
      <c r="AG30" t="s">
        <v>96</v>
      </c>
      <c r="AH30" t="s">
        <v>245</v>
      </c>
      <c r="AI30">
        <v>0.12791387836169021</v>
      </c>
      <c r="AK30">
        <v>2022</v>
      </c>
      <c r="AL30" t="s">
        <v>232</v>
      </c>
      <c r="AM30">
        <v>0.40322580645161288</v>
      </c>
      <c r="AN30" t="s">
        <v>226</v>
      </c>
    </row>
    <row r="31" spans="3:40" x14ac:dyDescent="0.45">
      <c r="I31" t="s">
        <v>164</v>
      </c>
      <c r="J31" t="s">
        <v>246</v>
      </c>
      <c r="K31">
        <v>0.54132101389147713</v>
      </c>
      <c r="L31" t="s">
        <v>166</v>
      </c>
      <c r="N31" t="s">
        <v>187</v>
      </c>
      <c r="O31" t="s">
        <v>246</v>
      </c>
      <c r="P31">
        <v>0.15635998817862848</v>
      </c>
      <c r="Q31" t="s">
        <v>166</v>
      </c>
      <c r="S31" t="s">
        <v>201</v>
      </c>
      <c r="T31" t="s">
        <v>246</v>
      </c>
      <c r="U31">
        <v>0.16566851470564692</v>
      </c>
      <c r="V31" t="s">
        <v>166</v>
      </c>
      <c r="X31">
        <v>0.21061643835616439</v>
      </c>
      <c r="Y31">
        <v>0.29857842527906925</v>
      </c>
      <c r="Z31" t="s">
        <v>246</v>
      </c>
      <c r="AA31" t="s">
        <v>25</v>
      </c>
      <c r="AC31" t="s">
        <v>22</v>
      </c>
      <c r="AD31" t="s">
        <v>246</v>
      </c>
      <c r="AE31">
        <v>0.2003626636113604</v>
      </c>
      <c r="AG31" t="s">
        <v>96</v>
      </c>
      <c r="AH31" t="s">
        <v>246</v>
      </c>
      <c r="AI31">
        <v>7.0653585733667867E-2</v>
      </c>
      <c r="AK31">
        <v>2022</v>
      </c>
      <c r="AL31" t="s">
        <v>234</v>
      </c>
      <c r="AM31">
        <v>0.53558549698400215</v>
      </c>
      <c r="AN31" t="s">
        <v>226</v>
      </c>
    </row>
    <row r="32" spans="3:40" x14ac:dyDescent="0.45">
      <c r="I32" t="s">
        <v>164</v>
      </c>
      <c r="J32" t="s">
        <v>247</v>
      </c>
      <c r="K32">
        <v>1.8482748352370256E-3</v>
      </c>
      <c r="L32" t="s">
        <v>166</v>
      </c>
      <c r="N32" t="s">
        <v>187</v>
      </c>
      <c r="O32" t="s">
        <v>247</v>
      </c>
      <c r="P32">
        <v>1.1858654612562662E-2</v>
      </c>
      <c r="Q32" t="s">
        <v>166</v>
      </c>
      <c r="S32" t="s">
        <v>201</v>
      </c>
      <c r="T32" t="s">
        <v>247</v>
      </c>
      <c r="U32">
        <v>1.1239834961481147E-2</v>
      </c>
      <c r="V32" t="s">
        <v>166</v>
      </c>
      <c r="X32">
        <v>1.4041095890410958E-2</v>
      </c>
      <c r="Y32">
        <v>9.7854461377818672E-3</v>
      </c>
      <c r="Z32" t="s">
        <v>247</v>
      </c>
      <c r="AA32" t="s">
        <v>25</v>
      </c>
      <c r="AC32" t="s">
        <v>22</v>
      </c>
      <c r="AD32" t="s">
        <v>247</v>
      </c>
      <c r="AE32">
        <v>1.1552800824818141E-2</v>
      </c>
      <c r="AG32" t="s">
        <v>96</v>
      </c>
      <c r="AH32" t="s">
        <v>247</v>
      </c>
      <c r="AI32">
        <v>7.4886344479475841E-2</v>
      </c>
      <c r="AK32">
        <v>2025</v>
      </c>
      <c r="AL32" t="s">
        <v>155</v>
      </c>
      <c r="AM32">
        <v>0.56254999999999999</v>
      </c>
      <c r="AN32" t="s">
        <v>226</v>
      </c>
    </row>
    <row r="33" spans="9:40" x14ac:dyDescent="0.45">
      <c r="I33" t="s">
        <v>164</v>
      </c>
      <c r="J33" t="s">
        <v>248</v>
      </c>
      <c r="K33">
        <v>0</v>
      </c>
      <c r="L33" t="s">
        <v>166</v>
      </c>
      <c r="N33" t="s">
        <v>187</v>
      </c>
      <c r="O33" t="s">
        <v>248</v>
      </c>
      <c r="P33">
        <v>1.1899616536027228E-2</v>
      </c>
      <c r="Q33" t="s">
        <v>166</v>
      </c>
      <c r="S33" t="s">
        <v>201</v>
      </c>
      <c r="T33" t="s">
        <v>248</v>
      </c>
      <c r="U33">
        <v>1.1199895803720737E-2</v>
      </c>
      <c r="V33" t="s">
        <v>166</v>
      </c>
      <c r="X33">
        <v>1.4041095890410958E-2</v>
      </c>
      <c r="Y33">
        <v>6.931357680928822E-3</v>
      </c>
      <c r="Z33" t="s">
        <v>248</v>
      </c>
      <c r="AA33" t="s">
        <v>25</v>
      </c>
      <c r="AC33" t="s">
        <v>22</v>
      </c>
      <c r="AD33" t="s">
        <v>248</v>
      </c>
      <c r="AE33">
        <v>9.6782983343785042E-3</v>
      </c>
      <c r="AG33" t="s">
        <v>96</v>
      </c>
      <c r="AH33" t="s">
        <v>248</v>
      </c>
      <c r="AI33">
        <v>0.11563385925399494</v>
      </c>
      <c r="AK33">
        <v>2025</v>
      </c>
      <c r="AL33" t="s">
        <v>159</v>
      </c>
      <c r="AM33">
        <v>0.51029999999999998</v>
      </c>
      <c r="AN33" t="s">
        <v>226</v>
      </c>
    </row>
    <row r="34" spans="9:40" x14ac:dyDescent="0.45">
      <c r="I34" t="s">
        <v>164</v>
      </c>
      <c r="J34" t="s">
        <v>249</v>
      </c>
      <c r="K34">
        <v>0</v>
      </c>
      <c r="L34" t="s">
        <v>166</v>
      </c>
      <c r="N34" t="s">
        <v>187</v>
      </c>
      <c r="O34" t="s">
        <v>249</v>
      </c>
      <c r="P34">
        <v>1.2408861322644838E-2</v>
      </c>
      <c r="Q34" t="s">
        <v>166</v>
      </c>
      <c r="S34" t="s">
        <v>201</v>
      </c>
      <c r="T34" t="s">
        <v>249</v>
      </c>
      <c r="U34">
        <v>1.1778276807030948E-2</v>
      </c>
      <c r="V34" t="s">
        <v>166</v>
      </c>
      <c r="X34">
        <v>1.4041095890410958E-2</v>
      </c>
      <c r="Y34">
        <v>3.6695423016682009E-3</v>
      </c>
      <c r="Z34" t="s">
        <v>249</v>
      </c>
      <c r="AA34" t="s">
        <v>25</v>
      </c>
      <c r="AC34" t="s">
        <v>22</v>
      </c>
      <c r="AD34" t="s">
        <v>249</v>
      </c>
      <c r="AE34">
        <v>8.8623713009964022E-3</v>
      </c>
      <c r="AG34" t="s">
        <v>96</v>
      </c>
      <c r="AH34" t="s">
        <v>249</v>
      </c>
      <c r="AI34">
        <v>0.12574138336259688</v>
      </c>
      <c r="AK34">
        <v>2025</v>
      </c>
      <c r="AL34" t="s">
        <v>161</v>
      </c>
      <c r="AM34">
        <v>0.46139999999999998</v>
      </c>
      <c r="AN34" t="s">
        <v>226</v>
      </c>
    </row>
    <row r="35" spans="9:40" x14ac:dyDescent="0.45">
      <c r="I35" t="s">
        <v>164</v>
      </c>
      <c r="J35" t="s">
        <v>250</v>
      </c>
      <c r="K35">
        <v>0</v>
      </c>
      <c r="L35" t="s">
        <v>166</v>
      </c>
      <c r="N35" t="s">
        <v>187</v>
      </c>
      <c r="O35" t="s">
        <v>250</v>
      </c>
      <c r="P35">
        <v>1.3531820943217882E-2</v>
      </c>
      <c r="Q35" t="s">
        <v>166</v>
      </c>
      <c r="S35" t="s">
        <v>201</v>
      </c>
      <c r="T35" t="s">
        <v>250</v>
      </c>
      <c r="U35">
        <v>1.6186741814874669E-2</v>
      </c>
      <c r="V35" t="s">
        <v>166</v>
      </c>
      <c r="X35">
        <v>1.7123287671232876E-2</v>
      </c>
      <c r="Y35">
        <v>2.6651418342739236E-3</v>
      </c>
      <c r="Z35" t="s">
        <v>250</v>
      </c>
      <c r="AA35" t="s">
        <v>25</v>
      </c>
      <c r="AC35" t="s">
        <v>22</v>
      </c>
      <c r="AD35" t="s">
        <v>250</v>
      </c>
      <c r="AE35">
        <v>1.125492830165872E-2</v>
      </c>
      <c r="AG35" t="s">
        <v>96</v>
      </c>
      <c r="AH35" t="s">
        <v>250</v>
      </c>
      <c r="AI35">
        <v>0.10378672908899866</v>
      </c>
      <c r="AK35">
        <v>2025</v>
      </c>
      <c r="AL35" t="s">
        <v>228</v>
      </c>
      <c r="AM35">
        <v>0.41037500000000005</v>
      </c>
      <c r="AN35" t="s">
        <v>226</v>
      </c>
    </row>
    <row r="36" spans="9:40" x14ac:dyDescent="0.45">
      <c r="I36" t="s">
        <v>164</v>
      </c>
      <c r="J36" t="s">
        <v>251</v>
      </c>
      <c r="K36">
        <v>0</v>
      </c>
      <c r="L36" t="s">
        <v>166</v>
      </c>
      <c r="N36" t="s">
        <v>187</v>
      </c>
      <c r="O36" t="s">
        <v>251</v>
      </c>
      <c r="P36">
        <v>2.54622906337594E-3</v>
      </c>
      <c r="Q36" t="s">
        <v>166</v>
      </c>
      <c r="S36" t="s">
        <v>201</v>
      </c>
      <c r="T36" t="s">
        <v>251</v>
      </c>
      <c r="U36">
        <v>3.2007675597238057E-3</v>
      </c>
      <c r="V36" t="s">
        <v>166</v>
      </c>
      <c r="X36">
        <v>3.4246575342465752E-3</v>
      </c>
      <c r="Y36">
        <v>1.7303532804614269E-3</v>
      </c>
      <c r="Z36" t="s">
        <v>251</v>
      </c>
      <c r="AA36" t="s">
        <v>25</v>
      </c>
      <c r="AC36" t="s">
        <v>22</v>
      </c>
      <c r="AD36" t="s">
        <v>251</v>
      </c>
      <c r="AE36">
        <v>2.6552831774854335E-3</v>
      </c>
      <c r="AG36" t="s">
        <v>96</v>
      </c>
      <c r="AH36" t="s">
        <v>251</v>
      </c>
      <c r="AI36">
        <v>7.3918235849580682E-2</v>
      </c>
      <c r="AK36">
        <v>2025</v>
      </c>
      <c r="AL36" t="s">
        <v>230</v>
      </c>
      <c r="AM36">
        <v>0.37130000000000002</v>
      </c>
      <c r="AN36" t="s">
        <v>226</v>
      </c>
    </row>
    <row r="37" spans="9:40" x14ac:dyDescent="0.45">
      <c r="I37" t="s">
        <v>164</v>
      </c>
      <c r="J37" t="s">
        <v>252</v>
      </c>
      <c r="K37">
        <v>8.7212002018478091E-2</v>
      </c>
      <c r="L37" t="s">
        <v>166</v>
      </c>
      <c r="N37" t="s">
        <v>187</v>
      </c>
      <c r="O37" t="s">
        <v>252</v>
      </c>
      <c r="P37">
        <v>4.0718116488294334E-2</v>
      </c>
      <c r="Q37" t="s">
        <v>166</v>
      </c>
      <c r="S37" t="s">
        <v>201</v>
      </c>
      <c r="T37" t="s">
        <v>252</v>
      </c>
      <c r="U37">
        <v>4.8111513684805575E-2</v>
      </c>
      <c r="V37" t="s">
        <v>166</v>
      </c>
      <c r="X37">
        <v>5.1369863013698627E-2</v>
      </c>
      <c r="Y37">
        <v>7.2824006165626634E-2</v>
      </c>
      <c r="Z37" t="s">
        <v>252</v>
      </c>
      <c r="AA37" t="s">
        <v>25</v>
      </c>
      <c r="AC37" t="s">
        <v>22</v>
      </c>
      <c r="AD37" t="s">
        <v>252</v>
      </c>
      <c r="AE37">
        <v>4.9672172536135283E-2</v>
      </c>
      <c r="AG37" t="s">
        <v>96</v>
      </c>
      <c r="AH37" t="s">
        <v>252</v>
      </c>
      <c r="AI37">
        <v>5.2656232497988897E-2</v>
      </c>
      <c r="AK37">
        <v>2025</v>
      </c>
      <c r="AL37" t="s">
        <v>232</v>
      </c>
      <c r="AM37">
        <v>0.47439999999999999</v>
      </c>
      <c r="AN37" t="s">
        <v>226</v>
      </c>
    </row>
    <row r="38" spans="9:40" x14ac:dyDescent="0.45">
      <c r="I38" t="s">
        <v>164</v>
      </c>
      <c r="J38" t="s">
        <v>253</v>
      </c>
      <c r="K38">
        <v>0</v>
      </c>
      <c r="L38" t="s">
        <v>166</v>
      </c>
      <c r="N38" t="s">
        <v>187</v>
      </c>
      <c r="O38" t="s">
        <v>253</v>
      </c>
      <c r="P38">
        <v>2.9794871600549631E-3</v>
      </c>
      <c r="Q38" t="s">
        <v>166</v>
      </c>
      <c r="S38" t="s">
        <v>201</v>
      </c>
      <c r="T38" t="s">
        <v>253</v>
      </c>
      <c r="U38">
        <v>3.458583548392772E-3</v>
      </c>
      <c r="V38" t="s">
        <v>166</v>
      </c>
      <c r="X38">
        <v>3.4246575342465752E-3</v>
      </c>
      <c r="Y38">
        <v>2.3866941799467974E-3</v>
      </c>
      <c r="Z38" t="s">
        <v>253</v>
      </c>
      <c r="AA38" t="s">
        <v>25</v>
      </c>
      <c r="AC38" t="s">
        <v>22</v>
      </c>
      <c r="AD38" t="s">
        <v>253</v>
      </c>
      <c r="AE38">
        <v>2.9403806027884344E-3</v>
      </c>
      <c r="AG38" t="s">
        <v>96</v>
      </c>
      <c r="AH38" t="s">
        <v>253</v>
      </c>
      <c r="AI38">
        <v>4.0440831059187499E-2</v>
      </c>
      <c r="AK38">
        <v>2025</v>
      </c>
      <c r="AL38" t="s">
        <v>234</v>
      </c>
      <c r="AM38">
        <v>0.49604999999999999</v>
      </c>
      <c r="AN38" t="s">
        <v>226</v>
      </c>
    </row>
    <row r="39" spans="9:40" x14ac:dyDescent="0.45">
      <c r="I39" t="s">
        <v>164</v>
      </c>
      <c r="J39" t="s">
        <v>254</v>
      </c>
      <c r="K39">
        <v>0</v>
      </c>
      <c r="L39" t="s">
        <v>166</v>
      </c>
      <c r="N39" t="s">
        <v>187</v>
      </c>
      <c r="O39" t="s">
        <v>254</v>
      </c>
      <c r="P39">
        <v>2.906763293095198E-3</v>
      </c>
      <c r="Q39" t="s">
        <v>166</v>
      </c>
      <c r="S39" t="s">
        <v>201</v>
      </c>
      <c r="T39" t="s">
        <v>254</v>
      </c>
      <c r="U39">
        <v>3.3855331692718331E-3</v>
      </c>
      <c r="V39" t="s">
        <v>166</v>
      </c>
      <c r="X39">
        <v>3.4246575342465752E-3</v>
      </c>
      <c r="Y39">
        <v>1.6905750441289814E-3</v>
      </c>
      <c r="Z39" t="s">
        <v>254</v>
      </c>
      <c r="AA39" t="s">
        <v>25</v>
      </c>
      <c r="AC39" t="s">
        <v>22</v>
      </c>
      <c r="AD39" t="s">
        <v>254</v>
      </c>
      <c r="AE39">
        <v>2.5680139082070461E-3</v>
      </c>
      <c r="AG39" t="s">
        <v>96</v>
      </c>
      <c r="AH39" t="s">
        <v>254</v>
      </c>
      <c r="AI39">
        <v>4.8150426770194654E-2</v>
      </c>
      <c r="AK39">
        <v>2026</v>
      </c>
      <c r="AL39" t="s">
        <v>155</v>
      </c>
      <c r="AM39">
        <v>0.55649999999999999</v>
      </c>
      <c r="AN39" t="s">
        <v>226</v>
      </c>
    </row>
    <row r="40" spans="9:40" x14ac:dyDescent="0.45">
      <c r="I40" t="s">
        <v>164</v>
      </c>
      <c r="J40" t="s">
        <v>255</v>
      </c>
      <c r="K40">
        <v>0</v>
      </c>
      <c r="L40" t="s">
        <v>166</v>
      </c>
      <c r="N40" t="s">
        <v>187</v>
      </c>
      <c r="O40" t="s">
        <v>255</v>
      </c>
      <c r="P40">
        <v>2.9710866104703201E-3</v>
      </c>
      <c r="Q40" t="s">
        <v>166</v>
      </c>
      <c r="S40" t="s">
        <v>201</v>
      </c>
      <c r="T40" t="s">
        <v>255</v>
      </c>
      <c r="U40">
        <v>3.4575775090132273E-3</v>
      </c>
      <c r="V40" t="s">
        <v>166</v>
      </c>
      <c r="X40">
        <v>3.4246575342465752E-3</v>
      </c>
      <c r="Y40">
        <v>8.9501031748004888E-4</v>
      </c>
      <c r="Z40" t="s">
        <v>255</v>
      </c>
      <c r="AA40" t="s">
        <v>25</v>
      </c>
      <c r="AC40" t="s">
        <v>22</v>
      </c>
      <c r="AD40" t="s">
        <v>255</v>
      </c>
      <c r="AE40">
        <v>2.3853373627817291E-3</v>
      </c>
      <c r="AG40" t="s">
        <v>96</v>
      </c>
      <c r="AH40" t="s">
        <v>255</v>
      </c>
      <c r="AI40">
        <v>6.1413747106594974E-2</v>
      </c>
      <c r="AK40">
        <v>2026</v>
      </c>
      <c r="AL40" t="s">
        <v>159</v>
      </c>
      <c r="AM40">
        <v>0.54400000000000004</v>
      </c>
      <c r="AN40" t="s">
        <v>226</v>
      </c>
    </row>
    <row r="41" spans="9:40" x14ac:dyDescent="0.45">
      <c r="I41" t="s">
        <v>164</v>
      </c>
      <c r="J41" t="s">
        <v>256</v>
      </c>
      <c r="K41">
        <v>0</v>
      </c>
      <c r="L41" t="s">
        <v>166</v>
      </c>
      <c r="N41" t="s">
        <v>187</v>
      </c>
      <c r="O41" t="s">
        <v>256</v>
      </c>
      <c r="P41">
        <v>2.0675110135906713E-2</v>
      </c>
      <c r="Q41" t="s">
        <v>166</v>
      </c>
      <c r="S41" t="s">
        <v>201</v>
      </c>
      <c r="T41" t="s">
        <v>256</v>
      </c>
      <c r="U41">
        <v>1.9519491310875846E-2</v>
      </c>
      <c r="V41" t="s">
        <v>166</v>
      </c>
      <c r="X41">
        <v>1.7694063926940638E-2</v>
      </c>
      <c r="Y41">
        <v>2.7539798954163875E-3</v>
      </c>
      <c r="Z41" t="s">
        <v>256</v>
      </c>
      <c r="AA41" t="s">
        <v>25</v>
      </c>
      <c r="AC41" t="s">
        <v>22</v>
      </c>
      <c r="AD41" t="s">
        <v>256</v>
      </c>
      <c r="AE41">
        <v>1.3032513516218407E-2</v>
      </c>
      <c r="AG41" t="s">
        <v>96</v>
      </c>
      <c r="AH41" t="s">
        <v>256</v>
      </c>
      <c r="AI41">
        <v>0.11456508327907811</v>
      </c>
      <c r="AK41">
        <v>2026</v>
      </c>
      <c r="AL41" t="s">
        <v>161</v>
      </c>
      <c r="AM41">
        <v>0.48449999999999999</v>
      </c>
      <c r="AN41" t="s">
        <v>226</v>
      </c>
    </row>
    <row r="42" spans="9:40" x14ac:dyDescent="0.45">
      <c r="I42" t="s">
        <v>164</v>
      </c>
      <c r="J42" t="s">
        <v>257</v>
      </c>
      <c r="K42">
        <v>0</v>
      </c>
      <c r="L42" t="s">
        <v>166</v>
      </c>
      <c r="N42" t="s">
        <v>187</v>
      </c>
      <c r="O42" t="s">
        <v>257</v>
      </c>
      <c r="P42">
        <v>4.4125039554978414E-3</v>
      </c>
      <c r="Q42" t="s">
        <v>166</v>
      </c>
      <c r="S42" t="s">
        <v>201</v>
      </c>
      <c r="T42" t="s">
        <v>257</v>
      </c>
      <c r="U42">
        <v>3.949123569502457E-3</v>
      </c>
      <c r="V42" t="s">
        <v>166</v>
      </c>
      <c r="X42">
        <v>3.5388127853881279E-3</v>
      </c>
      <c r="Y42">
        <v>1.7880317231434744E-3</v>
      </c>
      <c r="Z42" t="s">
        <v>257</v>
      </c>
      <c r="AA42" t="s">
        <v>25</v>
      </c>
      <c r="AC42" t="s">
        <v>22</v>
      </c>
      <c r="AD42" t="s">
        <v>257</v>
      </c>
      <c r="AE42">
        <v>3.1330551263174552E-3</v>
      </c>
      <c r="AG42" t="s">
        <v>96</v>
      </c>
      <c r="AH42" t="s">
        <v>257</v>
      </c>
      <c r="AI42">
        <v>6.5974822358677354E-2</v>
      </c>
      <c r="AK42">
        <v>2026</v>
      </c>
      <c r="AL42" t="s">
        <v>228</v>
      </c>
      <c r="AM42">
        <v>0.40205000000000002</v>
      </c>
      <c r="AN42" t="s">
        <v>226</v>
      </c>
    </row>
    <row r="43" spans="9:40" x14ac:dyDescent="0.45">
      <c r="I43" t="s">
        <v>164</v>
      </c>
      <c r="J43" t="s">
        <v>258</v>
      </c>
      <c r="K43">
        <v>4.3504837512295488E-2</v>
      </c>
      <c r="L43" t="s">
        <v>166</v>
      </c>
      <c r="N43" t="s">
        <v>187</v>
      </c>
      <c r="O43" t="s">
        <v>258</v>
      </c>
      <c r="P43">
        <v>6.4450745649571747E-2</v>
      </c>
      <c r="Q43" t="s">
        <v>166</v>
      </c>
      <c r="S43" t="s">
        <v>201</v>
      </c>
      <c r="T43" t="s">
        <v>258</v>
      </c>
      <c r="U43">
        <v>6.1380078170305871E-2</v>
      </c>
      <c r="V43" t="s">
        <v>166</v>
      </c>
      <c r="X43">
        <v>5.3082191780821915E-2</v>
      </c>
      <c r="Y43">
        <v>7.5251473037814195E-2</v>
      </c>
      <c r="Z43" t="s">
        <v>258</v>
      </c>
      <c r="AA43" t="s">
        <v>25</v>
      </c>
      <c r="AC43" t="s">
        <v>22</v>
      </c>
      <c r="AD43" t="s">
        <v>258</v>
      </c>
      <c r="AE43">
        <v>5.3892147585351984E-2</v>
      </c>
      <c r="AG43" t="s">
        <v>96</v>
      </c>
      <c r="AH43" t="s">
        <v>258</v>
      </c>
      <c r="AI43">
        <v>4.9996647777156955E-2</v>
      </c>
      <c r="AK43">
        <v>2026</v>
      </c>
      <c r="AL43" t="s">
        <v>230</v>
      </c>
      <c r="AM43">
        <v>0.3896</v>
      </c>
      <c r="AN43" t="s">
        <v>226</v>
      </c>
    </row>
    <row r="44" spans="9:40" x14ac:dyDescent="0.45">
      <c r="I44" t="s">
        <v>164</v>
      </c>
      <c r="J44" t="s">
        <v>259</v>
      </c>
      <c r="K44">
        <v>0</v>
      </c>
      <c r="L44" t="s">
        <v>166</v>
      </c>
      <c r="N44" t="s">
        <v>187</v>
      </c>
      <c r="O44" t="s">
        <v>259</v>
      </c>
      <c r="P44">
        <v>4.1132920046662901E-3</v>
      </c>
      <c r="Q44" t="s">
        <v>166</v>
      </c>
      <c r="S44" t="s">
        <v>201</v>
      </c>
      <c r="T44" t="s">
        <v>259</v>
      </c>
      <c r="U44">
        <v>3.9071864557618649E-3</v>
      </c>
      <c r="V44" t="s">
        <v>166</v>
      </c>
      <c r="X44">
        <v>3.5388127853881279E-3</v>
      </c>
      <c r="Y44">
        <v>2.4662506526116909E-3</v>
      </c>
      <c r="Z44" t="s">
        <v>259</v>
      </c>
      <c r="AA44" t="s">
        <v>25</v>
      </c>
      <c r="AC44" t="s">
        <v>22</v>
      </c>
      <c r="AD44" t="s">
        <v>259</v>
      </c>
      <c r="AE44">
        <v>3.2772459128582987E-3</v>
      </c>
      <c r="AG44" t="s">
        <v>96</v>
      </c>
      <c r="AH44" t="s">
        <v>259</v>
      </c>
      <c r="AI44">
        <v>6.3502641301529605E-2</v>
      </c>
      <c r="AK44">
        <v>2026</v>
      </c>
      <c r="AL44" t="s">
        <v>232</v>
      </c>
      <c r="AM44">
        <v>0.46879999999999999</v>
      </c>
      <c r="AN44" t="s">
        <v>226</v>
      </c>
    </row>
    <row r="45" spans="9:40" x14ac:dyDescent="0.45">
      <c r="I45" t="s">
        <v>164</v>
      </c>
      <c r="J45" t="s">
        <v>260</v>
      </c>
      <c r="K45">
        <v>0</v>
      </c>
      <c r="L45" t="s">
        <v>166</v>
      </c>
      <c r="N45" t="s">
        <v>187</v>
      </c>
      <c r="O45" t="s">
        <v>260</v>
      </c>
      <c r="P45">
        <v>4.0720041757738206E-3</v>
      </c>
      <c r="Q45" t="s">
        <v>166</v>
      </c>
      <c r="S45" t="s">
        <v>201</v>
      </c>
      <c r="T45" t="s">
        <v>260</v>
      </c>
      <c r="U45">
        <v>3.789603801119991E-3</v>
      </c>
      <c r="V45" t="s">
        <v>166</v>
      </c>
      <c r="X45">
        <v>3.5388127853881279E-3</v>
      </c>
      <c r="Y45">
        <v>1.7469275455999477E-3</v>
      </c>
      <c r="Z45" t="s">
        <v>260</v>
      </c>
      <c r="AA45" t="s">
        <v>25</v>
      </c>
      <c r="AC45" t="s">
        <v>22</v>
      </c>
      <c r="AD45" t="s">
        <v>260</v>
      </c>
      <c r="AE45">
        <v>2.8659147531060526E-3</v>
      </c>
      <c r="AG45" t="s">
        <v>96</v>
      </c>
      <c r="AH45" t="s">
        <v>260</v>
      </c>
      <c r="AI45">
        <v>8.7974112639792601E-2</v>
      </c>
      <c r="AK45">
        <v>2026</v>
      </c>
      <c r="AL45" t="s">
        <v>234</v>
      </c>
      <c r="AM45">
        <v>0.52315</v>
      </c>
      <c r="AN45" t="s">
        <v>226</v>
      </c>
    </row>
    <row r="46" spans="9:40" x14ac:dyDescent="0.45">
      <c r="I46" t="s">
        <v>164</v>
      </c>
      <c r="J46" t="s">
        <v>261</v>
      </c>
      <c r="K46">
        <v>0</v>
      </c>
      <c r="L46" t="s">
        <v>166</v>
      </c>
      <c r="N46" t="s">
        <v>187</v>
      </c>
      <c r="O46" t="s">
        <v>261</v>
      </c>
      <c r="P46">
        <v>4.1602715976733493E-3</v>
      </c>
      <c r="Q46" t="s">
        <v>166</v>
      </c>
      <c r="S46" t="s">
        <v>201</v>
      </c>
      <c r="T46" t="s">
        <v>261</v>
      </c>
      <c r="U46">
        <v>3.8792451944354676E-3</v>
      </c>
      <c r="V46" t="s">
        <v>166</v>
      </c>
      <c r="X46">
        <v>3.5388127853881279E-3</v>
      </c>
      <c r="Y46">
        <v>9.2484399472938378E-4</v>
      </c>
      <c r="Z46" t="s">
        <v>261</v>
      </c>
      <c r="AA46" t="s">
        <v>25</v>
      </c>
      <c r="AC46" t="s">
        <v>22</v>
      </c>
      <c r="AD46" t="s">
        <v>261</v>
      </c>
      <c r="AE46">
        <v>2.6821583353602864E-3</v>
      </c>
      <c r="AG46" t="s">
        <v>96</v>
      </c>
      <c r="AH46" t="s">
        <v>261</v>
      </c>
      <c r="AI46">
        <v>0.10348626437277675</v>
      </c>
      <c r="AK46">
        <v>2027</v>
      </c>
      <c r="AL46" t="s">
        <v>155</v>
      </c>
      <c r="AM46">
        <v>0.54930000000000001</v>
      </c>
      <c r="AN46" t="s">
        <v>226</v>
      </c>
    </row>
    <row r="47" spans="9:40" x14ac:dyDescent="0.45">
      <c r="I47" t="s">
        <v>164</v>
      </c>
      <c r="J47" t="s">
        <v>262</v>
      </c>
      <c r="K47">
        <v>0</v>
      </c>
      <c r="L47" t="s">
        <v>166</v>
      </c>
      <c r="N47" t="s">
        <v>187</v>
      </c>
      <c r="O47" t="s">
        <v>262</v>
      </c>
      <c r="P47">
        <v>4.9822672386348507E-2</v>
      </c>
      <c r="Q47" t="s">
        <v>166</v>
      </c>
      <c r="S47" t="s">
        <v>201</v>
      </c>
      <c r="T47" t="s">
        <v>262</v>
      </c>
      <c r="U47">
        <v>4.7754191448167498E-2</v>
      </c>
      <c r="V47" t="s">
        <v>166</v>
      </c>
      <c r="X47">
        <v>3.4817351598173514E-2</v>
      </c>
      <c r="Y47">
        <v>5.4191217296903106E-3</v>
      </c>
      <c r="Z47" t="s">
        <v>262</v>
      </c>
      <c r="AA47" t="s">
        <v>25</v>
      </c>
      <c r="AC47" t="s">
        <v>22</v>
      </c>
      <c r="AD47" t="s">
        <v>262</v>
      </c>
      <c r="AE47">
        <v>3.128753148324058E-2</v>
      </c>
      <c r="AG47" t="s">
        <v>96</v>
      </c>
      <c r="AH47" t="s">
        <v>262</v>
      </c>
      <c r="AI47">
        <v>7.6779648400026934E-2</v>
      </c>
      <c r="AK47">
        <v>2027</v>
      </c>
      <c r="AL47" t="s">
        <v>159</v>
      </c>
      <c r="AM47">
        <v>0.47420000000000001</v>
      </c>
      <c r="AN47" t="s">
        <v>226</v>
      </c>
    </row>
    <row r="48" spans="9:40" x14ac:dyDescent="0.45">
      <c r="I48" t="s">
        <v>164</v>
      </c>
      <c r="J48" t="s">
        <v>263</v>
      </c>
      <c r="K48">
        <v>0</v>
      </c>
      <c r="L48" t="s">
        <v>166</v>
      </c>
      <c r="N48" t="s">
        <v>187</v>
      </c>
      <c r="O48" t="s">
        <v>263</v>
      </c>
      <c r="P48">
        <v>9.9259825054461501E-3</v>
      </c>
      <c r="Q48" t="s">
        <v>166</v>
      </c>
      <c r="S48" t="s">
        <v>201</v>
      </c>
      <c r="T48" t="s">
        <v>263</v>
      </c>
      <c r="U48">
        <v>9.8023197915451891E-3</v>
      </c>
      <c r="V48" t="s">
        <v>166</v>
      </c>
      <c r="X48">
        <v>6.9634703196347035E-3</v>
      </c>
      <c r="Y48">
        <v>3.5183850036049043E-3</v>
      </c>
      <c r="Z48" t="s">
        <v>263</v>
      </c>
      <c r="AA48" t="s">
        <v>25</v>
      </c>
      <c r="AC48" t="s">
        <v>22</v>
      </c>
      <c r="AD48" t="s">
        <v>263</v>
      </c>
      <c r="AE48">
        <v>7.2610572492618009E-3</v>
      </c>
      <c r="AG48" t="s">
        <v>96</v>
      </c>
      <c r="AH48" t="s">
        <v>263</v>
      </c>
      <c r="AI48">
        <v>0.1016635806263253</v>
      </c>
      <c r="AK48">
        <v>2027</v>
      </c>
      <c r="AL48" t="s">
        <v>161</v>
      </c>
      <c r="AM48">
        <v>0.43609999999999999</v>
      </c>
      <c r="AN48" t="s">
        <v>226</v>
      </c>
    </row>
    <row r="49" spans="9:40" x14ac:dyDescent="0.45">
      <c r="I49" t="s">
        <v>164</v>
      </c>
      <c r="J49" t="s">
        <v>264</v>
      </c>
      <c r="K49">
        <v>2.6071919958276565E-2</v>
      </c>
      <c r="L49" t="s">
        <v>166</v>
      </c>
      <c r="N49" t="s">
        <v>187</v>
      </c>
      <c r="O49" t="s">
        <v>264</v>
      </c>
      <c r="P49">
        <v>0.14946944004347992</v>
      </c>
      <c r="Q49" t="s">
        <v>166</v>
      </c>
      <c r="S49" t="s">
        <v>201</v>
      </c>
      <c r="T49" t="s">
        <v>264</v>
      </c>
      <c r="U49">
        <v>0.14268937999112061</v>
      </c>
      <c r="V49" t="s">
        <v>166</v>
      </c>
      <c r="X49">
        <v>0.10445205479452055</v>
      </c>
      <c r="Y49">
        <v>0.14807547920344083</v>
      </c>
      <c r="Z49" t="s">
        <v>264</v>
      </c>
      <c r="AA49" t="s">
        <v>25</v>
      </c>
      <c r="AC49" t="s">
        <v>22</v>
      </c>
      <c r="AD49" t="s">
        <v>264</v>
      </c>
      <c r="AE49">
        <v>0.11867184832463243</v>
      </c>
      <c r="AG49" t="s">
        <v>96</v>
      </c>
      <c r="AH49" t="s">
        <v>264</v>
      </c>
      <c r="AI49">
        <v>7.3256132019194009E-2</v>
      </c>
      <c r="AK49">
        <v>2027</v>
      </c>
      <c r="AL49" t="s">
        <v>228</v>
      </c>
      <c r="AM49">
        <v>0.41744999999999999</v>
      </c>
      <c r="AN49" t="s">
        <v>226</v>
      </c>
    </row>
    <row r="50" spans="9:40" x14ac:dyDescent="0.45">
      <c r="I50" t="s">
        <v>164</v>
      </c>
      <c r="J50" t="s">
        <v>265</v>
      </c>
      <c r="K50">
        <v>0</v>
      </c>
      <c r="L50" t="s">
        <v>166</v>
      </c>
      <c r="N50" t="s">
        <v>187</v>
      </c>
      <c r="O50" t="s">
        <v>265</v>
      </c>
      <c r="P50">
        <v>1.0247973728133582E-2</v>
      </c>
      <c r="Q50" t="s">
        <v>166</v>
      </c>
      <c r="S50" t="s">
        <v>201</v>
      </c>
      <c r="T50" t="s">
        <v>265</v>
      </c>
      <c r="U50">
        <v>9.9223831635042239E-3</v>
      </c>
      <c r="V50" t="s">
        <v>166</v>
      </c>
      <c r="X50">
        <v>6.9634703196347035E-3</v>
      </c>
      <c r="Y50">
        <v>4.8529448325584871E-3</v>
      </c>
      <c r="Z50" t="s">
        <v>265</v>
      </c>
      <c r="AA50" t="s">
        <v>25</v>
      </c>
      <c r="AC50" t="s">
        <v>22</v>
      </c>
      <c r="AD50" t="s">
        <v>265</v>
      </c>
      <c r="AE50">
        <v>7.3786854032604531E-3</v>
      </c>
      <c r="AG50" t="s">
        <v>96</v>
      </c>
      <c r="AH50" t="s">
        <v>265</v>
      </c>
      <c r="AI50">
        <v>4.008313256906626E-2</v>
      </c>
      <c r="AK50">
        <v>2027</v>
      </c>
      <c r="AL50" t="s">
        <v>230</v>
      </c>
      <c r="AM50">
        <v>0.40689999999999998</v>
      </c>
      <c r="AN50" t="s">
        <v>226</v>
      </c>
    </row>
    <row r="51" spans="9:40" x14ac:dyDescent="0.45">
      <c r="I51" t="s">
        <v>164</v>
      </c>
      <c r="J51" t="s">
        <v>266</v>
      </c>
      <c r="K51">
        <v>0</v>
      </c>
      <c r="L51" t="s">
        <v>166</v>
      </c>
      <c r="N51" t="s">
        <v>187</v>
      </c>
      <c r="O51" t="s">
        <v>266</v>
      </c>
      <c r="P51">
        <v>1.0291423217051992E-2</v>
      </c>
      <c r="Q51" t="s">
        <v>166</v>
      </c>
      <c r="S51" t="s">
        <v>201</v>
      </c>
      <c r="T51" t="s">
        <v>266</v>
      </c>
      <c r="U51">
        <v>9.7937409264452768E-3</v>
      </c>
      <c r="V51" t="s">
        <v>166</v>
      </c>
      <c r="X51">
        <v>6.9634703196347035E-3</v>
      </c>
      <c r="Y51">
        <v>3.4375025897289287E-3</v>
      </c>
      <c r="Z51" t="s">
        <v>266</v>
      </c>
      <c r="AA51" t="s">
        <v>25</v>
      </c>
      <c r="AC51" t="s">
        <v>22</v>
      </c>
      <c r="AD51" t="s">
        <v>266</v>
      </c>
      <c r="AE51">
        <v>6.9513008838578139E-3</v>
      </c>
      <c r="AG51" t="s">
        <v>96</v>
      </c>
      <c r="AH51" t="s">
        <v>266</v>
      </c>
      <c r="AI51">
        <v>4.6919157233300091E-2</v>
      </c>
      <c r="AK51">
        <v>2027</v>
      </c>
      <c r="AL51" t="s">
        <v>232</v>
      </c>
      <c r="AM51">
        <v>0.45550000000000002</v>
      </c>
      <c r="AN51" t="s">
        <v>226</v>
      </c>
    </row>
    <row r="52" spans="9:40" x14ac:dyDescent="0.45">
      <c r="I52" t="s">
        <v>164</v>
      </c>
      <c r="J52" t="s">
        <v>267</v>
      </c>
      <c r="K52">
        <v>0</v>
      </c>
      <c r="L52" t="s">
        <v>166</v>
      </c>
      <c r="N52" t="s">
        <v>187</v>
      </c>
      <c r="O52" t="s">
        <v>267</v>
      </c>
      <c r="P52">
        <v>1.0244135281400706E-2</v>
      </c>
      <c r="Q52" t="s">
        <v>166</v>
      </c>
      <c r="S52" t="s">
        <v>201</v>
      </c>
      <c r="T52" t="s">
        <v>267</v>
      </c>
      <c r="U52">
        <v>9.7862490396768385E-3</v>
      </c>
      <c r="V52" t="s">
        <v>166</v>
      </c>
      <c r="X52">
        <v>6.9634703196347035E-3</v>
      </c>
      <c r="Y52">
        <v>1.8198543122094333E-3</v>
      </c>
      <c r="Z52" t="s">
        <v>267</v>
      </c>
      <c r="AA52" t="s">
        <v>25</v>
      </c>
      <c r="AC52" t="s">
        <v>22</v>
      </c>
      <c r="AD52" t="s">
        <v>267</v>
      </c>
      <c r="AE52">
        <v>6.6392511813609129E-3</v>
      </c>
      <c r="AG52" t="s">
        <v>96</v>
      </c>
      <c r="AH52" t="s">
        <v>267</v>
      </c>
      <c r="AI52">
        <v>7.0385043951962434E-2</v>
      </c>
      <c r="AK52">
        <v>2027</v>
      </c>
      <c r="AL52" t="s">
        <v>234</v>
      </c>
      <c r="AM52">
        <v>0.51370000000000005</v>
      </c>
      <c r="AN52" t="s">
        <v>226</v>
      </c>
    </row>
    <row r="53" spans="9:40" x14ac:dyDescent="0.45">
      <c r="I53" t="s">
        <v>175</v>
      </c>
      <c r="J53" t="s">
        <v>165</v>
      </c>
      <c r="K53">
        <v>0</v>
      </c>
      <c r="L53" t="s">
        <v>166</v>
      </c>
      <c r="N53" t="s">
        <v>188</v>
      </c>
      <c r="O53" t="s">
        <v>165</v>
      </c>
      <c r="P53">
        <v>3.2886340273899466E-2</v>
      </c>
      <c r="Q53" t="s">
        <v>166</v>
      </c>
      <c r="S53" t="s">
        <v>202</v>
      </c>
      <c r="T53" t="s">
        <v>165</v>
      </c>
      <c r="U53">
        <v>3.4522154844008668E-2</v>
      </c>
      <c r="V53" t="s">
        <v>166</v>
      </c>
      <c r="AC53" t="s">
        <v>19</v>
      </c>
      <c r="AD53" t="s">
        <v>165</v>
      </c>
      <c r="AE53">
        <v>3.3373227705362038E-2</v>
      </c>
      <c r="AK53">
        <v>2028</v>
      </c>
      <c r="AL53" t="s">
        <v>155</v>
      </c>
      <c r="AM53">
        <v>0.58719999999999994</v>
      </c>
      <c r="AN53" t="s">
        <v>226</v>
      </c>
    </row>
    <row r="54" spans="9:40" x14ac:dyDescent="0.45">
      <c r="I54" t="s">
        <v>175</v>
      </c>
      <c r="J54" t="s">
        <v>167</v>
      </c>
      <c r="K54">
        <v>0</v>
      </c>
      <c r="L54" t="s">
        <v>166</v>
      </c>
      <c r="N54" t="s">
        <v>188</v>
      </c>
      <c r="O54" t="s">
        <v>167</v>
      </c>
      <c r="P54">
        <v>6.6174474768393513E-3</v>
      </c>
      <c r="Q54" t="s">
        <v>166</v>
      </c>
      <c r="S54" t="s">
        <v>202</v>
      </c>
      <c r="T54" t="s">
        <v>167</v>
      </c>
      <c r="U54">
        <v>7.1198953561883551E-3</v>
      </c>
      <c r="V54" t="s">
        <v>166</v>
      </c>
      <c r="AC54" t="s">
        <v>19</v>
      </c>
      <c r="AD54" t="s">
        <v>167</v>
      </c>
      <c r="AE54">
        <v>6.7331207210820617E-3</v>
      </c>
      <c r="AK54">
        <v>2028</v>
      </c>
      <c r="AL54" t="s">
        <v>159</v>
      </c>
      <c r="AM54">
        <v>0.55120000000000002</v>
      </c>
      <c r="AN54" t="s">
        <v>226</v>
      </c>
    </row>
    <row r="55" spans="9:40" x14ac:dyDescent="0.45">
      <c r="I55" t="s">
        <v>175</v>
      </c>
      <c r="J55" t="s">
        <v>168</v>
      </c>
      <c r="K55">
        <v>4.7914470253487829E-2</v>
      </c>
      <c r="L55" t="s">
        <v>166</v>
      </c>
      <c r="N55" t="s">
        <v>188</v>
      </c>
      <c r="O55" t="s">
        <v>168</v>
      </c>
      <c r="P55">
        <v>9.5204175448486902E-2</v>
      </c>
      <c r="Q55" t="s">
        <v>166</v>
      </c>
      <c r="S55" t="s">
        <v>202</v>
      </c>
      <c r="T55" t="s">
        <v>168</v>
      </c>
      <c r="U55">
        <v>0.10670287627406259</v>
      </c>
      <c r="V55" t="s">
        <v>166</v>
      </c>
      <c r="AC55" t="s">
        <v>19</v>
      </c>
      <c r="AD55" t="s">
        <v>168</v>
      </c>
      <c r="AE55">
        <v>0.10156695855628639</v>
      </c>
      <c r="AK55">
        <v>2028</v>
      </c>
      <c r="AL55" t="s">
        <v>161</v>
      </c>
      <c r="AM55">
        <v>0.4869</v>
      </c>
      <c r="AN55" t="s">
        <v>226</v>
      </c>
    </row>
    <row r="56" spans="9:40" x14ac:dyDescent="0.45">
      <c r="I56" t="s">
        <v>175</v>
      </c>
      <c r="J56" t="s">
        <v>235</v>
      </c>
      <c r="K56">
        <v>0</v>
      </c>
      <c r="L56" t="s">
        <v>166</v>
      </c>
      <c r="N56" t="s">
        <v>188</v>
      </c>
      <c r="O56" t="s">
        <v>235</v>
      </c>
      <c r="P56">
        <v>6.8520927394395258E-3</v>
      </c>
      <c r="Q56" t="s">
        <v>166</v>
      </c>
      <c r="S56" t="s">
        <v>202</v>
      </c>
      <c r="T56" t="s">
        <v>235</v>
      </c>
      <c r="U56">
        <v>6.7863808528979006E-3</v>
      </c>
      <c r="V56" t="s">
        <v>166</v>
      </c>
      <c r="AC56" t="s">
        <v>19</v>
      </c>
      <c r="AD56" t="s">
        <v>235</v>
      </c>
      <c r="AE56">
        <v>6.7483217183935892E-3</v>
      </c>
      <c r="AK56">
        <v>2028</v>
      </c>
      <c r="AL56" t="s">
        <v>228</v>
      </c>
      <c r="AM56">
        <v>0.39692499999999997</v>
      </c>
      <c r="AN56" t="s">
        <v>226</v>
      </c>
    </row>
    <row r="57" spans="9:40" x14ac:dyDescent="0.45">
      <c r="I57" t="s">
        <v>175</v>
      </c>
      <c r="J57" t="s">
        <v>236</v>
      </c>
      <c r="K57">
        <v>0</v>
      </c>
      <c r="L57" t="s">
        <v>166</v>
      </c>
      <c r="N57" t="s">
        <v>188</v>
      </c>
      <c r="O57" t="s">
        <v>236</v>
      </c>
      <c r="P57">
        <v>6.8045172230095669E-3</v>
      </c>
      <c r="Q57" t="s">
        <v>166</v>
      </c>
      <c r="S57" t="s">
        <v>202</v>
      </c>
      <c r="T57" t="s">
        <v>236</v>
      </c>
      <c r="U57">
        <v>6.8547527024857332E-3</v>
      </c>
      <c r="V57" t="s">
        <v>166</v>
      </c>
      <c r="AC57" t="s">
        <v>19</v>
      </c>
      <c r="AD57" t="s">
        <v>236</v>
      </c>
      <c r="AE57">
        <v>6.7277208717665743E-3</v>
      </c>
      <c r="AK57">
        <v>2028</v>
      </c>
      <c r="AL57" t="s">
        <v>230</v>
      </c>
      <c r="AM57">
        <v>0.42009999999999997</v>
      </c>
      <c r="AN57" t="s">
        <v>226</v>
      </c>
    </row>
    <row r="58" spans="9:40" x14ac:dyDescent="0.45">
      <c r="I58" t="s">
        <v>175</v>
      </c>
      <c r="J58" t="s">
        <v>237</v>
      </c>
      <c r="K58">
        <v>0</v>
      </c>
      <c r="L58" t="s">
        <v>166</v>
      </c>
      <c r="N58" t="s">
        <v>188</v>
      </c>
      <c r="O58" t="s">
        <v>237</v>
      </c>
      <c r="P58">
        <v>6.5169754088669719E-3</v>
      </c>
      <c r="Q58" t="s">
        <v>166</v>
      </c>
      <c r="S58" t="s">
        <v>202</v>
      </c>
      <c r="T58" t="s">
        <v>237</v>
      </c>
      <c r="U58">
        <v>7.0336372795957074E-3</v>
      </c>
      <c r="V58" t="s">
        <v>166</v>
      </c>
      <c r="AC58" t="s">
        <v>19</v>
      </c>
      <c r="AD58" t="s">
        <v>237</v>
      </c>
      <c r="AE58">
        <v>6.6898047322145925E-3</v>
      </c>
      <c r="AK58">
        <v>2028</v>
      </c>
      <c r="AL58" t="s">
        <v>232</v>
      </c>
      <c r="AM58">
        <v>0.4451</v>
      </c>
      <c r="AN58" t="s">
        <v>226</v>
      </c>
    </row>
    <row r="59" spans="9:40" x14ac:dyDescent="0.45">
      <c r="I59" t="s">
        <v>175</v>
      </c>
      <c r="J59" t="s">
        <v>169</v>
      </c>
      <c r="K59">
        <v>0</v>
      </c>
      <c r="L59" t="s">
        <v>166</v>
      </c>
      <c r="N59" t="s">
        <v>188</v>
      </c>
      <c r="O59" t="s">
        <v>169</v>
      </c>
      <c r="P59">
        <v>2.0427764332214101E-2</v>
      </c>
      <c r="Q59" t="s">
        <v>166</v>
      </c>
      <c r="S59" t="s">
        <v>202</v>
      </c>
      <c r="T59" t="s">
        <v>169</v>
      </c>
      <c r="U59">
        <v>1.7534122457829961E-2</v>
      </c>
      <c r="V59" t="s">
        <v>166</v>
      </c>
      <c r="AC59" t="s">
        <v>19</v>
      </c>
      <c r="AD59" t="s">
        <v>169</v>
      </c>
      <c r="AE59">
        <v>1.7575058628385584E-2</v>
      </c>
      <c r="AK59">
        <v>2028</v>
      </c>
      <c r="AL59" t="s">
        <v>234</v>
      </c>
      <c r="AM59">
        <v>0.53554999999999997</v>
      </c>
      <c r="AN59" t="s">
        <v>226</v>
      </c>
    </row>
    <row r="60" spans="9:40" x14ac:dyDescent="0.45">
      <c r="I60" t="s">
        <v>175</v>
      </c>
      <c r="J60" t="s">
        <v>170</v>
      </c>
      <c r="K60">
        <v>0</v>
      </c>
      <c r="L60" t="s">
        <v>166</v>
      </c>
      <c r="N60" t="s">
        <v>188</v>
      </c>
      <c r="O60" t="s">
        <v>170</v>
      </c>
      <c r="P60">
        <v>4.1689545788237223E-3</v>
      </c>
      <c r="Q60" t="s">
        <v>166</v>
      </c>
      <c r="S60" t="s">
        <v>202</v>
      </c>
      <c r="T60" t="s">
        <v>170</v>
      </c>
      <c r="U60">
        <v>3.8198117823948028E-3</v>
      </c>
      <c r="V60" t="s">
        <v>166</v>
      </c>
      <c r="AC60" t="s">
        <v>19</v>
      </c>
      <c r="AD60" t="s">
        <v>170</v>
      </c>
      <c r="AE60">
        <v>3.5456733297583149E-3</v>
      </c>
      <c r="AK60">
        <v>2029</v>
      </c>
      <c r="AL60" t="s">
        <v>155</v>
      </c>
      <c r="AM60">
        <v>0.56620000000000004</v>
      </c>
      <c r="AN60" t="s">
        <v>226</v>
      </c>
    </row>
    <row r="61" spans="9:40" x14ac:dyDescent="0.45">
      <c r="I61" t="s">
        <v>175</v>
      </c>
      <c r="J61" t="s">
        <v>171</v>
      </c>
      <c r="K61">
        <v>0.11086568763655634</v>
      </c>
      <c r="L61" t="s">
        <v>166</v>
      </c>
      <c r="N61" t="s">
        <v>188</v>
      </c>
      <c r="O61" t="s">
        <v>171</v>
      </c>
      <c r="P61">
        <v>6.142913382189908E-2</v>
      </c>
      <c r="Q61" t="s">
        <v>166</v>
      </c>
      <c r="S61" t="s">
        <v>202</v>
      </c>
      <c r="T61" t="s">
        <v>171</v>
      </c>
      <c r="U61">
        <v>4.7015866088517884E-2</v>
      </c>
      <c r="V61" t="s">
        <v>166</v>
      </c>
      <c r="AC61" t="s">
        <v>19</v>
      </c>
      <c r="AD61" t="s">
        <v>171</v>
      </c>
      <c r="AE61">
        <v>5.3340537340028998E-2</v>
      </c>
      <c r="AK61">
        <v>2029</v>
      </c>
      <c r="AL61" t="s">
        <v>159</v>
      </c>
      <c r="AM61">
        <v>0.56079999999999997</v>
      </c>
      <c r="AN61" t="s">
        <v>226</v>
      </c>
    </row>
    <row r="62" spans="9:40" x14ac:dyDescent="0.45">
      <c r="I62" t="s">
        <v>175</v>
      </c>
      <c r="J62" t="s">
        <v>238</v>
      </c>
      <c r="K62">
        <v>0</v>
      </c>
      <c r="L62" t="s">
        <v>166</v>
      </c>
      <c r="N62" t="s">
        <v>188</v>
      </c>
      <c r="O62" t="s">
        <v>238</v>
      </c>
      <c r="P62">
        <v>4.322736401955238E-3</v>
      </c>
      <c r="Q62" t="s">
        <v>166</v>
      </c>
      <c r="S62" t="s">
        <v>202</v>
      </c>
      <c r="T62" t="s">
        <v>238</v>
      </c>
      <c r="U62">
        <v>3.5718916431857566E-3</v>
      </c>
      <c r="V62" t="s">
        <v>166</v>
      </c>
      <c r="AC62" t="s">
        <v>19</v>
      </c>
      <c r="AD62" t="s">
        <v>238</v>
      </c>
      <c r="AE62">
        <v>3.543731056251513E-3</v>
      </c>
      <c r="AK62">
        <v>2029</v>
      </c>
      <c r="AL62" t="s">
        <v>161</v>
      </c>
      <c r="AM62">
        <v>0.45200000000000001</v>
      </c>
      <c r="AN62" t="s">
        <v>226</v>
      </c>
    </row>
    <row r="63" spans="9:40" x14ac:dyDescent="0.45">
      <c r="I63" t="s">
        <v>175</v>
      </c>
      <c r="J63" t="s">
        <v>239</v>
      </c>
      <c r="K63">
        <v>0</v>
      </c>
      <c r="L63" t="s">
        <v>166</v>
      </c>
      <c r="N63" t="s">
        <v>188</v>
      </c>
      <c r="O63" t="s">
        <v>239</v>
      </c>
      <c r="P63">
        <v>4.2517566041608687E-3</v>
      </c>
      <c r="Q63" t="s">
        <v>166</v>
      </c>
      <c r="S63" t="s">
        <v>202</v>
      </c>
      <c r="T63" t="s">
        <v>239</v>
      </c>
      <c r="U63">
        <v>3.4613607059632298E-3</v>
      </c>
      <c r="V63" t="s">
        <v>166</v>
      </c>
      <c r="AC63" t="s">
        <v>19</v>
      </c>
      <c r="AD63" t="s">
        <v>239</v>
      </c>
      <c r="AE63">
        <v>3.5327819519661674E-3</v>
      </c>
      <c r="AK63">
        <v>2029</v>
      </c>
      <c r="AL63" t="s">
        <v>228</v>
      </c>
      <c r="AM63">
        <v>0.41712500000000002</v>
      </c>
      <c r="AN63" t="s">
        <v>226</v>
      </c>
    </row>
    <row r="64" spans="9:40" x14ac:dyDescent="0.45">
      <c r="I64" t="s">
        <v>175</v>
      </c>
      <c r="J64" t="s">
        <v>240</v>
      </c>
      <c r="K64">
        <v>0</v>
      </c>
      <c r="L64" t="s">
        <v>166</v>
      </c>
      <c r="N64" t="s">
        <v>188</v>
      </c>
      <c r="O64" t="s">
        <v>240</v>
      </c>
      <c r="P64">
        <v>4.1185350350235956E-3</v>
      </c>
      <c r="Q64" t="s">
        <v>166</v>
      </c>
      <c r="S64" t="s">
        <v>202</v>
      </c>
      <c r="T64" t="s">
        <v>240</v>
      </c>
      <c r="U64">
        <v>3.6086481155801955E-3</v>
      </c>
      <c r="V64" t="s">
        <v>166</v>
      </c>
      <c r="AC64" t="s">
        <v>19</v>
      </c>
      <c r="AD64" t="s">
        <v>240</v>
      </c>
      <c r="AE64">
        <v>3.519516374691058E-3</v>
      </c>
      <c r="AK64">
        <v>2029</v>
      </c>
      <c r="AL64" t="s">
        <v>230</v>
      </c>
      <c r="AM64">
        <v>0.42609999999999998</v>
      </c>
      <c r="AN64" t="s">
        <v>226</v>
      </c>
    </row>
    <row r="65" spans="9:40" x14ac:dyDescent="0.45">
      <c r="I65" t="s">
        <v>175</v>
      </c>
      <c r="J65" t="s">
        <v>172</v>
      </c>
      <c r="K65">
        <v>0</v>
      </c>
      <c r="L65" t="s">
        <v>166</v>
      </c>
      <c r="N65" t="s">
        <v>188</v>
      </c>
      <c r="O65" t="s">
        <v>172</v>
      </c>
      <c r="P65">
        <v>1.9596551187815458E-2</v>
      </c>
      <c r="Q65" t="s">
        <v>166</v>
      </c>
      <c r="S65" t="s">
        <v>202</v>
      </c>
      <c r="T65" t="s">
        <v>172</v>
      </c>
      <c r="U65">
        <v>1.9588939312968939E-2</v>
      </c>
      <c r="V65" t="s">
        <v>166</v>
      </c>
      <c r="AC65" t="s">
        <v>19</v>
      </c>
      <c r="AD65" t="s">
        <v>172</v>
      </c>
      <c r="AE65">
        <v>1.7002388137382491E-2</v>
      </c>
      <c r="AK65">
        <v>2029</v>
      </c>
      <c r="AL65" t="s">
        <v>232</v>
      </c>
      <c r="AM65">
        <v>0.47710000000000002</v>
      </c>
      <c r="AN65" t="s">
        <v>226</v>
      </c>
    </row>
    <row r="66" spans="9:40" x14ac:dyDescent="0.45">
      <c r="I66" t="s">
        <v>175</v>
      </c>
      <c r="J66" t="s">
        <v>173</v>
      </c>
      <c r="K66">
        <v>6.3725004991658629E-4</v>
      </c>
      <c r="L66" t="s">
        <v>166</v>
      </c>
      <c r="N66" t="s">
        <v>188</v>
      </c>
      <c r="O66" t="s">
        <v>173</v>
      </c>
      <c r="P66">
        <v>3.6118539016176507E-3</v>
      </c>
      <c r="Q66" t="s">
        <v>166</v>
      </c>
      <c r="S66" t="s">
        <v>202</v>
      </c>
      <c r="T66" t="s">
        <v>173</v>
      </c>
      <c r="U66">
        <v>3.4494004803672148E-3</v>
      </c>
      <c r="V66" t="s">
        <v>166</v>
      </c>
      <c r="AC66" t="s">
        <v>19</v>
      </c>
      <c r="AD66" t="s">
        <v>173</v>
      </c>
      <c r="AE66">
        <v>3.4445762826618106E-3</v>
      </c>
      <c r="AK66">
        <v>2029</v>
      </c>
      <c r="AL66" t="s">
        <v>234</v>
      </c>
      <c r="AM66">
        <v>0.51305000000000001</v>
      </c>
      <c r="AN66" t="s">
        <v>226</v>
      </c>
    </row>
    <row r="67" spans="9:40" x14ac:dyDescent="0.45">
      <c r="I67" t="s">
        <v>175</v>
      </c>
      <c r="J67" t="s">
        <v>174</v>
      </c>
      <c r="K67">
        <v>0.13006767414794765</v>
      </c>
      <c r="L67" t="s">
        <v>166</v>
      </c>
      <c r="N67" t="s">
        <v>188</v>
      </c>
      <c r="O67" t="s">
        <v>174</v>
      </c>
      <c r="P67">
        <v>5.1869335236038934E-2</v>
      </c>
      <c r="Q67" t="s">
        <v>166</v>
      </c>
      <c r="S67" t="s">
        <v>202</v>
      </c>
      <c r="T67" t="s">
        <v>174</v>
      </c>
      <c r="U67">
        <v>5.0647538770702716E-2</v>
      </c>
      <c r="V67" t="s">
        <v>166</v>
      </c>
      <c r="AC67" t="s">
        <v>19</v>
      </c>
      <c r="AD67" t="s">
        <v>174</v>
      </c>
      <c r="AE67">
        <v>5.1584038148037706E-2</v>
      </c>
      <c r="AK67">
        <v>2030</v>
      </c>
      <c r="AL67" t="s">
        <v>155</v>
      </c>
      <c r="AM67">
        <v>0.54549999999999998</v>
      </c>
      <c r="AN67" t="s">
        <v>226</v>
      </c>
    </row>
    <row r="68" spans="9:40" x14ac:dyDescent="0.45">
      <c r="I68" t="s">
        <v>175</v>
      </c>
      <c r="J68" t="s">
        <v>241</v>
      </c>
      <c r="K68">
        <v>0</v>
      </c>
      <c r="L68" t="s">
        <v>166</v>
      </c>
      <c r="N68" t="s">
        <v>188</v>
      </c>
      <c r="O68" t="s">
        <v>241</v>
      </c>
      <c r="P68">
        <v>4.2001844544840398E-3</v>
      </c>
      <c r="Q68" t="s">
        <v>166</v>
      </c>
      <c r="S68" t="s">
        <v>202</v>
      </c>
      <c r="T68" t="s">
        <v>241</v>
      </c>
      <c r="U68">
        <v>4.3262374465265607E-3</v>
      </c>
      <c r="V68" t="s">
        <v>166</v>
      </c>
      <c r="AC68" t="s">
        <v>19</v>
      </c>
      <c r="AD68" t="s">
        <v>241</v>
      </c>
      <c r="AE68">
        <v>3.4090842155846211E-3</v>
      </c>
      <c r="AK68">
        <v>2030</v>
      </c>
      <c r="AL68" t="s">
        <v>159</v>
      </c>
      <c r="AM68">
        <v>0.50770000000000004</v>
      </c>
      <c r="AN68" t="s">
        <v>226</v>
      </c>
    </row>
    <row r="69" spans="9:40" x14ac:dyDescent="0.45">
      <c r="I69" t="s">
        <v>175</v>
      </c>
      <c r="J69" t="s">
        <v>242</v>
      </c>
      <c r="K69">
        <v>0</v>
      </c>
      <c r="L69" t="s">
        <v>166</v>
      </c>
      <c r="N69" t="s">
        <v>188</v>
      </c>
      <c r="O69" t="s">
        <v>242</v>
      </c>
      <c r="P69">
        <v>4.2465646667996697E-3</v>
      </c>
      <c r="Q69" t="s">
        <v>166</v>
      </c>
      <c r="S69" t="s">
        <v>202</v>
      </c>
      <c r="T69" t="s">
        <v>242</v>
      </c>
      <c r="U69">
        <v>4.2747841763589754E-3</v>
      </c>
      <c r="V69" t="s">
        <v>166</v>
      </c>
      <c r="AC69" t="s">
        <v>19</v>
      </c>
      <c r="AD69" t="s">
        <v>242</v>
      </c>
      <c r="AE69">
        <v>3.4007236670632809E-3</v>
      </c>
      <c r="AK69">
        <v>2030</v>
      </c>
      <c r="AL69" t="s">
        <v>161</v>
      </c>
      <c r="AM69">
        <v>0.4748</v>
      </c>
      <c r="AN69" t="s">
        <v>226</v>
      </c>
    </row>
    <row r="70" spans="9:40" x14ac:dyDescent="0.45">
      <c r="I70" t="s">
        <v>175</v>
      </c>
      <c r="J70" t="s">
        <v>243</v>
      </c>
      <c r="K70">
        <v>0</v>
      </c>
      <c r="L70" t="s">
        <v>166</v>
      </c>
      <c r="N70" t="s">
        <v>188</v>
      </c>
      <c r="O70" t="s">
        <v>243</v>
      </c>
      <c r="P70">
        <v>4.2839972842637457E-3</v>
      </c>
      <c r="Q70" t="s">
        <v>166</v>
      </c>
      <c r="S70" t="s">
        <v>202</v>
      </c>
      <c r="T70" t="s">
        <v>243</v>
      </c>
      <c r="U70">
        <v>4.4123216074926138E-3</v>
      </c>
      <c r="V70" t="s">
        <v>166</v>
      </c>
      <c r="AC70" t="s">
        <v>19</v>
      </c>
      <c r="AD70" t="s">
        <v>243</v>
      </c>
      <c r="AE70">
        <v>3.393393195140643E-3</v>
      </c>
      <c r="AK70">
        <v>2030</v>
      </c>
      <c r="AL70" t="s">
        <v>228</v>
      </c>
      <c r="AM70">
        <v>0.3851</v>
      </c>
      <c r="AN70" t="s">
        <v>226</v>
      </c>
    </row>
    <row r="71" spans="9:40" x14ac:dyDescent="0.45">
      <c r="I71" t="s">
        <v>175</v>
      </c>
      <c r="J71" t="s">
        <v>244</v>
      </c>
      <c r="K71">
        <v>3.2424609318482726E-3</v>
      </c>
      <c r="L71" t="s">
        <v>166</v>
      </c>
      <c r="N71" t="s">
        <v>188</v>
      </c>
      <c r="O71" t="s">
        <v>244</v>
      </c>
      <c r="P71">
        <v>5.5653763397862807E-2</v>
      </c>
      <c r="Q71" t="s">
        <v>166</v>
      </c>
      <c r="S71" t="s">
        <v>202</v>
      </c>
      <c r="T71" t="s">
        <v>244</v>
      </c>
      <c r="U71">
        <v>5.6467218652046583E-2</v>
      </c>
      <c r="V71" t="s">
        <v>166</v>
      </c>
      <c r="AC71" t="s">
        <v>19</v>
      </c>
      <c r="AD71" t="s">
        <v>244</v>
      </c>
      <c r="AE71">
        <v>6.9046622651915482E-2</v>
      </c>
      <c r="AK71">
        <v>2030</v>
      </c>
      <c r="AL71" t="s">
        <v>230</v>
      </c>
      <c r="AM71">
        <v>0.43049999999999999</v>
      </c>
      <c r="AN71" t="s">
        <v>226</v>
      </c>
    </row>
    <row r="72" spans="9:40" x14ac:dyDescent="0.45">
      <c r="I72" t="s">
        <v>175</v>
      </c>
      <c r="J72" t="s">
        <v>245</v>
      </c>
      <c r="K72">
        <v>1.261017863875068E-2</v>
      </c>
      <c r="L72" t="s">
        <v>166</v>
      </c>
      <c r="N72" t="s">
        <v>188</v>
      </c>
      <c r="O72" t="s">
        <v>245</v>
      </c>
      <c r="P72">
        <v>1.0231904320909341E-2</v>
      </c>
      <c r="Q72" t="s">
        <v>166</v>
      </c>
      <c r="S72" t="s">
        <v>202</v>
      </c>
      <c r="T72" t="s">
        <v>245</v>
      </c>
      <c r="U72">
        <v>9.9246892883180383E-3</v>
      </c>
      <c r="V72" t="s">
        <v>166</v>
      </c>
      <c r="AC72" t="s">
        <v>19</v>
      </c>
      <c r="AD72" t="s">
        <v>245</v>
      </c>
      <c r="AE72">
        <v>1.3921096819388542E-2</v>
      </c>
      <c r="AK72">
        <v>2030</v>
      </c>
      <c r="AL72" t="s">
        <v>232</v>
      </c>
      <c r="AM72">
        <v>0.46060000000000001</v>
      </c>
      <c r="AN72" t="s">
        <v>226</v>
      </c>
    </row>
    <row r="73" spans="9:40" x14ac:dyDescent="0.45">
      <c r="I73" t="s">
        <v>175</v>
      </c>
      <c r="J73" t="s">
        <v>246</v>
      </c>
      <c r="K73">
        <v>0.53687920847054793</v>
      </c>
      <c r="L73" t="s">
        <v>166</v>
      </c>
      <c r="N73" t="s">
        <v>188</v>
      </c>
      <c r="O73" t="s">
        <v>246</v>
      </c>
      <c r="P73">
        <v>0.15723830572856634</v>
      </c>
      <c r="Q73" t="s">
        <v>166</v>
      </c>
      <c r="S73" t="s">
        <v>202</v>
      </c>
      <c r="T73" t="s">
        <v>246</v>
      </c>
      <c r="U73">
        <v>0.14087772818469971</v>
      </c>
      <c r="V73" t="s">
        <v>166</v>
      </c>
      <c r="AC73" t="s">
        <v>19</v>
      </c>
      <c r="AD73" t="s">
        <v>246</v>
      </c>
      <c r="AE73">
        <v>0.21191929452848374</v>
      </c>
      <c r="AK73">
        <v>2030</v>
      </c>
      <c r="AL73" t="s">
        <v>234</v>
      </c>
      <c r="AM73">
        <v>0.502</v>
      </c>
      <c r="AN73" t="s">
        <v>226</v>
      </c>
    </row>
    <row r="74" spans="9:40" x14ac:dyDescent="0.45">
      <c r="I74" t="s">
        <v>175</v>
      </c>
      <c r="J74" t="s">
        <v>247</v>
      </c>
      <c r="K74">
        <v>2.591852611209474E-3</v>
      </c>
      <c r="L74" t="s">
        <v>166</v>
      </c>
      <c r="N74" t="s">
        <v>188</v>
      </c>
      <c r="O74" t="s">
        <v>247</v>
      </c>
      <c r="P74">
        <v>1.1272518243989222E-2</v>
      </c>
      <c r="Q74" t="s">
        <v>166</v>
      </c>
      <c r="S74" t="s">
        <v>202</v>
      </c>
      <c r="T74" t="s">
        <v>247</v>
      </c>
      <c r="U74">
        <v>1.0619405954372064E-2</v>
      </c>
      <c r="V74" t="s">
        <v>166</v>
      </c>
      <c r="AC74" t="s">
        <v>19</v>
      </c>
      <c r="AD74" t="s">
        <v>247</v>
      </c>
      <c r="AE74">
        <v>1.401685213689855E-2</v>
      </c>
      <c r="AK74">
        <v>2031</v>
      </c>
      <c r="AL74" t="s">
        <v>155</v>
      </c>
      <c r="AM74">
        <v>0.48139999999999999</v>
      </c>
      <c r="AN74" t="s">
        <v>226</v>
      </c>
    </row>
    <row r="75" spans="9:40" x14ac:dyDescent="0.45">
      <c r="I75" t="s">
        <v>175</v>
      </c>
      <c r="J75" t="s">
        <v>248</v>
      </c>
      <c r="K75">
        <v>0</v>
      </c>
      <c r="L75" t="s">
        <v>166</v>
      </c>
      <c r="N75" t="s">
        <v>188</v>
      </c>
      <c r="O75" t="s">
        <v>248</v>
      </c>
      <c r="P75">
        <v>1.1591162959828642E-2</v>
      </c>
      <c r="Q75" t="s">
        <v>166</v>
      </c>
      <c r="S75" t="s">
        <v>202</v>
      </c>
      <c r="T75" t="s">
        <v>248</v>
      </c>
      <c r="U75">
        <v>1.0768055277495329E-2</v>
      </c>
      <c r="V75" t="s">
        <v>166</v>
      </c>
      <c r="AC75" t="s">
        <v>19</v>
      </c>
      <c r="AD75" t="s">
        <v>248</v>
      </c>
      <c r="AE75">
        <v>1.3901454773268238E-2</v>
      </c>
      <c r="AK75">
        <v>2031</v>
      </c>
      <c r="AL75" t="s">
        <v>159</v>
      </c>
      <c r="AM75">
        <v>0.45200000000000001</v>
      </c>
      <c r="AN75" t="s">
        <v>226</v>
      </c>
    </row>
    <row r="76" spans="9:40" x14ac:dyDescent="0.45">
      <c r="I76" t="s">
        <v>175</v>
      </c>
      <c r="J76" t="s">
        <v>249</v>
      </c>
      <c r="K76">
        <v>0</v>
      </c>
      <c r="L76" t="s">
        <v>166</v>
      </c>
      <c r="N76" t="s">
        <v>188</v>
      </c>
      <c r="O76" t="s">
        <v>249</v>
      </c>
      <c r="P76">
        <v>1.1803685826312645E-2</v>
      </c>
      <c r="Q76" t="s">
        <v>166</v>
      </c>
      <c r="S76" t="s">
        <v>202</v>
      </c>
      <c r="T76" t="s">
        <v>249</v>
      </c>
      <c r="U76">
        <v>1.1532752108619343E-2</v>
      </c>
      <c r="V76" t="s">
        <v>166</v>
      </c>
      <c r="AC76" t="s">
        <v>19</v>
      </c>
      <c r="AD76" t="s">
        <v>249</v>
      </c>
      <c r="AE76">
        <v>1.3851225003477472E-2</v>
      </c>
      <c r="AK76">
        <v>2031</v>
      </c>
      <c r="AL76" t="s">
        <v>161</v>
      </c>
      <c r="AM76">
        <v>0.39960000000000001</v>
      </c>
      <c r="AN76" t="s">
        <v>226</v>
      </c>
    </row>
    <row r="77" spans="9:40" x14ac:dyDescent="0.45">
      <c r="I77" t="s">
        <v>175</v>
      </c>
      <c r="J77" t="s">
        <v>250</v>
      </c>
      <c r="K77">
        <v>0</v>
      </c>
      <c r="L77" t="s">
        <v>166</v>
      </c>
      <c r="N77" t="s">
        <v>188</v>
      </c>
      <c r="O77" t="s">
        <v>250</v>
      </c>
      <c r="P77">
        <v>1.2182760996771305E-2</v>
      </c>
      <c r="Q77" t="s">
        <v>166</v>
      </c>
      <c r="S77" t="s">
        <v>202</v>
      </c>
      <c r="T77" t="s">
        <v>250</v>
      </c>
      <c r="U77">
        <v>1.8426375735085234E-2</v>
      </c>
      <c r="V77" t="s">
        <v>166</v>
      </c>
      <c r="AC77" t="s">
        <v>19</v>
      </c>
      <c r="AD77" t="s">
        <v>250</v>
      </c>
      <c r="AE77">
        <v>1.6886219586997226E-2</v>
      </c>
      <c r="AK77">
        <v>2031</v>
      </c>
      <c r="AL77" t="s">
        <v>228</v>
      </c>
      <c r="AM77">
        <v>0.34494999999999998</v>
      </c>
      <c r="AN77" t="s">
        <v>226</v>
      </c>
    </row>
    <row r="78" spans="9:40" x14ac:dyDescent="0.45">
      <c r="I78" t="s">
        <v>175</v>
      </c>
      <c r="J78" t="s">
        <v>251</v>
      </c>
      <c r="K78">
        <v>0</v>
      </c>
      <c r="L78" t="s">
        <v>166</v>
      </c>
      <c r="N78" t="s">
        <v>188</v>
      </c>
      <c r="O78" t="s">
        <v>251</v>
      </c>
      <c r="P78">
        <v>2.2976162034356977E-3</v>
      </c>
      <c r="Q78" t="s">
        <v>166</v>
      </c>
      <c r="S78" t="s">
        <v>202</v>
      </c>
      <c r="T78" t="s">
        <v>251</v>
      </c>
      <c r="U78">
        <v>3.8027428543861586E-3</v>
      </c>
      <c r="V78" t="s">
        <v>166</v>
      </c>
      <c r="AC78" t="s">
        <v>19</v>
      </c>
      <c r="AD78" t="s">
        <v>251</v>
      </c>
      <c r="AE78">
        <v>3.4021331175150848E-3</v>
      </c>
      <c r="AK78">
        <v>2031</v>
      </c>
      <c r="AL78" t="s">
        <v>230</v>
      </c>
      <c r="AM78">
        <v>0.34289999999999998</v>
      </c>
      <c r="AN78" t="s">
        <v>226</v>
      </c>
    </row>
    <row r="79" spans="9:40" x14ac:dyDescent="0.45">
      <c r="I79" t="s">
        <v>175</v>
      </c>
      <c r="J79" t="s">
        <v>252</v>
      </c>
      <c r="K79">
        <v>8.6799995242692593E-2</v>
      </c>
      <c r="L79" t="s">
        <v>166</v>
      </c>
      <c r="N79" t="s">
        <v>188</v>
      </c>
      <c r="O79" t="s">
        <v>252</v>
      </c>
      <c r="P79">
        <v>3.7194056759621973E-2</v>
      </c>
      <c r="Q79" t="s">
        <v>166</v>
      </c>
      <c r="S79" t="s">
        <v>202</v>
      </c>
      <c r="T79" t="s">
        <v>252</v>
      </c>
      <c r="U79">
        <v>5.4520337139459245E-2</v>
      </c>
      <c r="V79" t="s">
        <v>166</v>
      </c>
      <c r="AC79" t="s">
        <v>19</v>
      </c>
      <c r="AD79" t="s">
        <v>252</v>
      </c>
      <c r="AE79">
        <v>5.1637942919985087E-2</v>
      </c>
      <c r="AK79">
        <v>2031</v>
      </c>
      <c r="AL79" t="s">
        <v>232</v>
      </c>
      <c r="AM79">
        <v>0.34589999999999999</v>
      </c>
      <c r="AN79" t="s">
        <v>226</v>
      </c>
    </row>
    <row r="80" spans="9:40" x14ac:dyDescent="0.45">
      <c r="I80" t="s">
        <v>175</v>
      </c>
      <c r="J80" t="s">
        <v>253</v>
      </c>
      <c r="K80">
        <v>0</v>
      </c>
      <c r="L80" t="s">
        <v>166</v>
      </c>
      <c r="N80" t="s">
        <v>188</v>
      </c>
      <c r="O80" t="s">
        <v>253</v>
      </c>
      <c r="P80">
        <v>2.6876161398136094E-3</v>
      </c>
      <c r="Q80" t="s">
        <v>166</v>
      </c>
      <c r="S80" t="s">
        <v>202</v>
      </c>
      <c r="T80" t="s">
        <v>253</v>
      </c>
      <c r="U80">
        <v>3.599782226258611E-3</v>
      </c>
      <c r="V80" t="s">
        <v>166</v>
      </c>
      <c r="AC80" t="s">
        <v>19</v>
      </c>
      <c r="AD80" t="s">
        <v>253</v>
      </c>
      <c r="AE80">
        <v>3.4196841698212574E-3</v>
      </c>
      <c r="AK80">
        <v>2031</v>
      </c>
      <c r="AL80" t="s">
        <v>234</v>
      </c>
      <c r="AM80">
        <v>0.44384999999999997</v>
      </c>
      <c r="AN80" t="s">
        <v>226</v>
      </c>
    </row>
    <row r="81" spans="9:40" x14ac:dyDescent="0.45">
      <c r="I81" t="s">
        <v>175</v>
      </c>
      <c r="J81" t="s">
        <v>254</v>
      </c>
      <c r="K81">
        <v>0</v>
      </c>
      <c r="L81" t="s">
        <v>166</v>
      </c>
      <c r="N81" t="s">
        <v>188</v>
      </c>
      <c r="O81" t="s">
        <v>254</v>
      </c>
      <c r="P81">
        <v>2.6358394711858699E-3</v>
      </c>
      <c r="Q81" t="s">
        <v>166</v>
      </c>
      <c r="S81" t="s">
        <v>202</v>
      </c>
      <c r="T81" t="s">
        <v>254</v>
      </c>
      <c r="U81">
        <v>3.5853008924218587E-3</v>
      </c>
      <c r="V81" t="s">
        <v>166</v>
      </c>
      <c r="AC81" t="s">
        <v>19</v>
      </c>
      <c r="AD81" t="s">
        <v>254</v>
      </c>
      <c r="AE81">
        <v>3.3967606820811324E-3</v>
      </c>
      <c r="AK81">
        <v>2032</v>
      </c>
      <c r="AL81" t="s">
        <v>155</v>
      </c>
      <c r="AM81">
        <v>0.45750000000000002</v>
      </c>
      <c r="AN81" t="s">
        <v>226</v>
      </c>
    </row>
    <row r="82" spans="9:40" x14ac:dyDescent="0.45">
      <c r="I82" t="s">
        <v>175</v>
      </c>
      <c r="J82" t="s">
        <v>255</v>
      </c>
      <c r="K82">
        <v>0</v>
      </c>
      <c r="L82" t="s">
        <v>166</v>
      </c>
      <c r="N82" t="s">
        <v>188</v>
      </c>
      <c r="O82" t="s">
        <v>255</v>
      </c>
      <c r="P82">
        <v>2.7012429611435245E-3</v>
      </c>
      <c r="Q82" t="s">
        <v>166</v>
      </c>
      <c r="S82" t="s">
        <v>202</v>
      </c>
      <c r="T82" t="s">
        <v>255</v>
      </c>
      <c r="U82">
        <v>3.8244669251349117E-3</v>
      </c>
      <c r="V82" t="s">
        <v>166</v>
      </c>
      <c r="AC82" t="s">
        <v>19</v>
      </c>
      <c r="AD82" t="s">
        <v>255</v>
      </c>
      <c r="AE82">
        <v>3.3855148225281637E-3</v>
      </c>
      <c r="AK82">
        <v>2032</v>
      </c>
      <c r="AL82" t="s">
        <v>159</v>
      </c>
      <c r="AM82">
        <v>0.42220000000000002</v>
      </c>
      <c r="AN82" t="s">
        <v>226</v>
      </c>
    </row>
    <row r="83" spans="9:40" x14ac:dyDescent="0.45">
      <c r="I83" t="s">
        <v>175</v>
      </c>
      <c r="J83" t="s">
        <v>256</v>
      </c>
      <c r="K83">
        <v>0</v>
      </c>
      <c r="L83" t="s">
        <v>166</v>
      </c>
      <c r="N83" t="s">
        <v>188</v>
      </c>
      <c r="O83" t="s">
        <v>256</v>
      </c>
      <c r="P83">
        <v>2.4016194287590747E-2</v>
      </c>
      <c r="Q83" t="s">
        <v>166</v>
      </c>
      <c r="S83" t="s">
        <v>202</v>
      </c>
      <c r="T83" t="s">
        <v>256</v>
      </c>
      <c r="U83">
        <v>2.2093543667942594E-2</v>
      </c>
      <c r="V83" t="s">
        <v>166</v>
      </c>
      <c r="AC83" t="s">
        <v>19</v>
      </c>
      <c r="AD83" t="s">
        <v>256</v>
      </c>
      <c r="AE83">
        <v>1.7477194883546154E-2</v>
      </c>
      <c r="AK83">
        <v>2032</v>
      </c>
      <c r="AL83" t="s">
        <v>161</v>
      </c>
      <c r="AM83">
        <v>0.40079999999999999</v>
      </c>
      <c r="AN83" t="s">
        <v>226</v>
      </c>
    </row>
    <row r="84" spans="9:40" x14ac:dyDescent="0.45">
      <c r="I84" t="s">
        <v>175</v>
      </c>
      <c r="J84" t="s">
        <v>257</v>
      </c>
      <c r="K84">
        <v>0</v>
      </c>
      <c r="L84" t="s">
        <v>166</v>
      </c>
      <c r="N84" t="s">
        <v>188</v>
      </c>
      <c r="O84" t="s">
        <v>257</v>
      </c>
      <c r="P84">
        <v>4.7258510092210602E-3</v>
      </c>
      <c r="Q84" t="s">
        <v>166</v>
      </c>
      <c r="S84" t="s">
        <v>202</v>
      </c>
      <c r="T84" t="s">
        <v>257</v>
      </c>
      <c r="U84">
        <v>4.3730716312902597E-3</v>
      </c>
      <c r="V84" t="s">
        <v>166</v>
      </c>
      <c r="AC84" t="s">
        <v>19</v>
      </c>
      <c r="AD84" t="s">
        <v>257</v>
      </c>
      <c r="AE84">
        <v>3.5278543838616729E-3</v>
      </c>
      <c r="AK84">
        <v>2032</v>
      </c>
      <c r="AL84" t="s">
        <v>228</v>
      </c>
      <c r="AM84">
        <v>0.36449999999999999</v>
      </c>
      <c r="AN84" t="s">
        <v>226</v>
      </c>
    </row>
    <row r="85" spans="9:40" x14ac:dyDescent="0.45">
      <c r="I85" t="s">
        <v>175</v>
      </c>
      <c r="J85" t="s">
        <v>258</v>
      </c>
      <c r="K85">
        <v>4.3852178391601528E-2</v>
      </c>
      <c r="L85" t="s">
        <v>166</v>
      </c>
      <c r="N85" t="s">
        <v>188</v>
      </c>
      <c r="O85" t="s">
        <v>258</v>
      </c>
      <c r="P85">
        <v>6.6410684987888768E-2</v>
      </c>
      <c r="Q85" t="s">
        <v>166</v>
      </c>
      <c r="S85" t="s">
        <v>202</v>
      </c>
      <c r="T85" t="s">
        <v>258</v>
      </c>
      <c r="U85">
        <v>5.4388383483045581E-2</v>
      </c>
      <c r="V85" t="s">
        <v>166</v>
      </c>
      <c r="AC85" t="s">
        <v>19</v>
      </c>
      <c r="AD85" t="s">
        <v>258</v>
      </c>
      <c r="AE85">
        <v>5.334236426106239E-2</v>
      </c>
      <c r="AK85">
        <v>2032</v>
      </c>
      <c r="AL85" t="s">
        <v>230</v>
      </c>
      <c r="AM85">
        <v>0.35360000000000003</v>
      </c>
      <c r="AN85" t="s">
        <v>226</v>
      </c>
    </row>
    <row r="86" spans="9:40" x14ac:dyDescent="0.45">
      <c r="I86" t="s">
        <v>175</v>
      </c>
      <c r="J86" t="s">
        <v>259</v>
      </c>
      <c r="K86">
        <v>0</v>
      </c>
      <c r="L86" t="s">
        <v>166</v>
      </c>
      <c r="N86" t="s">
        <v>188</v>
      </c>
      <c r="O86" t="s">
        <v>259</v>
      </c>
      <c r="P86">
        <v>4.9900463808630223E-3</v>
      </c>
      <c r="Q86" t="s">
        <v>166</v>
      </c>
      <c r="S86" t="s">
        <v>202</v>
      </c>
      <c r="T86" t="s">
        <v>259</v>
      </c>
      <c r="U86">
        <v>4.0382127135904812E-3</v>
      </c>
      <c r="V86" t="s">
        <v>166</v>
      </c>
      <c r="AC86" t="s">
        <v>19</v>
      </c>
      <c r="AD86" t="s">
        <v>259</v>
      </c>
      <c r="AE86">
        <v>3.5367309987029221E-3</v>
      </c>
      <c r="AK86">
        <v>2032</v>
      </c>
      <c r="AL86" t="s">
        <v>232</v>
      </c>
      <c r="AM86">
        <v>0.36649999999999999</v>
      </c>
      <c r="AN86" t="s">
        <v>226</v>
      </c>
    </row>
    <row r="87" spans="9:40" x14ac:dyDescent="0.45">
      <c r="I87" t="s">
        <v>175</v>
      </c>
      <c r="J87" t="s">
        <v>260</v>
      </c>
      <c r="K87">
        <v>0</v>
      </c>
      <c r="L87" t="s">
        <v>166</v>
      </c>
      <c r="N87" t="s">
        <v>188</v>
      </c>
      <c r="O87" t="s">
        <v>260</v>
      </c>
      <c r="P87">
        <v>5.0392484802859218E-3</v>
      </c>
      <c r="Q87" t="s">
        <v>166</v>
      </c>
      <c r="S87" t="s">
        <v>202</v>
      </c>
      <c r="T87" t="s">
        <v>260</v>
      </c>
      <c r="U87">
        <v>4.073510523566996E-3</v>
      </c>
      <c r="V87" t="s">
        <v>166</v>
      </c>
      <c r="AC87" t="s">
        <v>19</v>
      </c>
      <c r="AD87" t="s">
        <v>260</v>
      </c>
      <c r="AE87">
        <v>3.5114087963284261E-3</v>
      </c>
      <c r="AK87">
        <v>2032</v>
      </c>
      <c r="AL87" t="s">
        <v>234</v>
      </c>
      <c r="AM87">
        <v>0.45369999999999999</v>
      </c>
      <c r="AN87" t="s">
        <v>226</v>
      </c>
    </row>
    <row r="88" spans="9:40" x14ac:dyDescent="0.45">
      <c r="I88" t="s">
        <v>175</v>
      </c>
      <c r="J88" t="s">
        <v>261</v>
      </c>
      <c r="K88">
        <v>0</v>
      </c>
      <c r="L88" t="s">
        <v>166</v>
      </c>
      <c r="N88" t="s">
        <v>188</v>
      </c>
      <c r="O88" t="s">
        <v>261</v>
      </c>
      <c r="P88">
        <v>5.0984195756873778E-3</v>
      </c>
      <c r="Q88" t="s">
        <v>166</v>
      </c>
      <c r="S88" t="s">
        <v>202</v>
      </c>
      <c r="T88" t="s">
        <v>261</v>
      </c>
      <c r="U88">
        <v>4.3898290471945916E-3</v>
      </c>
      <c r="V88" t="s">
        <v>166</v>
      </c>
      <c r="AC88" t="s">
        <v>19</v>
      </c>
      <c r="AD88" t="s">
        <v>261</v>
      </c>
      <c r="AE88">
        <v>3.5000964581127329E-3</v>
      </c>
      <c r="AK88">
        <v>2033</v>
      </c>
      <c r="AL88" t="s">
        <v>155</v>
      </c>
      <c r="AM88">
        <v>0.45665</v>
      </c>
      <c r="AN88" t="s">
        <v>226</v>
      </c>
    </row>
    <row r="89" spans="9:40" x14ac:dyDescent="0.45">
      <c r="I89" t="s">
        <v>175</v>
      </c>
      <c r="J89" t="s">
        <v>262</v>
      </c>
      <c r="K89">
        <v>0</v>
      </c>
      <c r="L89" t="s">
        <v>166</v>
      </c>
      <c r="N89" t="s">
        <v>188</v>
      </c>
      <c r="O89" t="s">
        <v>262</v>
      </c>
      <c r="P89">
        <v>4.7552148286888404E-2</v>
      </c>
      <c r="Q89" t="s">
        <v>166</v>
      </c>
      <c r="S89" t="s">
        <v>202</v>
      </c>
      <c r="T89" t="s">
        <v>262</v>
      </c>
      <c r="U89">
        <v>5.2496197677927056E-2</v>
      </c>
      <c r="V89" t="s">
        <v>166</v>
      </c>
      <c r="AC89" t="s">
        <v>19</v>
      </c>
      <c r="AD89" t="s">
        <v>262</v>
      </c>
      <c r="AE89">
        <v>3.4471787798045599E-2</v>
      </c>
      <c r="AK89">
        <v>2033</v>
      </c>
      <c r="AL89" t="s">
        <v>159</v>
      </c>
      <c r="AM89">
        <v>0.45900000000000002</v>
      </c>
      <c r="AN89" t="s">
        <v>226</v>
      </c>
    </row>
    <row r="90" spans="9:40" x14ac:dyDescent="0.45">
      <c r="I90" t="s">
        <v>175</v>
      </c>
      <c r="J90" t="s">
        <v>263</v>
      </c>
      <c r="K90">
        <v>0</v>
      </c>
      <c r="L90" t="s">
        <v>166</v>
      </c>
      <c r="N90" t="s">
        <v>188</v>
      </c>
      <c r="O90" t="s">
        <v>263</v>
      </c>
      <c r="P90">
        <v>9.1312215625769088E-3</v>
      </c>
      <c r="Q90" t="s">
        <v>166</v>
      </c>
      <c r="S90" t="s">
        <v>202</v>
      </c>
      <c r="T90" t="s">
        <v>263</v>
      </c>
      <c r="U90">
        <v>1.052270362243699E-2</v>
      </c>
      <c r="V90" t="s">
        <v>166</v>
      </c>
      <c r="AC90" t="s">
        <v>19</v>
      </c>
      <c r="AD90" t="s">
        <v>263</v>
      </c>
      <c r="AE90">
        <v>6.9561377571767148E-3</v>
      </c>
      <c r="AK90">
        <v>2033</v>
      </c>
      <c r="AL90" t="s">
        <v>161</v>
      </c>
      <c r="AM90">
        <v>0.43609999999999999</v>
      </c>
      <c r="AN90" t="s">
        <v>226</v>
      </c>
    </row>
    <row r="91" spans="9:40" x14ac:dyDescent="0.45">
      <c r="I91" t="s">
        <v>175</v>
      </c>
      <c r="J91" t="s">
        <v>264</v>
      </c>
      <c r="K91">
        <v>2.4539043625442243E-2</v>
      </c>
      <c r="L91" t="s">
        <v>166</v>
      </c>
      <c r="N91" t="s">
        <v>188</v>
      </c>
      <c r="O91" t="s">
        <v>264</v>
      </c>
      <c r="P91">
        <v>0.14477560930474512</v>
      </c>
      <c r="Q91" t="s">
        <v>166</v>
      </c>
      <c r="S91" t="s">
        <v>202</v>
      </c>
      <c r="T91" t="s">
        <v>264</v>
      </c>
      <c r="U91">
        <v>0.14939318508244939</v>
      </c>
      <c r="V91" t="s">
        <v>166</v>
      </c>
      <c r="AC91" t="s">
        <v>19</v>
      </c>
      <c r="AD91" t="s">
        <v>264</v>
      </c>
      <c r="AE91">
        <v>0.10494266063988673</v>
      </c>
      <c r="AK91">
        <v>2033</v>
      </c>
      <c r="AL91" t="s">
        <v>228</v>
      </c>
      <c r="AM91">
        <v>0.36609999999999998</v>
      </c>
      <c r="AN91" t="s">
        <v>226</v>
      </c>
    </row>
    <row r="92" spans="9:40" x14ac:dyDescent="0.45">
      <c r="I92" t="s">
        <v>175</v>
      </c>
      <c r="J92" t="s">
        <v>265</v>
      </c>
      <c r="K92">
        <v>0</v>
      </c>
      <c r="L92" t="s">
        <v>166</v>
      </c>
      <c r="N92" t="s">
        <v>188</v>
      </c>
      <c r="O92" t="s">
        <v>265</v>
      </c>
      <c r="P92">
        <v>9.8768868541522954E-3</v>
      </c>
      <c r="Q92" t="s">
        <v>166</v>
      </c>
      <c r="S92" t="s">
        <v>202</v>
      </c>
      <c r="T92" t="s">
        <v>265</v>
      </c>
      <c r="U92">
        <v>1.0508185483792197E-2</v>
      </c>
      <c r="V92" t="s">
        <v>166</v>
      </c>
      <c r="AC92" t="s">
        <v>19</v>
      </c>
      <c r="AD92" t="s">
        <v>265</v>
      </c>
      <c r="AE92">
        <v>6.9633791339843614E-3</v>
      </c>
      <c r="AK92">
        <v>2033</v>
      </c>
      <c r="AL92" t="s">
        <v>230</v>
      </c>
      <c r="AM92">
        <v>0.32029999999999997</v>
      </c>
      <c r="AN92" t="s">
        <v>226</v>
      </c>
    </row>
    <row r="93" spans="9:40" x14ac:dyDescent="0.45">
      <c r="I93" t="s">
        <v>175</v>
      </c>
      <c r="J93" t="s">
        <v>266</v>
      </c>
      <c r="K93">
        <v>0</v>
      </c>
      <c r="L93" t="s">
        <v>166</v>
      </c>
      <c r="N93" t="s">
        <v>188</v>
      </c>
      <c r="O93" t="s">
        <v>266</v>
      </c>
      <c r="P93">
        <v>9.8134330129659858E-3</v>
      </c>
      <c r="Q93" t="s">
        <v>166</v>
      </c>
      <c r="S93" t="s">
        <v>202</v>
      </c>
      <c r="T93" t="s">
        <v>266</v>
      </c>
      <c r="U93">
        <v>1.0399857091417546E-2</v>
      </c>
      <c r="V93" t="s">
        <v>166</v>
      </c>
      <c r="AC93" t="s">
        <v>19</v>
      </c>
      <c r="AD93" t="s">
        <v>266</v>
      </c>
      <c r="AE93">
        <v>6.9370686611805047E-3</v>
      </c>
      <c r="AK93">
        <v>2033</v>
      </c>
      <c r="AL93" t="s">
        <v>232</v>
      </c>
      <c r="AM93">
        <v>0.33910000000000001</v>
      </c>
      <c r="AN93" t="s">
        <v>226</v>
      </c>
    </row>
    <row r="94" spans="9:40" x14ac:dyDescent="0.45">
      <c r="I94" t="s">
        <v>175</v>
      </c>
      <c r="J94" t="s">
        <v>267</v>
      </c>
      <c r="K94">
        <v>0</v>
      </c>
      <c r="L94" t="s">
        <v>166</v>
      </c>
      <c r="N94" t="s">
        <v>188</v>
      </c>
      <c r="O94" t="s">
        <v>267</v>
      </c>
      <c r="P94">
        <v>9.6708671720554321E-3</v>
      </c>
      <c r="Q94" t="s">
        <v>166</v>
      </c>
      <c r="S94" t="s">
        <v>202</v>
      </c>
      <c r="T94" t="s">
        <v>267</v>
      </c>
      <c r="U94">
        <v>1.0643844839919672E-2</v>
      </c>
      <c r="V94" t="s">
        <v>166</v>
      </c>
      <c r="AC94" t="s">
        <v>19</v>
      </c>
      <c r="AD94" t="s">
        <v>267</v>
      </c>
      <c r="AE94">
        <v>6.917858383694386E-3</v>
      </c>
      <c r="AK94">
        <v>2033</v>
      </c>
      <c r="AL94" t="s">
        <v>234</v>
      </c>
      <c r="AM94">
        <v>0.4607</v>
      </c>
      <c r="AN94" t="s">
        <v>226</v>
      </c>
    </row>
    <row r="95" spans="9:40" x14ac:dyDescent="0.45">
      <c r="I95" t="s">
        <v>176</v>
      </c>
      <c r="J95" t="s">
        <v>165</v>
      </c>
      <c r="K95">
        <v>0</v>
      </c>
      <c r="L95" t="s">
        <v>166</v>
      </c>
      <c r="N95" t="s">
        <v>189</v>
      </c>
      <c r="O95" t="s">
        <v>165</v>
      </c>
      <c r="P95">
        <v>3.09812046924389E-2</v>
      </c>
      <c r="Q95" t="s">
        <v>166</v>
      </c>
      <c r="S95" t="s">
        <v>203</v>
      </c>
      <c r="T95" t="s">
        <v>165</v>
      </c>
      <c r="U95">
        <v>3.2444349969412416E-2</v>
      </c>
      <c r="V95" t="s">
        <v>166</v>
      </c>
      <c r="AK95">
        <v>2034</v>
      </c>
      <c r="AL95" t="s">
        <v>155</v>
      </c>
      <c r="AM95">
        <v>0.49224999999999997</v>
      </c>
      <c r="AN95" t="s">
        <v>226</v>
      </c>
    </row>
    <row r="96" spans="9:40" x14ac:dyDescent="0.45">
      <c r="I96" t="s">
        <v>176</v>
      </c>
      <c r="J96" t="s">
        <v>167</v>
      </c>
      <c r="K96">
        <v>0</v>
      </c>
      <c r="L96" t="s">
        <v>166</v>
      </c>
      <c r="N96" t="s">
        <v>189</v>
      </c>
      <c r="O96" t="s">
        <v>167</v>
      </c>
      <c r="P96">
        <v>6.3273229620282459E-3</v>
      </c>
      <c r="Q96" t="s">
        <v>166</v>
      </c>
      <c r="S96" t="s">
        <v>203</v>
      </c>
      <c r="T96" t="s">
        <v>167</v>
      </c>
      <c r="U96">
        <v>6.5527855516504417E-3</v>
      </c>
      <c r="V96" t="s">
        <v>166</v>
      </c>
      <c r="AK96">
        <v>2034</v>
      </c>
      <c r="AL96" t="s">
        <v>159</v>
      </c>
      <c r="AM96">
        <v>0.41980000000000001</v>
      </c>
      <c r="AN96" t="s">
        <v>226</v>
      </c>
    </row>
    <row r="97" spans="9:40" x14ac:dyDescent="0.45">
      <c r="I97" t="s">
        <v>176</v>
      </c>
      <c r="J97" t="s">
        <v>168</v>
      </c>
      <c r="K97">
        <v>5.0136743023319073E-2</v>
      </c>
      <c r="L97" t="s">
        <v>166</v>
      </c>
      <c r="N97" t="s">
        <v>189</v>
      </c>
      <c r="O97" t="s">
        <v>168</v>
      </c>
      <c r="P97">
        <v>8.7077793520896132E-2</v>
      </c>
      <c r="Q97" t="s">
        <v>166</v>
      </c>
      <c r="S97" t="s">
        <v>203</v>
      </c>
      <c r="T97" t="s">
        <v>168</v>
      </c>
      <c r="U97">
        <v>9.5237348302466093E-2</v>
      </c>
      <c r="V97" t="s">
        <v>166</v>
      </c>
      <c r="AK97">
        <v>2034</v>
      </c>
      <c r="AL97" t="s">
        <v>161</v>
      </c>
      <c r="AM97">
        <v>0.38540000000000002</v>
      </c>
      <c r="AN97" t="s">
        <v>226</v>
      </c>
    </row>
    <row r="98" spans="9:40" x14ac:dyDescent="0.45">
      <c r="I98" t="s">
        <v>176</v>
      </c>
      <c r="J98" t="s">
        <v>235</v>
      </c>
      <c r="K98">
        <v>0</v>
      </c>
      <c r="L98" t="s">
        <v>166</v>
      </c>
      <c r="N98" t="s">
        <v>189</v>
      </c>
      <c r="O98" t="s">
        <v>235</v>
      </c>
      <c r="P98">
        <v>6.3094479150586722E-3</v>
      </c>
      <c r="Q98" t="s">
        <v>166</v>
      </c>
      <c r="S98" t="s">
        <v>203</v>
      </c>
      <c r="T98" t="s">
        <v>235</v>
      </c>
      <c r="U98">
        <v>6.3766951602823169E-3</v>
      </c>
      <c r="V98" t="s">
        <v>166</v>
      </c>
      <c r="AK98">
        <v>2034</v>
      </c>
      <c r="AL98" t="s">
        <v>228</v>
      </c>
      <c r="AM98">
        <v>0.37372499999999997</v>
      </c>
      <c r="AN98" t="s">
        <v>226</v>
      </c>
    </row>
    <row r="99" spans="9:40" x14ac:dyDescent="0.45">
      <c r="I99" t="s">
        <v>176</v>
      </c>
      <c r="J99" t="s">
        <v>236</v>
      </c>
      <c r="K99">
        <v>0</v>
      </c>
      <c r="L99" t="s">
        <v>166</v>
      </c>
      <c r="N99" t="s">
        <v>189</v>
      </c>
      <c r="O99" t="s">
        <v>236</v>
      </c>
      <c r="P99">
        <v>6.3000588370468224E-3</v>
      </c>
      <c r="Q99" t="s">
        <v>166</v>
      </c>
      <c r="S99" t="s">
        <v>203</v>
      </c>
      <c r="T99" t="s">
        <v>236</v>
      </c>
      <c r="U99">
        <v>6.3972163343398464E-3</v>
      </c>
      <c r="V99" t="s">
        <v>166</v>
      </c>
      <c r="AK99">
        <v>2034</v>
      </c>
      <c r="AL99" t="s">
        <v>230</v>
      </c>
      <c r="AM99">
        <v>0.33550000000000002</v>
      </c>
      <c r="AN99" t="s">
        <v>226</v>
      </c>
    </row>
    <row r="100" spans="9:40" x14ac:dyDescent="0.45">
      <c r="I100" t="s">
        <v>176</v>
      </c>
      <c r="J100" t="s">
        <v>237</v>
      </c>
      <c r="K100">
        <v>0</v>
      </c>
      <c r="L100" t="s">
        <v>166</v>
      </c>
      <c r="N100" t="s">
        <v>189</v>
      </c>
      <c r="O100" t="s">
        <v>237</v>
      </c>
      <c r="P100">
        <v>6.1658471803775795E-3</v>
      </c>
      <c r="Q100" t="s">
        <v>166</v>
      </c>
      <c r="S100" t="s">
        <v>203</v>
      </c>
      <c r="T100" t="s">
        <v>237</v>
      </c>
      <c r="U100">
        <v>6.5990869379852447E-3</v>
      </c>
      <c r="V100" t="s">
        <v>166</v>
      </c>
      <c r="AK100">
        <v>2034</v>
      </c>
      <c r="AL100" t="s">
        <v>232</v>
      </c>
      <c r="AM100">
        <v>0.40050000000000002</v>
      </c>
      <c r="AN100" t="s">
        <v>226</v>
      </c>
    </row>
    <row r="101" spans="9:40" x14ac:dyDescent="0.45">
      <c r="I101" t="s">
        <v>176</v>
      </c>
      <c r="J101" t="s">
        <v>169</v>
      </c>
      <c r="K101">
        <v>0</v>
      </c>
      <c r="L101" t="s">
        <v>166</v>
      </c>
      <c r="N101" t="s">
        <v>189</v>
      </c>
      <c r="O101" t="s">
        <v>169</v>
      </c>
      <c r="P101">
        <v>2.0542990423476275E-2</v>
      </c>
      <c r="Q101" t="s">
        <v>166</v>
      </c>
      <c r="S101" t="s">
        <v>203</v>
      </c>
      <c r="T101" t="s">
        <v>169</v>
      </c>
      <c r="U101">
        <v>1.7545391933556406E-2</v>
      </c>
      <c r="V101" t="s">
        <v>166</v>
      </c>
      <c r="AK101">
        <v>2034</v>
      </c>
      <c r="AL101" t="s">
        <v>234</v>
      </c>
      <c r="AM101">
        <v>0.41925000000000001</v>
      </c>
      <c r="AN101" t="s">
        <v>226</v>
      </c>
    </row>
    <row r="102" spans="9:40" x14ac:dyDescent="0.45">
      <c r="I102" t="s">
        <v>176</v>
      </c>
      <c r="J102" t="s">
        <v>170</v>
      </c>
      <c r="K102">
        <v>0</v>
      </c>
      <c r="L102" t="s">
        <v>166</v>
      </c>
      <c r="N102" t="s">
        <v>189</v>
      </c>
      <c r="O102" t="s">
        <v>170</v>
      </c>
      <c r="P102">
        <v>4.2316934714003596E-3</v>
      </c>
      <c r="Q102" t="s">
        <v>166</v>
      </c>
      <c r="S102" t="s">
        <v>203</v>
      </c>
      <c r="T102" t="s">
        <v>170</v>
      </c>
      <c r="U102">
        <v>3.5454241494306672E-3</v>
      </c>
      <c r="V102" t="s">
        <v>166</v>
      </c>
      <c r="AK102">
        <v>2035</v>
      </c>
      <c r="AL102" t="s">
        <v>155</v>
      </c>
      <c r="AM102">
        <v>0.59699999999999998</v>
      </c>
      <c r="AN102" t="s">
        <v>226</v>
      </c>
    </row>
    <row r="103" spans="9:40" x14ac:dyDescent="0.45">
      <c r="I103" t="s">
        <v>176</v>
      </c>
      <c r="J103" t="s">
        <v>171</v>
      </c>
      <c r="K103">
        <v>0.1100829700211861</v>
      </c>
      <c r="L103" t="s">
        <v>166</v>
      </c>
      <c r="N103" t="s">
        <v>189</v>
      </c>
      <c r="O103" t="s">
        <v>171</v>
      </c>
      <c r="P103">
        <v>6.1259003058411796E-2</v>
      </c>
      <c r="Q103" t="s">
        <v>166</v>
      </c>
      <c r="S103" t="s">
        <v>203</v>
      </c>
      <c r="T103" t="s">
        <v>171</v>
      </c>
      <c r="U103">
        <v>4.992930913524174E-2</v>
      </c>
      <c r="V103" t="s">
        <v>166</v>
      </c>
      <c r="AK103">
        <v>2035</v>
      </c>
      <c r="AL103" t="s">
        <v>159</v>
      </c>
      <c r="AM103">
        <v>0.55830000000000002</v>
      </c>
      <c r="AN103" t="s">
        <v>226</v>
      </c>
    </row>
    <row r="104" spans="9:40" x14ac:dyDescent="0.45">
      <c r="I104" t="s">
        <v>176</v>
      </c>
      <c r="J104" t="s">
        <v>238</v>
      </c>
      <c r="K104">
        <v>0</v>
      </c>
      <c r="L104" t="s">
        <v>166</v>
      </c>
      <c r="N104" t="s">
        <v>189</v>
      </c>
      <c r="O104" t="s">
        <v>238</v>
      </c>
      <c r="P104">
        <v>4.3176839747943157E-3</v>
      </c>
      <c r="Q104" t="s">
        <v>166</v>
      </c>
      <c r="S104" t="s">
        <v>203</v>
      </c>
      <c r="T104" t="s">
        <v>238</v>
      </c>
      <c r="U104">
        <v>3.803346187743588E-3</v>
      </c>
      <c r="V104" t="s">
        <v>166</v>
      </c>
      <c r="AK104">
        <v>2035</v>
      </c>
      <c r="AL104" t="s">
        <v>161</v>
      </c>
      <c r="AM104">
        <v>0.48880000000000001</v>
      </c>
      <c r="AN104" t="s">
        <v>226</v>
      </c>
    </row>
    <row r="105" spans="9:40" x14ac:dyDescent="0.45">
      <c r="I105" t="s">
        <v>176</v>
      </c>
      <c r="J105" t="s">
        <v>239</v>
      </c>
      <c r="K105">
        <v>0</v>
      </c>
      <c r="L105" t="s">
        <v>166</v>
      </c>
      <c r="N105" t="s">
        <v>189</v>
      </c>
      <c r="O105" t="s">
        <v>239</v>
      </c>
      <c r="P105">
        <v>4.1300134009902463E-3</v>
      </c>
      <c r="Q105" t="s">
        <v>166</v>
      </c>
      <c r="S105" t="s">
        <v>203</v>
      </c>
      <c r="T105" t="s">
        <v>239</v>
      </c>
      <c r="U105">
        <v>3.7431082054099917E-3</v>
      </c>
      <c r="V105" t="s">
        <v>166</v>
      </c>
      <c r="AK105">
        <v>2035</v>
      </c>
      <c r="AL105" t="s">
        <v>228</v>
      </c>
      <c r="AM105">
        <v>0.47959999999999997</v>
      </c>
      <c r="AN105" t="s">
        <v>226</v>
      </c>
    </row>
    <row r="106" spans="9:40" x14ac:dyDescent="0.45">
      <c r="I106" t="s">
        <v>176</v>
      </c>
      <c r="J106" t="s">
        <v>240</v>
      </c>
      <c r="K106">
        <v>0</v>
      </c>
      <c r="L106" t="s">
        <v>166</v>
      </c>
      <c r="N106" t="s">
        <v>189</v>
      </c>
      <c r="O106" t="s">
        <v>240</v>
      </c>
      <c r="P106">
        <v>3.9886872614267191E-3</v>
      </c>
      <c r="Q106" t="s">
        <v>166</v>
      </c>
      <c r="S106" t="s">
        <v>203</v>
      </c>
      <c r="T106" t="s">
        <v>240</v>
      </c>
      <c r="U106">
        <v>3.866972122043674E-3</v>
      </c>
      <c r="V106" t="s">
        <v>166</v>
      </c>
      <c r="AK106">
        <v>2035</v>
      </c>
      <c r="AL106" t="s">
        <v>230</v>
      </c>
      <c r="AM106">
        <v>0.51559999999999995</v>
      </c>
      <c r="AN106" t="s">
        <v>226</v>
      </c>
    </row>
    <row r="107" spans="9:40" x14ac:dyDescent="0.45">
      <c r="I107" t="s">
        <v>176</v>
      </c>
      <c r="J107" t="s">
        <v>172</v>
      </c>
      <c r="K107">
        <v>0</v>
      </c>
      <c r="L107" t="s">
        <v>166</v>
      </c>
      <c r="N107" t="s">
        <v>189</v>
      </c>
      <c r="O107" t="s">
        <v>172</v>
      </c>
      <c r="P107">
        <v>1.9686967428439887E-2</v>
      </c>
      <c r="Q107" t="s">
        <v>166</v>
      </c>
      <c r="S107" t="s">
        <v>203</v>
      </c>
      <c r="T107" t="s">
        <v>172</v>
      </c>
      <c r="U107">
        <v>1.8877264508605239E-2</v>
      </c>
      <c r="V107" t="s">
        <v>166</v>
      </c>
      <c r="AK107">
        <v>2035</v>
      </c>
      <c r="AL107" t="s">
        <v>232</v>
      </c>
      <c r="AM107">
        <v>0.45960000000000001</v>
      </c>
      <c r="AN107" t="s">
        <v>226</v>
      </c>
    </row>
    <row r="108" spans="9:40" x14ac:dyDescent="0.45">
      <c r="I108" t="s">
        <v>176</v>
      </c>
      <c r="J108" t="s">
        <v>173</v>
      </c>
      <c r="K108">
        <v>3.6992297449160732E-4</v>
      </c>
      <c r="L108" t="s">
        <v>166</v>
      </c>
      <c r="N108" t="s">
        <v>189</v>
      </c>
      <c r="O108" t="s">
        <v>173</v>
      </c>
      <c r="P108">
        <v>3.8141801921719371E-3</v>
      </c>
      <c r="Q108" t="s">
        <v>166</v>
      </c>
      <c r="S108" t="s">
        <v>203</v>
      </c>
      <c r="T108" t="s">
        <v>173</v>
      </c>
      <c r="U108">
        <v>3.3294438161276594E-3</v>
      </c>
      <c r="V108" t="s">
        <v>166</v>
      </c>
      <c r="AK108">
        <v>2035</v>
      </c>
      <c r="AL108" t="s">
        <v>234</v>
      </c>
      <c r="AM108">
        <v>0.55784999999999996</v>
      </c>
      <c r="AN108" t="s">
        <v>226</v>
      </c>
    </row>
    <row r="109" spans="9:40" x14ac:dyDescent="0.45">
      <c r="I109" t="s">
        <v>176</v>
      </c>
      <c r="J109" t="s">
        <v>174</v>
      </c>
      <c r="K109">
        <v>0.13219937172348248</v>
      </c>
      <c r="L109" t="s">
        <v>166</v>
      </c>
      <c r="N109" t="s">
        <v>189</v>
      </c>
      <c r="O109" t="s">
        <v>174</v>
      </c>
      <c r="P109">
        <v>5.641543081054734E-2</v>
      </c>
      <c r="Q109" t="s">
        <v>166</v>
      </c>
      <c r="S109" t="s">
        <v>203</v>
      </c>
      <c r="T109" t="s">
        <v>174</v>
      </c>
      <c r="U109">
        <v>5.1200071991871196E-2</v>
      </c>
      <c r="V109" t="s">
        <v>166</v>
      </c>
      <c r="AK109">
        <v>2036</v>
      </c>
      <c r="AL109" t="s">
        <v>155</v>
      </c>
      <c r="AM109">
        <v>0.5806</v>
      </c>
      <c r="AN109" t="s">
        <v>226</v>
      </c>
    </row>
    <row r="110" spans="9:40" x14ac:dyDescent="0.45">
      <c r="I110" t="s">
        <v>176</v>
      </c>
      <c r="J110" t="s">
        <v>241</v>
      </c>
      <c r="K110">
        <v>0</v>
      </c>
      <c r="L110" t="s">
        <v>166</v>
      </c>
      <c r="N110" t="s">
        <v>189</v>
      </c>
      <c r="O110" t="s">
        <v>241</v>
      </c>
      <c r="P110">
        <v>4.3801201641107939E-3</v>
      </c>
      <c r="Q110" t="s">
        <v>166</v>
      </c>
      <c r="S110" t="s">
        <v>203</v>
      </c>
      <c r="T110" t="s">
        <v>241</v>
      </c>
      <c r="U110">
        <v>4.0548460457225906E-3</v>
      </c>
      <c r="V110" t="s">
        <v>166</v>
      </c>
      <c r="AK110">
        <v>2036</v>
      </c>
      <c r="AL110" t="s">
        <v>159</v>
      </c>
      <c r="AM110">
        <v>0.57850000000000001</v>
      </c>
      <c r="AN110" t="s">
        <v>226</v>
      </c>
    </row>
    <row r="111" spans="9:40" x14ac:dyDescent="0.45">
      <c r="I111" t="s">
        <v>176</v>
      </c>
      <c r="J111" t="s">
        <v>242</v>
      </c>
      <c r="K111">
        <v>0</v>
      </c>
      <c r="L111" t="s">
        <v>166</v>
      </c>
      <c r="N111" t="s">
        <v>189</v>
      </c>
      <c r="O111" t="s">
        <v>242</v>
      </c>
      <c r="P111">
        <v>4.3062035778757644E-3</v>
      </c>
      <c r="Q111" t="s">
        <v>166</v>
      </c>
      <c r="S111" t="s">
        <v>203</v>
      </c>
      <c r="T111" t="s">
        <v>242</v>
      </c>
      <c r="U111">
        <v>4.0019362075098897E-3</v>
      </c>
      <c r="V111" t="s">
        <v>166</v>
      </c>
      <c r="AK111">
        <v>2036</v>
      </c>
      <c r="AL111" t="s">
        <v>161</v>
      </c>
      <c r="AM111">
        <v>0.52710000000000001</v>
      </c>
      <c r="AN111" t="s">
        <v>226</v>
      </c>
    </row>
    <row r="112" spans="9:40" x14ac:dyDescent="0.45">
      <c r="I112" t="s">
        <v>176</v>
      </c>
      <c r="J112" t="s">
        <v>243</v>
      </c>
      <c r="K112">
        <v>0</v>
      </c>
      <c r="L112" t="s">
        <v>166</v>
      </c>
      <c r="N112" t="s">
        <v>189</v>
      </c>
      <c r="O112" t="s">
        <v>243</v>
      </c>
      <c r="P112">
        <v>4.3390307967571375E-3</v>
      </c>
      <c r="Q112" t="s">
        <v>166</v>
      </c>
      <c r="S112" t="s">
        <v>203</v>
      </c>
      <c r="T112" t="s">
        <v>243</v>
      </c>
      <c r="U112">
        <v>4.0972408926176181E-3</v>
      </c>
      <c r="V112" t="s">
        <v>166</v>
      </c>
      <c r="AK112">
        <v>2036</v>
      </c>
      <c r="AL112" t="s">
        <v>228</v>
      </c>
      <c r="AM112">
        <v>0.49457499999999999</v>
      </c>
      <c r="AN112" t="s">
        <v>226</v>
      </c>
    </row>
    <row r="113" spans="9:40" x14ac:dyDescent="0.45">
      <c r="I113" t="s">
        <v>176</v>
      </c>
      <c r="J113" t="s">
        <v>244</v>
      </c>
      <c r="K113">
        <v>2.5175282348001743E-3</v>
      </c>
      <c r="L113" t="s">
        <v>166</v>
      </c>
      <c r="N113" t="s">
        <v>189</v>
      </c>
      <c r="O113" t="s">
        <v>244</v>
      </c>
      <c r="P113">
        <v>4.9679466635154088E-2</v>
      </c>
      <c r="Q113" t="s">
        <v>166</v>
      </c>
      <c r="S113" t="s">
        <v>203</v>
      </c>
      <c r="T113" t="s">
        <v>244</v>
      </c>
      <c r="U113">
        <v>6.2545404509520897E-2</v>
      </c>
      <c r="V113" t="s">
        <v>166</v>
      </c>
      <c r="AK113">
        <v>2036</v>
      </c>
      <c r="AL113" t="s">
        <v>230</v>
      </c>
      <c r="AM113">
        <v>0.51539999999999997</v>
      </c>
      <c r="AN113" t="s">
        <v>226</v>
      </c>
    </row>
    <row r="114" spans="9:40" x14ac:dyDescent="0.45">
      <c r="I114" t="s">
        <v>176</v>
      </c>
      <c r="J114" t="s">
        <v>245</v>
      </c>
      <c r="K114">
        <v>1.1191342943215962E-2</v>
      </c>
      <c r="L114" t="s">
        <v>166</v>
      </c>
      <c r="N114" t="s">
        <v>189</v>
      </c>
      <c r="O114" t="s">
        <v>245</v>
      </c>
      <c r="P114">
        <v>9.3321711034681284E-3</v>
      </c>
      <c r="Q114" t="s">
        <v>166</v>
      </c>
      <c r="S114" t="s">
        <v>203</v>
      </c>
      <c r="T114" t="s">
        <v>245</v>
      </c>
      <c r="U114">
        <v>1.2293247833957131E-2</v>
      </c>
      <c r="V114" t="s">
        <v>166</v>
      </c>
      <c r="AK114">
        <v>2036</v>
      </c>
      <c r="AL114" t="s">
        <v>232</v>
      </c>
      <c r="AM114">
        <v>0.55259999999999998</v>
      </c>
      <c r="AN114" t="s">
        <v>226</v>
      </c>
    </row>
    <row r="115" spans="9:40" x14ac:dyDescent="0.45">
      <c r="I115" t="s">
        <v>176</v>
      </c>
      <c r="J115" t="s">
        <v>246</v>
      </c>
      <c r="K115">
        <v>0.53633087827976922</v>
      </c>
      <c r="L115" t="s">
        <v>166</v>
      </c>
      <c r="N115" t="s">
        <v>189</v>
      </c>
      <c r="O115" t="s">
        <v>246</v>
      </c>
      <c r="P115">
        <v>0.14807870370818491</v>
      </c>
      <c r="Q115" t="s">
        <v>166</v>
      </c>
      <c r="S115" t="s">
        <v>203</v>
      </c>
      <c r="T115" t="s">
        <v>246</v>
      </c>
      <c r="U115">
        <v>0.16963198718159772</v>
      </c>
      <c r="V115" t="s">
        <v>166</v>
      </c>
      <c r="AK115">
        <v>2036</v>
      </c>
      <c r="AL115" t="s">
        <v>234</v>
      </c>
      <c r="AM115">
        <v>0.57655000000000001</v>
      </c>
      <c r="AN115" t="s">
        <v>226</v>
      </c>
    </row>
    <row r="116" spans="9:40" x14ac:dyDescent="0.45">
      <c r="I116" t="s">
        <v>176</v>
      </c>
      <c r="J116" t="s">
        <v>247</v>
      </c>
      <c r="K116">
        <v>2.6847000444947641E-3</v>
      </c>
      <c r="L116" t="s">
        <v>166</v>
      </c>
      <c r="N116" t="s">
        <v>189</v>
      </c>
      <c r="O116" t="s">
        <v>247</v>
      </c>
      <c r="P116">
        <v>1.0782767109476087E-2</v>
      </c>
      <c r="Q116" t="s">
        <v>166</v>
      </c>
      <c r="S116" t="s">
        <v>203</v>
      </c>
      <c r="T116" t="s">
        <v>247</v>
      </c>
      <c r="U116">
        <v>1.2126563276091393E-2</v>
      </c>
      <c r="V116" t="s">
        <v>166</v>
      </c>
      <c r="AK116">
        <v>2037</v>
      </c>
      <c r="AL116" t="s">
        <v>155</v>
      </c>
      <c r="AM116">
        <v>0.51100000000000001</v>
      </c>
      <c r="AN116" t="s">
        <v>226</v>
      </c>
    </row>
    <row r="117" spans="9:40" x14ac:dyDescent="0.45">
      <c r="I117" t="s">
        <v>176</v>
      </c>
      <c r="J117" t="s">
        <v>248</v>
      </c>
      <c r="K117">
        <v>0</v>
      </c>
      <c r="L117" t="s">
        <v>166</v>
      </c>
      <c r="N117" t="s">
        <v>189</v>
      </c>
      <c r="O117" t="s">
        <v>248</v>
      </c>
      <c r="P117">
        <v>1.0737876484899149E-2</v>
      </c>
      <c r="Q117" t="s">
        <v>166</v>
      </c>
      <c r="S117" t="s">
        <v>203</v>
      </c>
      <c r="T117" t="s">
        <v>248</v>
      </c>
      <c r="U117">
        <v>1.2226154006235028E-2</v>
      </c>
      <c r="V117" t="s">
        <v>166</v>
      </c>
      <c r="AK117">
        <v>2037</v>
      </c>
      <c r="AL117" t="s">
        <v>159</v>
      </c>
      <c r="AM117">
        <v>0.48970000000000002</v>
      </c>
      <c r="AN117" t="s">
        <v>226</v>
      </c>
    </row>
    <row r="118" spans="9:40" x14ac:dyDescent="0.45">
      <c r="I118" t="s">
        <v>176</v>
      </c>
      <c r="J118" t="s">
        <v>249</v>
      </c>
      <c r="K118">
        <v>0</v>
      </c>
      <c r="L118" t="s">
        <v>166</v>
      </c>
      <c r="N118" t="s">
        <v>189</v>
      </c>
      <c r="O118" t="s">
        <v>249</v>
      </c>
      <c r="P118">
        <v>1.0805131051861273E-2</v>
      </c>
      <c r="Q118" t="s">
        <v>166</v>
      </c>
      <c r="S118" t="s">
        <v>203</v>
      </c>
      <c r="T118" t="s">
        <v>249</v>
      </c>
      <c r="U118">
        <v>1.2828112137018472E-2</v>
      </c>
      <c r="V118" t="s">
        <v>166</v>
      </c>
      <c r="AK118">
        <v>2037</v>
      </c>
      <c r="AL118" t="s">
        <v>161</v>
      </c>
      <c r="AM118">
        <v>0.51029999999999998</v>
      </c>
      <c r="AN118" t="s">
        <v>226</v>
      </c>
    </row>
    <row r="119" spans="9:40" x14ac:dyDescent="0.45">
      <c r="I119" t="s">
        <v>176</v>
      </c>
      <c r="J119" t="s">
        <v>250</v>
      </c>
      <c r="K119">
        <v>0</v>
      </c>
      <c r="L119" t="s">
        <v>166</v>
      </c>
      <c r="N119" t="s">
        <v>189</v>
      </c>
      <c r="O119" t="s">
        <v>250</v>
      </c>
      <c r="P119">
        <v>1.1337673414139779E-2</v>
      </c>
      <c r="Q119" t="s">
        <v>166</v>
      </c>
      <c r="S119" t="s">
        <v>203</v>
      </c>
      <c r="T119" t="s">
        <v>250</v>
      </c>
      <c r="U119">
        <v>1.8863519834444901E-2</v>
      </c>
      <c r="V119" t="s">
        <v>166</v>
      </c>
      <c r="AK119">
        <v>2037</v>
      </c>
      <c r="AL119" t="s">
        <v>228</v>
      </c>
      <c r="AM119">
        <v>0.434</v>
      </c>
      <c r="AN119" t="s">
        <v>226</v>
      </c>
    </row>
    <row r="120" spans="9:40" x14ac:dyDescent="0.45">
      <c r="I120" t="s">
        <v>176</v>
      </c>
      <c r="J120" t="s">
        <v>251</v>
      </c>
      <c r="K120">
        <v>0</v>
      </c>
      <c r="L120" t="s">
        <v>166</v>
      </c>
      <c r="N120" t="s">
        <v>189</v>
      </c>
      <c r="O120" t="s">
        <v>251</v>
      </c>
      <c r="P120">
        <v>2.1110636244118641E-3</v>
      </c>
      <c r="Q120" t="s">
        <v>166</v>
      </c>
      <c r="S120" t="s">
        <v>203</v>
      </c>
      <c r="T120" t="s">
        <v>251</v>
      </c>
      <c r="U120">
        <v>3.6819430716631286E-3</v>
      </c>
      <c r="V120" t="s">
        <v>166</v>
      </c>
      <c r="AK120">
        <v>2037</v>
      </c>
      <c r="AL120" t="s">
        <v>230</v>
      </c>
      <c r="AM120">
        <v>0.39489999999999997</v>
      </c>
      <c r="AN120" t="s">
        <v>226</v>
      </c>
    </row>
    <row r="121" spans="9:40" x14ac:dyDescent="0.45">
      <c r="I121" t="s">
        <v>176</v>
      </c>
      <c r="J121" t="s">
        <v>252</v>
      </c>
      <c r="K121">
        <v>8.6631890859815874E-2</v>
      </c>
      <c r="L121" t="s">
        <v>166</v>
      </c>
      <c r="N121" t="s">
        <v>189</v>
      </c>
      <c r="O121" t="s">
        <v>252</v>
      </c>
      <c r="P121">
        <v>3.2542548006586583E-2</v>
      </c>
      <c r="Q121" t="s">
        <v>166</v>
      </c>
      <c r="S121" t="s">
        <v>203</v>
      </c>
      <c r="T121" t="s">
        <v>252</v>
      </c>
      <c r="U121">
        <v>5.3848658515407405E-2</v>
      </c>
      <c r="V121" t="s">
        <v>166</v>
      </c>
      <c r="AK121">
        <v>2037</v>
      </c>
      <c r="AL121" t="s">
        <v>232</v>
      </c>
      <c r="AM121">
        <v>0.40450000000000003</v>
      </c>
      <c r="AN121" t="s">
        <v>226</v>
      </c>
    </row>
    <row r="122" spans="9:40" x14ac:dyDescent="0.45">
      <c r="I122" t="s">
        <v>176</v>
      </c>
      <c r="J122" t="s">
        <v>253</v>
      </c>
      <c r="K122">
        <v>0</v>
      </c>
      <c r="L122" t="s">
        <v>166</v>
      </c>
      <c r="N122" t="s">
        <v>189</v>
      </c>
      <c r="O122" t="s">
        <v>253</v>
      </c>
      <c r="P122">
        <v>2.4115557649722077E-3</v>
      </c>
      <c r="Q122" t="s">
        <v>166</v>
      </c>
      <c r="S122" t="s">
        <v>203</v>
      </c>
      <c r="T122" t="s">
        <v>253</v>
      </c>
      <c r="U122">
        <v>3.9896092268250551E-3</v>
      </c>
      <c r="V122" t="s">
        <v>166</v>
      </c>
      <c r="AK122">
        <v>2037</v>
      </c>
      <c r="AL122" t="s">
        <v>234</v>
      </c>
      <c r="AM122">
        <v>0.46215000000000001</v>
      </c>
      <c r="AN122" t="s">
        <v>226</v>
      </c>
    </row>
    <row r="123" spans="9:40" x14ac:dyDescent="0.45">
      <c r="I123" t="s">
        <v>176</v>
      </c>
      <c r="J123" t="s">
        <v>254</v>
      </c>
      <c r="K123">
        <v>0</v>
      </c>
      <c r="L123" t="s">
        <v>166</v>
      </c>
      <c r="N123" t="s">
        <v>189</v>
      </c>
      <c r="O123" t="s">
        <v>254</v>
      </c>
      <c r="P123">
        <v>2.3688450567482377E-3</v>
      </c>
      <c r="Q123" t="s">
        <v>166</v>
      </c>
      <c r="S123" t="s">
        <v>203</v>
      </c>
      <c r="T123" t="s">
        <v>254</v>
      </c>
      <c r="U123">
        <v>3.9780748949264358E-3</v>
      </c>
      <c r="V123" t="s">
        <v>166</v>
      </c>
      <c r="AK123">
        <v>2038</v>
      </c>
      <c r="AL123" t="s">
        <v>155</v>
      </c>
      <c r="AM123">
        <v>0.47489999999999999</v>
      </c>
      <c r="AN123" t="s">
        <v>226</v>
      </c>
    </row>
    <row r="124" spans="9:40" x14ac:dyDescent="0.45">
      <c r="I124" t="s">
        <v>176</v>
      </c>
      <c r="J124" t="s">
        <v>255</v>
      </c>
      <c r="K124">
        <v>0</v>
      </c>
      <c r="L124" t="s">
        <v>166</v>
      </c>
      <c r="N124" t="s">
        <v>189</v>
      </c>
      <c r="O124" t="s">
        <v>255</v>
      </c>
      <c r="P124">
        <v>2.529037933116411E-3</v>
      </c>
      <c r="Q124" t="s">
        <v>166</v>
      </c>
      <c r="S124" t="s">
        <v>203</v>
      </c>
      <c r="T124" t="s">
        <v>255</v>
      </c>
      <c r="U124">
        <v>4.0842640577283739E-3</v>
      </c>
      <c r="V124" t="s">
        <v>166</v>
      </c>
      <c r="AK124">
        <v>2038</v>
      </c>
      <c r="AL124" t="s">
        <v>159</v>
      </c>
      <c r="AM124">
        <v>0.44479999999999997</v>
      </c>
      <c r="AN124" t="s">
        <v>226</v>
      </c>
    </row>
    <row r="125" spans="9:40" x14ac:dyDescent="0.45">
      <c r="I125" t="s">
        <v>176</v>
      </c>
      <c r="J125" t="s">
        <v>256</v>
      </c>
      <c r="K125">
        <v>0</v>
      </c>
      <c r="L125" t="s">
        <v>166</v>
      </c>
      <c r="N125" t="s">
        <v>189</v>
      </c>
      <c r="O125" t="s">
        <v>256</v>
      </c>
      <c r="P125">
        <v>2.4518639030237755E-2</v>
      </c>
      <c r="Q125" t="s">
        <v>166</v>
      </c>
      <c r="S125" t="s">
        <v>203</v>
      </c>
      <c r="T125" t="s">
        <v>256</v>
      </c>
      <c r="U125">
        <v>2.0843930758514123E-2</v>
      </c>
      <c r="V125" t="s">
        <v>166</v>
      </c>
      <c r="AK125">
        <v>2038</v>
      </c>
      <c r="AL125" t="s">
        <v>161</v>
      </c>
      <c r="AM125">
        <v>0.42880000000000001</v>
      </c>
      <c r="AN125" t="s">
        <v>226</v>
      </c>
    </row>
    <row r="126" spans="9:40" x14ac:dyDescent="0.45">
      <c r="I126" t="s">
        <v>176</v>
      </c>
      <c r="J126" t="s">
        <v>257</v>
      </c>
      <c r="K126">
        <v>0</v>
      </c>
      <c r="L126" t="s">
        <v>166</v>
      </c>
      <c r="N126" t="s">
        <v>189</v>
      </c>
      <c r="O126" t="s">
        <v>257</v>
      </c>
      <c r="P126">
        <v>4.855077094512196E-3</v>
      </c>
      <c r="Q126" t="s">
        <v>166</v>
      </c>
      <c r="S126" t="s">
        <v>203</v>
      </c>
      <c r="T126" t="s">
        <v>257</v>
      </c>
      <c r="U126">
        <v>4.0448100373621535E-3</v>
      </c>
      <c r="V126" t="s">
        <v>166</v>
      </c>
      <c r="AK126">
        <v>2038</v>
      </c>
      <c r="AL126" t="s">
        <v>228</v>
      </c>
      <c r="AM126">
        <v>0.358875</v>
      </c>
      <c r="AN126" t="s">
        <v>226</v>
      </c>
    </row>
    <row r="127" spans="9:40" x14ac:dyDescent="0.45">
      <c r="I127" t="s">
        <v>176</v>
      </c>
      <c r="J127" t="s">
        <v>258</v>
      </c>
      <c r="K127">
        <v>4.1118763725011998E-2</v>
      </c>
      <c r="L127" t="s">
        <v>166</v>
      </c>
      <c r="N127" t="s">
        <v>189</v>
      </c>
      <c r="O127" t="s">
        <v>258</v>
      </c>
      <c r="P127">
        <v>6.7262696945541905E-2</v>
      </c>
      <c r="Q127" t="s">
        <v>166</v>
      </c>
      <c r="S127" t="s">
        <v>203</v>
      </c>
      <c r="T127" t="s">
        <v>258</v>
      </c>
      <c r="U127">
        <v>5.5365523471485295E-2</v>
      </c>
      <c r="V127" t="s">
        <v>166</v>
      </c>
      <c r="AK127">
        <v>2038</v>
      </c>
      <c r="AL127" t="s">
        <v>230</v>
      </c>
      <c r="AM127">
        <v>0.3246</v>
      </c>
      <c r="AN127" t="s">
        <v>226</v>
      </c>
    </row>
    <row r="128" spans="9:40" x14ac:dyDescent="0.45">
      <c r="I128" t="s">
        <v>176</v>
      </c>
      <c r="J128" t="s">
        <v>259</v>
      </c>
      <c r="K128">
        <v>0</v>
      </c>
      <c r="L128" t="s">
        <v>166</v>
      </c>
      <c r="N128" t="s">
        <v>189</v>
      </c>
      <c r="O128" t="s">
        <v>259</v>
      </c>
      <c r="P128">
        <v>5.2898503132764035E-3</v>
      </c>
      <c r="Q128" t="s">
        <v>166</v>
      </c>
      <c r="S128" t="s">
        <v>203</v>
      </c>
      <c r="T128" t="s">
        <v>259</v>
      </c>
      <c r="U128">
        <v>4.1362958449537128E-3</v>
      </c>
      <c r="V128" t="s">
        <v>166</v>
      </c>
      <c r="AK128">
        <v>2038</v>
      </c>
      <c r="AL128" t="s">
        <v>232</v>
      </c>
      <c r="AM128">
        <v>0.36799999999999999</v>
      </c>
      <c r="AN128" t="s">
        <v>226</v>
      </c>
    </row>
    <row r="129" spans="9:40" x14ac:dyDescent="0.45">
      <c r="I129" t="s">
        <v>176</v>
      </c>
      <c r="J129" t="s">
        <v>260</v>
      </c>
      <c r="K129">
        <v>0</v>
      </c>
      <c r="L129" t="s">
        <v>166</v>
      </c>
      <c r="N129" t="s">
        <v>189</v>
      </c>
      <c r="O129" t="s">
        <v>260</v>
      </c>
      <c r="P129">
        <v>5.3063914029788765E-3</v>
      </c>
      <c r="Q129" t="s">
        <v>166</v>
      </c>
      <c r="S129" t="s">
        <v>203</v>
      </c>
      <c r="T129" t="s">
        <v>260</v>
      </c>
      <c r="U129">
        <v>4.1237315501533624E-3</v>
      </c>
      <c r="V129" t="s">
        <v>166</v>
      </c>
      <c r="AK129">
        <v>2038</v>
      </c>
      <c r="AL129" t="s">
        <v>234</v>
      </c>
      <c r="AM129">
        <v>0.45605000000000001</v>
      </c>
      <c r="AN129" t="s">
        <v>226</v>
      </c>
    </row>
    <row r="130" spans="9:40" x14ac:dyDescent="0.45">
      <c r="I130" t="s">
        <v>176</v>
      </c>
      <c r="J130" t="s">
        <v>261</v>
      </c>
      <c r="K130">
        <v>0</v>
      </c>
      <c r="L130" t="s">
        <v>166</v>
      </c>
      <c r="N130" t="s">
        <v>189</v>
      </c>
      <c r="O130" t="s">
        <v>261</v>
      </c>
      <c r="P130">
        <v>5.4002267298451281E-3</v>
      </c>
      <c r="Q130" t="s">
        <v>166</v>
      </c>
      <c r="S130" t="s">
        <v>203</v>
      </c>
      <c r="T130" t="s">
        <v>261</v>
      </c>
      <c r="U130">
        <v>4.2341544378058961E-3</v>
      </c>
      <c r="V130" t="s">
        <v>166</v>
      </c>
      <c r="AK130">
        <v>2039</v>
      </c>
      <c r="AL130" t="s">
        <v>155</v>
      </c>
      <c r="AM130">
        <v>0.43030000000000002</v>
      </c>
      <c r="AN130" t="s">
        <v>226</v>
      </c>
    </row>
    <row r="131" spans="9:40" x14ac:dyDescent="0.45">
      <c r="I131" t="s">
        <v>176</v>
      </c>
      <c r="J131" t="s">
        <v>262</v>
      </c>
      <c r="K131">
        <v>0</v>
      </c>
      <c r="L131" t="s">
        <v>166</v>
      </c>
      <c r="N131" t="s">
        <v>189</v>
      </c>
      <c r="O131" t="s">
        <v>262</v>
      </c>
      <c r="P131">
        <v>5.4610638820359193E-2</v>
      </c>
      <c r="Q131" t="s">
        <v>166</v>
      </c>
      <c r="S131" t="s">
        <v>203</v>
      </c>
      <c r="T131" t="s">
        <v>262</v>
      </c>
      <c r="U131">
        <v>4.5838120839062732E-2</v>
      </c>
      <c r="V131" t="s">
        <v>166</v>
      </c>
      <c r="AK131">
        <v>2039</v>
      </c>
      <c r="AL131" t="s">
        <v>159</v>
      </c>
      <c r="AM131">
        <v>0.41930000000000001</v>
      </c>
      <c r="AN131" t="s">
        <v>226</v>
      </c>
    </row>
    <row r="132" spans="9:40" x14ac:dyDescent="0.45">
      <c r="I132" t="s">
        <v>176</v>
      </c>
      <c r="J132" t="s">
        <v>263</v>
      </c>
      <c r="K132">
        <v>0</v>
      </c>
      <c r="L132" t="s">
        <v>166</v>
      </c>
      <c r="N132" t="s">
        <v>189</v>
      </c>
      <c r="O132" t="s">
        <v>263</v>
      </c>
      <c r="P132">
        <v>1.0200404968818019E-2</v>
      </c>
      <c r="Q132" t="s">
        <v>166</v>
      </c>
      <c r="S132" t="s">
        <v>203</v>
      </c>
      <c r="T132" t="s">
        <v>263</v>
      </c>
      <c r="U132">
        <v>9.2223879829766622E-3</v>
      </c>
      <c r="V132" t="s">
        <v>166</v>
      </c>
      <c r="AK132">
        <v>2039</v>
      </c>
      <c r="AL132" t="s">
        <v>161</v>
      </c>
      <c r="AM132">
        <v>0.39319999999999999</v>
      </c>
      <c r="AN132" t="s">
        <v>226</v>
      </c>
    </row>
    <row r="133" spans="9:40" x14ac:dyDescent="0.45">
      <c r="I133" t="s">
        <v>176</v>
      </c>
      <c r="J133" t="s">
        <v>264</v>
      </c>
      <c r="K133">
        <v>2.6735888170410831E-2</v>
      </c>
      <c r="L133" t="s">
        <v>166</v>
      </c>
      <c r="N133" t="s">
        <v>189</v>
      </c>
      <c r="O133" t="s">
        <v>264</v>
      </c>
      <c r="P133">
        <v>0.16155898707006602</v>
      </c>
      <c r="Q133" t="s">
        <v>166</v>
      </c>
      <c r="S133" t="s">
        <v>203</v>
      </c>
      <c r="T133" t="s">
        <v>264</v>
      </c>
      <c r="U133">
        <v>0.1323929855191843</v>
      </c>
      <c r="V133" t="s">
        <v>166</v>
      </c>
      <c r="AK133">
        <v>2039</v>
      </c>
      <c r="AL133" t="s">
        <v>228</v>
      </c>
      <c r="AM133">
        <v>0.35392499999999999</v>
      </c>
      <c r="AN133" t="s">
        <v>226</v>
      </c>
    </row>
    <row r="134" spans="9:40" x14ac:dyDescent="0.45">
      <c r="I134" t="s">
        <v>176</v>
      </c>
      <c r="J134" t="s">
        <v>265</v>
      </c>
      <c r="K134">
        <v>0</v>
      </c>
      <c r="L134" t="s">
        <v>166</v>
      </c>
      <c r="N134" t="s">
        <v>189</v>
      </c>
      <c r="O134" t="s">
        <v>265</v>
      </c>
      <c r="P134">
        <v>1.1252194496245245E-2</v>
      </c>
      <c r="Q134" t="s">
        <v>166</v>
      </c>
      <c r="S134" t="s">
        <v>203</v>
      </c>
      <c r="T134" t="s">
        <v>265</v>
      </c>
      <c r="U134">
        <v>9.323355547392765E-3</v>
      </c>
      <c r="V134" t="s">
        <v>166</v>
      </c>
      <c r="AK134">
        <v>2039</v>
      </c>
      <c r="AL134" t="s">
        <v>230</v>
      </c>
      <c r="AM134">
        <v>0.32700000000000001</v>
      </c>
      <c r="AN134" t="s">
        <v>226</v>
      </c>
    </row>
    <row r="135" spans="9:40" x14ac:dyDescent="0.45">
      <c r="I135" t="s">
        <v>176</v>
      </c>
      <c r="J135" t="s">
        <v>266</v>
      </c>
      <c r="K135">
        <v>0</v>
      </c>
      <c r="L135" t="s">
        <v>166</v>
      </c>
      <c r="N135" t="s">
        <v>189</v>
      </c>
      <c r="O135" t="s">
        <v>266</v>
      </c>
      <c r="P135">
        <v>1.1238079246680169E-2</v>
      </c>
      <c r="Q135" t="s">
        <v>166</v>
      </c>
      <c r="S135" t="s">
        <v>203</v>
      </c>
      <c r="T135" t="s">
        <v>266</v>
      </c>
      <c r="U135">
        <v>9.3036745077252209E-3</v>
      </c>
      <c r="V135" t="s">
        <v>166</v>
      </c>
      <c r="AK135">
        <v>2039</v>
      </c>
      <c r="AL135" t="s">
        <v>232</v>
      </c>
      <c r="AM135">
        <v>0.3458</v>
      </c>
      <c r="AN135" t="s">
        <v>226</v>
      </c>
    </row>
    <row r="136" spans="9:40" x14ac:dyDescent="0.45">
      <c r="I136" t="s">
        <v>176</v>
      </c>
      <c r="J136" t="s">
        <v>267</v>
      </c>
      <c r="K136">
        <v>0</v>
      </c>
      <c r="L136" t="s">
        <v>166</v>
      </c>
      <c r="N136" t="s">
        <v>189</v>
      </c>
      <c r="O136" t="s">
        <v>267</v>
      </c>
      <c r="P136">
        <v>1.1216294320174333E-2</v>
      </c>
      <c r="Q136" t="s">
        <v>166</v>
      </c>
      <c r="S136" t="s">
        <v>203</v>
      </c>
      <c r="T136" t="s">
        <v>267</v>
      </c>
      <c r="U136">
        <v>9.4716535059517007E-3</v>
      </c>
      <c r="V136" t="s">
        <v>166</v>
      </c>
      <c r="AK136">
        <v>2039</v>
      </c>
      <c r="AL136" t="s">
        <v>234</v>
      </c>
      <c r="AM136">
        <v>0.43120000000000003</v>
      </c>
      <c r="AN136" t="s">
        <v>226</v>
      </c>
    </row>
    <row r="137" spans="9:40" x14ac:dyDescent="0.45">
      <c r="I137" t="s">
        <v>177</v>
      </c>
      <c r="J137" t="s">
        <v>165</v>
      </c>
      <c r="K137">
        <v>0</v>
      </c>
      <c r="L137" t="s">
        <v>166</v>
      </c>
      <c r="N137" t="s">
        <v>190</v>
      </c>
      <c r="O137" t="s">
        <v>165</v>
      </c>
      <c r="P137">
        <v>3.3130347280954237E-2</v>
      </c>
      <c r="Q137" t="s">
        <v>166</v>
      </c>
      <c r="S137" t="s">
        <v>204</v>
      </c>
      <c r="T137" t="s">
        <v>165</v>
      </c>
      <c r="U137">
        <v>3.6459833655564794E-2</v>
      </c>
      <c r="V137" t="s">
        <v>166</v>
      </c>
      <c r="AK137">
        <v>2040</v>
      </c>
      <c r="AL137" t="s">
        <v>155</v>
      </c>
      <c r="AM137">
        <v>0.5363500000000001</v>
      </c>
      <c r="AN137" t="s">
        <v>226</v>
      </c>
    </row>
    <row r="138" spans="9:40" x14ac:dyDescent="0.45">
      <c r="I138" t="s">
        <v>177</v>
      </c>
      <c r="J138" t="s">
        <v>167</v>
      </c>
      <c r="K138">
        <v>0</v>
      </c>
      <c r="L138" t="s">
        <v>166</v>
      </c>
      <c r="N138" t="s">
        <v>190</v>
      </c>
      <c r="O138" t="s">
        <v>167</v>
      </c>
      <c r="P138">
        <v>6.7547800519721056E-3</v>
      </c>
      <c r="Q138" t="s">
        <v>166</v>
      </c>
      <c r="S138" t="s">
        <v>204</v>
      </c>
      <c r="T138" t="s">
        <v>167</v>
      </c>
      <c r="U138">
        <v>7.3523193261014778E-3</v>
      </c>
      <c r="V138" t="s">
        <v>166</v>
      </c>
      <c r="AK138">
        <v>2040</v>
      </c>
      <c r="AL138" t="s">
        <v>159</v>
      </c>
      <c r="AM138">
        <v>0.48120000000000002</v>
      </c>
      <c r="AN138" t="s">
        <v>226</v>
      </c>
    </row>
    <row r="139" spans="9:40" x14ac:dyDescent="0.45">
      <c r="I139" t="s">
        <v>177</v>
      </c>
      <c r="J139" t="s">
        <v>168</v>
      </c>
      <c r="K139">
        <v>4.494925748476937E-2</v>
      </c>
      <c r="L139" t="s">
        <v>166</v>
      </c>
      <c r="N139" t="s">
        <v>190</v>
      </c>
      <c r="O139" t="s">
        <v>168</v>
      </c>
      <c r="P139">
        <v>9.9489234493652656E-2</v>
      </c>
      <c r="Q139" t="s">
        <v>166</v>
      </c>
      <c r="S139" t="s">
        <v>204</v>
      </c>
      <c r="T139" t="s">
        <v>168</v>
      </c>
      <c r="U139">
        <v>0.10334178959210355</v>
      </c>
      <c r="V139" t="s">
        <v>166</v>
      </c>
      <c r="AK139">
        <v>2040</v>
      </c>
      <c r="AL139" t="s">
        <v>161</v>
      </c>
      <c r="AM139">
        <v>0.44130000000000003</v>
      </c>
      <c r="AN139" t="s">
        <v>226</v>
      </c>
    </row>
    <row r="140" spans="9:40" x14ac:dyDescent="0.45">
      <c r="I140" t="s">
        <v>177</v>
      </c>
      <c r="J140" t="s">
        <v>235</v>
      </c>
      <c r="K140">
        <v>0</v>
      </c>
      <c r="L140" t="s">
        <v>166</v>
      </c>
      <c r="N140" t="s">
        <v>190</v>
      </c>
      <c r="O140" t="s">
        <v>235</v>
      </c>
      <c r="P140">
        <v>6.5386438458012184E-3</v>
      </c>
      <c r="Q140" t="s">
        <v>166</v>
      </c>
      <c r="S140" t="s">
        <v>204</v>
      </c>
      <c r="T140" t="s">
        <v>235</v>
      </c>
      <c r="U140">
        <v>7.1399898114555748E-3</v>
      </c>
      <c r="V140" t="s">
        <v>166</v>
      </c>
      <c r="AK140">
        <v>2040</v>
      </c>
      <c r="AL140" t="s">
        <v>228</v>
      </c>
      <c r="AM140">
        <v>0.41925000000000001</v>
      </c>
      <c r="AN140" t="s">
        <v>226</v>
      </c>
    </row>
    <row r="141" spans="9:40" x14ac:dyDescent="0.45">
      <c r="I141" t="s">
        <v>177</v>
      </c>
      <c r="J141" t="s">
        <v>236</v>
      </c>
      <c r="K141">
        <v>0</v>
      </c>
      <c r="L141" t="s">
        <v>166</v>
      </c>
      <c r="N141" t="s">
        <v>190</v>
      </c>
      <c r="O141" t="s">
        <v>236</v>
      </c>
      <c r="P141">
        <v>6.4640448437898144E-3</v>
      </c>
      <c r="Q141" t="s">
        <v>166</v>
      </c>
      <c r="S141" t="s">
        <v>204</v>
      </c>
      <c r="T141" t="s">
        <v>236</v>
      </c>
      <c r="U141">
        <v>7.164929176281175E-3</v>
      </c>
      <c r="V141" t="s">
        <v>166</v>
      </c>
      <c r="AK141">
        <v>2040</v>
      </c>
      <c r="AL141" t="s">
        <v>230</v>
      </c>
      <c r="AM141">
        <v>0.39960000000000001</v>
      </c>
      <c r="AN141" t="s">
        <v>226</v>
      </c>
    </row>
    <row r="142" spans="9:40" x14ac:dyDescent="0.45">
      <c r="I142" t="s">
        <v>177</v>
      </c>
      <c r="J142" t="s">
        <v>237</v>
      </c>
      <c r="K142">
        <v>0</v>
      </c>
      <c r="L142" t="s">
        <v>166</v>
      </c>
      <c r="N142" t="s">
        <v>190</v>
      </c>
      <c r="O142" t="s">
        <v>237</v>
      </c>
      <c r="P142">
        <v>6.5534433945079341E-3</v>
      </c>
      <c r="Q142" t="s">
        <v>166</v>
      </c>
      <c r="S142" t="s">
        <v>204</v>
      </c>
      <c r="T142" t="s">
        <v>237</v>
      </c>
      <c r="U142">
        <v>7.1755761310054031E-3</v>
      </c>
      <c r="V142" t="s">
        <v>166</v>
      </c>
      <c r="AK142">
        <v>2040</v>
      </c>
      <c r="AL142" t="s">
        <v>232</v>
      </c>
      <c r="AM142">
        <v>0.4249</v>
      </c>
      <c r="AN142" t="s">
        <v>226</v>
      </c>
    </row>
    <row r="143" spans="9:40" x14ac:dyDescent="0.45">
      <c r="I143" t="s">
        <v>177</v>
      </c>
      <c r="J143" t="s">
        <v>169</v>
      </c>
      <c r="K143">
        <v>0</v>
      </c>
      <c r="L143" t="s">
        <v>166</v>
      </c>
      <c r="N143" t="s">
        <v>190</v>
      </c>
      <c r="O143" t="s">
        <v>169</v>
      </c>
      <c r="P143">
        <v>1.9366916265553102E-2</v>
      </c>
      <c r="Q143" t="s">
        <v>166</v>
      </c>
      <c r="S143" t="s">
        <v>204</v>
      </c>
      <c r="T143" t="s">
        <v>169</v>
      </c>
      <c r="U143">
        <v>1.5289974621049916E-2</v>
      </c>
      <c r="V143" t="s">
        <v>166</v>
      </c>
      <c r="AK143">
        <v>2040</v>
      </c>
      <c r="AL143" t="s">
        <v>234</v>
      </c>
      <c r="AM143">
        <v>0.51014999999999999</v>
      </c>
      <c r="AN143" t="s">
        <v>226</v>
      </c>
    </row>
    <row r="144" spans="9:40" x14ac:dyDescent="0.45">
      <c r="I144" t="s">
        <v>177</v>
      </c>
      <c r="J144" t="s">
        <v>170</v>
      </c>
      <c r="K144">
        <v>0</v>
      </c>
      <c r="L144" t="s">
        <v>166</v>
      </c>
      <c r="N144" t="s">
        <v>190</v>
      </c>
      <c r="O144" t="s">
        <v>170</v>
      </c>
      <c r="P144">
        <v>3.6315664211883929E-3</v>
      </c>
      <c r="Q144" t="s">
        <v>166</v>
      </c>
      <c r="S144" t="s">
        <v>204</v>
      </c>
      <c r="T144" t="s">
        <v>170</v>
      </c>
      <c r="U144">
        <v>3.1443171842440304E-3</v>
      </c>
      <c r="V144" t="s">
        <v>166</v>
      </c>
      <c r="AK144">
        <v>2041</v>
      </c>
      <c r="AL144" t="s">
        <v>155</v>
      </c>
      <c r="AM144">
        <v>0.56794999999999995</v>
      </c>
      <c r="AN144" t="s">
        <v>226</v>
      </c>
    </row>
    <row r="145" spans="9:40" x14ac:dyDescent="0.45">
      <c r="I145" t="s">
        <v>177</v>
      </c>
      <c r="J145" t="s">
        <v>171</v>
      </c>
      <c r="K145">
        <v>9.2232005614235224E-2</v>
      </c>
      <c r="L145" t="s">
        <v>166</v>
      </c>
      <c r="N145" t="s">
        <v>190</v>
      </c>
      <c r="O145" t="s">
        <v>171</v>
      </c>
      <c r="P145">
        <v>6.1426103850694053E-2</v>
      </c>
      <c r="Q145" t="s">
        <v>166</v>
      </c>
      <c r="S145" t="s">
        <v>204</v>
      </c>
      <c r="T145" t="s">
        <v>171</v>
      </c>
      <c r="U145">
        <v>4.3150770566512155E-2</v>
      </c>
      <c r="V145" t="s">
        <v>166</v>
      </c>
      <c r="AK145">
        <v>2041</v>
      </c>
      <c r="AL145" t="s">
        <v>159</v>
      </c>
      <c r="AM145">
        <v>0.50839999999999996</v>
      </c>
      <c r="AN145" t="s">
        <v>226</v>
      </c>
    </row>
    <row r="146" spans="9:40" x14ac:dyDescent="0.45">
      <c r="I146" t="s">
        <v>177</v>
      </c>
      <c r="J146" t="s">
        <v>238</v>
      </c>
      <c r="K146">
        <v>0</v>
      </c>
      <c r="L146" t="s">
        <v>166</v>
      </c>
      <c r="N146" t="s">
        <v>190</v>
      </c>
      <c r="O146" t="s">
        <v>238</v>
      </c>
      <c r="P146">
        <v>4.4975946956045971E-3</v>
      </c>
      <c r="Q146" t="s">
        <v>166</v>
      </c>
      <c r="S146" t="s">
        <v>204</v>
      </c>
      <c r="T146" t="s">
        <v>238</v>
      </c>
      <c r="U146">
        <v>3.0347314976150457E-3</v>
      </c>
      <c r="V146" t="s">
        <v>166</v>
      </c>
      <c r="AK146">
        <v>2041</v>
      </c>
      <c r="AL146" t="s">
        <v>161</v>
      </c>
      <c r="AM146">
        <v>0.47860000000000003</v>
      </c>
      <c r="AN146" t="s">
        <v>226</v>
      </c>
    </row>
    <row r="147" spans="9:40" x14ac:dyDescent="0.45">
      <c r="I147" t="s">
        <v>177</v>
      </c>
      <c r="J147" t="s">
        <v>239</v>
      </c>
      <c r="K147">
        <v>0</v>
      </c>
      <c r="L147" t="s">
        <v>166</v>
      </c>
      <c r="N147" t="s">
        <v>190</v>
      </c>
      <c r="O147" t="s">
        <v>239</v>
      </c>
      <c r="P147">
        <v>4.3570088357632588E-3</v>
      </c>
      <c r="Q147" t="s">
        <v>166</v>
      </c>
      <c r="S147" t="s">
        <v>204</v>
      </c>
      <c r="T147" t="s">
        <v>239</v>
      </c>
      <c r="U147">
        <v>2.9932717420483416E-3</v>
      </c>
      <c r="V147" t="s">
        <v>166</v>
      </c>
      <c r="AK147">
        <v>2041</v>
      </c>
      <c r="AL147" t="s">
        <v>228</v>
      </c>
      <c r="AM147">
        <v>0.42784999999999995</v>
      </c>
      <c r="AN147" t="s">
        <v>226</v>
      </c>
    </row>
    <row r="148" spans="9:40" x14ac:dyDescent="0.45">
      <c r="I148" t="s">
        <v>177</v>
      </c>
      <c r="J148" t="s">
        <v>240</v>
      </c>
      <c r="K148">
        <v>0</v>
      </c>
      <c r="L148" t="s">
        <v>166</v>
      </c>
      <c r="N148" t="s">
        <v>190</v>
      </c>
      <c r="O148" t="s">
        <v>240</v>
      </c>
      <c r="P148">
        <v>4.2364846210461819E-3</v>
      </c>
      <c r="Q148" t="s">
        <v>166</v>
      </c>
      <c r="S148" t="s">
        <v>204</v>
      </c>
      <c r="T148" t="s">
        <v>240</v>
      </c>
      <c r="U148">
        <v>3.0357250144058597E-3</v>
      </c>
      <c r="V148" t="s">
        <v>166</v>
      </c>
      <c r="AK148">
        <v>2041</v>
      </c>
      <c r="AL148" t="s">
        <v>230</v>
      </c>
      <c r="AM148">
        <v>0.39410000000000001</v>
      </c>
      <c r="AN148" t="s">
        <v>226</v>
      </c>
    </row>
    <row r="149" spans="9:40" x14ac:dyDescent="0.45">
      <c r="I149" t="s">
        <v>177</v>
      </c>
      <c r="J149" t="s">
        <v>172</v>
      </c>
      <c r="K149">
        <v>0</v>
      </c>
      <c r="L149" t="s">
        <v>166</v>
      </c>
      <c r="N149" t="s">
        <v>190</v>
      </c>
      <c r="O149" t="s">
        <v>172</v>
      </c>
      <c r="P149">
        <v>2.0453003283182728E-2</v>
      </c>
      <c r="Q149" t="s">
        <v>166</v>
      </c>
      <c r="S149" t="s">
        <v>204</v>
      </c>
      <c r="T149" t="s">
        <v>172</v>
      </c>
      <c r="U149">
        <v>2.0033354912260957E-2</v>
      </c>
      <c r="V149" t="s">
        <v>166</v>
      </c>
      <c r="AK149">
        <v>2041</v>
      </c>
      <c r="AL149" t="s">
        <v>232</v>
      </c>
      <c r="AM149">
        <v>0.45500000000000002</v>
      </c>
      <c r="AN149" t="s">
        <v>226</v>
      </c>
    </row>
    <row r="150" spans="9:40" x14ac:dyDescent="0.45">
      <c r="I150" t="s">
        <v>177</v>
      </c>
      <c r="J150" t="s">
        <v>173</v>
      </c>
      <c r="K150">
        <v>4.1646467779077215E-4</v>
      </c>
      <c r="L150" t="s">
        <v>166</v>
      </c>
      <c r="N150" t="s">
        <v>190</v>
      </c>
      <c r="O150" t="s">
        <v>173</v>
      </c>
      <c r="P150">
        <v>3.9460190396845892E-3</v>
      </c>
      <c r="Q150" t="s">
        <v>166</v>
      </c>
      <c r="S150" t="s">
        <v>204</v>
      </c>
      <c r="T150" t="s">
        <v>173</v>
      </c>
      <c r="U150">
        <v>3.8756180487186597E-3</v>
      </c>
      <c r="V150" t="s">
        <v>166</v>
      </c>
      <c r="AK150">
        <v>2041</v>
      </c>
      <c r="AL150" t="s">
        <v>234</v>
      </c>
      <c r="AM150">
        <v>0.53905000000000003</v>
      </c>
      <c r="AN150" t="s">
        <v>226</v>
      </c>
    </row>
    <row r="151" spans="9:40" x14ac:dyDescent="0.45">
      <c r="I151" t="s">
        <v>177</v>
      </c>
      <c r="J151" t="s">
        <v>174</v>
      </c>
      <c r="K151">
        <v>0.128400536198402</v>
      </c>
      <c r="L151" t="s">
        <v>166</v>
      </c>
      <c r="N151" t="s">
        <v>190</v>
      </c>
      <c r="O151" t="s">
        <v>174</v>
      </c>
      <c r="P151">
        <v>5.5565121928429544E-2</v>
      </c>
      <c r="Q151" t="s">
        <v>166</v>
      </c>
      <c r="S151" t="s">
        <v>204</v>
      </c>
      <c r="T151" t="s">
        <v>174</v>
      </c>
      <c r="U151">
        <v>5.5387010790486947E-2</v>
      </c>
      <c r="V151" t="s">
        <v>166</v>
      </c>
      <c r="AK151">
        <v>2042</v>
      </c>
      <c r="AL151" t="s">
        <v>155</v>
      </c>
      <c r="AM151">
        <v>0.58545000000000003</v>
      </c>
      <c r="AN151" t="s">
        <v>226</v>
      </c>
    </row>
    <row r="152" spans="9:40" x14ac:dyDescent="0.45">
      <c r="I152" t="s">
        <v>177</v>
      </c>
      <c r="J152" t="s">
        <v>241</v>
      </c>
      <c r="K152">
        <v>0</v>
      </c>
      <c r="L152" t="s">
        <v>166</v>
      </c>
      <c r="N152" t="s">
        <v>190</v>
      </c>
      <c r="O152" t="s">
        <v>241</v>
      </c>
      <c r="P152">
        <v>4.118146522664754E-3</v>
      </c>
      <c r="Q152" t="s">
        <v>166</v>
      </c>
      <c r="S152" t="s">
        <v>204</v>
      </c>
      <c r="T152" t="s">
        <v>241</v>
      </c>
      <c r="U152">
        <v>4.4106324650821692E-3</v>
      </c>
      <c r="V152" t="s">
        <v>166</v>
      </c>
      <c r="AK152">
        <v>2042</v>
      </c>
      <c r="AL152" t="s">
        <v>159</v>
      </c>
      <c r="AM152">
        <v>0.49730000000000002</v>
      </c>
      <c r="AN152" t="s">
        <v>226</v>
      </c>
    </row>
    <row r="153" spans="9:40" x14ac:dyDescent="0.45">
      <c r="I153" t="s">
        <v>177</v>
      </c>
      <c r="J153" t="s">
        <v>242</v>
      </c>
      <c r="K153">
        <v>0</v>
      </c>
      <c r="L153" t="s">
        <v>166</v>
      </c>
      <c r="N153" t="s">
        <v>190</v>
      </c>
      <c r="O153" t="s">
        <v>242</v>
      </c>
      <c r="P153">
        <v>4.1900650863104698E-3</v>
      </c>
      <c r="Q153" t="s">
        <v>166</v>
      </c>
      <c r="S153" t="s">
        <v>204</v>
      </c>
      <c r="T153" t="s">
        <v>242</v>
      </c>
      <c r="U153">
        <v>4.4944754282591646E-3</v>
      </c>
      <c r="V153" t="s">
        <v>166</v>
      </c>
      <c r="AK153">
        <v>2042</v>
      </c>
      <c r="AL153" t="s">
        <v>161</v>
      </c>
      <c r="AM153">
        <v>0.50329999999999997</v>
      </c>
      <c r="AN153" t="s">
        <v>226</v>
      </c>
    </row>
    <row r="154" spans="9:40" x14ac:dyDescent="0.45">
      <c r="I154" t="s">
        <v>177</v>
      </c>
      <c r="J154" t="s">
        <v>243</v>
      </c>
      <c r="K154">
        <v>0</v>
      </c>
      <c r="L154" t="s">
        <v>166</v>
      </c>
      <c r="N154" t="s">
        <v>190</v>
      </c>
      <c r="O154" t="s">
        <v>243</v>
      </c>
      <c r="P154">
        <v>4.3550359282708727E-3</v>
      </c>
      <c r="Q154" t="s">
        <v>166</v>
      </c>
      <c r="S154" t="s">
        <v>204</v>
      </c>
      <c r="T154" t="s">
        <v>243</v>
      </c>
      <c r="U154">
        <v>4.5406097136981823E-3</v>
      </c>
      <c r="V154" t="s">
        <v>166</v>
      </c>
      <c r="AK154">
        <v>2042</v>
      </c>
      <c r="AL154" t="s">
        <v>228</v>
      </c>
      <c r="AM154">
        <v>0.41670000000000001</v>
      </c>
      <c r="AN154" t="s">
        <v>226</v>
      </c>
    </row>
    <row r="155" spans="9:40" x14ac:dyDescent="0.45">
      <c r="I155" t="s">
        <v>177</v>
      </c>
      <c r="J155" t="s">
        <v>244</v>
      </c>
      <c r="K155">
        <v>2.4934861502342136E-3</v>
      </c>
      <c r="L155" t="s">
        <v>166</v>
      </c>
      <c r="N155" t="s">
        <v>190</v>
      </c>
      <c r="O155" t="s">
        <v>244</v>
      </c>
      <c r="P155">
        <v>5.5804211001612605E-2</v>
      </c>
      <c r="Q155" t="s">
        <v>166</v>
      </c>
      <c r="S155" t="s">
        <v>204</v>
      </c>
      <c r="T155" t="s">
        <v>244</v>
      </c>
      <c r="U155">
        <v>5.9603132780821563E-2</v>
      </c>
      <c r="V155" t="s">
        <v>166</v>
      </c>
      <c r="AK155">
        <v>2042</v>
      </c>
      <c r="AL155" t="s">
        <v>230</v>
      </c>
      <c r="AM155">
        <v>0.40150000000000002</v>
      </c>
      <c r="AN155" t="s">
        <v>226</v>
      </c>
    </row>
    <row r="156" spans="9:40" x14ac:dyDescent="0.45">
      <c r="I156" t="s">
        <v>177</v>
      </c>
      <c r="J156" t="s">
        <v>245</v>
      </c>
      <c r="K156">
        <v>1.1099850349220876E-2</v>
      </c>
      <c r="L156" t="s">
        <v>166</v>
      </c>
      <c r="N156" t="s">
        <v>190</v>
      </c>
      <c r="O156" t="s">
        <v>245</v>
      </c>
      <c r="P156">
        <v>1.0647604951630831E-2</v>
      </c>
      <c r="Q156" t="s">
        <v>166</v>
      </c>
      <c r="S156" t="s">
        <v>204</v>
      </c>
      <c r="T156" t="s">
        <v>245</v>
      </c>
      <c r="U156">
        <v>1.1706957644882778E-2</v>
      </c>
      <c r="V156" t="s">
        <v>166</v>
      </c>
      <c r="AK156">
        <v>2042</v>
      </c>
      <c r="AL156" t="s">
        <v>232</v>
      </c>
      <c r="AM156">
        <v>0.41120000000000001</v>
      </c>
      <c r="AN156" t="s">
        <v>226</v>
      </c>
    </row>
    <row r="157" spans="9:40" x14ac:dyDescent="0.45">
      <c r="I157" t="s">
        <v>177</v>
      </c>
      <c r="J157" t="s">
        <v>246</v>
      </c>
      <c r="K157">
        <v>0.56442038501823266</v>
      </c>
      <c r="L157" t="s">
        <v>166</v>
      </c>
      <c r="N157" t="s">
        <v>190</v>
      </c>
      <c r="O157" t="s">
        <v>246</v>
      </c>
      <c r="P157">
        <v>0.16864666669414902</v>
      </c>
      <c r="Q157" t="s">
        <v>166</v>
      </c>
      <c r="S157" t="s">
        <v>204</v>
      </c>
      <c r="T157" t="s">
        <v>246</v>
      </c>
      <c r="U157">
        <v>0.15395742257683745</v>
      </c>
      <c r="V157" t="s">
        <v>166</v>
      </c>
      <c r="AK157">
        <v>2042</v>
      </c>
      <c r="AL157" t="s">
        <v>234</v>
      </c>
      <c r="AM157">
        <v>0.47050000000000003</v>
      </c>
      <c r="AN157" t="s">
        <v>226</v>
      </c>
    </row>
    <row r="158" spans="9:40" x14ac:dyDescent="0.45">
      <c r="I158" t="s">
        <v>177</v>
      </c>
      <c r="J158" t="s">
        <v>247</v>
      </c>
      <c r="K158">
        <v>1.3011069919610833E-4</v>
      </c>
      <c r="L158" t="s">
        <v>166</v>
      </c>
      <c r="N158" t="s">
        <v>190</v>
      </c>
      <c r="O158" t="s">
        <v>247</v>
      </c>
      <c r="P158">
        <v>1.2185481350520109E-2</v>
      </c>
      <c r="Q158" t="s">
        <v>166</v>
      </c>
      <c r="S158" t="s">
        <v>204</v>
      </c>
      <c r="T158" t="s">
        <v>247</v>
      </c>
      <c r="U158">
        <v>1.1118612003782115E-2</v>
      </c>
      <c r="V158" t="s">
        <v>166</v>
      </c>
      <c r="AK158">
        <v>2043</v>
      </c>
      <c r="AL158" t="s">
        <v>155</v>
      </c>
      <c r="AM158">
        <v>0.50590000000000002</v>
      </c>
      <c r="AN158" t="s">
        <v>226</v>
      </c>
    </row>
    <row r="159" spans="9:40" x14ac:dyDescent="0.45">
      <c r="I159" t="s">
        <v>177</v>
      </c>
      <c r="J159" t="s">
        <v>248</v>
      </c>
      <c r="K159">
        <v>0</v>
      </c>
      <c r="L159" t="s">
        <v>166</v>
      </c>
      <c r="N159" t="s">
        <v>190</v>
      </c>
      <c r="O159" t="s">
        <v>248</v>
      </c>
      <c r="P159">
        <v>1.2038112772692254E-2</v>
      </c>
      <c r="Q159" t="s">
        <v>166</v>
      </c>
      <c r="S159" t="s">
        <v>204</v>
      </c>
      <c r="T159" t="s">
        <v>248</v>
      </c>
      <c r="U159">
        <v>1.1347349186736251E-2</v>
      </c>
      <c r="V159" t="s">
        <v>166</v>
      </c>
      <c r="AK159">
        <v>2043</v>
      </c>
      <c r="AL159" t="s">
        <v>159</v>
      </c>
      <c r="AM159">
        <v>0.52749999999999997</v>
      </c>
      <c r="AN159" t="s">
        <v>226</v>
      </c>
    </row>
    <row r="160" spans="9:40" x14ac:dyDescent="0.45">
      <c r="I160" t="s">
        <v>177</v>
      </c>
      <c r="J160" t="s">
        <v>249</v>
      </c>
      <c r="K160">
        <v>0</v>
      </c>
      <c r="L160" t="s">
        <v>166</v>
      </c>
      <c r="N160" t="s">
        <v>190</v>
      </c>
      <c r="O160" t="s">
        <v>249</v>
      </c>
      <c r="P160">
        <v>1.2098538781094166E-2</v>
      </c>
      <c r="Q160" t="s">
        <v>166</v>
      </c>
      <c r="S160" t="s">
        <v>204</v>
      </c>
      <c r="T160" t="s">
        <v>249</v>
      </c>
      <c r="U160">
        <v>1.1986690777915658E-2</v>
      </c>
      <c r="V160" t="s">
        <v>166</v>
      </c>
      <c r="AK160">
        <v>2043</v>
      </c>
      <c r="AL160" t="s">
        <v>161</v>
      </c>
      <c r="AM160">
        <v>0.51160000000000005</v>
      </c>
      <c r="AN160" t="s">
        <v>226</v>
      </c>
    </row>
    <row r="161" spans="9:40" x14ac:dyDescent="0.45">
      <c r="I161" t="s">
        <v>177</v>
      </c>
      <c r="J161" t="s">
        <v>250</v>
      </c>
      <c r="K161">
        <v>0</v>
      </c>
      <c r="L161" t="s">
        <v>166</v>
      </c>
      <c r="N161" t="s">
        <v>190</v>
      </c>
      <c r="O161" t="s">
        <v>250</v>
      </c>
      <c r="P161">
        <v>1.2491996280166541E-2</v>
      </c>
      <c r="Q161" t="s">
        <v>166</v>
      </c>
      <c r="S161" t="s">
        <v>204</v>
      </c>
      <c r="T161" t="s">
        <v>250</v>
      </c>
      <c r="U161">
        <v>1.3696008317005143E-2</v>
      </c>
      <c r="V161" t="s">
        <v>166</v>
      </c>
      <c r="AK161">
        <v>2043</v>
      </c>
      <c r="AL161" t="s">
        <v>228</v>
      </c>
      <c r="AM161">
        <v>0.432</v>
      </c>
      <c r="AN161" t="s">
        <v>226</v>
      </c>
    </row>
    <row r="162" spans="9:40" x14ac:dyDescent="0.45">
      <c r="I162" t="s">
        <v>177</v>
      </c>
      <c r="J162" t="s">
        <v>251</v>
      </c>
      <c r="K162">
        <v>0</v>
      </c>
      <c r="L162" t="s">
        <v>166</v>
      </c>
      <c r="N162" t="s">
        <v>190</v>
      </c>
      <c r="O162" t="s">
        <v>251</v>
      </c>
      <c r="P162">
        <v>2.2731820500971438E-3</v>
      </c>
      <c r="Q162" t="s">
        <v>166</v>
      </c>
      <c r="S162" t="s">
        <v>204</v>
      </c>
      <c r="T162" t="s">
        <v>251</v>
      </c>
      <c r="U162">
        <v>2.5765209473680019E-3</v>
      </c>
      <c r="V162" t="s">
        <v>166</v>
      </c>
      <c r="AK162">
        <v>2043</v>
      </c>
      <c r="AL162" t="s">
        <v>230</v>
      </c>
      <c r="AM162">
        <v>0.38040000000000002</v>
      </c>
      <c r="AN162" t="s">
        <v>226</v>
      </c>
    </row>
    <row r="163" spans="9:40" x14ac:dyDescent="0.45">
      <c r="I163" t="s">
        <v>177</v>
      </c>
      <c r="J163" t="s">
        <v>252</v>
      </c>
      <c r="K163">
        <v>8.4372432759989222E-2</v>
      </c>
      <c r="L163" t="s">
        <v>166</v>
      </c>
      <c r="N163" t="s">
        <v>190</v>
      </c>
      <c r="O163" t="s">
        <v>252</v>
      </c>
      <c r="P163">
        <v>3.5239611509599873E-2</v>
      </c>
      <c r="Q163" t="s">
        <v>166</v>
      </c>
      <c r="S163" t="s">
        <v>204</v>
      </c>
      <c r="T163" t="s">
        <v>252</v>
      </c>
      <c r="U163">
        <v>3.9730350607205499E-2</v>
      </c>
      <c r="V163" t="s">
        <v>166</v>
      </c>
      <c r="AK163">
        <v>2043</v>
      </c>
      <c r="AL163" t="s">
        <v>232</v>
      </c>
      <c r="AM163">
        <v>0.43190000000000001</v>
      </c>
      <c r="AN163" t="s">
        <v>226</v>
      </c>
    </row>
    <row r="164" spans="9:40" x14ac:dyDescent="0.45">
      <c r="I164" t="s">
        <v>177</v>
      </c>
      <c r="J164" t="s">
        <v>253</v>
      </c>
      <c r="K164">
        <v>0</v>
      </c>
      <c r="L164" t="s">
        <v>166</v>
      </c>
      <c r="N164" t="s">
        <v>190</v>
      </c>
      <c r="O164" t="s">
        <v>253</v>
      </c>
      <c r="P164">
        <v>2.626839970541662E-3</v>
      </c>
      <c r="Q164" t="s">
        <v>166</v>
      </c>
      <c r="S164" t="s">
        <v>204</v>
      </c>
      <c r="T164" t="s">
        <v>253</v>
      </c>
      <c r="U164">
        <v>3.0401828510413847E-3</v>
      </c>
      <c r="V164" t="s">
        <v>166</v>
      </c>
      <c r="AK164">
        <v>2043</v>
      </c>
      <c r="AL164" t="s">
        <v>234</v>
      </c>
      <c r="AM164">
        <v>0.49565000000000003</v>
      </c>
      <c r="AN164" t="s">
        <v>226</v>
      </c>
    </row>
    <row r="165" spans="9:40" x14ac:dyDescent="0.45">
      <c r="I165" t="s">
        <v>177</v>
      </c>
      <c r="J165" t="s">
        <v>254</v>
      </c>
      <c r="K165">
        <v>0</v>
      </c>
      <c r="L165" t="s">
        <v>166</v>
      </c>
      <c r="N165" t="s">
        <v>190</v>
      </c>
      <c r="O165" t="s">
        <v>254</v>
      </c>
      <c r="P165">
        <v>2.524719537749626E-3</v>
      </c>
      <c r="Q165" t="s">
        <v>166</v>
      </c>
      <c r="S165" t="s">
        <v>204</v>
      </c>
      <c r="T165" t="s">
        <v>254</v>
      </c>
      <c r="U165">
        <v>2.9459858564598335E-3</v>
      </c>
      <c r="V165" t="s">
        <v>166</v>
      </c>
      <c r="AK165">
        <v>2044</v>
      </c>
      <c r="AL165" t="s">
        <v>155</v>
      </c>
      <c r="AM165">
        <v>0.51270000000000004</v>
      </c>
      <c r="AN165" t="s">
        <v>226</v>
      </c>
    </row>
    <row r="166" spans="9:40" x14ac:dyDescent="0.45">
      <c r="I166" t="s">
        <v>177</v>
      </c>
      <c r="J166" t="s">
        <v>255</v>
      </c>
      <c r="K166">
        <v>0</v>
      </c>
      <c r="L166" t="s">
        <v>166</v>
      </c>
      <c r="N166" t="s">
        <v>190</v>
      </c>
      <c r="O166" t="s">
        <v>255</v>
      </c>
      <c r="P166">
        <v>2.6363347314648316E-3</v>
      </c>
      <c r="Q166" t="s">
        <v>166</v>
      </c>
      <c r="S166" t="s">
        <v>204</v>
      </c>
      <c r="T166" t="s">
        <v>255</v>
      </c>
      <c r="U166">
        <v>2.9558829358133617E-3</v>
      </c>
      <c r="V166" t="s">
        <v>166</v>
      </c>
      <c r="AK166">
        <v>2044</v>
      </c>
      <c r="AL166" t="s">
        <v>159</v>
      </c>
      <c r="AM166">
        <v>0.48449999999999999</v>
      </c>
      <c r="AN166" t="s">
        <v>226</v>
      </c>
    </row>
    <row r="167" spans="9:40" x14ac:dyDescent="0.45">
      <c r="I167" t="s">
        <v>177</v>
      </c>
      <c r="J167" t="s">
        <v>256</v>
      </c>
      <c r="K167">
        <v>0</v>
      </c>
      <c r="L167" t="s">
        <v>166</v>
      </c>
      <c r="N167" t="s">
        <v>190</v>
      </c>
      <c r="O167" t="s">
        <v>256</v>
      </c>
      <c r="P167">
        <v>2.1307673581648003E-2</v>
      </c>
      <c r="Q167" t="s">
        <v>166</v>
      </c>
      <c r="S167" t="s">
        <v>204</v>
      </c>
      <c r="T167" t="s">
        <v>256</v>
      </c>
      <c r="U167">
        <v>1.968737037600312E-2</v>
      </c>
      <c r="V167" t="s">
        <v>166</v>
      </c>
      <c r="AK167">
        <v>2044</v>
      </c>
      <c r="AL167" t="s">
        <v>161</v>
      </c>
      <c r="AM167">
        <v>0.42049999999999998</v>
      </c>
      <c r="AN167" t="s">
        <v>226</v>
      </c>
    </row>
    <row r="168" spans="9:40" x14ac:dyDescent="0.45">
      <c r="I168" t="s">
        <v>177</v>
      </c>
      <c r="J168" t="s">
        <v>257</v>
      </c>
      <c r="K168">
        <v>0</v>
      </c>
      <c r="L168" t="s">
        <v>166</v>
      </c>
      <c r="N168" t="s">
        <v>190</v>
      </c>
      <c r="O168" t="s">
        <v>257</v>
      </c>
      <c r="P168">
        <v>4.333316186502712E-3</v>
      </c>
      <c r="Q168" t="s">
        <v>166</v>
      </c>
      <c r="S168" t="s">
        <v>204</v>
      </c>
      <c r="T168" t="s">
        <v>257</v>
      </c>
      <c r="U168">
        <v>3.7457947903390288E-3</v>
      </c>
      <c r="V168" t="s">
        <v>166</v>
      </c>
      <c r="AK168">
        <v>2044</v>
      </c>
      <c r="AL168" t="s">
        <v>228</v>
      </c>
      <c r="AM168">
        <v>0.40647499999999998</v>
      </c>
      <c r="AN168" t="s">
        <v>226</v>
      </c>
    </row>
    <row r="169" spans="9:40" x14ac:dyDescent="0.45">
      <c r="I169" t="s">
        <v>177</v>
      </c>
      <c r="J169" t="s">
        <v>258</v>
      </c>
      <c r="K169">
        <v>4.1683972772833998E-2</v>
      </c>
      <c r="L169" t="s">
        <v>166</v>
      </c>
      <c r="N169" t="s">
        <v>190</v>
      </c>
      <c r="O169" t="s">
        <v>258</v>
      </c>
      <c r="P169">
        <v>6.5330112733864146E-2</v>
      </c>
      <c r="Q169" t="s">
        <v>166</v>
      </c>
      <c r="S169" t="s">
        <v>204</v>
      </c>
      <c r="T169" t="s">
        <v>258</v>
      </c>
      <c r="U169">
        <v>5.9254439409765956E-2</v>
      </c>
      <c r="V169" t="s">
        <v>166</v>
      </c>
      <c r="AK169">
        <v>2044</v>
      </c>
      <c r="AL169" t="s">
        <v>230</v>
      </c>
      <c r="AM169">
        <v>0.42230000000000001</v>
      </c>
      <c r="AN169" t="s">
        <v>226</v>
      </c>
    </row>
    <row r="170" spans="9:40" x14ac:dyDescent="0.45">
      <c r="I170" t="s">
        <v>177</v>
      </c>
      <c r="J170" t="s">
        <v>259</v>
      </c>
      <c r="K170">
        <v>0</v>
      </c>
      <c r="L170" t="s">
        <v>166</v>
      </c>
      <c r="N170" t="s">
        <v>190</v>
      </c>
      <c r="O170" t="s">
        <v>259</v>
      </c>
      <c r="P170">
        <v>4.2094803966307966E-3</v>
      </c>
      <c r="Q170" t="s">
        <v>166</v>
      </c>
      <c r="S170" t="s">
        <v>204</v>
      </c>
      <c r="T170" t="s">
        <v>259</v>
      </c>
      <c r="U170">
        <v>4.2111796704814089E-3</v>
      </c>
      <c r="V170" t="s">
        <v>166</v>
      </c>
      <c r="AK170">
        <v>2044</v>
      </c>
      <c r="AL170" t="s">
        <v>232</v>
      </c>
      <c r="AM170">
        <v>0.47410000000000002</v>
      </c>
      <c r="AN170" t="s">
        <v>226</v>
      </c>
    </row>
    <row r="171" spans="9:40" x14ac:dyDescent="0.45">
      <c r="I171" t="s">
        <v>177</v>
      </c>
      <c r="J171" t="s">
        <v>260</v>
      </c>
      <c r="K171">
        <v>0</v>
      </c>
      <c r="L171" t="s">
        <v>166</v>
      </c>
      <c r="N171" t="s">
        <v>190</v>
      </c>
      <c r="O171" t="s">
        <v>260</v>
      </c>
      <c r="P171">
        <v>4.2181457245077884E-3</v>
      </c>
      <c r="Q171" t="s">
        <v>166</v>
      </c>
      <c r="S171" t="s">
        <v>204</v>
      </c>
      <c r="T171" t="s">
        <v>260</v>
      </c>
      <c r="U171">
        <v>4.0645128861822024E-3</v>
      </c>
      <c r="V171" t="s">
        <v>166</v>
      </c>
      <c r="AK171">
        <v>2044</v>
      </c>
      <c r="AL171" t="s">
        <v>234</v>
      </c>
      <c r="AM171">
        <v>0.49934999999999996</v>
      </c>
      <c r="AN171" t="s">
        <v>226</v>
      </c>
    </row>
    <row r="172" spans="9:40" x14ac:dyDescent="0.45">
      <c r="I172" t="s">
        <v>177</v>
      </c>
      <c r="J172" t="s">
        <v>261</v>
      </c>
      <c r="K172">
        <v>0</v>
      </c>
      <c r="L172" t="s">
        <v>166</v>
      </c>
      <c r="N172" t="s">
        <v>190</v>
      </c>
      <c r="O172" t="s">
        <v>261</v>
      </c>
      <c r="P172">
        <v>4.3728752295332284E-3</v>
      </c>
      <c r="Q172" t="s">
        <v>166</v>
      </c>
      <c r="S172" t="s">
        <v>204</v>
      </c>
      <c r="T172" t="s">
        <v>261</v>
      </c>
      <c r="U172">
        <v>4.0621316048191115E-3</v>
      </c>
      <c r="V172" t="s">
        <v>166</v>
      </c>
      <c r="AK172">
        <v>2045</v>
      </c>
      <c r="AL172" t="s">
        <v>155</v>
      </c>
      <c r="AM172">
        <v>0.55979999999999996</v>
      </c>
      <c r="AN172" t="s">
        <v>226</v>
      </c>
    </row>
    <row r="173" spans="9:40" x14ac:dyDescent="0.45">
      <c r="I173" t="s">
        <v>177</v>
      </c>
      <c r="J173" t="s">
        <v>262</v>
      </c>
      <c r="K173">
        <v>0</v>
      </c>
      <c r="L173" t="s">
        <v>166</v>
      </c>
      <c r="N173" t="s">
        <v>190</v>
      </c>
      <c r="O173" t="s">
        <v>262</v>
      </c>
      <c r="P173">
        <v>4.5482564134730501E-2</v>
      </c>
      <c r="Q173" t="s">
        <v>166</v>
      </c>
      <c r="S173" t="s">
        <v>204</v>
      </c>
      <c r="T173" t="s">
        <v>262</v>
      </c>
      <c r="U173">
        <v>5.005456235947587E-2</v>
      </c>
      <c r="V173" t="s">
        <v>166</v>
      </c>
      <c r="AK173">
        <v>2045</v>
      </c>
      <c r="AL173" t="s">
        <v>159</v>
      </c>
      <c r="AM173">
        <v>0.53059999999999996</v>
      </c>
      <c r="AN173" t="s">
        <v>226</v>
      </c>
    </row>
    <row r="174" spans="9:40" x14ac:dyDescent="0.45">
      <c r="I174" t="s">
        <v>177</v>
      </c>
      <c r="J174" t="s">
        <v>263</v>
      </c>
      <c r="K174">
        <v>0</v>
      </c>
      <c r="L174" t="s">
        <v>166</v>
      </c>
      <c r="N174" t="s">
        <v>190</v>
      </c>
      <c r="O174" t="s">
        <v>263</v>
      </c>
      <c r="P174">
        <v>8.8914169076399104E-3</v>
      </c>
      <c r="Q174" t="s">
        <v>166</v>
      </c>
      <c r="S174" t="s">
        <v>204</v>
      </c>
      <c r="T174" t="s">
        <v>263</v>
      </c>
      <c r="U174">
        <v>1.0213222985009341E-2</v>
      </c>
      <c r="V174" t="s">
        <v>166</v>
      </c>
      <c r="AK174">
        <v>2045</v>
      </c>
      <c r="AL174" t="s">
        <v>161</v>
      </c>
      <c r="AM174">
        <v>0.4299</v>
      </c>
      <c r="AN174" t="s">
        <v>226</v>
      </c>
    </row>
    <row r="175" spans="9:40" x14ac:dyDescent="0.45">
      <c r="I175" t="s">
        <v>177</v>
      </c>
      <c r="J175" t="s">
        <v>264</v>
      </c>
      <c r="K175">
        <v>2.9801498275091532E-2</v>
      </c>
      <c r="L175" t="s">
        <v>166</v>
      </c>
      <c r="N175" t="s">
        <v>190</v>
      </c>
      <c r="O175" t="s">
        <v>264</v>
      </c>
      <c r="P175">
        <v>0.13591231469653869</v>
      </c>
      <c r="Q175" t="s">
        <v>166</v>
      </c>
      <c r="S175" t="s">
        <v>204</v>
      </c>
      <c r="T175" t="s">
        <v>264</v>
      </c>
      <c r="U175">
        <v>0.15627715560425728</v>
      </c>
      <c r="V175" t="s">
        <v>166</v>
      </c>
      <c r="AK175">
        <v>2045</v>
      </c>
      <c r="AL175" t="s">
        <v>228</v>
      </c>
      <c r="AM175">
        <v>0.4224</v>
      </c>
      <c r="AN175" t="s">
        <v>226</v>
      </c>
    </row>
    <row r="176" spans="9:40" x14ac:dyDescent="0.45">
      <c r="I176" t="s">
        <v>177</v>
      </c>
      <c r="J176" t="s">
        <v>265</v>
      </c>
      <c r="K176">
        <v>0</v>
      </c>
      <c r="L176" t="s">
        <v>166</v>
      </c>
      <c r="N176" t="s">
        <v>190</v>
      </c>
      <c r="O176" t="s">
        <v>265</v>
      </c>
      <c r="P176">
        <v>9.3137053251585219E-3</v>
      </c>
      <c r="Q176" t="s">
        <v>166</v>
      </c>
      <c r="S176" t="s">
        <v>204</v>
      </c>
      <c r="T176" t="s">
        <v>265</v>
      </c>
      <c r="U176">
        <v>1.0805454474400636E-2</v>
      </c>
      <c r="V176" t="s">
        <v>166</v>
      </c>
      <c r="AK176">
        <v>2045</v>
      </c>
      <c r="AL176" t="s">
        <v>230</v>
      </c>
      <c r="AM176">
        <v>0.3921</v>
      </c>
      <c r="AN176" t="s">
        <v>226</v>
      </c>
    </row>
    <row r="177" spans="9:40" x14ac:dyDescent="0.45">
      <c r="I177" t="s">
        <v>177</v>
      </c>
      <c r="J177" t="s">
        <v>266</v>
      </c>
      <c r="K177">
        <v>0</v>
      </c>
      <c r="L177" t="s">
        <v>166</v>
      </c>
      <c r="N177" t="s">
        <v>190</v>
      </c>
      <c r="O177" t="s">
        <v>266</v>
      </c>
      <c r="P177">
        <v>9.2195037530027699E-3</v>
      </c>
      <c r="Q177" t="s">
        <v>166</v>
      </c>
      <c r="S177" t="s">
        <v>204</v>
      </c>
      <c r="T177" t="s">
        <v>266</v>
      </c>
      <c r="U177">
        <v>1.0595006976604614E-2</v>
      </c>
      <c r="V177" t="s">
        <v>166</v>
      </c>
      <c r="AK177">
        <v>2045</v>
      </c>
      <c r="AL177" t="s">
        <v>232</v>
      </c>
      <c r="AM177">
        <v>0.4269</v>
      </c>
      <c r="AN177" t="s">
        <v>226</v>
      </c>
    </row>
    <row r="178" spans="9:40" x14ac:dyDescent="0.45">
      <c r="I178" t="s">
        <v>177</v>
      </c>
      <c r="J178" t="s">
        <v>267</v>
      </c>
      <c r="K178">
        <v>0</v>
      </c>
      <c r="L178" t="s">
        <v>166</v>
      </c>
      <c r="N178" t="s">
        <v>190</v>
      </c>
      <c r="O178" t="s">
        <v>267</v>
      </c>
      <c r="P178">
        <v>9.1220313098539264E-3</v>
      </c>
      <c r="Q178" t="s">
        <v>166</v>
      </c>
      <c r="S178" t="s">
        <v>204</v>
      </c>
      <c r="T178" t="s">
        <v>267</v>
      </c>
      <c r="U178">
        <v>1.0339142699894352E-2</v>
      </c>
      <c r="V178" t="s">
        <v>166</v>
      </c>
      <c r="AK178">
        <v>2045</v>
      </c>
      <c r="AL178" t="s">
        <v>234</v>
      </c>
      <c r="AM178">
        <v>0.48975000000000002</v>
      </c>
      <c r="AN178" t="s">
        <v>226</v>
      </c>
    </row>
    <row r="179" spans="9:40" x14ac:dyDescent="0.45">
      <c r="I179" t="s">
        <v>178</v>
      </c>
      <c r="J179" t="s">
        <v>165</v>
      </c>
      <c r="K179">
        <v>0</v>
      </c>
      <c r="L179" t="s">
        <v>166</v>
      </c>
      <c r="N179" t="s">
        <v>191</v>
      </c>
      <c r="O179" t="s">
        <v>165</v>
      </c>
      <c r="P179">
        <v>3.3479976942161302E-2</v>
      </c>
      <c r="Q179" t="s">
        <v>166</v>
      </c>
      <c r="S179" t="s">
        <v>205</v>
      </c>
      <c r="T179" t="s">
        <v>165</v>
      </c>
      <c r="U179">
        <v>3.5719210344189144E-2</v>
      </c>
      <c r="V179" t="s">
        <v>166</v>
      </c>
      <c r="AK179">
        <v>2046</v>
      </c>
      <c r="AL179" t="s">
        <v>155</v>
      </c>
      <c r="AM179">
        <v>0.52665000000000006</v>
      </c>
      <c r="AN179" t="s">
        <v>226</v>
      </c>
    </row>
    <row r="180" spans="9:40" x14ac:dyDescent="0.45">
      <c r="I180" t="s">
        <v>178</v>
      </c>
      <c r="J180" t="s">
        <v>167</v>
      </c>
      <c r="K180">
        <v>0</v>
      </c>
      <c r="L180" t="s">
        <v>166</v>
      </c>
      <c r="N180" t="s">
        <v>191</v>
      </c>
      <c r="O180" t="s">
        <v>167</v>
      </c>
      <c r="P180">
        <v>6.7232775198040268E-3</v>
      </c>
      <c r="Q180" t="s">
        <v>166</v>
      </c>
      <c r="S180" t="s">
        <v>205</v>
      </c>
      <c r="T180" t="s">
        <v>167</v>
      </c>
      <c r="U180">
        <v>7.1375129668976144E-3</v>
      </c>
      <c r="V180" t="s">
        <v>166</v>
      </c>
      <c r="AK180">
        <v>2046</v>
      </c>
      <c r="AL180" t="s">
        <v>159</v>
      </c>
      <c r="AM180">
        <v>0.48730000000000001</v>
      </c>
      <c r="AN180" t="s">
        <v>226</v>
      </c>
    </row>
    <row r="181" spans="9:40" x14ac:dyDescent="0.45">
      <c r="I181" t="s">
        <v>178</v>
      </c>
      <c r="J181" t="s">
        <v>168</v>
      </c>
      <c r="K181">
        <v>4.890938624286157E-2</v>
      </c>
      <c r="L181" t="s">
        <v>166</v>
      </c>
      <c r="N181" t="s">
        <v>191</v>
      </c>
      <c r="O181" t="s">
        <v>168</v>
      </c>
      <c r="P181">
        <v>9.6149682904310418E-2</v>
      </c>
      <c r="Q181" t="s">
        <v>166</v>
      </c>
      <c r="S181" t="s">
        <v>205</v>
      </c>
      <c r="T181" t="s">
        <v>168</v>
      </c>
      <c r="U181">
        <v>0.11320816912749553</v>
      </c>
      <c r="V181" t="s">
        <v>166</v>
      </c>
      <c r="AK181">
        <v>2046</v>
      </c>
      <c r="AL181" t="s">
        <v>161</v>
      </c>
      <c r="AM181">
        <v>0.50629999999999997</v>
      </c>
      <c r="AN181" t="s">
        <v>226</v>
      </c>
    </row>
    <row r="182" spans="9:40" x14ac:dyDescent="0.45">
      <c r="I182" t="s">
        <v>178</v>
      </c>
      <c r="J182" t="s">
        <v>235</v>
      </c>
      <c r="K182">
        <v>0</v>
      </c>
      <c r="L182" t="s">
        <v>166</v>
      </c>
      <c r="N182" t="s">
        <v>191</v>
      </c>
      <c r="O182" t="s">
        <v>235</v>
      </c>
      <c r="P182">
        <v>6.7453816419014434E-3</v>
      </c>
      <c r="Q182" t="s">
        <v>166</v>
      </c>
      <c r="S182" t="s">
        <v>205</v>
      </c>
      <c r="T182" t="s">
        <v>235</v>
      </c>
      <c r="U182">
        <v>7.5072449856475442E-3</v>
      </c>
      <c r="V182" t="s">
        <v>166</v>
      </c>
      <c r="AK182">
        <v>2046</v>
      </c>
      <c r="AL182" t="s">
        <v>228</v>
      </c>
      <c r="AM182">
        <v>0.4214</v>
      </c>
      <c r="AN182" t="s">
        <v>226</v>
      </c>
    </row>
    <row r="183" spans="9:40" x14ac:dyDescent="0.45">
      <c r="I183" t="s">
        <v>178</v>
      </c>
      <c r="J183" t="s">
        <v>236</v>
      </c>
      <c r="K183">
        <v>0</v>
      </c>
      <c r="L183" t="s">
        <v>166</v>
      </c>
      <c r="N183" t="s">
        <v>191</v>
      </c>
      <c r="O183" t="s">
        <v>236</v>
      </c>
      <c r="P183">
        <v>6.6563183710726861E-3</v>
      </c>
      <c r="Q183" t="s">
        <v>166</v>
      </c>
      <c r="S183" t="s">
        <v>205</v>
      </c>
      <c r="T183" t="s">
        <v>236</v>
      </c>
      <c r="U183">
        <v>7.5483924374232583E-3</v>
      </c>
      <c r="V183" t="s">
        <v>166</v>
      </c>
      <c r="AK183">
        <v>2046</v>
      </c>
      <c r="AL183" t="s">
        <v>230</v>
      </c>
      <c r="AM183">
        <v>0.38059999999999999</v>
      </c>
      <c r="AN183" t="s">
        <v>226</v>
      </c>
    </row>
    <row r="184" spans="9:40" x14ac:dyDescent="0.45">
      <c r="I184" t="s">
        <v>178</v>
      </c>
      <c r="J184" t="s">
        <v>237</v>
      </c>
      <c r="K184">
        <v>0</v>
      </c>
      <c r="L184" t="s">
        <v>166</v>
      </c>
      <c r="N184" t="s">
        <v>191</v>
      </c>
      <c r="O184" t="s">
        <v>237</v>
      </c>
      <c r="P184">
        <v>6.5335325818535062E-3</v>
      </c>
      <c r="Q184" t="s">
        <v>166</v>
      </c>
      <c r="S184" t="s">
        <v>205</v>
      </c>
      <c r="T184" t="s">
        <v>237</v>
      </c>
      <c r="U184">
        <v>7.6459485585867407E-3</v>
      </c>
      <c r="V184" t="s">
        <v>166</v>
      </c>
      <c r="AK184">
        <v>2046</v>
      </c>
      <c r="AL184" t="s">
        <v>232</v>
      </c>
      <c r="AM184">
        <v>0.41920000000000002</v>
      </c>
      <c r="AN184" t="s">
        <v>226</v>
      </c>
    </row>
    <row r="185" spans="9:40" x14ac:dyDescent="0.45">
      <c r="I185" t="s">
        <v>178</v>
      </c>
      <c r="J185" t="s">
        <v>169</v>
      </c>
      <c r="K185">
        <v>0</v>
      </c>
      <c r="L185" t="s">
        <v>166</v>
      </c>
      <c r="N185" t="s">
        <v>191</v>
      </c>
      <c r="O185" t="s">
        <v>169</v>
      </c>
      <c r="P185">
        <v>2.0310265289460408E-2</v>
      </c>
      <c r="Q185" t="s">
        <v>166</v>
      </c>
      <c r="S185" t="s">
        <v>205</v>
      </c>
      <c r="T185" t="s">
        <v>169</v>
      </c>
      <c r="U185">
        <v>1.7281881281940067E-2</v>
      </c>
      <c r="V185" t="s">
        <v>166</v>
      </c>
      <c r="AK185">
        <v>2046</v>
      </c>
      <c r="AL185" t="s">
        <v>234</v>
      </c>
      <c r="AM185">
        <v>0.51190000000000002</v>
      </c>
      <c r="AN185" t="s">
        <v>226</v>
      </c>
    </row>
    <row r="186" spans="9:40" x14ac:dyDescent="0.45">
      <c r="I186" t="s">
        <v>178</v>
      </c>
      <c r="J186" t="s">
        <v>170</v>
      </c>
      <c r="K186">
        <v>0</v>
      </c>
      <c r="L186" t="s">
        <v>166</v>
      </c>
      <c r="N186" t="s">
        <v>191</v>
      </c>
      <c r="O186" t="s">
        <v>170</v>
      </c>
      <c r="P186">
        <v>3.9399867848164466E-3</v>
      </c>
      <c r="Q186" t="s">
        <v>166</v>
      </c>
      <c r="S186" t="s">
        <v>205</v>
      </c>
      <c r="T186" t="s">
        <v>170</v>
      </c>
      <c r="U186">
        <v>3.8451472048918402E-3</v>
      </c>
      <c r="V186" t="s">
        <v>166</v>
      </c>
      <c r="AK186">
        <v>2047</v>
      </c>
      <c r="AL186" t="s">
        <v>155</v>
      </c>
      <c r="AM186">
        <v>0.5525500000000001</v>
      </c>
      <c r="AN186" t="s">
        <v>226</v>
      </c>
    </row>
    <row r="187" spans="9:40" x14ac:dyDescent="0.45">
      <c r="I187" t="s">
        <v>178</v>
      </c>
      <c r="J187" t="s">
        <v>171</v>
      </c>
      <c r="K187">
        <v>0.10781910855693382</v>
      </c>
      <c r="L187" t="s">
        <v>166</v>
      </c>
      <c r="N187" t="s">
        <v>191</v>
      </c>
      <c r="O187" t="s">
        <v>171</v>
      </c>
      <c r="P187">
        <v>6.4415275355003049E-2</v>
      </c>
      <c r="Q187" t="s">
        <v>166</v>
      </c>
      <c r="S187" t="s">
        <v>205</v>
      </c>
      <c r="T187" t="s">
        <v>171</v>
      </c>
      <c r="U187">
        <v>4.3300486962369426E-2</v>
      </c>
      <c r="V187" t="s">
        <v>166</v>
      </c>
      <c r="AK187">
        <v>2047</v>
      </c>
      <c r="AL187" t="s">
        <v>159</v>
      </c>
      <c r="AM187">
        <v>0.50970000000000004</v>
      </c>
      <c r="AN187" t="s">
        <v>226</v>
      </c>
    </row>
    <row r="188" spans="9:40" x14ac:dyDescent="0.45">
      <c r="I188" t="s">
        <v>178</v>
      </c>
      <c r="J188" t="s">
        <v>238</v>
      </c>
      <c r="K188">
        <v>0</v>
      </c>
      <c r="L188" t="s">
        <v>166</v>
      </c>
      <c r="N188" t="s">
        <v>191</v>
      </c>
      <c r="O188" t="s">
        <v>238</v>
      </c>
      <c r="P188">
        <v>4.5792268031012847E-3</v>
      </c>
      <c r="Q188" t="s">
        <v>166</v>
      </c>
      <c r="S188" t="s">
        <v>205</v>
      </c>
      <c r="T188" t="s">
        <v>238</v>
      </c>
      <c r="U188">
        <v>2.9633409287049012E-3</v>
      </c>
      <c r="V188" t="s">
        <v>166</v>
      </c>
      <c r="AK188">
        <v>2047</v>
      </c>
      <c r="AL188" t="s">
        <v>161</v>
      </c>
      <c r="AM188">
        <v>0.43340000000000001</v>
      </c>
      <c r="AN188" t="s">
        <v>226</v>
      </c>
    </row>
    <row r="189" spans="9:40" x14ac:dyDescent="0.45">
      <c r="I189" t="s">
        <v>178</v>
      </c>
      <c r="J189" t="s">
        <v>239</v>
      </c>
      <c r="K189">
        <v>0</v>
      </c>
      <c r="L189" t="s">
        <v>166</v>
      </c>
      <c r="N189" t="s">
        <v>191</v>
      </c>
      <c r="O189" t="s">
        <v>239</v>
      </c>
      <c r="P189">
        <v>4.3688432785672464E-3</v>
      </c>
      <c r="Q189" t="s">
        <v>166</v>
      </c>
      <c r="S189" t="s">
        <v>205</v>
      </c>
      <c r="T189" t="s">
        <v>239</v>
      </c>
      <c r="U189">
        <v>2.9593480990541881E-3</v>
      </c>
      <c r="V189" t="s">
        <v>166</v>
      </c>
      <c r="AK189">
        <v>2047</v>
      </c>
      <c r="AL189" t="s">
        <v>228</v>
      </c>
      <c r="AM189">
        <v>0.42544999999999999</v>
      </c>
      <c r="AN189" t="s">
        <v>226</v>
      </c>
    </row>
    <row r="190" spans="9:40" x14ac:dyDescent="0.45">
      <c r="I190" t="s">
        <v>178</v>
      </c>
      <c r="J190" t="s">
        <v>240</v>
      </c>
      <c r="K190">
        <v>0</v>
      </c>
      <c r="L190" t="s">
        <v>166</v>
      </c>
      <c r="N190" t="s">
        <v>191</v>
      </c>
      <c r="O190" t="s">
        <v>240</v>
      </c>
      <c r="P190">
        <v>4.2559636362318586E-3</v>
      </c>
      <c r="Q190" t="s">
        <v>166</v>
      </c>
      <c r="S190" t="s">
        <v>205</v>
      </c>
      <c r="T190" t="s">
        <v>240</v>
      </c>
      <c r="U190">
        <v>3.0497557665132035E-3</v>
      </c>
      <c r="V190" t="s">
        <v>166</v>
      </c>
      <c r="AK190">
        <v>2047</v>
      </c>
      <c r="AL190" t="s">
        <v>230</v>
      </c>
      <c r="AM190">
        <v>0.38850000000000001</v>
      </c>
      <c r="AN190" t="s">
        <v>226</v>
      </c>
    </row>
    <row r="191" spans="9:40" x14ac:dyDescent="0.45">
      <c r="I191" t="s">
        <v>178</v>
      </c>
      <c r="J191" t="s">
        <v>172</v>
      </c>
      <c r="K191">
        <v>0</v>
      </c>
      <c r="L191" t="s">
        <v>166</v>
      </c>
      <c r="N191" t="s">
        <v>191</v>
      </c>
      <c r="O191" t="s">
        <v>172</v>
      </c>
      <c r="P191">
        <v>2.0299778903051763E-2</v>
      </c>
      <c r="Q191" t="s">
        <v>166</v>
      </c>
      <c r="S191" t="s">
        <v>205</v>
      </c>
      <c r="T191" t="s">
        <v>172</v>
      </c>
      <c r="U191">
        <v>1.7376372436162486E-2</v>
      </c>
      <c r="V191" t="s">
        <v>166</v>
      </c>
      <c r="AK191">
        <v>2047</v>
      </c>
      <c r="AL191" t="s">
        <v>232</v>
      </c>
      <c r="AM191">
        <v>0.45700000000000002</v>
      </c>
      <c r="AN191" t="s">
        <v>226</v>
      </c>
    </row>
    <row r="192" spans="9:40" x14ac:dyDescent="0.45">
      <c r="I192" t="s">
        <v>178</v>
      </c>
      <c r="J192" t="s">
        <v>173</v>
      </c>
      <c r="K192">
        <v>2.0024864579424456E-4</v>
      </c>
      <c r="L192" t="s">
        <v>166</v>
      </c>
      <c r="N192" t="s">
        <v>191</v>
      </c>
      <c r="O192" t="s">
        <v>173</v>
      </c>
      <c r="P192">
        <v>4.0957747595928061E-3</v>
      </c>
      <c r="Q192" t="s">
        <v>166</v>
      </c>
      <c r="S192" t="s">
        <v>205</v>
      </c>
      <c r="T192" t="s">
        <v>173</v>
      </c>
      <c r="U192">
        <v>3.6790686820686773E-3</v>
      </c>
      <c r="V192" t="s">
        <v>166</v>
      </c>
      <c r="AK192">
        <v>2047</v>
      </c>
      <c r="AL192" t="s">
        <v>234</v>
      </c>
      <c r="AM192">
        <v>0.52144999999999997</v>
      </c>
      <c r="AN192" t="s">
        <v>226</v>
      </c>
    </row>
    <row r="193" spans="9:40" x14ac:dyDescent="0.45">
      <c r="I193" t="s">
        <v>178</v>
      </c>
      <c r="J193" t="s">
        <v>174</v>
      </c>
      <c r="K193">
        <v>0.13587747582387696</v>
      </c>
      <c r="L193" t="s">
        <v>166</v>
      </c>
      <c r="N193" t="s">
        <v>191</v>
      </c>
      <c r="O193" t="s">
        <v>174</v>
      </c>
      <c r="P193">
        <v>5.678551117645491E-2</v>
      </c>
      <c r="Q193" t="s">
        <v>166</v>
      </c>
      <c r="S193" t="s">
        <v>205</v>
      </c>
      <c r="T193" t="s">
        <v>174</v>
      </c>
      <c r="U193">
        <v>5.5268984051712475E-2</v>
      </c>
      <c r="V193" t="s">
        <v>166</v>
      </c>
      <c r="AK193">
        <v>2048</v>
      </c>
      <c r="AL193" t="s">
        <v>155</v>
      </c>
      <c r="AM193">
        <v>0.56520000000000004</v>
      </c>
      <c r="AN193" t="s">
        <v>226</v>
      </c>
    </row>
    <row r="194" spans="9:40" x14ac:dyDescent="0.45">
      <c r="I194" t="s">
        <v>178</v>
      </c>
      <c r="J194" t="s">
        <v>241</v>
      </c>
      <c r="K194">
        <v>0</v>
      </c>
      <c r="L194" t="s">
        <v>166</v>
      </c>
      <c r="N194" t="s">
        <v>191</v>
      </c>
      <c r="O194" t="s">
        <v>241</v>
      </c>
      <c r="P194">
        <v>4.0947032187937885E-3</v>
      </c>
      <c r="Q194" t="s">
        <v>166</v>
      </c>
      <c r="S194" t="s">
        <v>205</v>
      </c>
      <c r="T194" t="s">
        <v>241</v>
      </c>
      <c r="U194">
        <v>4.2763705320217659E-3</v>
      </c>
      <c r="V194" t="s">
        <v>166</v>
      </c>
      <c r="AK194">
        <v>2048</v>
      </c>
      <c r="AL194" t="s">
        <v>159</v>
      </c>
      <c r="AM194">
        <v>0.53580000000000005</v>
      </c>
      <c r="AN194" t="s">
        <v>226</v>
      </c>
    </row>
    <row r="195" spans="9:40" x14ac:dyDescent="0.45">
      <c r="I195" t="s">
        <v>178</v>
      </c>
      <c r="J195" t="s">
        <v>242</v>
      </c>
      <c r="K195">
        <v>0</v>
      </c>
      <c r="L195" t="s">
        <v>166</v>
      </c>
      <c r="N195" t="s">
        <v>191</v>
      </c>
      <c r="O195" t="s">
        <v>242</v>
      </c>
      <c r="P195">
        <v>4.0878887423611253E-3</v>
      </c>
      <c r="Q195" t="s">
        <v>166</v>
      </c>
      <c r="S195" t="s">
        <v>205</v>
      </c>
      <c r="T195" t="s">
        <v>242</v>
      </c>
      <c r="U195">
        <v>4.1400548641443765E-3</v>
      </c>
      <c r="V195" t="s">
        <v>166</v>
      </c>
      <c r="AK195">
        <v>2048</v>
      </c>
      <c r="AL195" t="s">
        <v>161</v>
      </c>
      <c r="AM195">
        <v>0.496</v>
      </c>
      <c r="AN195" t="s">
        <v>226</v>
      </c>
    </row>
    <row r="196" spans="9:40" x14ac:dyDescent="0.45">
      <c r="I196" t="s">
        <v>178</v>
      </c>
      <c r="J196" t="s">
        <v>243</v>
      </c>
      <c r="K196">
        <v>0</v>
      </c>
      <c r="L196" t="s">
        <v>166</v>
      </c>
      <c r="N196" t="s">
        <v>191</v>
      </c>
      <c r="O196" t="s">
        <v>243</v>
      </c>
      <c r="P196">
        <v>4.3539313236827517E-3</v>
      </c>
      <c r="Q196" t="s">
        <v>166</v>
      </c>
      <c r="S196" t="s">
        <v>205</v>
      </c>
      <c r="T196" t="s">
        <v>243</v>
      </c>
      <c r="U196">
        <v>4.1316789076953006E-3</v>
      </c>
      <c r="V196" t="s">
        <v>166</v>
      </c>
      <c r="AK196">
        <v>2048</v>
      </c>
      <c r="AL196" t="s">
        <v>228</v>
      </c>
      <c r="AM196">
        <v>0.42264999999999997</v>
      </c>
      <c r="AN196" t="s">
        <v>226</v>
      </c>
    </row>
    <row r="197" spans="9:40" x14ac:dyDescent="0.45">
      <c r="I197" t="s">
        <v>178</v>
      </c>
      <c r="J197" t="s">
        <v>244</v>
      </c>
      <c r="K197">
        <v>2.1024192253829973E-3</v>
      </c>
      <c r="L197" t="s">
        <v>166</v>
      </c>
      <c r="N197" t="s">
        <v>191</v>
      </c>
      <c r="O197" t="s">
        <v>244</v>
      </c>
      <c r="P197">
        <v>5.0991331328162644E-2</v>
      </c>
      <c r="Q197" t="s">
        <v>166</v>
      </c>
      <c r="S197" t="s">
        <v>205</v>
      </c>
      <c r="T197" t="s">
        <v>244</v>
      </c>
      <c r="U197">
        <v>5.5456105910822E-2</v>
      </c>
      <c r="V197" t="s">
        <v>166</v>
      </c>
      <c r="AK197">
        <v>2048</v>
      </c>
      <c r="AL197" t="s">
        <v>230</v>
      </c>
      <c r="AM197">
        <v>0.38240000000000002</v>
      </c>
      <c r="AN197" t="s">
        <v>226</v>
      </c>
    </row>
    <row r="198" spans="9:40" x14ac:dyDescent="0.45">
      <c r="I198" t="s">
        <v>178</v>
      </c>
      <c r="J198" t="s">
        <v>245</v>
      </c>
      <c r="K198">
        <v>1.1146531799638792E-2</v>
      </c>
      <c r="L198" t="s">
        <v>166</v>
      </c>
      <c r="N198" t="s">
        <v>191</v>
      </c>
      <c r="O198" t="s">
        <v>245</v>
      </c>
      <c r="P198">
        <v>9.5024982897800054E-3</v>
      </c>
      <c r="Q198" t="s">
        <v>166</v>
      </c>
      <c r="S198" t="s">
        <v>205</v>
      </c>
      <c r="T198" t="s">
        <v>245</v>
      </c>
      <c r="U198">
        <v>9.4772873011797452E-3</v>
      </c>
      <c r="V198" t="s">
        <v>166</v>
      </c>
      <c r="AK198">
        <v>2048</v>
      </c>
      <c r="AL198" t="s">
        <v>232</v>
      </c>
      <c r="AM198">
        <v>0.47760000000000002</v>
      </c>
      <c r="AN198" t="s">
        <v>226</v>
      </c>
    </row>
    <row r="199" spans="9:40" x14ac:dyDescent="0.45">
      <c r="I199" t="s">
        <v>178</v>
      </c>
      <c r="J199" t="s">
        <v>246</v>
      </c>
      <c r="K199">
        <v>0.5349640502731976</v>
      </c>
      <c r="L199" t="s">
        <v>166</v>
      </c>
      <c r="N199" t="s">
        <v>191</v>
      </c>
      <c r="O199" t="s">
        <v>246</v>
      </c>
      <c r="P199">
        <v>0.14013103165986449</v>
      </c>
      <c r="Q199" t="s">
        <v>166</v>
      </c>
      <c r="S199" t="s">
        <v>205</v>
      </c>
      <c r="T199" t="s">
        <v>246</v>
      </c>
      <c r="U199">
        <v>0.13639958819760389</v>
      </c>
      <c r="V199" t="s">
        <v>166</v>
      </c>
      <c r="AK199">
        <v>2048</v>
      </c>
      <c r="AL199" t="s">
        <v>234</v>
      </c>
      <c r="AM199">
        <v>0.50434999999999997</v>
      </c>
      <c r="AN199" t="s">
        <v>226</v>
      </c>
    </row>
    <row r="200" spans="9:40" x14ac:dyDescent="0.45">
      <c r="I200" t="s">
        <v>178</v>
      </c>
      <c r="J200" t="s">
        <v>247</v>
      </c>
      <c r="K200">
        <v>1.5143028075256702E-3</v>
      </c>
      <c r="L200" t="s">
        <v>166</v>
      </c>
      <c r="N200" t="s">
        <v>191</v>
      </c>
      <c r="O200" t="s">
        <v>247</v>
      </c>
      <c r="P200">
        <v>1.0931019672695563E-2</v>
      </c>
      <c r="Q200" t="s">
        <v>166</v>
      </c>
      <c r="S200" t="s">
        <v>205</v>
      </c>
      <c r="T200" t="s">
        <v>247</v>
      </c>
      <c r="U200">
        <v>1.0605713956410556E-2</v>
      </c>
      <c r="V200" t="s">
        <v>166</v>
      </c>
      <c r="AK200">
        <v>2049</v>
      </c>
      <c r="AL200" t="s">
        <v>155</v>
      </c>
      <c r="AM200">
        <v>0.54584999999999995</v>
      </c>
      <c r="AN200" t="s">
        <v>226</v>
      </c>
    </row>
    <row r="201" spans="9:40" x14ac:dyDescent="0.45">
      <c r="I201" t="s">
        <v>178</v>
      </c>
      <c r="J201" t="s">
        <v>248</v>
      </c>
      <c r="K201">
        <v>0</v>
      </c>
      <c r="L201" t="s">
        <v>166</v>
      </c>
      <c r="N201" t="s">
        <v>191</v>
      </c>
      <c r="O201" t="s">
        <v>248</v>
      </c>
      <c r="P201">
        <v>1.1140999172678042E-2</v>
      </c>
      <c r="Q201" t="s">
        <v>166</v>
      </c>
      <c r="S201" t="s">
        <v>205</v>
      </c>
      <c r="T201" t="s">
        <v>248</v>
      </c>
      <c r="U201">
        <v>1.0905337751415996E-2</v>
      </c>
      <c r="V201" t="s">
        <v>166</v>
      </c>
      <c r="AK201">
        <v>2049</v>
      </c>
      <c r="AL201" t="s">
        <v>159</v>
      </c>
      <c r="AM201">
        <v>0.52769999999999995</v>
      </c>
      <c r="AN201" t="s">
        <v>226</v>
      </c>
    </row>
    <row r="202" spans="9:40" x14ac:dyDescent="0.45">
      <c r="I202" t="s">
        <v>178</v>
      </c>
      <c r="J202" t="s">
        <v>249</v>
      </c>
      <c r="K202">
        <v>0</v>
      </c>
      <c r="L202" t="s">
        <v>166</v>
      </c>
      <c r="N202" t="s">
        <v>191</v>
      </c>
      <c r="O202" t="s">
        <v>249</v>
      </c>
      <c r="P202">
        <v>1.1272095195417315E-2</v>
      </c>
      <c r="Q202" t="s">
        <v>166</v>
      </c>
      <c r="S202" t="s">
        <v>205</v>
      </c>
      <c r="T202" t="s">
        <v>249</v>
      </c>
      <c r="U202">
        <v>1.1830950716426857E-2</v>
      </c>
      <c r="V202" t="s">
        <v>166</v>
      </c>
      <c r="AK202">
        <v>2049</v>
      </c>
      <c r="AL202" t="s">
        <v>161</v>
      </c>
      <c r="AM202">
        <v>0.42670000000000002</v>
      </c>
      <c r="AN202" t="s">
        <v>226</v>
      </c>
    </row>
    <row r="203" spans="9:40" x14ac:dyDescent="0.45">
      <c r="I203" t="s">
        <v>178</v>
      </c>
      <c r="J203" t="s">
        <v>250</v>
      </c>
      <c r="K203">
        <v>0</v>
      </c>
      <c r="L203" t="s">
        <v>166</v>
      </c>
      <c r="N203" t="s">
        <v>191</v>
      </c>
      <c r="O203" t="s">
        <v>250</v>
      </c>
      <c r="P203">
        <v>1.2506894994326638E-2</v>
      </c>
      <c r="Q203" t="s">
        <v>166</v>
      </c>
      <c r="S203" t="s">
        <v>205</v>
      </c>
      <c r="T203" t="s">
        <v>250</v>
      </c>
      <c r="U203">
        <v>1.7562660775754618E-2</v>
      </c>
      <c r="V203" t="s">
        <v>166</v>
      </c>
      <c r="AK203">
        <v>2049</v>
      </c>
      <c r="AL203" t="s">
        <v>228</v>
      </c>
      <c r="AM203">
        <v>0.40412499999999996</v>
      </c>
      <c r="AN203" t="s">
        <v>226</v>
      </c>
    </row>
    <row r="204" spans="9:40" x14ac:dyDescent="0.45">
      <c r="I204" t="s">
        <v>178</v>
      </c>
      <c r="J204" t="s">
        <v>251</v>
      </c>
      <c r="K204">
        <v>0</v>
      </c>
      <c r="L204" t="s">
        <v>166</v>
      </c>
      <c r="N204" t="s">
        <v>191</v>
      </c>
      <c r="O204" t="s">
        <v>251</v>
      </c>
      <c r="P204">
        <v>2.4130917886725353E-3</v>
      </c>
      <c r="Q204" t="s">
        <v>166</v>
      </c>
      <c r="S204" t="s">
        <v>205</v>
      </c>
      <c r="T204" t="s">
        <v>251</v>
      </c>
      <c r="U204">
        <v>3.5114185214032896E-3</v>
      </c>
      <c r="V204" t="s">
        <v>166</v>
      </c>
      <c r="AK204">
        <v>2049</v>
      </c>
      <c r="AL204" t="s">
        <v>230</v>
      </c>
      <c r="AM204">
        <v>0.40510000000000002</v>
      </c>
      <c r="AN204" t="s">
        <v>226</v>
      </c>
    </row>
    <row r="205" spans="9:40" x14ac:dyDescent="0.45">
      <c r="I205" t="s">
        <v>178</v>
      </c>
      <c r="J205" t="s">
        <v>252</v>
      </c>
      <c r="K205">
        <v>8.6952537898155172E-2</v>
      </c>
      <c r="L205" t="s">
        <v>166</v>
      </c>
      <c r="N205" t="s">
        <v>191</v>
      </c>
      <c r="O205" t="s">
        <v>252</v>
      </c>
      <c r="P205">
        <v>3.4239947560100091E-2</v>
      </c>
      <c r="Q205" t="s">
        <v>166</v>
      </c>
      <c r="S205" t="s">
        <v>205</v>
      </c>
      <c r="T205" t="s">
        <v>252</v>
      </c>
      <c r="U205">
        <v>5.1343183330083808E-2</v>
      </c>
      <c r="V205" t="s">
        <v>166</v>
      </c>
      <c r="AK205">
        <v>2049</v>
      </c>
      <c r="AL205" t="s">
        <v>232</v>
      </c>
      <c r="AM205">
        <v>0.45879999999999999</v>
      </c>
      <c r="AN205" t="s">
        <v>226</v>
      </c>
    </row>
    <row r="206" spans="9:40" x14ac:dyDescent="0.45">
      <c r="I206" t="s">
        <v>178</v>
      </c>
      <c r="J206" t="s">
        <v>253</v>
      </c>
      <c r="K206">
        <v>0</v>
      </c>
      <c r="L206" t="s">
        <v>166</v>
      </c>
      <c r="N206" t="s">
        <v>191</v>
      </c>
      <c r="O206" t="s">
        <v>253</v>
      </c>
      <c r="P206">
        <v>2.3689110580035798E-3</v>
      </c>
      <c r="Q206" t="s">
        <v>166</v>
      </c>
      <c r="S206" t="s">
        <v>205</v>
      </c>
      <c r="T206" t="s">
        <v>253</v>
      </c>
      <c r="U206">
        <v>3.3712786198420164E-3</v>
      </c>
      <c r="V206" t="s">
        <v>166</v>
      </c>
      <c r="AK206">
        <v>2049</v>
      </c>
      <c r="AL206" t="s">
        <v>234</v>
      </c>
      <c r="AM206">
        <v>0.52424999999999999</v>
      </c>
      <c r="AN206" t="s">
        <v>226</v>
      </c>
    </row>
    <row r="207" spans="9:40" x14ac:dyDescent="0.45">
      <c r="I207" t="s">
        <v>178</v>
      </c>
      <c r="J207" t="s">
        <v>254</v>
      </c>
      <c r="K207">
        <v>0</v>
      </c>
      <c r="L207" t="s">
        <v>166</v>
      </c>
      <c r="N207" t="s">
        <v>191</v>
      </c>
      <c r="O207" t="s">
        <v>254</v>
      </c>
      <c r="P207">
        <v>2.2667428518110045E-3</v>
      </c>
      <c r="Q207" t="s">
        <v>166</v>
      </c>
      <c r="S207" t="s">
        <v>205</v>
      </c>
      <c r="T207" t="s">
        <v>254</v>
      </c>
      <c r="U207">
        <v>3.3815776653942438E-3</v>
      </c>
      <c r="V207" t="s">
        <v>166</v>
      </c>
      <c r="AK207">
        <v>2050</v>
      </c>
      <c r="AL207" t="s">
        <v>155</v>
      </c>
      <c r="AM207">
        <v>0.58309999999999995</v>
      </c>
      <c r="AN207" t="s">
        <v>226</v>
      </c>
    </row>
    <row r="208" spans="9:40" x14ac:dyDescent="0.45">
      <c r="I208" t="s">
        <v>178</v>
      </c>
      <c r="J208" t="s">
        <v>255</v>
      </c>
      <c r="K208">
        <v>0</v>
      </c>
      <c r="L208" t="s">
        <v>166</v>
      </c>
      <c r="N208" t="s">
        <v>191</v>
      </c>
      <c r="O208" t="s">
        <v>255</v>
      </c>
      <c r="P208">
        <v>2.5127899927942857E-3</v>
      </c>
      <c r="Q208" t="s">
        <v>166</v>
      </c>
      <c r="S208" t="s">
        <v>205</v>
      </c>
      <c r="T208" t="s">
        <v>255</v>
      </c>
      <c r="U208">
        <v>3.5347100960155375E-3</v>
      </c>
      <c r="V208" t="s">
        <v>166</v>
      </c>
      <c r="AK208">
        <v>2050</v>
      </c>
      <c r="AL208" t="s">
        <v>159</v>
      </c>
      <c r="AM208">
        <v>0.53700000000000003</v>
      </c>
      <c r="AN208" t="s">
        <v>226</v>
      </c>
    </row>
    <row r="209" spans="9:40" x14ac:dyDescent="0.45">
      <c r="I209" t="s">
        <v>178</v>
      </c>
      <c r="J209" t="s">
        <v>256</v>
      </c>
      <c r="K209">
        <v>0</v>
      </c>
      <c r="L209" t="s">
        <v>166</v>
      </c>
      <c r="N209" t="s">
        <v>191</v>
      </c>
      <c r="O209" t="s">
        <v>256</v>
      </c>
      <c r="P209">
        <v>2.3059967320540522E-2</v>
      </c>
      <c r="Q209" t="s">
        <v>166</v>
      </c>
      <c r="S209" t="s">
        <v>205</v>
      </c>
      <c r="T209" t="s">
        <v>256</v>
      </c>
      <c r="U209">
        <v>2.0018735550677177E-2</v>
      </c>
      <c r="V209" t="s">
        <v>166</v>
      </c>
      <c r="AK209">
        <v>2050</v>
      </c>
      <c r="AL209" t="s">
        <v>161</v>
      </c>
      <c r="AM209">
        <v>0.48920000000000002</v>
      </c>
      <c r="AN209" t="s">
        <v>226</v>
      </c>
    </row>
    <row r="210" spans="9:40" x14ac:dyDescent="0.45">
      <c r="I210" t="s">
        <v>178</v>
      </c>
      <c r="J210" t="s">
        <v>257</v>
      </c>
      <c r="K210">
        <v>0</v>
      </c>
      <c r="L210" t="s">
        <v>166</v>
      </c>
      <c r="N210" t="s">
        <v>191</v>
      </c>
      <c r="O210" t="s">
        <v>257</v>
      </c>
      <c r="P210">
        <v>4.5630205932569046E-3</v>
      </c>
      <c r="Q210" t="s">
        <v>166</v>
      </c>
      <c r="S210" t="s">
        <v>205</v>
      </c>
      <c r="T210" t="s">
        <v>257</v>
      </c>
      <c r="U210">
        <v>4.269698220033276E-3</v>
      </c>
      <c r="V210" t="s">
        <v>166</v>
      </c>
      <c r="AK210">
        <v>2050</v>
      </c>
      <c r="AL210" t="s">
        <v>228</v>
      </c>
      <c r="AM210">
        <v>0.42227500000000001</v>
      </c>
      <c r="AN210" t="s">
        <v>226</v>
      </c>
    </row>
    <row r="211" spans="9:40" x14ac:dyDescent="0.45">
      <c r="I211" t="s">
        <v>178</v>
      </c>
      <c r="J211" t="s">
        <v>258</v>
      </c>
      <c r="K211">
        <v>4.0705821114301349E-2</v>
      </c>
      <c r="L211" t="s">
        <v>166</v>
      </c>
      <c r="N211" t="s">
        <v>191</v>
      </c>
      <c r="O211" t="s">
        <v>258</v>
      </c>
      <c r="P211">
        <v>6.5643718600042422E-2</v>
      </c>
      <c r="Q211" t="s">
        <v>166</v>
      </c>
      <c r="S211" t="s">
        <v>205</v>
      </c>
      <c r="T211" t="s">
        <v>258</v>
      </c>
      <c r="U211">
        <v>5.7266734400028975E-2</v>
      </c>
      <c r="V211" t="s">
        <v>166</v>
      </c>
      <c r="AK211">
        <v>2050</v>
      </c>
      <c r="AL211" t="s">
        <v>230</v>
      </c>
      <c r="AM211">
        <v>0.43419999999999997</v>
      </c>
      <c r="AN211" t="s">
        <v>226</v>
      </c>
    </row>
    <row r="212" spans="9:40" x14ac:dyDescent="0.45">
      <c r="I212" t="s">
        <v>178</v>
      </c>
      <c r="J212" t="s">
        <v>259</v>
      </c>
      <c r="K212">
        <v>0</v>
      </c>
      <c r="L212" t="s">
        <v>166</v>
      </c>
      <c r="N212" t="s">
        <v>191</v>
      </c>
      <c r="O212" t="s">
        <v>259</v>
      </c>
      <c r="P212">
        <v>4.7661252761718497E-3</v>
      </c>
      <c r="Q212" t="s">
        <v>166</v>
      </c>
      <c r="S212" t="s">
        <v>205</v>
      </c>
      <c r="T212" t="s">
        <v>259</v>
      </c>
      <c r="U212">
        <v>4.2207869374303823E-3</v>
      </c>
      <c r="V212" t="s">
        <v>166</v>
      </c>
      <c r="AK212">
        <v>2050</v>
      </c>
      <c r="AL212" t="s">
        <v>232</v>
      </c>
      <c r="AM212">
        <v>0.47949999999999998</v>
      </c>
      <c r="AN212" t="s">
        <v>226</v>
      </c>
    </row>
    <row r="213" spans="9:40" x14ac:dyDescent="0.45">
      <c r="I213" t="s">
        <v>178</v>
      </c>
      <c r="J213" t="s">
        <v>260</v>
      </c>
      <c r="K213">
        <v>0</v>
      </c>
      <c r="L213" t="s">
        <v>166</v>
      </c>
      <c r="N213" t="s">
        <v>191</v>
      </c>
      <c r="O213" t="s">
        <v>260</v>
      </c>
      <c r="P213">
        <v>4.7150471802798414E-3</v>
      </c>
      <c r="Q213" t="s">
        <v>166</v>
      </c>
      <c r="S213" t="s">
        <v>205</v>
      </c>
      <c r="T213" t="s">
        <v>260</v>
      </c>
      <c r="U213">
        <v>4.1261341970639269E-3</v>
      </c>
      <c r="V213" t="s">
        <v>166</v>
      </c>
      <c r="AK213">
        <v>2050</v>
      </c>
      <c r="AL213" t="s">
        <v>234</v>
      </c>
      <c r="AM213">
        <v>0.47794999999999999</v>
      </c>
      <c r="AN213" t="s">
        <v>226</v>
      </c>
    </row>
    <row r="214" spans="9:40" x14ac:dyDescent="0.45">
      <c r="I214" t="s">
        <v>178</v>
      </c>
      <c r="J214" t="s">
        <v>261</v>
      </c>
      <c r="K214">
        <v>0</v>
      </c>
      <c r="L214" t="s">
        <v>166</v>
      </c>
      <c r="N214" t="s">
        <v>191</v>
      </c>
      <c r="O214" t="s">
        <v>261</v>
      </c>
      <c r="P214">
        <v>4.9083929307510944E-3</v>
      </c>
      <c r="Q214" t="s">
        <v>166</v>
      </c>
      <c r="S214" t="s">
        <v>205</v>
      </c>
      <c r="T214" t="s">
        <v>261</v>
      </c>
      <c r="U214">
        <v>4.118739235919708E-3</v>
      </c>
      <c r="V214" t="s">
        <v>166</v>
      </c>
    </row>
    <row r="215" spans="9:40" x14ac:dyDescent="0.45">
      <c r="I215" t="s">
        <v>178</v>
      </c>
      <c r="J215" t="s">
        <v>262</v>
      </c>
      <c r="K215">
        <v>0</v>
      </c>
      <c r="L215" t="s">
        <v>166</v>
      </c>
      <c r="N215" t="s">
        <v>191</v>
      </c>
      <c r="O215" t="s">
        <v>262</v>
      </c>
      <c r="P215">
        <v>5.2938820273584972E-2</v>
      </c>
      <c r="Q215" t="s">
        <v>166</v>
      </c>
      <c r="S215" t="s">
        <v>205</v>
      </c>
      <c r="T215" t="s">
        <v>262</v>
      </c>
      <c r="U215">
        <v>5.2855806744556075E-2</v>
      </c>
      <c r="V215" t="s">
        <v>166</v>
      </c>
    </row>
    <row r="216" spans="9:40" x14ac:dyDescent="0.45">
      <c r="I216" t="s">
        <v>178</v>
      </c>
      <c r="J216" t="s">
        <v>263</v>
      </c>
      <c r="K216">
        <v>0</v>
      </c>
      <c r="L216" t="s">
        <v>166</v>
      </c>
      <c r="N216" t="s">
        <v>191</v>
      </c>
      <c r="O216" t="s">
        <v>263</v>
      </c>
      <c r="P216">
        <v>1.0103422640086237E-2</v>
      </c>
      <c r="Q216" t="s">
        <v>166</v>
      </c>
      <c r="S216" t="s">
        <v>205</v>
      </c>
      <c r="T216" t="s">
        <v>263</v>
      </c>
      <c r="U216">
        <v>9.8667472191320479E-3</v>
      </c>
      <c r="V216" t="s">
        <v>166</v>
      </c>
    </row>
    <row r="217" spans="9:40" x14ac:dyDescent="0.45">
      <c r="I217" t="s">
        <v>178</v>
      </c>
      <c r="J217" t="s">
        <v>264</v>
      </c>
      <c r="K217">
        <v>2.9808117612332815E-2</v>
      </c>
      <c r="L217" t="s">
        <v>166</v>
      </c>
      <c r="N217" t="s">
        <v>191</v>
      </c>
      <c r="O217" t="s">
        <v>264</v>
      </c>
      <c r="P217">
        <v>0.15510208778842274</v>
      </c>
      <c r="Q217" t="s">
        <v>166</v>
      </c>
      <c r="S217" t="s">
        <v>205</v>
      </c>
      <c r="T217" t="s">
        <v>264</v>
      </c>
      <c r="U217">
        <v>0.15185550155545172</v>
      </c>
      <c r="V217" t="s">
        <v>166</v>
      </c>
    </row>
    <row r="218" spans="9:40" x14ac:dyDescent="0.45">
      <c r="I218" t="s">
        <v>178</v>
      </c>
      <c r="J218" t="s">
        <v>265</v>
      </c>
      <c r="K218">
        <v>0</v>
      </c>
      <c r="L218" t="s">
        <v>166</v>
      </c>
      <c r="N218" t="s">
        <v>191</v>
      </c>
      <c r="O218" t="s">
        <v>265</v>
      </c>
      <c r="P218">
        <v>1.078176942890737E-2</v>
      </c>
      <c r="Q218" t="s">
        <v>166</v>
      </c>
      <c r="S218" t="s">
        <v>205</v>
      </c>
      <c r="T218" t="s">
        <v>265</v>
      </c>
      <c r="U218">
        <v>1.0888567111847488E-2</v>
      </c>
      <c r="V218" t="s">
        <v>166</v>
      </c>
    </row>
    <row r="219" spans="9:40" x14ac:dyDescent="0.45">
      <c r="I219" t="s">
        <v>178</v>
      </c>
      <c r="J219" t="s">
        <v>266</v>
      </c>
      <c r="K219">
        <v>0</v>
      </c>
      <c r="L219" t="s">
        <v>166</v>
      </c>
      <c r="N219" t="s">
        <v>191</v>
      </c>
      <c r="O219" t="s">
        <v>266</v>
      </c>
      <c r="P219">
        <v>1.0660232013719658E-2</v>
      </c>
      <c r="Q219" t="s">
        <v>166</v>
      </c>
      <c r="S219" t="s">
        <v>205</v>
      </c>
      <c r="T219" t="s">
        <v>266</v>
      </c>
      <c r="U219">
        <v>1.0923168527620495E-2</v>
      </c>
      <c r="V219" t="s">
        <v>166</v>
      </c>
    </row>
    <row r="220" spans="9:40" x14ac:dyDescent="0.45">
      <c r="I220" t="s">
        <v>178</v>
      </c>
      <c r="J220" t="s">
        <v>267</v>
      </c>
      <c r="K220">
        <v>0</v>
      </c>
      <c r="L220" t="s">
        <v>166</v>
      </c>
      <c r="N220" t="s">
        <v>191</v>
      </c>
      <c r="O220" t="s">
        <v>267</v>
      </c>
      <c r="P220">
        <v>1.0604723157707151E-2</v>
      </c>
      <c r="Q220" t="s">
        <v>166</v>
      </c>
      <c r="S220" t="s">
        <v>205</v>
      </c>
      <c r="T220" t="s">
        <v>267</v>
      </c>
      <c r="U220">
        <v>1.1170599320366703E-2</v>
      </c>
      <c r="V220" t="s">
        <v>166</v>
      </c>
    </row>
    <row r="221" spans="9:40" x14ac:dyDescent="0.45">
      <c r="I221" t="s">
        <v>179</v>
      </c>
      <c r="J221" t="s">
        <v>165</v>
      </c>
      <c r="K221">
        <v>0</v>
      </c>
      <c r="L221" t="s">
        <v>166</v>
      </c>
      <c r="N221" t="s">
        <v>192</v>
      </c>
      <c r="O221" t="s">
        <v>165</v>
      </c>
      <c r="P221">
        <v>3.5350018047045684E-2</v>
      </c>
      <c r="Q221" t="s">
        <v>166</v>
      </c>
      <c r="S221" t="s">
        <v>206</v>
      </c>
      <c r="T221" t="s">
        <v>165</v>
      </c>
      <c r="U221">
        <v>3.4871941007227736E-2</v>
      </c>
      <c r="V221" t="s">
        <v>166</v>
      </c>
    </row>
    <row r="222" spans="9:40" x14ac:dyDescent="0.45">
      <c r="I222" t="s">
        <v>179</v>
      </c>
      <c r="J222" t="s">
        <v>167</v>
      </c>
      <c r="K222">
        <v>0</v>
      </c>
      <c r="L222" t="s">
        <v>166</v>
      </c>
      <c r="N222" t="s">
        <v>192</v>
      </c>
      <c r="O222" t="s">
        <v>167</v>
      </c>
      <c r="P222">
        <v>7.3494378845237289E-3</v>
      </c>
      <c r="Q222" t="s">
        <v>166</v>
      </c>
      <c r="S222" t="s">
        <v>206</v>
      </c>
      <c r="T222" t="s">
        <v>167</v>
      </c>
      <c r="U222">
        <v>6.6980158239244789E-3</v>
      </c>
      <c r="V222" t="s">
        <v>166</v>
      </c>
    </row>
    <row r="223" spans="9:40" x14ac:dyDescent="0.45">
      <c r="I223" t="s">
        <v>179</v>
      </c>
      <c r="J223" t="s">
        <v>168</v>
      </c>
      <c r="K223">
        <v>4.7807004310415832E-2</v>
      </c>
      <c r="L223" t="s">
        <v>166</v>
      </c>
      <c r="N223" t="s">
        <v>192</v>
      </c>
      <c r="O223" t="s">
        <v>168</v>
      </c>
      <c r="P223">
        <v>0.10043853706692434</v>
      </c>
      <c r="Q223" t="s">
        <v>166</v>
      </c>
      <c r="S223" t="s">
        <v>206</v>
      </c>
      <c r="T223" t="s">
        <v>168</v>
      </c>
      <c r="U223">
        <v>0.10668574423708575</v>
      </c>
      <c r="V223" t="s">
        <v>166</v>
      </c>
    </row>
    <row r="224" spans="9:40" x14ac:dyDescent="0.45">
      <c r="I224" t="s">
        <v>179</v>
      </c>
      <c r="J224" t="s">
        <v>235</v>
      </c>
      <c r="K224">
        <v>0</v>
      </c>
      <c r="L224" t="s">
        <v>166</v>
      </c>
      <c r="N224" t="s">
        <v>192</v>
      </c>
      <c r="O224" t="s">
        <v>235</v>
      </c>
      <c r="P224">
        <v>7.1564758193673732E-3</v>
      </c>
      <c r="Q224" t="s">
        <v>166</v>
      </c>
      <c r="S224" t="s">
        <v>206</v>
      </c>
      <c r="T224" t="s">
        <v>235</v>
      </c>
      <c r="U224">
        <v>7.3113638750657538E-3</v>
      </c>
      <c r="V224" t="s">
        <v>166</v>
      </c>
    </row>
    <row r="225" spans="9:22" x14ac:dyDescent="0.45">
      <c r="I225" t="s">
        <v>179</v>
      </c>
      <c r="J225" t="s">
        <v>236</v>
      </c>
      <c r="K225">
        <v>0</v>
      </c>
      <c r="L225" t="s">
        <v>166</v>
      </c>
      <c r="N225" t="s">
        <v>192</v>
      </c>
      <c r="O225" t="s">
        <v>236</v>
      </c>
      <c r="P225">
        <v>6.9938102913027341E-3</v>
      </c>
      <c r="Q225" t="s">
        <v>166</v>
      </c>
      <c r="S225" t="s">
        <v>206</v>
      </c>
      <c r="T225" t="s">
        <v>236</v>
      </c>
      <c r="U225">
        <v>7.313489529591875E-3</v>
      </c>
      <c r="V225" t="s">
        <v>166</v>
      </c>
    </row>
    <row r="226" spans="9:22" x14ac:dyDescent="0.45">
      <c r="I226" t="s">
        <v>179</v>
      </c>
      <c r="J226" t="s">
        <v>237</v>
      </c>
      <c r="K226">
        <v>0</v>
      </c>
      <c r="L226" t="s">
        <v>166</v>
      </c>
      <c r="N226" t="s">
        <v>192</v>
      </c>
      <c r="O226" t="s">
        <v>237</v>
      </c>
      <c r="P226">
        <v>6.8011564484884556E-3</v>
      </c>
      <c r="Q226" t="s">
        <v>166</v>
      </c>
      <c r="S226" t="s">
        <v>206</v>
      </c>
      <c r="T226" t="s">
        <v>237</v>
      </c>
      <c r="U226">
        <v>7.244490771307322E-3</v>
      </c>
      <c r="V226" t="s">
        <v>166</v>
      </c>
    </row>
    <row r="227" spans="9:22" x14ac:dyDescent="0.45">
      <c r="I227" t="s">
        <v>179</v>
      </c>
      <c r="J227" t="s">
        <v>169</v>
      </c>
      <c r="K227">
        <v>0</v>
      </c>
      <c r="L227" t="s">
        <v>166</v>
      </c>
      <c r="N227" t="s">
        <v>192</v>
      </c>
      <c r="O227" t="s">
        <v>169</v>
      </c>
      <c r="P227">
        <v>1.74394814564484E-2</v>
      </c>
      <c r="Q227" t="s">
        <v>166</v>
      </c>
      <c r="S227" t="s">
        <v>206</v>
      </c>
      <c r="T227" t="s">
        <v>169</v>
      </c>
      <c r="U227">
        <v>1.4295948263786266E-2</v>
      </c>
      <c r="V227" t="s">
        <v>166</v>
      </c>
    </row>
    <row r="228" spans="9:22" x14ac:dyDescent="0.45">
      <c r="I228" t="s">
        <v>179</v>
      </c>
      <c r="J228" t="s">
        <v>170</v>
      </c>
      <c r="K228">
        <v>0</v>
      </c>
      <c r="L228" t="s">
        <v>166</v>
      </c>
      <c r="N228" t="s">
        <v>192</v>
      </c>
      <c r="O228" t="s">
        <v>170</v>
      </c>
      <c r="P228">
        <v>3.9534412778163578E-3</v>
      </c>
      <c r="Q228" t="s">
        <v>166</v>
      </c>
      <c r="S228" t="s">
        <v>206</v>
      </c>
      <c r="T228" t="s">
        <v>170</v>
      </c>
      <c r="U228">
        <v>3.0576479131195779E-3</v>
      </c>
      <c r="V228" t="s">
        <v>166</v>
      </c>
    </row>
    <row r="229" spans="9:22" x14ac:dyDescent="0.45">
      <c r="I229" t="s">
        <v>179</v>
      </c>
      <c r="J229" t="s">
        <v>171</v>
      </c>
      <c r="K229">
        <v>9.7771949074318312E-2</v>
      </c>
      <c r="L229" t="s">
        <v>166</v>
      </c>
      <c r="N229" t="s">
        <v>192</v>
      </c>
      <c r="O229" t="s">
        <v>171</v>
      </c>
      <c r="P229">
        <v>4.4402276902472136E-2</v>
      </c>
      <c r="Q229" t="s">
        <v>166</v>
      </c>
      <c r="S229" t="s">
        <v>206</v>
      </c>
      <c r="T229" t="s">
        <v>171</v>
      </c>
      <c r="U229">
        <v>4.3308084623772579E-2</v>
      </c>
      <c r="V229" t="s">
        <v>166</v>
      </c>
    </row>
    <row r="230" spans="9:22" x14ac:dyDescent="0.45">
      <c r="I230" t="s">
        <v>179</v>
      </c>
      <c r="J230" t="s">
        <v>238</v>
      </c>
      <c r="K230">
        <v>0</v>
      </c>
      <c r="L230" t="s">
        <v>166</v>
      </c>
      <c r="N230" t="s">
        <v>192</v>
      </c>
      <c r="O230" t="s">
        <v>238</v>
      </c>
      <c r="P230">
        <v>2.8471608086507345E-3</v>
      </c>
      <c r="Q230" t="s">
        <v>166</v>
      </c>
      <c r="S230" t="s">
        <v>206</v>
      </c>
      <c r="T230" t="s">
        <v>238</v>
      </c>
      <c r="U230">
        <v>2.8973069504257781E-3</v>
      </c>
      <c r="V230" t="s">
        <v>166</v>
      </c>
    </row>
    <row r="231" spans="9:22" x14ac:dyDescent="0.45">
      <c r="I231" t="s">
        <v>179</v>
      </c>
      <c r="J231" t="s">
        <v>239</v>
      </c>
      <c r="K231">
        <v>0</v>
      </c>
      <c r="L231" t="s">
        <v>166</v>
      </c>
      <c r="N231" t="s">
        <v>192</v>
      </c>
      <c r="O231" t="s">
        <v>239</v>
      </c>
      <c r="P231">
        <v>2.781072298122046E-3</v>
      </c>
      <c r="Q231" t="s">
        <v>166</v>
      </c>
      <c r="S231" t="s">
        <v>206</v>
      </c>
      <c r="T231" t="s">
        <v>239</v>
      </c>
      <c r="U231">
        <v>2.813863613035943E-3</v>
      </c>
      <c r="V231" t="s">
        <v>166</v>
      </c>
    </row>
    <row r="232" spans="9:22" x14ac:dyDescent="0.45">
      <c r="I232" t="s">
        <v>179</v>
      </c>
      <c r="J232" t="s">
        <v>240</v>
      </c>
      <c r="K232">
        <v>0</v>
      </c>
      <c r="L232" t="s">
        <v>166</v>
      </c>
      <c r="N232" t="s">
        <v>192</v>
      </c>
      <c r="O232" t="s">
        <v>240</v>
      </c>
      <c r="P232">
        <v>2.8610723482512986E-3</v>
      </c>
      <c r="Q232" t="s">
        <v>166</v>
      </c>
      <c r="S232" t="s">
        <v>206</v>
      </c>
      <c r="T232" t="s">
        <v>240</v>
      </c>
      <c r="U232">
        <v>2.8135707850824674E-3</v>
      </c>
      <c r="V232" t="s">
        <v>166</v>
      </c>
    </row>
    <row r="233" spans="9:22" x14ac:dyDescent="0.45">
      <c r="I233" t="s">
        <v>179</v>
      </c>
      <c r="J233" t="s">
        <v>172</v>
      </c>
      <c r="K233">
        <v>0</v>
      </c>
      <c r="L233" t="s">
        <v>166</v>
      </c>
      <c r="N233" t="s">
        <v>192</v>
      </c>
      <c r="O233" t="s">
        <v>172</v>
      </c>
      <c r="P233">
        <v>2.0705097165401469E-2</v>
      </c>
      <c r="Q233" t="s">
        <v>166</v>
      </c>
      <c r="S233" t="s">
        <v>206</v>
      </c>
      <c r="T233" t="s">
        <v>172</v>
      </c>
      <c r="U233">
        <v>1.7108945085265118E-2</v>
      </c>
      <c r="V233" t="s">
        <v>166</v>
      </c>
    </row>
    <row r="234" spans="9:22" x14ac:dyDescent="0.45">
      <c r="I234" t="s">
        <v>179</v>
      </c>
      <c r="J234" t="s">
        <v>173</v>
      </c>
      <c r="K234">
        <v>1.0578040320952396E-4</v>
      </c>
      <c r="L234" t="s">
        <v>166</v>
      </c>
      <c r="N234" t="s">
        <v>192</v>
      </c>
      <c r="O234" t="s">
        <v>173</v>
      </c>
      <c r="P234">
        <v>4.2378787441514163E-3</v>
      </c>
      <c r="Q234" t="s">
        <v>166</v>
      </c>
      <c r="S234" t="s">
        <v>206</v>
      </c>
      <c r="T234" t="s">
        <v>173</v>
      </c>
      <c r="U234">
        <v>3.647594191384591E-3</v>
      </c>
      <c r="V234" t="s">
        <v>166</v>
      </c>
    </row>
    <row r="235" spans="9:22" x14ac:dyDescent="0.45">
      <c r="I235" t="s">
        <v>179</v>
      </c>
      <c r="J235" t="s">
        <v>174</v>
      </c>
      <c r="K235">
        <v>0.13474153966387864</v>
      </c>
      <c r="L235" t="s">
        <v>166</v>
      </c>
      <c r="N235" t="s">
        <v>192</v>
      </c>
      <c r="O235" t="s">
        <v>174</v>
      </c>
      <c r="P235">
        <v>5.5016924400972299E-2</v>
      </c>
      <c r="Q235" t="s">
        <v>166</v>
      </c>
      <c r="S235" t="s">
        <v>206</v>
      </c>
      <c r="T235" t="s">
        <v>174</v>
      </c>
      <c r="U235">
        <v>5.575387868007748E-2</v>
      </c>
      <c r="V235" t="s">
        <v>166</v>
      </c>
    </row>
    <row r="236" spans="9:22" x14ac:dyDescent="0.45">
      <c r="I236" t="s">
        <v>179</v>
      </c>
      <c r="J236" t="s">
        <v>241</v>
      </c>
      <c r="K236">
        <v>0</v>
      </c>
      <c r="L236" t="s">
        <v>166</v>
      </c>
      <c r="N236" t="s">
        <v>192</v>
      </c>
      <c r="O236" t="s">
        <v>241</v>
      </c>
      <c r="P236">
        <v>4.3668179917557949E-3</v>
      </c>
      <c r="Q236" t="s">
        <v>166</v>
      </c>
      <c r="S236" t="s">
        <v>206</v>
      </c>
      <c r="T236" t="s">
        <v>241</v>
      </c>
      <c r="U236">
        <v>3.9657358163590097E-3</v>
      </c>
      <c r="V236" t="s">
        <v>166</v>
      </c>
    </row>
    <row r="237" spans="9:22" x14ac:dyDescent="0.45">
      <c r="I237" t="s">
        <v>179</v>
      </c>
      <c r="J237" t="s">
        <v>242</v>
      </c>
      <c r="K237">
        <v>0</v>
      </c>
      <c r="L237" t="s">
        <v>166</v>
      </c>
      <c r="N237" t="s">
        <v>192</v>
      </c>
      <c r="O237" t="s">
        <v>242</v>
      </c>
      <c r="P237">
        <v>4.3064575784715784E-3</v>
      </c>
      <c r="Q237" t="s">
        <v>166</v>
      </c>
      <c r="S237" t="s">
        <v>206</v>
      </c>
      <c r="T237" t="s">
        <v>242</v>
      </c>
      <c r="U237">
        <v>3.9198949839040764E-3</v>
      </c>
      <c r="V237" t="s">
        <v>166</v>
      </c>
    </row>
    <row r="238" spans="9:22" x14ac:dyDescent="0.45">
      <c r="I238" t="s">
        <v>179</v>
      </c>
      <c r="J238" t="s">
        <v>243</v>
      </c>
      <c r="K238">
        <v>0</v>
      </c>
      <c r="L238" t="s">
        <v>166</v>
      </c>
      <c r="N238" t="s">
        <v>192</v>
      </c>
      <c r="O238" t="s">
        <v>243</v>
      </c>
      <c r="P238">
        <v>4.3599940744258828E-3</v>
      </c>
      <c r="Q238" t="s">
        <v>166</v>
      </c>
      <c r="S238" t="s">
        <v>206</v>
      </c>
      <c r="T238" t="s">
        <v>243</v>
      </c>
      <c r="U238">
        <v>3.905517896025292E-3</v>
      </c>
      <c r="V238" t="s">
        <v>166</v>
      </c>
    </row>
    <row r="239" spans="9:22" x14ac:dyDescent="0.45">
      <c r="I239" t="s">
        <v>179</v>
      </c>
      <c r="J239" t="s">
        <v>244</v>
      </c>
      <c r="K239">
        <v>1.13151049473003E-3</v>
      </c>
      <c r="L239" t="s">
        <v>166</v>
      </c>
      <c r="N239" t="s">
        <v>192</v>
      </c>
      <c r="O239" t="s">
        <v>244</v>
      </c>
      <c r="P239">
        <v>5.2492835974143073E-2</v>
      </c>
      <c r="Q239" t="s">
        <v>166</v>
      </c>
      <c r="S239" t="s">
        <v>206</v>
      </c>
      <c r="T239" t="s">
        <v>244</v>
      </c>
      <c r="U239">
        <v>5.9619193520984132E-2</v>
      </c>
      <c r="V239" t="s">
        <v>166</v>
      </c>
    </row>
    <row r="240" spans="9:22" x14ac:dyDescent="0.45">
      <c r="I240" t="s">
        <v>179</v>
      </c>
      <c r="J240" t="s">
        <v>245</v>
      </c>
      <c r="K240">
        <v>9.2916443520660672E-3</v>
      </c>
      <c r="L240" t="s">
        <v>166</v>
      </c>
      <c r="N240" t="s">
        <v>192</v>
      </c>
      <c r="O240" t="s">
        <v>245</v>
      </c>
      <c r="P240">
        <v>9.755044729068978E-3</v>
      </c>
      <c r="Q240" t="s">
        <v>166</v>
      </c>
      <c r="S240" t="s">
        <v>206</v>
      </c>
      <c r="T240" t="s">
        <v>245</v>
      </c>
      <c r="U240">
        <v>1.1158314182145411E-2</v>
      </c>
      <c r="V240" t="s">
        <v>166</v>
      </c>
    </row>
    <row r="241" spans="9:22" x14ac:dyDescent="0.45">
      <c r="I241" t="s">
        <v>179</v>
      </c>
      <c r="J241" t="s">
        <v>246</v>
      </c>
      <c r="K241">
        <v>0.54900297610215754</v>
      </c>
      <c r="L241" t="s">
        <v>166</v>
      </c>
      <c r="N241" t="s">
        <v>192</v>
      </c>
      <c r="O241" t="s">
        <v>246</v>
      </c>
      <c r="P241">
        <v>0.14389752209161666</v>
      </c>
      <c r="Q241" t="s">
        <v>166</v>
      </c>
      <c r="S241" t="s">
        <v>206</v>
      </c>
      <c r="T241" t="s">
        <v>246</v>
      </c>
      <c r="U241">
        <v>0.16378171677517103</v>
      </c>
      <c r="V241" t="s">
        <v>166</v>
      </c>
    </row>
    <row r="242" spans="9:22" x14ac:dyDescent="0.45">
      <c r="I242" t="s">
        <v>179</v>
      </c>
      <c r="J242" t="s">
        <v>247</v>
      </c>
      <c r="K242">
        <v>5.7781983137987979E-4</v>
      </c>
      <c r="L242" t="s">
        <v>166</v>
      </c>
      <c r="N242" t="s">
        <v>192</v>
      </c>
      <c r="O242" t="s">
        <v>247</v>
      </c>
      <c r="P242">
        <v>1.0633336084771145E-2</v>
      </c>
      <c r="Q242" t="s">
        <v>166</v>
      </c>
      <c r="S242" t="s">
        <v>206</v>
      </c>
      <c r="T242" t="s">
        <v>247</v>
      </c>
      <c r="U242">
        <v>1.1895476335532274E-2</v>
      </c>
      <c r="V242" t="s">
        <v>166</v>
      </c>
    </row>
    <row r="243" spans="9:22" x14ac:dyDescent="0.45">
      <c r="I243" t="s">
        <v>179</v>
      </c>
      <c r="J243" t="s">
        <v>248</v>
      </c>
      <c r="K243">
        <v>0</v>
      </c>
      <c r="L243" t="s">
        <v>166</v>
      </c>
      <c r="N243" t="s">
        <v>192</v>
      </c>
      <c r="O243" t="s">
        <v>248</v>
      </c>
      <c r="P243">
        <v>1.0831754352754292E-2</v>
      </c>
      <c r="Q243" t="s">
        <v>166</v>
      </c>
      <c r="S243" t="s">
        <v>206</v>
      </c>
      <c r="T243" t="s">
        <v>248</v>
      </c>
      <c r="U243">
        <v>1.2083683680650173E-2</v>
      </c>
      <c r="V243" t="s">
        <v>166</v>
      </c>
    </row>
    <row r="244" spans="9:22" x14ac:dyDescent="0.45">
      <c r="I244" t="s">
        <v>179</v>
      </c>
      <c r="J244" t="s">
        <v>249</v>
      </c>
      <c r="K244">
        <v>0</v>
      </c>
      <c r="L244" t="s">
        <v>166</v>
      </c>
      <c r="N244" t="s">
        <v>192</v>
      </c>
      <c r="O244" t="s">
        <v>249</v>
      </c>
      <c r="P244">
        <v>1.10841006063687E-2</v>
      </c>
      <c r="Q244" t="s">
        <v>166</v>
      </c>
      <c r="S244" t="s">
        <v>206</v>
      </c>
      <c r="T244" t="s">
        <v>249</v>
      </c>
      <c r="U244">
        <v>1.2672178346149738E-2</v>
      </c>
      <c r="V244" t="s">
        <v>166</v>
      </c>
    </row>
    <row r="245" spans="9:22" x14ac:dyDescent="0.45">
      <c r="I245" t="s">
        <v>179</v>
      </c>
      <c r="J245" t="s">
        <v>250</v>
      </c>
      <c r="K245">
        <v>0</v>
      </c>
      <c r="L245" t="s">
        <v>166</v>
      </c>
      <c r="N245" t="s">
        <v>192</v>
      </c>
      <c r="O245" t="s">
        <v>250</v>
      </c>
      <c r="P245">
        <v>9.8782095578804369E-3</v>
      </c>
      <c r="Q245" t="s">
        <v>166</v>
      </c>
      <c r="S245" t="s">
        <v>206</v>
      </c>
      <c r="T245" t="s">
        <v>250</v>
      </c>
      <c r="U245">
        <v>1.6549133605672998E-2</v>
      </c>
      <c r="V245" t="s">
        <v>166</v>
      </c>
    </row>
    <row r="246" spans="9:22" x14ac:dyDescent="0.45">
      <c r="I246" t="s">
        <v>179</v>
      </c>
      <c r="J246" t="s">
        <v>251</v>
      </c>
      <c r="K246">
        <v>0</v>
      </c>
      <c r="L246" t="s">
        <v>166</v>
      </c>
      <c r="N246" t="s">
        <v>192</v>
      </c>
      <c r="O246" t="s">
        <v>251</v>
      </c>
      <c r="P246">
        <v>1.7882292971788801E-3</v>
      </c>
      <c r="Q246" t="s">
        <v>166</v>
      </c>
      <c r="S246" t="s">
        <v>206</v>
      </c>
      <c r="T246" t="s">
        <v>251</v>
      </c>
      <c r="U246">
        <v>3.2443345804346029E-3</v>
      </c>
      <c r="V246" t="s">
        <v>166</v>
      </c>
    </row>
    <row r="247" spans="9:22" x14ac:dyDescent="0.45">
      <c r="I247" t="s">
        <v>179</v>
      </c>
      <c r="J247" t="s">
        <v>252</v>
      </c>
      <c r="K247">
        <v>8.8086104762068171E-2</v>
      </c>
      <c r="L247" t="s">
        <v>166</v>
      </c>
      <c r="N247" t="s">
        <v>192</v>
      </c>
      <c r="O247" t="s">
        <v>252</v>
      </c>
      <c r="P247">
        <v>2.7956956644415387E-2</v>
      </c>
      <c r="Q247" t="s">
        <v>166</v>
      </c>
      <c r="S247" t="s">
        <v>206</v>
      </c>
      <c r="T247" t="s">
        <v>252</v>
      </c>
      <c r="U247">
        <v>4.8993651952309009E-2</v>
      </c>
      <c r="V247" t="s">
        <v>166</v>
      </c>
    </row>
    <row r="248" spans="9:22" x14ac:dyDescent="0.45">
      <c r="I248" t="s">
        <v>179</v>
      </c>
      <c r="J248" t="s">
        <v>253</v>
      </c>
      <c r="K248">
        <v>0</v>
      </c>
      <c r="L248" t="s">
        <v>166</v>
      </c>
      <c r="N248" t="s">
        <v>192</v>
      </c>
      <c r="O248" t="s">
        <v>253</v>
      </c>
      <c r="P248">
        <v>2.2619652070057293E-3</v>
      </c>
      <c r="Q248" t="s">
        <v>166</v>
      </c>
      <c r="S248" t="s">
        <v>206</v>
      </c>
      <c r="T248" t="s">
        <v>253</v>
      </c>
      <c r="U248">
        <v>3.415458162526995E-3</v>
      </c>
      <c r="V248" t="s">
        <v>166</v>
      </c>
    </row>
    <row r="249" spans="9:22" x14ac:dyDescent="0.45">
      <c r="I249" t="s">
        <v>179</v>
      </c>
      <c r="J249" t="s">
        <v>254</v>
      </c>
      <c r="K249">
        <v>0</v>
      </c>
      <c r="L249" t="s">
        <v>166</v>
      </c>
      <c r="N249" t="s">
        <v>192</v>
      </c>
      <c r="O249" t="s">
        <v>254</v>
      </c>
      <c r="P249">
        <v>2.1592368862498944E-3</v>
      </c>
      <c r="Q249" t="s">
        <v>166</v>
      </c>
      <c r="S249" t="s">
        <v>206</v>
      </c>
      <c r="T249" t="s">
        <v>254</v>
      </c>
      <c r="U249">
        <v>3.3466445739292307E-3</v>
      </c>
      <c r="V249" t="s">
        <v>166</v>
      </c>
    </row>
    <row r="250" spans="9:22" x14ac:dyDescent="0.45">
      <c r="I250" t="s">
        <v>179</v>
      </c>
      <c r="J250" t="s">
        <v>255</v>
      </c>
      <c r="K250">
        <v>0</v>
      </c>
      <c r="L250" t="s">
        <v>166</v>
      </c>
      <c r="N250" t="s">
        <v>192</v>
      </c>
      <c r="O250" t="s">
        <v>255</v>
      </c>
      <c r="P250">
        <v>2.2777438585060046E-3</v>
      </c>
      <c r="Q250" t="s">
        <v>166</v>
      </c>
      <c r="S250" t="s">
        <v>206</v>
      </c>
      <c r="T250" t="s">
        <v>255</v>
      </c>
      <c r="U250">
        <v>3.3548666259895811E-3</v>
      </c>
      <c r="V250" t="s">
        <v>166</v>
      </c>
    </row>
    <row r="251" spans="9:22" x14ac:dyDescent="0.45">
      <c r="I251" t="s">
        <v>179</v>
      </c>
      <c r="J251" t="s">
        <v>256</v>
      </c>
      <c r="K251">
        <v>0</v>
      </c>
      <c r="L251" t="s">
        <v>166</v>
      </c>
      <c r="N251" t="s">
        <v>192</v>
      </c>
      <c r="O251" t="s">
        <v>256</v>
      </c>
      <c r="P251">
        <v>2.0390013500900441E-2</v>
      </c>
      <c r="Q251" t="s">
        <v>166</v>
      </c>
      <c r="S251" t="s">
        <v>206</v>
      </c>
      <c r="T251" t="s">
        <v>256</v>
      </c>
      <c r="U251">
        <v>1.8614400637804833E-2</v>
      </c>
      <c r="V251" t="s">
        <v>166</v>
      </c>
    </row>
    <row r="252" spans="9:22" x14ac:dyDescent="0.45">
      <c r="I252" t="s">
        <v>179</v>
      </c>
      <c r="J252" t="s">
        <v>257</v>
      </c>
      <c r="K252">
        <v>0</v>
      </c>
      <c r="L252" t="s">
        <v>166</v>
      </c>
      <c r="N252" t="s">
        <v>192</v>
      </c>
      <c r="O252" t="s">
        <v>257</v>
      </c>
      <c r="P252">
        <v>3.9803566391898347E-3</v>
      </c>
      <c r="Q252" t="s">
        <v>166</v>
      </c>
      <c r="S252" t="s">
        <v>206</v>
      </c>
      <c r="T252" t="s">
        <v>257</v>
      </c>
      <c r="U252">
        <v>3.7209885953254493E-3</v>
      </c>
      <c r="V252" t="s">
        <v>166</v>
      </c>
    </row>
    <row r="253" spans="9:22" x14ac:dyDescent="0.45">
      <c r="I253" t="s">
        <v>179</v>
      </c>
      <c r="J253" t="s">
        <v>258</v>
      </c>
      <c r="K253">
        <v>4.1903304398833136E-2</v>
      </c>
      <c r="L253" t="s">
        <v>166</v>
      </c>
      <c r="N253" t="s">
        <v>192</v>
      </c>
      <c r="O253" t="s">
        <v>258</v>
      </c>
      <c r="P253">
        <v>5.7995610264208644E-2</v>
      </c>
      <c r="Q253" t="s">
        <v>166</v>
      </c>
      <c r="S253" t="s">
        <v>206</v>
      </c>
      <c r="T253" t="s">
        <v>258</v>
      </c>
      <c r="U253">
        <v>6.0287013278647529E-2</v>
      </c>
      <c r="V253" t="s">
        <v>166</v>
      </c>
    </row>
    <row r="254" spans="9:22" x14ac:dyDescent="0.45">
      <c r="I254" t="s">
        <v>179</v>
      </c>
      <c r="J254" t="s">
        <v>259</v>
      </c>
      <c r="K254">
        <v>0</v>
      </c>
      <c r="L254" t="s">
        <v>166</v>
      </c>
      <c r="N254" t="s">
        <v>192</v>
      </c>
      <c r="O254" t="s">
        <v>259</v>
      </c>
      <c r="P254">
        <v>4.1467828708472345E-3</v>
      </c>
      <c r="Q254" t="s">
        <v>166</v>
      </c>
      <c r="S254" t="s">
        <v>206</v>
      </c>
      <c r="T254" t="s">
        <v>259</v>
      </c>
      <c r="U254">
        <v>3.9179411478833413E-3</v>
      </c>
      <c r="V254" t="s">
        <v>166</v>
      </c>
    </row>
    <row r="255" spans="9:22" x14ac:dyDescent="0.45">
      <c r="I255" t="s">
        <v>179</v>
      </c>
      <c r="J255" t="s">
        <v>260</v>
      </c>
      <c r="K255">
        <v>0</v>
      </c>
      <c r="L255" t="s">
        <v>166</v>
      </c>
      <c r="N255" t="s">
        <v>192</v>
      </c>
      <c r="O255" t="s">
        <v>260</v>
      </c>
      <c r="P255">
        <v>4.0242513017085526E-3</v>
      </c>
      <c r="Q255" t="s">
        <v>166</v>
      </c>
      <c r="S255" t="s">
        <v>206</v>
      </c>
      <c r="T255" t="s">
        <v>260</v>
      </c>
      <c r="U255">
        <v>3.801775385435515E-3</v>
      </c>
      <c r="V255" t="s">
        <v>166</v>
      </c>
    </row>
    <row r="256" spans="9:22" x14ac:dyDescent="0.45">
      <c r="I256" t="s">
        <v>179</v>
      </c>
      <c r="J256" t="s">
        <v>261</v>
      </c>
      <c r="K256">
        <v>0</v>
      </c>
      <c r="L256" t="s">
        <v>166</v>
      </c>
      <c r="N256" t="s">
        <v>192</v>
      </c>
      <c r="O256" t="s">
        <v>261</v>
      </c>
      <c r="P256">
        <v>4.2328018173601019E-3</v>
      </c>
      <c r="Q256" t="s">
        <v>166</v>
      </c>
      <c r="S256" t="s">
        <v>206</v>
      </c>
      <c r="T256" t="s">
        <v>261</v>
      </c>
      <c r="U256">
        <v>3.7856041487930037E-3</v>
      </c>
      <c r="V256" t="s">
        <v>166</v>
      </c>
    </row>
    <row r="257" spans="9:22" x14ac:dyDescent="0.45">
      <c r="I257" t="s">
        <v>179</v>
      </c>
      <c r="J257" t="s">
        <v>262</v>
      </c>
      <c r="K257">
        <v>0</v>
      </c>
      <c r="L257" t="s">
        <v>166</v>
      </c>
      <c r="N257" t="s">
        <v>192</v>
      </c>
      <c r="O257" t="s">
        <v>262</v>
      </c>
      <c r="P257">
        <v>5.9343067423051919E-2</v>
      </c>
      <c r="Q257" t="s">
        <v>166</v>
      </c>
      <c r="S257" t="s">
        <v>206</v>
      </c>
      <c r="T257" t="s">
        <v>262</v>
      </c>
      <c r="U257">
        <v>4.6800478086762104E-2</v>
      </c>
      <c r="V257" t="s">
        <v>166</v>
      </c>
    </row>
    <row r="258" spans="9:22" x14ac:dyDescent="0.45">
      <c r="I258" t="s">
        <v>179</v>
      </c>
      <c r="J258" t="s">
        <v>263</v>
      </c>
      <c r="K258">
        <v>0</v>
      </c>
      <c r="L258" t="s">
        <v>166</v>
      </c>
      <c r="N258" t="s">
        <v>192</v>
      </c>
      <c r="O258" t="s">
        <v>263</v>
      </c>
      <c r="P258">
        <v>1.2143385036301772E-2</v>
      </c>
      <c r="Q258" t="s">
        <v>166</v>
      </c>
      <c r="S258" t="s">
        <v>206</v>
      </c>
      <c r="T258" t="s">
        <v>263</v>
      </c>
      <c r="U258">
        <v>9.2275851746564958E-3</v>
      </c>
      <c r="V258" t="s">
        <v>166</v>
      </c>
    </row>
    <row r="259" spans="9:22" x14ac:dyDescent="0.45">
      <c r="I259" t="s">
        <v>179</v>
      </c>
      <c r="J259" t="s">
        <v>264</v>
      </c>
      <c r="K259">
        <v>2.9580366606942066E-2</v>
      </c>
      <c r="L259" t="s">
        <v>166</v>
      </c>
      <c r="N259" t="s">
        <v>192</v>
      </c>
      <c r="O259" t="s">
        <v>264</v>
      </c>
      <c r="P259">
        <v>0.18102518784449972</v>
      </c>
      <c r="Q259" t="s">
        <v>166</v>
      </c>
      <c r="S259" t="s">
        <v>206</v>
      </c>
      <c r="T259" t="s">
        <v>264</v>
      </c>
      <c r="U259">
        <v>0.14247977477640456</v>
      </c>
      <c r="V259" t="s">
        <v>166</v>
      </c>
    </row>
    <row r="260" spans="9:22" x14ac:dyDescent="0.45">
      <c r="I260" t="s">
        <v>179</v>
      </c>
      <c r="J260" t="s">
        <v>265</v>
      </c>
      <c r="K260">
        <v>0</v>
      </c>
      <c r="L260" t="s">
        <v>166</v>
      </c>
      <c r="N260" t="s">
        <v>192</v>
      </c>
      <c r="O260" t="s">
        <v>265</v>
      </c>
      <c r="P260">
        <v>1.2437486527442657E-2</v>
      </c>
      <c r="Q260" t="s">
        <v>166</v>
      </c>
      <c r="S260" t="s">
        <v>206</v>
      </c>
      <c r="T260" t="s">
        <v>265</v>
      </c>
      <c r="U260">
        <v>9.9502819541431413E-3</v>
      </c>
      <c r="V260" t="s">
        <v>166</v>
      </c>
    </row>
    <row r="261" spans="9:22" x14ac:dyDescent="0.45">
      <c r="I261" t="s">
        <v>179</v>
      </c>
      <c r="J261" t="s">
        <v>266</v>
      </c>
      <c r="K261">
        <v>0</v>
      </c>
      <c r="L261" t="s">
        <v>166</v>
      </c>
      <c r="N261" t="s">
        <v>192</v>
      </c>
      <c r="O261" t="s">
        <v>266</v>
      </c>
      <c r="P261">
        <v>1.2075745838628268E-2</v>
      </c>
      <c r="Q261" t="s">
        <v>166</v>
      </c>
      <c r="S261" t="s">
        <v>206</v>
      </c>
      <c r="T261" t="s">
        <v>266</v>
      </c>
      <c r="U261">
        <v>9.871664052070895E-3</v>
      </c>
      <c r="V261" t="s">
        <v>166</v>
      </c>
    </row>
    <row r="262" spans="9:22" x14ac:dyDescent="0.45">
      <c r="I262" t="s">
        <v>179</v>
      </c>
      <c r="J262" t="s">
        <v>267</v>
      </c>
      <c r="K262">
        <v>0</v>
      </c>
      <c r="L262" t="s">
        <v>166</v>
      </c>
      <c r="N262" t="s">
        <v>192</v>
      </c>
      <c r="O262" t="s">
        <v>267</v>
      </c>
      <c r="P262">
        <v>1.182126504130906E-2</v>
      </c>
      <c r="Q262" t="s">
        <v>166</v>
      </c>
      <c r="S262" t="s">
        <v>206</v>
      </c>
      <c r="T262" t="s">
        <v>267</v>
      </c>
      <c r="U262">
        <v>9.8148063741363631E-3</v>
      </c>
      <c r="V262" t="s">
        <v>166</v>
      </c>
    </row>
    <row r="263" spans="9:22" x14ac:dyDescent="0.45">
      <c r="I263" t="s">
        <v>180</v>
      </c>
      <c r="J263" t="s">
        <v>165</v>
      </c>
      <c r="K263">
        <v>0</v>
      </c>
      <c r="L263" t="s">
        <v>166</v>
      </c>
      <c r="N263" t="s">
        <v>193</v>
      </c>
      <c r="O263" t="s">
        <v>165</v>
      </c>
      <c r="P263">
        <v>3.2103642678490751E-2</v>
      </c>
      <c r="Q263" t="s">
        <v>166</v>
      </c>
      <c r="S263" t="s">
        <v>207</v>
      </c>
      <c r="T263" t="s">
        <v>165</v>
      </c>
      <c r="U263">
        <v>2.8309665429859639E-2</v>
      </c>
      <c r="V263" t="s">
        <v>166</v>
      </c>
    </row>
    <row r="264" spans="9:22" x14ac:dyDescent="0.45">
      <c r="I264" t="s">
        <v>180</v>
      </c>
      <c r="J264" t="s">
        <v>167</v>
      </c>
      <c r="K264">
        <v>0</v>
      </c>
      <c r="L264" t="s">
        <v>166</v>
      </c>
      <c r="N264" t="s">
        <v>193</v>
      </c>
      <c r="O264" t="s">
        <v>167</v>
      </c>
      <c r="P264">
        <v>6.5943161655323797E-3</v>
      </c>
      <c r="Q264" t="s">
        <v>166</v>
      </c>
      <c r="S264" t="s">
        <v>207</v>
      </c>
      <c r="T264" t="s">
        <v>167</v>
      </c>
      <c r="U264">
        <v>5.75943769436346E-3</v>
      </c>
      <c r="V264" t="s">
        <v>166</v>
      </c>
    </row>
    <row r="265" spans="9:22" x14ac:dyDescent="0.45">
      <c r="I265" t="s">
        <v>180</v>
      </c>
      <c r="J265" t="s">
        <v>168</v>
      </c>
      <c r="K265">
        <v>5.280341934712196E-2</v>
      </c>
      <c r="L265" t="s">
        <v>166</v>
      </c>
      <c r="N265" t="s">
        <v>193</v>
      </c>
      <c r="O265" t="s">
        <v>168</v>
      </c>
      <c r="P265">
        <v>9.4421687242262756E-2</v>
      </c>
      <c r="Q265" t="s">
        <v>166</v>
      </c>
      <c r="S265" t="s">
        <v>207</v>
      </c>
      <c r="T265" t="s">
        <v>168</v>
      </c>
      <c r="U265">
        <v>8.2286105460213074E-2</v>
      </c>
      <c r="V265" t="s">
        <v>166</v>
      </c>
    </row>
    <row r="266" spans="9:22" x14ac:dyDescent="0.45">
      <c r="I266" t="s">
        <v>180</v>
      </c>
      <c r="J266" t="s">
        <v>235</v>
      </c>
      <c r="K266">
        <v>0</v>
      </c>
      <c r="L266" t="s">
        <v>166</v>
      </c>
      <c r="N266" t="s">
        <v>193</v>
      </c>
      <c r="O266" t="s">
        <v>235</v>
      </c>
      <c r="P266">
        <v>6.6578235139227119E-3</v>
      </c>
      <c r="Q266" t="s">
        <v>166</v>
      </c>
      <c r="S266" t="s">
        <v>207</v>
      </c>
      <c r="T266" t="s">
        <v>235</v>
      </c>
      <c r="U266">
        <v>5.5798605938784471E-3</v>
      </c>
      <c r="V266" t="s">
        <v>166</v>
      </c>
    </row>
    <row r="267" spans="9:22" x14ac:dyDescent="0.45">
      <c r="I267" t="s">
        <v>180</v>
      </c>
      <c r="J267" t="s">
        <v>236</v>
      </c>
      <c r="K267">
        <v>0</v>
      </c>
      <c r="L267" t="s">
        <v>166</v>
      </c>
      <c r="N267" t="s">
        <v>193</v>
      </c>
      <c r="O267" t="s">
        <v>236</v>
      </c>
      <c r="P267">
        <v>6.5233737388176709E-3</v>
      </c>
      <c r="Q267" t="s">
        <v>166</v>
      </c>
      <c r="S267" t="s">
        <v>207</v>
      </c>
      <c r="T267" t="s">
        <v>236</v>
      </c>
      <c r="U267">
        <v>5.4865483003478108E-3</v>
      </c>
      <c r="V267" t="s">
        <v>166</v>
      </c>
    </row>
    <row r="268" spans="9:22" x14ac:dyDescent="0.45">
      <c r="I268" t="s">
        <v>180</v>
      </c>
      <c r="J268" t="s">
        <v>237</v>
      </c>
      <c r="K268">
        <v>0</v>
      </c>
      <c r="L268" t="s">
        <v>166</v>
      </c>
      <c r="N268" t="s">
        <v>193</v>
      </c>
      <c r="O268" t="s">
        <v>237</v>
      </c>
      <c r="P268">
        <v>6.4050722110882809E-3</v>
      </c>
      <c r="Q268" t="s">
        <v>166</v>
      </c>
      <c r="S268" t="s">
        <v>207</v>
      </c>
      <c r="T268" t="s">
        <v>237</v>
      </c>
      <c r="U268">
        <v>5.3531772227555204E-3</v>
      </c>
      <c r="V268" t="s">
        <v>166</v>
      </c>
    </row>
    <row r="269" spans="9:22" x14ac:dyDescent="0.45">
      <c r="I269" t="s">
        <v>180</v>
      </c>
      <c r="J269" t="s">
        <v>169</v>
      </c>
      <c r="K269">
        <v>0</v>
      </c>
      <c r="L269" t="s">
        <v>166</v>
      </c>
      <c r="N269" t="s">
        <v>193</v>
      </c>
      <c r="O269" t="s">
        <v>169</v>
      </c>
      <c r="P269">
        <v>1.6639228365449617E-2</v>
      </c>
      <c r="Q269" t="s">
        <v>166</v>
      </c>
      <c r="S269" t="s">
        <v>207</v>
      </c>
      <c r="T269" t="s">
        <v>169</v>
      </c>
      <c r="U269">
        <v>1.464842824510515E-2</v>
      </c>
      <c r="V269" t="s">
        <v>166</v>
      </c>
    </row>
    <row r="270" spans="9:22" x14ac:dyDescent="0.45">
      <c r="I270" t="s">
        <v>180</v>
      </c>
      <c r="J270" t="s">
        <v>170</v>
      </c>
      <c r="K270">
        <v>0</v>
      </c>
      <c r="L270" t="s">
        <v>166</v>
      </c>
      <c r="N270" t="s">
        <v>193</v>
      </c>
      <c r="O270" t="s">
        <v>170</v>
      </c>
      <c r="P270">
        <v>3.7362533019178307E-3</v>
      </c>
      <c r="Q270" t="s">
        <v>166</v>
      </c>
      <c r="S270" t="s">
        <v>207</v>
      </c>
      <c r="T270" t="s">
        <v>170</v>
      </c>
      <c r="U270">
        <v>3.3057324448467081E-3</v>
      </c>
      <c r="V270" t="s">
        <v>166</v>
      </c>
    </row>
    <row r="271" spans="9:22" x14ac:dyDescent="0.45">
      <c r="I271" t="s">
        <v>180</v>
      </c>
      <c r="J271" t="s">
        <v>171</v>
      </c>
      <c r="K271">
        <v>0.10283691371733658</v>
      </c>
      <c r="L271" t="s">
        <v>166</v>
      </c>
      <c r="N271" t="s">
        <v>193</v>
      </c>
      <c r="O271" t="s">
        <v>171</v>
      </c>
      <c r="P271">
        <v>4.6732991027569275E-2</v>
      </c>
      <c r="Q271" t="s">
        <v>166</v>
      </c>
      <c r="S271" t="s">
        <v>207</v>
      </c>
      <c r="T271" t="s">
        <v>171</v>
      </c>
      <c r="U271">
        <v>4.6825946148721466E-2</v>
      </c>
      <c r="V271" t="s">
        <v>166</v>
      </c>
    </row>
    <row r="272" spans="9:22" x14ac:dyDescent="0.45">
      <c r="I272" t="s">
        <v>180</v>
      </c>
      <c r="J272" t="s">
        <v>238</v>
      </c>
      <c r="K272">
        <v>0</v>
      </c>
      <c r="L272" t="s">
        <v>166</v>
      </c>
      <c r="N272" t="s">
        <v>193</v>
      </c>
      <c r="O272" t="s">
        <v>238</v>
      </c>
      <c r="P272">
        <v>3.0564296730300386E-3</v>
      </c>
      <c r="Q272" t="s">
        <v>166</v>
      </c>
      <c r="S272" t="s">
        <v>207</v>
      </c>
      <c r="T272" t="s">
        <v>238</v>
      </c>
      <c r="U272">
        <v>2.8670445628101301E-3</v>
      </c>
      <c r="V272" t="s">
        <v>166</v>
      </c>
    </row>
    <row r="273" spans="9:22" x14ac:dyDescent="0.45">
      <c r="I273" t="s">
        <v>180</v>
      </c>
      <c r="J273" t="s">
        <v>239</v>
      </c>
      <c r="K273">
        <v>0</v>
      </c>
      <c r="L273" t="s">
        <v>166</v>
      </c>
      <c r="N273" t="s">
        <v>193</v>
      </c>
      <c r="O273" t="s">
        <v>239</v>
      </c>
      <c r="P273">
        <v>2.8955848754800861E-3</v>
      </c>
      <c r="Q273" t="s">
        <v>166</v>
      </c>
      <c r="S273" t="s">
        <v>207</v>
      </c>
      <c r="T273" t="s">
        <v>239</v>
      </c>
      <c r="U273">
        <v>2.8750764378797236E-3</v>
      </c>
      <c r="V273" t="s">
        <v>166</v>
      </c>
    </row>
    <row r="274" spans="9:22" x14ac:dyDescent="0.45">
      <c r="I274" t="s">
        <v>180</v>
      </c>
      <c r="J274" t="s">
        <v>240</v>
      </c>
      <c r="K274">
        <v>0</v>
      </c>
      <c r="L274" t="s">
        <v>166</v>
      </c>
      <c r="N274" t="s">
        <v>193</v>
      </c>
      <c r="O274" t="s">
        <v>240</v>
      </c>
      <c r="P274">
        <v>2.8717414389836217E-3</v>
      </c>
      <c r="Q274" t="s">
        <v>166</v>
      </c>
      <c r="S274" t="s">
        <v>207</v>
      </c>
      <c r="T274" t="s">
        <v>240</v>
      </c>
      <c r="U274">
        <v>2.7077820234083067E-3</v>
      </c>
      <c r="V274" t="s">
        <v>166</v>
      </c>
    </row>
    <row r="275" spans="9:22" x14ac:dyDescent="0.45">
      <c r="I275" t="s">
        <v>180</v>
      </c>
      <c r="J275" t="s">
        <v>172</v>
      </c>
      <c r="K275">
        <v>0</v>
      </c>
      <c r="L275" t="s">
        <v>166</v>
      </c>
      <c r="N275" t="s">
        <v>193</v>
      </c>
      <c r="O275" t="s">
        <v>172</v>
      </c>
      <c r="P275">
        <v>1.9933617799968304E-2</v>
      </c>
      <c r="Q275" t="s">
        <v>166</v>
      </c>
      <c r="S275" t="s">
        <v>207</v>
      </c>
      <c r="T275" t="s">
        <v>172</v>
      </c>
      <c r="U275">
        <v>2.0286695675164626E-2</v>
      </c>
      <c r="V275" t="s">
        <v>166</v>
      </c>
    </row>
    <row r="276" spans="9:22" x14ac:dyDescent="0.45">
      <c r="I276" t="s">
        <v>180</v>
      </c>
      <c r="J276" t="s">
        <v>173</v>
      </c>
      <c r="K276">
        <v>9.2432786804073706E-7</v>
      </c>
      <c r="L276" t="s">
        <v>166</v>
      </c>
      <c r="N276" t="s">
        <v>193</v>
      </c>
      <c r="O276" t="s">
        <v>173</v>
      </c>
      <c r="P276">
        <v>3.918668268370961E-3</v>
      </c>
      <c r="Q276" t="s">
        <v>166</v>
      </c>
      <c r="S276" t="s">
        <v>207</v>
      </c>
      <c r="T276" t="s">
        <v>173</v>
      </c>
      <c r="U276">
        <v>3.9750557187615432E-3</v>
      </c>
      <c r="V276" t="s">
        <v>166</v>
      </c>
    </row>
    <row r="277" spans="9:22" x14ac:dyDescent="0.45">
      <c r="I277" t="s">
        <v>180</v>
      </c>
      <c r="J277" t="s">
        <v>174</v>
      </c>
      <c r="K277">
        <v>0.12833266195081716</v>
      </c>
      <c r="L277" t="s">
        <v>166</v>
      </c>
      <c r="N277" t="s">
        <v>193</v>
      </c>
      <c r="O277" t="s">
        <v>174</v>
      </c>
      <c r="P277">
        <v>5.4220770626181004E-2</v>
      </c>
      <c r="Q277" t="s">
        <v>166</v>
      </c>
      <c r="S277" t="s">
        <v>207</v>
      </c>
      <c r="T277" t="s">
        <v>174</v>
      </c>
      <c r="U277">
        <v>5.805386920645348E-2</v>
      </c>
      <c r="V277" t="s">
        <v>166</v>
      </c>
    </row>
    <row r="278" spans="9:22" x14ac:dyDescent="0.45">
      <c r="I278" t="s">
        <v>180</v>
      </c>
      <c r="J278" t="s">
        <v>241</v>
      </c>
      <c r="K278">
        <v>0</v>
      </c>
      <c r="L278" t="s">
        <v>166</v>
      </c>
      <c r="N278" t="s">
        <v>193</v>
      </c>
      <c r="O278" t="s">
        <v>241</v>
      </c>
      <c r="P278">
        <v>4.1654311644824162E-3</v>
      </c>
      <c r="Q278" t="s">
        <v>166</v>
      </c>
      <c r="S278" t="s">
        <v>207</v>
      </c>
      <c r="T278" t="s">
        <v>241</v>
      </c>
      <c r="U278">
        <v>4.2133508379790935E-3</v>
      </c>
      <c r="V278" t="s">
        <v>166</v>
      </c>
    </row>
    <row r="279" spans="9:22" x14ac:dyDescent="0.45">
      <c r="I279" t="s">
        <v>180</v>
      </c>
      <c r="J279" t="s">
        <v>242</v>
      </c>
      <c r="K279">
        <v>0</v>
      </c>
      <c r="L279" t="s">
        <v>166</v>
      </c>
      <c r="N279" t="s">
        <v>193</v>
      </c>
      <c r="O279" t="s">
        <v>242</v>
      </c>
      <c r="P279">
        <v>4.1661891241779924E-3</v>
      </c>
      <c r="Q279" t="s">
        <v>166</v>
      </c>
      <c r="S279" t="s">
        <v>207</v>
      </c>
      <c r="T279" t="s">
        <v>242</v>
      </c>
      <c r="U279">
        <v>4.3291860960144556E-3</v>
      </c>
      <c r="V279" t="s">
        <v>166</v>
      </c>
    </row>
    <row r="280" spans="9:22" x14ac:dyDescent="0.45">
      <c r="I280" t="s">
        <v>180</v>
      </c>
      <c r="J280" t="s">
        <v>243</v>
      </c>
      <c r="K280">
        <v>0</v>
      </c>
      <c r="L280" t="s">
        <v>166</v>
      </c>
      <c r="N280" t="s">
        <v>193</v>
      </c>
      <c r="O280" t="s">
        <v>243</v>
      </c>
      <c r="P280">
        <v>4.3322616686833106E-3</v>
      </c>
      <c r="Q280" t="s">
        <v>166</v>
      </c>
      <c r="S280" t="s">
        <v>207</v>
      </c>
      <c r="T280" t="s">
        <v>243</v>
      </c>
      <c r="U280">
        <v>4.3023819317375119E-3</v>
      </c>
      <c r="V280" t="s">
        <v>166</v>
      </c>
    </row>
    <row r="281" spans="9:22" x14ac:dyDescent="0.45">
      <c r="I281" t="s">
        <v>180</v>
      </c>
      <c r="J281" t="s">
        <v>244</v>
      </c>
      <c r="K281">
        <v>5.3299589148549662E-4</v>
      </c>
      <c r="L281" t="s">
        <v>166</v>
      </c>
      <c r="N281" t="s">
        <v>193</v>
      </c>
      <c r="O281" t="s">
        <v>244</v>
      </c>
      <c r="P281">
        <v>5.1060125387193026E-2</v>
      </c>
      <c r="Q281" t="s">
        <v>166</v>
      </c>
      <c r="S281" t="s">
        <v>207</v>
      </c>
      <c r="T281" t="s">
        <v>244</v>
      </c>
      <c r="U281">
        <v>5.3687063996519228E-2</v>
      </c>
      <c r="V281" t="s">
        <v>166</v>
      </c>
    </row>
    <row r="282" spans="9:22" x14ac:dyDescent="0.45">
      <c r="I282" t="s">
        <v>180</v>
      </c>
      <c r="J282" t="s">
        <v>245</v>
      </c>
      <c r="K282">
        <v>7.9166220291504424E-3</v>
      </c>
      <c r="L282" t="s">
        <v>166</v>
      </c>
      <c r="N282" t="s">
        <v>193</v>
      </c>
      <c r="O282" t="s">
        <v>245</v>
      </c>
      <c r="P282">
        <v>9.4355186469600467E-3</v>
      </c>
      <c r="Q282" t="s">
        <v>166</v>
      </c>
      <c r="S282" t="s">
        <v>207</v>
      </c>
      <c r="T282" t="s">
        <v>245</v>
      </c>
      <c r="U282">
        <v>9.6927968090298709E-3</v>
      </c>
      <c r="V282" t="s">
        <v>166</v>
      </c>
    </row>
    <row r="283" spans="9:22" x14ac:dyDescent="0.45">
      <c r="I283" t="s">
        <v>180</v>
      </c>
      <c r="J283" t="s">
        <v>246</v>
      </c>
      <c r="K283">
        <v>0.54484350596075948</v>
      </c>
      <c r="L283" t="s">
        <v>166</v>
      </c>
      <c r="N283" t="s">
        <v>193</v>
      </c>
      <c r="O283" t="s">
        <v>246</v>
      </c>
      <c r="P283">
        <v>0.14027063310253679</v>
      </c>
      <c r="Q283" t="s">
        <v>166</v>
      </c>
      <c r="S283" t="s">
        <v>207</v>
      </c>
      <c r="T283" t="s">
        <v>246</v>
      </c>
      <c r="U283">
        <v>0.15664589337860299</v>
      </c>
      <c r="V283" t="s">
        <v>166</v>
      </c>
    </row>
    <row r="284" spans="9:22" x14ac:dyDescent="0.45">
      <c r="I284" t="s">
        <v>180</v>
      </c>
      <c r="J284" t="s">
        <v>247</v>
      </c>
      <c r="K284">
        <v>4.0620546718153116E-3</v>
      </c>
      <c r="L284" t="s">
        <v>166</v>
      </c>
      <c r="N284" t="s">
        <v>193</v>
      </c>
      <c r="O284" t="s">
        <v>247</v>
      </c>
      <c r="P284">
        <v>1.0374141395978382E-2</v>
      </c>
      <c r="Q284" t="s">
        <v>166</v>
      </c>
      <c r="S284" t="s">
        <v>207</v>
      </c>
      <c r="T284" t="s">
        <v>247</v>
      </c>
      <c r="U284">
        <v>1.2151884917367654E-2</v>
      </c>
      <c r="V284" t="s">
        <v>166</v>
      </c>
    </row>
    <row r="285" spans="9:22" x14ac:dyDescent="0.45">
      <c r="I285" t="s">
        <v>180</v>
      </c>
      <c r="J285" t="s">
        <v>248</v>
      </c>
      <c r="K285">
        <v>0</v>
      </c>
      <c r="L285" t="s">
        <v>166</v>
      </c>
      <c r="N285" t="s">
        <v>193</v>
      </c>
      <c r="O285" t="s">
        <v>248</v>
      </c>
      <c r="P285">
        <v>1.0774300135701178E-2</v>
      </c>
      <c r="Q285" t="s">
        <v>166</v>
      </c>
      <c r="S285" t="s">
        <v>207</v>
      </c>
      <c r="T285" t="s">
        <v>248</v>
      </c>
      <c r="U285">
        <v>1.210582934353046E-2</v>
      </c>
      <c r="V285" t="s">
        <v>166</v>
      </c>
    </row>
    <row r="286" spans="9:22" x14ac:dyDescent="0.45">
      <c r="I286" t="s">
        <v>180</v>
      </c>
      <c r="J286" t="s">
        <v>249</v>
      </c>
      <c r="K286">
        <v>0</v>
      </c>
      <c r="L286" t="s">
        <v>166</v>
      </c>
      <c r="N286" t="s">
        <v>193</v>
      </c>
      <c r="O286" t="s">
        <v>249</v>
      </c>
      <c r="P286">
        <v>1.1351227778306858E-2</v>
      </c>
      <c r="Q286" t="s">
        <v>166</v>
      </c>
      <c r="S286" t="s">
        <v>207</v>
      </c>
      <c r="T286" t="s">
        <v>249</v>
      </c>
      <c r="U286">
        <v>1.1775979088579167E-2</v>
      </c>
      <c r="V286" t="s">
        <v>166</v>
      </c>
    </row>
    <row r="287" spans="9:22" x14ac:dyDescent="0.45">
      <c r="I287" t="s">
        <v>180</v>
      </c>
      <c r="J287" t="s">
        <v>250</v>
      </c>
      <c r="K287">
        <v>0</v>
      </c>
      <c r="L287" t="s">
        <v>166</v>
      </c>
      <c r="N287" t="s">
        <v>193</v>
      </c>
      <c r="O287" t="s">
        <v>250</v>
      </c>
      <c r="P287">
        <v>1.0026122886500672E-2</v>
      </c>
      <c r="Q287" t="s">
        <v>166</v>
      </c>
      <c r="S287" t="s">
        <v>207</v>
      </c>
      <c r="T287" t="s">
        <v>250</v>
      </c>
      <c r="U287">
        <v>1.0688844630633503E-2</v>
      </c>
      <c r="V287" t="s">
        <v>166</v>
      </c>
    </row>
    <row r="288" spans="9:22" x14ac:dyDescent="0.45">
      <c r="I288" t="s">
        <v>180</v>
      </c>
      <c r="J288" t="s">
        <v>251</v>
      </c>
      <c r="K288">
        <v>0</v>
      </c>
      <c r="L288" t="s">
        <v>166</v>
      </c>
      <c r="N288" t="s">
        <v>193</v>
      </c>
      <c r="O288" t="s">
        <v>251</v>
      </c>
      <c r="P288">
        <v>1.8338770389539753E-3</v>
      </c>
      <c r="Q288" t="s">
        <v>166</v>
      </c>
      <c r="S288" t="s">
        <v>207</v>
      </c>
      <c r="T288" t="s">
        <v>251</v>
      </c>
      <c r="U288">
        <v>1.9651496498170125E-3</v>
      </c>
      <c r="V288" t="s">
        <v>166</v>
      </c>
    </row>
    <row r="289" spans="9:22" x14ac:dyDescent="0.45">
      <c r="I289" t="s">
        <v>180</v>
      </c>
      <c r="J289" t="s">
        <v>252</v>
      </c>
      <c r="K289">
        <v>8.5826028643518709E-2</v>
      </c>
      <c r="L289" t="s">
        <v>166</v>
      </c>
      <c r="N289" t="s">
        <v>193</v>
      </c>
      <c r="O289" t="s">
        <v>252</v>
      </c>
      <c r="P289">
        <v>2.9432489825231823E-2</v>
      </c>
      <c r="Q289" t="s">
        <v>166</v>
      </c>
      <c r="S289" t="s">
        <v>207</v>
      </c>
      <c r="T289" t="s">
        <v>252</v>
      </c>
      <c r="U289">
        <v>2.687065248981119E-2</v>
      </c>
      <c r="V289" t="s">
        <v>166</v>
      </c>
    </row>
    <row r="290" spans="9:22" x14ac:dyDescent="0.45">
      <c r="I290" t="s">
        <v>180</v>
      </c>
      <c r="J290" t="s">
        <v>253</v>
      </c>
      <c r="K290">
        <v>0</v>
      </c>
      <c r="L290" t="s">
        <v>166</v>
      </c>
      <c r="N290" t="s">
        <v>193</v>
      </c>
      <c r="O290" t="s">
        <v>253</v>
      </c>
      <c r="P290">
        <v>2.3408714197896345E-3</v>
      </c>
      <c r="Q290" t="s">
        <v>166</v>
      </c>
      <c r="S290" t="s">
        <v>207</v>
      </c>
      <c r="T290" t="s">
        <v>253</v>
      </c>
      <c r="U290">
        <v>1.8405317059656098E-3</v>
      </c>
      <c r="V290" t="s">
        <v>166</v>
      </c>
    </row>
    <row r="291" spans="9:22" x14ac:dyDescent="0.45">
      <c r="I291" t="s">
        <v>180</v>
      </c>
      <c r="J291" t="s">
        <v>254</v>
      </c>
      <c r="K291">
        <v>0</v>
      </c>
      <c r="L291" t="s">
        <v>166</v>
      </c>
      <c r="N291" t="s">
        <v>193</v>
      </c>
      <c r="O291" t="s">
        <v>254</v>
      </c>
      <c r="P291">
        <v>2.2182918327420843E-3</v>
      </c>
      <c r="Q291" t="s">
        <v>166</v>
      </c>
      <c r="S291" t="s">
        <v>207</v>
      </c>
      <c r="T291" t="s">
        <v>254</v>
      </c>
      <c r="U291">
        <v>1.9678046232673835E-3</v>
      </c>
      <c r="V291" t="s">
        <v>166</v>
      </c>
    </row>
    <row r="292" spans="9:22" x14ac:dyDescent="0.45">
      <c r="I292" t="s">
        <v>180</v>
      </c>
      <c r="J292" t="s">
        <v>255</v>
      </c>
      <c r="K292">
        <v>0</v>
      </c>
      <c r="L292" t="s">
        <v>166</v>
      </c>
      <c r="N292" t="s">
        <v>193</v>
      </c>
      <c r="O292" t="s">
        <v>255</v>
      </c>
      <c r="P292">
        <v>2.3586501668643265E-3</v>
      </c>
      <c r="Q292" t="s">
        <v>166</v>
      </c>
      <c r="S292" t="s">
        <v>207</v>
      </c>
      <c r="T292" t="s">
        <v>255</v>
      </c>
      <c r="U292">
        <v>2.0614672364447431E-3</v>
      </c>
      <c r="V292" t="s">
        <v>166</v>
      </c>
    </row>
    <row r="293" spans="9:22" x14ac:dyDescent="0.45">
      <c r="I293" t="s">
        <v>180</v>
      </c>
      <c r="J293" t="s">
        <v>256</v>
      </c>
      <c r="K293">
        <v>0</v>
      </c>
      <c r="L293" t="s">
        <v>166</v>
      </c>
      <c r="N293" t="s">
        <v>193</v>
      </c>
      <c r="O293" t="s">
        <v>256</v>
      </c>
      <c r="P293">
        <v>2.3271301528661636E-2</v>
      </c>
      <c r="Q293" t="s">
        <v>166</v>
      </c>
      <c r="S293" t="s">
        <v>207</v>
      </c>
      <c r="T293" t="s">
        <v>256</v>
      </c>
      <c r="U293">
        <v>2.4011664267898889E-2</v>
      </c>
      <c r="V293" t="s">
        <v>166</v>
      </c>
    </row>
    <row r="294" spans="9:22" x14ac:dyDescent="0.45">
      <c r="I294" t="s">
        <v>180</v>
      </c>
      <c r="J294" t="s">
        <v>257</v>
      </c>
      <c r="K294">
        <v>0</v>
      </c>
      <c r="L294" t="s">
        <v>166</v>
      </c>
      <c r="N294" t="s">
        <v>193</v>
      </c>
      <c r="O294" t="s">
        <v>257</v>
      </c>
      <c r="P294">
        <v>4.505376587573137E-3</v>
      </c>
      <c r="Q294" t="s">
        <v>166</v>
      </c>
      <c r="S294" t="s">
        <v>207</v>
      </c>
      <c r="T294" t="s">
        <v>257</v>
      </c>
      <c r="U294">
        <v>4.9156073538628641E-3</v>
      </c>
      <c r="V294" t="s">
        <v>166</v>
      </c>
    </row>
    <row r="295" spans="9:22" x14ac:dyDescent="0.45">
      <c r="I295" t="s">
        <v>180</v>
      </c>
      <c r="J295" t="s">
        <v>258</v>
      </c>
      <c r="K295">
        <v>4.0199666720331213E-2</v>
      </c>
      <c r="L295" t="s">
        <v>166</v>
      </c>
      <c r="N295" t="s">
        <v>193</v>
      </c>
      <c r="O295" t="s">
        <v>258</v>
      </c>
      <c r="P295">
        <v>6.3714177908870434E-2</v>
      </c>
      <c r="Q295" t="s">
        <v>166</v>
      </c>
      <c r="S295" t="s">
        <v>207</v>
      </c>
      <c r="T295" t="s">
        <v>258</v>
      </c>
      <c r="U295">
        <v>6.7000799834171954E-2</v>
      </c>
      <c r="V295" t="s">
        <v>166</v>
      </c>
    </row>
    <row r="296" spans="9:22" x14ac:dyDescent="0.45">
      <c r="I296" t="s">
        <v>180</v>
      </c>
      <c r="J296" t="s">
        <v>259</v>
      </c>
      <c r="K296">
        <v>0</v>
      </c>
      <c r="L296" t="s">
        <v>166</v>
      </c>
      <c r="N296" t="s">
        <v>193</v>
      </c>
      <c r="O296" t="s">
        <v>259</v>
      </c>
      <c r="P296">
        <v>4.3793425499970007E-3</v>
      </c>
      <c r="Q296" t="s">
        <v>166</v>
      </c>
      <c r="S296" t="s">
        <v>207</v>
      </c>
      <c r="T296" t="s">
        <v>259</v>
      </c>
      <c r="U296">
        <v>4.8868524208303113E-3</v>
      </c>
      <c r="V296" t="s">
        <v>166</v>
      </c>
    </row>
    <row r="297" spans="9:22" x14ac:dyDescent="0.45">
      <c r="I297" t="s">
        <v>180</v>
      </c>
      <c r="J297" t="s">
        <v>260</v>
      </c>
      <c r="K297">
        <v>0</v>
      </c>
      <c r="L297" t="s">
        <v>166</v>
      </c>
      <c r="N297" t="s">
        <v>193</v>
      </c>
      <c r="O297" t="s">
        <v>260</v>
      </c>
      <c r="P297">
        <v>4.3764016121908235E-3</v>
      </c>
      <c r="Q297" t="s">
        <v>166</v>
      </c>
      <c r="S297" t="s">
        <v>207</v>
      </c>
      <c r="T297" t="s">
        <v>260</v>
      </c>
      <c r="U297">
        <v>5.0314386008108751E-3</v>
      </c>
      <c r="V297" t="s">
        <v>166</v>
      </c>
    </row>
    <row r="298" spans="9:22" x14ac:dyDescent="0.45">
      <c r="I298" t="s">
        <v>180</v>
      </c>
      <c r="J298" t="s">
        <v>261</v>
      </c>
      <c r="K298">
        <v>0</v>
      </c>
      <c r="L298" t="s">
        <v>166</v>
      </c>
      <c r="N298" t="s">
        <v>193</v>
      </c>
      <c r="O298" t="s">
        <v>261</v>
      </c>
      <c r="P298">
        <v>4.6147497255783878E-3</v>
      </c>
      <c r="Q298" t="s">
        <v>166</v>
      </c>
      <c r="S298" t="s">
        <v>207</v>
      </c>
      <c r="T298" t="s">
        <v>261</v>
      </c>
      <c r="U298">
        <v>5.0649058650780359E-3</v>
      </c>
      <c r="V298" t="s">
        <v>166</v>
      </c>
    </row>
    <row r="299" spans="9:22" x14ac:dyDescent="0.45">
      <c r="I299" t="s">
        <v>180</v>
      </c>
      <c r="J299" t="s">
        <v>262</v>
      </c>
      <c r="K299">
        <v>0</v>
      </c>
      <c r="L299" t="s">
        <v>166</v>
      </c>
      <c r="N299" t="s">
        <v>193</v>
      </c>
      <c r="O299" t="s">
        <v>262</v>
      </c>
      <c r="P299">
        <v>6.1488946021253252E-2</v>
      </c>
      <c r="Q299" t="s">
        <v>166</v>
      </c>
      <c r="S299" t="s">
        <v>207</v>
      </c>
      <c r="T299" t="s">
        <v>262</v>
      </c>
      <c r="U299">
        <v>5.8266439797695746E-2</v>
      </c>
      <c r="V299" t="s">
        <v>166</v>
      </c>
    </row>
    <row r="300" spans="9:22" x14ac:dyDescent="0.45">
      <c r="I300" t="s">
        <v>180</v>
      </c>
      <c r="J300" t="s">
        <v>263</v>
      </c>
      <c r="K300">
        <v>0</v>
      </c>
      <c r="L300" t="s">
        <v>166</v>
      </c>
      <c r="N300" t="s">
        <v>193</v>
      </c>
      <c r="O300" t="s">
        <v>263</v>
      </c>
      <c r="P300">
        <v>1.1966199973266721E-2</v>
      </c>
      <c r="Q300" t="s">
        <v>166</v>
      </c>
      <c r="S300" t="s">
        <v>207</v>
      </c>
      <c r="T300" t="s">
        <v>263</v>
      </c>
      <c r="U300">
        <v>1.1502258502982358E-2</v>
      </c>
      <c r="V300" t="s">
        <v>166</v>
      </c>
    </row>
    <row r="301" spans="9:22" x14ac:dyDescent="0.45">
      <c r="I301" t="s">
        <v>180</v>
      </c>
      <c r="J301" t="s">
        <v>264</v>
      </c>
      <c r="K301">
        <v>3.264520673979502E-2</v>
      </c>
      <c r="L301" t="s">
        <v>166</v>
      </c>
      <c r="N301" t="s">
        <v>193</v>
      </c>
      <c r="O301" t="s">
        <v>264</v>
      </c>
      <c r="P301">
        <v>0.18380586700272797</v>
      </c>
      <c r="Q301" t="s">
        <v>166</v>
      </c>
      <c r="S301" t="s">
        <v>207</v>
      </c>
      <c r="T301" t="s">
        <v>264</v>
      </c>
      <c r="U301">
        <v>0.18005825598211112</v>
      </c>
      <c r="V301" t="s">
        <v>166</v>
      </c>
    </row>
    <row r="302" spans="9:22" x14ac:dyDescent="0.45">
      <c r="I302" t="s">
        <v>180</v>
      </c>
      <c r="J302" t="s">
        <v>265</v>
      </c>
      <c r="K302">
        <v>0</v>
      </c>
      <c r="L302" t="s">
        <v>166</v>
      </c>
      <c r="N302" t="s">
        <v>193</v>
      </c>
      <c r="O302" t="s">
        <v>265</v>
      </c>
      <c r="P302">
        <v>1.2540731045692614E-2</v>
      </c>
      <c r="Q302" t="s">
        <v>166</v>
      </c>
      <c r="S302" t="s">
        <v>207</v>
      </c>
      <c r="T302" t="s">
        <v>265</v>
      </c>
      <c r="U302">
        <v>1.234428233295411E-2</v>
      </c>
      <c r="V302" t="s">
        <v>166</v>
      </c>
    </row>
    <row r="303" spans="9:22" x14ac:dyDescent="0.45">
      <c r="I303" t="s">
        <v>180</v>
      </c>
      <c r="J303" t="s">
        <v>266</v>
      </c>
      <c r="K303">
        <v>0</v>
      </c>
      <c r="L303" t="s">
        <v>166</v>
      </c>
      <c r="N303" t="s">
        <v>193</v>
      </c>
      <c r="O303" t="s">
        <v>266</v>
      </c>
      <c r="P303">
        <v>1.2338238330257075E-2</v>
      </c>
      <c r="Q303" t="s">
        <v>166</v>
      </c>
      <c r="S303" t="s">
        <v>207</v>
      </c>
      <c r="T303" t="s">
        <v>266</v>
      </c>
      <c r="U303">
        <v>1.2228505165088202E-2</v>
      </c>
      <c r="V303" t="s">
        <v>166</v>
      </c>
    </row>
    <row r="304" spans="9:22" x14ac:dyDescent="0.45">
      <c r="I304" t="s">
        <v>180</v>
      </c>
      <c r="J304" t="s">
        <v>267</v>
      </c>
      <c r="K304">
        <v>0</v>
      </c>
      <c r="L304" t="s">
        <v>166</v>
      </c>
      <c r="N304" t="s">
        <v>193</v>
      </c>
      <c r="O304" t="s">
        <v>267</v>
      </c>
      <c r="P304">
        <v>1.2147335212764506E-2</v>
      </c>
      <c r="Q304" t="s">
        <v>166</v>
      </c>
      <c r="S304" t="s">
        <v>207</v>
      </c>
      <c r="T304" t="s">
        <v>267</v>
      </c>
      <c r="U304">
        <v>1.2069747976652234E-2</v>
      </c>
      <c r="V304" t="s">
        <v>166</v>
      </c>
    </row>
    <row r="305" spans="9:22" x14ac:dyDescent="0.45">
      <c r="I305" t="s">
        <v>181</v>
      </c>
      <c r="J305" t="s">
        <v>165</v>
      </c>
      <c r="K305">
        <v>0</v>
      </c>
      <c r="L305" t="s">
        <v>166</v>
      </c>
      <c r="N305" t="s">
        <v>194</v>
      </c>
      <c r="O305" t="s">
        <v>165</v>
      </c>
      <c r="P305">
        <v>3.2408173419066058E-2</v>
      </c>
      <c r="Q305" t="s">
        <v>166</v>
      </c>
      <c r="S305" t="s">
        <v>208</v>
      </c>
      <c r="T305" t="s">
        <v>165</v>
      </c>
      <c r="U305">
        <v>2.7798262585973184E-2</v>
      </c>
      <c r="V305" t="s">
        <v>166</v>
      </c>
    </row>
    <row r="306" spans="9:22" x14ac:dyDescent="0.45">
      <c r="I306" t="s">
        <v>181</v>
      </c>
      <c r="J306" t="s">
        <v>167</v>
      </c>
      <c r="K306">
        <v>0</v>
      </c>
      <c r="L306" t="s">
        <v>166</v>
      </c>
      <c r="N306" t="s">
        <v>194</v>
      </c>
      <c r="O306" t="s">
        <v>167</v>
      </c>
      <c r="P306">
        <v>6.7602370206171483E-3</v>
      </c>
      <c r="Q306" t="s">
        <v>166</v>
      </c>
      <c r="S306" t="s">
        <v>208</v>
      </c>
      <c r="T306" t="s">
        <v>167</v>
      </c>
      <c r="U306">
        <v>5.7276646687973642E-3</v>
      </c>
      <c r="V306" t="s">
        <v>166</v>
      </c>
    </row>
    <row r="307" spans="9:22" x14ac:dyDescent="0.45">
      <c r="I307" t="s">
        <v>181</v>
      </c>
      <c r="J307" t="s">
        <v>168</v>
      </c>
      <c r="K307">
        <v>5.4710722389237208E-2</v>
      </c>
      <c r="L307" t="s">
        <v>166</v>
      </c>
      <c r="N307" t="s">
        <v>194</v>
      </c>
      <c r="O307" t="s">
        <v>168</v>
      </c>
      <c r="P307">
        <v>0.10179921661116438</v>
      </c>
      <c r="Q307" t="s">
        <v>166</v>
      </c>
      <c r="S307" t="s">
        <v>208</v>
      </c>
      <c r="T307" t="s">
        <v>168</v>
      </c>
      <c r="U307">
        <v>9.2245730855249383E-2</v>
      </c>
      <c r="V307" t="s">
        <v>166</v>
      </c>
    </row>
    <row r="308" spans="9:22" x14ac:dyDescent="0.45">
      <c r="I308" t="s">
        <v>181</v>
      </c>
      <c r="J308" t="s">
        <v>235</v>
      </c>
      <c r="K308">
        <v>0</v>
      </c>
      <c r="L308" t="s">
        <v>166</v>
      </c>
      <c r="N308" t="s">
        <v>194</v>
      </c>
      <c r="O308" t="s">
        <v>235</v>
      </c>
      <c r="P308">
        <v>6.7504000900319968E-3</v>
      </c>
      <c r="Q308" t="s">
        <v>166</v>
      </c>
      <c r="S308" t="s">
        <v>208</v>
      </c>
      <c r="T308" t="s">
        <v>235</v>
      </c>
      <c r="U308">
        <v>6.0347381145790671E-3</v>
      </c>
      <c r="V308" t="s">
        <v>166</v>
      </c>
    </row>
    <row r="309" spans="9:22" x14ac:dyDescent="0.45">
      <c r="I309" t="s">
        <v>181</v>
      </c>
      <c r="J309" t="s">
        <v>236</v>
      </c>
      <c r="K309">
        <v>0</v>
      </c>
      <c r="L309" t="s">
        <v>166</v>
      </c>
      <c r="N309" t="s">
        <v>194</v>
      </c>
      <c r="O309" t="s">
        <v>236</v>
      </c>
      <c r="P309">
        <v>6.5166639702977126E-3</v>
      </c>
      <c r="Q309" t="s">
        <v>166</v>
      </c>
      <c r="S309" t="s">
        <v>208</v>
      </c>
      <c r="T309" t="s">
        <v>236</v>
      </c>
      <c r="U309">
        <v>5.6179822016003186E-3</v>
      </c>
      <c r="V309" t="s">
        <v>166</v>
      </c>
    </row>
    <row r="310" spans="9:22" x14ac:dyDescent="0.45">
      <c r="I310" t="s">
        <v>181</v>
      </c>
      <c r="J310" t="s">
        <v>237</v>
      </c>
      <c r="K310">
        <v>0</v>
      </c>
      <c r="L310" t="s">
        <v>166</v>
      </c>
      <c r="N310" t="s">
        <v>194</v>
      </c>
      <c r="O310" t="s">
        <v>237</v>
      </c>
      <c r="P310">
        <v>6.3667075983536228E-3</v>
      </c>
      <c r="Q310" t="s">
        <v>166</v>
      </c>
      <c r="S310" t="s">
        <v>208</v>
      </c>
      <c r="T310" t="s">
        <v>237</v>
      </c>
      <c r="U310">
        <v>5.4703232389296365E-3</v>
      </c>
      <c r="V310" t="s">
        <v>166</v>
      </c>
    </row>
    <row r="311" spans="9:22" x14ac:dyDescent="0.45">
      <c r="I311" t="s">
        <v>181</v>
      </c>
      <c r="J311" t="s">
        <v>169</v>
      </c>
      <c r="K311">
        <v>0</v>
      </c>
      <c r="L311" t="s">
        <v>166</v>
      </c>
      <c r="N311" t="s">
        <v>194</v>
      </c>
      <c r="O311" t="s">
        <v>169</v>
      </c>
      <c r="P311">
        <v>1.606054803335041E-2</v>
      </c>
      <c r="Q311" t="s">
        <v>166</v>
      </c>
      <c r="S311" t="s">
        <v>208</v>
      </c>
      <c r="T311" t="s">
        <v>169</v>
      </c>
      <c r="U311">
        <v>1.6076457178353726E-2</v>
      </c>
      <c r="V311" t="s">
        <v>166</v>
      </c>
    </row>
    <row r="312" spans="9:22" x14ac:dyDescent="0.45">
      <c r="I312" t="s">
        <v>181</v>
      </c>
      <c r="J312" t="s">
        <v>170</v>
      </c>
      <c r="K312">
        <v>0</v>
      </c>
      <c r="L312" t="s">
        <v>166</v>
      </c>
      <c r="N312" t="s">
        <v>194</v>
      </c>
      <c r="O312" t="s">
        <v>170</v>
      </c>
      <c r="P312">
        <v>3.4776119754125405E-3</v>
      </c>
      <c r="Q312" t="s">
        <v>166</v>
      </c>
      <c r="S312" t="s">
        <v>208</v>
      </c>
      <c r="T312" t="s">
        <v>170</v>
      </c>
      <c r="U312">
        <v>3.5088342518753588E-3</v>
      </c>
      <c r="V312" t="s">
        <v>166</v>
      </c>
    </row>
    <row r="313" spans="9:22" x14ac:dyDescent="0.45">
      <c r="I313" t="s">
        <v>181</v>
      </c>
      <c r="J313" t="s">
        <v>171</v>
      </c>
      <c r="K313">
        <v>0.10859432224985792</v>
      </c>
      <c r="L313" t="s">
        <v>166</v>
      </c>
      <c r="N313" t="s">
        <v>194</v>
      </c>
      <c r="O313" t="s">
        <v>171</v>
      </c>
      <c r="P313">
        <v>5.0244934953928198E-2</v>
      </c>
      <c r="Q313" t="s">
        <v>166</v>
      </c>
      <c r="S313" t="s">
        <v>208</v>
      </c>
      <c r="T313" t="s">
        <v>171</v>
      </c>
      <c r="U313">
        <v>5.4354220093566344E-2</v>
      </c>
      <c r="V313" t="s">
        <v>166</v>
      </c>
    </row>
    <row r="314" spans="9:22" x14ac:dyDescent="0.45">
      <c r="I314" t="s">
        <v>181</v>
      </c>
      <c r="J314" t="s">
        <v>238</v>
      </c>
      <c r="K314">
        <v>0</v>
      </c>
      <c r="L314" t="s">
        <v>166</v>
      </c>
      <c r="N314" t="s">
        <v>194</v>
      </c>
      <c r="O314" t="s">
        <v>238</v>
      </c>
      <c r="P314">
        <v>3.1773520718036716E-3</v>
      </c>
      <c r="Q314" t="s">
        <v>166</v>
      </c>
      <c r="S314" t="s">
        <v>208</v>
      </c>
      <c r="T314" t="s">
        <v>238</v>
      </c>
      <c r="U314">
        <v>3.4745381513554192E-3</v>
      </c>
      <c r="V314" t="s">
        <v>166</v>
      </c>
    </row>
    <row r="315" spans="9:22" x14ac:dyDescent="0.45">
      <c r="I315" t="s">
        <v>181</v>
      </c>
      <c r="J315" t="s">
        <v>239</v>
      </c>
      <c r="K315">
        <v>0</v>
      </c>
      <c r="L315" t="s">
        <v>166</v>
      </c>
      <c r="N315" t="s">
        <v>194</v>
      </c>
      <c r="O315" t="s">
        <v>239</v>
      </c>
      <c r="P315">
        <v>3.0174773907033605E-3</v>
      </c>
      <c r="Q315" t="s">
        <v>166</v>
      </c>
      <c r="S315" t="s">
        <v>208</v>
      </c>
      <c r="T315" t="s">
        <v>239</v>
      </c>
      <c r="U315">
        <v>3.3689111489275249E-3</v>
      </c>
      <c r="V315" t="s">
        <v>166</v>
      </c>
    </row>
    <row r="316" spans="9:22" x14ac:dyDescent="0.45">
      <c r="I316" t="s">
        <v>181</v>
      </c>
      <c r="J316" t="s">
        <v>240</v>
      </c>
      <c r="K316">
        <v>0</v>
      </c>
      <c r="L316" t="s">
        <v>166</v>
      </c>
      <c r="N316" t="s">
        <v>194</v>
      </c>
      <c r="O316" t="s">
        <v>240</v>
      </c>
      <c r="P316">
        <v>2.964063577785329E-3</v>
      </c>
      <c r="Q316" t="s">
        <v>166</v>
      </c>
      <c r="S316" t="s">
        <v>208</v>
      </c>
      <c r="T316" t="s">
        <v>240</v>
      </c>
      <c r="U316">
        <v>3.1426578284080202E-3</v>
      </c>
      <c r="V316" t="s">
        <v>166</v>
      </c>
    </row>
    <row r="317" spans="9:22" x14ac:dyDescent="0.45">
      <c r="I317" t="s">
        <v>181</v>
      </c>
      <c r="J317" t="s">
        <v>172</v>
      </c>
      <c r="K317">
        <v>0</v>
      </c>
      <c r="L317" t="s">
        <v>166</v>
      </c>
      <c r="N317" t="s">
        <v>194</v>
      </c>
      <c r="O317" t="s">
        <v>172</v>
      </c>
      <c r="P317">
        <v>1.8793380725367192E-2</v>
      </c>
      <c r="Q317" t="s">
        <v>166</v>
      </c>
      <c r="S317" t="s">
        <v>208</v>
      </c>
      <c r="T317" t="s">
        <v>172</v>
      </c>
      <c r="U317">
        <v>1.6382199747265298E-2</v>
      </c>
      <c r="V317" t="s">
        <v>166</v>
      </c>
    </row>
    <row r="318" spans="9:22" x14ac:dyDescent="0.45">
      <c r="I318" t="s">
        <v>181</v>
      </c>
      <c r="J318" t="s">
        <v>173</v>
      </c>
      <c r="K318">
        <v>5.6561861589506476E-5</v>
      </c>
      <c r="L318" t="s">
        <v>166</v>
      </c>
      <c r="N318" t="s">
        <v>194</v>
      </c>
      <c r="O318" t="s">
        <v>173</v>
      </c>
      <c r="P318">
        <v>3.7517307144385018E-3</v>
      </c>
      <c r="Q318" t="s">
        <v>166</v>
      </c>
      <c r="S318" t="s">
        <v>208</v>
      </c>
      <c r="T318" t="s">
        <v>173</v>
      </c>
      <c r="U318">
        <v>3.2009235941318887E-3</v>
      </c>
      <c r="V318" t="s">
        <v>166</v>
      </c>
    </row>
    <row r="319" spans="9:22" x14ac:dyDescent="0.45">
      <c r="I319" t="s">
        <v>181</v>
      </c>
      <c r="J319" t="s">
        <v>174</v>
      </c>
      <c r="K319">
        <v>0.13008881618180454</v>
      </c>
      <c r="L319" t="s">
        <v>166</v>
      </c>
      <c r="N319" t="s">
        <v>194</v>
      </c>
      <c r="O319" t="s">
        <v>174</v>
      </c>
      <c r="P319">
        <v>5.4845709956697825E-2</v>
      </c>
      <c r="Q319" t="s">
        <v>166</v>
      </c>
      <c r="S319" t="s">
        <v>208</v>
      </c>
      <c r="T319" t="s">
        <v>174</v>
      </c>
      <c r="U319">
        <v>5.0950810118368349E-2</v>
      </c>
      <c r="V319" t="s">
        <v>166</v>
      </c>
    </row>
    <row r="320" spans="9:22" x14ac:dyDescent="0.45">
      <c r="I320" t="s">
        <v>181</v>
      </c>
      <c r="J320" t="s">
        <v>241</v>
      </c>
      <c r="K320">
        <v>0</v>
      </c>
      <c r="L320" t="s">
        <v>166</v>
      </c>
      <c r="N320" t="s">
        <v>194</v>
      </c>
      <c r="O320" t="s">
        <v>241</v>
      </c>
      <c r="P320">
        <v>4.1635936138045551E-3</v>
      </c>
      <c r="Q320" t="s">
        <v>166</v>
      </c>
      <c r="S320" t="s">
        <v>208</v>
      </c>
      <c r="T320" t="s">
        <v>241</v>
      </c>
      <c r="U320">
        <v>3.6758083054578938E-3</v>
      </c>
      <c r="V320" t="s">
        <v>166</v>
      </c>
    </row>
    <row r="321" spans="9:22" x14ac:dyDescent="0.45">
      <c r="I321" t="s">
        <v>181</v>
      </c>
      <c r="J321" t="s">
        <v>242</v>
      </c>
      <c r="K321">
        <v>0</v>
      </c>
      <c r="L321" t="s">
        <v>166</v>
      </c>
      <c r="N321" t="s">
        <v>194</v>
      </c>
      <c r="O321" t="s">
        <v>242</v>
      </c>
      <c r="P321">
        <v>4.0987524708256768E-3</v>
      </c>
      <c r="Q321" t="s">
        <v>166</v>
      </c>
      <c r="S321" t="s">
        <v>208</v>
      </c>
      <c r="T321" t="s">
        <v>242</v>
      </c>
      <c r="U321">
        <v>3.6115640268028775E-3</v>
      </c>
      <c r="V321" t="s">
        <v>166</v>
      </c>
    </row>
    <row r="322" spans="9:22" x14ac:dyDescent="0.45">
      <c r="I322" t="s">
        <v>181</v>
      </c>
      <c r="J322" t="s">
        <v>243</v>
      </c>
      <c r="K322">
        <v>0</v>
      </c>
      <c r="L322" t="s">
        <v>166</v>
      </c>
      <c r="N322" t="s">
        <v>194</v>
      </c>
      <c r="O322" t="s">
        <v>243</v>
      </c>
      <c r="P322">
        <v>4.1931784098795562E-3</v>
      </c>
      <c r="Q322" t="s">
        <v>166</v>
      </c>
      <c r="S322" t="s">
        <v>208</v>
      </c>
      <c r="T322" t="s">
        <v>243</v>
      </c>
      <c r="U322">
        <v>3.58060010980341E-3</v>
      </c>
      <c r="V322" t="s">
        <v>166</v>
      </c>
    </row>
    <row r="323" spans="9:22" x14ac:dyDescent="0.45">
      <c r="I323" t="s">
        <v>181</v>
      </c>
      <c r="J323" t="s">
        <v>244</v>
      </c>
      <c r="K323">
        <v>1.6077085793537919E-3</v>
      </c>
      <c r="L323" t="s">
        <v>166</v>
      </c>
      <c r="N323" t="s">
        <v>194</v>
      </c>
      <c r="O323" t="s">
        <v>244</v>
      </c>
      <c r="P323">
        <v>5.1255679405112886E-2</v>
      </c>
      <c r="Q323" t="s">
        <v>166</v>
      </c>
      <c r="S323" t="s">
        <v>208</v>
      </c>
      <c r="T323" t="s">
        <v>244</v>
      </c>
      <c r="U323">
        <v>5.9547358945101339E-2</v>
      </c>
      <c r="V323" t="s">
        <v>166</v>
      </c>
    </row>
    <row r="324" spans="9:22" x14ac:dyDescent="0.45">
      <c r="I324" t="s">
        <v>181</v>
      </c>
      <c r="J324" t="s">
        <v>245</v>
      </c>
      <c r="K324">
        <v>9.8339991775817093E-3</v>
      </c>
      <c r="L324" t="s">
        <v>166</v>
      </c>
      <c r="N324" t="s">
        <v>194</v>
      </c>
      <c r="O324" t="s">
        <v>245</v>
      </c>
      <c r="P324">
        <v>9.5958557124719117E-3</v>
      </c>
      <c r="Q324" t="s">
        <v>166</v>
      </c>
      <c r="S324" t="s">
        <v>208</v>
      </c>
      <c r="T324" t="s">
        <v>245</v>
      </c>
      <c r="U324">
        <v>1.1054707010095895E-2</v>
      </c>
      <c r="V324" t="s">
        <v>166</v>
      </c>
    </row>
    <row r="325" spans="9:22" x14ac:dyDescent="0.45">
      <c r="I325" t="s">
        <v>181</v>
      </c>
      <c r="J325" t="s">
        <v>246</v>
      </c>
      <c r="K325">
        <v>0.53802268040637147</v>
      </c>
      <c r="L325" t="s">
        <v>166</v>
      </c>
      <c r="N325" t="s">
        <v>194</v>
      </c>
      <c r="O325" t="s">
        <v>246</v>
      </c>
      <c r="P325">
        <v>0.15193683440283456</v>
      </c>
      <c r="Q325" t="s">
        <v>166</v>
      </c>
      <c r="S325" t="s">
        <v>208</v>
      </c>
      <c r="T325" t="s">
        <v>246</v>
      </c>
      <c r="U325">
        <v>0.17526312138215452</v>
      </c>
      <c r="V325" t="s">
        <v>166</v>
      </c>
    </row>
    <row r="326" spans="9:22" x14ac:dyDescent="0.45">
      <c r="I326" t="s">
        <v>181</v>
      </c>
      <c r="J326" t="s">
        <v>247</v>
      </c>
      <c r="K326">
        <v>4.8514458966888328E-3</v>
      </c>
      <c r="L326" t="s">
        <v>166</v>
      </c>
      <c r="N326" t="s">
        <v>194</v>
      </c>
      <c r="O326" t="s">
        <v>247</v>
      </c>
      <c r="P326">
        <v>1.1356782699970452E-2</v>
      </c>
      <c r="Q326" t="s">
        <v>166</v>
      </c>
      <c r="S326" t="s">
        <v>208</v>
      </c>
      <c r="T326" t="s">
        <v>247</v>
      </c>
      <c r="U326">
        <v>1.3081468129125308E-2</v>
      </c>
      <c r="V326" t="s">
        <v>166</v>
      </c>
    </row>
    <row r="327" spans="9:22" x14ac:dyDescent="0.45">
      <c r="I327" t="s">
        <v>181</v>
      </c>
      <c r="J327" t="s">
        <v>248</v>
      </c>
      <c r="K327">
        <v>0</v>
      </c>
      <c r="L327" t="s">
        <v>166</v>
      </c>
      <c r="N327" t="s">
        <v>194</v>
      </c>
      <c r="O327" t="s">
        <v>248</v>
      </c>
      <c r="P327">
        <v>1.1214983302141194E-2</v>
      </c>
      <c r="Q327" t="s">
        <v>166</v>
      </c>
      <c r="S327" t="s">
        <v>208</v>
      </c>
      <c r="T327" t="s">
        <v>248</v>
      </c>
      <c r="U327">
        <v>1.3395708061434825E-2</v>
      </c>
      <c r="V327" t="s">
        <v>166</v>
      </c>
    </row>
    <row r="328" spans="9:22" x14ac:dyDescent="0.45">
      <c r="I328" t="s">
        <v>181</v>
      </c>
      <c r="J328" t="s">
        <v>249</v>
      </c>
      <c r="K328">
        <v>0</v>
      </c>
      <c r="L328" t="s">
        <v>166</v>
      </c>
      <c r="N328" t="s">
        <v>194</v>
      </c>
      <c r="O328" t="s">
        <v>249</v>
      </c>
      <c r="P328">
        <v>1.1325650349777359E-2</v>
      </c>
      <c r="Q328" t="s">
        <v>166</v>
      </c>
      <c r="S328" t="s">
        <v>208</v>
      </c>
      <c r="T328" t="s">
        <v>249</v>
      </c>
      <c r="U328">
        <v>1.3262809270366901E-2</v>
      </c>
      <c r="V328" t="s">
        <v>166</v>
      </c>
    </row>
    <row r="329" spans="9:22" x14ac:dyDescent="0.45">
      <c r="I329" t="s">
        <v>181</v>
      </c>
      <c r="J329" t="s">
        <v>250</v>
      </c>
      <c r="K329">
        <v>0</v>
      </c>
      <c r="L329" t="s">
        <v>166</v>
      </c>
      <c r="N329" t="s">
        <v>194</v>
      </c>
      <c r="O329" t="s">
        <v>250</v>
      </c>
      <c r="P329">
        <v>1.2993001670188345E-2</v>
      </c>
      <c r="Q329" t="s">
        <v>166</v>
      </c>
      <c r="S329" t="s">
        <v>208</v>
      </c>
      <c r="T329" t="s">
        <v>250</v>
      </c>
      <c r="U329">
        <v>1.2074072185155165E-2</v>
      </c>
      <c r="V329" t="s">
        <v>166</v>
      </c>
    </row>
    <row r="330" spans="9:22" x14ac:dyDescent="0.45">
      <c r="I330" t="s">
        <v>181</v>
      </c>
      <c r="J330" t="s">
        <v>251</v>
      </c>
      <c r="K330">
        <v>0</v>
      </c>
      <c r="L330" t="s">
        <v>166</v>
      </c>
      <c r="N330" t="s">
        <v>194</v>
      </c>
      <c r="O330" t="s">
        <v>251</v>
      </c>
      <c r="P330">
        <v>2.4153526035502631E-3</v>
      </c>
      <c r="Q330" t="s">
        <v>166</v>
      </c>
      <c r="S330" t="s">
        <v>208</v>
      </c>
      <c r="T330" t="s">
        <v>251</v>
      </c>
      <c r="U330">
        <v>2.3638243461623705E-3</v>
      </c>
      <c r="V330" t="s">
        <v>166</v>
      </c>
    </row>
    <row r="331" spans="9:22" x14ac:dyDescent="0.45">
      <c r="I331" t="s">
        <v>181</v>
      </c>
      <c r="J331" t="s">
        <v>252</v>
      </c>
      <c r="K331">
        <v>8.000550638659748E-2</v>
      </c>
      <c r="L331" t="s">
        <v>166</v>
      </c>
      <c r="N331" t="s">
        <v>194</v>
      </c>
      <c r="O331" t="s">
        <v>252</v>
      </c>
      <c r="P331">
        <v>3.6228722626805356E-2</v>
      </c>
      <c r="Q331" t="s">
        <v>166</v>
      </c>
      <c r="S331" t="s">
        <v>208</v>
      </c>
      <c r="T331" t="s">
        <v>252</v>
      </c>
      <c r="U331">
        <v>3.2549306395254017E-2</v>
      </c>
      <c r="V331" t="s">
        <v>166</v>
      </c>
    </row>
    <row r="332" spans="9:22" x14ac:dyDescent="0.45">
      <c r="I332" t="s">
        <v>181</v>
      </c>
      <c r="J332" t="s">
        <v>253</v>
      </c>
      <c r="K332">
        <v>0</v>
      </c>
      <c r="L332" t="s">
        <v>166</v>
      </c>
      <c r="N332" t="s">
        <v>194</v>
      </c>
      <c r="O332" t="s">
        <v>253</v>
      </c>
      <c r="P332">
        <v>3.0390131151013921E-3</v>
      </c>
      <c r="Q332" t="s">
        <v>166</v>
      </c>
      <c r="S332" t="s">
        <v>208</v>
      </c>
      <c r="T332" t="s">
        <v>253</v>
      </c>
      <c r="U332">
        <v>2.1408205869240327E-3</v>
      </c>
      <c r="V332" t="s">
        <v>166</v>
      </c>
    </row>
    <row r="333" spans="9:22" x14ac:dyDescent="0.45">
      <c r="I333" t="s">
        <v>181</v>
      </c>
      <c r="J333" t="s">
        <v>254</v>
      </c>
      <c r="K333">
        <v>0</v>
      </c>
      <c r="L333" t="s">
        <v>166</v>
      </c>
      <c r="N333" t="s">
        <v>194</v>
      </c>
      <c r="O333" t="s">
        <v>254</v>
      </c>
      <c r="P333">
        <v>2.9793223652369552E-3</v>
      </c>
      <c r="Q333" t="s">
        <v>166</v>
      </c>
      <c r="S333" t="s">
        <v>208</v>
      </c>
      <c r="T333" t="s">
        <v>254</v>
      </c>
      <c r="U333">
        <v>2.2523508278772938E-3</v>
      </c>
      <c r="V333" t="s">
        <v>166</v>
      </c>
    </row>
    <row r="334" spans="9:22" x14ac:dyDescent="0.45">
      <c r="I334" t="s">
        <v>181</v>
      </c>
      <c r="J334" t="s">
        <v>255</v>
      </c>
      <c r="K334">
        <v>0</v>
      </c>
      <c r="L334" t="s">
        <v>166</v>
      </c>
      <c r="N334" t="s">
        <v>194</v>
      </c>
      <c r="O334" t="s">
        <v>255</v>
      </c>
      <c r="P334">
        <v>3.0415343187521616E-3</v>
      </c>
      <c r="Q334" t="s">
        <v>166</v>
      </c>
      <c r="S334" t="s">
        <v>208</v>
      </c>
      <c r="T334" t="s">
        <v>255</v>
      </c>
      <c r="U334">
        <v>2.2337919955588872E-3</v>
      </c>
      <c r="V334" t="s">
        <v>166</v>
      </c>
    </row>
    <row r="335" spans="9:22" x14ac:dyDescent="0.45">
      <c r="I335" t="s">
        <v>181</v>
      </c>
      <c r="J335" t="s">
        <v>256</v>
      </c>
      <c r="K335">
        <v>0</v>
      </c>
      <c r="L335" t="s">
        <v>166</v>
      </c>
      <c r="N335" t="s">
        <v>194</v>
      </c>
      <c r="O335" t="s">
        <v>256</v>
      </c>
      <c r="P335">
        <v>2.2175373206572781E-2</v>
      </c>
      <c r="Q335" t="s">
        <v>166</v>
      </c>
      <c r="S335" t="s">
        <v>208</v>
      </c>
      <c r="T335" t="s">
        <v>256</v>
      </c>
      <c r="U335">
        <v>2.4171307119843895E-2</v>
      </c>
      <c r="V335" t="s">
        <v>166</v>
      </c>
    </row>
    <row r="336" spans="9:22" x14ac:dyDescent="0.45">
      <c r="I336" t="s">
        <v>181</v>
      </c>
      <c r="J336" t="s">
        <v>257</v>
      </c>
      <c r="K336">
        <v>0</v>
      </c>
      <c r="L336" t="s">
        <v>166</v>
      </c>
      <c r="N336" t="s">
        <v>194</v>
      </c>
      <c r="O336" t="s">
        <v>257</v>
      </c>
      <c r="P336">
        <v>4.5646529774474743E-3</v>
      </c>
      <c r="Q336" t="s">
        <v>166</v>
      </c>
      <c r="S336" t="s">
        <v>208</v>
      </c>
      <c r="T336" t="s">
        <v>257</v>
      </c>
      <c r="U336">
        <v>4.6946788392162667E-3</v>
      </c>
      <c r="V336" t="s">
        <v>166</v>
      </c>
    </row>
    <row r="337" spans="9:22" x14ac:dyDescent="0.45">
      <c r="I337" t="s">
        <v>181</v>
      </c>
      <c r="J337" t="s">
        <v>258</v>
      </c>
      <c r="K337">
        <v>4.2677195921268542E-2</v>
      </c>
      <c r="L337" t="s">
        <v>166</v>
      </c>
      <c r="N337" t="s">
        <v>194</v>
      </c>
      <c r="O337" t="s">
        <v>258</v>
      </c>
      <c r="P337">
        <v>6.1984186889539973E-2</v>
      </c>
      <c r="Q337" t="s">
        <v>166</v>
      </c>
      <c r="S337" t="s">
        <v>208</v>
      </c>
      <c r="T337" t="s">
        <v>258</v>
      </c>
      <c r="U337">
        <v>6.5389926771489762E-2</v>
      </c>
      <c r="V337" t="s">
        <v>166</v>
      </c>
    </row>
    <row r="338" spans="9:22" x14ac:dyDescent="0.45">
      <c r="I338" t="s">
        <v>181</v>
      </c>
      <c r="J338" t="s">
        <v>259</v>
      </c>
      <c r="K338">
        <v>0</v>
      </c>
      <c r="L338" t="s">
        <v>166</v>
      </c>
      <c r="N338" t="s">
        <v>194</v>
      </c>
      <c r="O338" t="s">
        <v>259</v>
      </c>
      <c r="P338">
        <v>4.400315063211895E-3</v>
      </c>
      <c r="Q338" t="s">
        <v>166</v>
      </c>
      <c r="S338" t="s">
        <v>208</v>
      </c>
      <c r="T338" t="s">
        <v>259</v>
      </c>
      <c r="U338">
        <v>4.7960125029002749E-3</v>
      </c>
      <c r="V338" t="s">
        <v>166</v>
      </c>
    </row>
    <row r="339" spans="9:22" x14ac:dyDescent="0.45">
      <c r="I339" t="s">
        <v>181</v>
      </c>
      <c r="J339" t="s">
        <v>260</v>
      </c>
      <c r="K339">
        <v>0</v>
      </c>
      <c r="L339" t="s">
        <v>166</v>
      </c>
      <c r="N339" t="s">
        <v>194</v>
      </c>
      <c r="O339" t="s">
        <v>260</v>
      </c>
      <c r="P339">
        <v>4.3567755326454263E-3</v>
      </c>
      <c r="Q339" t="s">
        <v>166</v>
      </c>
      <c r="S339" t="s">
        <v>208</v>
      </c>
      <c r="T339" t="s">
        <v>260</v>
      </c>
      <c r="U339">
        <v>4.9250834631498963E-3</v>
      </c>
      <c r="V339" t="s">
        <v>166</v>
      </c>
    </row>
    <row r="340" spans="9:22" x14ac:dyDescent="0.45">
      <c r="I340" t="s">
        <v>181</v>
      </c>
      <c r="J340" t="s">
        <v>261</v>
      </c>
      <c r="K340">
        <v>0</v>
      </c>
      <c r="L340" t="s">
        <v>166</v>
      </c>
      <c r="N340" t="s">
        <v>194</v>
      </c>
      <c r="O340" t="s">
        <v>261</v>
      </c>
      <c r="P340">
        <v>4.3990555494432945E-3</v>
      </c>
      <c r="Q340" t="s">
        <v>166</v>
      </c>
      <c r="S340" t="s">
        <v>208</v>
      </c>
      <c r="T340" t="s">
        <v>261</v>
      </c>
      <c r="U340">
        <v>4.9659078297602747E-3</v>
      </c>
      <c r="V340" t="s">
        <v>166</v>
      </c>
    </row>
    <row r="341" spans="9:22" x14ac:dyDescent="0.45">
      <c r="I341" t="s">
        <v>181</v>
      </c>
      <c r="J341" t="s">
        <v>262</v>
      </c>
      <c r="K341">
        <v>0</v>
      </c>
      <c r="L341" t="s">
        <v>166</v>
      </c>
      <c r="N341" t="s">
        <v>194</v>
      </c>
      <c r="O341" t="s">
        <v>262</v>
      </c>
      <c r="P341">
        <v>5.4156536303987562E-2</v>
      </c>
      <c r="Q341" t="s">
        <v>166</v>
      </c>
      <c r="S341" t="s">
        <v>208</v>
      </c>
      <c r="T341" t="s">
        <v>262</v>
      </c>
      <c r="U341">
        <v>4.809678856011023E-2</v>
      </c>
      <c r="V341" t="s">
        <v>166</v>
      </c>
    </row>
    <row r="342" spans="9:22" x14ac:dyDescent="0.45">
      <c r="I342" t="s">
        <v>181</v>
      </c>
      <c r="J342" t="s">
        <v>263</v>
      </c>
      <c r="K342">
        <v>0</v>
      </c>
      <c r="L342" t="s">
        <v>166</v>
      </c>
      <c r="N342" t="s">
        <v>194</v>
      </c>
      <c r="O342" t="s">
        <v>263</v>
      </c>
      <c r="P342">
        <v>1.1032130533165927E-2</v>
      </c>
      <c r="Q342" t="s">
        <v>166</v>
      </c>
      <c r="S342" t="s">
        <v>208</v>
      </c>
      <c r="T342" t="s">
        <v>263</v>
      </c>
      <c r="U342">
        <v>9.4762966936746233E-3</v>
      </c>
      <c r="V342" t="s">
        <v>166</v>
      </c>
    </row>
    <row r="343" spans="9:22" x14ac:dyDescent="0.45">
      <c r="I343" t="s">
        <v>181</v>
      </c>
      <c r="J343" t="s">
        <v>264</v>
      </c>
      <c r="K343">
        <v>2.9551040949648683E-2</v>
      </c>
      <c r="L343" t="s">
        <v>166</v>
      </c>
      <c r="N343" t="s">
        <v>194</v>
      </c>
      <c r="O343" t="s">
        <v>264</v>
      </c>
      <c r="P343">
        <v>0.16285106328377497</v>
      </c>
      <c r="Q343" t="s">
        <v>166</v>
      </c>
      <c r="S343" t="s">
        <v>208</v>
      </c>
      <c r="T343" t="s">
        <v>264</v>
      </c>
      <c r="U343">
        <v>0.15534966705733028</v>
      </c>
      <c r="V343" t="s">
        <v>166</v>
      </c>
    </row>
    <row r="344" spans="9:22" x14ac:dyDescent="0.45">
      <c r="I344" t="s">
        <v>181</v>
      </c>
      <c r="J344" t="s">
        <v>265</v>
      </c>
      <c r="K344">
        <v>0</v>
      </c>
      <c r="L344" t="s">
        <v>166</v>
      </c>
      <c r="N344" t="s">
        <v>194</v>
      </c>
      <c r="O344" t="s">
        <v>265</v>
      </c>
      <c r="P344">
        <v>1.1254711172509585E-2</v>
      </c>
      <c r="Q344" t="s">
        <v>166</v>
      </c>
      <c r="S344" t="s">
        <v>208</v>
      </c>
      <c r="T344" t="s">
        <v>265</v>
      </c>
      <c r="U344">
        <v>1.0195890023010556E-2</v>
      </c>
      <c r="V344" t="s">
        <v>166</v>
      </c>
    </row>
    <row r="345" spans="9:22" x14ac:dyDescent="0.45">
      <c r="I345" t="s">
        <v>181</v>
      </c>
      <c r="J345" t="s">
        <v>266</v>
      </c>
      <c r="K345">
        <v>0</v>
      </c>
      <c r="L345" t="s">
        <v>166</v>
      </c>
      <c r="N345" t="s">
        <v>194</v>
      </c>
      <c r="O345" t="s">
        <v>266</v>
      </c>
      <c r="P345">
        <v>1.1158187698368172E-2</v>
      </c>
      <c r="Q345" t="s">
        <v>166</v>
      </c>
      <c r="S345" t="s">
        <v>208</v>
      </c>
      <c r="T345" t="s">
        <v>266</v>
      </c>
      <c r="U345">
        <v>1.0316355992483244E-2</v>
      </c>
      <c r="V345" t="s">
        <v>166</v>
      </c>
    </row>
    <row r="346" spans="9:22" x14ac:dyDescent="0.45">
      <c r="I346" t="s">
        <v>181</v>
      </c>
      <c r="J346" t="s">
        <v>267</v>
      </c>
      <c r="K346">
        <v>0</v>
      </c>
      <c r="L346" t="s">
        <v>166</v>
      </c>
      <c r="N346" t="s">
        <v>194</v>
      </c>
      <c r="O346" t="s">
        <v>267</v>
      </c>
      <c r="P346">
        <v>1.0894546613867354E-2</v>
      </c>
      <c r="Q346" t="s">
        <v>166</v>
      </c>
      <c r="S346" t="s">
        <v>208</v>
      </c>
      <c r="T346" t="s">
        <v>267</v>
      </c>
      <c r="U346">
        <v>1.0180519792372833E-2</v>
      </c>
      <c r="V346" t="s">
        <v>166</v>
      </c>
    </row>
    <row r="347" spans="9:22" x14ac:dyDescent="0.45">
      <c r="I347" t="s">
        <v>182</v>
      </c>
      <c r="J347" t="s">
        <v>165</v>
      </c>
      <c r="K347">
        <v>0</v>
      </c>
      <c r="L347" t="s">
        <v>166</v>
      </c>
      <c r="N347" t="s">
        <v>195</v>
      </c>
      <c r="O347" t="s">
        <v>165</v>
      </c>
      <c r="P347">
        <v>3.3607783341506089E-2</v>
      </c>
      <c r="Q347" t="s">
        <v>166</v>
      </c>
      <c r="S347" t="s">
        <v>209</v>
      </c>
      <c r="T347" t="s">
        <v>165</v>
      </c>
      <c r="U347">
        <v>2.943246993106452E-2</v>
      </c>
      <c r="V347" t="s">
        <v>166</v>
      </c>
    </row>
    <row r="348" spans="9:22" x14ac:dyDescent="0.45">
      <c r="I348" t="s">
        <v>182</v>
      </c>
      <c r="J348" t="s">
        <v>167</v>
      </c>
      <c r="K348">
        <v>0</v>
      </c>
      <c r="L348" t="s">
        <v>166</v>
      </c>
      <c r="N348" t="s">
        <v>195</v>
      </c>
      <c r="O348" t="s">
        <v>167</v>
      </c>
      <c r="P348">
        <v>6.89394908821582E-3</v>
      </c>
      <c r="Q348" t="s">
        <v>166</v>
      </c>
      <c r="S348" t="s">
        <v>209</v>
      </c>
      <c r="T348" t="s">
        <v>167</v>
      </c>
      <c r="U348">
        <v>5.8403602795796764E-3</v>
      </c>
      <c r="V348" t="s">
        <v>166</v>
      </c>
    </row>
    <row r="349" spans="9:22" x14ac:dyDescent="0.45">
      <c r="I349" t="s">
        <v>182</v>
      </c>
      <c r="J349" t="s">
        <v>168</v>
      </c>
      <c r="K349">
        <v>5.1811946651502287E-2</v>
      </c>
      <c r="L349" t="s">
        <v>166</v>
      </c>
      <c r="N349" t="s">
        <v>195</v>
      </c>
      <c r="O349" t="s">
        <v>168</v>
      </c>
      <c r="P349">
        <v>0.10168923620650952</v>
      </c>
      <c r="Q349" t="s">
        <v>166</v>
      </c>
      <c r="S349" t="s">
        <v>209</v>
      </c>
      <c r="T349" t="s">
        <v>168</v>
      </c>
      <c r="U349">
        <v>9.0722136063726047E-2</v>
      </c>
      <c r="V349" t="s">
        <v>166</v>
      </c>
    </row>
    <row r="350" spans="9:22" x14ac:dyDescent="0.45">
      <c r="I350" t="s">
        <v>182</v>
      </c>
      <c r="J350" t="s">
        <v>235</v>
      </c>
      <c r="K350">
        <v>0</v>
      </c>
      <c r="L350" t="s">
        <v>166</v>
      </c>
      <c r="N350" t="s">
        <v>195</v>
      </c>
      <c r="O350" t="s">
        <v>235</v>
      </c>
      <c r="P350">
        <v>6.9847249303699958E-3</v>
      </c>
      <c r="Q350" t="s">
        <v>166</v>
      </c>
      <c r="S350" t="s">
        <v>209</v>
      </c>
      <c r="T350" t="s">
        <v>235</v>
      </c>
      <c r="U350">
        <v>6.1304629469367501E-3</v>
      </c>
      <c r="V350" t="s">
        <v>166</v>
      </c>
    </row>
    <row r="351" spans="9:22" x14ac:dyDescent="0.45">
      <c r="I351" t="s">
        <v>182</v>
      </c>
      <c r="J351" t="s">
        <v>236</v>
      </c>
      <c r="K351">
        <v>0</v>
      </c>
      <c r="L351" t="s">
        <v>166</v>
      </c>
      <c r="N351" t="s">
        <v>195</v>
      </c>
      <c r="O351" t="s">
        <v>236</v>
      </c>
      <c r="P351">
        <v>6.7874279711578073E-3</v>
      </c>
      <c r="Q351" t="s">
        <v>166</v>
      </c>
      <c r="S351" t="s">
        <v>209</v>
      </c>
      <c r="T351" t="s">
        <v>236</v>
      </c>
      <c r="U351">
        <v>5.9637007333180189E-3</v>
      </c>
      <c r="V351" t="s">
        <v>166</v>
      </c>
    </row>
    <row r="352" spans="9:22" x14ac:dyDescent="0.45">
      <c r="I352" t="s">
        <v>182</v>
      </c>
      <c r="J352" t="s">
        <v>237</v>
      </c>
      <c r="K352">
        <v>0</v>
      </c>
      <c r="L352" t="s">
        <v>166</v>
      </c>
      <c r="N352" t="s">
        <v>195</v>
      </c>
      <c r="O352" t="s">
        <v>237</v>
      </c>
      <c r="P352">
        <v>6.5182419436602933E-3</v>
      </c>
      <c r="Q352" t="s">
        <v>166</v>
      </c>
      <c r="S352" t="s">
        <v>209</v>
      </c>
      <c r="T352" t="s">
        <v>237</v>
      </c>
      <c r="U352">
        <v>5.8204544640881014E-3</v>
      </c>
      <c r="V352" t="s">
        <v>166</v>
      </c>
    </row>
    <row r="353" spans="9:22" x14ac:dyDescent="0.45">
      <c r="I353" t="s">
        <v>182</v>
      </c>
      <c r="J353" t="s">
        <v>169</v>
      </c>
      <c r="K353">
        <v>0</v>
      </c>
      <c r="L353" t="s">
        <v>166</v>
      </c>
      <c r="N353" t="s">
        <v>195</v>
      </c>
      <c r="O353" t="s">
        <v>169</v>
      </c>
      <c r="P353">
        <v>1.7605081861921019E-2</v>
      </c>
      <c r="Q353" t="s">
        <v>166</v>
      </c>
      <c r="S353" t="s">
        <v>209</v>
      </c>
      <c r="T353" t="s">
        <v>169</v>
      </c>
      <c r="U353">
        <v>1.7834649595669681E-2</v>
      </c>
      <c r="V353" t="s">
        <v>166</v>
      </c>
    </row>
    <row r="354" spans="9:22" x14ac:dyDescent="0.45">
      <c r="I354" t="s">
        <v>182</v>
      </c>
      <c r="J354" t="s">
        <v>170</v>
      </c>
      <c r="K354">
        <v>0</v>
      </c>
      <c r="L354" t="s">
        <v>166</v>
      </c>
      <c r="N354" t="s">
        <v>195</v>
      </c>
      <c r="O354" t="s">
        <v>170</v>
      </c>
      <c r="P354">
        <v>3.8071709610833057E-3</v>
      </c>
      <c r="Q354" t="s">
        <v>166</v>
      </c>
      <c r="S354" t="s">
        <v>209</v>
      </c>
      <c r="T354" t="s">
        <v>170</v>
      </c>
      <c r="U354">
        <v>3.7649298936009929E-3</v>
      </c>
      <c r="V354" t="s">
        <v>166</v>
      </c>
    </row>
    <row r="355" spans="9:22" x14ac:dyDescent="0.45">
      <c r="I355" t="s">
        <v>182</v>
      </c>
      <c r="J355" t="s">
        <v>171</v>
      </c>
      <c r="K355">
        <v>0.11149711542241501</v>
      </c>
      <c r="L355" t="s">
        <v>166</v>
      </c>
      <c r="N355" t="s">
        <v>195</v>
      </c>
      <c r="O355" t="s">
        <v>171</v>
      </c>
      <c r="P355">
        <v>4.5703147325790304E-2</v>
      </c>
      <c r="Q355" t="s">
        <v>166</v>
      </c>
      <c r="S355" t="s">
        <v>209</v>
      </c>
      <c r="T355" t="s">
        <v>171</v>
      </c>
      <c r="U355">
        <v>5.5753598093347553E-2</v>
      </c>
      <c r="V355" t="s">
        <v>166</v>
      </c>
    </row>
    <row r="356" spans="9:22" x14ac:dyDescent="0.45">
      <c r="I356" t="s">
        <v>182</v>
      </c>
      <c r="J356" t="s">
        <v>238</v>
      </c>
      <c r="K356">
        <v>0</v>
      </c>
      <c r="L356" t="s">
        <v>166</v>
      </c>
      <c r="N356" t="s">
        <v>195</v>
      </c>
      <c r="O356" t="s">
        <v>238</v>
      </c>
      <c r="P356">
        <v>3.0362949632520468E-3</v>
      </c>
      <c r="Q356" t="s">
        <v>166</v>
      </c>
      <c r="S356" t="s">
        <v>209</v>
      </c>
      <c r="T356" t="s">
        <v>238</v>
      </c>
      <c r="U356">
        <v>3.8709015754766073E-3</v>
      </c>
      <c r="V356" t="s">
        <v>166</v>
      </c>
    </row>
    <row r="357" spans="9:22" x14ac:dyDescent="0.45">
      <c r="I357" t="s">
        <v>182</v>
      </c>
      <c r="J357" t="s">
        <v>239</v>
      </c>
      <c r="K357">
        <v>0</v>
      </c>
      <c r="L357" t="s">
        <v>166</v>
      </c>
      <c r="N357" t="s">
        <v>195</v>
      </c>
      <c r="O357" t="s">
        <v>239</v>
      </c>
      <c r="P357">
        <v>2.97852785689558E-3</v>
      </c>
      <c r="Q357" t="s">
        <v>166</v>
      </c>
      <c r="S357" t="s">
        <v>209</v>
      </c>
      <c r="T357" t="s">
        <v>239</v>
      </c>
      <c r="U357">
        <v>3.7633317689210501E-3</v>
      </c>
      <c r="V357" t="s">
        <v>166</v>
      </c>
    </row>
    <row r="358" spans="9:22" x14ac:dyDescent="0.45">
      <c r="I358" t="s">
        <v>182</v>
      </c>
      <c r="J358" t="s">
        <v>240</v>
      </c>
      <c r="K358">
        <v>0</v>
      </c>
      <c r="L358" t="s">
        <v>166</v>
      </c>
      <c r="N358" t="s">
        <v>195</v>
      </c>
      <c r="O358" t="s">
        <v>240</v>
      </c>
      <c r="P358">
        <v>3.0620580051199712E-3</v>
      </c>
      <c r="Q358" t="s">
        <v>166</v>
      </c>
      <c r="S358" t="s">
        <v>209</v>
      </c>
      <c r="T358" t="s">
        <v>240</v>
      </c>
      <c r="U358">
        <v>3.6119189584868953E-3</v>
      </c>
      <c r="V358" t="s">
        <v>166</v>
      </c>
    </row>
    <row r="359" spans="9:22" x14ac:dyDescent="0.45">
      <c r="I359" t="s">
        <v>182</v>
      </c>
      <c r="J359" t="s">
        <v>172</v>
      </c>
      <c r="K359">
        <v>0</v>
      </c>
      <c r="L359" t="s">
        <v>166</v>
      </c>
      <c r="N359" t="s">
        <v>195</v>
      </c>
      <c r="O359" t="s">
        <v>172</v>
      </c>
      <c r="P359">
        <v>2.0694184863006018E-2</v>
      </c>
      <c r="Q359" t="s">
        <v>166</v>
      </c>
      <c r="S359" t="s">
        <v>209</v>
      </c>
      <c r="T359" t="s">
        <v>172</v>
      </c>
      <c r="U359">
        <v>1.7866794943666029E-2</v>
      </c>
      <c r="V359" t="s">
        <v>166</v>
      </c>
    </row>
    <row r="360" spans="9:22" x14ac:dyDescent="0.45">
      <c r="I360" t="s">
        <v>182</v>
      </c>
      <c r="J360" t="s">
        <v>173</v>
      </c>
      <c r="K360">
        <v>3.1675561986227072E-4</v>
      </c>
      <c r="L360" t="s">
        <v>166</v>
      </c>
      <c r="N360" t="s">
        <v>195</v>
      </c>
      <c r="O360" t="s">
        <v>173</v>
      </c>
      <c r="P360">
        <v>4.0988022678734217E-3</v>
      </c>
      <c r="Q360" t="s">
        <v>166</v>
      </c>
      <c r="S360" t="s">
        <v>209</v>
      </c>
      <c r="T360" t="s">
        <v>173</v>
      </c>
      <c r="U360">
        <v>3.3243431144573442E-3</v>
      </c>
      <c r="V360" t="s">
        <v>166</v>
      </c>
    </row>
    <row r="361" spans="9:22" x14ac:dyDescent="0.45">
      <c r="I361" t="s">
        <v>182</v>
      </c>
      <c r="J361" t="s">
        <v>174</v>
      </c>
      <c r="K361">
        <v>0.12586886485327398</v>
      </c>
      <c r="L361" t="s">
        <v>166</v>
      </c>
      <c r="N361" t="s">
        <v>195</v>
      </c>
      <c r="O361" t="s">
        <v>174</v>
      </c>
      <c r="P361">
        <v>5.5787283567000953E-2</v>
      </c>
      <c r="Q361" t="s">
        <v>166</v>
      </c>
      <c r="S361" t="s">
        <v>209</v>
      </c>
      <c r="T361" t="s">
        <v>174</v>
      </c>
      <c r="U361">
        <v>4.9960865911453718E-2</v>
      </c>
      <c r="V361" t="s">
        <v>166</v>
      </c>
    </row>
    <row r="362" spans="9:22" x14ac:dyDescent="0.45">
      <c r="I362" t="s">
        <v>182</v>
      </c>
      <c r="J362" t="s">
        <v>241</v>
      </c>
      <c r="K362">
        <v>0</v>
      </c>
      <c r="L362" t="s">
        <v>166</v>
      </c>
      <c r="N362" t="s">
        <v>195</v>
      </c>
      <c r="O362" t="s">
        <v>241</v>
      </c>
      <c r="P362">
        <v>4.4311766345430407E-3</v>
      </c>
      <c r="Q362" t="s">
        <v>166</v>
      </c>
      <c r="S362" t="s">
        <v>209</v>
      </c>
      <c r="T362" t="s">
        <v>241</v>
      </c>
      <c r="U362">
        <v>4.2187721589304599E-3</v>
      </c>
      <c r="V362" t="s">
        <v>166</v>
      </c>
    </row>
    <row r="363" spans="9:22" x14ac:dyDescent="0.45">
      <c r="I363" t="s">
        <v>182</v>
      </c>
      <c r="J363" t="s">
        <v>242</v>
      </c>
      <c r="K363">
        <v>0</v>
      </c>
      <c r="L363" t="s">
        <v>166</v>
      </c>
      <c r="N363" t="s">
        <v>195</v>
      </c>
      <c r="O363" t="s">
        <v>242</v>
      </c>
      <c r="P363">
        <v>4.4488321249679299E-3</v>
      </c>
      <c r="Q363" t="s">
        <v>166</v>
      </c>
      <c r="S363" t="s">
        <v>209</v>
      </c>
      <c r="T363" t="s">
        <v>242</v>
      </c>
      <c r="U363">
        <v>4.1762409514155595E-3</v>
      </c>
      <c r="V363" t="s">
        <v>166</v>
      </c>
    </row>
    <row r="364" spans="9:22" x14ac:dyDescent="0.45">
      <c r="I364" t="s">
        <v>182</v>
      </c>
      <c r="J364" t="s">
        <v>243</v>
      </c>
      <c r="K364">
        <v>0</v>
      </c>
      <c r="L364" t="s">
        <v>166</v>
      </c>
      <c r="N364" t="s">
        <v>195</v>
      </c>
      <c r="O364" t="s">
        <v>243</v>
      </c>
      <c r="P364">
        <v>4.5732500186075851E-3</v>
      </c>
      <c r="Q364" t="s">
        <v>166</v>
      </c>
      <c r="S364" t="s">
        <v>209</v>
      </c>
      <c r="T364" t="s">
        <v>243</v>
      </c>
      <c r="U364">
        <v>4.0770865329519722E-3</v>
      </c>
      <c r="V364" t="s">
        <v>166</v>
      </c>
    </row>
    <row r="365" spans="9:22" x14ac:dyDescent="0.45">
      <c r="I365" t="s">
        <v>182</v>
      </c>
      <c r="J365" t="s">
        <v>244</v>
      </c>
      <c r="K365">
        <v>2.6855198826242813E-3</v>
      </c>
      <c r="L365" t="s">
        <v>166</v>
      </c>
      <c r="N365" t="s">
        <v>195</v>
      </c>
      <c r="O365" t="s">
        <v>244</v>
      </c>
      <c r="P365">
        <v>5.273802233254709E-2</v>
      </c>
      <c r="Q365" t="s">
        <v>166</v>
      </c>
      <c r="S365" t="s">
        <v>209</v>
      </c>
      <c r="T365" t="s">
        <v>244</v>
      </c>
      <c r="U365">
        <v>5.884974497542534E-2</v>
      </c>
      <c r="V365" t="s">
        <v>166</v>
      </c>
    </row>
    <row r="366" spans="9:22" x14ac:dyDescent="0.45">
      <c r="I366" t="s">
        <v>182</v>
      </c>
      <c r="J366" t="s">
        <v>245</v>
      </c>
      <c r="K366">
        <v>1.1169263083290207E-2</v>
      </c>
      <c r="L366" t="s">
        <v>166</v>
      </c>
      <c r="N366" t="s">
        <v>195</v>
      </c>
      <c r="O366" t="s">
        <v>245</v>
      </c>
      <c r="P366">
        <v>9.9317614300766383E-3</v>
      </c>
      <c r="Q366" t="s">
        <v>166</v>
      </c>
      <c r="S366" t="s">
        <v>209</v>
      </c>
      <c r="T366" t="s">
        <v>245</v>
      </c>
      <c r="U366">
        <v>1.0874013273390559E-2</v>
      </c>
      <c r="V366" t="s">
        <v>166</v>
      </c>
    </row>
    <row r="367" spans="9:22" x14ac:dyDescent="0.45">
      <c r="I367" t="s">
        <v>182</v>
      </c>
      <c r="J367" t="s">
        <v>246</v>
      </c>
      <c r="K367">
        <v>0.53752019033477538</v>
      </c>
      <c r="L367" t="s">
        <v>166</v>
      </c>
      <c r="N367" t="s">
        <v>195</v>
      </c>
      <c r="O367" t="s">
        <v>246</v>
      </c>
      <c r="P367">
        <v>0.14120062788717622</v>
      </c>
      <c r="Q367" t="s">
        <v>166</v>
      </c>
      <c r="S367" t="s">
        <v>209</v>
      </c>
      <c r="T367" t="s">
        <v>246</v>
      </c>
      <c r="U367">
        <v>0.15935568867331096</v>
      </c>
      <c r="V367" t="s">
        <v>166</v>
      </c>
    </row>
    <row r="368" spans="9:22" x14ac:dyDescent="0.45">
      <c r="I368" t="s">
        <v>182</v>
      </c>
      <c r="J368" t="s">
        <v>247</v>
      </c>
      <c r="K368">
        <v>3.7953387517867206E-3</v>
      </c>
      <c r="L368" t="s">
        <v>166</v>
      </c>
      <c r="N368" t="s">
        <v>195</v>
      </c>
      <c r="O368" t="s">
        <v>247</v>
      </c>
      <c r="P368">
        <v>1.0928220431237805E-2</v>
      </c>
      <c r="Q368" t="s">
        <v>166</v>
      </c>
      <c r="S368" t="s">
        <v>209</v>
      </c>
      <c r="T368" t="s">
        <v>247</v>
      </c>
      <c r="U368">
        <v>1.1687394912759119E-2</v>
      </c>
      <c r="V368" t="s">
        <v>166</v>
      </c>
    </row>
    <row r="369" spans="9:22" x14ac:dyDescent="0.45">
      <c r="I369" t="s">
        <v>182</v>
      </c>
      <c r="J369" t="s">
        <v>248</v>
      </c>
      <c r="K369">
        <v>0</v>
      </c>
      <c r="L369" t="s">
        <v>166</v>
      </c>
      <c r="N369" t="s">
        <v>195</v>
      </c>
      <c r="O369" t="s">
        <v>248</v>
      </c>
      <c r="P369">
        <v>1.0935258774942547E-2</v>
      </c>
      <c r="Q369" t="s">
        <v>166</v>
      </c>
      <c r="S369" t="s">
        <v>209</v>
      </c>
      <c r="T369" t="s">
        <v>248</v>
      </c>
      <c r="U369">
        <v>1.2287026026833169E-2</v>
      </c>
      <c r="V369" t="s">
        <v>166</v>
      </c>
    </row>
    <row r="370" spans="9:22" x14ac:dyDescent="0.45">
      <c r="I370" t="s">
        <v>182</v>
      </c>
      <c r="J370" t="s">
        <v>249</v>
      </c>
      <c r="K370">
        <v>0</v>
      </c>
      <c r="L370" t="s">
        <v>166</v>
      </c>
      <c r="N370" t="s">
        <v>195</v>
      </c>
      <c r="O370" t="s">
        <v>249</v>
      </c>
      <c r="P370">
        <v>1.1095319293635747E-2</v>
      </c>
      <c r="Q370" t="s">
        <v>166</v>
      </c>
      <c r="S370" t="s">
        <v>209</v>
      </c>
      <c r="T370" t="s">
        <v>249</v>
      </c>
      <c r="U370">
        <v>1.260895005197662E-2</v>
      </c>
      <c r="V370" t="s">
        <v>166</v>
      </c>
    </row>
    <row r="371" spans="9:22" x14ac:dyDescent="0.45">
      <c r="I371" t="s">
        <v>182</v>
      </c>
      <c r="J371" t="s">
        <v>250</v>
      </c>
      <c r="K371">
        <v>0</v>
      </c>
      <c r="L371" t="s">
        <v>166</v>
      </c>
      <c r="N371" t="s">
        <v>195</v>
      </c>
      <c r="O371" t="s">
        <v>250</v>
      </c>
      <c r="P371">
        <v>1.2059380675570712E-2</v>
      </c>
      <c r="Q371" t="s">
        <v>166</v>
      </c>
      <c r="S371" t="s">
        <v>209</v>
      </c>
      <c r="T371" t="s">
        <v>250</v>
      </c>
      <c r="U371">
        <v>1.2007366769883867E-2</v>
      </c>
      <c r="V371" t="s">
        <v>166</v>
      </c>
    </row>
    <row r="372" spans="9:22" x14ac:dyDescent="0.45">
      <c r="I372" t="s">
        <v>182</v>
      </c>
      <c r="J372" t="s">
        <v>251</v>
      </c>
      <c r="K372">
        <v>0</v>
      </c>
      <c r="L372" t="s">
        <v>166</v>
      </c>
      <c r="N372" t="s">
        <v>195</v>
      </c>
      <c r="O372" t="s">
        <v>251</v>
      </c>
      <c r="P372">
        <v>2.282928175025145E-3</v>
      </c>
      <c r="Q372" t="s">
        <v>166</v>
      </c>
      <c r="S372" t="s">
        <v>209</v>
      </c>
      <c r="T372" t="s">
        <v>251</v>
      </c>
      <c r="U372">
        <v>2.5159796948407784E-3</v>
      </c>
      <c r="V372" t="s">
        <v>166</v>
      </c>
    </row>
    <row r="373" spans="9:22" x14ac:dyDescent="0.45">
      <c r="I373" t="s">
        <v>182</v>
      </c>
      <c r="J373" t="s">
        <v>252</v>
      </c>
      <c r="K373">
        <v>8.6488788363022553E-2</v>
      </c>
      <c r="L373" t="s">
        <v>166</v>
      </c>
      <c r="N373" t="s">
        <v>195</v>
      </c>
      <c r="O373" t="s">
        <v>252</v>
      </c>
      <c r="P373">
        <v>3.3317029343516283E-2</v>
      </c>
      <c r="Q373" t="s">
        <v>166</v>
      </c>
      <c r="S373" t="s">
        <v>209</v>
      </c>
      <c r="T373" t="s">
        <v>252</v>
      </c>
      <c r="U373">
        <v>3.6114855968279617E-2</v>
      </c>
      <c r="V373" t="s">
        <v>166</v>
      </c>
    </row>
    <row r="374" spans="9:22" x14ac:dyDescent="0.45">
      <c r="I374" t="s">
        <v>182</v>
      </c>
      <c r="J374" t="s">
        <v>253</v>
      </c>
      <c r="K374">
        <v>0</v>
      </c>
      <c r="L374" t="s">
        <v>166</v>
      </c>
      <c r="N374" t="s">
        <v>195</v>
      </c>
      <c r="O374" t="s">
        <v>253</v>
      </c>
      <c r="P374">
        <v>2.8911474792959074E-3</v>
      </c>
      <c r="Q374" t="s">
        <v>166</v>
      </c>
      <c r="S374" t="s">
        <v>209</v>
      </c>
      <c r="T374" t="s">
        <v>253</v>
      </c>
      <c r="U374">
        <v>2.5472686950598769E-3</v>
      </c>
      <c r="V374" t="s">
        <v>166</v>
      </c>
    </row>
    <row r="375" spans="9:22" x14ac:dyDescent="0.45">
      <c r="I375" t="s">
        <v>182</v>
      </c>
      <c r="J375" t="s">
        <v>254</v>
      </c>
      <c r="K375">
        <v>0</v>
      </c>
      <c r="L375" t="s">
        <v>166</v>
      </c>
      <c r="N375" t="s">
        <v>195</v>
      </c>
      <c r="O375" t="s">
        <v>254</v>
      </c>
      <c r="P375">
        <v>2.7458775086758292E-3</v>
      </c>
      <c r="Q375" t="s">
        <v>166</v>
      </c>
      <c r="S375" t="s">
        <v>209</v>
      </c>
      <c r="T375" t="s">
        <v>254</v>
      </c>
      <c r="U375">
        <v>2.5575383785637223E-3</v>
      </c>
      <c r="V375" t="s">
        <v>166</v>
      </c>
    </row>
    <row r="376" spans="9:22" x14ac:dyDescent="0.45">
      <c r="I376" t="s">
        <v>182</v>
      </c>
      <c r="J376" t="s">
        <v>255</v>
      </c>
      <c r="K376">
        <v>0</v>
      </c>
      <c r="L376" t="s">
        <v>166</v>
      </c>
      <c r="N376" t="s">
        <v>195</v>
      </c>
      <c r="O376" t="s">
        <v>255</v>
      </c>
      <c r="P376">
        <v>2.7522381580420098E-3</v>
      </c>
      <c r="Q376" t="s">
        <v>166</v>
      </c>
      <c r="S376" t="s">
        <v>209</v>
      </c>
      <c r="T376" t="s">
        <v>255</v>
      </c>
      <c r="U376">
        <v>2.5055465632128158E-3</v>
      </c>
      <c r="V376" t="s">
        <v>166</v>
      </c>
    </row>
    <row r="377" spans="9:22" x14ac:dyDescent="0.45">
      <c r="I377" t="s">
        <v>182</v>
      </c>
      <c r="J377" t="s">
        <v>256</v>
      </c>
      <c r="K377">
        <v>0</v>
      </c>
      <c r="L377" t="s">
        <v>166</v>
      </c>
      <c r="N377" t="s">
        <v>195</v>
      </c>
      <c r="O377" t="s">
        <v>256</v>
      </c>
      <c r="P377">
        <v>2.1327544362816073E-2</v>
      </c>
      <c r="Q377" t="s">
        <v>166</v>
      </c>
      <c r="S377" t="s">
        <v>209</v>
      </c>
      <c r="T377" t="s">
        <v>256</v>
      </c>
      <c r="U377">
        <v>2.5095445114367867E-2</v>
      </c>
      <c r="V377" t="s">
        <v>166</v>
      </c>
    </row>
    <row r="378" spans="9:22" x14ac:dyDescent="0.45">
      <c r="I378" t="s">
        <v>182</v>
      </c>
      <c r="J378" t="s">
        <v>257</v>
      </c>
      <c r="K378">
        <v>0</v>
      </c>
      <c r="L378" t="s">
        <v>166</v>
      </c>
      <c r="N378" t="s">
        <v>195</v>
      </c>
      <c r="O378" t="s">
        <v>257</v>
      </c>
      <c r="P378">
        <v>4.2618139760082765E-3</v>
      </c>
      <c r="Q378" t="s">
        <v>166</v>
      </c>
      <c r="S378" t="s">
        <v>209</v>
      </c>
      <c r="T378" t="s">
        <v>257</v>
      </c>
      <c r="U378">
        <v>4.9198399145058821E-3</v>
      </c>
      <c r="V378" t="s">
        <v>166</v>
      </c>
    </row>
    <row r="379" spans="9:22" x14ac:dyDescent="0.45">
      <c r="I379" t="s">
        <v>182</v>
      </c>
      <c r="J379" t="s">
        <v>258</v>
      </c>
      <c r="K379">
        <v>4.3393582650081385E-2</v>
      </c>
      <c r="L379" t="s">
        <v>166</v>
      </c>
      <c r="N379" t="s">
        <v>195</v>
      </c>
      <c r="O379" t="s">
        <v>258</v>
      </c>
      <c r="P379">
        <v>5.9812032398654943E-2</v>
      </c>
      <c r="Q379" t="s">
        <v>166</v>
      </c>
      <c r="S379" t="s">
        <v>209</v>
      </c>
      <c r="T379" t="s">
        <v>258</v>
      </c>
      <c r="U379">
        <v>6.6294799751785496E-2</v>
      </c>
      <c r="V379" t="s">
        <v>166</v>
      </c>
    </row>
    <row r="380" spans="9:22" x14ac:dyDescent="0.45">
      <c r="I380" t="s">
        <v>182</v>
      </c>
      <c r="J380" t="s">
        <v>259</v>
      </c>
      <c r="K380">
        <v>0</v>
      </c>
      <c r="L380" t="s">
        <v>166</v>
      </c>
      <c r="N380" t="s">
        <v>195</v>
      </c>
      <c r="O380" t="s">
        <v>259</v>
      </c>
      <c r="P380">
        <v>4.4478919985888547E-3</v>
      </c>
      <c r="Q380" t="s">
        <v>166</v>
      </c>
      <c r="S380" t="s">
        <v>209</v>
      </c>
      <c r="T380" t="s">
        <v>259</v>
      </c>
      <c r="U380">
        <v>5.0725872815541029E-3</v>
      </c>
      <c r="V380" t="s">
        <v>166</v>
      </c>
    </row>
    <row r="381" spans="9:22" x14ac:dyDescent="0.45">
      <c r="I381" t="s">
        <v>182</v>
      </c>
      <c r="J381" t="s">
        <v>260</v>
      </c>
      <c r="K381">
        <v>0</v>
      </c>
      <c r="L381" t="s">
        <v>166</v>
      </c>
      <c r="N381" t="s">
        <v>195</v>
      </c>
      <c r="O381" t="s">
        <v>260</v>
      </c>
      <c r="P381">
        <v>4.3131244504120182E-3</v>
      </c>
      <c r="Q381" t="s">
        <v>166</v>
      </c>
      <c r="S381" t="s">
        <v>209</v>
      </c>
      <c r="T381" t="s">
        <v>260</v>
      </c>
      <c r="U381">
        <v>5.1740317516067265E-3</v>
      </c>
      <c r="V381" t="s">
        <v>166</v>
      </c>
    </row>
    <row r="382" spans="9:22" x14ac:dyDescent="0.45">
      <c r="I382" t="s">
        <v>182</v>
      </c>
      <c r="J382" t="s">
        <v>261</v>
      </c>
      <c r="K382">
        <v>0</v>
      </c>
      <c r="L382" t="s">
        <v>166</v>
      </c>
      <c r="N382" t="s">
        <v>195</v>
      </c>
      <c r="O382" t="s">
        <v>261</v>
      </c>
      <c r="P382">
        <v>4.2586934683798662E-3</v>
      </c>
      <c r="Q382" t="s">
        <v>166</v>
      </c>
      <c r="S382" t="s">
        <v>209</v>
      </c>
      <c r="T382" t="s">
        <v>261</v>
      </c>
      <c r="U382">
        <v>5.2493609452348546E-3</v>
      </c>
      <c r="V382" t="s">
        <v>166</v>
      </c>
    </row>
    <row r="383" spans="9:22" x14ac:dyDescent="0.45">
      <c r="I383" t="s">
        <v>182</v>
      </c>
      <c r="J383" t="s">
        <v>262</v>
      </c>
      <c r="K383">
        <v>0</v>
      </c>
      <c r="L383" t="s">
        <v>166</v>
      </c>
      <c r="N383" t="s">
        <v>195</v>
      </c>
      <c r="O383" t="s">
        <v>262</v>
      </c>
      <c r="P383">
        <v>5.6740698507790566E-2</v>
      </c>
      <c r="Q383" t="s">
        <v>166</v>
      </c>
      <c r="S383" t="s">
        <v>209</v>
      </c>
      <c r="T383" t="s">
        <v>262</v>
      </c>
      <c r="U383">
        <v>5.043793890572959E-2</v>
      </c>
      <c r="V383" t="s">
        <v>166</v>
      </c>
    </row>
    <row r="384" spans="9:22" x14ac:dyDescent="0.45">
      <c r="I384" t="s">
        <v>182</v>
      </c>
      <c r="J384" t="s">
        <v>263</v>
      </c>
      <c r="K384">
        <v>0</v>
      </c>
      <c r="L384" t="s">
        <v>166</v>
      </c>
      <c r="N384" t="s">
        <v>195</v>
      </c>
      <c r="O384" t="s">
        <v>263</v>
      </c>
      <c r="P384">
        <v>1.1562808358693192E-2</v>
      </c>
      <c r="Q384" t="s">
        <v>166</v>
      </c>
      <c r="S384" t="s">
        <v>209</v>
      </c>
      <c r="T384" t="s">
        <v>263</v>
      </c>
      <c r="U384">
        <v>9.8687848258397336E-3</v>
      </c>
      <c r="V384" t="s">
        <v>166</v>
      </c>
    </row>
    <row r="385" spans="9:22" x14ac:dyDescent="0.45">
      <c r="I385" t="s">
        <v>182</v>
      </c>
      <c r="J385" t="s">
        <v>264</v>
      </c>
      <c r="K385">
        <v>2.545263438736883E-2</v>
      </c>
      <c r="L385" t="s">
        <v>166</v>
      </c>
      <c r="N385" t="s">
        <v>195</v>
      </c>
      <c r="O385" t="s">
        <v>264</v>
      </c>
      <c r="P385">
        <v>0.17249924135311731</v>
      </c>
      <c r="Q385" t="s">
        <v>166</v>
      </c>
      <c r="S385" t="s">
        <v>209</v>
      </c>
      <c r="T385" t="s">
        <v>264</v>
      </c>
      <c r="U385">
        <v>0.1569032803495059</v>
      </c>
      <c r="V385" t="s">
        <v>166</v>
      </c>
    </row>
    <row r="386" spans="9:22" x14ac:dyDescent="0.45">
      <c r="I386" t="s">
        <v>182</v>
      </c>
      <c r="J386" t="s">
        <v>265</v>
      </c>
      <c r="K386">
        <v>0</v>
      </c>
      <c r="L386" t="s">
        <v>166</v>
      </c>
      <c r="N386" t="s">
        <v>195</v>
      </c>
      <c r="O386" t="s">
        <v>265</v>
      </c>
      <c r="P386">
        <v>1.1922107042611348E-2</v>
      </c>
      <c r="Q386" t="s">
        <v>166</v>
      </c>
      <c r="S386" t="s">
        <v>209</v>
      </c>
      <c r="T386" t="s">
        <v>265</v>
      </c>
      <c r="U386">
        <v>1.0392948823708411E-2</v>
      </c>
      <c r="V386" t="s">
        <v>166</v>
      </c>
    </row>
    <row r="387" spans="9:22" x14ac:dyDescent="0.45">
      <c r="I387" t="s">
        <v>182</v>
      </c>
      <c r="J387" t="s">
        <v>266</v>
      </c>
      <c r="K387">
        <v>0</v>
      </c>
      <c r="L387" t="s">
        <v>166</v>
      </c>
      <c r="N387" t="s">
        <v>195</v>
      </c>
      <c r="O387" t="s">
        <v>266</v>
      </c>
      <c r="P387">
        <v>1.1794773391110151E-2</v>
      </c>
      <c r="Q387" t="s">
        <v>166</v>
      </c>
      <c r="S387" t="s">
        <v>209</v>
      </c>
      <c r="T387" t="s">
        <v>266</v>
      </c>
      <c r="U387">
        <v>1.0297280492041285E-2</v>
      </c>
      <c r="V387" t="s">
        <v>166</v>
      </c>
    </row>
    <row r="388" spans="9:22" x14ac:dyDescent="0.45">
      <c r="I388" t="s">
        <v>182</v>
      </c>
      <c r="J388" t="s">
        <v>267</v>
      </c>
      <c r="K388">
        <v>0</v>
      </c>
      <c r="L388" t="s">
        <v>166</v>
      </c>
      <c r="N388" t="s">
        <v>195</v>
      </c>
      <c r="O388" t="s">
        <v>267</v>
      </c>
      <c r="P388">
        <v>1.1474285270591049E-2</v>
      </c>
      <c r="Q388" t="s">
        <v>166</v>
      </c>
      <c r="S388" t="s">
        <v>209</v>
      </c>
      <c r="T388" t="s">
        <v>267</v>
      </c>
      <c r="U388">
        <v>1.0249309943491972E-2</v>
      </c>
      <c r="V388" t="s">
        <v>166</v>
      </c>
    </row>
    <row r="389" spans="9:22" x14ac:dyDescent="0.45">
      <c r="I389" t="s">
        <v>183</v>
      </c>
      <c r="J389" t="s">
        <v>165</v>
      </c>
      <c r="K389">
        <v>0</v>
      </c>
      <c r="L389" t="s">
        <v>166</v>
      </c>
      <c r="N389" t="s">
        <v>196</v>
      </c>
      <c r="O389" t="s">
        <v>165</v>
      </c>
      <c r="P389">
        <v>3.026012696020831E-2</v>
      </c>
      <c r="Q389" t="s">
        <v>166</v>
      </c>
      <c r="S389" t="s">
        <v>210</v>
      </c>
      <c r="T389" t="s">
        <v>165</v>
      </c>
      <c r="U389">
        <v>3.0469542148469871E-2</v>
      </c>
      <c r="V389" t="s">
        <v>166</v>
      </c>
    </row>
    <row r="390" spans="9:22" x14ac:dyDescent="0.45">
      <c r="I390" t="s">
        <v>183</v>
      </c>
      <c r="J390" t="s">
        <v>167</v>
      </c>
      <c r="K390">
        <v>0</v>
      </c>
      <c r="L390" t="s">
        <v>166</v>
      </c>
      <c r="N390" t="s">
        <v>196</v>
      </c>
      <c r="O390" t="s">
        <v>167</v>
      </c>
      <c r="P390">
        <v>6.2554961329170586E-3</v>
      </c>
      <c r="Q390" t="s">
        <v>166</v>
      </c>
      <c r="S390" t="s">
        <v>210</v>
      </c>
      <c r="T390" t="s">
        <v>167</v>
      </c>
      <c r="U390">
        <v>6.319695285753036E-3</v>
      </c>
      <c r="V390" t="s">
        <v>166</v>
      </c>
    </row>
    <row r="391" spans="9:22" x14ac:dyDescent="0.45">
      <c r="I391" t="s">
        <v>183</v>
      </c>
      <c r="J391" t="s">
        <v>168</v>
      </c>
      <c r="K391">
        <v>5.2642088420595014E-2</v>
      </c>
      <c r="L391" t="s">
        <v>166</v>
      </c>
      <c r="N391" t="s">
        <v>196</v>
      </c>
      <c r="O391" t="s">
        <v>168</v>
      </c>
      <c r="P391">
        <v>8.1503504517367348E-2</v>
      </c>
      <c r="Q391" t="s">
        <v>166</v>
      </c>
      <c r="S391" t="s">
        <v>210</v>
      </c>
      <c r="T391" t="s">
        <v>168</v>
      </c>
      <c r="U391">
        <v>9.8305409094675208E-2</v>
      </c>
      <c r="V391" t="s">
        <v>166</v>
      </c>
    </row>
    <row r="392" spans="9:22" x14ac:dyDescent="0.45">
      <c r="I392" t="s">
        <v>183</v>
      </c>
      <c r="J392" t="s">
        <v>235</v>
      </c>
      <c r="K392">
        <v>0</v>
      </c>
      <c r="L392" t="s">
        <v>166</v>
      </c>
      <c r="N392" t="s">
        <v>196</v>
      </c>
      <c r="O392" t="s">
        <v>235</v>
      </c>
      <c r="P392">
        <v>5.8710935808849625E-3</v>
      </c>
      <c r="Q392" t="s">
        <v>166</v>
      </c>
      <c r="S392" t="s">
        <v>210</v>
      </c>
      <c r="T392" t="s">
        <v>235</v>
      </c>
      <c r="U392">
        <v>6.3329117905793694E-3</v>
      </c>
      <c r="V392" t="s">
        <v>166</v>
      </c>
    </row>
    <row r="393" spans="9:22" x14ac:dyDescent="0.45">
      <c r="I393" t="s">
        <v>183</v>
      </c>
      <c r="J393" t="s">
        <v>236</v>
      </c>
      <c r="K393">
        <v>0</v>
      </c>
      <c r="L393" t="s">
        <v>166</v>
      </c>
      <c r="N393" t="s">
        <v>196</v>
      </c>
      <c r="O393" t="s">
        <v>236</v>
      </c>
      <c r="P393">
        <v>5.857853143126931E-3</v>
      </c>
      <c r="Q393" t="s">
        <v>166</v>
      </c>
      <c r="S393" t="s">
        <v>210</v>
      </c>
      <c r="T393" t="s">
        <v>236</v>
      </c>
      <c r="U393">
        <v>6.1825693741685301E-3</v>
      </c>
      <c r="V393" t="s">
        <v>166</v>
      </c>
    </row>
    <row r="394" spans="9:22" x14ac:dyDescent="0.45">
      <c r="I394" t="s">
        <v>183</v>
      </c>
      <c r="J394" t="s">
        <v>237</v>
      </c>
      <c r="K394">
        <v>0</v>
      </c>
      <c r="L394" t="s">
        <v>166</v>
      </c>
      <c r="N394" t="s">
        <v>196</v>
      </c>
      <c r="O394" t="s">
        <v>237</v>
      </c>
      <c r="P394">
        <v>6.0282966510522805E-3</v>
      </c>
      <c r="Q394" t="s">
        <v>166</v>
      </c>
      <c r="S394" t="s">
        <v>210</v>
      </c>
      <c r="T394" t="s">
        <v>237</v>
      </c>
      <c r="U394">
        <v>6.0187710350745856E-3</v>
      </c>
      <c r="V394" t="s">
        <v>166</v>
      </c>
    </row>
    <row r="395" spans="9:22" x14ac:dyDescent="0.45">
      <c r="I395" t="s">
        <v>183</v>
      </c>
      <c r="J395" t="s">
        <v>169</v>
      </c>
      <c r="K395">
        <v>0</v>
      </c>
      <c r="L395" t="s">
        <v>166</v>
      </c>
      <c r="N395" t="s">
        <v>196</v>
      </c>
      <c r="O395" t="s">
        <v>169</v>
      </c>
      <c r="P395">
        <v>1.6621676407163839E-2</v>
      </c>
      <c r="Q395" t="s">
        <v>166</v>
      </c>
      <c r="S395" t="s">
        <v>210</v>
      </c>
      <c r="T395" t="s">
        <v>169</v>
      </c>
      <c r="U395">
        <v>1.4067108655309234E-2</v>
      </c>
      <c r="V395" t="s">
        <v>166</v>
      </c>
    </row>
    <row r="396" spans="9:22" x14ac:dyDescent="0.45">
      <c r="I396" t="s">
        <v>183</v>
      </c>
      <c r="J396" t="s">
        <v>170</v>
      </c>
      <c r="K396">
        <v>0</v>
      </c>
      <c r="L396" t="s">
        <v>166</v>
      </c>
      <c r="N396" t="s">
        <v>196</v>
      </c>
      <c r="O396" t="s">
        <v>170</v>
      </c>
      <c r="P396">
        <v>3.7358076827040802E-3</v>
      </c>
      <c r="Q396" t="s">
        <v>166</v>
      </c>
      <c r="S396" t="s">
        <v>210</v>
      </c>
      <c r="T396" t="s">
        <v>170</v>
      </c>
      <c r="U396">
        <v>3.0003392306697618E-3</v>
      </c>
      <c r="V396" t="s">
        <v>166</v>
      </c>
    </row>
    <row r="397" spans="9:22" x14ac:dyDescent="0.45">
      <c r="I397" t="s">
        <v>183</v>
      </c>
      <c r="J397" t="s">
        <v>171</v>
      </c>
      <c r="K397">
        <v>0.10948680056713411</v>
      </c>
      <c r="L397" t="s">
        <v>166</v>
      </c>
      <c r="N397" t="s">
        <v>196</v>
      </c>
      <c r="O397" t="s">
        <v>171</v>
      </c>
      <c r="P397">
        <v>4.0642631315801266E-2</v>
      </c>
      <c r="Q397" t="s">
        <v>166</v>
      </c>
      <c r="S397" t="s">
        <v>210</v>
      </c>
      <c r="T397" t="s">
        <v>171</v>
      </c>
      <c r="U397">
        <v>5.1213116536230806E-2</v>
      </c>
      <c r="V397" t="s">
        <v>166</v>
      </c>
    </row>
    <row r="398" spans="9:22" x14ac:dyDescent="0.45">
      <c r="I398" t="s">
        <v>183</v>
      </c>
      <c r="J398" t="s">
        <v>238</v>
      </c>
      <c r="K398">
        <v>0</v>
      </c>
      <c r="L398" t="s">
        <v>166</v>
      </c>
      <c r="N398" t="s">
        <v>196</v>
      </c>
      <c r="O398" t="s">
        <v>238</v>
      </c>
      <c r="P398">
        <v>2.8102051311037469E-3</v>
      </c>
      <c r="Q398" t="s">
        <v>166</v>
      </c>
      <c r="S398" t="s">
        <v>210</v>
      </c>
      <c r="T398" t="s">
        <v>238</v>
      </c>
      <c r="U398">
        <v>3.1587298200082942E-3</v>
      </c>
      <c r="V398" t="s">
        <v>166</v>
      </c>
    </row>
    <row r="399" spans="9:22" x14ac:dyDescent="0.45">
      <c r="I399" t="s">
        <v>183</v>
      </c>
      <c r="J399" t="s">
        <v>239</v>
      </c>
      <c r="K399">
        <v>0</v>
      </c>
      <c r="L399" t="s">
        <v>166</v>
      </c>
      <c r="N399" t="s">
        <v>196</v>
      </c>
      <c r="O399" t="s">
        <v>239</v>
      </c>
      <c r="P399">
        <v>2.6925223432203889E-3</v>
      </c>
      <c r="Q399" t="s">
        <v>166</v>
      </c>
      <c r="S399" t="s">
        <v>210</v>
      </c>
      <c r="T399" t="s">
        <v>239</v>
      </c>
      <c r="U399">
        <v>2.9343598117117509E-3</v>
      </c>
      <c r="V399" t="s">
        <v>166</v>
      </c>
    </row>
    <row r="400" spans="9:22" x14ac:dyDescent="0.45">
      <c r="I400" t="s">
        <v>183</v>
      </c>
      <c r="J400" t="s">
        <v>240</v>
      </c>
      <c r="K400">
        <v>0</v>
      </c>
      <c r="L400" t="s">
        <v>166</v>
      </c>
      <c r="N400" t="s">
        <v>196</v>
      </c>
      <c r="O400" t="s">
        <v>240</v>
      </c>
      <c r="P400">
        <v>2.8115138368571858E-3</v>
      </c>
      <c r="Q400" t="s">
        <v>166</v>
      </c>
      <c r="S400" t="s">
        <v>210</v>
      </c>
      <c r="T400" t="s">
        <v>240</v>
      </c>
      <c r="U400">
        <v>2.8287882643453621E-3</v>
      </c>
      <c r="V400" t="s">
        <v>166</v>
      </c>
    </row>
    <row r="401" spans="9:22" x14ac:dyDescent="0.45">
      <c r="I401" t="s">
        <v>183</v>
      </c>
      <c r="J401" t="s">
        <v>172</v>
      </c>
      <c r="K401">
        <v>0</v>
      </c>
      <c r="L401" t="s">
        <v>166</v>
      </c>
      <c r="N401" t="s">
        <v>196</v>
      </c>
      <c r="O401" t="s">
        <v>172</v>
      </c>
      <c r="P401">
        <v>2.1907109702775929E-2</v>
      </c>
      <c r="Q401" t="s">
        <v>166</v>
      </c>
      <c r="S401" t="s">
        <v>210</v>
      </c>
      <c r="T401" t="s">
        <v>172</v>
      </c>
      <c r="U401">
        <v>1.9697578156098298E-2</v>
      </c>
      <c r="V401" t="s">
        <v>166</v>
      </c>
    </row>
    <row r="402" spans="9:22" x14ac:dyDescent="0.45">
      <c r="I402" t="s">
        <v>183</v>
      </c>
      <c r="J402" t="s">
        <v>173</v>
      </c>
      <c r="K402">
        <v>1.3470729517761265E-4</v>
      </c>
      <c r="L402" t="s">
        <v>166</v>
      </c>
      <c r="N402" t="s">
        <v>196</v>
      </c>
      <c r="O402" t="s">
        <v>173</v>
      </c>
      <c r="P402">
        <v>4.3493430762626935E-3</v>
      </c>
      <c r="Q402" t="s">
        <v>166</v>
      </c>
      <c r="S402" t="s">
        <v>210</v>
      </c>
      <c r="T402" t="s">
        <v>173</v>
      </c>
      <c r="U402">
        <v>3.8334081352440911E-3</v>
      </c>
      <c r="V402" t="s">
        <v>166</v>
      </c>
    </row>
    <row r="403" spans="9:22" x14ac:dyDescent="0.45">
      <c r="I403" t="s">
        <v>183</v>
      </c>
      <c r="J403" t="s">
        <v>174</v>
      </c>
      <c r="K403">
        <v>0.13105975219773364</v>
      </c>
      <c r="L403" t="s">
        <v>166</v>
      </c>
      <c r="N403" t="s">
        <v>196</v>
      </c>
      <c r="O403" t="s">
        <v>174</v>
      </c>
      <c r="P403">
        <v>5.9720922844267742E-2</v>
      </c>
      <c r="Q403" t="s">
        <v>166</v>
      </c>
      <c r="S403" t="s">
        <v>210</v>
      </c>
      <c r="T403" t="s">
        <v>174</v>
      </c>
      <c r="U403">
        <v>5.6752051015124108E-2</v>
      </c>
      <c r="V403" t="s">
        <v>166</v>
      </c>
    </row>
    <row r="404" spans="9:22" x14ac:dyDescent="0.45">
      <c r="I404" t="s">
        <v>183</v>
      </c>
      <c r="J404" t="s">
        <v>241</v>
      </c>
      <c r="K404">
        <v>0</v>
      </c>
      <c r="L404" t="s">
        <v>166</v>
      </c>
      <c r="N404" t="s">
        <v>196</v>
      </c>
      <c r="O404" t="s">
        <v>241</v>
      </c>
      <c r="P404">
        <v>4.8387353582420673E-3</v>
      </c>
      <c r="Q404" t="s">
        <v>166</v>
      </c>
      <c r="S404" t="s">
        <v>210</v>
      </c>
      <c r="T404" t="s">
        <v>241</v>
      </c>
      <c r="U404">
        <v>4.2092534308916935E-3</v>
      </c>
      <c r="V404" t="s">
        <v>166</v>
      </c>
    </row>
    <row r="405" spans="9:22" x14ac:dyDescent="0.45">
      <c r="I405" t="s">
        <v>183</v>
      </c>
      <c r="J405" t="s">
        <v>242</v>
      </c>
      <c r="K405">
        <v>0</v>
      </c>
      <c r="L405" t="s">
        <v>166</v>
      </c>
      <c r="N405" t="s">
        <v>196</v>
      </c>
      <c r="O405" t="s">
        <v>242</v>
      </c>
      <c r="P405">
        <v>4.78894689981462E-3</v>
      </c>
      <c r="Q405" t="s">
        <v>166</v>
      </c>
      <c r="S405" t="s">
        <v>210</v>
      </c>
      <c r="T405" t="s">
        <v>242</v>
      </c>
      <c r="U405">
        <v>4.2087063856790048E-3</v>
      </c>
      <c r="V405" t="s">
        <v>166</v>
      </c>
    </row>
    <row r="406" spans="9:22" x14ac:dyDescent="0.45">
      <c r="I406" t="s">
        <v>183</v>
      </c>
      <c r="J406" t="s">
        <v>243</v>
      </c>
      <c r="K406">
        <v>0</v>
      </c>
      <c r="L406" t="s">
        <v>166</v>
      </c>
      <c r="N406" t="s">
        <v>196</v>
      </c>
      <c r="O406" t="s">
        <v>243</v>
      </c>
      <c r="P406">
        <v>4.8791089641618199E-3</v>
      </c>
      <c r="Q406" t="s">
        <v>166</v>
      </c>
      <c r="S406" t="s">
        <v>210</v>
      </c>
      <c r="T406" t="s">
        <v>243</v>
      </c>
      <c r="U406">
        <v>4.3232270071902413E-3</v>
      </c>
      <c r="V406" t="s">
        <v>166</v>
      </c>
    </row>
    <row r="407" spans="9:22" x14ac:dyDescent="0.45">
      <c r="I407" t="s">
        <v>183</v>
      </c>
      <c r="J407" t="s">
        <v>244</v>
      </c>
      <c r="K407">
        <v>1.8497877772090713E-3</v>
      </c>
      <c r="L407" t="s">
        <v>166</v>
      </c>
      <c r="N407" t="s">
        <v>196</v>
      </c>
      <c r="O407" t="s">
        <v>244</v>
      </c>
      <c r="P407">
        <v>5.531208423859757E-2</v>
      </c>
      <c r="Q407" t="s">
        <v>166</v>
      </c>
      <c r="S407" t="s">
        <v>210</v>
      </c>
      <c r="T407" t="s">
        <v>244</v>
      </c>
      <c r="U407">
        <v>5.3667068564475208E-2</v>
      </c>
      <c r="V407" t="s">
        <v>166</v>
      </c>
    </row>
    <row r="408" spans="9:22" x14ac:dyDescent="0.45">
      <c r="I408" t="s">
        <v>183</v>
      </c>
      <c r="J408" t="s">
        <v>245</v>
      </c>
      <c r="K408">
        <v>9.8108105142765915E-3</v>
      </c>
      <c r="L408" t="s">
        <v>166</v>
      </c>
      <c r="N408" t="s">
        <v>196</v>
      </c>
      <c r="O408" t="s">
        <v>245</v>
      </c>
      <c r="P408">
        <v>1.0164219784697944E-2</v>
      </c>
      <c r="Q408" t="s">
        <v>166</v>
      </c>
      <c r="S408" t="s">
        <v>210</v>
      </c>
      <c r="T408" t="s">
        <v>245</v>
      </c>
      <c r="U408">
        <v>1.0289790443269517E-2</v>
      </c>
      <c r="V408" t="s">
        <v>166</v>
      </c>
    </row>
    <row r="409" spans="9:22" x14ac:dyDescent="0.45">
      <c r="I409" t="s">
        <v>183</v>
      </c>
      <c r="J409" t="s">
        <v>246</v>
      </c>
      <c r="K409">
        <v>0.53465980377014255</v>
      </c>
      <c r="L409" t="s">
        <v>166</v>
      </c>
      <c r="N409" t="s">
        <v>196</v>
      </c>
      <c r="O409" t="s">
        <v>246</v>
      </c>
      <c r="P409">
        <v>0.15420765570884959</v>
      </c>
      <c r="Q409" t="s">
        <v>166</v>
      </c>
      <c r="S409" t="s">
        <v>210</v>
      </c>
      <c r="T409" t="s">
        <v>246</v>
      </c>
      <c r="U409">
        <v>0.16218889189480079</v>
      </c>
      <c r="V409" t="s">
        <v>166</v>
      </c>
    </row>
    <row r="410" spans="9:22" x14ac:dyDescent="0.45">
      <c r="I410" t="s">
        <v>183</v>
      </c>
      <c r="J410" t="s">
        <v>247</v>
      </c>
      <c r="K410">
        <v>3.4866729902703953E-3</v>
      </c>
      <c r="L410" t="s">
        <v>166</v>
      </c>
      <c r="N410" t="s">
        <v>196</v>
      </c>
      <c r="O410" t="s">
        <v>247</v>
      </c>
      <c r="P410">
        <v>1.1822105106565685E-2</v>
      </c>
      <c r="Q410" t="s">
        <v>166</v>
      </c>
      <c r="S410" t="s">
        <v>210</v>
      </c>
      <c r="T410" t="s">
        <v>247</v>
      </c>
      <c r="U410">
        <v>1.1802161610101707E-2</v>
      </c>
      <c r="V410" t="s">
        <v>166</v>
      </c>
    </row>
    <row r="411" spans="9:22" x14ac:dyDescent="0.45">
      <c r="I411" t="s">
        <v>183</v>
      </c>
      <c r="J411" t="s">
        <v>248</v>
      </c>
      <c r="K411">
        <v>0</v>
      </c>
      <c r="L411" t="s">
        <v>166</v>
      </c>
      <c r="N411" t="s">
        <v>196</v>
      </c>
      <c r="O411" t="s">
        <v>248</v>
      </c>
      <c r="P411">
        <v>1.2057833904477037E-2</v>
      </c>
      <c r="Q411" t="s">
        <v>166</v>
      </c>
      <c r="S411" t="s">
        <v>210</v>
      </c>
      <c r="T411" t="s">
        <v>248</v>
      </c>
      <c r="U411">
        <v>1.1582030259213958E-2</v>
      </c>
      <c r="V411" t="s">
        <v>166</v>
      </c>
    </row>
    <row r="412" spans="9:22" x14ac:dyDescent="0.45">
      <c r="I412" t="s">
        <v>183</v>
      </c>
      <c r="J412" t="s">
        <v>249</v>
      </c>
      <c r="K412">
        <v>0</v>
      </c>
      <c r="L412" t="s">
        <v>166</v>
      </c>
      <c r="N412" t="s">
        <v>196</v>
      </c>
      <c r="O412" t="s">
        <v>249</v>
      </c>
      <c r="P412">
        <v>1.2450660238009391E-2</v>
      </c>
      <c r="Q412" t="s">
        <v>166</v>
      </c>
      <c r="S412" t="s">
        <v>210</v>
      </c>
      <c r="T412" t="s">
        <v>249</v>
      </c>
      <c r="U412">
        <v>1.1704558394041635E-2</v>
      </c>
      <c r="V412" t="s">
        <v>166</v>
      </c>
    </row>
    <row r="413" spans="9:22" x14ac:dyDescent="0.45">
      <c r="I413" t="s">
        <v>183</v>
      </c>
      <c r="J413" t="s">
        <v>250</v>
      </c>
      <c r="K413">
        <v>0</v>
      </c>
      <c r="L413" t="s">
        <v>166</v>
      </c>
      <c r="N413" t="s">
        <v>196</v>
      </c>
      <c r="O413" t="s">
        <v>250</v>
      </c>
      <c r="P413">
        <v>9.9158804274742402E-3</v>
      </c>
      <c r="Q413" t="s">
        <v>166</v>
      </c>
      <c r="S413" t="s">
        <v>210</v>
      </c>
      <c r="T413" t="s">
        <v>250</v>
      </c>
      <c r="U413">
        <v>1.2541639315847933E-2</v>
      </c>
      <c r="V413" t="s">
        <v>166</v>
      </c>
    </row>
    <row r="414" spans="9:22" x14ac:dyDescent="0.45">
      <c r="I414" t="s">
        <v>183</v>
      </c>
      <c r="J414" t="s">
        <v>251</v>
      </c>
      <c r="K414">
        <v>0</v>
      </c>
      <c r="L414" t="s">
        <v>166</v>
      </c>
      <c r="N414" t="s">
        <v>196</v>
      </c>
      <c r="O414" t="s">
        <v>251</v>
      </c>
      <c r="P414">
        <v>1.9317165278221848E-3</v>
      </c>
      <c r="Q414" t="s">
        <v>166</v>
      </c>
      <c r="S414" t="s">
        <v>210</v>
      </c>
      <c r="T414" t="s">
        <v>251</v>
      </c>
      <c r="U414">
        <v>2.5083088976046962E-3</v>
      </c>
      <c r="V414" t="s">
        <v>166</v>
      </c>
    </row>
    <row r="415" spans="9:22" x14ac:dyDescent="0.45">
      <c r="I415" t="s">
        <v>183</v>
      </c>
      <c r="J415" t="s">
        <v>252</v>
      </c>
      <c r="K415">
        <v>8.7638740990872863E-2</v>
      </c>
      <c r="L415" t="s">
        <v>166</v>
      </c>
      <c r="N415" t="s">
        <v>196</v>
      </c>
      <c r="O415" t="s">
        <v>252</v>
      </c>
      <c r="P415">
        <v>3.1733381474242775E-2</v>
      </c>
      <c r="Q415" t="s">
        <v>166</v>
      </c>
      <c r="S415" t="s">
        <v>210</v>
      </c>
      <c r="T415" t="s">
        <v>252</v>
      </c>
      <c r="U415">
        <v>3.6906128630122909E-2</v>
      </c>
      <c r="V415" t="s">
        <v>166</v>
      </c>
    </row>
    <row r="416" spans="9:22" x14ac:dyDescent="0.45">
      <c r="I416" t="s">
        <v>183</v>
      </c>
      <c r="J416" t="s">
        <v>253</v>
      </c>
      <c r="K416">
        <v>0</v>
      </c>
      <c r="L416" t="s">
        <v>166</v>
      </c>
      <c r="N416" t="s">
        <v>196</v>
      </c>
      <c r="O416" t="s">
        <v>253</v>
      </c>
      <c r="P416">
        <v>2.323319487574188E-3</v>
      </c>
      <c r="Q416" t="s">
        <v>166</v>
      </c>
      <c r="S416" t="s">
        <v>210</v>
      </c>
      <c r="T416" t="s">
        <v>253</v>
      </c>
      <c r="U416">
        <v>2.80401094959972E-3</v>
      </c>
      <c r="V416" t="s">
        <v>166</v>
      </c>
    </row>
    <row r="417" spans="9:22" x14ac:dyDescent="0.45">
      <c r="I417" t="s">
        <v>183</v>
      </c>
      <c r="J417" t="s">
        <v>254</v>
      </c>
      <c r="K417">
        <v>0</v>
      </c>
      <c r="L417" t="s">
        <v>166</v>
      </c>
      <c r="N417" t="s">
        <v>196</v>
      </c>
      <c r="O417" t="s">
        <v>254</v>
      </c>
      <c r="P417">
        <v>2.1337333711189785E-3</v>
      </c>
      <c r="Q417" t="s">
        <v>166</v>
      </c>
      <c r="S417" t="s">
        <v>210</v>
      </c>
      <c r="T417" t="s">
        <v>254</v>
      </c>
      <c r="U417">
        <v>2.7127288368624042E-3</v>
      </c>
      <c r="V417" t="s">
        <v>166</v>
      </c>
    </row>
    <row r="418" spans="9:22" x14ac:dyDescent="0.45">
      <c r="I418" t="s">
        <v>183</v>
      </c>
      <c r="J418" t="s">
        <v>255</v>
      </c>
      <c r="K418">
        <v>0</v>
      </c>
      <c r="L418" t="s">
        <v>166</v>
      </c>
      <c r="N418" t="s">
        <v>196</v>
      </c>
      <c r="O418" t="s">
        <v>255</v>
      </c>
      <c r="P418">
        <v>2.170878170433016E-3</v>
      </c>
      <c r="Q418" t="s">
        <v>166</v>
      </c>
      <c r="S418" t="s">
        <v>210</v>
      </c>
      <c r="T418" t="s">
        <v>255</v>
      </c>
      <c r="U418">
        <v>2.7128182115558033E-3</v>
      </c>
      <c r="V418" t="s">
        <v>166</v>
      </c>
    </row>
    <row r="419" spans="9:22" x14ac:dyDescent="0.45">
      <c r="I419" t="s">
        <v>183</v>
      </c>
      <c r="J419" t="s">
        <v>256</v>
      </c>
      <c r="K419">
        <v>0</v>
      </c>
      <c r="L419" t="s">
        <v>166</v>
      </c>
      <c r="N419" t="s">
        <v>196</v>
      </c>
      <c r="O419" t="s">
        <v>256</v>
      </c>
      <c r="P419">
        <v>2.0183738042958078E-2</v>
      </c>
      <c r="Q419" t="s">
        <v>166</v>
      </c>
      <c r="S419" t="s">
        <v>210</v>
      </c>
      <c r="T419" t="s">
        <v>256</v>
      </c>
      <c r="U419">
        <v>2.1232292168271698E-2</v>
      </c>
      <c r="V419" t="s">
        <v>166</v>
      </c>
    </row>
    <row r="420" spans="9:22" x14ac:dyDescent="0.45">
      <c r="I420" t="s">
        <v>183</v>
      </c>
      <c r="J420" t="s">
        <v>257</v>
      </c>
      <c r="K420">
        <v>0</v>
      </c>
      <c r="L420" t="s">
        <v>166</v>
      </c>
      <c r="N420" t="s">
        <v>196</v>
      </c>
      <c r="O420" t="s">
        <v>257</v>
      </c>
      <c r="P420">
        <v>4.0170649086816211E-3</v>
      </c>
      <c r="Q420" t="s">
        <v>166</v>
      </c>
      <c r="S420" t="s">
        <v>210</v>
      </c>
      <c r="T420" t="s">
        <v>257</v>
      </c>
      <c r="U420">
        <v>4.3311899705997725E-3</v>
      </c>
      <c r="V420" t="s">
        <v>166</v>
      </c>
    </row>
    <row r="421" spans="9:22" x14ac:dyDescent="0.45">
      <c r="I421" t="s">
        <v>183</v>
      </c>
      <c r="J421" t="s">
        <v>258</v>
      </c>
      <c r="K421">
        <v>4.0816281993922003E-2</v>
      </c>
      <c r="L421" t="s">
        <v>166</v>
      </c>
      <c r="N421" t="s">
        <v>196</v>
      </c>
      <c r="O421" t="s">
        <v>258</v>
      </c>
      <c r="P421">
        <v>5.6847582513527964E-2</v>
      </c>
      <c r="Q421" t="s">
        <v>166</v>
      </c>
      <c r="S421" t="s">
        <v>210</v>
      </c>
      <c r="T421" t="s">
        <v>258</v>
      </c>
      <c r="U421">
        <v>6.1368901259336292E-2</v>
      </c>
      <c r="V421" t="s">
        <v>166</v>
      </c>
    </row>
    <row r="422" spans="9:22" x14ac:dyDescent="0.45">
      <c r="I422" t="s">
        <v>183</v>
      </c>
      <c r="J422" t="s">
        <v>259</v>
      </c>
      <c r="K422">
        <v>0</v>
      </c>
      <c r="L422" t="s">
        <v>166</v>
      </c>
      <c r="N422" t="s">
        <v>196</v>
      </c>
      <c r="O422" t="s">
        <v>259</v>
      </c>
      <c r="P422">
        <v>4.0351646003716941E-3</v>
      </c>
      <c r="Q422" t="s">
        <v>166</v>
      </c>
      <c r="S422" t="s">
        <v>210</v>
      </c>
      <c r="T422" t="s">
        <v>259</v>
      </c>
      <c r="U422">
        <v>4.3412792510520541E-3</v>
      </c>
      <c r="V422" t="s">
        <v>166</v>
      </c>
    </row>
    <row r="423" spans="9:22" x14ac:dyDescent="0.45">
      <c r="I423" t="s">
        <v>183</v>
      </c>
      <c r="J423" t="s">
        <v>260</v>
      </c>
      <c r="K423">
        <v>0</v>
      </c>
      <c r="L423" t="s">
        <v>166</v>
      </c>
      <c r="N423" t="s">
        <v>196</v>
      </c>
      <c r="O423" t="s">
        <v>260</v>
      </c>
      <c r="P423">
        <v>3.971823808299719E-3</v>
      </c>
      <c r="Q423" t="s">
        <v>166</v>
      </c>
      <c r="S423" t="s">
        <v>210</v>
      </c>
      <c r="T423" t="s">
        <v>260</v>
      </c>
      <c r="U423">
        <v>4.3518034657372409E-3</v>
      </c>
      <c r="V423" t="s">
        <v>166</v>
      </c>
    </row>
    <row r="424" spans="9:22" x14ac:dyDescent="0.45">
      <c r="I424" t="s">
        <v>183</v>
      </c>
      <c r="J424" t="s">
        <v>261</v>
      </c>
      <c r="K424">
        <v>0</v>
      </c>
      <c r="L424" t="s">
        <v>166</v>
      </c>
      <c r="N424" t="s">
        <v>196</v>
      </c>
      <c r="O424" t="s">
        <v>261</v>
      </c>
      <c r="P424">
        <v>4.1633939844333947E-3</v>
      </c>
      <c r="Q424" t="s">
        <v>166</v>
      </c>
      <c r="S424" t="s">
        <v>210</v>
      </c>
      <c r="T424" t="s">
        <v>261</v>
      </c>
      <c r="U424">
        <v>4.4237641599999926E-3</v>
      </c>
      <c r="V424" t="s">
        <v>166</v>
      </c>
    </row>
    <row r="425" spans="9:22" x14ac:dyDescent="0.45">
      <c r="I425" t="s">
        <v>183</v>
      </c>
      <c r="J425" t="s">
        <v>262</v>
      </c>
      <c r="K425">
        <v>0</v>
      </c>
      <c r="L425" t="s">
        <v>166</v>
      </c>
      <c r="N425" t="s">
        <v>196</v>
      </c>
      <c r="O425" t="s">
        <v>262</v>
      </c>
      <c r="P425">
        <v>6.0515183146505773E-2</v>
      </c>
      <c r="Q425" t="s">
        <v>166</v>
      </c>
      <c r="S425" t="s">
        <v>210</v>
      </c>
      <c r="T425" t="s">
        <v>262</v>
      </c>
      <c r="U425">
        <v>5.2543704969766312E-2</v>
      </c>
      <c r="V425" t="s">
        <v>166</v>
      </c>
    </row>
    <row r="426" spans="9:22" x14ac:dyDescent="0.45">
      <c r="I426" t="s">
        <v>183</v>
      </c>
      <c r="J426" t="s">
        <v>263</v>
      </c>
      <c r="K426">
        <v>0</v>
      </c>
      <c r="L426" t="s">
        <v>166</v>
      </c>
      <c r="N426" t="s">
        <v>196</v>
      </c>
      <c r="O426" t="s">
        <v>263</v>
      </c>
      <c r="P426">
        <v>1.2214385330815784E-2</v>
      </c>
      <c r="Q426" t="s">
        <v>166</v>
      </c>
      <c r="S426" t="s">
        <v>210</v>
      </c>
      <c r="T426" t="s">
        <v>263</v>
      </c>
      <c r="U426">
        <v>1.0513422799050584E-2</v>
      </c>
      <c r="V426" t="s">
        <v>166</v>
      </c>
    </row>
    <row r="427" spans="9:22" x14ac:dyDescent="0.45">
      <c r="I427" t="s">
        <v>183</v>
      </c>
      <c r="J427" t="s">
        <v>264</v>
      </c>
      <c r="K427">
        <v>2.8414553482668838E-2</v>
      </c>
      <c r="L427" t="s">
        <v>166</v>
      </c>
      <c r="N427" t="s">
        <v>196</v>
      </c>
      <c r="O427" t="s">
        <v>264</v>
      </c>
      <c r="P427">
        <v>0.18624332227660872</v>
      </c>
      <c r="Q427" t="s">
        <v>166</v>
      </c>
      <c r="S427" t="s">
        <v>210</v>
      </c>
      <c r="T427" t="s">
        <v>264</v>
      </c>
      <c r="U427">
        <v>0.15917490655514588</v>
      </c>
      <c r="V427" t="s">
        <v>166</v>
      </c>
    </row>
    <row r="428" spans="9:22" x14ac:dyDescent="0.45">
      <c r="I428" t="s">
        <v>183</v>
      </c>
      <c r="J428" t="s">
        <v>265</v>
      </c>
      <c r="K428">
        <v>0</v>
      </c>
      <c r="L428" t="s">
        <v>166</v>
      </c>
      <c r="N428" t="s">
        <v>196</v>
      </c>
      <c r="O428" t="s">
        <v>265</v>
      </c>
      <c r="P428">
        <v>1.1986192738812277E-2</v>
      </c>
      <c r="Q428" t="s">
        <v>166</v>
      </c>
      <c r="S428" t="s">
        <v>210</v>
      </c>
      <c r="T428" t="s">
        <v>265</v>
      </c>
      <c r="U428">
        <v>1.087482401522652E-2</v>
      </c>
      <c r="V428" t="s">
        <v>166</v>
      </c>
    </row>
    <row r="429" spans="9:22" x14ac:dyDescent="0.45">
      <c r="I429" t="s">
        <v>183</v>
      </c>
      <c r="J429" t="s">
        <v>266</v>
      </c>
      <c r="K429">
        <v>0</v>
      </c>
      <c r="L429" t="s">
        <v>166</v>
      </c>
      <c r="N429" t="s">
        <v>196</v>
      </c>
      <c r="O429" t="s">
        <v>266</v>
      </c>
      <c r="P429">
        <v>1.1950114169647958E-2</v>
      </c>
      <c r="Q429" t="s">
        <v>166</v>
      </c>
      <c r="S429" t="s">
        <v>210</v>
      </c>
      <c r="T429" t="s">
        <v>266</v>
      </c>
      <c r="U429">
        <v>1.079473790507973E-2</v>
      </c>
      <c r="V429" t="s">
        <v>166</v>
      </c>
    </row>
    <row r="430" spans="9:22" x14ac:dyDescent="0.45">
      <c r="I430" t="s">
        <v>183</v>
      </c>
      <c r="J430" t="s">
        <v>267</v>
      </c>
      <c r="K430">
        <v>0</v>
      </c>
      <c r="L430" t="s">
        <v>166</v>
      </c>
      <c r="N430" t="s">
        <v>196</v>
      </c>
      <c r="O430" t="s">
        <v>267</v>
      </c>
      <c r="P430">
        <v>1.2073671491539189E-2</v>
      </c>
      <c r="Q430" t="s">
        <v>166</v>
      </c>
      <c r="S430" t="s">
        <v>210</v>
      </c>
      <c r="T430" t="s">
        <v>267</v>
      </c>
      <c r="U430">
        <v>1.0773472296015753E-2</v>
      </c>
      <c r="V430" t="s">
        <v>166</v>
      </c>
    </row>
    <row r="431" spans="9:22" x14ac:dyDescent="0.45">
      <c r="I431" t="s">
        <v>184</v>
      </c>
      <c r="J431" t="s">
        <v>165</v>
      </c>
      <c r="K431">
        <v>0</v>
      </c>
      <c r="L431" t="s">
        <v>166</v>
      </c>
      <c r="N431" t="s">
        <v>197</v>
      </c>
      <c r="O431" t="s">
        <v>165</v>
      </c>
      <c r="P431">
        <v>2.8562694461319548E-2</v>
      </c>
      <c r="Q431" t="s">
        <v>166</v>
      </c>
      <c r="S431" t="s">
        <v>211</v>
      </c>
      <c r="T431" t="s">
        <v>165</v>
      </c>
      <c r="U431">
        <v>3.1926858824105328E-2</v>
      </c>
      <c r="V431" t="s">
        <v>166</v>
      </c>
    </row>
    <row r="432" spans="9:22" x14ac:dyDescent="0.45">
      <c r="I432" t="s">
        <v>184</v>
      </c>
      <c r="J432" t="s">
        <v>167</v>
      </c>
      <c r="K432">
        <v>0</v>
      </c>
      <c r="L432" t="s">
        <v>166</v>
      </c>
      <c r="N432" t="s">
        <v>197</v>
      </c>
      <c r="O432" t="s">
        <v>167</v>
      </c>
      <c r="P432">
        <v>5.7020714898038628E-3</v>
      </c>
      <c r="Q432" t="s">
        <v>166</v>
      </c>
      <c r="S432" t="s">
        <v>211</v>
      </c>
      <c r="T432" t="s">
        <v>167</v>
      </c>
      <c r="U432">
        <v>6.6372693687683278E-3</v>
      </c>
      <c r="V432" t="s">
        <v>166</v>
      </c>
    </row>
    <row r="433" spans="9:22" x14ac:dyDescent="0.45">
      <c r="I433" t="s">
        <v>184</v>
      </c>
      <c r="J433" t="s">
        <v>168</v>
      </c>
      <c r="K433">
        <v>5.6730544170616327E-2</v>
      </c>
      <c r="L433" t="s">
        <v>166</v>
      </c>
      <c r="N433" t="s">
        <v>197</v>
      </c>
      <c r="O433" t="s">
        <v>168</v>
      </c>
      <c r="P433">
        <v>8.5219102655174891E-2</v>
      </c>
      <c r="Q433" t="s">
        <v>166</v>
      </c>
      <c r="S433" t="s">
        <v>211</v>
      </c>
      <c r="T433" t="s">
        <v>168</v>
      </c>
      <c r="U433">
        <v>9.9762763851954733E-2</v>
      </c>
      <c r="V433" t="s">
        <v>166</v>
      </c>
    </row>
    <row r="434" spans="9:22" x14ac:dyDescent="0.45">
      <c r="I434" t="s">
        <v>184</v>
      </c>
      <c r="J434" t="s">
        <v>235</v>
      </c>
      <c r="K434">
        <v>0</v>
      </c>
      <c r="L434" t="s">
        <v>166</v>
      </c>
      <c r="N434" t="s">
        <v>197</v>
      </c>
      <c r="O434" t="s">
        <v>235</v>
      </c>
      <c r="P434">
        <v>5.9982848862097276E-3</v>
      </c>
      <c r="Q434" t="s">
        <v>166</v>
      </c>
      <c r="S434" t="s">
        <v>211</v>
      </c>
      <c r="T434" t="s">
        <v>235</v>
      </c>
      <c r="U434">
        <v>6.4668056918478125E-3</v>
      </c>
      <c r="V434" t="s">
        <v>166</v>
      </c>
    </row>
    <row r="435" spans="9:22" x14ac:dyDescent="0.45">
      <c r="I435" t="s">
        <v>184</v>
      </c>
      <c r="J435" t="s">
        <v>236</v>
      </c>
      <c r="K435">
        <v>0</v>
      </c>
      <c r="L435" t="s">
        <v>166</v>
      </c>
      <c r="N435" t="s">
        <v>197</v>
      </c>
      <c r="O435" t="s">
        <v>236</v>
      </c>
      <c r="P435">
        <v>6.0162849155161492E-3</v>
      </c>
      <c r="Q435" t="s">
        <v>166</v>
      </c>
      <c r="S435" t="s">
        <v>211</v>
      </c>
      <c r="T435" t="s">
        <v>236</v>
      </c>
      <c r="U435">
        <v>6.3138949709919947E-3</v>
      </c>
      <c r="V435" t="s">
        <v>166</v>
      </c>
    </row>
    <row r="436" spans="9:22" x14ac:dyDescent="0.45">
      <c r="I436" t="s">
        <v>184</v>
      </c>
      <c r="J436" t="s">
        <v>237</v>
      </c>
      <c r="K436">
        <v>0</v>
      </c>
      <c r="L436" t="s">
        <v>166</v>
      </c>
      <c r="N436" t="s">
        <v>197</v>
      </c>
      <c r="O436" t="s">
        <v>237</v>
      </c>
      <c r="P436">
        <v>5.9532346261000216E-3</v>
      </c>
      <c r="Q436" t="s">
        <v>166</v>
      </c>
      <c r="S436" t="s">
        <v>211</v>
      </c>
      <c r="T436" t="s">
        <v>237</v>
      </c>
      <c r="U436">
        <v>6.2602376586422363E-3</v>
      </c>
      <c r="V436" t="s">
        <v>166</v>
      </c>
    </row>
    <row r="437" spans="9:22" x14ac:dyDescent="0.45">
      <c r="I437" t="s">
        <v>184</v>
      </c>
      <c r="J437" t="s">
        <v>169</v>
      </c>
      <c r="K437">
        <v>0</v>
      </c>
      <c r="L437" t="s">
        <v>166</v>
      </c>
      <c r="N437" t="s">
        <v>197</v>
      </c>
      <c r="O437" t="s">
        <v>169</v>
      </c>
      <c r="P437">
        <v>1.6730203722730579E-2</v>
      </c>
      <c r="Q437" t="s">
        <v>166</v>
      </c>
      <c r="S437" t="s">
        <v>211</v>
      </c>
      <c r="T437" t="s">
        <v>169</v>
      </c>
      <c r="U437">
        <v>1.5380450470084754E-2</v>
      </c>
      <c r="V437" t="s">
        <v>166</v>
      </c>
    </row>
    <row r="438" spans="9:22" x14ac:dyDescent="0.45">
      <c r="I438" t="s">
        <v>184</v>
      </c>
      <c r="J438" t="s">
        <v>170</v>
      </c>
      <c r="K438">
        <v>0</v>
      </c>
      <c r="L438" t="s">
        <v>166</v>
      </c>
      <c r="N438" t="s">
        <v>197</v>
      </c>
      <c r="O438" t="s">
        <v>170</v>
      </c>
      <c r="P438">
        <v>3.5855961581039882E-3</v>
      </c>
      <c r="Q438" t="s">
        <v>166</v>
      </c>
      <c r="S438" t="s">
        <v>211</v>
      </c>
      <c r="T438" t="s">
        <v>170</v>
      </c>
      <c r="U438">
        <v>3.233407703701383E-3</v>
      </c>
      <c r="V438" t="s">
        <v>166</v>
      </c>
    </row>
    <row r="439" spans="9:22" x14ac:dyDescent="0.45">
      <c r="I439" t="s">
        <v>184</v>
      </c>
      <c r="J439" t="s">
        <v>171</v>
      </c>
      <c r="K439">
        <v>9.5173201450255332E-2</v>
      </c>
      <c r="L439" t="s">
        <v>166</v>
      </c>
      <c r="N439" t="s">
        <v>197</v>
      </c>
      <c r="O439" t="s">
        <v>171</v>
      </c>
      <c r="P439">
        <v>5.2418842393066822E-2</v>
      </c>
      <c r="Q439" t="s">
        <v>166</v>
      </c>
      <c r="S439" t="s">
        <v>211</v>
      </c>
      <c r="T439" t="s">
        <v>171</v>
      </c>
      <c r="U439">
        <v>5.2846913649339848E-2</v>
      </c>
      <c r="V439" t="s">
        <v>166</v>
      </c>
    </row>
    <row r="440" spans="9:22" x14ac:dyDescent="0.45">
      <c r="I440" t="s">
        <v>184</v>
      </c>
      <c r="J440" t="s">
        <v>238</v>
      </c>
      <c r="K440">
        <v>0</v>
      </c>
      <c r="L440" t="s">
        <v>166</v>
      </c>
      <c r="N440" t="s">
        <v>197</v>
      </c>
      <c r="O440" t="s">
        <v>238</v>
      </c>
      <c r="P440">
        <v>3.5116119378559873E-3</v>
      </c>
      <c r="Q440" t="s">
        <v>166</v>
      </c>
      <c r="S440" t="s">
        <v>211</v>
      </c>
      <c r="T440" t="s">
        <v>238</v>
      </c>
      <c r="U440">
        <v>3.4216274150060994E-3</v>
      </c>
      <c r="V440" t="s">
        <v>166</v>
      </c>
    </row>
    <row r="441" spans="9:22" x14ac:dyDescent="0.45">
      <c r="I441" t="s">
        <v>184</v>
      </c>
      <c r="J441" t="s">
        <v>239</v>
      </c>
      <c r="K441">
        <v>0</v>
      </c>
      <c r="L441" t="s">
        <v>166</v>
      </c>
      <c r="N441" t="s">
        <v>197</v>
      </c>
      <c r="O441" t="s">
        <v>239</v>
      </c>
      <c r="P441">
        <v>3.2750390688431616E-3</v>
      </c>
      <c r="Q441" t="s">
        <v>166</v>
      </c>
      <c r="S441" t="s">
        <v>211</v>
      </c>
      <c r="T441" t="s">
        <v>239</v>
      </c>
      <c r="U441">
        <v>3.2167518183946497E-3</v>
      </c>
      <c r="V441" t="s">
        <v>166</v>
      </c>
    </row>
    <row r="442" spans="9:22" x14ac:dyDescent="0.45">
      <c r="I442" t="s">
        <v>184</v>
      </c>
      <c r="J442" t="s">
        <v>240</v>
      </c>
      <c r="K442">
        <v>0</v>
      </c>
      <c r="L442" t="s">
        <v>166</v>
      </c>
      <c r="N442" t="s">
        <v>197</v>
      </c>
      <c r="O442" t="s">
        <v>240</v>
      </c>
      <c r="P442">
        <v>3.1412021168310553E-3</v>
      </c>
      <c r="Q442" t="s">
        <v>166</v>
      </c>
      <c r="S442" t="s">
        <v>211</v>
      </c>
      <c r="T442" t="s">
        <v>240</v>
      </c>
      <c r="U442">
        <v>3.0787600459402163E-3</v>
      </c>
      <c r="V442" t="s">
        <v>166</v>
      </c>
    </row>
    <row r="443" spans="9:22" x14ac:dyDescent="0.45">
      <c r="I443" t="s">
        <v>184</v>
      </c>
      <c r="J443" t="s">
        <v>172</v>
      </c>
      <c r="K443">
        <v>0</v>
      </c>
      <c r="L443" t="s">
        <v>166</v>
      </c>
      <c r="N443" t="s">
        <v>197</v>
      </c>
      <c r="O443" t="s">
        <v>172</v>
      </c>
      <c r="P443">
        <v>1.8932496006776402E-2</v>
      </c>
      <c r="Q443" t="s">
        <v>166</v>
      </c>
      <c r="S443" t="s">
        <v>211</v>
      </c>
      <c r="T443" t="s">
        <v>172</v>
      </c>
      <c r="U443">
        <v>1.9003015832056672E-2</v>
      </c>
      <c r="V443" t="s">
        <v>166</v>
      </c>
    </row>
    <row r="444" spans="9:22" x14ac:dyDescent="0.45">
      <c r="I444" t="s">
        <v>184</v>
      </c>
      <c r="J444" t="s">
        <v>173</v>
      </c>
      <c r="K444">
        <v>0</v>
      </c>
      <c r="L444" t="s">
        <v>166</v>
      </c>
      <c r="N444" t="s">
        <v>197</v>
      </c>
      <c r="O444" t="s">
        <v>173</v>
      </c>
      <c r="P444">
        <v>3.6924546804121055E-3</v>
      </c>
      <c r="Q444" t="s">
        <v>166</v>
      </c>
      <c r="S444" t="s">
        <v>211</v>
      </c>
      <c r="T444" t="s">
        <v>173</v>
      </c>
      <c r="U444">
        <v>3.8972443647469785E-3</v>
      </c>
      <c r="V444" t="s">
        <v>166</v>
      </c>
    </row>
    <row r="445" spans="9:22" x14ac:dyDescent="0.45">
      <c r="I445" t="s">
        <v>184</v>
      </c>
      <c r="J445" t="s">
        <v>174</v>
      </c>
      <c r="K445">
        <v>0.13180882766463001</v>
      </c>
      <c r="L445" t="s">
        <v>166</v>
      </c>
      <c r="N445" t="s">
        <v>197</v>
      </c>
      <c r="O445" t="s">
        <v>174</v>
      </c>
      <c r="P445">
        <v>5.5502628882177295E-2</v>
      </c>
      <c r="Q445" t="s">
        <v>166</v>
      </c>
      <c r="S445" t="s">
        <v>211</v>
      </c>
      <c r="T445" t="s">
        <v>174</v>
      </c>
      <c r="U445">
        <v>5.7921715360181203E-2</v>
      </c>
      <c r="V445" t="s">
        <v>166</v>
      </c>
    </row>
    <row r="446" spans="9:22" x14ac:dyDescent="0.45">
      <c r="I446" t="s">
        <v>184</v>
      </c>
      <c r="J446" t="s">
        <v>241</v>
      </c>
      <c r="K446">
        <v>0</v>
      </c>
      <c r="L446" t="s">
        <v>166</v>
      </c>
      <c r="N446" t="s">
        <v>197</v>
      </c>
      <c r="O446" t="s">
        <v>241</v>
      </c>
      <c r="P446">
        <v>4.2677116153230481E-3</v>
      </c>
      <c r="Q446" t="s">
        <v>166</v>
      </c>
      <c r="S446" t="s">
        <v>211</v>
      </c>
      <c r="T446" t="s">
        <v>241</v>
      </c>
      <c r="U446">
        <v>4.205774010999544E-3</v>
      </c>
      <c r="V446" t="s">
        <v>166</v>
      </c>
    </row>
    <row r="447" spans="9:22" x14ac:dyDescent="0.45">
      <c r="I447" t="s">
        <v>184</v>
      </c>
      <c r="J447" t="s">
        <v>242</v>
      </c>
      <c r="K447">
        <v>0</v>
      </c>
      <c r="L447" t="s">
        <v>166</v>
      </c>
      <c r="N447" t="s">
        <v>197</v>
      </c>
      <c r="O447" t="s">
        <v>242</v>
      </c>
      <c r="P447">
        <v>4.1967745574879294E-3</v>
      </c>
      <c r="Q447" t="s">
        <v>166</v>
      </c>
      <c r="S447" t="s">
        <v>211</v>
      </c>
      <c r="T447" t="s">
        <v>242</v>
      </c>
      <c r="U447">
        <v>4.1376084714805309E-3</v>
      </c>
      <c r="V447" t="s">
        <v>166</v>
      </c>
    </row>
    <row r="448" spans="9:22" x14ac:dyDescent="0.45">
      <c r="I448" t="s">
        <v>184</v>
      </c>
      <c r="J448" t="s">
        <v>243</v>
      </c>
      <c r="K448">
        <v>0</v>
      </c>
      <c r="L448" t="s">
        <v>166</v>
      </c>
      <c r="N448" t="s">
        <v>197</v>
      </c>
      <c r="O448" t="s">
        <v>243</v>
      </c>
      <c r="P448">
        <v>4.2758098913637174E-3</v>
      </c>
      <c r="Q448" t="s">
        <v>166</v>
      </c>
      <c r="S448" t="s">
        <v>211</v>
      </c>
      <c r="T448" t="s">
        <v>243</v>
      </c>
      <c r="U448">
        <v>4.1884178809981883E-3</v>
      </c>
      <c r="V448" t="s">
        <v>166</v>
      </c>
    </row>
    <row r="449" spans="9:22" x14ac:dyDescent="0.45">
      <c r="I449" t="s">
        <v>184</v>
      </c>
      <c r="J449" t="s">
        <v>244</v>
      </c>
      <c r="K449">
        <v>8.0895472468701915E-6</v>
      </c>
      <c r="L449" t="s">
        <v>166</v>
      </c>
      <c r="N449" t="s">
        <v>197</v>
      </c>
      <c r="O449" t="s">
        <v>244</v>
      </c>
      <c r="P449">
        <v>5.0698181832727451E-2</v>
      </c>
      <c r="Q449" t="s">
        <v>166</v>
      </c>
      <c r="S449" t="s">
        <v>211</v>
      </c>
      <c r="T449" t="s">
        <v>244</v>
      </c>
      <c r="U449">
        <v>4.9526031072510211E-2</v>
      </c>
      <c r="V449" t="s">
        <v>166</v>
      </c>
    </row>
    <row r="450" spans="9:22" x14ac:dyDescent="0.45">
      <c r="I450" t="s">
        <v>184</v>
      </c>
      <c r="J450" t="s">
        <v>245</v>
      </c>
      <c r="K450">
        <v>6.6510299130977139E-3</v>
      </c>
      <c r="L450" t="s">
        <v>166</v>
      </c>
      <c r="N450" t="s">
        <v>197</v>
      </c>
      <c r="O450" t="s">
        <v>245</v>
      </c>
      <c r="P450">
        <v>9.3850268497239538E-3</v>
      </c>
      <c r="Q450" t="s">
        <v>166</v>
      </c>
      <c r="S450" t="s">
        <v>211</v>
      </c>
      <c r="T450" t="s">
        <v>245</v>
      </c>
      <c r="U450">
        <v>9.3134332617919712E-3</v>
      </c>
      <c r="V450" t="s">
        <v>166</v>
      </c>
    </row>
    <row r="451" spans="9:22" x14ac:dyDescent="0.45">
      <c r="I451" t="s">
        <v>184</v>
      </c>
      <c r="J451" t="s">
        <v>246</v>
      </c>
      <c r="K451">
        <v>0.54848740132859586</v>
      </c>
      <c r="L451" t="s">
        <v>166</v>
      </c>
      <c r="N451" t="s">
        <v>197</v>
      </c>
      <c r="O451" t="s">
        <v>246</v>
      </c>
      <c r="P451">
        <v>0.13742670112579597</v>
      </c>
      <c r="Q451" t="s">
        <v>166</v>
      </c>
      <c r="S451" t="s">
        <v>211</v>
      </c>
      <c r="T451" t="s">
        <v>246</v>
      </c>
      <c r="U451">
        <v>0.14646941634415198</v>
      </c>
      <c r="V451" t="s">
        <v>166</v>
      </c>
    </row>
    <row r="452" spans="9:22" x14ac:dyDescent="0.45">
      <c r="I452" t="s">
        <v>184</v>
      </c>
      <c r="J452" t="s">
        <v>247</v>
      </c>
      <c r="K452">
        <v>1.6382910541954167E-3</v>
      </c>
      <c r="L452" t="s">
        <v>166</v>
      </c>
      <c r="N452" t="s">
        <v>197</v>
      </c>
      <c r="O452" t="s">
        <v>247</v>
      </c>
      <c r="P452">
        <v>1.0741102824379248E-2</v>
      </c>
      <c r="Q452" t="s">
        <v>166</v>
      </c>
      <c r="S452" t="s">
        <v>211</v>
      </c>
      <c r="T452" t="s">
        <v>247</v>
      </c>
      <c r="U452">
        <v>1.1229711155002908E-2</v>
      </c>
      <c r="V452" t="s">
        <v>166</v>
      </c>
    </row>
    <row r="453" spans="9:22" x14ac:dyDescent="0.45">
      <c r="I453" t="s">
        <v>184</v>
      </c>
      <c r="J453" t="s">
        <v>248</v>
      </c>
      <c r="K453">
        <v>0</v>
      </c>
      <c r="L453" t="s">
        <v>166</v>
      </c>
      <c r="N453" t="s">
        <v>197</v>
      </c>
      <c r="O453" t="s">
        <v>248</v>
      </c>
      <c r="P453">
        <v>1.0925825787768708E-2</v>
      </c>
      <c r="Q453" t="s">
        <v>166</v>
      </c>
      <c r="S453" t="s">
        <v>211</v>
      </c>
      <c r="T453" t="s">
        <v>248</v>
      </c>
      <c r="U453">
        <v>1.1045726028756324E-2</v>
      </c>
      <c r="V453" t="s">
        <v>166</v>
      </c>
    </row>
    <row r="454" spans="9:22" x14ac:dyDescent="0.45">
      <c r="I454" t="s">
        <v>184</v>
      </c>
      <c r="J454" t="s">
        <v>249</v>
      </c>
      <c r="K454">
        <v>0</v>
      </c>
      <c r="L454" t="s">
        <v>166</v>
      </c>
      <c r="N454" t="s">
        <v>197</v>
      </c>
      <c r="O454" t="s">
        <v>249</v>
      </c>
      <c r="P454">
        <v>1.1171477231722482E-2</v>
      </c>
      <c r="Q454" t="s">
        <v>166</v>
      </c>
      <c r="S454" t="s">
        <v>211</v>
      </c>
      <c r="T454" t="s">
        <v>249</v>
      </c>
      <c r="U454">
        <v>1.1172159264620786E-2</v>
      </c>
      <c r="V454" t="s">
        <v>166</v>
      </c>
    </row>
    <row r="455" spans="9:22" x14ac:dyDescent="0.45">
      <c r="I455" t="s">
        <v>184</v>
      </c>
      <c r="J455" t="s">
        <v>250</v>
      </c>
      <c r="K455">
        <v>0</v>
      </c>
      <c r="L455" t="s">
        <v>166</v>
      </c>
      <c r="N455" t="s">
        <v>197</v>
      </c>
      <c r="O455" t="s">
        <v>250</v>
      </c>
      <c r="P455">
        <v>1.070044520147932E-2</v>
      </c>
      <c r="Q455" t="s">
        <v>166</v>
      </c>
      <c r="S455" t="s">
        <v>211</v>
      </c>
      <c r="T455" t="s">
        <v>250</v>
      </c>
      <c r="U455">
        <v>1.2815313539347867E-2</v>
      </c>
      <c r="V455" t="s">
        <v>166</v>
      </c>
    </row>
    <row r="456" spans="9:22" x14ac:dyDescent="0.45">
      <c r="I456" t="s">
        <v>184</v>
      </c>
      <c r="J456" t="s">
        <v>251</v>
      </c>
      <c r="K456">
        <v>0</v>
      </c>
      <c r="L456" t="s">
        <v>166</v>
      </c>
      <c r="N456" t="s">
        <v>197</v>
      </c>
      <c r="O456" t="s">
        <v>251</v>
      </c>
      <c r="P456">
        <v>1.9356197328645052E-3</v>
      </c>
      <c r="Q456" t="s">
        <v>166</v>
      </c>
      <c r="S456" t="s">
        <v>211</v>
      </c>
      <c r="T456" t="s">
        <v>251</v>
      </c>
      <c r="U456">
        <v>2.3992412258332829E-3</v>
      </c>
      <c r="V456" t="s">
        <v>166</v>
      </c>
    </row>
    <row r="457" spans="9:22" x14ac:dyDescent="0.45">
      <c r="I457" t="s">
        <v>184</v>
      </c>
      <c r="J457" t="s">
        <v>252</v>
      </c>
      <c r="K457">
        <v>8.8188875861304902E-2</v>
      </c>
      <c r="L457" t="s">
        <v>166</v>
      </c>
      <c r="N457" t="s">
        <v>197</v>
      </c>
      <c r="O457" t="s">
        <v>252</v>
      </c>
      <c r="P457">
        <v>3.148367863601275E-2</v>
      </c>
      <c r="Q457" t="s">
        <v>166</v>
      </c>
      <c r="S457" t="s">
        <v>211</v>
      </c>
      <c r="T457" t="s">
        <v>252</v>
      </c>
      <c r="U457">
        <v>3.6353861836350483E-2</v>
      </c>
      <c r="V457" t="s">
        <v>166</v>
      </c>
    </row>
    <row r="458" spans="9:22" x14ac:dyDescent="0.45">
      <c r="I458" t="s">
        <v>184</v>
      </c>
      <c r="J458" t="s">
        <v>253</v>
      </c>
      <c r="K458">
        <v>0</v>
      </c>
      <c r="L458" t="s">
        <v>166</v>
      </c>
      <c r="N458" t="s">
        <v>197</v>
      </c>
      <c r="O458" t="s">
        <v>253</v>
      </c>
      <c r="P458">
        <v>2.1584360795678143E-3</v>
      </c>
      <c r="Q458" t="s">
        <v>166</v>
      </c>
      <c r="S458" t="s">
        <v>211</v>
      </c>
      <c r="T458" t="s">
        <v>253</v>
      </c>
      <c r="U458">
        <v>2.9191625181248211E-3</v>
      </c>
      <c r="V458" t="s">
        <v>166</v>
      </c>
    </row>
    <row r="459" spans="9:22" x14ac:dyDescent="0.45">
      <c r="I459" t="s">
        <v>184</v>
      </c>
      <c r="J459" t="s">
        <v>254</v>
      </c>
      <c r="K459">
        <v>0</v>
      </c>
      <c r="L459" t="s">
        <v>166</v>
      </c>
      <c r="N459" t="s">
        <v>197</v>
      </c>
      <c r="O459" t="s">
        <v>254</v>
      </c>
      <c r="P459">
        <v>2.1215376419974814E-3</v>
      </c>
      <c r="Q459" t="s">
        <v>166</v>
      </c>
      <c r="S459" t="s">
        <v>211</v>
      </c>
      <c r="T459" t="s">
        <v>254</v>
      </c>
      <c r="U459">
        <v>2.8361036869582355E-3</v>
      </c>
      <c r="V459" t="s">
        <v>166</v>
      </c>
    </row>
    <row r="460" spans="9:22" x14ac:dyDescent="0.45">
      <c r="I460" t="s">
        <v>184</v>
      </c>
      <c r="J460" t="s">
        <v>255</v>
      </c>
      <c r="K460">
        <v>0</v>
      </c>
      <c r="L460" t="s">
        <v>166</v>
      </c>
      <c r="N460" t="s">
        <v>197</v>
      </c>
      <c r="O460" t="s">
        <v>255</v>
      </c>
      <c r="P460">
        <v>2.4012822362650069E-3</v>
      </c>
      <c r="Q460" t="s">
        <v>166</v>
      </c>
      <c r="S460" t="s">
        <v>211</v>
      </c>
      <c r="T460" t="s">
        <v>255</v>
      </c>
      <c r="U460">
        <v>2.9348236122912568E-3</v>
      </c>
      <c r="V460" t="s">
        <v>166</v>
      </c>
    </row>
    <row r="461" spans="9:22" x14ac:dyDescent="0.45">
      <c r="I461" t="s">
        <v>184</v>
      </c>
      <c r="J461" t="s">
        <v>256</v>
      </c>
      <c r="K461">
        <v>0</v>
      </c>
      <c r="L461" t="s">
        <v>166</v>
      </c>
      <c r="N461" t="s">
        <v>197</v>
      </c>
      <c r="O461" t="s">
        <v>256</v>
      </c>
      <c r="P461">
        <v>2.5882595528863187E-2</v>
      </c>
      <c r="Q461" t="s">
        <v>166</v>
      </c>
      <c r="S461" t="s">
        <v>211</v>
      </c>
      <c r="T461" t="s">
        <v>256</v>
      </c>
      <c r="U461">
        <v>2.2101207211175967E-2</v>
      </c>
      <c r="V461" t="s">
        <v>166</v>
      </c>
    </row>
    <row r="462" spans="9:22" x14ac:dyDescent="0.45">
      <c r="I462" t="s">
        <v>184</v>
      </c>
      <c r="J462" t="s">
        <v>257</v>
      </c>
      <c r="K462">
        <v>0</v>
      </c>
      <c r="L462" t="s">
        <v>166</v>
      </c>
      <c r="N462" t="s">
        <v>197</v>
      </c>
      <c r="O462" t="s">
        <v>257</v>
      </c>
      <c r="P462">
        <v>5.0168188689456977E-3</v>
      </c>
      <c r="Q462" t="s">
        <v>166</v>
      </c>
      <c r="S462" t="s">
        <v>211</v>
      </c>
      <c r="T462" t="s">
        <v>257</v>
      </c>
      <c r="U462">
        <v>4.618528531663545E-3</v>
      </c>
      <c r="V462" t="s">
        <v>166</v>
      </c>
    </row>
    <row r="463" spans="9:22" x14ac:dyDescent="0.45">
      <c r="I463" t="s">
        <v>184</v>
      </c>
      <c r="J463" t="s">
        <v>258</v>
      </c>
      <c r="K463">
        <v>4.1766875269991843E-2</v>
      </c>
      <c r="L463" t="s">
        <v>166</v>
      </c>
      <c r="N463" t="s">
        <v>197</v>
      </c>
      <c r="O463" t="s">
        <v>258</v>
      </c>
      <c r="P463">
        <v>6.8429816719790176E-2</v>
      </c>
      <c r="Q463" t="s">
        <v>166</v>
      </c>
      <c r="S463" t="s">
        <v>211</v>
      </c>
      <c r="T463" t="s">
        <v>258</v>
      </c>
      <c r="U463">
        <v>6.4593589507749516E-2</v>
      </c>
      <c r="V463" t="s">
        <v>166</v>
      </c>
    </row>
    <row r="464" spans="9:22" x14ac:dyDescent="0.45">
      <c r="I464" t="s">
        <v>184</v>
      </c>
      <c r="J464" t="s">
        <v>259</v>
      </c>
      <c r="K464">
        <v>0</v>
      </c>
      <c r="L464" t="s">
        <v>166</v>
      </c>
      <c r="N464" t="s">
        <v>197</v>
      </c>
      <c r="O464" t="s">
        <v>259</v>
      </c>
      <c r="P464">
        <v>4.9993780461094952E-3</v>
      </c>
      <c r="Q464" t="s">
        <v>166</v>
      </c>
      <c r="S464" t="s">
        <v>211</v>
      </c>
      <c r="T464" t="s">
        <v>259</v>
      </c>
      <c r="U464">
        <v>4.4553989704322243E-3</v>
      </c>
      <c r="V464" t="s">
        <v>166</v>
      </c>
    </row>
    <row r="465" spans="9:22" x14ac:dyDescent="0.45">
      <c r="I465" t="s">
        <v>184</v>
      </c>
      <c r="J465" t="s">
        <v>260</v>
      </c>
      <c r="K465">
        <v>0</v>
      </c>
      <c r="L465" t="s">
        <v>166</v>
      </c>
      <c r="N465" t="s">
        <v>197</v>
      </c>
      <c r="O465" t="s">
        <v>260</v>
      </c>
      <c r="P465">
        <v>5.094295096702995E-3</v>
      </c>
      <c r="Q465" t="s">
        <v>166</v>
      </c>
      <c r="S465" t="s">
        <v>211</v>
      </c>
      <c r="T465" t="s">
        <v>260</v>
      </c>
      <c r="U465">
        <v>4.4264110955115378E-3</v>
      </c>
      <c r="V465" t="s">
        <v>166</v>
      </c>
    </row>
    <row r="466" spans="9:22" x14ac:dyDescent="0.45">
      <c r="I466" t="s">
        <v>184</v>
      </c>
      <c r="J466" t="s">
        <v>261</v>
      </c>
      <c r="K466">
        <v>0</v>
      </c>
      <c r="L466" t="s">
        <v>166</v>
      </c>
      <c r="N466" t="s">
        <v>197</v>
      </c>
      <c r="O466" t="s">
        <v>261</v>
      </c>
      <c r="P466">
        <v>5.3945349178916701E-3</v>
      </c>
      <c r="Q466" t="s">
        <v>166</v>
      </c>
      <c r="S466" t="s">
        <v>211</v>
      </c>
      <c r="T466" t="s">
        <v>261</v>
      </c>
      <c r="U466">
        <v>4.537263783365616E-3</v>
      </c>
      <c r="V466" t="s">
        <v>166</v>
      </c>
    </row>
    <row r="467" spans="9:22" x14ac:dyDescent="0.45">
      <c r="I467" t="s">
        <v>184</v>
      </c>
      <c r="J467" t="s">
        <v>262</v>
      </c>
      <c r="K467">
        <v>0</v>
      </c>
      <c r="L467" t="s">
        <v>166</v>
      </c>
      <c r="N467" t="s">
        <v>197</v>
      </c>
      <c r="O467" t="s">
        <v>262</v>
      </c>
      <c r="P467">
        <v>6.2161725064508067E-2</v>
      </c>
      <c r="Q467" t="s">
        <v>166</v>
      </c>
      <c r="S467" t="s">
        <v>211</v>
      </c>
      <c r="T467" t="s">
        <v>262</v>
      </c>
      <c r="U467">
        <v>5.4611152518808305E-2</v>
      </c>
      <c r="V467" t="s">
        <v>166</v>
      </c>
    </row>
    <row r="468" spans="9:22" x14ac:dyDescent="0.45">
      <c r="I468" t="s">
        <v>184</v>
      </c>
      <c r="J468" t="s">
        <v>263</v>
      </c>
      <c r="K468">
        <v>0</v>
      </c>
      <c r="L468" t="s">
        <v>166</v>
      </c>
      <c r="N468" t="s">
        <v>197</v>
      </c>
      <c r="O468" t="s">
        <v>263</v>
      </c>
      <c r="P468">
        <v>1.167711961642222E-2</v>
      </c>
      <c r="Q468" t="s">
        <v>166</v>
      </c>
      <c r="S468" t="s">
        <v>211</v>
      </c>
      <c r="T468" t="s">
        <v>263</v>
      </c>
      <c r="U468">
        <v>1.0998898937371724E-2</v>
      </c>
      <c r="V468" t="s">
        <v>166</v>
      </c>
    </row>
    <row r="469" spans="9:22" x14ac:dyDescent="0.45">
      <c r="I469" t="s">
        <v>184</v>
      </c>
      <c r="J469" t="s">
        <v>264</v>
      </c>
      <c r="K469">
        <v>2.9546863740067285E-2</v>
      </c>
      <c r="L469" t="s">
        <v>166</v>
      </c>
      <c r="N469" t="s">
        <v>197</v>
      </c>
      <c r="O469" t="s">
        <v>264</v>
      </c>
      <c r="P469">
        <v>0.18150352395154121</v>
      </c>
      <c r="Q469" t="s">
        <v>166</v>
      </c>
      <c r="S469" t="s">
        <v>211</v>
      </c>
      <c r="T469" t="s">
        <v>264</v>
      </c>
      <c r="U469">
        <v>0.16489132244170196</v>
      </c>
      <c r="V469" t="s">
        <v>166</v>
      </c>
    </row>
    <row r="470" spans="9:22" x14ac:dyDescent="0.45">
      <c r="I470" t="s">
        <v>184</v>
      </c>
      <c r="J470" t="s">
        <v>265</v>
      </c>
      <c r="K470">
        <v>0</v>
      </c>
      <c r="L470" t="s">
        <v>166</v>
      </c>
      <c r="N470" t="s">
        <v>197</v>
      </c>
      <c r="O470" t="s">
        <v>265</v>
      </c>
      <c r="P470">
        <v>1.2547147088177831E-2</v>
      </c>
      <c r="Q470" t="s">
        <v>166</v>
      </c>
      <c r="S470" t="s">
        <v>211</v>
      </c>
      <c r="T470" t="s">
        <v>265</v>
      </c>
      <c r="U470">
        <v>1.1417260454202754E-2</v>
      </c>
      <c r="V470" t="s">
        <v>166</v>
      </c>
    </row>
    <row r="471" spans="9:22" x14ac:dyDescent="0.45">
      <c r="I471" t="s">
        <v>184</v>
      </c>
      <c r="J471" t="s">
        <v>266</v>
      </c>
      <c r="K471">
        <v>0</v>
      </c>
      <c r="L471" t="s">
        <v>166</v>
      </c>
      <c r="N471" t="s">
        <v>197</v>
      </c>
      <c r="O471" t="s">
        <v>266</v>
      </c>
      <c r="P471">
        <v>1.2559276210569223E-2</v>
      </c>
      <c r="Q471" t="s">
        <v>166</v>
      </c>
      <c r="S471" t="s">
        <v>211</v>
      </c>
      <c r="T471" t="s">
        <v>266</v>
      </c>
      <c r="U471">
        <v>1.134043932069732E-2</v>
      </c>
      <c r="V471" t="s">
        <v>166</v>
      </c>
    </row>
    <row r="472" spans="9:22" x14ac:dyDescent="0.45">
      <c r="I472" t="s">
        <v>184</v>
      </c>
      <c r="J472" t="s">
        <v>267</v>
      </c>
      <c r="K472">
        <v>0</v>
      </c>
      <c r="L472" t="s">
        <v>166</v>
      </c>
      <c r="N472" t="s">
        <v>197</v>
      </c>
      <c r="O472" t="s">
        <v>267</v>
      </c>
      <c r="P472">
        <v>1.2602409645074343E-2</v>
      </c>
      <c r="Q472" t="s">
        <v>166</v>
      </c>
      <c r="S472" t="s">
        <v>211</v>
      </c>
      <c r="T472" t="s">
        <v>267</v>
      </c>
      <c r="U472">
        <v>1.1094026292336133E-2</v>
      </c>
      <c r="V472" t="s">
        <v>166</v>
      </c>
    </row>
    <row r="473" spans="9:22" x14ac:dyDescent="0.45">
      <c r="I473" t="s">
        <v>185</v>
      </c>
      <c r="J473" t="s">
        <v>165</v>
      </c>
      <c r="K473">
        <v>0</v>
      </c>
      <c r="L473" t="s">
        <v>166</v>
      </c>
      <c r="N473" t="s">
        <v>198</v>
      </c>
      <c r="O473" t="s">
        <v>165</v>
      </c>
      <c r="P473">
        <v>3.2605964936592395E-2</v>
      </c>
      <c r="Q473" t="s">
        <v>166</v>
      </c>
      <c r="S473" t="s">
        <v>212</v>
      </c>
      <c r="T473" t="s">
        <v>165</v>
      </c>
      <c r="U473">
        <v>3.3112762940044671E-2</v>
      </c>
      <c r="V473" t="s">
        <v>166</v>
      </c>
    </row>
    <row r="474" spans="9:22" x14ac:dyDescent="0.45">
      <c r="I474" t="s">
        <v>185</v>
      </c>
      <c r="J474" t="s">
        <v>167</v>
      </c>
      <c r="K474">
        <v>0</v>
      </c>
      <c r="L474" t="s">
        <v>166</v>
      </c>
      <c r="N474" t="s">
        <v>198</v>
      </c>
      <c r="O474" t="s">
        <v>167</v>
      </c>
      <c r="P474">
        <v>6.5757685491168718E-3</v>
      </c>
      <c r="Q474" t="s">
        <v>166</v>
      </c>
      <c r="S474" t="s">
        <v>212</v>
      </c>
      <c r="T474" t="s">
        <v>167</v>
      </c>
      <c r="U474">
        <v>6.8015903498853557E-3</v>
      </c>
      <c r="V474" t="s">
        <v>166</v>
      </c>
    </row>
    <row r="475" spans="9:22" x14ac:dyDescent="0.45">
      <c r="I475" t="s">
        <v>185</v>
      </c>
      <c r="J475" t="s">
        <v>168</v>
      </c>
      <c r="K475">
        <v>5.8598601232258414E-2</v>
      </c>
      <c r="L475" t="s">
        <v>166</v>
      </c>
      <c r="N475" t="s">
        <v>198</v>
      </c>
      <c r="O475" t="s">
        <v>168</v>
      </c>
      <c r="P475">
        <v>9.4015221228492166E-2</v>
      </c>
      <c r="Q475" t="s">
        <v>166</v>
      </c>
      <c r="S475" t="s">
        <v>212</v>
      </c>
      <c r="T475" t="s">
        <v>168</v>
      </c>
      <c r="U475">
        <v>0.10289575722912266</v>
      </c>
      <c r="V475" t="s">
        <v>166</v>
      </c>
    </row>
    <row r="476" spans="9:22" x14ac:dyDescent="0.45">
      <c r="I476" t="s">
        <v>185</v>
      </c>
      <c r="J476" t="s">
        <v>235</v>
      </c>
      <c r="K476">
        <v>0</v>
      </c>
      <c r="L476" t="s">
        <v>166</v>
      </c>
      <c r="N476" t="s">
        <v>198</v>
      </c>
      <c r="O476" t="s">
        <v>235</v>
      </c>
      <c r="P476">
        <v>6.6512845104429747E-3</v>
      </c>
      <c r="Q476" t="s">
        <v>166</v>
      </c>
      <c r="S476" t="s">
        <v>212</v>
      </c>
      <c r="T476" t="s">
        <v>235</v>
      </c>
      <c r="U476">
        <v>6.9028685059649725E-3</v>
      </c>
      <c r="V476" t="s">
        <v>166</v>
      </c>
    </row>
    <row r="477" spans="9:22" x14ac:dyDescent="0.45">
      <c r="I477" t="s">
        <v>185</v>
      </c>
      <c r="J477" t="s">
        <v>236</v>
      </c>
      <c r="K477">
        <v>0</v>
      </c>
      <c r="L477" t="s">
        <v>166</v>
      </c>
      <c r="N477" t="s">
        <v>198</v>
      </c>
      <c r="O477" t="s">
        <v>236</v>
      </c>
      <c r="P477">
        <v>6.5879543889178788E-3</v>
      </c>
      <c r="Q477" t="s">
        <v>166</v>
      </c>
      <c r="S477" t="s">
        <v>212</v>
      </c>
      <c r="T477" t="s">
        <v>236</v>
      </c>
      <c r="U477">
        <v>6.7391773471306444E-3</v>
      </c>
      <c r="V477" t="s">
        <v>166</v>
      </c>
    </row>
    <row r="478" spans="9:22" x14ac:dyDescent="0.45">
      <c r="I478" t="s">
        <v>185</v>
      </c>
      <c r="J478" t="s">
        <v>237</v>
      </c>
      <c r="K478">
        <v>0</v>
      </c>
      <c r="L478" t="s">
        <v>166</v>
      </c>
      <c r="N478" t="s">
        <v>198</v>
      </c>
      <c r="O478" t="s">
        <v>237</v>
      </c>
      <c r="P478">
        <v>6.5658256194263496E-3</v>
      </c>
      <c r="Q478" t="s">
        <v>166</v>
      </c>
      <c r="S478" t="s">
        <v>212</v>
      </c>
      <c r="T478" t="s">
        <v>237</v>
      </c>
      <c r="U478">
        <v>6.6440136587833836E-3</v>
      </c>
      <c r="V478" t="s">
        <v>166</v>
      </c>
    </row>
    <row r="479" spans="9:22" x14ac:dyDescent="0.45">
      <c r="I479" t="s">
        <v>185</v>
      </c>
      <c r="J479" t="s">
        <v>169</v>
      </c>
      <c r="K479">
        <v>0</v>
      </c>
      <c r="L479" t="s">
        <v>166</v>
      </c>
      <c r="N479" t="s">
        <v>198</v>
      </c>
      <c r="O479" t="s">
        <v>169</v>
      </c>
      <c r="P479">
        <v>1.7821504027979142E-2</v>
      </c>
      <c r="Q479" t="s">
        <v>166</v>
      </c>
      <c r="S479" t="s">
        <v>212</v>
      </c>
      <c r="T479" t="s">
        <v>169</v>
      </c>
      <c r="U479">
        <v>2.0541834595689021E-2</v>
      </c>
      <c r="V479" t="s">
        <v>166</v>
      </c>
    </row>
    <row r="480" spans="9:22" x14ac:dyDescent="0.45">
      <c r="I480" t="s">
        <v>185</v>
      </c>
      <c r="J480" t="s">
        <v>170</v>
      </c>
      <c r="K480">
        <v>0</v>
      </c>
      <c r="L480" t="s">
        <v>166</v>
      </c>
      <c r="N480" t="s">
        <v>198</v>
      </c>
      <c r="O480" t="s">
        <v>170</v>
      </c>
      <c r="P480">
        <v>3.7883155261905417E-3</v>
      </c>
      <c r="Q480" t="s">
        <v>166</v>
      </c>
      <c r="S480" t="s">
        <v>212</v>
      </c>
      <c r="T480" t="s">
        <v>170</v>
      </c>
      <c r="U480">
        <v>3.8852823897952771E-3</v>
      </c>
      <c r="V480" t="s">
        <v>166</v>
      </c>
    </row>
    <row r="481" spans="9:22" x14ac:dyDescent="0.45">
      <c r="I481" t="s">
        <v>185</v>
      </c>
      <c r="J481" t="s">
        <v>171</v>
      </c>
      <c r="K481">
        <v>0.10454417123089593</v>
      </c>
      <c r="L481" t="s">
        <v>166</v>
      </c>
      <c r="N481" t="s">
        <v>198</v>
      </c>
      <c r="O481" t="s">
        <v>171</v>
      </c>
      <c r="P481">
        <v>5.5214887234680259E-2</v>
      </c>
      <c r="Q481" t="s">
        <v>166</v>
      </c>
      <c r="S481" t="s">
        <v>212</v>
      </c>
      <c r="T481" t="s">
        <v>171</v>
      </c>
      <c r="U481">
        <v>6.3265523468756718E-2</v>
      </c>
      <c r="V481" t="s">
        <v>166</v>
      </c>
    </row>
    <row r="482" spans="9:22" x14ac:dyDescent="0.45">
      <c r="I482" t="s">
        <v>185</v>
      </c>
      <c r="J482" t="s">
        <v>238</v>
      </c>
      <c r="K482">
        <v>0</v>
      </c>
      <c r="L482" t="s">
        <v>166</v>
      </c>
      <c r="N482" t="s">
        <v>198</v>
      </c>
      <c r="O482" t="s">
        <v>238</v>
      </c>
      <c r="P482">
        <v>3.6430368827380525E-3</v>
      </c>
      <c r="Q482" t="s">
        <v>166</v>
      </c>
      <c r="S482" t="s">
        <v>212</v>
      </c>
      <c r="T482" t="s">
        <v>238</v>
      </c>
      <c r="U482">
        <v>4.6115684678192156E-3</v>
      </c>
      <c r="V482" t="s">
        <v>166</v>
      </c>
    </row>
    <row r="483" spans="9:22" x14ac:dyDescent="0.45">
      <c r="I483" t="s">
        <v>185</v>
      </c>
      <c r="J483" t="s">
        <v>239</v>
      </c>
      <c r="K483">
        <v>0</v>
      </c>
      <c r="L483" t="s">
        <v>166</v>
      </c>
      <c r="N483" t="s">
        <v>198</v>
      </c>
      <c r="O483" t="s">
        <v>239</v>
      </c>
      <c r="P483">
        <v>3.474050013915893E-3</v>
      </c>
      <c r="Q483" t="s">
        <v>166</v>
      </c>
      <c r="S483" t="s">
        <v>212</v>
      </c>
      <c r="T483" t="s">
        <v>239</v>
      </c>
      <c r="U483">
        <v>4.4879331222021429E-3</v>
      </c>
      <c r="V483" t="s">
        <v>166</v>
      </c>
    </row>
    <row r="484" spans="9:22" x14ac:dyDescent="0.45">
      <c r="I484" t="s">
        <v>185</v>
      </c>
      <c r="J484" t="s">
        <v>240</v>
      </c>
      <c r="K484">
        <v>0</v>
      </c>
      <c r="L484" t="s">
        <v>166</v>
      </c>
      <c r="N484" t="s">
        <v>198</v>
      </c>
      <c r="O484" t="s">
        <v>240</v>
      </c>
      <c r="P484">
        <v>3.3798502574802127E-3</v>
      </c>
      <c r="Q484" t="s">
        <v>166</v>
      </c>
      <c r="S484" t="s">
        <v>212</v>
      </c>
      <c r="T484" t="s">
        <v>240</v>
      </c>
      <c r="U484">
        <v>4.4049199599951088E-3</v>
      </c>
      <c r="V484" t="s">
        <v>166</v>
      </c>
    </row>
    <row r="485" spans="9:22" x14ac:dyDescent="0.45">
      <c r="I485" t="s">
        <v>185</v>
      </c>
      <c r="J485" t="s">
        <v>172</v>
      </c>
      <c r="K485">
        <v>0</v>
      </c>
      <c r="L485" t="s">
        <v>166</v>
      </c>
      <c r="N485" t="s">
        <v>198</v>
      </c>
      <c r="O485" t="s">
        <v>172</v>
      </c>
      <c r="P485">
        <v>1.9517262739857277E-2</v>
      </c>
      <c r="Q485" t="s">
        <v>166</v>
      </c>
      <c r="S485" t="s">
        <v>212</v>
      </c>
      <c r="T485" t="s">
        <v>172</v>
      </c>
      <c r="U485">
        <v>2.0535174676448185E-2</v>
      </c>
      <c r="V485" t="s">
        <v>166</v>
      </c>
    </row>
    <row r="486" spans="9:22" x14ac:dyDescent="0.45">
      <c r="I486" t="s">
        <v>185</v>
      </c>
      <c r="J486" t="s">
        <v>173</v>
      </c>
      <c r="K486">
        <v>1.0921885855243698E-6</v>
      </c>
      <c r="L486" t="s">
        <v>166</v>
      </c>
      <c r="N486" t="s">
        <v>198</v>
      </c>
      <c r="O486" t="s">
        <v>173</v>
      </c>
      <c r="P486">
        <v>3.860374839468707E-3</v>
      </c>
      <c r="Q486" t="s">
        <v>166</v>
      </c>
      <c r="S486" t="s">
        <v>212</v>
      </c>
      <c r="T486" t="s">
        <v>173</v>
      </c>
      <c r="U486">
        <v>3.8495760096627814E-3</v>
      </c>
      <c r="V486" t="s">
        <v>166</v>
      </c>
    </row>
    <row r="487" spans="9:22" x14ac:dyDescent="0.45">
      <c r="I487" t="s">
        <v>185</v>
      </c>
      <c r="J487" t="s">
        <v>174</v>
      </c>
      <c r="K487">
        <v>0.13414223734977734</v>
      </c>
      <c r="L487" t="s">
        <v>166</v>
      </c>
      <c r="N487" t="s">
        <v>198</v>
      </c>
      <c r="O487" t="s">
        <v>174</v>
      </c>
      <c r="P487">
        <v>5.6520362606571367E-2</v>
      </c>
      <c r="Q487" t="s">
        <v>166</v>
      </c>
      <c r="S487" t="s">
        <v>212</v>
      </c>
      <c r="T487" t="s">
        <v>174</v>
      </c>
      <c r="U487">
        <v>5.5085836964784647E-2</v>
      </c>
      <c r="V487" t="s">
        <v>166</v>
      </c>
    </row>
    <row r="488" spans="9:22" x14ac:dyDescent="0.45">
      <c r="I488" t="s">
        <v>185</v>
      </c>
      <c r="J488" t="s">
        <v>241</v>
      </c>
      <c r="K488">
        <v>0</v>
      </c>
      <c r="L488" t="s">
        <v>166</v>
      </c>
      <c r="N488" t="s">
        <v>198</v>
      </c>
      <c r="O488" t="s">
        <v>241</v>
      </c>
      <c r="P488">
        <v>4.1056715392437044E-3</v>
      </c>
      <c r="Q488" t="s">
        <v>166</v>
      </c>
      <c r="S488" t="s">
        <v>212</v>
      </c>
      <c r="T488" t="s">
        <v>241</v>
      </c>
      <c r="U488">
        <v>4.1390309490615144E-3</v>
      </c>
      <c r="V488" t="s">
        <v>166</v>
      </c>
    </row>
    <row r="489" spans="9:22" x14ac:dyDescent="0.45">
      <c r="I489" t="s">
        <v>185</v>
      </c>
      <c r="J489" t="s">
        <v>242</v>
      </c>
      <c r="K489">
        <v>0</v>
      </c>
      <c r="L489" t="s">
        <v>166</v>
      </c>
      <c r="N489" t="s">
        <v>198</v>
      </c>
      <c r="O489" t="s">
        <v>242</v>
      </c>
      <c r="P489">
        <v>4.082024579947106E-3</v>
      </c>
      <c r="Q489" t="s">
        <v>166</v>
      </c>
      <c r="S489" t="s">
        <v>212</v>
      </c>
      <c r="T489" t="s">
        <v>242</v>
      </c>
      <c r="U489">
        <v>4.1694527552472499E-3</v>
      </c>
      <c r="V489" t="s">
        <v>166</v>
      </c>
    </row>
    <row r="490" spans="9:22" x14ac:dyDescent="0.45">
      <c r="I490" t="s">
        <v>185</v>
      </c>
      <c r="J490" t="s">
        <v>243</v>
      </c>
      <c r="K490">
        <v>0</v>
      </c>
      <c r="L490" t="s">
        <v>166</v>
      </c>
      <c r="N490" t="s">
        <v>198</v>
      </c>
      <c r="O490" t="s">
        <v>243</v>
      </c>
      <c r="P490">
        <v>4.264998224790627E-3</v>
      </c>
      <c r="Q490" t="s">
        <v>166</v>
      </c>
      <c r="S490" t="s">
        <v>212</v>
      </c>
      <c r="T490" t="s">
        <v>243</v>
      </c>
      <c r="U490">
        <v>4.3264799636921741E-3</v>
      </c>
      <c r="V490" t="s">
        <v>166</v>
      </c>
    </row>
    <row r="491" spans="9:22" x14ac:dyDescent="0.45">
      <c r="I491" t="s">
        <v>185</v>
      </c>
      <c r="J491" t="s">
        <v>244</v>
      </c>
      <c r="K491">
        <v>3.0852646598264428E-4</v>
      </c>
      <c r="L491" t="s">
        <v>166</v>
      </c>
      <c r="N491" t="s">
        <v>198</v>
      </c>
      <c r="O491" t="s">
        <v>244</v>
      </c>
      <c r="P491">
        <v>4.8714992381841786E-2</v>
      </c>
      <c r="Q491" t="s">
        <v>166</v>
      </c>
      <c r="S491" t="s">
        <v>212</v>
      </c>
      <c r="T491" t="s">
        <v>244</v>
      </c>
      <c r="U491">
        <v>5.461305313689882E-2</v>
      </c>
      <c r="V491" t="s">
        <v>166</v>
      </c>
    </row>
    <row r="492" spans="9:22" x14ac:dyDescent="0.45">
      <c r="I492" t="s">
        <v>185</v>
      </c>
      <c r="J492" t="s">
        <v>245</v>
      </c>
      <c r="K492">
        <v>8.2359961586032857E-3</v>
      </c>
      <c r="L492" t="s">
        <v>166</v>
      </c>
      <c r="N492" t="s">
        <v>198</v>
      </c>
      <c r="O492" t="s">
        <v>245</v>
      </c>
      <c r="P492">
        <v>9.0391543583255053E-3</v>
      </c>
      <c r="Q492" t="s">
        <v>166</v>
      </c>
      <c r="S492" t="s">
        <v>212</v>
      </c>
      <c r="T492" t="s">
        <v>245</v>
      </c>
      <c r="U492">
        <v>1.0361170139545076E-2</v>
      </c>
      <c r="V492" t="s">
        <v>166</v>
      </c>
    </row>
    <row r="493" spans="9:22" x14ac:dyDescent="0.45">
      <c r="I493" t="s">
        <v>185</v>
      </c>
      <c r="J493" t="s">
        <v>246</v>
      </c>
      <c r="K493">
        <v>0.54252606772824119</v>
      </c>
      <c r="L493" t="s">
        <v>166</v>
      </c>
      <c r="N493" t="s">
        <v>198</v>
      </c>
      <c r="O493" t="s">
        <v>246</v>
      </c>
      <c r="P493">
        <v>0.13276852116286883</v>
      </c>
      <c r="Q493" t="s">
        <v>166</v>
      </c>
      <c r="S493" t="s">
        <v>212</v>
      </c>
      <c r="T493" t="s">
        <v>246</v>
      </c>
      <c r="U493">
        <v>0.15758193300022094</v>
      </c>
      <c r="V493" t="s">
        <v>166</v>
      </c>
    </row>
    <row r="494" spans="9:22" x14ac:dyDescent="0.45">
      <c r="I494" t="s">
        <v>185</v>
      </c>
      <c r="J494" t="s">
        <v>247</v>
      </c>
      <c r="K494">
        <v>2.0009077727398262E-3</v>
      </c>
      <c r="L494" t="s">
        <v>166</v>
      </c>
      <c r="N494" t="s">
        <v>198</v>
      </c>
      <c r="O494" t="s">
        <v>247</v>
      </c>
      <c r="P494">
        <v>1.0081512231743859E-2</v>
      </c>
      <c r="Q494" t="s">
        <v>166</v>
      </c>
      <c r="S494" t="s">
        <v>212</v>
      </c>
      <c r="T494" t="s">
        <v>247</v>
      </c>
      <c r="U494">
        <v>1.1568603499034068E-2</v>
      </c>
      <c r="V494" t="s">
        <v>166</v>
      </c>
    </row>
    <row r="495" spans="9:22" x14ac:dyDescent="0.45">
      <c r="I495" t="s">
        <v>185</v>
      </c>
      <c r="J495" t="s">
        <v>248</v>
      </c>
      <c r="K495">
        <v>0</v>
      </c>
      <c r="L495" t="s">
        <v>166</v>
      </c>
      <c r="N495" t="s">
        <v>198</v>
      </c>
      <c r="O495" t="s">
        <v>248</v>
      </c>
      <c r="P495">
        <v>1.0157975670052137E-2</v>
      </c>
      <c r="Q495" t="s">
        <v>166</v>
      </c>
      <c r="S495" t="s">
        <v>212</v>
      </c>
      <c r="T495" t="s">
        <v>248</v>
      </c>
      <c r="U495">
        <v>1.1575670409318586E-2</v>
      </c>
      <c r="V495" t="s">
        <v>166</v>
      </c>
    </row>
    <row r="496" spans="9:22" x14ac:dyDescent="0.45">
      <c r="I496" t="s">
        <v>185</v>
      </c>
      <c r="J496" t="s">
        <v>249</v>
      </c>
      <c r="K496">
        <v>0</v>
      </c>
      <c r="L496" t="s">
        <v>166</v>
      </c>
      <c r="N496" t="s">
        <v>198</v>
      </c>
      <c r="O496" t="s">
        <v>249</v>
      </c>
      <c r="P496">
        <v>1.041033162776848E-2</v>
      </c>
      <c r="Q496" t="s">
        <v>166</v>
      </c>
      <c r="S496" t="s">
        <v>212</v>
      </c>
      <c r="T496" t="s">
        <v>249</v>
      </c>
      <c r="U496">
        <v>1.1808781147531842E-2</v>
      </c>
      <c r="V496" t="s">
        <v>166</v>
      </c>
    </row>
    <row r="497" spans="9:22" x14ac:dyDescent="0.45">
      <c r="I497" t="s">
        <v>185</v>
      </c>
      <c r="J497" t="s">
        <v>250</v>
      </c>
      <c r="K497">
        <v>0</v>
      </c>
      <c r="L497" t="s">
        <v>166</v>
      </c>
      <c r="N497" t="s">
        <v>198</v>
      </c>
      <c r="O497" t="s">
        <v>250</v>
      </c>
      <c r="P497">
        <v>1.1322953157672505E-2</v>
      </c>
      <c r="Q497" t="s">
        <v>166</v>
      </c>
      <c r="S497" t="s">
        <v>212</v>
      </c>
      <c r="T497" t="s">
        <v>250</v>
      </c>
      <c r="U497">
        <v>1.2096539726869701E-2</v>
      </c>
      <c r="V497" t="s">
        <v>166</v>
      </c>
    </row>
    <row r="498" spans="9:22" x14ac:dyDescent="0.45">
      <c r="I498" t="s">
        <v>185</v>
      </c>
      <c r="J498" t="s">
        <v>251</v>
      </c>
      <c r="K498">
        <v>0</v>
      </c>
      <c r="L498" t="s">
        <v>166</v>
      </c>
      <c r="N498" t="s">
        <v>198</v>
      </c>
      <c r="O498" t="s">
        <v>251</v>
      </c>
      <c r="P498">
        <v>2.1420266340866048E-3</v>
      </c>
      <c r="Q498" t="s">
        <v>166</v>
      </c>
      <c r="S498" t="s">
        <v>212</v>
      </c>
      <c r="T498" t="s">
        <v>251</v>
      </c>
      <c r="U498">
        <v>2.0957702048993504E-3</v>
      </c>
      <c r="V498" t="s">
        <v>166</v>
      </c>
    </row>
    <row r="499" spans="9:22" x14ac:dyDescent="0.45">
      <c r="I499" t="s">
        <v>185</v>
      </c>
      <c r="J499" t="s">
        <v>252</v>
      </c>
      <c r="K499">
        <v>8.6826946513634262E-2</v>
      </c>
      <c r="L499" t="s">
        <v>166</v>
      </c>
      <c r="N499" t="s">
        <v>198</v>
      </c>
      <c r="O499" t="s">
        <v>252</v>
      </c>
      <c r="P499">
        <v>3.3432290444321992E-2</v>
      </c>
      <c r="Q499" t="s">
        <v>166</v>
      </c>
      <c r="S499" t="s">
        <v>212</v>
      </c>
      <c r="T499" t="s">
        <v>252</v>
      </c>
      <c r="U499">
        <v>3.4963830373144843E-2</v>
      </c>
      <c r="V499" t="s">
        <v>166</v>
      </c>
    </row>
    <row r="500" spans="9:22" x14ac:dyDescent="0.45">
      <c r="I500" t="s">
        <v>185</v>
      </c>
      <c r="J500" t="s">
        <v>253</v>
      </c>
      <c r="K500">
        <v>0</v>
      </c>
      <c r="L500" t="s">
        <v>166</v>
      </c>
      <c r="N500" t="s">
        <v>198</v>
      </c>
      <c r="O500" t="s">
        <v>253</v>
      </c>
      <c r="P500">
        <v>2.3611185506709925E-3</v>
      </c>
      <c r="Q500" t="s">
        <v>166</v>
      </c>
      <c r="S500" t="s">
        <v>212</v>
      </c>
      <c r="T500" t="s">
        <v>253</v>
      </c>
      <c r="U500">
        <v>2.6293799332623778E-3</v>
      </c>
      <c r="V500" t="s">
        <v>166</v>
      </c>
    </row>
    <row r="501" spans="9:22" x14ac:dyDescent="0.45">
      <c r="I501" t="s">
        <v>185</v>
      </c>
      <c r="J501" t="s">
        <v>254</v>
      </c>
      <c r="K501">
        <v>0</v>
      </c>
      <c r="L501" t="s">
        <v>166</v>
      </c>
      <c r="N501" t="s">
        <v>198</v>
      </c>
      <c r="O501" t="s">
        <v>254</v>
      </c>
      <c r="P501">
        <v>2.2439552638082107E-3</v>
      </c>
      <c r="Q501" t="s">
        <v>166</v>
      </c>
      <c r="S501" t="s">
        <v>212</v>
      </c>
      <c r="T501" t="s">
        <v>254</v>
      </c>
      <c r="U501">
        <v>2.5473758449118897E-3</v>
      </c>
      <c r="V501" t="s">
        <v>166</v>
      </c>
    </row>
    <row r="502" spans="9:22" x14ac:dyDescent="0.45">
      <c r="I502" t="s">
        <v>185</v>
      </c>
      <c r="J502" t="s">
        <v>255</v>
      </c>
      <c r="K502">
        <v>0</v>
      </c>
      <c r="L502" t="s">
        <v>166</v>
      </c>
      <c r="N502" t="s">
        <v>198</v>
      </c>
      <c r="O502" t="s">
        <v>255</v>
      </c>
      <c r="P502">
        <v>2.5009557491487101E-3</v>
      </c>
      <c r="Q502" t="s">
        <v>166</v>
      </c>
      <c r="S502" t="s">
        <v>212</v>
      </c>
      <c r="T502" t="s">
        <v>255</v>
      </c>
      <c r="U502">
        <v>2.6339628989975588E-3</v>
      </c>
      <c r="V502" t="s">
        <v>166</v>
      </c>
    </row>
    <row r="503" spans="9:22" x14ac:dyDescent="0.45">
      <c r="I503" t="s">
        <v>185</v>
      </c>
      <c r="J503" t="s">
        <v>256</v>
      </c>
      <c r="K503">
        <v>0</v>
      </c>
      <c r="L503" t="s">
        <v>166</v>
      </c>
      <c r="N503" t="s">
        <v>198</v>
      </c>
      <c r="O503" t="s">
        <v>256</v>
      </c>
      <c r="P503">
        <v>2.4696089175124281E-2</v>
      </c>
      <c r="Q503" t="s">
        <v>166</v>
      </c>
      <c r="S503" t="s">
        <v>212</v>
      </c>
      <c r="T503" t="s">
        <v>256</v>
      </c>
      <c r="U503">
        <v>2.1294984806723979E-2</v>
      </c>
      <c r="V503" t="s">
        <v>166</v>
      </c>
    </row>
    <row r="504" spans="9:22" x14ac:dyDescent="0.45">
      <c r="I504" t="s">
        <v>185</v>
      </c>
      <c r="J504" t="s">
        <v>257</v>
      </c>
      <c r="K504">
        <v>0</v>
      </c>
      <c r="L504" t="s">
        <v>166</v>
      </c>
      <c r="N504" t="s">
        <v>198</v>
      </c>
      <c r="O504" t="s">
        <v>257</v>
      </c>
      <c r="P504">
        <v>4.7623359382647336E-3</v>
      </c>
      <c r="Q504" t="s">
        <v>166</v>
      </c>
      <c r="S504" t="s">
        <v>212</v>
      </c>
      <c r="T504" t="s">
        <v>257</v>
      </c>
      <c r="U504">
        <v>4.3468753027046184E-3</v>
      </c>
      <c r="V504" t="s">
        <v>166</v>
      </c>
    </row>
    <row r="505" spans="9:22" x14ac:dyDescent="0.45">
      <c r="I505" t="s">
        <v>185</v>
      </c>
      <c r="J505" t="s">
        <v>258</v>
      </c>
      <c r="K505">
        <v>3.5450077144128379E-2</v>
      </c>
      <c r="L505" t="s">
        <v>166</v>
      </c>
      <c r="N505" t="s">
        <v>198</v>
      </c>
      <c r="O505" t="s">
        <v>258</v>
      </c>
      <c r="P505">
        <v>6.4431694506539641E-2</v>
      </c>
      <c r="Q505" t="s">
        <v>166</v>
      </c>
      <c r="S505" t="s">
        <v>212</v>
      </c>
      <c r="T505" t="s">
        <v>258</v>
      </c>
      <c r="U505">
        <v>6.48120320421611E-2</v>
      </c>
      <c r="V505" t="s">
        <v>166</v>
      </c>
    </row>
    <row r="506" spans="9:22" x14ac:dyDescent="0.45">
      <c r="I506" t="s">
        <v>185</v>
      </c>
      <c r="J506" t="s">
        <v>259</v>
      </c>
      <c r="K506">
        <v>0</v>
      </c>
      <c r="L506" t="s">
        <v>166</v>
      </c>
      <c r="N506" t="s">
        <v>198</v>
      </c>
      <c r="O506" t="s">
        <v>259</v>
      </c>
      <c r="P506">
        <v>4.9517162370900604E-3</v>
      </c>
      <c r="Q506" t="s">
        <v>166</v>
      </c>
      <c r="S506" t="s">
        <v>212</v>
      </c>
      <c r="T506" t="s">
        <v>259</v>
      </c>
      <c r="U506">
        <v>4.2927719557469242E-3</v>
      </c>
      <c r="V506" t="s">
        <v>166</v>
      </c>
    </row>
    <row r="507" spans="9:22" x14ac:dyDescent="0.45">
      <c r="I507" t="s">
        <v>185</v>
      </c>
      <c r="J507" t="s">
        <v>260</v>
      </c>
      <c r="K507">
        <v>0</v>
      </c>
      <c r="L507" t="s">
        <v>166</v>
      </c>
      <c r="N507" t="s">
        <v>198</v>
      </c>
      <c r="O507" t="s">
        <v>260</v>
      </c>
      <c r="P507">
        <v>4.9539522700485219E-3</v>
      </c>
      <c r="Q507" t="s">
        <v>166</v>
      </c>
      <c r="S507" t="s">
        <v>212</v>
      </c>
      <c r="T507" t="s">
        <v>260</v>
      </c>
      <c r="U507">
        <v>4.3686650178168234E-3</v>
      </c>
      <c r="V507" t="s">
        <v>166</v>
      </c>
    </row>
    <row r="508" spans="9:22" x14ac:dyDescent="0.45">
      <c r="I508" t="s">
        <v>185</v>
      </c>
      <c r="J508" t="s">
        <v>261</v>
      </c>
      <c r="K508">
        <v>0</v>
      </c>
      <c r="L508" t="s">
        <v>166</v>
      </c>
      <c r="N508" t="s">
        <v>198</v>
      </c>
      <c r="O508" t="s">
        <v>261</v>
      </c>
      <c r="P508">
        <v>5.1985874685070328E-3</v>
      </c>
      <c r="Q508" t="s">
        <v>166</v>
      </c>
      <c r="S508" t="s">
        <v>212</v>
      </c>
      <c r="T508" t="s">
        <v>261</v>
      </c>
      <c r="U508">
        <v>4.4999351729812249E-3</v>
      </c>
      <c r="V508" t="s">
        <v>166</v>
      </c>
    </row>
    <row r="509" spans="9:22" x14ac:dyDescent="0.45">
      <c r="I509" t="s">
        <v>185</v>
      </c>
      <c r="J509" t="s">
        <v>262</v>
      </c>
      <c r="K509">
        <v>0</v>
      </c>
      <c r="L509" t="s">
        <v>166</v>
      </c>
      <c r="N509" t="s">
        <v>198</v>
      </c>
      <c r="O509" t="s">
        <v>262</v>
      </c>
      <c r="P509">
        <v>6.0939557463777452E-2</v>
      </c>
      <c r="Q509" t="s">
        <v>166</v>
      </c>
      <c r="S509" t="s">
        <v>212</v>
      </c>
      <c r="T509" t="s">
        <v>262</v>
      </c>
      <c r="U509">
        <v>4.6304171509012913E-2</v>
      </c>
      <c r="V509" t="s">
        <v>166</v>
      </c>
    </row>
    <row r="510" spans="9:22" x14ac:dyDescent="0.45">
      <c r="I510" t="s">
        <v>185</v>
      </c>
      <c r="J510" t="s">
        <v>263</v>
      </c>
      <c r="K510">
        <v>0</v>
      </c>
      <c r="L510" t="s">
        <v>166</v>
      </c>
      <c r="N510" t="s">
        <v>198</v>
      </c>
      <c r="O510" t="s">
        <v>263</v>
      </c>
      <c r="P510">
        <v>1.1606211445529006E-2</v>
      </c>
      <c r="Q510" t="s">
        <v>166</v>
      </c>
      <c r="S510" t="s">
        <v>212</v>
      </c>
      <c r="T510" t="s">
        <v>263</v>
      </c>
      <c r="U510">
        <v>9.2329843659327403E-3</v>
      </c>
      <c r="V510" t="s">
        <v>166</v>
      </c>
    </row>
    <row r="511" spans="9:22" x14ac:dyDescent="0.45">
      <c r="I511" t="s">
        <v>185</v>
      </c>
      <c r="J511" t="s">
        <v>264</v>
      </c>
      <c r="K511">
        <v>2.7365376215150648E-2</v>
      </c>
      <c r="L511" t="s">
        <v>166</v>
      </c>
      <c r="N511" t="s">
        <v>198</v>
      </c>
      <c r="O511" t="s">
        <v>264</v>
      </c>
      <c r="P511">
        <v>0.17429930759507306</v>
      </c>
      <c r="Q511" t="s">
        <v>166</v>
      </c>
      <c r="S511" t="s">
        <v>212</v>
      </c>
      <c r="T511" t="s">
        <v>264</v>
      </c>
      <c r="U511">
        <v>0.14182773256218117</v>
      </c>
      <c r="V511" t="s">
        <v>166</v>
      </c>
    </row>
    <row r="512" spans="9:22" x14ac:dyDescent="0.45">
      <c r="I512" t="s">
        <v>185</v>
      </c>
      <c r="J512" t="s">
        <v>265</v>
      </c>
      <c r="K512">
        <v>0</v>
      </c>
      <c r="L512" t="s">
        <v>166</v>
      </c>
      <c r="N512" t="s">
        <v>198</v>
      </c>
      <c r="O512" t="s">
        <v>265</v>
      </c>
      <c r="P512">
        <v>1.224673516794988E-2</v>
      </c>
      <c r="Q512" t="s">
        <v>166</v>
      </c>
      <c r="S512" t="s">
        <v>212</v>
      </c>
      <c r="T512" t="s">
        <v>265</v>
      </c>
      <c r="U512">
        <v>9.485450144564261E-3</v>
      </c>
      <c r="V512" t="s">
        <v>166</v>
      </c>
    </row>
    <row r="513" spans="9:22" x14ac:dyDescent="0.45">
      <c r="I513" t="s">
        <v>185</v>
      </c>
      <c r="J513" t="s">
        <v>266</v>
      </c>
      <c r="K513">
        <v>0</v>
      </c>
      <c r="L513" t="s">
        <v>166</v>
      </c>
      <c r="N513" t="s">
        <v>198</v>
      </c>
      <c r="O513" t="s">
        <v>266</v>
      </c>
      <c r="P513">
        <v>1.2097658908898398E-2</v>
      </c>
      <c r="Q513" t="s">
        <v>166</v>
      </c>
      <c r="S513" t="s">
        <v>212</v>
      </c>
      <c r="T513" t="s">
        <v>266</v>
      </c>
      <c r="U513">
        <v>9.3724997218961915E-3</v>
      </c>
      <c r="V513" t="s">
        <v>166</v>
      </c>
    </row>
    <row r="514" spans="9:22" x14ac:dyDescent="0.45">
      <c r="I514" t="s">
        <v>185</v>
      </c>
      <c r="J514" t="s">
        <v>267</v>
      </c>
      <c r="K514">
        <v>0</v>
      </c>
      <c r="L514" t="s">
        <v>166</v>
      </c>
      <c r="N514" t="s">
        <v>198</v>
      </c>
      <c r="O514" t="s">
        <v>267</v>
      </c>
      <c r="P514">
        <v>1.196600888503428E-2</v>
      </c>
      <c r="Q514" t="s">
        <v>166</v>
      </c>
      <c r="S514" t="s">
        <v>212</v>
      </c>
      <c r="T514" t="s">
        <v>267</v>
      </c>
      <c r="U514">
        <v>9.2870437295600964E-3</v>
      </c>
      <c r="V514" t="s">
        <v>166</v>
      </c>
    </row>
    <row r="515" spans="9:22" x14ac:dyDescent="0.45">
      <c r="I515" t="s">
        <v>186</v>
      </c>
      <c r="J515" t="s">
        <v>165</v>
      </c>
      <c r="K515">
        <v>0</v>
      </c>
      <c r="L515" t="s">
        <v>166</v>
      </c>
      <c r="N515" t="s">
        <v>199</v>
      </c>
      <c r="O515" t="s">
        <v>165</v>
      </c>
      <c r="P515">
        <v>2.836959660024015E-2</v>
      </c>
      <c r="Q515" t="s">
        <v>166</v>
      </c>
      <c r="S515" t="s">
        <v>213</v>
      </c>
      <c r="T515" t="s">
        <v>165</v>
      </c>
      <c r="U515">
        <v>3.1869146475815222E-2</v>
      </c>
      <c r="V515" t="s">
        <v>166</v>
      </c>
    </row>
    <row r="516" spans="9:22" x14ac:dyDescent="0.45">
      <c r="I516" t="s">
        <v>186</v>
      </c>
      <c r="J516" t="s">
        <v>167</v>
      </c>
      <c r="K516">
        <v>0</v>
      </c>
      <c r="L516" t="s">
        <v>166</v>
      </c>
      <c r="N516" t="s">
        <v>199</v>
      </c>
      <c r="O516" t="s">
        <v>167</v>
      </c>
      <c r="P516">
        <v>5.7295708156901272E-3</v>
      </c>
      <c r="Q516" t="s">
        <v>166</v>
      </c>
      <c r="S516" t="s">
        <v>213</v>
      </c>
      <c r="T516" t="s">
        <v>167</v>
      </c>
      <c r="U516">
        <v>6.6318883286862656E-3</v>
      </c>
      <c r="V516" t="s">
        <v>166</v>
      </c>
    </row>
    <row r="517" spans="9:22" x14ac:dyDescent="0.45">
      <c r="I517" t="s">
        <v>186</v>
      </c>
      <c r="J517" t="s">
        <v>168</v>
      </c>
      <c r="K517">
        <v>5.0598516576972064E-2</v>
      </c>
      <c r="L517" t="s">
        <v>166</v>
      </c>
      <c r="N517" t="s">
        <v>199</v>
      </c>
      <c r="O517" t="s">
        <v>168</v>
      </c>
      <c r="P517">
        <v>8.5949371949122569E-2</v>
      </c>
      <c r="Q517" t="s">
        <v>166</v>
      </c>
      <c r="S517" t="s">
        <v>213</v>
      </c>
      <c r="T517" t="s">
        <v>168</v>
      </c>
      <c r="U517">
        <v>9.7875370146638496E-2</v>
      </c>
      <c r="V517" t="s">
        <v>166</v>
      </c>
    </row>
    <row r="518" spans="9:22" x14ac:dyDescent="0.45">
      <c r="I518" t="s">
        <v>186</v>
      </c>
      <c r="J518" t="s">
        <v>235</v>
      </c>
      <c r="K518">
        <v>0</v>
      </c>
      <c r="L518" t="s">
        <v>166</v>
      </c>
      <c r="N518" t="s">
        <v>199</v>
      </c>
      <c r="O518" t="s">
        <v>235</v>
      </c>
      <c r="P518">
        <v>6.0177882897609562E-3</v>
      </c>
      <c r="Q518" t="s">
        <v>166</v>
      </c>
      <c r="S518" t="s">
        <v>213</v>
      </c>
      <c r="T518" t="s">
        <v>235</v>
      </c>
      <c r="U518">
        <v>6.170012310904035E-3</v>
      </c>
      <c r="V518" t="s">
        <v>166</v>
      </c>
    </row>
    <row r="519" spans="9:22" x14ac:dyDescent="0.45">
      <c r="I519" t="s">
        <v>186</v>
      </c>
      <c r="J519" t="s">
        <v>236</v>
      </c>
      <c r="K519">
        <v>0</v>
      </c>
      <c r="L519" t="s">
        <v>166</v>
      </c>
      <c r="N519" t="s">
        <v>199</v>
      </c>
      <c r="O519" t="s">
        <v>236</v>
      </c>
      <c r="P519">
        <v>6.0311403049552242E-3</v>
      </c>
      <c r="Q519" t="s">
        <v>166</v>
      </c>
      <c r="S519" t="s">
        <v>213</v>
      </c>
      <c r="T519" t="s">
        <v>236</v>
      </c>
      <c r="U519">
        <v>6.1822198428370589E-3</v>
      </c>
      <c r="V519" t="s">
        <v>166</v>
      </c>
    </row>
    <row r="520" spans="9:22" x14ac:dyDescent="0.45">
      <c r="I520" t="s">
        <v>186</v>
      </c>
      <c r="J520" t="s">
        <v>237</v>
      </c>
      <c r="K520">
        <v>0</v>
      </c>
      <c r="L520" t="s">
        <v>166</v>
      </c>
      <c r="N520" t="s">
        <v>199</v>
      </c>
      <c r="O520" t="s">
        <v>237</v>
      </c>
      <c r="P520">
        <v>5.712051716721343E-3</v>
      </c>
      <c r="Q520" t="s">
        <v>166</v>
      </c>
      <c r="S520" t="s">
        <v>213</v>
      </c>
      <c r="T520" t="s">
        <v>237</v>
      </c>
      <c r="U520">
        <v>6.152529376234229E-3</v>
      </c>
      <c r="V520" t="s">
        <v>166</v>
      </c>
    </row>
    <row r="521" spans="9:22" x14ac:dyDescent="0.45">
      <c r="I521" t="s">
        <v>186</v>
      </c>
      <c r="J521" t="s">
        <v>169</v>
      </c>
      <c r="K521">
        <v>0</v>
      </c>
      <c r="L521" t="s">
        <v>166</v>
      </c>
      <c r="N521" t="s">
        <v>199</v>
      </c>
      <c r="O521" t="s">
        <v>169</v>
      </c>
      <c r="P521">
        <v>1.6077402220468249E-2</v>
      </c>
      <c r="Q521" t="s">
        <v>166</v>
      </c>
      <c r="S521" t="s">
        <v>213</v>
      </c>
      <c r="T521" t="s">
        <v>169</v>
      </c>
      <c r="U521">
        <v>1.4756681471134472E-2</v>
      </c>
      <c r="V521" t="s">
        <v>166</v>
      </c>
    </row>
    <row r="522" spans="9:22" x14ac:dyDescent="0.45">
      <c r="I522" t="s">
        <v>186</v>
      </c>
      <c r="J522" t="s">
        <v>170</v>
      </c>
      <c r="K522">
        <v>0</v>
      </c>
      <c r="L522" t="s">
        <v>166</v>
      </c>
      <c r="N522" t="s">
        <v>199</v>
      </c>
      <c r="O522" t="s">
        <v>170</v>
      </c>
      <c r="P522">
        <v>3.4502341964043151E-3</v>
      </c>
      <c r="Q522" t="s">
        <v>166</v>
      </c>
      <c r="S522" t="s">
        <v>213</v>
      </c>
      <c r="T522" t="s">
        <v>170</v>
      </c>
      <c r="U522">
        <v>2.7868720403072616E-3</v>
      </c>
      <c r="V522" t="s">
        <v>166</v>
      </c>
    </row>
    <row r="523" spans="9:22" x14ac:dyDescent="0.45">
      <c r="I523" t="s">
        <v>186</v>
      </c>
      <c r="J523" t="s">
        <v>171</v>
      </c>
      <c r="K523">
        <v>0.10877957307474811</v>
      </c>
      <c r="L523" t="s">
        <v>166</v>
      </c>
      <c r="N523" t="s">
        <v>199</v>
      </c>
      <c r="O523" t="s">
        <v>171</v>
      </c>
      <c r="P523">
        <v>5.4250789336172889E-2</v>
      </c>
      <c r="Q523" t="s">
        <v>166</v>
      </c>
      <c r="S523" t="s">
        <v>213</v>
      </c>
      <c r="T523" t="s">
        <v>171</v>
      </c>
      <c r="U523">
        <v>5.1739339461133238E-2</v>
      </c>
      <c r="V523" t="s">
        <v>166</v>
      </c>
    </row>
    <row r="524" spans="9:22" x14ac:dyDescent="0.45">
      <c r="I524" t="s">
        <v>186</v>
      </c>
      <c r="J524" t="s">
        <v>238</v>
      </c>
      <c r="K524">
        <v>0</v>
      </c>
      <c r="L524" t="s">
        <v>166</v>
      </c>
      <c r="N524" t="s">
        <v>199</v>
      </c>
      <c r="O524" t="s">
        <v>238</v>
      </c>
      <c r="P524">
        <v>3.6162925622495556E-3</v>
      </c>
      <c r="Q524" t="s">
        <v>166</v>
      </c>
      <c r="S524" t="s">
        <v>213</v>
      </c>
      <c r="T524" t="s">
        <v>238</v>
      </c>
      <c r="U524">
        <v>3.5272652266345518E-3</v>
      </c>
      <c r="V524" t="s">
        <v>166</v>
      </c>
    </row>
    <row r="525" spans="9:22" x14ac:dyDescent="0.45">
      <c r="I525" t="s">
        <v>186</v>
      </c>
      <c r="J525" t="s">
        <v>239</v>
      </c>
      <c r="K525">
        <v>0</v>
      </c>
      <c r="L525" t="s">
        <v>166</v>
      </c>
      <c r="N525" t="s">
        <v>199</v>
      </c>
      <c r="O525" t="s">
        <v>239</v>
      </c>
      <c r="P525">
        <v>3.3675574215566249E-3</v>
      </c>
      <c r="Q525" t="s">
        <v>166</v>
      </c>
      <c r="S525" t="s">
        <v>213</v>
      </c>
      <c r="T525" t="s">
        <v>239</v>
      </c>
      <c r="U525">
        <v>3.3124693275364773E-3</v>
      </c>
      <c r="V525" t="s">
        <v>166</v>
      </c>
    </row>
    <row r="526" spans="9:22" x14ac:dyDescent="0.45">
      <c r="I526" t="s">
        <v>186</v>
      </c>
      <c r="J526" t="s">
        <v>240</v>
      </c>
      <c r="K526">
        <v>0</v>
      </c>
      <c r="L526" t="s">
        <v>166</v>
      </c>
      <c r="N526" t="s">
        <v>199</v>
      </c>
      <c r="O526" t="s">
        <v>240</v>
      </c>
      <c r="P526">
        <v>3.1987517484334429E-3</v>
      </c>
      <c r="Q526" t="s">
        <v>166</v>
      </c>
      <c r="S526" t="s">
        <v>213</v>
      </c>
      <c r="T526" t="s">
        <v>240</v>
      </c>
      <c r="U526">
        <v>3.1905208038612398E-3</v>
      </c>
      <c r="V526" t="s">
        <v>166</v>
      </c>
    </row>
    <row r="527" spans="9:22" x14ac:dyDescent="0.45">
      <c r="I527" t="s">
        <v>186</v>
      </c>
      <c r="J527" t="s">
        <v>172</v>
      </c>
      <c r="K527">
        <v>0</v>
      </c>
      <c r="L527" t="s">
        <v>166</v>
      </c>
      <c r="N527" t="s">
        <v>199</v>
      </c>
      <c r="O527" t="s">
        <v>172</v>
      </c>
      <c r="P527">
        <v>1.8030988334735164E-2</v>
      </c>
      <c r="Q527" t="s">
        <v>166</v>
      </c>
      <c r="S527" t="s">
        <v>213</v>
      </c>
      <c r="T527" t="s">
        <v>172</v>
      </c>
      <c r="U527">
        <v>1.9407579928639423E-2</v>
      </c>
      <c r="V527" t="s">
        <v>166</v>
      </c>
    </row>
    <row r="528" spans="9:22" x14ac:dyDescent="0.45">
      <c r="I528" t="s">
        <v>186</v>
      </c>
      <c r="J528" t="s">
        <v>173</v>
      </c>
      <c r="K528">
        <v>3.5194149431957241E-5</v>
      </c>
      <c r="L528" t="s">
        <v>166</v>
      </c>
      <c r="N528" t="s">
        <v>199</v>
      </c>
      <c r="O528" t="s">
        <v>173</v>
      </c>
      <c r="P528">
        <v>3.601291882570975E-3</v>
      </c>
      <c r="Q528" t="s">
        <v>166</v>
      </c>
      <c r="S528" t="s">
        <v>213</v>
      </c>
      <c r="T528" t="s">
        <v>173</v>
      </c>
      <c r="U528">
        <v>4.106998805956278E-3</v>
      </c>
      <c r="V528" t="s">
        <v>166</v>
      </c>
    </row>
    <row r="529" spans="9:22" x14ac:dyDescent="0.45">
      <c r="I529" t="s">
        <v>186</v>
      </c>
      <c r="J529" t="s">
        <v>174</v>
      </c>
      <c r="K529">
        <v>0.13587230400555095</v>
      </c>
      <c r="L529" t="s">
        <v>166</v>
      </c>
      <c r="N529" t="s">
        <v>199</v>
      </c>
      <c r="O529" t="s">
        <v>174</v>
      </c>
      <c r="P529">
        <v>5.3321121431845468E-2</v>
      </c>
      <c r="Q529" t="s">
        <v>166</v>
      </c>
      <c r="S529" t="s">
        <v>213</v>
      </c>
      <c r="T529" t="s">
        <v>174</v>
      </c>
      <c r="U529">
        <v>5.9543376123733671E-2</v>
      </c>
      <c r="V529" t="s">
        <v>166</v>
      </c>
    </row>
    <row r="530" spans="9:22" x14ac:dyDescent="0.45">
      <c r="I530" t="s">
        <v>186</v>
      </c>
      <c r="J530" t="s">
        <v>241</v>
      </c>
      <c r="K530">
        <v>0</v>
      </c>
      <c r="L530" t="s">
        <v>166</v>
      </c>
      <c r="N530" t="s">
        <v>199</v>
      </c>
      <c r="O530" t="s">
        <v>241</v>
      </c>
      <c r="P530">
        <v>3.9951783624434297E-3</v>
      </c>
      <c r="Q530" t="s">
        <v>166</v>
      </c>
      <c r="S530" t="s">
        <v>213</v>
      </c>
      <c r="T530" t="s">
        <v>241</v>
      </c>
      <c r="U530">
        <v>4.1396658631639039E-3</v>
      </c>
      <c r="V530" t="s">
        <v>166</v>
      </c>
    </row>
    <row r="531" spans="9:22" x14ac:dyDescent="0.45">
      <c r="I531" t="s">
        <v>186</v>
      </c>
      <c r="J531" t="s">
        <v>242</v>
      </c>
      <c r="K531">
        <v>0</v>
      </c>
      <c r="L531" t="s">
        <v>166</v>
      </c>
      <c r="N531" t="s">
        <v>199</v>
      </c>
      <c r="O531" t="s">
        <v>242</v>
      </c>
      <c r="P531">
        <v>4.0215165746280458E-3</v>
      </c>
      <c r="Q531" t="s">
        <v>166</v>
      </c>
      <c r="S531" t="s">
        <v>213</v>
      </c>
      <c r="T531" t="s">
        <v>242</v>
      </c>
      <c r="U531">
        <v>4.1711726555375356E-3</v>
      </c>
      <c r="V531" t="s">
        <v>166</v>
      </c>
    </row>
    <row r="532" spans="9:22" x14ac:dyDescent="0.45">
      <c r="I532" t="s">
        <v>186</v>
      </c>
      <c r="J532" t="s">
        <v>243</v>
      </c>
      <c r="K532">
        <v>0</v>
      </c>
      <c r="L532" t="s">
        <v>166</v>
      </c>
      <c r="N532" t="s">
        <v>199</v>
      </c>
      <c r="O532" t="s">
        <v>243</v>
      </c>
      <c r="P532">
        <v>3.9670835287546821E-3</v>
      </c>
      <c r="Q532" t="s">
        <v>166</v>
      </c>
      <c r="S532" t="s">
        <v>213</v>
      </c>
      <c r="T532" t="s">
        <v>243</v>
      </c>
      <c r="U532">
        <v>4.1641903423807998E-3</v>
      </c>
      <c r="V532" t="s">
        <v>166</v>
      </c>
    </row>
    <row r="533" spans="9:22" x14ac:dyDescent="0.45">
      <c r="I533" t="s">
        <v>186</v>
      </c>
      <c r="J533" t="s">
        <v>244</v>
      </c>
      <c r="K533">
        <v>1.2611547309847326E-3</v>
      </c>
      <c r="L533" t="s">
        <v>166</v>
      </c>
      <c r="N533" t="s">
        <v>199</v>
      </c>
      <c r="O533" t="s">
        <v>244</v>
      </c>
      <c r="P533">
        <v>5.5092748821609694E-2</v>
      </c>
      <c r="Q533" t="s">
        <v>166</v>
      </c>
      <c r="S533" t="s">
        <v>213</v>
      </c>
      <c r="T533" t="s">
        <v>244</v>
      </c>
      <c r="U533">
        <v>5.4114392189635485E-2</v>
      </c>
      <c r="V533" t="s">
        <v>166</v>
      </c>
    </row>
    <row r="534" spans="9:22" x14ac:dyDescent="0.45">
      <c r="I534" t="s">
        <v>186</v>
      </c>
      <c r="J534" t="s">
        <v>245</v>
      </c>
      <c r="K534">
        <v>9.7581911139975851E-3</v>
      </c>
      <c r="L534" t="s">
        <v>166</v>
      </c>
      <c r="N534" t="s">
        <v>199</v>
      </c>
      <c r="O534" t="s">
        <v>245</v>
      </c>
      <c r="P534">
        <v>1.0202478541972317E-2</v>
      </c>
      <c r="Q534" t="s">
        <v>166</v>
      </c>
      <c r="S534" t="s">
        <v>213</v>
      </c>
      <c r="T534" t="s">
        <v>245</v>
      </c>
      <c r="U534">
        <v>9.9966405865645879E-3</v>
      </c>
      <c r="V534" t="s">
        <v>166</v>
      </c>
    </row>
    <row r="535" spans="9:22" x14ac:dyDescent="0.45">
      <c r="I535" t="s">
        <v>186</v>
      </c>
      <c r="J535" t="s">
        <v>246</v>
      </c>
      <c r="K535">
        <v>0.54063483313887994</v>
      </c>
      <c r="L535" t="s">
        <v>166</v>
      </c>
      <c r="N535" t="s">
        <v>199</v>
      </c>
      <c r="O535" t="s">
        <v>246</v>
      </c>
      <c r="P535">
        <v>0.15598093481004263</v>
      </c>
      <c r="Q535" t="s">
        <v>166</v>
      </c>
      <c r="S535" t="s">
        <v>213</v>
      </c>
      <c r="T535" t="s">
        <v>246</v>
      </c>
      <c r="U535">
        <v>0.15098200445372434</v>
      </c>
      <c r="V535" t="s">
        <v>166</v>
      </c>
    </row>
    <row r="536" spans="9:22" x14ac:dyDescent="0.45">
      <c r="I536" t="s">
        <v>186</v>
      </c>
      <c r="J536" t="s">
        <v>247</v>
      </c>
      <c r="K536">
        <v>2.7134467596285953E-3</v>
      </c>
      <c r="L536" t="s">
        <v>166</v>
      </c>
      <c r="N536" t="s">
        <v>199</v>
      </c>
      <c r="O536" t="s">
        <v>247</v>
      </c>
      <c r="P536">
        <v>1.0972500814034452E-2</v>
      </c>
      <c r="Q536" t="s">
        <v>166</v>
      </c>
      <c r="S536" t="s">
        <v>213</v>
      </c>
      <c r="T536" t="s">
        <v>247</v>
      </c>
      <c r="U536">
        <v>1.1391859153296787E-2</v>
      </c>
      <c r="V536" t="s">
        <v>166</v>
      </c>
    </row>
    <row r="537" spans="9:22" x14ac:dyDescent="0.45">
      <c r="I537" t="s">
        <v>186</v>
      </c>
      <c r="J537" t="s">
        <v>248</v>
      </c>
      <c r="K537">
        <v>0</v>
      </c>
      <c r="L537" t="s">
        <v>166</v>
      </c>
      <c r="N537" t="s">
        <v>199</v>
      </c>
      <c r="O537" t="s">
        <v>248</v>
      </c>
      <c r="P537">
        <v>1.1312415483338261E-2</v>
      </c>
      <c r="Q537" t="s">
        <v>166</v>
      </c>
      <c r="S537" t="s">
        <v>213</v>
      </c>
      <c r="T537" t="s">
        <v>248</v>
      </c>
      <c r="U537">
        <v>1.1429036490381992E-2</v>
      </c>
      <c r="V537" t="s">
        <v>166</v>
      </c>
    </row>
    <row r="538" spans="9:22" x14ac:dyDescent="0.45">
      <c r="I538" t="s">
        <v>186</v>
      </c>
      <c r="J538" t="s">
        <v>249</v>
      </c>
      <c r="K538">
        <v>0</v>
      </c>
      <c r="L538" t="s">
        <v>166</v>
      </c>
      <c r="N538" t="s">
        <v>199</v>
      </c>
      <c r="O538" t="s">
        <v>249</v>
      </c>
      <c r="P538">
        <v>1.1606915599896191E-2</v>
      </c>
      <c r="Q538" t="s">
        <v>166</v>
      </c>
      <c r="S538" t="s">
        <v>213</v>
      </c>
      <c r="T538" t="s">
        <v>249</v>
      </c>
      <c r="U538">
        <v>1.1628534585942383E-2</v>
      </c>
      <c r="V538" t="s">
        <v>166</v>
      </c>
    </row>
    <row r="539" spans="9:22" x14ac:dyDescent="0.45">
      <c r="I539" t="s">
        <v>186</v>
      </c>
      <c r="J539" t="s">
        <v>250</v>
      </c>
      <c r="K539">
        <v>0</v>
      </c>
      <c r="L539" t="s">
        <v>166</v>
      </c>
      <c r="N539" t="s">
        <v>199</v>
      </c>
      <c r="O539" t="s">
        <v>250</v>
      </c>
      <c r="P539">
        <v>1.1699606529386754E-2</v>
      </c>
      <c r="Q539" t="s">
        <v>166</v>
      </c>
      <c r="S539" t="s">
        <v>213</v>
      </c>
      <c r="T539" t="s">
        <v>250</v>
      </c>
      <c r="U539">
        <v>1.25716953785362E-2</v>
      </c>
      <c r="V539" t="s">
        <v>166</v>
      </c>
    </row>
    <row r="540" spans="9:22" x14ac:dyDescent="0.45">
      <c r="I540" t="s">
        <v>186</v>
      </c>
      <c r="J540" t="s">
        <v>251</v>
      </c>
      <c r="K540">
        <v>0</v>
      </c>
      <c r="L540" t="s">
        <v>166</v>
      </c>
      <c r="N540" t="s">
        <v>199</v>
      </c>
      <c r="O540" t="s">
        <v>251</v>
      </c>
      <c r="P540">
        <v>2.2288430079449488E-3</v>
      </c>
      <c r="Q540" t="s">
        <v>166</v>
      </c>
      <c r="S540" t="s">
        <v>213</v>
      </c>
      <c r="T540" t="s">
        <v>251</v>
      </c>
      <c r="U540">
        <v>2.5315893852983894E-3</v>
      </c>
      <c r="V540" t="s">
        <v>166</v>
      </c>
    </row>
    <row r="541" spans="9:22" x14ac:dyDescent="0.45">
      <c r="I541" t="s">
        <v>186</v>
      </c>
      <c r="J541" t="s">
        <v>252</v>
      </c>
      <c r="K541">
        <v>8.6191332935156226E-2</v>
      </c>
      <c r="L541" t="s">
        <v>166</v>
      </c>
      <c r="N541" t="s">
        <v>199</v>
      </c>
      <c r="O541" t="s">
        <v>252</v>
      </c>
      <c r="P541">
        <v>3.0827253847161028E-2</v>
      </c>
      <c r="Q541" t="s">
        <v>166</v>
      </c>
      <c r="S541" t="s">
        <v>213</v>
      </c>
      <c r="T541" t="s">
        <v>252</v>
      </c>
      <c r="U541">
        <v>3.9620294067254695E-2</v>
      </c>
      <c r="V541" t="s">
        <v>166</v>
      </c>
    </row>
    <row r="542" spans="9:22" x14ac:dyDescent="0.45">
      <c r="I542" t="s">
        <v>186</v>
      </c>
      <c r="J542" t="s">
        <v>253</v>
      </c>
      <c r="K542">
        <v>0</v>
      </c>
      <c r="L542" t="s">
        <v>166</v>
      </c>
      <c r="N542" t="s">
        <v>199</v>
      </c>
      <c r="O542" t="s">
        <v>253</v>
      </c>
      <c r="P542">
        <v>2.1959904129992499E-3</v>
      </c>
      <c r="Q542" t="s">
        <v>166</v>
      </c>
      <c r="S542" t="s">
        <v>213</v>
      </c>
      <c r="T542" t="s">
        <v>253</v>
      </c>
      <c r="U542">
        <v>2.8659253261320451E-3</v>
      </c>
      <c r="V542" t="s">
        <v>166</v>
      </c>
    </row>
    <row r="543" spans="9:22" x14ac:dyDescent="0.45">
      <c r="I543" t="s">
        <v>186</v>
      </c>
      <c r="J543" t="s">
        <v>254</v>
      </c>
      <c r="K543">
        <v>0</v>
      </c>
      <c r="L543" t="s">
        <v>166</v>
      </c>
      <c r="N543" t="s">
        <v>199</v>
      </c>
      <c r="O543" t="s">
        <v>254</v>
      </c>
      <c r="P543">
        <v>2.2069729939581599E-3</v>
      </c>
      <c r="Q543" t="s">
        <v>166</v>
      </c>
      <c r="S543" t="s">
        <v>213</v>
      </c>
      <c r="T543" t="s">
        <v>254</v>
      </c>
      <c r="U543">
        <v>2.7858555202927527E-3</v>
      </c>
      <c r="V543" t="s">
        <v>166</v>
      </c>
    </row>
    <row r="544" spans="9:22" x14ac:dyDescent="0.45">
      <c r="I544" t="s">
        <v>186</v>
      </c>
      <c r="J544" t="s">
        <v>255</v>
      </c>
      <c r="K544">
        <v>0</v>
      </c>
      <c r="L544" t="s">
        <v>166</v>
      </c>
      <c r="N544" t="s">
        <v>199</v>
      </c>
      <c r="O544" t="s">
        <v>255</v>
      </c>
      <c r="P544">
        <v>2.4219681564080168E-3</v>
      </c>
      <c r="Q544" t="s">
        <v>166</v>
      </c>
      <c r="S544" t="s">
        <v>213</v>
      </c>
      <c r="T544" t="s">
        <v>255</v>
      </c>
      <c r="U544">
        <v>2.7805939266415725E-3</v>
      </c>
      <c r="V544" t="s">
        <v>166</v>
      </c>
    </row>
    <row r="545" spans="9:22" x14ac:dyDescent="0.45">
      <c r="I545" t="s">
        <v>186</v>
      </c>
      <c r="J545" t="s">
        <v>256</v>
      </c>
      <c r="K545">
        <v>0</v>
      </c>
      <c r="L545" t="s">
        <v>166</v>
      </c>
      <c r="N545" t="s">
        <v>199</v>
      </c>
      <c r="O545" t="s">
        <v>256</v>
      </c>
      <c r="P545">
        <v>2.5419062821394431E-2</v>
      </c>
      <c r="Q545" t="s">
        <v>166</v>
      </c>
      <c r="S545" t="s">
        <v>213</v>
      </c>
      <c r="T545" t="s">
        <v>256</v>
      </c>
      <c r="U545">
        <v>2.0447922126170661E-2</v>
      </c>
      <c r="V545" t="s">
        <v>166</v>
      </c>
    </row>
    <row r="546" spans="9:22" x14ac:dyDescent="0.45">
      <c r="I546" t="s">
        <v>186</v>
      </c>
      <c r="J546" t="s">
        <v>257</v>
      </c>
      <c r="K546">
        <v>0</v>
      </c>
      <c r="L546" t="s">
        <v>166</v>
      </c>
      <c r="N546" t="s">
        <v>199</v>
      </c>
      <c r="O546" t="s">
        <v>257</v>
      </c>
      <c r="P546">
        <v>5.037973900433701E-3</v>
      </c>
      <c r="Q546" t="s">
        <v>166</v>
      </c>
      <c r="S546" t="s">
        <v>213</v>
      </c>
      <c r="T546" t="s">
        <v>257</v>
      </c>
      <c r="U546">
        <v>4.4642547020177E-3</v>
      </c>
      <c r="V546" t="s">
        <v>166</v>
      </c>
    </row>
    <row r="547" spans="9:22" x14ac:dyDescent="0.45">
      <c r="I547" t="s">
        <v>186</v>
      </c>
      <c r="J547" t="s">
        <v>258</v>
      </c>
      <c r="K547">
        <v>3.7023477688270405E-2</v>
      </c>
      <c r="L547" t="s">
        <v>166</v>
      </c>
      <c r="N547" t="s">
        <v>199</v>
      </c>
      <c r="O547" t="s">
        <v>258</v>
      </c>
      <c r="P547">
        <v>6.7464924386011191E-2</v>
      </c>
      <c r="Q547" t="s">
        <v>166</v>
      </c>
      <c r="S547" t="s">
        <v>213</v>
      </c>
      <c r="T547" t="s">
        <v>258</v>
      </c>
      <c r="U547">
        <v>6.6416395139572537E-2</v>
      </c>
      <c r="V547" t="s">
        <v>166</v>
      </c>
    </row>
    <row r="548" spans="9:22" x14ac:dyDescent="0.45">
      <c r="I548" t="s">
        <v>186</v>
      </c>
      <c r="J548" t="s">
        <v>259</v>
      </c>
      <c r="K548">
        <v>0</v>
      </c>
      <c r="L548" t="s">
        <v>166</v>
      </c>
      <c r="N548" t="s">
        <v>199</v>
      </c>
      <c r="O548" t="s">
        <v>259</v>
      </c>
      <c r="P548">
        <v>4.9503034589166908E-3</v>
      </c>
      <c r="Q548" t="s">
        <v>166</v>
      </c>
      <c r="S548" t="s">
        <v>213</v>
      </c>
      <c r="T548" t="s">
        <v>259</v>
      </c>
      <c r="U548">
        <v>4.2949753672893659E-3</v>
      </c>
      <c r="V548" t="s">
        <v>166</v>
      </c>
    </row>
    <row r="549" spans="9:22" x14ac:dyDescent="0.45">
      <c r="I549" t="s">
        <v>186</v>
      </c>
      <c r="J549" t="s">
        <v>260</v>
      </c>
      <c r="K549">
        <v>0</v>
      </c>
      <c r="L549" t="s">
        <v>166</v>
      </c>
      <c r="N549" t="s">
        <v>199</v>
      </c>
      <c r="O549" t="s">
        <v>260</v>
      </c>
      <c r="P549">
        <v>5.1100866406798865E-3</v>
      </c>
      <c r="Q549" t="s">
        <v>166</v>
      </c>
      <c r="S549" t="s">
        <v>213</v>
      </c>
      <c r="T549" t="s">
        <v>260</v>
      </c>
      <c r="U549">
        <v>4.2437409198661661E-3</v>
      </c>
      <c r="V549" t="s">
        <v>166</v>
      </c>
    </row>
    <row r="550" spans="9:22" x14ac:dyDescent="0.45">
      <c r="I550" t="s">
        <v>186</v>
      </c>
      <c r="J550" t="s">
        <v>261</v>
      </c>
      <c r="K550">
        <v>0</v>
      </c>
      <c r="L550" t="s">
        <v>166</v>
      </c>
      <c r="N550" t="s">
        <v>199</v>
      </c>
      <c r="O550" t="s">
        <v>261</v>
      </c>
      <c r="P550">
        <v>5.2316677925014011E-3</v>
      </c>
      <c r="Q550" t="s">
        <v>166</v>
      </c>
      <c r="S550" t="s">
        <v>213</v>
      </c>
      <c r="T550" t="s">
        <v>261</v>
      </c>
      <c r="U550">
        <v>4.3471388681731527E-3</v>
      </c>
      <c r="V550" t="s">
        <v>166</v>
      </c>
    </row>
    <row r="551" spans="9:22" x14ac:dyDescent="0.45">
      <c r="I551" t="s">
        <v>186</v>
      </c>
      <c r="J551" t="s">
        <v>262</v>
      </c>
      <c r="K551">
        <v>0</v>
      </c>
      <c r="L551" t="s">
        <v>166</v>
      </c>
      <c r="N551" t="s">
        <v>199</v>
      </c>
      <c r="O551" t="s">
        <v>262</v>
      </c>
      <c r="P551">
        <v>5.5881905103168358E-2</v>
      </c>
      <c r="Q551" t="s">
        <v>166</v>
      </c>
      <c r="S551" t="s">
        <v>213</v>
      </c>
      <c r="T551" t="s">
        <v>262</v>
      </c>
      <c r="U551">
        <v>5.2491818229811749E-2</v>
      </c>
      <c r="V551" t="s">
        <v>166</v>
      </c>
    </row>
    <row r="552" spans="9:22" x14ac:dyDescent="0.45">
      <c r="I552" t="s">
        <v>186</v>
      </c>
      <c r="J552" t="s">
        <v>263</v>
      </c>
      <c r="K552">
        <v>0</v>
      </c>
      <c r="L552" t="s">
        <v>166</v>
      </c>
      <c r="N552" t="s">
        <v>199</v>
      </c>
      <c r="O552" t="s">
        <v>263</v>
      </c>
      <c r="P552">
        <v>1.0665141452259552E-2</v>
      </c>
      <c r="Q552" t="s">
        <v>166</v>
      </c>
      <c r="S552" t="s">
        <v>213</v>
      </c>
      <c r="T552" t="s">
        <v>263</v>
      </c>
      <c r="U552">
        <v>1.0336139867125407E-2</v>
      </c>
      <c r="V552" t="s">
        <v>166</v>
      </c>
    </row>
    <row r="553" spans="9:22" x14ac:dyDescent="0.45">
      <c r="I553" t="s">
        <v>186</v>
      </c>
      <c r="J553" t="s">
        <v>264</v>
      </c>
      <c r="K553">
        <v>2.7131975826377039E-2</v>
      </c>
      <c r="L553" t="s">
        <v>166</v>
      </c>
      <c r="N553" t="s">
        <v>199</v>
      </c>
      <c r="O553" t="s">
        <v>264</v>
      </c>
      <c r="P553">
        <v>0.16990173999165697</v>
      </c>
      <c r="Q553" t="s">
        <v>166</v>
      </c>
      <c r="S553" t="s">
        <v>213</v>
      </c>
      <c r="T553" t="s">
        <v>264</v>
      </c>
      <c r="U553">
        <v>0.15800990385561459</v>
      </c>
      <c r="V553" t="s">
        <v>166</v>
      </c>
    </row>
    <row r="554" spans="9:22" x14ac:dyDescent="0.45">
      <c r="I554" t="s">
        <v>186</v>
      </c>
      <c r="J554" t="s">
        <v>265</v>
      </c>
      <c r="K554">
        <v>0</v>
      </c>
      <c r="L554" t="s">
        <v>166</v>
      </c>
      <c r="N554" t="s">
        <v>199</v>
      </c>
      <c r="O554" t="s">
        <v>265</v>
      </c>
      <c r="P554">
        <v>1.16371778542985E-2</v>
      </c>
      <c r="Q554" t="s">
        <v>166</v>
      </c>
      <c r="S554" t="s">
        <v>213</v>
      </c>
      <c r="T554" t="s">
        <v>265</v>
      </c>
      <c r="U554">
        <v>1.0834926482126531E-2</v>
      </c>
      <c r="V554" t="s">
        <v>166</v>
      </c>
    </row>
    <row r="555" spans="9:22" x14ac:dyDescent="0.45">
      <c r="I555" t="s">
        <v>186</v>
      </c>
      <c r="J555" t="s">
        <v>266</v>
      </c>
      <c r="K555">
        <v>0</v>
      </c>
      <c r="L555" t="s">
        <v>166</v>
      </c>
      <c r="N555" t="s">
        <v>199</v>
      </c>
      <c r="O555" t="s">
        <v>266</v>
      </c>
      <c r="P555">
        <v>1.1665365496416972E-2</v>
      </c>
      <c r="Q555" t="s">
        <v>166</v>
      </c>
      <c r="S555" t="s">
        <v>213</v>
      </c>
      <c r="T555" t="s">
        <v>266</v>
      </c>
      <c r="U555">
        <v>1.0785089483548973E-2</v>
      </c>
      <c r="V555" t="s">
        <v>166</v>
      </c>
    </row>
    <row r="556" spans="9:22" x14ac:dyDescent="0.45">
      <c r="I556" t="s">
        <v>186</v>
      </c>
      <c r="J556" t="s">
        <v>267</v>
      </c>
      <c r="K556">
        <v>0</v>
      </c>
      <c r="L556" t="s">
        <v>166</v>
      </c>
      <c r="N556" t="s">
        <v>199</v>
      </c>
      <c r="O556" t="s">
        <v>267</v>
      </c>
      <c r="P556">
        <v>1.157829480675935E-2</v>
      </c>
      <c r="Q556" t="s">
        <v>166</v>
      </c>
      <c r="S556" t="s">
        <v>213</v>
      </c>
      <c r="T556" t="s">
        <v>267</v>
      </c>
      <c r="U556">
        <v>1.0901975363843883E-2</v>
      </c>
      <c r="V556" t="s">
        <v>166</v>
      </c>
    </row>
    <row r="557" spans="9:22" x14ac:dyDescent="0.45">
      <c r="N557" t="s">
        <v>200</v>
      </c>
      <c r="O557" t="s">
        <v>165</v>
      </c>
      <c r="P557">
        <v>2.8967306703534326E-2</v>
      </c>
      <c r="Q557" t="s">
        <v>166</v>
      </c>
      <c r="S557" t="s">
        <v>214</v>
      </c>
      <c r="T557" t="s">
        <v>165</v>
      </c>
      <c r="U557">
        <v>3.0890415736978025E-2</v>
      </c>
      <c r="V557" t="s">
        <v>166</v>
      </c>
    </row>
    <row r="558" spans="9:22" x14ac:dyDescent="0.45">
      <c r="N558" t="s">
        <v>200</v>
      </c>
      <c r="O558" t="s">
        <v>167</v>
      </c>
      <c r="P558">
        <v>5.864124356934044E-3</v>
      </c>
      <c r="Q558" t="s">
        <v>166</v>
      </c>
      <c r="S558" t="s">
        <v>214</v>
      </c>
      <c r="T558" t="s">
        <v>167</v>
      </c>
      <c r="U558">
        <v>6.5470743908939213E-3</v>
      </c>
      <c r="V558" t="s">
        <v>166</v>
      </c>
    </row>
    <row r="559" spans="9:22" x14ac:dyDescent="0.45">
      <c r="N559" t="s">
        <v>200</v>
      </c>
      <c r="O559" t="s">
        <v>168</v>
      </c>
      <c r="P559">
        <v>8.3280729046337931E-2</v>
      </c>
      <c r="Q559" t="s">
        <v>166</v>
      </c>
      <c r="S559" t="s">
        <v>214</v>
      </c>
      <c r="T559" t="s">
        <v>168</v>
      </c>
      <c r="U559">
        <v>9.872661308179162E-2</v>
      </c>
      <c r="V559" t="s">
        <v>166</v>
      </c>
    </row>
    <row r="560" spans="9:22" x14ac:dyDescent="0.45">
      <c r="N560" t="s">
        <v>200</v>
      </c>
      <c r="O560" t="s">
        <v>235</v>
      </c>
      <c r="P560">
        <v>5.7395678054480027E-3</v>
      </c>
      <c r="Q560" t="s">
        <v>166</v>
      </c>
      <c r="S560" t="s">
        <v>214</v>
      </c>
      <c r="T560" t="s">
        <v>235</v>
      </c>
      <c r="U560">
        <v>6.4669800203128154E-3</v>
      </c>
      <c r="V560" t="s">
        <v>166</v>
      </c>
    </row>
    <row r="561" spans="14:22" x14ac:dyDescent="0.45">
      <c r="N561" t="s">
        <v>200</v>
      </c>
      <c r="O561" t="s">
        <v>236</v>
      </c>
      <c r="P561">
        <v>5.7142195831975584E-3</v>
      </c>
      <c r="Q561" t="s">
        <v>166</v>
      </c>
      <c r="S561" t="s">
        <v>214</v>
      </c>
      <c r="T561" t="s">
        <v>236</v>
      </c>
      <c r="U561">
        <v>6.3447457676848174E-3</v>
      </c>
      <c r="V561" t="s">
        <v>166</v>
      </c>
    </row>
    <row r="562" spans="14:22" x14ac:dyDescent="0.45">
      <c r="N562" t="s">
        <v>200</v>
      </c>
      <c r="O562" t="s">
        <v>237</v>
      </c>
      <c r="P562">
        <v>5.7208180898345277E-3</v>
      </c>
      <c r="Q562" t="s">
        <v>166</v>
      </c>
      <c r="S562" t="s">
        <v>214</v>
      </c>
      <c r="T562" t="s">
        <v>237</v>
      </c>
      <c r="U562">
        <v>6.0572207956951915E-3</v>
      </c>
      <c r="V562" t="s">
        <v>166</v>
      </c>
    </row>
    <row r="563" spans="14:22" x14ac:dyDescent="0.45">
      <c r="N563" t="s">
        <v>200</v>
      </c>
      <c r="O563" t="s">
        <v>169</v>
      </c>
      <c r="P563">
        <v>1.6007471418521536E-2</v>
      </c>
      <c r="Q563" t="s">
        <v>166</v>
      </c>
      <c r="S563" t="s">
        <v>214</v>
      </c>
      <c r="T563" t="s">
        <v>169</v>
      </c>
      <c r="U563">
        <v>1.7625965354333972E-2</v>
      </c>
      <c r="V563" t="s">
        <v>166</v>
      </c>
    </row>
    <row r="564" spans="14:22" x14ac:dyDescent="0.45">
      <c r="N564" t="s">
        <v>200</v>
      </c>
      <c r="O564" t="s">
        <v>170</v>
      </c>
      <c r="P564">
        <v>3.6825606749801266E-3</v>
      </c>
      <c r="Q564" t="s">
        <v>166</v>
      </c>
      <c r="S564" t="s">
        <v>214</v>
      </c>
      <c r="T564" t="s">
        <v>170</v>
      </c>
      <c r="U564">
        <v>3.1733602902913184E-3</v>
      </c>
      <c r="V564" t="s">
        <v>166</v>
      </c>
    </row>
    <row r="565" spans="14:22" x14ac:dyDescent="0.45">
      <c r="N565" t="s">
        <v>200</v>
      </c>
      <c r="O565" t="s">
        <v>171</v>
      </c>
      <c r="P565">
        <v>4.5797812061645848E-2</v>
      </c>
      <c r="Q565" t="s">
        <v>166</v>
      </c>
      <c r="S565" t="s">
        <v>214</v>
      </c>
      <c r="T565" t="s">
        <v>171</v>
      </c>
      <c r="U565">
        <v>5.3781229715717749E-2</v>
      </c>
      <c r="V565" t="s">
        <v>166</v>
      </c>
    </row>
    <row r="566" spans="14:22" x14ac:dyDescent="0.45">
      <c r="N566" t="s">
        <v>200</v>
      </c>
      <c r="O566" t="s">
        <v>238</v>
      </c>
      <c r="P566">
        <v>2.975467768996526E-3</v>
      </c>
      <c r="Q566" t="s">
        <v>166</v>
      </c>
      <c r="S566" t="s">
        <v>214</v>
      </c>
      <c r="T566" t="s">
        <v>238</v>
      </c>
      <c r="U566">
        <v>4.2633120852340082E-3</v>
      </c>
      <c r="V566" t="s">
        <v>166</v>
      </c>
    </row>
    <row r="567" spans="14:22" x14ac:dyDescent="0.45">
      <c r="N567" t="s">
        <v>200</v>
      </c>
      <c r="O567" t="s">
        <v>239</v>
      </c>
      <c r="P567">
        <v>2.8170747308797171E-3</v>
      </c>
      <c r="Q567" t="s">
        <v>166</v>
      </c>
      <c r="S567" t="s">
        <v>214</v>
      </c>
      <c r="T567" t="s">
        <v>239</v>
      </c>
      <c r="U567">
        <v>4.1105839464096947E-3</v>
      </c>
      <c r="V567" t="s">
        <v>166</v>
      </c>
    </row>
    <row r="568" spans="14:22" x14ac:dyDescent="0.45">
      <c r="N568" t="s">
        <v>200</v>
      </c>
      <c r="O568" t="s">
        <v>240</v>
      </c>
      <c r="P568">
        <v>2.8208862501485801E-3</v>
      </c>
      <c r="Q568" t="s">
        <v>166</v>
      </c>
      <c r="S568" t="s">
        <v>214</v>
      </c>
      <c r="T568" t="s">
        <v>240</v>
      </c>
      <c r="U568">
        <v>4.0160231590924897E-3</v>
      </c>
      <c r="V568" t="s">
        <v>166</v>
      </c>
    </row>
    <row r="569" spans="14:22" x14ac:dyDescent="0.45">
      <c r="N569" t="s">
        <v>200</v>
      </c>
      <c r="O569" t="s">
        <v>172</v>
      </c>
      <c r="P569">
        <v>1.9983338070090405E-2</v>
      </c>
      <c r="Q569" t="s">
        <v>166</v>
      </c>
      <c r="S569" t="s">
        <v>214</v>
      </c>
      <c r="T569" t="s">
        <v>172</v>
      </c>
      <c r="U569">
        <v>2.1238501673281771E-2</v>
      </c>
      <c r="V569" t="s">
        <v>166</v>
      </c>
    </row>
    <row r="570" spans="14:22" x14ac:dyDescent="0.45">
      <c r="N570" t="s">
        <v>200</v>
      </c>
      <c r="O570" t="s">
        <v>173</v>
      </c>
      <c r="P570">
        <v>4.0669081952757792E-3</v>
      </c>
      <c r="Q570" t="s">
        <v>166</v>
      </c>
      <c r="S570" t="s">
        <v>214</v>
      </c>
      <c r="T570" t="s">
        <v>173</v>
      </c>
      <c r="U570">
        <v>4.4346140434493152E-3</v>
      </c>
      <c r="V570" t="s">
        <v>166</v>
      </c>
    </row>
    <row r="571" spans="14:22" x14ac:dyDescent="0.45">
      <c r="N571" t="s">
        <v>200</v>
      </c>
      <c r="O571" t="s">
        <v>174</v>
      </c>
      <c r="P571">
        <v>5.5125919279657945E-2</v>
      </c>
      <c r="Q571" t="s">
        <v>166</v>
      </c>
      <c r="S571" t="s">
        <v>214</v>
      </c>
      <c r="T571" t="s">
        <v>174</v>
      </c>
      <c r="U571">
        <v>6.0296282117897337E-2</v>
      </c>
      <c r="V571" t="s">
        <v>166</v>
      </c>
    </row>
    <row r="572" spans="14:22" x14ac:dyDescent="0.45">
      <c r="N572" t="s">
        <v>200</v>
      </c>
      <c r="O572" t="s">
        <v>241</v>
      </c>
      <c r="P572">
        <v>4.3410683960498943E-3</v>
      </c>
      <c r="Q572" t="s">
        <v>166</v>
      </c>
      <c r="S572" t="s">
        <v>214</v>
      </c>
      <c r="T572" t="s">
        <v>241</v>
      </c>
      <c r="U572">
        <v>4.1220674150678899E-3</v>
      </c>
      <c r="V572" t="s">
        <v>166</v>
      </c>
    </row>
    <row r="573" spans="14:22" x14ac:dyDescent="0.45">
      <c r="N573" t="s">
        <v>200</v>
      </c>
      <c r="O573" t="s">
        <v>242</v>
      </c>
      <c r="P573">
        <v>4.2455078733844766E-3</v>
      </c>
      <c r="Q573" t="s">
        <v>166</v>
      </c>
      <c r="S573" t="s">
        <v>214</v>
      </c>
      <c r="T573" t="s">
        <v>242</v>
      </c>
      <c r="U573">
        <v>4.2328683668547244E-3</v>
      </c>
      <c r="V573" t="s">
        <v>166</v>
      </c>
    </row>
    <row r="574" spans="14:22" x14ac:dyDescent="0.45">
      <c r="N574" t="s">
        <v>200</v>
      </c>
      <c r="O574" t="s">
        <v>243</v>
      </c>
      <c r="P574">
        <v>4.3123097021141102E-3</v>
      </c>
      <c r="Q574" t="s">
        <v>166</v>
      </c>
      <c r="S574" t="s">
        <v>214</v>
      </c>
      <c r="T574" t="s">
        <v>243</v>
      </c>
      <c r="U574">
        <v>4.2976999555218286E-3</v>
      </c>
      <c r="V574" t="s">
        <v>166</v>
      </c>
    </row>
    <row r="575" spans="14:22" x14ac:dyDescent="0.45">
      <c r="N575" t="s">
        <v>200</v>
      </c>
      <c r="O575" t="s">
        <v>244</v>
      </c>
      <c r="P575">
        <v>5.6143868565222715E-2</v>
      </c>
      <c r="Q575" t="s">
        <v>166</v>
      </c>
      <c r="S575" t="s">
        <v>214</v>
      </c>
      <c r="T575" t="s">
        <v>244</v>
      </c>
      <c r="U575">
        <v>5.363787932128361E-2</v>
      </c>
      <c r="V575" t="s">
        <v>166</v>
      </c>
    </row>
    <row r="576" spans="14:22" x14ac:dyDescent="0.45">
      <c r="N576" t="s">
        <v>200</v>
      </c>
      <c r="O576" t="s">
        <v>245</v>
      </c>
      <c r="P576">
        <v>1.0617732300015876E-2</v>
      </c>
      <c r="Q576" t="s">
        <v>166</v>
      </c>
      <c r="S576" t="s">
        <v>214</v>
      </c>
      <c r="T576" t="s">
        <v>245</v>
      </c>
      <c r="U576">
        <v>9.6024517868231463E-3</v>
      </c>
      <c r="V576" t="s">
        <v>166</v>
      </c>
    </row>
    <row r="577" spans="14:22" x14ac:dyDescent="0.45">
      <c r="N577" t="s">
        <v>200</v>
      </c>
      <c r="O577" t="s">
        <v>246</v>
      </c>
      <c r="P577">
        <v>0.15097249961828307</v>
      </c>
      <c r="Q577" t="s">
        <v>166</v>
      </c>
      <c r="S577" t="s">
        <v>214</v>
      </c>
      <c r="T577" t="s">
        <v>246</v>
      </c>
      <c r="U577">
        <v>0.14659074031951946</v>
      </c>
      <c r="V577" t="s">
        <v>166</v>
      </c>
    </row>
    <row r="578" spans="14:22" x14ac:dyDescent="0.45">
      <c r="N578" t="s">
        <v>200</v>
      </c>
      <c r="O578" t="s">
        <v>247</v>
      </c>
      <c r="P578">
        <v>1.1595910620204158E-2</v>
      </c>
      <c r="Q578" t="s">
        <v>166</v>
      </c>
      <c r="S578" t="s">
        <v>214</v>
      </c>
      <c r="T578" t="s">
        <v>247</v>
      </c>
      <c r="U578">
        <v>1.088673711373961E-2</v>
      </c>
      <c r="V578" t="s">
        <v>166</v>
      </c>
    </row>
    <row r="579" spans="14:22" x14ac:dyDescent="0.45">
      <c r="N579" t="s">
        <v>200</v>
      </c>
      <c r="O579" t="s">
        <v>248</v>
      </c>
      <c r="P579">
        <v>1.1851931489573959E-2</v>
      </c>
      <c r="Q579" t="s">
        <v>166</v>
      </c>
      <c r="S579" t="s">
        <v>214</v>
      </c>
      <c r="T579" t="s">
        <v>248</v>
      </c>
      <c r="U579">
        <v>1.0792108811731664E-2</v>
      </c>
      <c r="V579" t="s">
        <v>166</v>
      </c>
    </row>
    <row r="580" spans="14:22" x14ac:dyDescent="0.45">
      <c r="N580" t="s">
        <v>200</v>
      </c>
      <c r="O580" t="s">
        <v>249</v>
      </c>
      <c r="P580">
        <v>1.2140531217991477E-2</v>
      </c>
      <c r="Q580" t="s">
        <v>166</v>
      </c>
      <c r="S580" t="s">
        <v>214</v>
      </c>
      <c r="T580" t="s">
        <v>249</v>
      </c>
      <c r="U580">
        <v>1.1454553967491711E-2</v>
      </c>
      <c r="V580" t="s">
        <v>166</v>
      </c>
    </row>
    <row r="581" spans="14:22" x14ac:dyDescent="0.45">
      <c r="N581" t="s">
        <v>200</v>
      </c>
      <c r="O581" t="s">
        <v>250</v>
      </c>
      <c r="P581">
        <v>1.1115282795977953E-2</v>
      </c>
      <c r="Q581" t="s">
        <v>166</v>
      </c>
      <c r="S581" t="s">
        <v>214</v>
      </c>
      <c r="T581" t="s">
        <v>250</v>
      </c>
      <c r="U581">
        <v>1.3377476735123218E-2</v>
      </c>
      <c r="V581" t="s">
        <v>166</v>
      </c>
    </row>
    <row r="582" spans="14:22" x14ac:dyDescent="0.45">
      <c r="N582" t="s">
        <v>200</v>
      </c>
      <c r="O582" t="s">
        <v>251</v>
      </c>
      <c r="P582">
        <v>1.998556935787159E-3</v>
      </c>
      <c r="Q582" t="s">
        <v>166</v>
      </c>
      <c r="S582" t="s">
        <v>214</v>
      </c>
      <c r="T582" t="s">
        <v>251</v>
      </c>
      <c r="U582">
        <v>2.4508254248647556E-3</v>
      </c>
      <c r="V582" t="s">
        <v>166</v>
      </c>
    </row>
    <row r="583" spans="14:22" x14ac:dyDescent="0.45">
      <c r="N583" t="s">
        <v>200</v>
      </c>
      <c r="O583" t="s">
        <v>252</v>
      </c>
      <c r="P583">
        <v>3.0043973210229634E-2</v>
      </c>
      <c r="Q583" t="s">
        <v>166</v>
      </c>
      <c r="S583" t="s">
        <v>214</v>
      </c>
      <c r="T583" t="s">
        <v>252</v>
      </c>
      <c r="U583">
        <v>3.8962658867668976E-2</v>
      </c>
      <c r="V583" t="s">
        <v>166</v>
      </c>
    </row>
    <row r="584" spans="14:22" x14ac:dyDescent="0.45">
      <c r="N584" t="s">
        <v>200</v>
      </c>
      <c r="O584" t="s">
        <v>253</v>
      </c>
      <c r="P584">
        <v>2.1432019410620152E-3</v>
      </c>
      <c r="Q584" t="s">
        <v>166</v>
      </c>
      <c r="S584" t="s">
        <v>214</v>
      </c>
      <c r="T584" t="s">
        <v>253</v>
      </c>
      <c r="U584">
        <v>3.0460330322649998E-3</v>
      </c>
      <c r="V584" t="s">
        <v>166</v>
      </c>
    </row>
    <row r="585" spans="14:22" x14ac:dyDescent="0.45">
      <c r="N585" t="s">
        <v>200</v>
      </c>
      <c r="O585" t="s">
        <v>254</v>
      </c>
      <c r="P585">
        <v>2.1165944034517484E-3</v>
      </c>
      <c r="Q585" t="s">
        <v>166</v>
      </c>
      <c r="S585" t="s">
        <v>214</v>
      </c>
      <c r="T585" t="s">
        <v>254</v>
      </c>
      <c r="U585">
        <v>3.0198549960106956E-3</v>
      </c>
      <c r="V585" t="s">
        <v>166</v>
      </c>
    </row>
    <row r="586" spans="14:22" x14ac:dyDescent="0.45">
      <c r="N586" t="s">
        <v>200</v>
      </c>
      <c r="O586" t="s">
        <v>255</v>
      </c>
      <c r="P586">
        <v>2.3496014698652957E-3</v>
      </c>
      <c r="Q586" t="s">
        <v>166</v>
      </c>
      <c r="S586" t="s">
        <v>214</v>
      </c>
      <c r="T586" t="s">
        <v>255</v>
      </c>
      <c r="U586">
        <v>3.1181466476613235E-3</v>
      </c>
      <c r="V586" t="s">
        <v>166</v>
      </c>
    </row>
    <row r="587" spans="14:22" x14ac:dyDescent="0.45">
      <c r="N587" t="s">
        <v>200</v>
      </c>
      <c r="O587" t="s">
        <v>256</v>
      </c>
      <c r="P587">
        <v>2.3256134032930181E-2</v>
      </c>
      <c r="Q587" t="s">
        <v>166</v>
      </c>
      <c r="S587" t="s">
        <v>214</v>
      </c>
      <c r="T587" t="s">
        <v>256</v>
      </c>
      <c r="U587">
        <v>2.0436529252682963E-2</v>
      </c>
      <c r="V587" t="s">
        <v>166</v>
      </c>
    </row>
    <row r="588" spans="14:22" x14ac:dyDescent="0.45">
      <c r="N588" t="s">
        <v>200</v>
      </c>
      <c r="O588" t="s">
        <v>257</v>
      </c>
      <c r="P588">
        <v>4.6191113721488651E-3</v>
      </c>
      <c r="Q588" t="s">
        <v>166</v>
      </c>
      <c r="S588" t="s">
        <v>214</v>
      </c>
      <c r="T588" t="s">
        <v>257</v>
      </c>
      <c r="U588">
        <v>4.3702174896802287E-3</v>
      </c>
      <c r="V588" t="s">
        <v>166</v>
      </c>
    </row>
    <row r="589" spans="14:22" x14ac:dyDescent="0.45">
      <c r="N589" t="s">
        <v>200</v>
      </c>
      <c r="O589" t="s">
        <v>258</v>
      </c>
      <c r="P589">
        <v>6.4349641678706423E-2</v>
      </c>
      <c r="Q589" t="s">
        <v>166</v>
      </c>
      <c r="S589" t="s">
        <v>214</v>
      </c>
      <c r="T589" t="s">
        <v>258</v>
      </c>
      <c r="U589">
        <v>6.7283055420879673E-2</v>
      </c>
      <c r="V589" t="s">
        <v>166</v>
      </c>
    </row>
    <row r="590" spans="14:22" x14ac:dyDescent="0.45">
      <c r="N590" t="s">
        <v>200</v>
      </c>
      <c r="O590" t="s">
        <v>259</v>
      </c>
      <c r="P590">
        <v>4.5583136935441471E-3</v>
      </c>
      <c r="Q590" t="s">
        <v>166</v>
      </c>
      <c r="S590" t="s">
        <v>214</v>
      </c>
      <c r="T590" t="s">
        <v>259</v>
      </c>
      <c r="U590">
        <v>4.1193651985942312E-3</v>
      </c>
      <c r="V590" t="s">
        <v>166</v>
      </c>
    </row>
    <row r="591" spans="14:22" x14ac:dyDescent="0.45">
      <c r="N591" t="s">
        <v>200</v>
      </c>
      <c r="O591" t="s">
        <v>260</v>
      </c>
      <c r="P591">
        <v>4.6528049082663753E-3</v>
      </c>
      <c r="Q591" t="s">
        <v>166</v>
      </c>
      <c r="S591" t="s">
        <v>214</v>
      </c>
      <c r="T591" t="s">
        <v>260</v>
      </c>
      <c r="U591">
        <v>4.0669807276345997E-3</v>
      </c>
      <c r="V591" t="s">
        <v>166</v>
      </c>
    </row>
    <row r="592" spans="14:22" x14ac:dyDescent="0.45">
      <c r="N592" t="s">
        <v>200</v>
      </c>
      <c r="O592" t="s">
        <v>261</v>
      </c>
      <c r="P592">
        <v>4.8831819901639668E-3</v>
      </c>
      <c r="Q592" t="s">
        <v>166</v>
      </c>
      <c r="S592" t="s">
        <v>214</v>
      </c>
      <c r="T592" t="s">
        <v>261</v>
      </c>
      <c r="U592">
        <v>4.2165867514450794E-3</v>
      </c>
      <c r="V592" t="s">
        <v>166</v>
      </c>
    </row>
    <row r="593" spans="14:22" x14ac:dyDescent="0.45">
      <c r="N593" t="s">
        <v>200</v>
      </c>
      <c r="O593" t="s">
        <v>262</v>
      </c>
      <c r="P593">
        <v>5.8922224662433333E-2</v>
      </c>
      <c r="Q593" t="s">
        <v>166</v>
      </c>
      <c r="S593" t="s">
        <v>214</v>
      </c>
      <c r="T593" t="s">
        <v>262</v>
      </c>
      <c r="U593">
        <v>5.1388252393625829E-2</v>
      </c>
      <c r="V593" t="s">
        <v>166</v>
      </c>
    </row>
    <row r="594" spans="14:22" x14ac:dyDescent="0.45">
      <c r="N594" t="s">
        <v>200</v>
      </c>
      <c r="O594" t="s">
        <v>263</v>
      </c>
      <c r="P594">
        <v>1.1424110126624382E-2</v>
      </c>
      <c r="Q594" t="s">
        <v>166</v>
      </c>
      <c r="S594" t="s">
        <v>214</v>
      </c>
      <c r="T594" t="s">
        <v>263</v>
      </c>
      <c r="U594">
        <v>1.0216647613567885E-2</v>
      </c>
      <c r="V594" t="s">
        <v>166</v>
      </c>
    </row>
    <row r="595" spans="14:22" x14ac:dyDescent="0.45">
      <c r="N595" t="s">
        <v>200</v>
      </c>
      <c r="O595" t="s">
        <v>264</v>
      </c>
      <c r="P595">
        <v>0.18213154365643366</v>
      </c>
      <c r="Q595" t="s">
        <v>166</v>
      </c>
      <c r="S595" t="s">
        <v>214</v>
      </c>
      <c r="T595" t="s">
        <v>264</v>
      </c>
      <c r="U595">
        <v>0.15449683883879486</v>
      </c>
      <c r="V595" t="s">
        <v>166</v>
      </c>
    </row>
    <row r="596" spans="14:22" x14ac:dyDescent="0.45">
      <c r="N596" t="s">
        <v>200</v>
      </c>
      <c r="O596" t="s">
        <v>265</v>
      </c>
      <c r="P596">
        <v>1.2276688877242772E-2</v>
      </c>
      <c r="Q596" t="s">
        <v>166</v>
      </c>
      <c r="S596" t="s">
        <v>214</v>
      </c>
      <c r="T596" t="s">
        <v>265</v>
      </c>
      <c r="U596">
        <v>1.0700558344202535E-2</v>
      </c>
      <c r="V596" t="s">
        <v>166</v>
      </c>
    </row>
    <row r="597" spans="14:22" x14ac:dyDescent="0.45">
      <c r="N597" t="s">
        <v>200</v>
      </c>
      <c r="O597" t="s">
        <v>266</v>
      </c>
      <c r="P597">
        <v>1.2261489139076542E-2</v>
      </c>
      <c r="Q597" t="s">
        <v>166</v>
      </c>
      <c r="S597" t="s">
        <v>214</v>
      </c>
      <c r="T597" t="s">
        <v>266</v>
      </c>
      <c r="U597">
        <v>1.0621438411554465E-2</v>
      </c>
      <c r="V597" t="s">
        <v>166</v>
      </c>
    </row>
    <row r="598" spans="14:22" x14ac:dyDescent="0.45">
      <c r="N598" t="s">
        <v>200</v>
      </c>
      <c r="O598" t="s">
        <v>267</v>
      </c>
      <c r="P598">
        <v>1.2111981287733461E-2</v>
      </c>
      <c r="Q598" t="s">
        <v>166</v>
      </c>
      <c r="S598" t="s">
        <v>214</v>
      </c>
      <c r="T598" t="s">
        <v>267</v>
      </c>
      <c r="U598">
        <v>1.0518504616646133E-2</v>
      </c>
      <c r="V598" t="s">
        <v>166</v>
      </c>
    </row>
    <row r="599" spans="14:22" x14ac:dyDescent="0.45">
      <c r="S599" t="s">
        <v>215</v>
      </c>
      <c r="T599" t="s">
        <v>165</v>
      </c>
      <c r="U599">
        <v>3.1782248724163228E-2</v>
      </c>
      <c r="V599" t="s">
        <v>166</v>
      </c>
    </row>
    <row r="600" spans="14:22" x14ac:dyDescent="0.45">
      <c r="S600" t="s">
        <v>215</v>
      </c>
      <c r="T600" t="s">
        <v>167</v>
      </c>
      <c r="U600">
        <v>6.3826073176394774E-3</v>
      </c>
      <c r="V600" t="s">
        <v>166</v>
      </c>
    </row>
    <row r="601" spans="14:22" x14ac:dyDescent="0.45">
      <c r="S601" t="s">
        <v>215</v>
      </c>
      <c r="T601" t="s">
        <v>168</v>
      </c>
      <c r="U601">
        <v>0.1011972724604549</v>
      </c>
      <c r="V601" t="s">
        <v>166</v>
      </c>
    </row>
    <row r="602" spans="14:22" x14ac:dyDescent="0.45">
      <c r="S602" t="s">
        <v>215</v>
      </c>
      <c r="T602" t="s">
        <v>235</v>
      </c>
      <c r="U602">
        <v>6.71758291438883E-3</v>
      </c>
      <c r="V602" t="s">
        <v>166</v>
      </c>
    </row>
    <row r="603" spans="14:22" x14ac:dyDescent="0.45">
      <c r="S603" t="s">
        <v>215</v>
      </c>
      <c r="T603" t="s">
        <v>236</v>
      </c>
      <c r="U603">
        <v>6.6210151389327898E-3</v>
      </c>
      <c r="V603" t="s">
        <v>166</v>
      </c>
    </row>
    <row r="604" spans="14:22" x14ac:dyDescent="0.45">
      <c r="S604" t="s">
        <v>215</v>
      </c>
      <c r="T604" t="s">
        <v>237</v>
      </c>
      <c r="U604">
        <v>6.4583638973526184E-3</v>
      </c>
      <c r="V604" t="s">
        <v>166</v>
      </c>
    </row>
    <row r="605" spans="14:22" x14ac:dyDescent="0.45">
      <c r="S605" t="s">
        <v>215</v>
      </c>
      <c r="T605" t="s">
        <v>169</v>
      </c>
      <c r="U605">
        <v>1.9834705949431184E-2</v>
      </c>
      <c r="V605" t="s">
        <v>166</v>
      </c>
    </row>
    <row r="606" spans="14:22" x14ac:dyDescent="0.45">
      <c r="S606" t="s">
        <v>215</v>
      </c>
      <c r="T606" t="s">
        <v>170</v>
      </c>
      <c r="U606">
        <v>3.511628075030142E-3</v>
      </c>
      <c r="V606" t="s">
        <v>166</v>
      </c>
    </row>
    <row r="607" spans="14:22" x14ac:dyDescent="0.45">
      <c r="S607" t="s">
        <v>215</v>
      </c>
      <c r="T607" t="s">
        <v>171</v>
      </c>
      <c r="U607">
        <v>5.6402822681256577E-2</v>
      </c>
      <c r="V607" t="s">
        <v>166</v>
      </c>
    </row>
    <row r="608" spans="14:22" x14ac:dyDescent="0.45">
      <c r="S608" t="s">
        <v>215</v>
      </c>
      <c r="T608" t="s">
        <v>238</v>
      </c>
      <c r="U608">
        <v>4.6746108244820036E-3</v>
      </c>
      <c r="V608" t="s">
        <v>166</v>
      </c>
    </row>
    <row r="609" spans="19:22" x14ac:dyDescent="0.45">
      <c r="S609" t="s">
        <v>215</v>
      </c>
      <c r="T609" t="s">
        <v>239</v>
      </c>
      <c r="U609">
        <v>4.5548842820650436E-3</v>
      </c>
      <c r="V609" t="s">
        <v>166</v>
      </c>
    </row>
    <row r="610" spans="19:22" x14ac:dyDescent="0.45">
      <c r="S610" t="s">
        <v>215</v>
      </c>
      <c r="T610" t="s">
        <v>240</v>
      </c>
      <c r="U610">
        <v>4.4887403107754789E-3</v>
      </c>
      <c r="V610" t="s">
        <v>166</v>
      </c>
    </row>
    <row r="611" spans="19:22" x14ac:dyDescent="0.45">
      <c r="S611" t="s">
        <v>215</v>
      </c>
      <c r="T611" t="s">
        <v>172</v>
      </c>
      <c r="U611">
        <v>2.1083638788818512E-2</v>
      </c>
      <c r="V611" t="s">
        <v>166</v>
      </c>
    </row>
    <row r="612" spans="19:22" x14ac:dyDescent="0.45">
      <c r="S612" t="s">
        <v>215</v>
      </c>
      <c r="T612" t="s">
        <v>173</v>
      </c>
      <c r="U612">
        <v>4.3208907056260099E-3</v>
      </c>
      <c r="V612" t="s">
        <v>166</v>
      </c>
    </row>
    <row r="613" spans="19:22" x14ac:dyDescent="0.45">
      <c r="S613" t="s">
        <v>215</v>
      </c>
      <c r="T613" t="s">
        <v>174</v>
      </c>
      <c r="U613">
        <v>5.8651266826125495E-2</v>
      </c>
      <c r="V613" t="s">
        <v>166</v>
      </c>
    </row>
    <row r="614" spans="19:22" x14ac:dyDescent="0.45">
      <c r="S614" t="s">
        <v>215</v>
      </c>
      <c r="T614" t="s">
        <v>241</v>
      </c>
      <c r="U614">
        <v>4.0557103522641134E-3</v>
      </c>
      <c r="V614" t="s">
        <v>166</v>
      </c>
    </row>
    <row r="615" spans="19:22" x14ac:dyDescent="0.45">
      <c r="S615" t="s">
        <v>215</v>
      </c>
      <c r="T615" t="s">
        <v>242</v>
      </c>
      <c r="U615">
        <v>4.0520267980293963E-3</v>
      </c>
      <c r="V615" t="s">
        <v>166</v>
      </c>
    </row>
    <row r="616" spans="19:22" x14ac:dyDescent="0.45">
      <c r="S616" t="s">
        <v>215</v>
      </c>
      <c r="T616" t="s">
        <v>243</v>
      </c>
      <c r="U616">
        <v>4.1901763490675772E-3</v>
      </c>
      <c r="V616" t="s">
        <v>166</v>
      </c>
    </row>
    <row r="617" spans="19:22" x14ac:dyDescent="0.45">
      <c r="S617" t="s">
        <v>215</v>
      </c>
      <c r="T617" t="s">
        <v>244</v>
      </c>
      <c r="U617">
        <v>5.3571550355345783E-2</v>
      </c>
      <c r="V617" t="s">
        <v>166</v>
      </c>
    </row>
    <row r="618" spans="19:22" x14ac:dyDescent="0.45">
      <c r="S618" t="s">
        <v>215</v>
      </c>
      <c r="T618" t="s">
        <v>245</v>
      </c>
      <c r="U618">
        <v>1.0089890456193469E-2</v>
      </c>
      <c r="V618" t="s">
        <v>166</v>
      </c>
    </row>
    <row r="619" spans="19:22" x14ac:dyDescent="0.45">
      <c r="S619" t="s">
        <v>215</v>
      </c>
      <c r="T619" t="s">
        <v>246</v>
      </c>
      <c r="U619">
        <v>0.15387602348262705</v>
      </c>
      <c r="V619" t="s">
        <v>166</v>
      </c>
    </row>
    <row r="620" spans="19:22" x14ac:dyDescent="0.45">
      <c r="S620" t="s">
        <v>215</v>
      </c>
      <c r="T620" t="s">
        <v>247</v>
      </c>
      <c r="U620">
        <v>1.0980321255448138E-2</v>
      </c>
      <c r="V620" t="s">
        <v>166</v>
      </c>
    </row>
    <row r="621" spans="19:22" x14ac:dyDescent="0.45">
      <c r="S621" t="s">
        <v>215</v>
      </c>
      <c r="T621" t="s">
        <v>248</v>
      </c>
      <c r="U621">
        <v>1.1180316862147486E-2</v>
      </c>
      <c r="V621" t="s">
        <v>166</v>
      </c>
    </row>
    <row r="622" spans="19:22" x14ac:dyDescent="0.45">
      <c r="S622" t="s">
        <v>215</v>
      </c>
      <c r="T622" t="s">
        <v>249</v>
      </c>
      <c r="U622">
        <v>1.1571422338626727E-2</v>
      </c>
      <c r="V622" t="s">
        <v>166</v>
      </c>
    </row>
    <row r="623" spans="19:22" x14ac:dyDescent="0.45">
      <c r="S623" t="s">
        <v>215</v>
      </c>
      <c r="T623" t="s">
        <v>250</v>
      </c>
      <c r="U623">
        <v>1.3146286771506546E-2</v>
      </c>
      <c r="V623" t="s">
        <v>166</v>
      </c>
    </row>
    <row r="624" spans="19:22" x14ac:dyDescent="0.45">
      <c r="S624" t="s">
        <v>215</v>
      </c>
      <c r="T624" t="s">
        <v>251</v>
      </c>
      <c r="U624">
        <v>2.578853854034645E-3</v>
      </c>
      <c r="V624" t="s">
        <v>166</v>
      </c>
    </row>
    <row r="625" spans="19:22" x14ac:dyDescent="0.45">
      <c r="S625" t="s">
        <v>215</v>
      </c>
      <c r="T625" t="s">
        <v>252</v>
      </c>
      <c r="U625">
        <v>4.0210487107788968E-2</v>
      </c>
      <c r="V625" t="s">
        <v>166</v>
      </c>
    </row>
    <row r="626" spans="19:22" x14ac:dyDescent="0.45">
      <c r="S626" t="s">
        <v>215</v>
      </c>
      <c r="T626" t="s">
        <v>253</v>
      </c>
      <c r="U626">
        <v>2.9045197222167148E-3</v>
      </c>
      <c r="V626" t="s">
        <v>166</v>
      </c>
    </row>
    <row r="627" spans="19:22" x14ac:dyDescent="0.45">
      <c r="S627" t="s">
        <v>215</v>
      </c>
      <c r="T627" t="s">
        <v>254</v>
      </c>
      <c r="U627">
        <v>2.7825504593293588E-3</v>
      </c>
      <c r="V627" t="s">
        <v>166</v>
      </c>
    </row>
    <row r="628" spans="19:22" x14ac:dyDescent="0.45">
      <c r="S628" t="s">
        <v>215</v>
      </c>
      <c r="T628" t="s">
        <v>255</v>
      </c>
      <c r="U628">
        <v>2.7280085823026138E-3</v>
      </c>
      <c r="V628" t="s">
        <v>166</v>
      </c>
    </row>
    <row r="629" spans="19:22" x14ac:dyDescent="0.45">
      <c r="S629" t="s">
        <v>215</v>
      </c>
      <c r="T629" t="s">
        <v>256</v>
      </c>
      <c r="U629">
        <v>2.0740148243795747E-2</v>
      </c>
      <c r="V629" t="s">
        <v>166</v>
      </c>
    </row>
    <row r="630" spans="19:22" x14ac:dyDescent="0.45">
      <c r="S630" t="s">
        <v>215</v>
      </c>
      <c r="T630" t="s">
        <v>257</v>
      </c>
      <c r="U630">
        <v>4.2467095994268072E-3</v>
      </c>
      <c r="V630" t="s">
        <v>166</v>
      </c>
    </row>
    <row r="631" spans="19:22" x14ac:dyDescent="0.45">
      <c r="S631" t="s">
        <v>215</v>
      </c>
      <c r="T631" t="s">
        <v>258</v>
      </c>
      <c r="U631">
        <v>6.5860954308735828E-2</v>
      </c>
      <c r="V631" t="s">
        <v>166</v>
      </c>
    </row>
    <row r="632" spans="19:22" x14ac:dyDescent="0.45">
      <c r="S632" t="s">
        <v>215</v>
      </c>
      <c r="T632" t="s">
        <v>259</v>
      </c>
      <c r="U632">
        <v>4.1903159521129267E-3</v>
      </c>
      <c r="V632" t="s">
        <v>166</v>
      </c>
    </row>
    <row r="633" spans="19:22" x14ac:dyDescent="0.45">
      <c r="S633" t="s">
        <v>215</v>
      </c>
      <c r="T633" t="s">
        <v>260</v>
      </c>
      <c r="U633">
        <v>4.2514033884918524E-3</v>
      </c>
      <c r="V633" t="s">
        <v>166</v>
      </c>
    </row>
    <row r="634" spans="19:22" x14ac:dyDescent="0.45">
      <c r="S634" t="s">
        <v>215</v>
      </c>
      <c r="T634" t="s">
        <v>261</v>
      </c>
      <c r="U634">
        <v>4.4514450685064775E-3</v>
      </c>
      <c r="V634" t="s">
        <v>166</v>
      </c>
    </row>
    <row r="635" spans="19:22" x14ac:dyDescent="0.45">
      <c r="S635" t="s">
        <v>215</v>
      </c>
      <c r="T635" t="s">
        <v>262</v>
      </c>
      <c r="U635">
        <v>4.7968039396054714E-2</v>
      </c>
      <c r="V635" t="s">
        <v>166</v>
      </c>
    </row>
    <row r="636" spans="19:22" x14ac:dyDescent="0.45">
      <c r="S636" t="s">
        <v>215</v>
      </c>
      <c r="T636" t="s">
        <v>263</v>
      </c>
      <c r="U636">
        <v>9.7389349052809607E-3</v>
      </c>
      <c r="V636" t="s">
        <v>166</v>
      </c>
    </row>
    <row r="637" spans="19:22" x14ac:dyDescent="0.45">
      <c r="S637" t="s">
        <v>215</v>
      </c>
      <c r="T637" t="s">
        <v>264</v>
      </c>
      <c r="U637">
        <v>0.14519525554963417</v>
      </c>
      <c r="V637" t="s">
        <v>166</v>
      </c>
    </row>
    <row r="638" spans="19:22" x14ac:dyDescent="0.45">
      <c r="S638" t="s">
        <v>215</v>
      </c>
      <c r="T638" t="s">
        <v>265</v>
      </c>
      <c r="U638">
        <v>9.6270831334939379E-3</v>
      </c>
      <c r="V638" t="s">
        <v>166</v>
      </c>
    </row>
    <row r="639" spans="19:22" x14ac:dyDescent="0.45">
      <c r="S639" t="s">
        <v>215</v>
      </c>
      <c r="T639" t="s">
        <v>266</v>
      </c>
      <c r="U639">
        <v>9.6069355063223873E-3</v>
      </c>
      <c r="V639" t="s">
        <v>166</v>
      </c>
    </row>
    <row r="640" spans="19:22" x14ac:dyDescent="0.45">
      <c r="S640" t="s">
        <v>215</v>
      </c>
      <c r="T640" t="s">
        <v>267</v>
      </c>
      <c r="U640">
        <v>9.5223513046719371E-3</v>
      </c>
      <c r="V640" t="s">
        <v>166</v>
      </c>
    </row>
    <row r="641" spans="19:22" x14ac:dyDescent="0.45">
      <c r="S641" t="s">
        <v>216</v>
      </c>
      <c r="T641" t="s">
        <v>165</v>
      </c>
      <c r="U641">
        <v>3.07564893583409E-2</v>
      </c>
      <c r="V641" t="s">
        <v>166</v>
      </c>
    </row>
    <row r="642" spans="19:22" x14ac:dyDescent="0.45">
      <c r="S642" t="s">
        <v>216</v>
      </c>
      <c r="T642" t="s">
        <v>167</v>
      </c>
      <c r="U642">
        <v>6.1561570217082227E-3</v>
      </c>
      <c r="V642" t="s">
        <v>166</v>
      </c>
    </row>
    <row r="643" spans="19:22" x14ac:dyDescent="0.45">
      <c r="S643" t="s">
        <v>216</v>
      </c>
      <c r="T643" t="s">
        <v>168</v>
      </c>
      <c r="U643">
        <v>9.5205553459642614E-2</v>
      </c>
      <c r="V643" t="s">
        <v>166</v>
      </c>
    </row>
    <row r="644" spans="19:22" x14ac:dyDescent="0.45">
      <c r="S644" t="s">
        <v>216</v>
      </c>
      <c r="T644" t="s">
        <v>235</v>
      </c>
      <c r="U644">
        <v>6.2545124673748136E-3</v>
      </c>
      <c r="V644" t="s">
        <v>166</v>
      </c>
    </row>
    <row r="645" spans="19:22" x14ac:dyDescent="0.45">
      <c r="S645" t="s">
        <v>216</v>
      </c>
      <c r="T645" t="s">
        <v>236</v>
      </c>
      <c r="U645">
        <v>6.1395603203399166E-3</v>
      </c>
      <c r="V645" t="s">
        <v>166</v>
      </c>
    </row>
    <row r="646" spans="19:22" x14ac:dyDescent="0.45">
      <c r="S646" t="s">
        <v>216</v>
      </c>
      <c r="T646" t="s">
        <v>237</v>
      </c>
      <c r="U646">
        <v>5.981725029543499E-3</v>
      </c>
      <c r="V646" t="s">
        <v>166</v>
      </c>
    </row>
    <row r="647" spans="19:22" x14ac:dyDescent="0.45">
      <c r="S647" t="s">
        <v>216</v>
      </c>
      <c r="T647" t="s">
        <v>169</v>
      </c>
      <c r="U647">
        <v>1.7610453821633714E-2</v>
      </c>
      <c r="V647" t="s">
        <v>166</v>
      </c>
    </row>
    <row r="648" spans="19:22" x14ac:dyDescent="0.45">
      <c r="S648" t="s">
        <v>216</v>
      </c>
      <c r="T648" t="s">
        <v>170</v>
      </c>
      <c r="U648">
        <v>3.2854864402120871E-3</v>
      </c>
      <c r="V648" t="s">
        <v>166</v>
      </c>
    </row>
    <row r="649" spans="19:22" x14ac:dyDescent="0.45">
      <c r="S649" t="s">
        <v>216</v>
      </c>
      <c r="T649" t="s">
        <v>171</v>
      </c>
      <c r="U649">
        <v>5.6942933236327507E-2</v>
      </c>
      <c r="V649" t="s">
        <v>166</v>
      </c>
    </row>
    <row r="650" spans="19:22" x14ac:dyDescent="0.45">
      <c r="S650" t="s">
        <v>216</v>
      </c>
      <c r="T650" t="s">
        <v>238</v>
      </c>
      <c r="U650">
        <v>4.1844974922460127E-3</v>
      </c>
      <c r="V650" t="s">
        <v>166</v>
      </c>
    </row>
    <row r="651" spans="19:22" x14ac:dyDescent="0.45">
      <c r="S651" t="s">
        <v>216</v>
      </c>
      <c r="T651" t="s">
        <v>239</v>
      </c>
      <c r="U651">
        <v>4.0205083482245454E-3</v>
      </c>
      <c r="V651" t="s">
        <v>166</v>
      </c>
    </row>
    <row r="652" spans="19:22" x14ac:dyDescent="0.45">
      <c r="S652" t="s">
        <v>216</v>
      </c>
      <c r="T652" t="s">
        <v>240</v>
      </c>
      <c r="U652">
        <v>3.9348869722714355E-3</v>
      </c>
      <c r="V652" t="s">
        <v>166</v>
      </c>
    </row>
    <row r="653" spans="19:22" x14ac:dyDescent="0.45">
      <c r="S653" t="s">
        <v>216</v>
      </c>
      <c r="T653" t="s">
        <v>172</v>
      </c>
      <c r="U653">
        <v>2.0628695865750415E-2</v>
      </c>
      <c r="V653" t="s">
        <v>166</v>
      </c>
    </row>
    <row r="654" spans="19:22" x14ac:dyDescent="0.45">
      <c r="S654" t="s">
        <v>216</v>
      </c>
      <c r="T654" t="s">
        <v>173</v>
      </c>
      <c r="U654">
        <v>4.3336970139036413E-3</v>
      </c>
      <c r="V654" t="s">
        <v>166</v>
      </c>
    </row>
    <row r="655" spans="19:22" x14ac:dyDescent="0.45">
      <c r="S655" t="s">
        <v>216</v>
      </c>
      <c r="T655" t="s">
        <v>174</v>
      </c>
      <c r="U655">
        <v>5.9297599587658692E-2</v>
      </c>
      <c r="V655" t="s">
        <v>166</v>
      </c>
    </row>
    <row r="656" spans="19:22" x14ac:dyDescent="0.45">
      <c r="S656" t="s">
        <v>216</v>
      </c>
      <c r="T656" t="s">
        <v>241</v>
      </c>
      <c r="U656">
        <v>4.103370213776541E-3</v>
      </c>
      <c r="V656" t="s">
        <v>166</v>
      </c>
    </row>
    <row r="657" spans="19:22" x14ac:dyDescent="0.45">
      <c r="S657" t="s">
        <v>216</v>
      </c>
      <c r="T657" t="s">
        <v>242</v>
      </c>
      <c r="U657">
        <v>4.087027606610687E-3</v>
      </c>
      <c r="V657" t="s">
        <v>166</v>
      </c>
    </row>
    <row r="658" spans="19:22" x14ac:dyDescent="0.45">
      <c r="S658" t="s">
        <v>216</v>
      </c>
      <c r="T658" t="s">
        <v>243</v>
      </c>
      <c r="U658">
        <v>4.2227355560467313E-3</v>
      </c>
      <c r="V658" t="s">
        <v>166</v>
      </c>
    </row>
    <row r="659" spans="19:22" x14ac:dyDescent="0.45">
      <c r="S659" t="s">
        <v>216</v>
      </c>
      <c r="T659" t="s">
        <v>244</v>
      </c>
      <c r="U659">
        <v>5.0931096742147845E-2</v>
      </c>
      <c r="V659" t="s">
        <v>166</v>
      </c>
    </row>
    <row r="660" spans="19:22" x14ac:dyDescent="0.45">
      <c r="S660" t="s">
        <v>216</v>
      </c>
      <c r="T660" t="s">
        <v>245</v>
      </c>
      <c r="U660">
        <v>9.3633859461826324E-3</v>
      </c>
      <c r="V660" t="s">
        <v>166</v>
      </c>
    </row>
    <row r="661" spans="19:22" x14ac:dyDescent="0.45">
      <c r="S661" t="s">
        <v>216</v>
      </c>
      <c r="T661" t="s">
        <v>246</v>
      </c>
      <c r="U661">
        <v>0.15053363401051453</v>
      </c>
      <c r="V661" t="s">
        <v>166</v>
      </c>
    </row>
    <row r="662" spans="19:22" x14ac:dyDescent="0.45">
      <c r="S662" t="s">
        <v>216</v>
      </c>
      <c r="T662" t="s">
        <v>247</v>
      </c>
      <c r="U662">
        <v>1.1326911629637212E-2</v>
      </c>
      <c r="V662" t="s">
        <v>166</v>
      </c>
    </row>
    <row r="663" spans="19:22" x14ac:dyDescent="0.45">
      <c r="S663" t="s">
        <v>216</v>
      </c>
      <c r="T663" t="s">
        <v>248</v>
      </c>
      <c r="U663">
        <v>1.138464271191811E-2</v>
      </c>
      <c r="V663" t="s">
        <v>166</v>
      </c>
    </row>
    <row r="664" spans="19:22" x14ac:dyDescent="0.45">
      <c r="S664" t="s">
        <v>216</v>
      </c>
      <c r="T664" t="s">
        <v>249</v>
      </c>
      <c r="U664">
        <v>1.191035087085592E-2</v>
      </c>
      <c r="V664" t="s">
        <v>166</v>
      </c>
    </row>
    <row r="665" spans="19:22" x14ac:dyDescent="0.45">
      <c r="S665" t="s">
        <v>216</v>
      </c>
      <c r="T665" t="s">
        <v>250</v>
      </c>
      <c r="U665">
        <v>1.3157665752636646E-2</v>
      </c>
      <c r="V665" t="s">
        <v>166</v>
      </c>
    </row>
    <row r="666" spans="19:22" x14ac:dyDescent="0.45">
      <c r="S666" t="s">
        <v>216</v>
      </c>
      <c r="T666" t="s">
        <v>251</v>
      </c>
      <c r="U666">
        <v>2.5381230005293532E-3</v>
      </c>
      <c r="V666" t="s">
        <v>166</v>
      </c>
    </row>
    <row r="667" spans="19:22" x14ac:dyDescent="0.45">
      <c r="S667" t="s">
        <v>216</v>
      </c>
      <c r="T667" t="s">
        <v>252</v>
      </c>
      <c r="U667">
        <v>3.9062425159473557E-2</v>
      </c>
      <c r="V667" t="s">
        <v>166</v>
      </c>
    </row>
    <row r="668" spans="19:22" x14ac:dyDescent="0.45">
      <c r="S668" t="s">
        <v>216</v>
      </c>
      <c r="T668" t="s">
        <v>253</v>
      </c>
      <c r="U668">
        <v>2.8207027933514609E-3</v>
      </c>
      <c r="V668" t="s">
        <v>166</v>
      </c>
    </row>
    <row r="669" spans="19:22" x14ac:dyDescent="0.45">
      <c r="S669" t="s">
        <v>216</v>
      </c>
      <c r="T669" t="s">
        <v>254</v>
      </c>
      <c r="U669">
        <v>2.6889185839954945E-3</v>
      </c>
      <c r="V669" t="s">
        <v>166</v>
      </c>
    </row>
    <row r="670" spans="19:22" x14ac:dyDescent="0.45">
      <c r="S670" t="s">
        <v>216</v>
      </c>
      <c r="T670" t="s">
        <v>255</v>
      </c>
      <c r="U670">
        <v>2.7779134105991327E-3</v>
      </c>
      <c r="V670" t="s">
        <v>166</v>
      </c>
    </row>
    <row r="671" spans="19:22" x14ac:dyDescent="0.45">
      <c r="S671" t="s">
        <v>216</v>
      </c>
      <c r="T671" t="s">
        <v>256</v>
      </c>
      <c r="U671">
        <v>2.1669241178021131E-2</v>
      </c>
      <c r="V671" t="s">
        <v>166</v>
      </c>
    </row>
    <row r="672" spans="19:22" x14ac:dyDescent="0.45">
      <c r="S672" t="s">
        <v>216</v>
      </c>
      <c r="T672" t="s">
        <v>257</v>
      </c>
      <c r="U672">
        <v>4.4776437067830044E-3</v>
      </c>
      <c r="V672" t="s">
        <v>166</v>
      </c>
    </row>
    <row r="673" spans="19:22" x14ac:dyDescent="0.45">
      <c r="S673" t="s">
        <v>216</v>
      </c>
      <c r="T673" t="s">
        <v>258</v>
      </c>
      <c r="U673">
        <v>6.6423118364435443E-2</v>
      </c>
      <c r="V673" t="s">
        <v>166</v>
      </c>
    </row>
    <row r="674" spans="19:22" x14ac:dyDescent="0.45">
      <c r="S674" t="s">
        <v>216</v>
      </c>
      <c r="T674" t="s">
        <v>259</v>
      </c>
      <c r="U674">
        <v>4.2897872502588932E-3</v>
      </c>
      <c r="V674" t="s">
        <v>166</v>
      </c>
    </row>
    <row r="675" spans="19:22" x14ac:dyDescent="0.45">
      <c r="S675" t="s">
        <v>216</v>
      </c>
      <c r="T675" t="s">
        <v>260</v>
      </c>
      <c r="U675">
        <v>4.3182992127484155E-3</v>
      </c>
      <c r="V675" t="s">
        <v>166</v>
      </c>
    </row>
    <row r="676" spans="19:22" x14ac:dyDescent="0.45">
      <c r="S676" t="s">
        <v>216</v>
      </c>
      <c r="T676" t="s">
        <v>261</v>
      </c>
      <c r="U676">
        <v>4.4310003110921304E-3</v>
      </c>
      <c r="V676" t="s">
        <v>166</v>
      </c>
    </row>
    <row r="677" spans="19:22" x14ac:dyDescent="0.45">
      <c r="S677" t="s">
        <v>216</v>
      </c>
      <c r="T677" t="s">
        <v>262</v>
      </c>
      <c r="U677">
        <v>5.1439576523424756E-2</v>
      </c>
      <c r="V677" t="s">
        <v>166</v>
      </c>
    </row>
    <row r="678" spans="19:22" x14ac:dyDescent="0.45">
      <c r="S678" t="s">
        <v>216</v>
      </c>
      <c r="T678" t="s">
        <v>263</v>
      </c>
      <c r="U678">
        <v>1.0283069517241504E-2</v>
      </c>
      <c r="V678" t="s">
        <v>166</v>
      </c>
    </row>
    <row r="679" spans="19:22" x14ac:dyDescent="0.45">
      <c r="S679" t="s">
        <v>216</v>
      </c>
      <c r="T679" t="s">
        <v>264</v>
      </c>
      <c r="U679">
        <v>0.15567332424989905</v>
      </c>
      <c r="V679" t="s">
        <v>166</v>
      </c>
    </row>
    <row r="680" spans="19:22" x14ac:dyDescent="0.45">
      <c r="S680" t="s">
        <v>216</v>
      </c>
      <c r="T680" t="s">
        <v>265</v>
      </c>
      <c r="U680">
        <v>1.0539666039723774E-2</v>
      </c>
      <c r="V680" t="s">
        <v>166</v>
      </c>
    </row>
    <row r="681" spans="19:22" x14ac:dyDescent="0.45">
      <c r="S681" t="s">
        <v>216</v>
      </c>
      <c r="T681" t="s">
        <v>266</v>
      </c>
      <c r="U681">
        <v>1.0454155030464376E-2</v>
      </c>
      <c r="V681" t="s">
        <v>166</v>
      </c>
    </row>
    <row r="682" spans="19:22" x14ac:dyDescent="0.45">
      <c r="S682" t="s">
        <v>216</v>
      </c>
      <c r="T682" t="s">
        <v>267</v>
      </c>
      <c r="U682">
        <v>1.0359458192454121E-2</v>
      </c>
      <c r="V682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D9ED-6915-42B6-8F5D-6F006D61392A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217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223</v>
      </c>
      <c r="AK10" t="s">
        <v>47</v>
      </c>
      <c r="AL10" t="s">
        <v>121</v>
      </c>
      <c r="AM10" t="s">
        <v>224</v>
      </c>
      <c r="AN10" t="s">
        <v>225</v>
      </c>
    </row>
    <row r="11" spans="1:40" x14ac:dyDescent="0.45">
      <c r="A11" t="str">
        <f>IFERROR(IF(Veda!D5=A10,"ok","x"),"")</f>
        <v>ok</v>
      </c>
      <c r="C11" t="s">
        <v>270</v>
      </c>
      <c r="D11" t="s">
        <v>156</v>
      </c>
      <c r="E11" t="s">
        <v>271</v>
      </c>
      <c r="F11" t="s">
        <v>270</v>
      </c>
      <c r="G11" t="s">
        <v>156</v>
      </c>
      <c r="I11" t="s">
        <v>164</v>
      </c>
      <c r="J11" t="s">
        <v>272</v>
      </c>
      <c r="K11">
        <v>1.0000000000000004</v>
      </c>
      <c r="L11" t="s">
        <v>166</v>
      </c>
      <c r="N11" t="s">
        <v>187</v>
      </c>
      <c r="O11" t="s">
        <v>272</v>
      </c>
      <c r="P11">
        <v>0.99999999999999845</v>
      </c>
      <c r="Q11" t="s">
        <v>166</v>
      </c>
      <c r="S11" t="s">
        <v>201</v>
      </c>
      <c r="T11" t="s">
        <v>272</v>
      </c>
      <c r="U11">
        <v>1.0000000000000013</v>
      </c>
      <c r="V11" t="s">
        <v>166</v>
      </c>
      <c r="X11">
        <v>1</v>
      </c>
      <c r="Y11">
        <v>1.0000000000000002</v>
      </c>
      <c r="Z11" t="s">
        <v>272</v>
      </c>
      <c r="AA11" t="s">
        <v>25</v>
      </c>
      <c r="AC11" t="s">
        <v>22</v>
      </c>
      <c r="AD11" t="s">
        <v>272</v>
      </c>
      <c r="AE11">
        <v>1</v>
      </c>
      <c r="AG11" t="s">
        <v>96</v>
      </c>
      <c r="AH11" t="s">
        <v>272</v>
      </c>
      <c r="AI11">
        <v>0.25578139057859861</v>
      </c>
      <c r="AK11">
        <v>2020</v>
      </c>
      <c r="AL11" t="s">
        <v>270</v>
      </c>
      <c r="AM11">
        <v>0.50728466875860312</v>
      </c>
      <c r="AN11" t="s">
        <v>226</v>
      </c>
    </row>
    <row r="12" spans="1:40" x14ac:dyDescent="0.45">
      <c r="I12" t="s">
        <v>175</v>
      </c>
      <c r="J12" t="s">
        <v>272</v>
      </c>
      <c r="K12">
        <v>1.0000000000000011</v>
      </c>
      <c r="L12" t="s">
        <v>166</v>
      </c>
      <c r="N12" t="s">
        <v>188</v>
      </c>
      <c r="O12" t="s">
        <v>272</v>
      </c>
      <c r="P12">
        <v>0.99999999999999989</v>
      </c>
      <c r="Q12" t="s">
        <v>166</v>
      </c>
      <c r="S12" t="s">
        <v>202</v>
      </c>
      <c r="T12" t="s">
        <v>272</v>
      </c>
      <c r="U12">
        <v>0.99999999999999822</v>
      </c>
      <c r="V12" t="s">
        <v>166</v>
      </c>
      <c r="AC12" t="s">
        <v>19</v>
      </c>
      <c r="AD12" t="s">
        <v>272</v>
      </c>
      <c r="AE12">
        <v>1</v>
      </c>
      <c r="AK12">
        <v>2021</v>
      </c>
      <c r="AL12" t="s">
        <v>270</v>
      </c>
      <c r="AM12">
        <v>0.51673296934595114</v>
      </c>
      <c r="AN12" t="s">
        <v>226</v>
      </c>
    </row>
    <row r="13" spans="1:40" x14ac:dyDescent="0.45">
      <c r="I13" t="s">
        <v>176</v>
      </c>
      <c r="J13" t="s">
        <v>272</v>
      </c>
      <c r="K13">
        <v>0.99999999999999811</v>
      </c>
      <c r="L13" t="s">
        <v>166</v>
      </c>
      <c r="N13" t="s">
        <v>189</v>
      </c>
      <c r="O13" t="s">
        <v>272</v>
      </c>
      <c r="P13">
        <v>1.0000000000000029</v>
      </c>
      <c r="Q13" t="s">
        <v>166</v>
      </c>
      <c r="S13" t="s">
        <v>203</v>
      </c>
      <c r="T13" t="s">
        <v>272</v>
      </c>
      <c r="U13">
        <v>1.0000000000000004</v>
      </c>
      <c r="V13" t="s">
        <v>166</v>
      </c>
      <c r="AK13">
        <v>2022</v>
      </c>
      <c r="AL13" t="s">
        <v>270</v>
      </c>
      <c r="AM13">
        <v>0.48574881150117183</v>
      </c>
      <c r="AN13" t="s">
        <v>226</v>
      </c>
    </row>
    <row r="14" spans="1:40" x14ac:dyDescent="0.45">
      <c r="I14" t="s">
        <v>177</v>
      </c>
      <c r="J14" t="s">
        <v>272</v>
      </c>
      <c r="K14">
        <v>0.99999999999999589</v>
      </c>
      <c r="L14" t="s">
        <v>166</v>
      </c>
      <c r="N14" t="s">
        <v>190</v>
      </c>
      <c r="O14" t="s">
        <v>272</v>
      </c>
      <c r="P14">
        <v>1.0000000000000002</v>
      </c>
      <c r="Q14" t="s">
        <v>166</v>
      </c>
      <c r="S14" t="s">
        <v>204</v>
      </c>
      <c r="T14" t="s">
        <v>272</v>
      </c>
      <c r="U14">
        <v>0.99999999999999534</v>
      </c>
      <c r="V14" t="s">
        <v>166</v>
      </c>
      <c r="AK14">
        <v>2025</v>
      </c>
      <c r="AL14" t="s">
        <v>270</v>
      </c>
      <c r="AM14">
        <v>0.46467499999999995</v>
      </c>
      <c r="AN14" t="s">
        <v>226</v>
      </c>
    </row>
    <row r="15" spans="1:40" x14ac:dyDescent="0.45">
      <c r="I15" t="s">
        <v>178</v>
      </c>
      <c r="J15" t="s">
        <v>272</v>
      </c>
      <c r="K15">
        <v>1.0000000000000009</v>
      </c>
      <c r="L15" t="s">
        <v>166</v>
      </c>
      <c r="N15" t="s">
        <v>191</v>
      </c>
      <c r="O15" t="s">
        <v>272</v>
      </c>
      <c r="P15">
        <v>0.99999999999999778</v>
      </c>
      <c r="Q15" t="s">
        <v>166</v>
      </c>
      <c r="S15" t="s">
        <v>205</v>
      </c>
      <c r="T15" t="s">
        <v>272</v>
      </c>
      <c r="U15">
        <v>0.99999999999999911</v>
      </c>
      <c r="V15" t="s">
        <v>166</v>
      </c>
      <c r="AK15">
        <v>2026</v>
      </c>
      <c r="AL15" t="s">
        <v>270</v>
      </c>
      <c r="AM15">
        <v>0.47120000000000006</v>
      </c>
      <c r="AN15" t="s">
        <v>226</v>
      </c>
    </row>
    <row r="16" spans="1:40" x14ac:dyDescent="0.45">
      <c r="I16" t="s">
        <v>179</v>
      </c>
      <c r="J16" t="s">
        <v>272</v>
      </c>
      <c r="K16">
        <v>0.99999999999999911</v>
      </c>
      <c r="L16" t="s">
        <v>166</v>
      </c>
      <c r="N16" t="s">
        <v>192</v>
      </c>
      <c r="O16" t="s">
        <v>272</v>
      </c>
      <c r="P16">
        <v>0.99999999999999911</v>
      </c>
      <c r="Q16" t="s">
        <v>166</v>
      </c>
      <c r="S16" t="s">
        <v>206</v>
      </c>
      <c r="T16" t="s">
        <v>272</v>
      </c>
      <c r="U16">
        <v>0.99999999999999944</v>
      </c>
      <c r="V16" t="s">
        <v>166</v>
      </c>
      <c r="AK16">
        <v>2027</v>
      </c>
      <c r="AL16" t="s">
        <v>270</v>
      </c>
      <c r="AM16">
        <v>0.46404166666666669</v>
      </c>
      <c r="AN16" t="s">
        <v>226</v>
      </c>
    </row>
    <row r="17" spans="9:40" x14ac:dyDescent="0.45">
      <c r="I17" t="s">
        <v>180</v>
      </c>
      <c r="J17" t="s">
        <v>272</v>
      </c>
      <c r="K17">
        <v>0.99999999999999944</v>
      </c>
      <c r="L17" t="s">
        <v>166</v>
      </c>
      <c r="N17" t="s">
        <v>193</v>
      </c>
      <c r="O17" t="s">
        <v>272</v>
      </c>
      <c r="P17">
        <v>1.0000000000000013</v>
      </c>
      <c r="Q17" t="s">
        <v>166</v>
      </c>
      <c r="S17" t="s">
        <v>207</v>
      </c>
      <c r="T17" t="s">
        <v>272</v>
      </c>
      <c r="U17">
        <v>1.0000000000000056</v>
      </c>
      <c r="V17" t="s">
        <v>166</v>
      </c>
      <c r="AK17">
        <v>2028</v>
      </c>
      <c r="AL17" t="s">
        <v>270</v>
      </c>
      <c r="AM17">
        <v>0.4780416666666667</v>
      </c>
      <c r="AN17" t="s">
        <v>226</v>
      </c>
    </row>
    <row r="18" spans="9:40" x14ac:dyDescent="0.45">
      <c r="I18" t="s">
        <v>181</v>
      </c>
      <c r="J18" t="s">
        <v>272</v>
      </c>
      <c r="K18">
        <v>0.99999999999999978</v>
      </c>
      <c r="L18" t="s">
        <v>166</v>
      </c>
      <c r="N18" t="s">
        <v>194</v>
      </c>
      <c r="O18" t="s">
        <v>272</v>
      </c>
      <c r="P18">
        <v>1.0000000000000049</v>
      </c>
      <c r="Q18" t="s">
        <v>166</v>
      </c>
      <c r="S18" t="s">
        <v>208</v>
      </c>
      <c r="T18" t="s">
        <v>272</v>
      </c>
      <c r="U18">
        <v>0.99999999999999778</v>
      </c>
      <c r="V18" t="s">
        <v>166</v>
      </c>
      <c r="AK18">
        <v>2029</v>
      </c>
      <c r="AL18" t="s">
        <v>270</v>
      </c>
      <c r="AM18">
        <v>0.47858333333333331</v>
      </c>
      <c r="AN18" t="s">
        <v>226</v>
      </c>
    </row>
    <row r="19" spans="9:40" x14ac:dyDescent="0.45">
      <c r="I19" t="s">
        <v>182</v>
      </c>
      <c r="J19" t="s">
        <v>272</v>
      </c>
      <c r="K19">
        <v>1.0000000000000029</v>
      </c>
      <c r="L19" t="s">
        <v>166</v>
      </c>
      <c r="N19" t="s">
        <v>195</v>
      </c>
      <c r="O19" t="s">
        <v>272</v>
      </c>
      <c r="P19">
        <v>0.99999999999999634</v>
      </c>
      <c r="Q19" t="s">
        <v>166</v>
      </c>
      <c r="S19" t="s">
        <v>209</v>
      </c>
      <c r="T19" t="s">
        <v>272</v>
      </c>
      <c r="U19">
        <v>0.99999999999999922</v>
      </c>
      <c r="V19" t="s">
        <v>166</v>
      </c>
      <c r="AK19">
        <v>2030</v>
      </c>
      <c r="AL19" t="s">
        <v>270</v>
      </c>
      <c r="AM19">
        <v>0.45908333333333334</v>
      </c>
      <c r="AN19" t="s">
        <v>226</v>
      </c>
    </row>
    <row r="20" spans="9:40" x14ac:dyDescent="0.45">
      <c r="I20" t="s">
        <v>183</v>
      </c>
      <c r="J20" t="s">
        <v>272</v>
      </c>
      <c r="K20">
        <v>1.0000000000000027</v>
      </c>
      <c r="L20" t="s">
        <v>166</v>
      </c>
      <c r="N20" t="s">
        <v>196</v>
      </c>
      <c r="O20" t="s">
        <v>272</v>
      </c>
      <c r="P20">
        <v>0.999999999999997</v>
      </c>
      <c r="Q20" t="s">
        <v>166</v>
      </c>
      <c r="S20" t="s">
        <v>210</v>
      </c>
      <c r="T20" t="s">
        <v>272</v>
      </c>
      <c r="U20">
        <v>1.0000000000000013</v>
      </c>
      <c r="V20" t="s">
        <v>166</v>
      </c>
      <c r="AK20">
        <v>2031</v>
      </c>
      <c r="AL20" t="s">
        <v>270</v>
      </c>
      <c r="AM20">
        <v>0.3975583333333334</v>
      </c>
      <c r="AN20" t="s">
        <v>226</v>
      </c>
    </row>
    <row r="21" spans="9:40" x14ac:dyDescent="0.45">
      <c r="I21" t="s">
        <v>184</v>
      </c>
      <c r="J21" t="s">
        <v>272</v>
      </c>
      <c r="K21">
        <v>1.0000000000000016</v>
      </c>
      <c r="L21" t="s">
        <v>166</v>
      </c>
      <c r="N21" t="s">
        <v>197</v>
      </c>
      <c r="O21" t="s">
        <v>272</v>
      </c>
      <c r="P21">
        <v>0.99999999999999711</v>
      </c>
      <c r="Q21" t="s">
        <v>166</v>
      </c>
      <c r="S21" t="s">
        <v>211</v>
      </c>
      <c r="T21" t="s">
        <v>272</v>
      </c>
      <c r="U21">
        <v>0.99999999999999722</v>
      </c>
      <c r="V21" t="s">
        <v>166</v>
      </c>
      <c r="AK21">
        <v>2032</v>
      </c>
      <c r="AL21" t="s">
        <v>270</v>
      </c>
      <c r="AM21">
        <v>0.40195833333333336</v>
      </c>
      <c r="AN21" t="s">
        <v>226</v>
      </c>
    </row>
    <row r="22" spans="9:40" x14ac:dyDescent="0.45">
      <c r="I22" t="s">
        <v>185</v>
      </c>
      <c r="J22" t="s">
        <v>272</v>
      </c>
      <c r="K22">
        <v>0.99999999999999745</v>
      </c>
      <c r="L22" t="s">
        <v>166</v>
      </c>
      <c r="N22" t="s">
        <v>198</v>
      </c>
      <c r="O22" t="s">
        <v>272</v>
      </c>
      <c r="P22">
        <v>0.99999999999999745</v>
      </c>
      <c r="Q22" t="s">
        <v>166</v>
      </c>
      <c r="S22" t="s">
        <v>212</v>
      </c>
      <c r="T22" t="s">
        <v>272</v>
      </c>
      <c r="U22">
        <v>1.0000000000000029</v>
      </c>
      <c r="V22" t="s">
        <v>166</v>
      </c>
      <c r="AK22">
        <v>2033</v>
      </c>
      <c r="AL22" t="s">
        <v>270</v>
      </c>
      <c r="AM22">
        <v>0.4044666666666667</v>
      </c>
      <c r="AN22" t="s">
        <v>226</v>
      </c>
    </row>
    <row r="23" spans="9:40" x14ac:dyDescent="0.45">
      <c r="I23" t="s">
        <v>186</v>
      </c>
      <c r="J23" t="s">
        <v>272</v>
      </c>
      <c r="K23">
        <v>0.99999999999999767</v>
      </c>
      <c r="L23" t="s">
        <v>166</v>
      </c>
      <c r="N23" t="s">
        <v>199</v>
      </c>
      <c r="O23" t="s">
        <v>272</v>
      </c>
      <c r="P23">
        <v>1.000000000000002</v>
      </c>
      <c r="Q23" t="s">
        <v>166</v>
      </c>
      <c r="S23" t="s">
        <v>213</v>
      </c>
      <c r="T23" t="s">
        <v>272</v>
      </c>
      <c r="U23">
        <v>0.99999999999999611</v>
      </c>
      <c r="V23" t="s">
        <v>166</v>
      </c>
      <c r="AK23">
        <v>2034</v>
      </c>
      <c r="AL23" t="s">
        <v>270</v>
      </c>
      <c r="AM23">
        <v>0.40492500000000003</v>
      </c>
      <c r="AN23" t="s">
        <v>226</v>
      </c>
    </row>
    <row r="24" spans="9:40" x14ac:dyDescent="0.45">
      <c r="N24" t="s">
        <v>200</v>
      </c>
      <c r="O24" t="s">
        <v>272</v>
      </c>
      <c r="P24">
        <v>1.0000000000000004</v>
      </c>
      <c r="Q24" t="s">
        <v>166</v>
      </c>
      <c r="S24" t="s">
        <v>214</v>
      </c>
      <c r="T24" t="s">
        <v>272</v>
      </c>
      <c r="U24">
        <v>1.0000000000000002</v>
      </c>
      <c r="V24" t="s">
        <v>166</v>
      </c>
      <c r="AK24">
        <v>2035</v>
      </c>
      <c r="AL24" t="s">
        <v>270</v>
      </c>
      <c r="AM24">
        <v>0.52086666666666659</v>
      </c>
      <c r="AN24" t="s">
        <v>226</v>
      </c>
    </row>
    <row r="25" spans="9:40" x14ac:dyDescent="0.45">
      <c r="S25" t="s">
        <v>215</v>
      </c>
      <c r="T25" t="s">
        <v>272</v>
      </c>
      <c r="U25">
        <v>0.99999999999999856</v>
      </c>
      <c r="V25" t="s">
        <v>166</v>
      </c>
      <c r="AK25">
        <v>2036</v>
      </c>
      <c r="AL25" t="s">
        <v>270</v>
      </c>
      <c r="AM25">
        <v>0.53885000000000005</v>
      </c>
      <c r="AN25" t="s">
        <v>226</v>
      </c>
    </row>
    <row r="26" spans="9:40" x14ac:dyDescent="0.45">
      <c r="S26" t="s">
        <v>216</v>
      </c>
      <c r="T26" t="s">
        <v>272</v>
      </c>
      <c r="U26">
        <v>1.0000000000000004</v>
      </c>
      <c r="V26" t="s">
        <v>166</v>
      </c>
      <c r="AK26">
        <v>2037</v>
      </c>
      <c r="AL26" t="s">
        <v>270</v>
      </c>
      <c r="AM26">
        <v>0.45680833333333332</v>
      </c>
      <c r="AN26" t="s">
        <v>226</v>
      </c>
    </row>
    <row r="27" spans="9:40" x14ac:dyDescent="0.45">
      <c r="AK27">
        <v>2038</v>
      </c>
      <c r="AL27" t="s">
        <v>270</v>
      </c>
      <c r="AM27">
        <v>0.40529999999999999</v>
      </c>
      <c r="AN27" t="s">
        <v>226</v>
      </c>
    </row>
    <row r="28" spans="9:40" x14ac:dyDescent="0.45">
      <c r="AK28">
        <v>2039</v>
      </c>
      <c r="AL28" t="s">
        <v>270</v>
      </c>
      <c r="AM28">
        <v>0.38533333333333336</v>
      </c>
      <c r="AN28" t="s">
        <v>226</v>
      </c>
    </row>
    <row r="29" spans="9:40" x14ac:dyDescent="0.45">
      <c r="AK29">
        <v>2040</v>
      </c>
      <c r="AL29" t="s">
        <v>270</v>
      </c>
      <c r="AM29">
        <v>0.45974999999999994</v>
      </c>
      <c r="AN29" t="s">
        <v>226</v>
      </c>
    </row>
    <row r="30" spans="9:40" x14ac:dyDescent="0.45">
      <c r="AK30">
        <v>2041</v>
      </c>
      <c r="AL30" t="s">
        <v>270</v>
      </c>
      <c r="AM30">
        <v>0.48012499999999997</v>
      </c>
      <c r="AN30" t="s">
        <v>226</v>
      </c>
    </row>
    <row r="31" spans="9:40" x14ac:dyDescent="0.45">
      <c r="AK31">
        <v>2042</v>
      </c>
      <c r="AL31" t="s">
        <v>270</v>
      </c>
      <c r="AM31">
        <v>0.46600000000000003</v>
      </c>
      <c r="AN31" t="s">
        <v>226</v>
      </c>
    </row>
    <row r="32" spans="9:40" x14ac:dyDescent="0.45">
      <c r="AK32">
        <v>2043</v>
      </c>
      <c r="AL32" t="s">
        <v>270</v>
      </c>
      <c r="AM32">
        <v>0.46520833333333339</v>
      </c>
      <c r="AN32" t="s">
        <v>226</v>
      </c>
    </row>
    <row r="33" spans="37:40" x14ac:dyDescent="0.45">
      <c r="AK33">
        <v>2044</v>
      </c>
      <c r="AL33" t="s">
        <v>270</v>
      </c>
      <c r="AM33">
        <v>0.45428333333333337</v>
      </c>
      <c r="AN33" t="s">
        <v>226</v>
      </c>
    </row>
    <row r="34" spans="37:40" x14ac:dyDescent="0.45">
      <c r="AK34">
        <v>2045</v>
      </c>
      <c r="AL34" t="s">
        <v>270</v>
      </c>
      <c r="AM34">
        <v>0.46401666666666669</v>
      </c>
      <c r="AN34" t="s">
        <v>226</v>
      </c>
    </row>
    <row r="35" spans="37:40" x14ac:dyDescent="0.45">
      <c r="AK35">
        <v>2046</v>
      </c>
      <c r="AL35" t="s">
        <v>270</v>
      </c>
      <c r="AM35">
        <v>0.4630083333333333</v>
      </c>
      <c r="AN35" t="s">
        <v>226</v>
      </c>
    </row>
    <row r="36" spans="37:40" x14ac:dyDescent="0.45">
      <c r="AK36">
        <v>2047</v>
      </c>
      <c r="AL36" t="s">
        <v>270</v>
      </c>
      <c r="AM36">
        <v>0.46986666666666665</v>
      </c>
      <c r="AN36" t="s">
        <v>226</v>
      </c>
    </row>
    <row r="37" spans="37:40" x14ac:dyDescent="0.45">
      <c r="AK37">
        <v>2048</v>
      </c>
      <c r="AL37" t="s">
        <v>270</v>
      </c>
      <c r="AM37">
        <v>0.47679166666666672</v>
      </c>
      <c r="AN37" t="s">
        <v>226</v>
      </c>
    </row>
    <row r="38" spans="37:40" x14ac:dyDescent="0.45">
      <c r="AK38">
        <v>2049</v>
      </c>
      <c r="AL38" t="s">
        <v>270</v>
      </c>
      <c r="AM38">
        <v>0.46458333333333329</v>
      </c>
      <c r="AN38" t="s">
        <v>226</v>
      </c>
    </row>
    <row r="39" spans="37:40" x14ac:dyDescent="0.45">
      <c r="AK39">
        <v>2050</v>
      </c>
      <c r="AL39" t="s">
        <v>270</v>
      </c>
      <c r="AM39">
        <v>0.47925833333333334</v>
      </c>
      <c r="AN39" t="s">
        <v>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C005-FA0E-4E54-9923-C85D8EE90FAC}">
  <dimension ref="A9:AN202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217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223</v>
      </c>
      <c r="AK10" t="s">
        <v>47</v>
      </c>
      <c r="AL10" t="s">
        <v>121</v>
      </c>
      <c r="AM10" t="s">
        <v>224</v>
      </c>
      <c r="AN10" t="s">
        <v>225</v>
      </c>
    </row>
    <row r="11" spans="1:40" x14ac:dyDescent="0.45">
      <c r="A11" t="str">
        <f>IFERROR(IF(Veda!D5=A10,"ok","x"),"")</f>
        <v>x</v>
      </c>
      <c r="C11" t="s">
        <v>273</v>
      </c>
      <c r="D11" t="s">
        <v>156</v>
      </c>
      <c r="E11" t="s">
        <v>219</v>
      </c>
      <c r="F11" t="s">
        <v>274</v>
      </c>
      <c r="G11" t="s">
        <v>156</v>
      </c>
      <c r="I11" t="s">
        <v>164</v>
      </c>
      <c r="J11" t="s">
        <v>279</v>
      </c>
      <c r="K11">
        <v>0.13914499281372608</v>
      </c>
      <c r="L11" t="s">
        <v>166</v>
      </c>
      <c r="N11" t="s">
        <v>187</v>
      </c>
      <c r="O11" t="s">
        <v>279</v>
      </c>
      <c r="P11">
        <v>0.1231356158068474</v>
      </c>
      <c r="Q11" t="s">
        <v>166</v>
      </c>
      <c r="S11" t="s">
        <v>201</v>
      </c>
      <c r="T11" t="s">
        <v>279</v>
      </c>
      <c r="U11">
        <v>0.12120632178877219</v>
      </c>
      <c r="V11" t="s">
        <v>166</v>
      </c>
      <c r="X11">
        <v>0.11426940639269406</v>
      </c>
      <c r="Y11">
        <v>0.16087081189037786</v>
      </c>
      <c r="Z11" t="s">
        <v>279</v>
      </c>
      <c r="AA11" t="s">
        <v>25</v>
      </c>
      <c r="AC11" t="s">
        <v>22</v>
      </c>
      <c r="AD11" t="s">
        <v>279</v>
      </c>
      <c r="AE11">
        <v>0.11784322148612926</v>
      </c>
      <c r="AG11" t="s">
        <v>96</v>
      </c>
      <c r="AH11" t="s">
        <v>279</v>
      </c>
      <c r="AI11">
        <v>0.10049346960741956</v>
      </c>
      <c r="AK11">
        <v>2020</v>
      </c>
      <c r="AL11" t="s">
        <v>273</v>
      </c>
      <c r="AM11">
        <v>0.4765048412214774</v>
      </c>
      <c r="AN11" t="s">
        <v>226</v>
      </c>
    </row>
    <row r="12" spans="1:40" x14ac:dyDescent="0.45">
      <c r="C12" t="s">
        <v>275</v>
      </c>
      <c r="E12" t="s">
        <v>221</v>
      </c>
      <c r="G12" t="s">
        <v>156</v>
      </c>
      <c r="I12" t="s">
        <v>164</v>
      </c>
      <c r="J12" t="s">
        <v>280</v>
      </c>
      <c r="K12">
        <v>3.0719652511782534E-4</v>
      </c>
      <c r="L12" t="s">
        <v>166</v>
      </c>
      <c r="N12" t="s">
        <v>187</v>
      </c>
      <c r="O12" t="s">
        <v>280</v>
      </c>
      <c r="P12">
        <v>0.1256151844677787</v>
      </c>
      <c r="Q12" t="s">
        <v>166</v>
      </c>
      <c r="S12" t="s">
        <v>201</v>
      </c>
      <c r="T12" t="s">
        <v>280</v>
      </c>
      <c r="U12">
        <v>0.12478330838777597</v>
      </c>
      <c r="V12" t="s">
        <v>166</v>
      </c>
      <c r="X12">
        <v>0.11426940639269406</v>
      </c>
      <c r="Y12">
        <v>5.2547713165767528E-2</v>
      </c>
      <c r="Z12" t="s">
        <v>280</v>
      </c>
      <c r="AA12" t="s">
        <v>25</v>
      </c>
      <c r="AC12" t="s">
        <v>22</v>
      </c>
      <c r="AD12" t="s">
        <v>280</v>
      </c>
      <c r="AE12">
        <v>9.642261808549342E-2</v>
      </c>
      <c r="AG12" t="s">
        <v>96</v>
      </c>
      <c r="AH12" t="s">
        <v>280</v>
      </c>
      <c r="AI12">
        <v>0.23477374692459829</v>
      </c>
      <c r="AK12">
        <v>2020</v>
      </c>
      <c r="AL12" t="s">
        <v>275</v>
      </c>
      <c r="AM12">
        <v>0.54639840642671333</v>
      </c>
      <c r="AN12" t="s">
        <v>226</v>
      </c>
    </row>
    <row r="13" spans="1:40" x14ac:dyDescent="0.45">
      <c r="C13" t="s">
        <v>276</v>
      </c>
      <c r="E13" t="s">
        <v>277</v>
      </c>
      <c r="G13" t="s">
        <v>156</v>
      </c>
      <c r="I13" t="s">
        <v>164</v>
      </c>
      <c r="J13" t="s">
        <v>281</v>
      </c>
      <c r="K13">
        <v>9.8274930246470132E-3</v>
      </c>
      <c r="L13" t="s">
        <v>166</v>
      </c>
      <c r="N13" t="s">
        <v>187</v>
      </c>
      <c r="O13" t="s">
        <v>281</v>
      </c>
      <c r="P13">
        <v>2.2667292339337227E-2</v>
      </c>
      <c r="Q13" t="s">
        <v>166</v>
      </c>
      <c r="S13" t="s">
        <v>201</v>
      </c>
      <c r="T13" t="s">
        <v>281</v>
      </c>
      <c r="U13">
        <v>2.3367915511280576E-2</v>
      </c>
      <c r="V13" t="s">
        <v>166</v>
      </c>
      <c r="X13">
        <v>2.0776255707762557E-2</v>
      </c>
      <c r="Y13">
        <v>3.5896543437005365E-2</v>
      </c>
      <c r="Z13" t="s">
        <v>281</v>
      </c>
      <c r="AA13" t="s">
        <v>25</v>
      </c>
      <c r="AC13" t="s">
        <v>22</v>
      </c>
      <c r="AD13" t="s">
        <v>281</v>
      </c>
      <c r="AE13">
        <v>2.1538503861456781E-2</v>
      </c>
      <c r="AG13" t="s">
        <v>96</v>
      </c>
      <c r="AH13" t="s">
        <v>281</v>
      </c>
      <c r="AI13">
        <v>0.10236501061472625</v>
      </c>
      <c r="AK13">
        <v>2020</v>
      </c>
      <c r="AL13" t="s">
        <v>276</v>
      </c>
      <c r="AM13">
        <v>0.44558057890801495</v>
      </c>
      <c r="AN13" t="s">
        <v>226</v>
      </c>
    </row>
    <row r="14" spans="1:40" x14ac:dyDescent="0.45">
      <c r="C14" t="s">
        <v>278</v>
      </c>
      <c r="I14" t="s">
        <v>164</v>
      </c>
      <c r="J14" t="s">
        <v>282</v>
      </c>
      <c r="K14">
        <v>0.3284817977497268</v>
      </c>
      <c r="L14" t="s">
        <v>166</v>
      </c>
      <c r="N14" t="s">
        <v>187</v>
      </c>
      <c r="O14" t="s">
        <v>282</v>
      </c>
      <c r="P14">
        <v>0.11508561668750289</v>
      </c>
      <c r="Q14" t="s">
        <v>166</v>
      </c>
      <c r="S14" t="s">
        <v>201</v>
      </c>
      <c r="T14" t="s">
        <v>282</v>
      </c>
      <c r="U14">
        <v>0.10221747379295683</v>
      </c>
      <c r="V14" t="s">
        <v>166</v>
      </c>
      <c r="X14">
        <v>0.11552511415525114</v>
      </c>
      <c r="Y14">
        <v>0.16263862301005233</v>
      </c>
      <c r="Z14" t="s">
        <v>282</v>
      </c>
      <c r="AA14" t="s">
        <v>25</v>
      </c>
      <c r="AC14" t="s">
        <v>22</v>
      </c>
      <c r="AD14" t="s">
        <v>282</v>
      </c>
      <c r="AE14">
        <v>0.13264770583961971</v>
      </c>
      <c r="AG14" t="s">
        <v>96</v>
      </c>
      <c r="AH14" t="s">
        <v>282</v>
      </c>
      <c r="AI14">
        <v>0.15256298204489283</v>
      </c>
      <c r="AK14">
        <v>2020</v>
      </c>
      <c r="AL14" t="s">
        <v>278</v>
      </c>
      <c r="AM14">
        <v>0.5606548484782069</v>
      </c>
      <c r="AN14" t="s">
        <v>226</v>
      </c>
    </row>
    <row r="15" spans="1:40" x14ac:dyDescent="0.45">
      <c r="I15" t="s">
        <v>164</v>
      </c>
      <c r="J15" t="s">
        <v>283</v>
      </c>
      <c r="K15">
        <v>1.3709094209008696E-2</v>
      </c>
      <c r="L15" t="s">
        <v>166</v>
      </c>
      <c r="N15" t="s">
        <v>187</v>
      </c>
      <c r="O15" t="s">
        <v>283</v>
      </c>
      <c r="P15">
        <v>0.12647250391750639</v>
      </c>
      <c r="Q15" t="s">
        <v>166</v>
      </c>
      <c r="S15" t="s">
        <v>201</v>
      </c>
      <c r="T15" t="s">
        <v>283</v>
      </c>
      <c r="U15">
        <v>0.11238335752483891</v>
      </c>
      <c r="V15" t="s">
        <v>166</v>
      </c>
      <c r="X15">
        <v>0.11552511415525114</v>
      </c>
      <c r="Y15">
        <v>5.3125160563193538E-2</v>
      </c>
      <c r="Z15" t="s">
        <v>283</v>
      </c>
      <c r="AA15" t="s">
        <v>25</v>
      </c>
      <c r="AC15" t="s">
        <v>22</v>
      </c>
      <c r="AD15" t="s">
        <v>283</v>
      </c>
      <c r="AE15">
        <v>0.11396381061472424</v>
      </c>
      <c r="AG15" t="s">
        <v>96</v>
      </c>
      <c r="AH15" t="s">
        <v>283</v>
      </c>
      <c r="AI15">
        <v>0.2221449532498081</v>
      </c>
      <c r="AK15">
        <v>2021</v>
      </c>
      <c r="AL15" t="s">
        <v>273</v>
      </c>
      <c r="AM15">
        <v>0.46791375716500055</v>
      </c>
      <c r="AN15" t="s">
        <v>226</v>
      </c>
    </row>
    <row r="16" spans="1:40" x14ac:dyDescent="0.45">
      <c r="I16" t="s">
        <v>164</v>
      </c>
      <c r="J16" t="s">
        <v>284</v>
      </c>
      <c r="K16">
        <v>4.1390298075935208E-2</v>
      </c>
      <c r="L16" t="s">
        <v>166</v>
      </c>
      <c r="N16" t="s">
        <v>187</v>
      </c>
      <c r="O16" t="s">
        <v>284</v>
      </c>
      <c r="P16">
        <v>2.3316987359177435E-2</v>
      </c>
      <c r="Q16" t="s">
        <v>166</v>
      </c>
      <c r="S16" t="s">
        <v>201</v>
      </c>
      <c r="T16" t="s">
        <v>284</v>
      </c>
      <c r="U16">
        <v>2.0588200102410685E-2</v>
      </c>
      <c r="V16" t="s">
        <v>166</v>
      </c>
      <c r="X16">
        <v>2.1004566210045664E-2</v>
      </c>
      <c r="Y16">
        <v>3.6291010947302131E-2</v>
      </c>
      <c r="Z16" t="s">
        <v>284</v>
      </c>
      <c r="AA16" t="s">
        <v>25</v>
      </c>
      <c r="AC16" t="s">
        <v>22</v>
      </c>
      <c r="AD16" t="s">
        <v>284</v>
      </c>
      <c r="AE16">
        <v>2.4116364001494583E-2</v>
      </c>
      <c r="AG16" t="s">
        <v>96</v>
      </c>
      <c r="AH16" t="s">
        <v>284</v>
      </c>
      <c r="AI16">
        <v>0.10968054164650187</v>
      </c>
      <c r="AK16">
        <v>2021</v>
      </c>
      <c r="AL16" t="s">
        <v>275</v>
      </c>
      <c r="AM16">
        <v>0.51262561730215206</v>
      </c>
      <c r="AN16" t="s">
        <v>226</v>
      </c>
    </row>
    <row r="17" spans="9:40" x14ac:dyDescent="0.45">
      <c r="I17" t="s">
        <v>164</v>
      </c>
      <c r="J17" t="s">
        <v>285</v>
      </c>
      <c r="K17">
        <v>0.33196454601960257</v>
      </c>
      <c r="L17" t="s">
        <v>166</v>
      </c>
      <c r="N17" t="s">
        <v>187</v>
      </c>
      <c r="O17" t="s">
        <v>285</v>
      </c>
      <c r="P17">
        <v>7.5957588846680607E-2</v>
      </c>
      <c r="Q17" t="s">
        <v>166</v>
      </c>
      <c r="S17" t="s">
        <v>201</v>
      </c>
      <c r="T17" t="s">
        <v>285</v>
      </c>
      <c r="U17">
        <v>9.0128411370653E-2</v>
      </c>
      <c r="V17" t="s">
        <v>166</v>
      </c>
      <c r="X17">
        <v>0.11552511415525114</v>
      </c>
      <c r="Y17">
        <v>0.16263862301005233</v>
      </c>
      <c r="Z17" t="s">
        <v>285</v>
      </c>
      <c r="AA17" t="s">
        <v>25</v>
      </c>
      <c r="AC17" t="s">
        <v>22</v>
      </c>
      <c r="AD17" t="s">
        <v>285</v>
      </c>
      <c r="AE17">
        <v>0.10929954320044911</v>
      </c>
      <c r="AG17" t="s">
        <v>96</v>
      </c>
      <c r="AH17" t="s">
        <v>285</v>
      </c>
      <c r="AI17">
        <v>7.3756257023189331E-2</v>
      </c>
      <c r="AK17">
        <v>2021</v>
      </c>
      <c r="AL17" t="s">
        <v>276</v>
      </c>
      <c r="AM17">
        <v>0.45321608687770154</v>
      </c>
      <c r="AN17" t="s">
        <v>226</v>
      </c>
    </row>
    <row r="18" spans="9:40" x14ac:dyDescent="0.45">
      <c r="I18" t="s">
        <v>164</v>
      </c>
      <c r="J18" t="s">
        <v>286</v>
      </c>
      <c r="K18">
        <v>3.6533472168431884E-2</v>
      </c>
      <c r="L18" t="s">
        <v>166</v>
      </c>
      <c r="N18" t="s">
        <v>187</v>
      </c>
      <c r="O18" t="s">
        <v>286</v>
      </c>
      <c r="P18">
        <v>8.3258438944474794E-2</v>
      </c>
      <c r="Q18" t="s">
        <v>166</v>
      </c>
      <c r="S18" t="s">
        <v>201</v>
      </c>
      <c r="T18" t="s">
        <v>286</v>
      </c>
      <c r="U18">
        <v>8.9879946896118695E-2</v>
      </c>
      <c r="V18" t="s">
        <v>166</v>
      </c>
      <c r="X18">
        <v>0.11552511415525114</v>
      </c>
      <c r="Y18">
        <v>5.3125160563193538E-2</v>
      </c>
      <c r="Z18" t="s">
        <v>286</v>
      </c>
      <c r="AA18" t="s">
        <v>25</v>
      </c>
      <c r="AC18" t="s">
        <v>22</v>
      </c>
      <c r="AD18" t="s">
        <v>286</v>
      </c>
      <c r="AE18">
        <v>7.6972785998490098E-2</v>
      </c>
      <c r="AG18" t="s">
        <v>96</v>
      </c>
      <c r="AH18" t="s">
        <v>286</v>
      </c>
      <c r="AI18">
        <v>0.26693149738889232</v>
      </c>
      <c r="AK18">
        <v>2021</v>
      </c>
      <c r="AL18" t="s">
        <v>278</v>
      </c>
      <c r="AM18">
        <v>0.6331764160389507</v>
      </c>
      <c r="AN18" t="s">
        <v>226</v>
      </c>
    </row>
    <row r="19" spans="9:40" x14ac:dyDescent="0.45">
      <c r="I19" t="s">
        <v>164</v>
      </c>
      <c r="J19" t="s">
        <v>287</v>
      </c>
      <c r="K19">
        <v>4.6930417125209539E-2</v>
      </c>
      <c r="L19" t="s">
        <v>166</v>
      </c>
      <c r="N19" t="s">
        <v>187</v>
      </c>
      <c r="O19" t="s">
        <v>287</v>
      </c>
      <c r="P19">
        <v>1.5976680208548848E-2</v>
      </c>
      <c r="Q19" t="s">
        <v>166</v>
      </c>
      <c r="S19" t="s">
        <v>201</v>
      </c>
      <c r="T19" t="s">
        <v>287</v>
      </c>
      <c r="U19">
        <v>1.6804597591674349E-2</v>
      </c>
      <c r="V19" t="s">
        <v>166</v>
      </c>
      <c r="X19">
        <v>2.1004566210045664E-2</v>
      </c>
      <c r="Y19">
        <v>3.6291010947302131E-2</v>
      </c>
      <c r="Z19" t="s">
        <v>287</v>
      </c>
      <c r="AA19" t="s">
        <v>25</v>
      </c>
      <c r="AC19" t="s">
        <v>22</v>
      </c>
      <c r="AD19" t="s">
        <v>287</v>
      </c>
      <c r="AE19">
        <v>1.9860220120226139E-2</v>
      </c>
      <c r="AG19" t="s">
        <v>96</v>
      </c>
      <c r="AH19" t="s">
        <v>287</v>
      </c>
      <c r="AI19">
        <v>5.6468800634677407E-2</v>
      </c>
      <c r="AK19">
        <v>2022</v>
      </c>
      <c r="AL19" t="s">
        <v>273</v>
      </c>
      <c r="AM19">
        <v>0.47372657866363604</v>
      </c>
      <c r="AN19" t="s">
        <v>226</v>
      </c>
    </row>
    <row r="20" spans="9:40" x14ac:dyDescent="0.45">
      <c r="I20" t="s">
        <v>164</v>
      </c>
      <c r="J20" t="s">
        <v>288</v>
      </c>
      <c r="K20">
        <v>5.0611488197798857E-2</v>
      </c>
      <c r="L20" t="s">
        <v>166</v>
      </c>
      <c r="N20" t="s">
        <v>187</v>
      </c>
      <c r="O20" t="s">
        <v>288</v>
      </c>
      <c r="P20">
        <v>0.1328168686448728</v>
      </c>
      <c r="Q20" t="s">
        <v>166</v>
      </c>
      <c r="S20" t="s">
        <v>201</v>
      </c>
      <c r="T20" t="s">
        <v>288</v>
      </c>
      <c r="U20">
        <v>0.1368488934706395</v>
      </c>
      <c r="V20" t="s">
        <v>166</v>
      </c>
      <c r="X20">
        <v>0.11301369863013698</v>
      </c>
      <c r="Y20">
        <v>0.15910300077070333</v>
      </c>
      <c r="Z20" t="s">
        <v>288</v>
      </c>
      <c r="AA20" t="s">
        <v>25</v>
      </c>
      <c r="AC20" t="s">
        <v>22</v>
      </c>
      <c r="AD20" t="s">
        <v>288</v>
      </c>
      <c r="AE20">
        <v>0.13940460195128654</v>
      </c>
      <c r="AG20" t="s">
        <v>96</v>
      </c>
      <c r="AH20" t="s">
        <v>288</v>
      </c>
      <c r="AI20">
        <v>0.10146551937379944</v>
      </c>
      <c r="AK20">
        <v>2022</v>
      </c>
      <c r="AL20" t="s">
        <v>275</v>
      </c>
      <c r="AM20">
        <v>0.47215119328612637</v>
      </c>
      <c r="AN20" t="s">
        <v>226</v>
      </c>
    </row>
    <row r="21" spans="9:40" x14ac:dyDescent="0.45">
      <c r="I21" t="s">
        <v>164</v>
      </c>
      <c r="J21" t="s">
        <v>289</v>
      </c>
      <c r="K21">
        <v>0</v>
      </c>
      <c r="L21" t="s">
        <v>166</v>
      </c>
      <c r="N21" t="s">
        <v>187</v>
      </c>
      <c r="O21" t="s">
        <v>289</v>
      </c>
      <c r="P21">
        <v>0.1307912461731264</v>
      </c>
      <c r="Q21" t="s">
        <v>166</v>
      </c>
      <c r="S21" t="s">
        <v>201</v>
      </c>
      <c r="T21" t="s">
        <v>289</v>
      </c>
      <c r="U21">
        <v>0.1362140567547066</v>
      </c>
      <c r="V21" t="s">
        <v>166</v>
      </c>
      <c r="X21">
        <v>0.11301369863013698</v>
      </c>
      <c r="Y21">
        <v>5.197026576834151E-2</v>
      </c>
      <c r="Z21" t="s">
        <v>289</v>
      </c>
      <c r="AA21" t="s">
        <v>25</v>
      </c>
      <c r="AC21" t="s">
        <v>22</v>
      </c>
      <c r="AD21" t="s">
        <v>289</v>
      </c>
      <c r="AE21">
        <v>0.12234705010450969</v>
      </c>
      <c r="AG21" t="s">
        <v>96</v>
      </c>
      <c r="AH21" t="s">
        <v>289</v>
      </c>
      <c r="AI21">
        <v>0.16738704106791458</v>
      </c>
      <c r="AK21">
        <v>2022</v>
      </c>
      <c r="AL21" t="s">
        <v>276</v>
      </c>
      <c r="AM21">
        <v>0.46523953142757235</v>
      </c>
      <c r="AN21" t="s">
        <v>226</v>
      </c>
    </row>
    <row r="22" spans="9:40" x14ac:dyDescent="0.45">
      <c r="I22" t="s">
        <v>164</v>
      </c>
      <c r="J22" t="s">
        <v>290</v>
      </c>
      <c r="K22">
        <v>1.0992040907958555E-3</v>
      </c>
      <c r="L22" t="s">
        <v>166</v>
      </c>
      <c r="N22" t="s">
        <v>187</v>
      </c>
      <c r="O22" t="s">
        <v>290</v>
      </c>
      <c r="P22">
        <v>2.4905976604144953E-2</v>
      </c>
      <c r="Q22" t="s">
        <v>166</v>
      </c>
      <c r="S22" t="s">
        <v>201</v>
      </c>
      <c r="T22" t="s">
        <v>290</v>
      </c>
      <c r="U22">
        <v>2.5577516808174112E-2</v>
      </c>
      <c r="V22" t="s">
        <v>166</v>
      </c>
      <c r="X22">
        <v>2.0547945205479451E-2</v>
      </c>
      <c r="Y22">
        <v>3.5502075926708607E-2</v>
      </c>
      <c r="Z22" t="s">
        <v>290</v>
      </c>
      <c r="AA22" t="s">
        <v>25</v>
      </c>
      <c r="AC22" t="s">
        <v>22</v>
      </c>
      <c r="AD22" t="s">
        <v>290</v>
      </c>
      <c r="AE22">
        <v>2.5583574736120499E-2</v>
      </c>
      <c r="AG22" t="s">
        <v>96</v>
      </c>
      <c r="AH22" t="s">
        <v>290</v>
      </c>
      <c r="AI22">
        <v>6.2190063720936273E-2</v>
      </c>
      <c r="AK22">
        <v>2022</v>
      </c>
      <c r="AL22" t="s">
        <v>278</v>
      </c>
      <c r="AM22">
        <v>0.53187794262735266</v>
      </c>
      <c r="AN22" t="s">
        <v>226</v>
      </c>
    </row>
    <row r="23" spans="9:40" x14ac:dyDescent="0.45">
      <c r="I23" t="s">
        <v>175</v>
      </c>
      <c r="J23" t="s">
        <v>279</v>
      </c>
      <c r="K23">
        <v>0.13718706518100959</v>
      </c>
      <c r="L23" t="s">
        <v>166</v>
      </c>
      <c r="N23" t="s">
        <v>188</v>
      </c>
      <c r="O23" t="s">
        <v>279</v>
      </c>
      <c r="P23">
        <v>0.11748051139448569</v>
      </c>
      <c r="Q23" t="s">
        <v>166</v>
      </c>
      <c r="S23" t="s">
        <v>202</v>
      </c>
      <c r="T23" t="s">
        <v>279</v>
      </c>
      <c r="U23">
        <v>0.12175543997050631</v>
      </c>
      <c r="V23" t="s">
        <v>166</v>
      </c>
      <c r="AC23" t="s">
        <v>19</v>
      </c>
      <c r="AD23" t="s">
        <v>279</v>
      </c>
      <c r="AE23">
        <v>0.11483392072804599</v>
      </c>
      <c r="AK23">
        <v>2025</v>
      </c>
      <c r="AL23" t="s">
        <v>273</v>
      </c>
      <c r="AM23">
        <v>0.45013333333333333</v>
      </c>
      <c r="AN23" t="s">
        <v>226</v>
      </c>
    </row>
    <row r="24" spans="9:40" x14ac:dyDescent="0.45">
      <c r="I24" t="s">
        <v>175</v>
      </c>
      <c r="J24" t="s">
        <v>280</v>
      </c>
      <c r="K24">
        <v>5.5208290914579268E-4</v>
      </c>
      <c r="L24" t="s">
        <v>166</v>
      </c>
      <c r="N24" t="s">
        <v>188</v>
      </c>
      <c r="O24" t="s">
        <v>280</v>
      </c>
      <c r="P24">
        <v>0.12579977256412217</v>
      </c>
      <c r="Q24" t="s">
        <v>166</v>
      </c>
      <c r="S24" t="s">
        <v>202</v>
      </c>
      <c r="T24" t="s">
        <v>280</v>
      </c>
      <c r="U24">
        <v>0.13594920459143761</v>
      </c>
      <c r="V24" t="s">
        <v>166</v>
      </c>
      <c r="AC24" t="s">
        <v>19</v>
      </c>
      <c r="AD24" t="s">
        <v>280</v>
      </c>
      <c r="AE24">
        <v>0.11351523421127097</v>
      </c>
      <c r="AK24">
        <v>2025</v>
      </c>
      <c r="AL24" t="s">
        <v>275</v>
      </c>
      <c r="AM24">
        <v>0.47789999999999999</v>
      </c>
      <c r="AN24" t="s">
        <v>226</v>
      </c>
    </row>
    <row r="25" spans="9:40" x14ac:dyDescent="0.45">
      <c r="I25" t="s">
        <v>175</v>
      </c>
      <c r="J25" t="s">
        <v>281</v>
      </c>
      <c r="K25">
        <v>1.0964638662441861E-2</v>
      </c>
      <c r="L25" t="s">
        <v>166</v>
      </c>
      <c r="N25" t="s">
        <v>188</v>
      </c>
      <c r="O25" t="s">
        <v>281</v>
      </c>
      <c r="P25">
        <v>2.176514823532524E-2</v>
      </c>
      <c r="Q25" t="s">
        <v>166</v>
      </c>
      <c r="S25" t="s">
        <v>202</v>
      </c>
      <c r="T25" t="s">
        <v>281</v>
      </c>
      <c r="U25">
        <v>2.3772102734414151E-2</v>
      </c>
      <c r="V25" t="s">
        <v>166</v>
      </c>
      <c r="AC25" t="s">
        <v>19</v>
      </c>
      <c r="AD25" t="s">
        <v>281</v>
      </c>
      <c r="AE25">
        <v>2.0885818115912651E-2</v>
      </c>
      <c r="AK25">
        <v>2025</v>
      </c>
      <c r="AL25" t="s">
        <v>276</v>
      </c>
      <c r="AM25">
        <v>0.39316666666666666</v>
      </c>
      <c r="AN25" t="s">
        <v>226</v>
      </c>
    </row>
    <row r="26" spans="9:40" x14ac:dyDescent="0.45">
      <c r="I26" t="s">
        <v>175</v>
      </c>
      <c r="J26" t="s">
        <v>282</v>
      </c>
      <c r="K26">
        <v>0.32644368815726488</v>
      </c>
      <c r="L26" t="s">
        <v>166</v>
      </c>
      <c r="N26" t="s">
        <v>188</v>
      </c>
      <c r="O26" t="s">
        <v>282</v>
      </c>
      <c r="P26">
        <v>0.11490264706776228</v>
      </c>
      <c r="Q26" t="s">
        <v>166</v>
      </c>
      <c r="S26" t="s">
        <v>202</v>
      </c>
      <c r="T26" t="s">
        <v>282</v>
      </c>
      <c r="U26">
        <v>8.9222884911250952E-2</v>
      </c>
      <c r="V26" t="s">
        <v>166</v>
      </c>
      <c r="AC26" t="s">
        <v>19</v>
      </c>
      <c r="AD26" t="s">
        <v>282</v>
      </c>
      <c r="AE26">
        <v>0.11610307066112437</v>
      </c>
      <c r="AK26">
        <v>2025</v>
      </c>
      <c r="AL26" t="s">
        <v>278</v>
      </c>
      <c r="AM26">
        <v>0.53749999999999998</v>
      </c>
      <c r="AN26" t="s">
        <v>226</v>
      </c>
    </row>
    <row r="27" spans="9:40" x14ac:dyDescent="0.45">
      <c r="I27" t="s">
        <v>175</v>
      </c>
      <c r="J27" t="s">
        <v>283</v>
      </c>
      <c r="K27">
        <v>1.5896984881361736E-2</v>
      </c>
      <c r="L27" t="s">
        <v>166</v>
      </c>
      <c r="N27" t="s">
        <v>188</v>
      </c>
      <c r="O27" t="s">
        <v>283</v>
      </c>
      <c r="P27">
        <v>0.12590727597796297</v>
      </c>
      <c r="Q27" t="s">
        <v>166</v>
      </c>
      <c r="S27" t="s">
        <v>202</v>
      </c>
      <c r="T27" t="s">
        <v>283</v>
      </c>
      <c r="U27">
        <v>0.11437475828793144</v>
      </c>
      <c r="V27" t="s">
        <v>166</v>
      </c>
      <c r="AC27" t="s">
        <v>19</v>
      </c>
      <c r="AD27" t="s">
        <v>283</v>
      </c>
      <c r="AE27">
        <v>0.11495286026540905</v>
      </c>
      <c r="AK27">
        <v>2026</v>
      </c>
      <c r="AL27" t="s">
        <v>273</v>
      </c>
      <c r="AM27">
        <v>0.46049999999999996</v>
      </c>
      <c r="AN27" t="s">
        <v>226</v>
      </c>
    </row>
    <row r="28" spans="9:40" x14ac:dyDescent="0.45">
      <c r="I28" t="s">
        <v>175</v>
      </c>
      <c r="J28" t="s">
        <v>284</v>
      </c>
      <c r="K28">
        <v>4.0967482704189019E-2</v>
      </c>
      <c r="L28" t="s">
        <v>166</v>
      </c>
      <c r="N28" t="s">
        <v>188</v>
      </c>
      <c r="O28" t="s">
        <v>284</v>
      </c>
      <c r="P28">
        <v>2.0340525534562458E-2</v>
      </c>
      <c r="Q28" t="s">
        <v>166</v>
      </c>
      <c r="S28" t="s">
        <v>202</v>
      </c>
      <c r="T28" t="s">
        <v>284</v>
      </c>
      <c r="U28">
        <v>1.9530423176466041E-2</v>
      </c>
      <c r="V28" t="s">
        <v>166</v>
      </c>
      <c r="AC28" t="s">
        <v>19</v>
      </c>
      <c r="AD28" t="s">
        <v>284</v>
      </c>
      <c r="AE28">
        <v>2.1109562981995237E-2</v>
      </c>
      <c r="AK28">
        <v>2026</v>
      </c>
      <c r="AL28" t="s">
        <v>275</v>
      </c>
      <c r="AM28">
        <v>0.48223333333333335</v>
      </c>
      <c r="AN28" t="s">
        <v>226</v>
      </c>
    </row>
    <row r="29" spans="9:40" x14ac:dyDescent="0.45">
      <c r="I29" t="s">
        <v>175</v>
      </c>
      <c r="J29" t="s">
        <v>285</v>
      </c>
      <c r="K29">
        <v>0.32779803607017582</v>
      </c>
      <c r="L29" t="s">
        <v>166</v>
      </c>
      <c r="N29" t="s">
        <v>188</v>
      </c>
      <c r="O29" t="s">
        <v>285</v>
      </c>
      <c r="P29">
        <v>8.0391312188640443E-2</v>
      </c>
      <c r="Q29" t="s">
        <v>166</v>
      </c>
      <c r="S29" t="s">
        <v>202</v>
      </c>
      <c r="T29" t="s">
        <v>285</v>
      </c>
      <c r="U29">
        <v>7.9241261569963695E-2</v>
      </c>
      <c r="V29" t="s">
        <v>166</v>
      </c>
      <c r="AC29" t="s">
        <v>19</v>
      </c>
      <c r="AD29" t="s">
        <v>285</v>
      </c>
      <c r="AE29">
        <v>0.11631281104762267</v>
      </c>
      <c r="AK29">
        <v>2026</v>
      </c>
      <c r="AL29" t="s">
        <v>276</v>
      </c>
      <c r="AM29">
        <v>0.39666666666666667</v>
      </c>
      <c r="AN29" t="s">
        <v>226</v>
      </c>
    </row>
    <row r="30" spans="9:40" x14ac:dyDescent="0.45">
      <c r="I30" t="s">
        <v>175</v>
      </c>
      <c r="J30" t="s">
        <v>286</v>
      </c>
      <c r="K30">
        <v>3.8393054879366208E-2</v>
      </c>
      <c r="L30" t="s">
        <v>166</v>
      </c>
      <c r="N30" t="s">
        <v>188</v>
      </c>
      <c r="O30" t="s">
        <v>286</v>
      </c>
      <c r="P30">
        <v>8.5883904161358327E-2</v>
      </c>
      <c r="Q30" t="s">
        <v>166</v>
      </c>
      <c r="S30" t="s">
        <v>202</v>
      </c>
      <c r="T30" t="s">
        <v>286</v>
      </c>
      <c r="U30">
        <v>8.9400366186738564E-2</v>
      </c>
      <c r="V30" t="s">
        <v>166</v>
      </c>
      <c r="AC30" t="s">
        <v>19</v>
      </c>
      <c r="AD30" t="s">
        <v>286</v>
      </c>
      <c r="AE30">
        <v>0.11432272430468725</v>
      </c>
      <c r="AK30">
        <v>2026</v>
      </c>
      <c r="AL30" t="s">
        <v>278</v>
      </c>
      <c r="AM30">
        <v>0.5454</v>
      </c>
      <c r="AN30" t="s">
        <v>226</v>
      </c>
    </row>
    <row r="31" spans="9:40" x14ac:dyDescent="0.45">
      <c r="I31" t="s">
        <v>175</v>
      </c>
      <c r="J31" t="s">
        <v>287</v>
      </c>
      <c r="K31">
        <v>4.7395065794419336E-2</v>
      </c>
      <c r="L31" t="s">
        <v>166</v>
      </c>
      <c r="N31" t="s">
        <v>188</v>
      </c>
      <c r="O31" t="s">
        <v>287</v>
      </c>
      <c r="P31">
        <v>1.6893043052278626E-2</v>
      </c>
      <c r="Q31" t="s">
        <v>166</v>
      </c>
      <c r="S31" t="s">
        <v>202</v>
      </c>
      <c r="T31" t="s">
        <v>287</v>
      </c>
      <c r="U31">
        <v>1.4131077921089221E-2</v>
      </c>
      <c r="V31" t="s">
        <v>166</v>
      </c>
      <c r="AC31" t="s">
        <v>19</v>
      </c>
      <c r="AD31" t="s">
        <v>287</v>
      </c>
      <c r="AE31">
        <v>2.1147018979545639E-2</v>
      </c>
      <c r="AK31">
        <v>2027</v>
      </c>
      <c r="AL31" t="s">
        <v>273</v>
      </c>
      <c r="AM31">
        <v>0.46176666666666666</v>
      </c>
      <c r="AN31" t="s">
        <v>226</v>
      </c>
    </row>
    <row r="32" spans="9:40" x14ac:dyDescent="0.45">
      <c r="I32" t="s">
        <v>175</v>
      </c>
      <c r="J32" t="s">
        <v>288</v>
      </c>
      <c r="K32">
        <v>5.3003967414362453E-2</v>
      </c>
      <c r="L32" t="s">
        <v>166</v>
      </c>
      <c r="N32" t="s">
        <v>188</v>
      </c>
      <c r="O32" t="s">
        <v>288</v>
      </c>
      <c r="P32">
        <v>0.13025926931300677</v>
      </c>
      <c r="Q32" t="s">
        <v>166</v>
      </c>
      <c r="S32" t="s">
        <v>202</v>
      </c>
      <c r="T32" t="s">
        <v>288</v>
      </c>
      <c r="U32">
        <v>0.14260044017321638</v>
      </c>
      <c r="V32" t="s">
        <v>166</v>
      </c>
      <c r="AC32" t="s">
        <v>19</v>
      </c>
      <c r="AD32" t="s">
        <v>288</v>
      </c>
      <c r="AE32">
        <v>0.11359904474335242</v>
      </c>
      <c r="AK32">
        <v>2027</v>
      </c>
      <c r="AL32" t="s">
        <v>275</v>
      </c>
      <c r="AM32">
        <v>0.46316666666666667</v>
      </c>
      <c r="AN32" t="s">
        <v>226</v>
      </c>
    </row>
    <row r="33" spans="9:40" x14ac:dyDescent="0.45">
      <c r="I33" t="s">
        <v>175</v>
      </c>
      <c r="J33" t="s">
        <v>289</v>
      </c>
      <c r="K33">
        <v>0</v>
      </c>
      <c r="L33" t="s">
        <v>166</v>
      </c>
      <c r="N33" t="s">
        <v>188</v>
      </c>
      <c r="O33" t="s">
        <v>289</v>
      </c>
      <c r="P33">
        <v>0.13492190585008643</v>
      </c>
      <c r="Q33" t="s">
        <v>166</v>
      </c>
      <c r="S33" t="s">
        <v>202</v>
      </c>
      <c r="T33" t="s">
        <v>289</v>
      </c>
      <c r="U33">
        <v>0.14347926792415974</v>
      </c>
      <c r="V33" t="s">
        <v>166</v>
      </c>
      <c r="AC33" t="s">
        <v>19</v>
      </c>
      <c r="AD33" t="s">
        <v>289</v>
      </c>
      <c r="AE33">
        <v>0.1125489546404346</v>
      </c>
      <c r="AK33">
        <v>2027</v>
      </c>
      <c r="AL33" t="s">
        <v>276</v>
      </c>
      <c r="AM33">
        <v>0.3968666666666667</v>
      </c>
      <c r="AN33" t="s">
        <v>226</v>
      </c>
    </row>
    <row r="34" spans="9:40" x14ac:dyDescent="0.45">
      <c r="I34" t="s">
        <v>175</v>
      </c>
      <c r="J34" t="s">
        <v>290</v>
      </c>
      <c r="K34">
        <v>1.3979333462644805E-3</v>
      </c>
      <c r="L34" t="s">
        <v>166</v>
      </c>
      <c r="N34" t="s">
        <v>188</v>
      </c>
      <c r="O34" t="s">
        <v>290</v>
      </c>
      <c r="P34">
        <v>2.5454684660408528E-2</v>
      </c>
      <c r="Q34" t="s">
        <v>166</v>
      </c>
      <c r="S34" t="s">
        <v>202</v>
      </c>
      <c r="T34" t="s">
        <v>290</v>
      </c>
      <c r="U34">
        <v>2.6542772552824133E-2</v>
      </c>
      <c r="V34" t="s">
        <v>166</v>
      </c>
      <c r="AC34" t="s">
        <v>19</v>
      </c>
      <c r="AD34" t="s">
        <v>290</v>
      </c>
      <c r="AE34">
        <v>2.0668979320599176E-2</v>
      </c>
      <c r="AK34">
        <v>2027</v>
      </c>
      <c r="AL34" t="s">
        <v>278</v>
      </c>
      <c r="AM34">
        <v>0.53436666666666666</v>
      </c>
      <c r="AN34" t="s">
        <v>226</v>
      </c>
    </row>
    <row r="35" spans="9:40" x14ac:dyDescent="0.45">
      <c r="I35" t="s">
        <v>176</v>
      </c>
      <c r="J35" t="s">
        <v>279</v>
      </c>
      <c r="K35">
        <v>0.13521675644985151</v>
      </c>
      <c r="L35" t="s">
        <v>166</v>
      </c>
      <c r="N35" t="s">
        <v>189</v>
      </c>
      <c r="O35" t="s">
        <v>279</v>
      </c>
      <c r="P35">
        <v>0.11658909805736406</v>
      </c>
      <c r="Q35" t="s">
        <v>166</v>
      </c>
      <c r="S35" t="s">
        <v>203</v>
      </c>
      <c r="T35" t="s">
        <v>279</v>
      </c>
      <c r="U35">
        <v>0.11792180542046653</v>
      </c>
      <c r="V35" t="s">
        <v>166</v>
      </c>
      <c r="AK35">
        <v>2028</v>
      </c>
      <c r="AL35" t="s">
        <v>273</v>
      </c>
      <c r="AM35">
        <v>0.47096666666666659</v>
      </c>
      <c r="AN35" t="s">
        <v>226</v>
      </c>
    </row>
    <row r="36" spans="9:40" x14ac:dyDescent="0.45">
      <c r="I36" t="s">
        <v>176</v>
      </c>
      <c r="J36" t="s">
        <v>280</v>
      </c>
      <c r="K36">
        <v>7.7927250049857402E-4</v>
      </c>
      <c r="L36" t="s">
        <v>166</v>
      </c>
      <c r="N36" t="s">
        <v>189</v>
      </c>
      <c r="O36" t="s">
        <v>280</v>
      </c>
      <c r="P36">
        <v>0.12996415523497407</v>
      </c>
      <c r="Q36" t="s">
        <v>166</v>
      </c>
      <c r="S36" t="s">
        <v>203</v>
      </c>
      <c r="T36" t="s">
        <v>280</v>
      </c>
      <c r="U36">
        <v>0.13080216075964868</v>
      </c>
      <c r="V36" t="s">
        <v>166</v>
      </c>
      <c r="AK36">
        <v>2028</v>
      </c>
      <c r="AL36" t="s">
        <v>275</v>
      </c>
      <c r="AM36">
        <v>0.49910000000000004</v>
      </c>
      <c r="AN36" t="s">
        <v>226</v>
      </c>
    </row>
    <row r="37" spans="9:40" x14ac:dyDescent="0.45">
      <c r="I37" t="s">
        <v>176</v>
      </c>
      <c r="J37" t="s">
        <v>281</v>
      </c>
      <c r="K37">
        <v>1.1297255423202554E-2</v>
      </c>
      <c r="L37" t="s">
        <v>166</v>
      </c>
      <c r="N37" t="s">
        <v>189</v>
      </c>
      <c r="O37" t="s">
        <v>281</v>
      </c>
      <c r="P37">
        <v>2.1914783729430686E-2</v>
      </c>
      <c r="Q37" t="s">
        <v>166</v>
      </c>
      <c r="S37" t="s">
        <v>203</v>
      </c>
      <c r="T37" t="s">
        <v>281</v>
      </c>
      <c r="U37">
        <v>2.2723794622337583E-2</v>
      </c>
      <c r="V37" t="s">
        <v>166</v>
      </c>
      <c r="AK37">
        <v>2028</v>
      </c>
      <c r="AL37" t="s">
        <v>276</v>
      </c>
      <c r="AM37">
        <v>0.3761666666666667</v>
      </c>
      <c r="AN37" t="s">
        <v>226</v>
      </c>
    </row>
    <row r="38" spans="9:40" x14ac:dyDescent="0.45">
      <c r="I38" t="s">
        <v>176</v>
      </c>
      <c r="J38" t="s">
        <v>282</v>
      </c>
      <c r="K38">
        <v>0.31933134100327698</v>
      </c>
      <c r="L38" t="s">
        <v>166</v>
      </c>
      <c r="N38" t="s">
        <v>189</v>
      </c>
      <c r="O38" t="s">
        <v>282</v>
      </c>
      <c r="P38">
        <v>0.12326406989301943</v>
      </c>
      <c r="Q38" t="s">
        <v>166</v>
      </c>
      <c r="S38" t="s">
        <v>203</v>
      </c>
      <c r="T38" t="s">
        <v>282</v>
      </c>
      <c r="U38">
        <v>0.10264704085768758</v>
      </c>
      <c r="V38" t="s">
        <v>166</v>
      </c>
      <c r="AK38">
        <v>2028</v>
      </c>
      <c r="AL38" t="s">
        <v>278</v>
      </c>
      <c r="AM38">
        <v>0.56593333333333329</v>
      </c>
      <c r="AN38" t="s">
        <v>226</v>
      </c>
    </row>
    <row r="39" spans="9:40" x14ac:dyDescent="0.45">
      <c r="I39" t="s">
        <v>176</v>
      </c>
      <c r="J39" t="s">
        <v>283</v>
      </c>
      <c r="K39">
        <v>1.5593081902592655E-2</v>
      </c>
      <c r="L39" t="s">
        <v>166</v>
      </c>
      <c r="N39" t="s">
        <v>189</v>
      </c>
      <c r="O39" t="s">
        <v>283</v>
      </c>
      <c r="P39">
        <v>0.12926405651633296</v>
      </c>
      <c r="Q39" t="s">
        <v>166</v>
      </c>
      <c r="S39" t="s">
        <v>203</v>
      </c>
      <c r="T39" t="s">
        <v>283</v>
      </c>
      <c r="U39">
        <v>0.12254163751335735</v>
      </c>
      <c r="V39" t="s">
        <v>166</v>
      </c>
      <c r="AK39">
        <v>2029</v>
      </c>
      <c r="AL39" t="s">
        <v>273</v>
      </c>
      <c r="AM39">
        <v>0.46963333333333335</v>
      </c>
      <c r="AN39" t="s">
        <v>226</v>
      </c>
    </row>
    <row r="40" spans="9:40" x14ac:dyDescent="0.45">
      <c r="I40" t="s">
        <v>176</v>
      </c>
      <c r="J40" t="s">
        <v>284</v>
      </c>
      <c r="K40">
        <v>4.3217142979143752E-2</v>
      </c>
      <c r="L40" t="s">
        <v>166</v>
      </c>
      <c r="N40" t="s">
        <v>189</v>
      </c>
      <c r="O40" t="s">
        <v>284</v>
      </c>
      <c r="P40">
        <v>2.1661746369166825E-2</v>
      </c>
      <c r="Q40" t="s">
        <v>166</v>
      </c>
      <c r="S40" t="s">
        <v>203</v>
      </c>
      <c r="T40" t="s">
        <v>284</v>
      </c>
      <c r="U40">
        <v>2.1191460790844083E-2</v>
      </c>
      <c r="V40" t="s">
        <v>166</v>
      </c>
      <c r="AK40">
        <v>2029</v>
      </c>
      <c r="AL40" t="s">
        <v>275</v>
      </c>
      <c r="AM40">
        <v>0.4862333333333333</v>
      </c>
      <c r="AN40" t="s">
        <v>226</v>
      </c>
    </row>
    <row r="41" spans="9:40" x14ac:dyDescent="0.45">
      <c r="I41" t="s">
        <v>176</v>
      </c>
      <c r="J41" t="s">
        <v>285</v>
      </c>
      <c r="K41">
        <v>0.32963712573360898</v>
      </c>
      <c r="L41" t="s">
        <v>166</v>
      </c>
      <c r="N41" t="s">
        <v>189</v>
      </c>
      <c r="O41" t="s">
        <v>285</v>
      </c>
      <c r="P41">
        <v>6.872958412965767E-2</v>
      </c>
      <c r="Q41" t="s">
        <v>166</v>
      </c>
      <c r="S41" t="s">
        <v>203</v>
      </c>
      <c r="T41" t="s">
        <v>285</v>
      </c>
      <c r="U41">
        <v>9.0432339616403887E-2</v>
      </c>
      <c r="V41" t="s">
        <v>166</v>
      </c>
      <c r="AK41">
        <v>2029</v>
      </c>
      <c r="AL41" t="s">
        <v>276</v>
      </c>
      <c r="AM41">
        <v>0.4075333333333333</v>
      </c>
      <c r="AN41" t="s">
        <v>226</v>
      </c>
    </row>
    <row r="42" spans="9:40" x14ac:dyDescent="0.45">
      <c r="I42" t="s">
        <v>176</v>
      </c>
      <c r="J42" t="s">
        <v>286</v>
      </c>
      <c r="K42">
        <v>3.6976275971195349E-2</v>
      </c>
      <c r="L42" t="s">
        <v>166</v>
      </c>
      <c r="N42" t="s">
        <v>189</v>
      </c>
      <c r="O42" t="s">
        <v>286</v>
      </c>
      <c r="P42">
        <v>7.3653254236193788E-2</v>
      </c>
      <c r="Q42" t="s">
        <v>166</v>
      </c>
      <c r="S42" t="s">
        <v>203</v>
      </c>
      <c r="T42" t="s">
        <v>286</v>
      </c>
      <c r="U42">
        <v>9.563706254032725E-2</v>
      </c>
      <c r="V42" t="s">
        <v>166</v>
      </c>
      <c r="AK42">
        <v>2029</v>
      </c>
      <c r="AL42" t="s">
        <v>278</v>
      </c>
      <c r="AM42">
        <v>0.55093333333333339</v>
      </c>
      <c r="AN42" t="s">
        <v>226</v>
      </c>
    </row>
    <row r="43" spans="9:40" x14ac:dyDescent="0.45">
      <c r="I43" t="s">
        <v>176</v>
      </c>
      <c r="J43" t="s">
        <v>287</v>
      </c>
      <c r="K43">
        <v>5.062174663162259E-2</v>
      </c>
      <c r="L43" t="s">
        <v>166</v>
      </c>
      <c r="N43" t="s">
        <v>189</v>
      </c>
      <c r="O43" t="s">
        <v>287</v>
      </c>
      <c r="P43">
        <v>1.4255409509075558E-2</v>
      </c>
      <c r="Q43" t="s">
        <v>166</v>
      </c>
      <c r="S43" t="s">
        <v>203</v>
      </c>
      <c r="T43" t="s">
        <v>287</v>
      </c>
      <c r="U43">
        <v>1.7196282821680748E-2</v>
      </c>
      <c r="V43" t="s">
        <v>166</v>
      </c>
      <c r="AK43">
        <v>2030</v>
      </c>
      <c r="AL43" t="s">
        <v>273</v>
      </c>
      <c r="AM43">
        <v>0.4528666666666667</v>
      </c>
      <c r="AN43" t="s">
        <v>226</v>
      </c>
    </row>
    <row r="44" spans="9:40" x14ac:dyDescent="0.45">
      <c r="I44" t="s">
        <v>176</v>
      </c>
      <c r="J44" t="s">
        <v>288</v>
      </c>
      <c r="K44">
        <v>5.5862148093388672E-2</v>
      </c>
      <c r="L44" t="s">
        <v>166</v>
      </c>
      <c r="N44" t="s">
        <v>189</v>
      </c>
      <c r="O44" t="s">
        <v>288</v>
      </c>
      <c r="P44">
        <v>0.13354520915577786</v>
      </c>
      <c r="Q44" t="s">
        <v>166</v>
      </c>
      <c r="S44" t="s">
        <v>203</v>
      </c>
      <c r="T44" t="s">
        <v>288</v>
      </c>
      <c r="U44">
        <v>0.12496620809224122</v>
      </c>
      <c r="V44" t="s">
        <v>166</v>
      </c>
      <c r="AK44">
        <v>2030</v>
      </c>
      <c r="AL44" t="s">
        <v>275</v>
      </c>
      <c r="AM44">
        <v>0.47166666666666668</v>
      </c>
      <c r="AN44" t="s">
        <v>226</v>
      </c>
    </row>
    <row r="45" spans="9:40" x14ac:dyDescent="0.45">
      <c r="I45" t="s">
        <v>176</v>
      </c>
      <c r="J45" t="s">
        <v>289</v>
      </c>
      <c r="K45">
        <v>0</v>
      </c>
      <c r="L45" t="s">
        <v>166</v>
      </c>
      <c r="N45" t="s">
        <v>189</v>
      </c>
      <c r="O45" t="s">
        <v>289</v>
      </c>
      <c r="P45">
        <v>0.14103338086813613</v>
      </c>
      <c r="Q45" t="s">
        <v>166</v>
      </c>
      <c r="S45" t="s">
        <v>203</v>
      </c>
      <c r="T45" t="s">
        <v>289</v>
      </c>
      <c r="U45">
        <v>0.13000197893602755</v>
      </c>
      <c r="V45" t="s">
        <v>166</v>
      </c>
      <c r="AK45">
        <v>2030</v>
      </c>
      <c r="AL45" t="s">
        <v>276</v>
      </c>
      <c r="AM45">
        <v>0.36930000000000002</v>
      </c>
      <c r="AN45" t="s">
        <v>226</v>
      </c>
    </row>
    <row r="46" spans="9:40" x14ac:dyDescent="0.45">
      <c r="I46" t="s">
        <v>176</v>
      </c>
      <c r="J46" t="s">
        <v>290</v>
      </c>
      <c r="K46">
        <v>1.467853311616458E-3</v>
      </c>
      <c r="L46" t="s">
        <v>166</v>
      </c>
      <c r="N46" t="s">
        <v>189</v>
      </c>
      <c r="O46" t="s">
        <v>290</v>
      </c>
      <c r="P46">
        <v>2.6125252300873883E-2</v>
      </c>
      <c r="Q46" t="s">
        <v>166</v>
      </c>
      <c r="S46" t="s">
        <v>203</v>
      </c>
      <c r="T46" t="s">
        <v>290</v>
      </c>
      <c r="U46">
        <v>2.3938228028977996E-2</v>
      </c>
      <c r="V46" t="s">
        <v>166</v>
      </c>
      <c r="AK46">
        <v>2030</v>
      </c>
      <c r="AL46" t="s">
        <v>278</v>
      </c>
      <c r="AM46">
        <v>0.54249999999999998</v>
      </c>
      <c r="AN46" t="s">
        <v>226</v>
      </c>
    </row>
    <row r="47" spans="9:40" x14ac:dyDescent="0.45">
      <c r="I47" t="s">
        <v>177</v>
      </c>
      <c r="J47" t="s">
        <v>279</v>
      </c>
      <c r="K47">
        <v>0.13842552682817982</v>
      </c>
      <c r="L47" t="s">
        <v>166</v>
      </c>
      <c r="N47" t="s">
        <v>190</v>
      </c>
      <c r="O47" t="s">
        <v>279</v>
      </c>
      <c r="P47">
        <v>0.11538461146364426</v>
      </c>
      <c r="Q47" t="s">
        <v>166</v>
      </c>
      <c r="S47" t="s">
        <v>204</v>
      </c>
      <c r="T47" t="s">
        <v>279</v>
      </c>
      <c r="U47">
        <v>0.11834185748171652</v>
      </c>
      <c r="V47" t="s">
        <v>166</v>
      </c>
      <c r="AK47">
        <v>2031</v>
      </c>
      <c r="AL47" t="s">
        <v>273</v>
      </c>
      <c r="AM47">
        <v>0.37196666666666661</v>
      </c>
      <c r="AN47" t="s">
        <v>226</v>
      </c>
    </row>
    <row r="48" spans="9:40" x14ac:dyDescent="0.45">
      <c r="I48" t="s">
        <v>177</v>
      </c>
      <c r="J48" t="s">
        <v>280</v>
      </c>
      <c r="K48">
        <v>3.3577602192829366E-6</v>
      </c>
      <c r="L48" t="s">
        <v>166</v>
      </c>
      <c r="N48" t="s">
        <v>190</v>
      </c>
      <c r="O48" t="s">
        <v>280</v>
      </c>
      <c r="P48">
        <v>0.11826743857377575</v>
      </c>
      <c r="Q48" t="s">
        <v>166</v>
      </c>
      <c r="S48" t="s">
        <v>204</v>
      </c>
      <c r="T48" t="s">
        <v>280</v>
      </c>
      <c r="U48">
        <v>0.12690396726713979</v>
      </c>
      <c r="V48" t="s">
        <v>166</v>
      </c>
      <c r="AK48">
        <v>2031</v>
      </c>
      <c r="AL48" t="s">
        <v>275</v>
      </c>
      <c r="AM48">
        <v>0.40230000000000005</v>
      </c>
      <c r="AN48" t="s">
        <v>226</v>
      </c>
    </row>
    <row r="49" spans="9:40" x14ac:dyDescent="0.45">
      <c r="I49" t="s">
        <v>177</v>
      </c>
      <c r="J49" t="s">
        <v>281</v>
      </c>
      <c r="K49">
        <v>8.2965390665221701E-3</v>
      </c>
      <c r="L49" t="s">
        <v>166</v>
      </c>
      <c r="N49" t="s">
        <v>190</v>
      </c>
      <c r="O49" t="s">
        <v>281</v>
      </c>
      <c r="P49">
        <v>2.118452008529052E-2</v>
      </c>
      <c r="Q49" t="s">
        <v>166</v>
      </c>
      <c r="S49" t="s">
        <v>204</v>
      </c>
      <c r="T49" t="s">
        <v>281</v>
      </c>
      <c r="U49">
        <v>2.362327278433677E-2</v>
      </c>
      <c r="V49" t="s">
        <v>166</v>
      </c>
      <c r="AK49">
        <v>2031</v>
      </c>
      <c r="AL49" t="s">
        <v>276</v>
      </c>
      <c r="AM49">
        <v>0.34149999999999997</v>
      </c>
      <c r="AN49" t="s">
        <v>226</v>
      </c>
    </row>
    <row r="50" spans="9:40" x14ac:dyDescent="0.45">
      <c r="I50" t="s">
        <v>177</v>
      </c>
      <c r="J50" t="s">
        <v>282</v>
      </c>
      <c r="K50">
        <v>0.31549398999418748</v>
      </c>
      <c r="L50" t="s">
        <v>166</v>
      </c>
      <c r="N50" t="s">
        <v>190</v>
      </c>
      <c r="O50" t="s">
        <v>282</v>
      </c>
      <c r="P50">
        <v>0.12139652663001543</v>
      </c>
      <c r="Q50" t="s">
        <v>166</v>
      </c>
      <c r="S50" t="s">
        <v>204</v>
      </c>
      <c r="T50" t="s">
        <v>282</v>
      </c>
      <c r="U50">
        <v>9.8586527841873869E-2</v>
      </c>
      <c r="V50" t="s">
        <v>166</v>
      </c>
      <c r="AK50">
        <v>2031</v>
      </c>
      <c r="AL50" t="s">
        <v>278</v>
      </c>
      <c r="AM50">
        <v>0.47446666666666665</v>
      </c>
      <c r="AN50" t="s">
        <v>226</v>
      </c>
    </row>
    <row r="51" spans="9:40" x14ac:dyDescent="0.45">
      <c r="I51" t="s">
        <v>177</v>
      </c>
      <c r="J51" t="s">
        <v>283</v>
      </c>
      <c r="K51">
        <v>1.2011943203544822E-2</v>
      </c>
      <c r="L51" t="s">
        <v>166</v>
      </c>
      <c r="N51" t="s">
        <v>190</v>
      </c>
      <c r="O51" t="s">
        <v>283</v>
      </c>
      <c r="P51">
        <v>0.1312641687337682</v>
      </c>
      <c r="Q51" t="s">
        <v>166</v>
      </c>
      <c r="S51" t="s">
        <v>204</v>
      </c>
      <c r="T51" t="s">
        <v>283</v>
      </c>
      <c r="U51">
        <v>0.11216662696301916</v>
      </c>
      <c r="V51" t="s">
        <v>166</v>
      </c>
      <c r="AK51">
        <v>2032</v>
      </c>
      <c r="AL51" t="s">
        <v>273</v>
      </c>
      <c r="AM51">
        <v>0.39606666666666673</v>
      </c>
      <c r="AN51" t="s">
        <v>226</v>
      </c>
    </row>
    <row r="52" spans="9:40" x14ac:dyDescent="0.45">
      <c r="I52" t="s">
        <v>177</v>
      </c>
      <c r="J52" t="s">
        <v>284</v>
      </c>
      <c r="K52">
        <v>4.0270965189723944E-2</v>
      </c>
      <c r="L52" t="s">
        <v>166</v>
      </c>
      <c r="N52" t="s">
        <v>190</v>
      </c>
      <c r="O52" t="s">
        <v>284</v>
      </c>
      <c r="P52">
        <v>2.4293068299510209E-2</v>
      </c>
      <c r="Q52" t="s">
        <v>166</v>
      </c>
      <c r="S52" t="s">
        <v>204</v>
      </c>
      <c r="T52" t="s">
        <v>284</v>
      </c>
      <c r="U52">
        <v>1.9191063054691343E-2</v>
      </c>
      <c r="V52" t="s">
        <v>166</v>
      </c>
      <c r="AK52">
        <v>2032</v>
      </c>
      <c r="AL52" t="s">
        <v>275</v>
      </c>
      <c r="AM52">
        <v>0.4165666666666667</v>
      </c>
      <c r="AN52" t="s">
        <v>226</v>
      </c>
    </row>
    <row r="53" spans="9:40" x14ac:dyDescent="0.45">
      <c r="I53" t="s">
        <v>177</v>
      </c>
      <c r="J53" t="s">
        <v>285</v>
      </c>
      <c r="K53">
        <v>0.34894452419407762</v>
      </c>
      <c r="L53" t="s">
        <v>166</v>
      </c>
      <c r="N53" t="s">
        <v>190</v>
      </c>
      <c r="O53" t="s">
        <v>285</v>
      </c>
      <c r="P53">
        <v>8.0479714454600434E-2</v>
      </c>
      <c r="Q53" t="s">
        <v>166</v>
      </c>
      <c r="S53" t="s">
        <v>204</v>
      </c>
      <c r="T53" t="s">
        <v>285</v>
      </c>
      <c r="U53">
        <v>8.2316945830562469E-2</v>
      </c>
      <c r="V53" t="s">
        <v>166</v>
      </c>
      <c r="AK53">
        <v>2032</v>
      </c>
      <c r="AL53" t="s">
        <v>276</v>
      </c>
      <c r="AM53">
        <v>0.34376666666666661</v>
      </c>
      <c r="AN53" t="s">
        <v>226</v>
      </c>
    </row>
    <row r="54" spans="9:40" x14ac:dyDescent="0.45">
      <c r="I54" t="s">
        <v>177</v>
      </c>
      <c r="J54" t="s">
        <v>286</v>
      </c>
      <c r="K54">
        <v>3.0982101123645328E-2</v>
      </c>
      <c r="L54" t="s">
        <v>166</v>
      </c>
      <c r="N54" t="s">
        <v>190</v>
      </c>
      <c r="O54" t="s">
        <v>286</v>
      </c>
      <c r="P54">
        <v>8.6514272413425075E-2</v>
      </c>
      <c r="Q54" t="s">
        <v>166</v>
      </c>
      <c r="S54" t="s">
        <v>204</v>
      </c>
      <c r="T54" t="s">
        <v>286</v>
      </c>
      <c r="U54">
        <v>9.4911857049921222E-2</v>
      </c>
      <c r="V54" t="s">
        <v>166</v>
      </c>
      <c r="AK54">
        <v>2032</v>
      </c>
      <c r="AL54" t="s">
        <v>278</v>
      </c>
      <c r="AM54">
        <v>0.4514333333333333</v>
      </c>
      <c r="AN54" t="s">
        <v>226</v>
      </c>
    </row>
    <row r="55" spans="9:40" x14ac:dyDescent="0.45">
      <c r="I55" t="s">
        <v>177</v>
      </c>
      <c r="J55" t="s">
        <v>287</v>
      </c>
      <c r="K55">
        <v>5.1489315002132635E-2</v>
      </c>
      <c r="L55" t="s">
        <v>166</v>
      </c>
      <c r="N55" t="s">
        <v>190</v>
      </c>
      <c r="O55" t="s">
        <v>287</v>
      </c>
      <c r="P55">
        <v>1.7615931498772171E-2</v>
      </c>
      <c r="Q55" t="s">
        <v>166</v>
      </c>
      <c r="S55" t="s">
        <v>204</v>
      </c>
      <c r="T55" t="s">
        <v>287</v>
      </c>
      <c r="U55">
        <v>1.5937636215289198E-2</v>
      </c>
      <c r="V55" t="s">
        <v>166</v>
      </c>
      <c r="AK55">
        <v>2033</v>
      </c>
      <c r="AL55" t="s">
        <v>273</v>
      </c>
      <c r="AM55">
        <v>0.36813333333333337</v>
      </c>
      <c r="AN55" t="s">
        <v>226</v>
      </c>
    </row>
    <row r="56" spans="9:40" x14ac:dyDescent="0.45">
      <c r="I56" t="s">
        <v>177</v>
      </c>
      <c r="J56" t="s">
        <v>288</v>
      </c>
      <c r="K56">
        <v>5.310518414595413E-2</v>
      </c>
      <c r="L56" t="s">
        <v>166</v>
      </c>
      <c r="N56" t="s">
        <v>190</v>
      </c>
      <c r="O56" t="s">
        <v>288</v>
      </c>
      <c r="P56">
        <v>0.12958072136539117</v>
      </c>
      <c r="Q56" t="s">
        <v>166</v>
      </c>
      <c r="S56" t="s">
        <v>204</v>
      </c>
      <c r="T56" t="s">
        <v>288</v>
      </c>
      <c r="U56">
        <v>0.1402138088425616</v>
      </c>
      <c r="V56" t="s">
        <v>166</v>
      </c>
      <c r="AK56">
        <v>2033</v>
      </c>
      <c r="AL56" t="s">
        <v>275</v>
      </c>
      <c r="AM56">
        <v>0.44123333333333331</v>
      </c>
      <c r="AN56" t="s">
        <v>226</v>
      </c>
    </row>
    <row r="57" spans="9:40" x14ac:dyDescent="0.45">
      <c r="I57" t="s">
        <v>177</v>
      </c>
      <c r="J57" t="s">
        <v>289</v>
      </c>
      <c r="K57">
        <v>0</v>
      </c>
      <c r="L57" t="s">
        <v>166</v>
      </c>
      <c r="N57" t="s">
        <v>190</v>
      </c>
      <c r="O57" t="s">
        <v>289</v>
      </c>
      <c r="P57">
        <v>0.12986169271839082</v>
      </c>
      <c r="Q57" t="s">
        <v>166</v>
      </c>
      <c r="S57" t="s">
        <v>204</v>
      </c>
      <c r="T57" t="s">
        <v>289</v>
      </c>
      <c r="U57">
        <v>0.14192703891109296</v>
      </c>
      <c r="V57" t="s">
        <v>166</v>
      </c>
      <c r="AK57">
        <v>2033</v>
      </c>
      <c r="AL57" t="s">
        <v>276</v>
      </c>
      <c r="AM57">
        <v>0.34526666666666667</v>
      </c>
      <c r="AN57" t="s">
        <v>226</v>
      </c>
    </row>
    <row r="58" spans="9:40" x14ac:dyDescent="0.45">
      <c r="I58" t="s">
        <v>177</v>
      </c>
      <c r="J58" t="s">
        <v>290</v>
      </c>
      <c r="K58">
        <v>9.765534918086986E-4</v>
      </c>
      <c r="L58" t="s">
        <v>166</v>
      </c>
      <c r="N58" t="s">
        <v>190</v>
      </c>
      <c r="O58" t="s">
        <v>290</v>
      </c>
      <c r="P58">
        <v>2.4157333763416125E-2</v>
      </c>
      <c r="Q58" t="s">
        <v>166</v>
      </c>
      <c r="S58" t="s">
        <v>204</v>
      </c>
      <c r="T58" t="s">
        <v>290</v>
      </c>
      <c r="U58">
        <v>2.5879397757790495E-2</v>
      </c>
      <c r="V58" t="s">
        <v>166</v>
      </c>
      <c r="AK58">
        <v>2033</v>
      </c>
      <c r="AL58" t="s">
        <v>278</v>
      </c>
      <c r="AM58">
        <v>0.46323333333333333</v>
      </c>
      <c r="AN58" t="s">
        <v>226</v>
      </c>
    </row>
    <row r="59" spans="9:40" x14ac:dyDescent="0.45">
      <c r="I59" t="s">
        <v>178</v>
      </c>
      <c r="J59" t="s">
        <v>279</v>
      </c>
      <c r="K59">
        <v>0.13643951648596553</v>
      </c>
      <c r="L59" t="s">
        <v>166</v>
      </c>
      <c r="N59" t="s">
        <v>191</v>
      </c>
      <c r="O59" t="s">
        <v>279</v>
      </c>
      <c r="P59">
        <v>0.11653250754617292</v>
      </c>
      <c r="Q59" t="s">
        <v>166</v>
      </c>
      <c r="S59" t="s">
        <v>205</v>
      </c>
      <c r="T59" t="s">
        <v>279</v>
      </c>
      <c r="U59">
        <v>0.12313647329659184</v>
      </c>
      <c r="V59" t="s">
        <v>166</v>
      </c>
      <c r="AK59">
        <v>2034</v>
      </c>
      <c r="AL59" t="s">
        <v>273</v>
      </c>
      <c r="AM59">
        <v>0.38163333333333332</v>
      </c>
      <c r="AN59" t="s">
        <v>226</v>
      </c>
    </row>
    <row r="60" spans="9:40" x14ac:dyDescent="0.45">
      <c r="I60" t="s">
        <v>178</v>
      </c>
      <c r="J60" t="s">
        <v>280</v>
      </c>
      <c r="K60">
        <v>5.1945311501204916E-4</v>
      </c>
      <c r="L60" t="s">
        <v>166</v>
      </c>
      <c r="N60" t="s">
        <v>191</v>
      </c>
      <c r="O60" t="s">
        <v>280</v>
      </c>
      <c r="P60">
        <v>0.12605205759907925</v>
      </c>
      <c r="Q60" t="s">
        <v>166</v>
      </c>
      <c r="S60" t="s">
        <v>205</v>
      </c>
      <c r="T60" t="s">
        <v>280</v>
      </c>
      <c r="U60">
        <v>0.13402975260050515</v>
      </c>
      <c r="V60" t="s">
        <v>166</v>
      </c>
      <c r="AK60">
        <v>2034</v>
      </c>
      <c r="AL60" t="s">
        <v>275</v>
      </c>
      <c r="AM60">
        <v>0.41206666666666664</v>
      </c>
      <c r="AN60" t="s">
        <v>226</v>
      </c>
    </row>
    <row r="61" spans="9:40" x14ac:dyDescent="0.45">
      <c r="I61" t="s">
        <v>178</v>
      </c>
      <c r="J61" t="s">
        <v>281</v>
      </c>
      <c r="K61">
        <v>1.0969391761486598E-2</v>
      </c>
      <c r="L61" t="s">
        <v>166</v>
      </c>
      <c r="N61" t="s">
        <v>191</v>
      </c>
      <c r="O61" t="s">
        <v>281</v>
      </c>
      <c r="P61">
        <v>2.1736734002904323E-2</v>
      </c>
      <c r="Q61" t="s">
        <v>166</v>
      </c>
      <c r="S61" t="s">
        <v>205</v>
      </c>
      <c r="T61" t="s">
        <v>281</v>
      </c>
      <c r="U61">
        <v>2.3677040850963334E-2</v>
      </c>
      <c r="V61" t="s">
        <v>166</v>
      </c>
      <c r="AK61">
        <v>2034</v>
      </c>
      <c r="AL61" t="s">
        <v>276</v>
      </c>
      <c r="AM61">
        <v>0.3546333333333333</v>
      </c>
      <c r="AN61" t="s">
        <v>226</v>
      </c>
    </row>
    <row r="62" spans="9:40" x14ac:dyDescent="0.45">
      <c r="I62" t="s">
        <v>178</v>
      </c>
      <c r="J62" t="s">
        <v>282</v>
      </c>
      <c r="K62">
        <v>0.32724158353541055</v>
      </c>
      <c r="L62" t="s">
        <v>166</v>
      </c>
      <c r="N62" t="s">
        <v>191</v>
      </c>
      <c r="O62" t="s">
        <v>282</v>
      </c>
      <c r="P62">
        <v>0.11987789447555745</v>
      </c>
      <c r="Q62" t="s">
        <v>166</v>
      </c>
      <c r="S62" t="s">
        <v>205</v>
      </c>
      <c r="T62" t="s">
        <v>282</v>
      </c>
      <c r="U62">
        <v>9.2021900802364762E-2</v>
      </c>
      <c r="V62" t="s">
        <v>166</v>
      </c>
      <c r="AK62">
        <v>2034</v>
      </c>
      <c r="AL62" t="s">
        <v>278</v>
      </c>
      <c r="AM62">
        <v>0.47136666666666666</v>
      </c>
      <c r="AN62" t="s">
        <v>226</v>
      </c>
    </row>
    <row r="63" spans="9:40" x14ac:dyDescent="0.45">
      <c r="I63" t="s">
        <v>178</v>
      </c>
      <c r="J63" t="s">
        <v>283</v>
      </c>
      <c r="K63">
        <v>1.4219589924522817E-2</v>
      </c>
      <c r="L63" t="s">
        <v>166</v>
      </c>
      <c r="N63" t="s">
        <v>191</v>
      </c>
      <c r="O63" t="s">
        <v>283</v>
      </c>
      <c r="P63">
        <v>0.13001517242637986</v>
      </c>
      <c r="Q63" t="s">
        <v>166</v>
      </c>
      <c r="S63" t="s">
        <v>205</v>
      </c>
      <c r="T63" t="s">
        <v>283</v>
      </c>
      <c r="U63">
        <v>0.10403743812359505</v>
      </c>
      <c r="V63" t="s">
        <v>166</v>
      </c>
      <c r="AK63">
        <v>2035</v>
      </c>
      <c r="AL63" t="s">
        <v>273</v>
      </c>
      <c r="AM63">
        <v>0.50996666666666668</v>
      </c>
      <c r="AN63" t="s">
        <v>226</v>
      </c>
    </row>
    <row r="64" spans="9:40" x14ac:dyDescent="0.45">
      <c r="I64" t="s">
        <v>178</v>
      </c>
      <c r="J64" t="s">
        <v>284</v>
      </c>
      <c r="K64">
        <v>4.3387166817246789E-2</v>
      </c>
      <c r="L64" t="s">
        <v>166</v>
      </c>
      <c r="N64" t="s">
        <v>191</v>
      </c>
      <c r="O64" t="s">
        <v>284</v>
      </c>
      <c r="P64">
        <v>2.2678912643799006E-2</v>
      </c>
      <c r="Q64" t="s">
        <v>166</v>
      </c>
      <c r="S64" t="s">
        <v>205</v>
      </c>
      <c r="T64" t="s">
        <v>284</v>
      </c>
      <c r="U64">
        <v>1.6917577349136435E-2</v>
      </c>
      <c r="V64" t="s">
        <v>166</v>
      </c>
      <c r="AK64">
        <v>2035</v>
      </c>
      <c r="AL64" t="s">
        <v>275</v>
      </c>
      <c r="AM64">
        <v>0.5232</v>
      </c>
      <c r="AN64" t="s">
        <v>226</v>
      </c>
    </row>
    <row r="65" spans="9:40" x14ac:dyDescent="0.45">
      <c r="I65" t="s">
        <v>178</v>
      </c>
      <c r="J65" t="s">
        <v>285</v>
      </c>
      <c r="K65">
        <v>0.32753800217152046</v>
      </c>
      <c r="L65" t="s">
        <v>166</v>
      </c>
      <c r="N65" t="s">
        <v>191</v>
      </c>
      <c r="O65" t="s">
        <v>285</v>
      </c>
      <c r="P65">
        <v>6.788509025905827E-2</v>
      </c>
      <c r="Q65" t="s">
        <v>166</v>
      </c>
      <c r="S65" t="s">
        <v>205</v>
      </c>
      <c r="T65" t="s">
        <v>285</v>
      </c>
      <c r="U65">
        <v>7.8778268980882013E-2</v>
      </c>
      <c r="V65" t="s">
        <v>166</v>
      </c>
      <c r="AK65">
        <v>2035</v>
      </c>
      <c r="AL65" t="s">
        <v>276</v>
      </c>
      <c r="AM65">
        <v>0.46530000000000005</v>
      </c>
      <c r="AN65" t="s">
        <v>226</v>
      </c>
    </row>
    <row r="66" spans="9:40" x14ac:dyDescent="0.45">
      <c r="I66" t="s">
        <v>178</v>
      </c>
      <c r="J66" t="s">
        <v>286</v>
      </c>
      <c r="K66">
        <v>3.4258020110130107E-2</v>
      </c>
      <c r="L66" t="s">
        <v>166</v>
      </c>
      <c r="N66" t="s">
        <v>191</v>
      </c>
      <c r="O66" t="s">
        <v>286</v>
      </c>
      <c r="P66">
        <v>7.5815693745208371E-2</v>
      </c>
      <c r="Q66" t="s">
        <v>166</v>
      </c>
      <c r="S66" t="s">
        <v>205</v>
      </c>
      <c r="T66" t="s">
        <v>286</v>
      </c>
      <c r="U66">
        <v>9.1013793998345402E-2</v>
      </c>
      <c r="V66" t="s">
        <v>166</v>
      </c>
      <c r="AK66">
        <v>2035</v>
      </c>
      <c r="AL66" t="s">
        <v>278</v>
      </c>
      <c r="AM66">
        <v>0.58500000000000008</v>
      </c>
      <c r="AN66" t="s">
        <v>226</v>
      </c>
    </row>
    <row r="67" spans="9:40" x14ac:dyDescent="0.45">
      <c r="I67" t="s">
        <v>178</v>
      </c>
      <c r="J67" t="s">
        <v>287</v>
      </c>
      <c r="K67">
        <v>4.6979774573519387E-2</v>
      </c>
      <c r="L67" t="s">
        <v>166</v>
      </c>
      <c r="N67" t="s">
        <v>191</v>
      </c>
      <c r="O67" t="s">
        <v>287</v>
      </c>
      <c r="P67">
        <v>1.3283361039712532E-2</v>
      </c>
      <c r="Q67" t="s">
        <v>166</v>
      </c>
      <c r="S67" t="s">
        <v>205</v>
      </c>
      <c r="T67" t="s">
        <v>287</v>
      </c>
      <c r="U67">
        <v>1.4178494296814099E-2</v>
      </c>
      <c r="V67" t="s">
        <v>166</v>
      </c>
      <c r="AK67">
        <v>2036</v>
      </c>
      <c r="AL67" t="s">
        <v>273</v>
      </c>
      <c r="AM67">
        <v>0.5338666666666666</v>
      </c>
      <c r="AN67" t="s">
        <v>226</v>
      </c>
    </row>
    <row r="68" spans="9:40" x14ac:dyDescent="0.45">
      <c r="I68" t="s">
        <v>178</v>
      </c>
      <c r="J68" t="s">
        <v>288</v>
      </c>
      <c r="K68">
        <v>5.7305337502279098E-2</v>
      </c>
      <c r="L68" t="s">
        <v>166</v>
      </c>
      <c r="N68" t="s">
        <v>191</v>
      </c>
      <c r="O68" t="s">
        <v>288</v>
      </c>
      <c r="P68">
        <v>0.13699457011863522</v>
      </c>
      <c r="Q68" t="s">
        <v>166</v>
      </c>
      <c r="S68" t="s">
        <v>205</v>
      </c>
      <c r="T68" t="s">
        <v>288</v>
      </c>
      <c r="U68">
        <v>0.14889942353519967</v>
      </c>
      <c r="V68" t="s">
        <v>166</v>
      </c>
      <c r="AK68">
        <v>2036</v>
      </c>
      <c r="AL68" t="s">
        <v>275</v>
      </c>
      <c r="AM68">
        <v>0.55896666666666661</v>
      </c>
      <c r="AN68" t="s">
        <v>226</v>
      </c>
    </row>
    <row r="69" spans="9:40" x14ac:dyDescent="0.45">
      <c r="I69" t="s">
        <v>178</v>
      </c>
      <c r="J69" t="s">
        <v>289</v>
      </c>
      <c r="K69">
        <v>0</v>
      </c>
      <c r="L69" t="s">
        <v>166</v>
      </c>
      <c r="N69" t="s">
        <v>191</v>
      </c>
      <c r="O69" t="s">
        <v>289</v>
      </c>
      <c r="P69">
        <v>0.14276959391604446</v>
      </c>
      <c r="Q69" t="s">
        <v>166</v>
      </c>
      <c r="S69" t="s">
        <v>205</v>
      </c>
      <c r="T69" t="s">
        <v>289</v>
      </c>
      <c r="U69">
        <v>0.14696340794714058</v>
      </c>
      <c r="V69" t="s">
        <v>166</v>
      </c>
      <c r="AK69">
        <v>2036</v>
      </c>
      <c r="AL69" t="s">
        <v>276</v>
      </c>
      <c r="AM69">
        <v>0.46900000000000003</v>
      </c>
      <c r="AN69" t="s">
        <v>226</v>
      </c>
    </row>
    <row r="70" spans="9:40" x14ac:dyDescent="0.45">
      <c r="I70" t="s">
        <v>178</v>
      </c>
      <c r="J70" t="s">
        <v>290</v>
      </c>
      <c r="K70">
        <v>1.1421640029076424E-3</v>
      </c>
      <c r="L70" t="s">
        <v>166</v>
      </c>
      <c r="N70" t="s">
        <v>191</v>
      </c>
      <c r="O70" t="s">
        <v>290</v>
      </c>
      <c r="P70">
        <v>2.6358412227446101E-2</v>
      </c>
      <c r="Q70" t="s">
        <v>166</v>
      </c>
      <c r="S70" t="s">
        <v>205</v>
      </c>
      <c r="T70" t="s">
        <v>290</v>
      </c>
      <c r="U70">
        <v>2.6346428218460765E-2</v>
      </c>
      <c r="V70" t="s">
        <v>166</v>
      </c>
      <c r="AK70">
        <v>2036</v>
      </c>
      <c r="AL70" t="s">
        <v>278</v>
      </c>
      <c r="AM70">
        <v>0.59356666666666669</v>
      </c>
      <c r="AN70" t="s">
        <v>226</v>
      </c>
    </row>
    <row r="71" spans="9:40" x14ac:dyDescent="0.45">
      <c r="I71" t="s">
        <v>179</v>
      </c>
      <c r="J71" t="s">
        <v>279</v>
      </c>
      <c r="K71">
        <v>0.13875104628163959</v>
      </c>
      <c r="L71" t="s">
        <v>166</v>
      </c>
      <c r="N71" t="s">
        <v>192</v>
      </c>
      <c r="O71" t="s">
        <v>279</v>
      </c>
      <c r="P71">
        <v>0.11330593087181381</v>
      </c>
      <c r="Q71" t="s">
        <v>166</v>
      </c>
      <c r="S71" t="s">
        <v>206</v>
      </c>
      <c r="T71" t="s">
        <v>279</v>
      </c>
      <c r="U71">
        <v>0.12095588954628962</v>
      </c>
      <c r="V71" t="s">
        <v>166</v>
      </c>
      <c r="AK71">
        <v>2037</v>
      </c>
      <c r="AL71" t="s">
        <v>273</v>
      </c>
      <c r="AM71">
        <v>0.42030000000000006</v>
      </c>
      <c r="AN71" t="s">
        <v>226</v>
      </c>
    </row>
    <row r="72" spans="9:40" x14ac:dyDescent="0.45">
      <c r="I72" t="s">
        <v>179</v>
      </c>
      <c r="J72" t="s">
        <v>280</v>
      </c>
      <c r="K72">
        <v>3.3893022985542862E-4</v>
      </c>
      <c r="L72" t="s">
        <v>166</v>
      </c>
      <c r="N72" t="s">
        <v>192</v>
      </c>
      <c r="O72" t="s">
        <v>280</v>
      </c>
      <c r="P72">
        <v>0.12331682870741566</v>
      </c>
      <c r="Q72" t="s">
        <v>166</v>
      </c>
      <c r="S72" t="s">
        <v>206</v>
      </c>
      <c r="T72" t="s">
        <v>280</v>
      </c>
      <c r="U72">
        <v>0.12425683090156399</v>
      </c>
      <c r="V72" t="s">
        <v>166</v>
      </c>
      <c r="AK72">
        <v>2037</v>
      </c>
      <c r="AL72" t="s">
        <v>275</v>
      </c>
      <c r="AM72">
        <v>0.50013333333333332</v>
      </c>
      <c r="AN72" t="s">
        <v>226</v>
      </c>
    </row>
    <row r="73" spans="9:40" x14ac:dyDescent="0.45">
      <c r="I73" t="s">
        <v>179</v>
      </c>
      <c r="J73" t="s">
        <v>281</v>
      </c>
      <c r="K73">
        <v>1.0815787913466398E-2</v>
      </c>
      <c r="L73" t="s">
        <v>166</v>
      </c>
      <c r="N73" t="s">
        <v>192</v>
      </c>
      <c r="O73" t="s">
        <v>281</v>
      </c>
      <c r="P73">
        <v>2.2441710138280061E-2</v>
      </c>
      <c r="Q73" t="s">
        <v>166</v>
      </c>
      <c r="S73" t="s">
        <v>206</v>
      </c>
      <c r="T73" t="s">
        <v>281</v>
      </c>
      <c r="U73">
        <v>2.393140257073733E-2</v>
      </c>
      <c r="V73" t="s">
        <v>166</v>
      </c>
      <c r="AK73">
        <v>2037</v>
      </c>
      <c r="AL73" t="s">
        <v>276</v>
      </c>
      <c r="AM73">
        <v>0.41186666666666666</v>
      </c>
      <c r="AN73" t="s">
        <v>226</v>
      </c>
    </row>
    <row r="74" spans="9:40" x14ac:dyDescent="0.45">
      <c r="I74" t="s">
        <v>179</v>
      </c>
      <c r="J74" t="s">
        <v>282</v>
      </c>
      <c r="K74">
        <v>0.32270559143609429</v>
      </c>
      <c r="L74" t="s">
        <v>166</v>
      </c>
      <c r="N74" t="s">
        <v>192</v>
      </c>
      <c r="O74" t="s">
        <v>282</v>
      </c>
      <c r="P74">
        <v>0.10944757225599912</v>
      </c>
      <c r="Q74" t="s">
        <v>166</v>
      </c>
      <c r="S74" t="s">
        <v>206</v>
      </c>
      <c r="T74" t="s">
        <v>282</v>
      </c>
      <c r="U74">
        <v>9.7886959827317488E-2</v>
      </c>
      <c r="V74" t="s">
        <v>166</v>
      </c>
      <c r="AK74">
        <v>2037</v>
      </c>
      <c r="AL74" t="s">
        <v>278</v>
      </c>
      <c r="AM74">
        <v>0.49493333333333328</v>
      </c>
      <c r="AN74" t="s">
        <v>226</v>
      </c>
    </row>
    <row r="75" spans="9:40" x14ac:dyDescent="0.45">
      <c r="I75" t="s">
        <v>179</v>
      </c>
      <c r="J75" t="s">
        <v>283</v>
      </c>
      <c r="K75">
        <v>1.3582320965907602E-2</v>
      </c>
      <c r="L75" t="s">
        <v>166</v>
      </c>
      <c r="N75" t="s">
        <v>192</v>
      </c>
      <c r="O75" t="s">
        <v>283</v>
      </c>
      <c r="P75">
        <v>0.1234257187652535</v>
      </c>
      <c r="Q75" t="s">
        <v>166</v>
      </c>
      <c r="S75" t="s">
        <v>206</v>
      </c>
      <c r="T75" t="s">
        <v>283</v>
      </c>
      <c r="U75">
        <v>0.10390508334233073</v>
      </c>
      <c r="V75" t="s">
        <v>166</v>
      </c>
      <c r="AK75">
        <v>2038</v>
      </c>
      <c r="AL75" t="s">
        <v>273</v>
      </c>
      <c r="AM75">
        <v>0.37939999999999996</v>
      </c>
      <c r="AN75" t="s">
        <v>226</v>
      </c>
    </row>
    <row r="76" spans="9:40" x14ac:dyDescent="0.45">
      <c r="I76" t="s">
        <v>179</v>
      </c>
      <c r="J76" t="s">
        <v>284</v>
      </c>
      <c r="K76">
        <v>4.4720225012073504E-2</v>
      </c>
      <c r="L76" t="s">
        <v>166</v>
      </c>
      <c r="N76" t="s">
        <v>192</v>
      </c>
      <c r="O76" t="s">
        <v>284</v>
      </c>
      <c r="P76">
        <v>1.9810746802904459E-2</v>
      </c>
      <c r="Q76" t="s">
        <v>166</v>
      </c>
      <c r="S76" t="s">
        <v>206</v>
      </c>
      <c r="T76" t="s">
        <v>284</v>
      </c>
      <c r="U76">
        <v>1.9579789908389676E-2</v>
      </c>
      <c r="V76" t="s">
        <v>166</v>
      </c>
      <c r="AK76">
        <v>2038</v>
      </c>
      <c r="AL76" t="s">
        <v>275</v>
      </c>
      <c r="AM76">
        <v>0.43149999999999999</v>
      </c>
      <c r="AN76" t="s">
        <v>226</v>
      </c>
    </row>
    <row r="77" spans="9:40" x14ac:dyDescent="0.45">
      <c r="I77" t="s">
        <v>179</v>
      </c>
      <c r="J77" t="s">
        <v>285</v>
      </c>
      <c r="K77">
        <v>0.33137279701206618</v>
      </c>
      <c r="L77" t="s">
        <v>166</v>
      </c>
      <c r="N77" t="s">
        <v>192</v>
      </c>
      <c r="O77" t="s">
        <v>285</v>
      </c>
      <c r="P77">
        <v>6.7652438186153768E-2</v>
      </c>
      <c r="Q77" t="s">
        <v>166</v>
      </c>
      <c r="S77" t="s">
        <v>206</v>
      </c>
      <c r="T77" t="s">
        <v>285</v>
      </c>
      <c r="U77">
        <v>9.0692924881358994E-2</v>
      </c>
      <c r="V77" t="s">
        <v>166</v>
      </c>
      <c r="AK77">
        <v>2038</v>
      </c>
      <c r="AL77" t="s">
        <v>276</v>
      </c>
      <c r="AM77">
        <v>0.3382</v>
      </c>
      <c r="AN77" t="s">
        <v>226</v>
      </c>
    </row>
    <row r="78" spans="9:40" x14ac:dyDescent="0.45">
      <c r="I78" t="s">
        <v>179</v>
      </c>
      <c r="J78" t="s">
        <v>286</v>
      </c>
      <c r="K78">
        <v>3.0706303230635272E-2</v>
      </c>
      <c r="L78" t="s">
        <v>166</v>
      </c>
      <c r="N78" t="s">
        <v>192</v>
      </c>
      <c r="O78" t="s">
        <v>286</v>
      </c>
      <c r="P78">
        <v>7.3101851334179652E-2</v>
      </c>
      <c r="Q78" t="s">
        <v>166</v>
      </c>
      <c r="S78" t="s">
        <v>206</v>
      </c>
      <c r="T78" t="s">
        <v>286</v>
      </c>
      <c r="U78">
        <v>9.8963236667219748E-2</v>
      </c>
      <c r="V78" t="s">
        <v>166</v>
      </c>
      <c r="AK78">
        <v>2038</v>
      </c>
      <c r="AL78" t="s">
        <v>278</v>
      </c>
      <c r="AM78">
        <v>0.47210000000000002</v>
      </c>
      <c r="AN78" t="s">
        <v>226</v>
      </c>
    </row>
    <row r="79" spans="9:40" x14ac:dyDescent="0.45">
      <c r="I79" t="s">
        <v>179</v>
      </c>
      <c r="J79" t="s">
        <v>287</v>
      </c>
      <c r="K79">
        <v>4.9535982264963134E-2</v>
      </c>
      <c r="L79" t="s">
        <v>166</v>
      </c>
      <c r="N79" t="s">
        <v>192</v>
      </c>
      <c r="O79" t="s">
        <v>287</v>
      </c>
      <c r="P79">
        <v>1.2533941541171763E-2</v>
      </c>
      <c r="Q79" t="s">
        <v>166</v>
      </c>
      <c r="S79" t="s">
        <v>206</v>
      </c>
      <c r="T79" t="s">
        <v>287</v>
      </c>
      <c r="U79">
        <v>1.76705570162543E-2</v>
      </c>
      <c r="V79" t="s">
        <v>166</v>
      </c>
      <c r="AK79">
        <v>2039</v>
      </c>
      <c r="AL79" t="s">
        <v>273</v>
      </c>
      <c r="AM79">
        <v>0.37906666666666666</v>
      </c>
      <c r="AN79" t="s">
        <v>226</v>
      </c>
    </row>
    <row r="80" spans="9:40" x14ac:dyDescent="0.45">
      <c r="I80" t="s">
        <v>179</v>
      </c>
      <c r="J80" t="s">
        <v>288</v>
      </c>
      <c r="K80">
        <v>5.6269582468104144E-2</v>
      </c>
      <c r="L80" t="s">
        <v>166</v>
      </c>
      <c r="N80" t="s">
        <v>192</v>
      </c>
      <c r="O80" t="s">
        <v>288</v>
      </c>
      <c r="P80">
        <v>0.1486863535294416</v>
      </c>
      <c r="Q80" t="s">
        <v>166</v>
      </c>
      <c r="S80" t="s">
        <v>206</v>
      </c>
      <c r="T80" t="s">
        <v>288</v>
      </c>
      <c r="U80">
        <v>0.13921991541311704</v>
      </c>
      <c r="V80" t="s">
        <v>166</v>
      </c>
      <c r="AK80">
        <v>2039</v>
      </c>
      <c r="AL80" t="s">
        <v>275</v>
      </c>
      <c r="AM80">
        <v>0.39003333333333329</v>
      </c>
      <c r="AN80" t="s">
        <v>226</v>
      </c>
    </row>
    <row r="81" spans="9:40" x14ac:dyDescent="0.45">
      <c r="I81" t="s">
        <v>179</v>
      </c>
      <c r="J81" t="s">
        <v>289</v>
      </c>
      <c r="K81">
        <v>0</v>
      </c>
      <c r="L81" t="s">
        <v>166</v>
      </c>
      <c r="N81" t="s">
        <v>192</v>
      </c>
      <c r="O81" t="s">
        <v>289</v>
      </c>
      <c r="P81">
        <v>0.15651771797965516</v>
      </c>
      <c r="Q81" t="s">
        <v>166</v>
      </c>
      <c r="S81" t="s">
        <v>206</v>
      </c>
      <c r="T81" t="s">
        <v>289</v>
      </c>
      <c r="U81">
        <v>0.13783095342455873</v>
      </c>
      <c r="V81" t="s">
        <v>166</v>
      </c>
      <c r="AK81">
        <v>2039</v>
      </c>
      <c r="AL81" t="s">
        <v>276</v>
      </c>
      <c r="AM81">
        <v>0.35270000000000001</v>
      </c>
      <c r="AN81" t="s">
        <v>226</v>
      </c>
    </row>
    <row r="82" spans="9:40" x14ac:dyDescent="0.45">
      <c r="I82" t="s">
        <v>179</v>
      </c>
      <c r="J82" t="s">
        <v>290</v>
      </c>
      <c r="K82">
        <v>1.2014331851936549E-3</v>
      </c>
      <c r="L82" t="s">
        <v>166</v>
      </c>
      <c r="N82" t="s">
        <v>192</v>
      </c>
      <c r="O82" t="s">
        <v>290</v>
      </c>
      <c r="P82">
        <v>2.9759189887730571E-2</v>
      </c>
      <c r="Q82" t="s">
        <v>166</v>
      </c>
      <c r="S82" t="s">
        <v>206</v>
      </c>
      <c r="T82" t="s">
        <v>290</v>
      </c>
      <c r="U82">
        <v>2.5106456500861855E-2</v>
      </c>
      <c r="V82" t="s">
        <v>166</v>
      </c>
      <c r="AK82">
        <v>2039</v>
      </c>
      <c r="AL82" t="s">
        <v>278</v>
      </c>
      <c r="AM82">
        <v>0.41953333333333331</v>
      </c>
      <c r="AN82" t="s">
        <v>226</v>
      </c>
    </row>
    <row r="83" spans="9:40" x14ac:dyDescent="0.45">
      <c r="I83" t="s">
        <v>180</v>
      </c>
      <c r="J83" t="s">
        <v>279</v>
      </c>
      <c r="K83">
        <v>0.13651299140157658</v>
      </c>
      <c r="L83" t="s">
        <v>166</v>
      </c>
      <c r="N83" t="s">
        <v>193</v>
      </c>
      <c r="O83" t="s">
        <v>279</v>
      </c>
      <c r="P83">
        <v>0.11888658203983202</v>
      </c>
      <c r="Q83" t="s">
        <v>166</v>
      </c>
      <c r="S83" t="s">
        <v>207</v>
      </c>
      <c r="T83" t="s">
        <v>279</v>
      </c>
      <c r="U83">
        <v>0.11779749052837002</v>
      </c>
      <c r="V83" t="s">
        <v>166</v>
      </c>
      <c r="AK83">
        <v>2040</v>
      </c>
      <c r="AL83" t="s">
        <v>273</v>
      </c>
      <c r="AM83">
        <v>0.44729999999999998</v>
      </c>
      <c r="AN83" t="s">
        <v>226</v>
      </c>
    </row>
    <row r="84" spans="9:40" x14ac:dyDescent="0.45">
      <c r="I84" t="s">
        <v>180</v>
      </c>
      <c r="J84" t="s">
        <v>280</v>
      </c>
      <c r="K84">
        <v>8.5240804025679716E-4</v>
      </c>
      <c r="L84" t="s">
        <v>166</v>
      </c>
      <c r="N84" t="s">
        <v>193</v>
      </c>
      <c r="O84" t="s">
        <v>280</v>
      </c>
      <c r="P84">
        <v>0.12932120155458465</v>
      </c>
      <c r="Q84" t="s">
        <v>166</v>
      </c>
      <c r="S84" t="s">
        <v>207</v>
      </c>
      <c r="T84" t="s">
        <v>280</v>
      </c>
      <c r="U84">
        <v>0.12580559560712395</v>
      </c>
      <c r="V84" t="s">
        <v>166</v>
      </c>
      <c r="AK84">
        <v>2040</v>
      </c>
      <c r="AL84" t="s">
        <v>275</v>
      </c>
      <c r="AM84">
        <v>0.47239999999999999</v>
      </c>
      <c r="AN84" t="s">
        <v>226</v>
      </c>
    </row>
    <row r="85" spans="9:40" x14ac:dyDescent="0.45">
      <c r="I85" t="s">
        <v>180</v>
      </c>
      <c r="J85" t="s">
        <v>281</v>
      </c>
      <c r="K85">
        <v>1.1687240080784637E-2</v>
      </c>
      <c r="L85" t="s">
        <v>166</v>
      </c>
      <c r="N85" t="s">
        <v>193</v>
      </c>
      <c r="O85" t="s">
        <v>281</v>
      </c>
      <c r="P85">
        <v>2.2985881336909413E-2</v>
      </c>
      <c r="Q85" t="s">
        <v>166</v>
      </c>
      <c r="S85" t="s">
        <v>207</v>
      </c>
      <c r="T85" t="s">
        <v>281</v>
      </c>
      <c r="U85">
        <v>2.1885143784320264E-2</v>
      </c>
      <c r="V85" t="s">
        <v>166</v>
      </c>
      <c r="AK85">
        <v>2040</v>
      </c>
      <c r="AL85" t="s">
        <v>276</v>
      </c>
      <c r="AM85">
        <v>0.39409999999999995</v>
      </c>
      <c r="AN85" t="s">
        <v>226</v>
      </c>
    </row>
    <row r="86" spans="9:40" x14ac:dyDescent="0.45">
      <c r="I86" t="s">
        <v>180</v>
      </c>
      <c r="J86" t="s">
        <v>282</v>
      </c>
      <c r="K86">
        <v>0.3018692664537187</v>
      </c>
      <c r="L86" t="s">
        <v>166</v>
      </c>
      <c r="N86" t="s">
        <v>193</v>
      </c>
      <c r="O86" t="s">
        <v>282</v>
      </c>
      <c r="P86">
        <v>0.10953935924148776</v>
      </c>
      <c r="Q86" t="s">
        <v>166</v>
      </c>
      <c r="S86" t="s">
        <v>207</v>
      </c>
      <c r="T86" t="s">
        <v>282</v>
      </c>
      <c r="U86">
        <v>0.1154288306134566</v>
      </c>
      <c r="V86" t="s">
        <v>166</v>
      </c>
      <c r="AK86">
        <v>2040</v>
      </c>
      <c r="AL86" t="s">
        <v>278</v>
      </c>
      <c r="AM86">
        <v>0.5252</v>
      </c>
      <c r="AN86" t="s">
        <v>226</v>
      </c>
    </row>
    <row r="87" spans="9:40" x14ac:dyDescent="0.45">
      <c r="I87" t="s">
        <v>180</v>
      </c>
      <c r="J87" t="s">
        <v>283</v>
      </c>
      <c r="K87">
        <v>1.6677559624646236E-2</v>
      </c>
      <c r="L87" t="s">
        <v>166</v>
      </c>
      <c r="N87" t="s">
        <v>193</v>
      </c>
      <c r="O87" t="s">
        <v>283</v>
      </c>
      <c r="P87">
        <v>0.11952086625926232</v>
      </c>
      <c r="Q87" t="s">
        <v>166</v>
      </c>
      <c r="S87" t="s">
        <v>207</v>
      </c>
      <c r="T87" t="s">
        <v>283</v>
      </c>
      <c r="U87">
        <v>0.11900486337855511</v>
      </c>
      <c r="V87" t="s">
        <v>166</v>
      </c>
      <c r="AK87">
        <v>2041</v>
      </c>
      <c r="AL87" t="s">
        <v>273</v>
      </c>
      <c r="AM87">
        <v>0.46633333333333332</v>
      </c>
      <c r="AN87" t="s">
        <v>226</v>
      </c>
    </row>
    <row r="88" spans="9:40" x14ac:dyDescent="0.45">
      <c r="I88" t="s">
        <v>180</v>
      </c>
      <c r="J88" t="s">
        <v>284</v>
      </c>
      <c r="K88">
        <v>4.4886248611307494E-2</v>
      </c>
      <c r="L88" t="s">
        <v>166</v>
      </c>
      <c r="N88" t="s">
        <v>193</v>
      </c>
      <c r="O88" t="s">
        <v>284</v>
      </c>
      <c r="P88">
        <v>1.9201570650753796E-2</v>
      </c>
      <c r="Q88" t="s">
        <v>166</v>
      </c>
      <c r="S88" t="s">
        <v>207</v>
      </c>
      <c r="T88" t="s">
        <v>284</v>
      </c>
      <c r="U88">
        <v>2.1413263827873955E-2</v>
      </c>
      <c r="V88" t="s">
        <v>166</v>
      </c>
      <c r="AK88">
        <v>2041</v>
      </c>
      <c r="AL88" t="s">
        <v>275</v>
      </c>
      <c r="AM88">
        <v>0.48430000000000001</v>
      </c>
      <c r="AN88" t="s">
        <v>226</v>
      </c>
    </row>
    <row r="89" spans="9:40" x14ac:dyDescent="0.45">
      <c r="I89" t="s">
        <v>180</v>
      </c>
      <c r="J89" t="s">
        <v>285</v>
      </c>
      <c r="K89">
        <v>0.32987833029102964</v>
      </c>
      <c r="L89" t="s">
        <v>166</v>
      </c>
      <c r="N89" t="s">
        <v>193</v>
      </c>
      <c r="O89" t="s">
        <v>285</v>
      </c>
      <c r="P89">
        <v>6.7441417646620788E-2</v>
      </c>
      <c r="Q89" t="s">
        <v>166</v>
      </c>
      <c r="S89" t="s">
        <v>207</v>
      </c>
      <c r="T89" t="s">
        <v>285</v>
      </c>
      <c r="U89">
        <v>7.1653557127622336E-2</v>
      </c>
      <c r="V89" t="s">
        <v>166</v>
      </c>
      <c r="AK89">
        <v>2041</v>
      </c>
      <c r="AL89" t="s">
        <v>276</v>
      </c>
      <c r="AM89">
        <v>0.41516666666666668</v>
      </c>
      <c r="AN89" t="s">
        <v>226</v>
      </c>
    </row>
    <row r="90" spans="9:40" x14ac:dyDescent="0.45">
      <c r="I90" t="s">
        <v>180</v>
      </c>
      <c r="J90" t="s">
        <v>286</v>
      </c>
      <c r="K90">
        <v>4.0102774406685367E-2</v>
      </c>
      <c r="L90" t="s">
        <v>166</v>
      </c>
      <c r="N90" t="s">
        <v>193</v>
      </c>
      <c r="O90" t="s">
        <v>286</v>
      </c>
      <c r="P90">
        <v>7.2371053883109535E-2</v>
      </c>
      <c r="Q90" t="s">
        <v>166</v>
      </c>
      <c r="S90" t="s">
        <v>207</v>
      </c>
      <c r="T90" t="s">
        <v>286</v>
      </c>
      <c r="U90">
        <v>8.1642204171009231E-2</v>
      </c>
      <c r="V90" t="s">
        <v>166</v>
      </c>
      <c r="AK90">
        <v>2041</v>
      </c>
      <c r="AL90" t="s">
        <v>278</v>
      </c>
      <c r="AM90">
        <v>0.55469999999999997</v>
      </c>
      <c r="AN90" t="s">
        <v>226</v>
      </c>
    </row>
    <row r="91" spans="9:40" x14ac:dyDescent="0.45">
      <c r="I91" t="s">
        <v>180</v>
      </c>
      <c r="J91" t="s">
        <v>287</v>
      </c>
      <c r="K91">
        <v>5.5111499161845108E-2</v>
      </c>
      <c r="L91" t="s">
        <v>166</v>
      </c>
      <c r="N91" t="s">
        <v>193</v>
      </c>
      <c r="O91" t="s">
        <v>287</v>
      </c>
      <c r="P91">
        <v>1.1860846099736526E-2</v>
      </c>
      <c r="Q91" t="s">
        <v>166</v>
      </c>
      <c r="S91" t="s">
        <v>207</v>
      </c>
      <c r="T91" t="s">
        <v>287</v>
      </c>
      <c r="U91">
        <v>1.5307277743994327E-2</v>
      </c>
      <c r="V91" t="s">
        <v>166</v>
      </c>
      <c r="AK91">
        <v>2042</v>
      </c>
      <c r="AL91" t="s">
        <v>273</v>
      </c>
      <c r="AM91">
        <v>0.42593333333333333</v>
      </c>
      <c r="AN91" t="s">
        <v>226</v>
      </c>
    </row>
    <row r="92" spans="9:40" x14ac:dyDescent="0.45">
      <c r="I92" t="s">
        <v>180</v>
      </c>
      <c r="J92" t="s">
        <v>288</v>
      </c>
      <c r="K92">
        <v>6.0035612250131612E-2</v>
      </c>
      <c r="L92" t="s">
        <v>166</v>
      </c>
      <c r="N92" t="s">
        <v>193</v>
      </c>
      <c r="O92" t="s">
        <v>288</v>
      </c>
      <c r="P92">
        <v>0.1465317996547342</v>
      </c>
      <c r="Q92" t="s">
        <v>166</v>
      </c>
      <c r="S92" t="s">
        <v>207</v>
      </c>
      <c r="T92" t="s">
        <v>288</v>
      </c>
      <c r="U92">
        <v>0.14251968461878725</v>
      </c>
      <c r="V92" t="s">
        <v>166</v>
      </c>
      <c r="AK92">
        <v>2042</v>
      </c>
      <c r="AL92" t="s">
        <v>275</v>
      </c>
      <c r="AM92">
        <v>0.4956666666666667</v>
      </c>
      <c r="AN92" t="s">
        <v>226</v>
      </c>
    </row>
    <row r="93" spans="9:40" x14ac:dyDescent="0.45">
      <c r="I93" t="s">
        <v>180</v>
      </c>
      <c r="J93" t="s">
        <v>289</v>
      </c>
      <c r="K93">
        <v>0</v>
      </c>
      <c r="L93" t="s">
        <v>166</v>
      </c>
      <c r="N93" t="s">
        <v>193</v>
      </c>
      <c r="O93" t="s">
        <v>289</v>
      </c>
      <c r="P93">
        <v>0.15265180914648019</v>
      </c>
      <c r="Q93" t="s">
        <v>166</v>
      </c>
      <c r="S93" t="s">
        <v>207</v>
      </c>
      <c r="T93" t="s">
        <v>289</v>
      </c>
      <c r="U93">
        <v>0.14188788923860876</v>
      </c>
      <c r="V93" t="s">
        <v>166</v>
      </c>
      <c r="AK93">
        <v>2042</v>
      </c>
      <c r="AL93" t="s">
        <v>276</v>
      </c>
      <c r="AM93">
        <v>0.39346666666666669</v>
      </c>
      <c r="AN93" t="s">
        <v>226</v>
      </c>
    </row>
    <row r="94" spans="9:40" x14ac:dyDescent="0.45">
      <c r="I94" t="s">
        <v>180</v>
      </c>
      <c r="J94" t="s">
        <v>290</v>
      </c>
      <c r="K94">
        <v>2.3860696780172645E-3</v>
      </c>
      <c r="L94" t="s">
        <v>166</v>
      </c>
      <c r="N94" t="s">
        <v>193</v>
      </c>
      <c r="O94" t="s">
        <v>290</v>
      </c>
      <c r="P94">
        <v>2.9687612486490173E-2</v>
      </c>
      <c r="Q94" t="s">
        <v>166</v>
      </c>
      <c r="S94" t="s">
        <v>207</v>
      </c>
      <c r="T94" t="s">
        <v>290</v>
      </c>
      <c r="U94">
        <v>2.565419936028383E-2</v>
      </c>
      <c r="V94" t="s">
        <v>166</v>
      </c>
      <c r="AK94">
        <v>2042</v>
      </c>
      <c r="AL94" t="s">
        <v>278</v>
      </c>
      <c r="AM94">
        <v>0.54893333333333338</v>
      </c>
      <c r="AN94" t="s">
        <v>226</v>
      </c>
    </row>
    <row r="95" spans="9:40" x14ac:dyDescent="0.45">
      <c r="I95" t="s">
        <v>181</v>
      </c>
      <c r="J95" t="s">
        <v>279</v>
      </c>
      <c r="K95">
        <v>0.13081642083823783</v>
      </c>
      <c r="L95" t="s">
        <v>166</v>
      </c>
      <c r="N95" t="s">
        <v>194</v>
      </c>
      <c r="O95" t="s">
        <v>279</v>
      </c>
      <c r="P95">
        <v>0.11900124733507222</v>
      </c>
      <c r="Q95" t="s">
        <v>166</v>
      </c>
      <c r="S95" t="s">
        <v>208</v>
      </c>
      <c r="T95" t="s">
        <v>279</v>
      </c>
      <c r="U95">
        <v>0.1185866742905281</v>
      </c>
      <c r="V95" t="s">
        <v>166</v>
      </c>
      <c r="AK95">
        <v>2043</v>
      </c>
      <c r="AL95" t="s">
        <v>273</v>
      </c>
      <c r="AM95">
        <v>0.42580000000000001</v>
      </c>
      <c r="AN95" t="s">
        <v>226</v>
      </c>
    </row>
    <row r="96" spans="9:40" x14ac:dyDescent="0.45">
      <c r="I96" t="s">
        <v>181</v>
      </c>
      <c r="J96" t="s">
        <v>280</v>
      </c>
      <c r="K96">
        <v>9.5237786074486071E-4</v>
      </c>
      <c r="L96" t="s">
        <v>166</v>
      </c>
      <c r="N96" t="s">
        <v>194</v>
      </c>
      <c r="O96" t="s">
        <v>280</v>
      </c>
      <c r="P96">
        <v>0.13044797642925818</v>
      </c>
      <c r="Q96" t="s">
        <v>166</v>
      </c>
      <c r="S96" t="s">
        <v>208</v>
      </c>
      <c r="T96" t="s">
        <v>280</v>
      </c>
      <c r="U96">
        <v>0.1232261891635901</v>
      </c>
      <c r="V96" t="s">
        <v>166</v>
      </c>
      <c r="AK96">
        <v>2043</v>
      </c>
      <c r="AL96" t="s">
        <v>275</v>
      </c>
      <c r="AM96">
        <v>0.50463333333333338</v>
      </c>
      <c r="AN96" t="s">
        <v>226</v>
      </c>
    </row>
    <row r="97" spans="9:40" x14ac:dyDescent="0.45">
      <c r="I97" t="s">
        <v>181</v>
      </c>
      <c r="J97" t="s">
        <v>281</v>
      </c>
      <c r="K97">
        <v>1.2099799297655752E-2</v>
      </c>
      <c r="L97" t="s">
        <v>166</v>
      </c>
      <c r="N97" t="s">
        <v>194</v>
      </c>
      <c r="O97" t="s">
        <v>281</v>
      </c>
      <c r="P97">
        <v>2.2888262722734202E-2</v>
      </c>
      <c r="Q97" t="s">
        <v>166</v>
      </c>
      <c r="S97" t="s">
        <v>208</v>
      </c>
      <c r="T97" t="s">
        <v>281</v>
      </c>
      <c r="U97">
        <v>2.1729153074683014E-2</v>
      </c>
      <c r="V97" t="s">
        <v>166</v>
      </c>
      <c r="AK97">
        <v>2043</v>
      </c>
      <c r="AL97" t="s">
        <v>276</v>
      </c>
      <c r="AM97">
        <v>0.41773333333333335</v>
      </c>
      <c r="AN97" t="s">
        <v>226</v>
      </c>
    </row>
    <row r="98" spans="9:40" x14ac:dyDescent="0.45">
      <c r="I98" t="s">
        <v>181</v>
      </c>
      <c r="J98" t="s">
        <v>282</v>
      </c>
      <c r="K98">
        <v>0.30826788641099495</v>
      </c>
      <c r="L98" t="s">
        <v>166</v>
      </c>
      <c r="N98" t="s">
        <v>194</v>
      </c>
      <c r="O98" t="s">
        <v>282</v>
      </c>
      <c r="P98">
        <v>0.1119444479375607</v>
      </c>
      <c r="Q98" t="s">
        <v>166</v>
      </c>
      <c r="S98" t="s">
        <v>208</v>
      </c>
      <c r="T98" t="s">
        <v>282</v>
      </c>
      <c r="U98">
        <v>0.11408407142261437</v>
      </c>
      <c r="V98" t="s">
        <v>166</v>
      </c>
      <c r="AK98">
        <v>2043</v>
      </c>
      <c r="AL98" t="s">
        <v>278</v>
      </c>
      <c r="AM98">
        <v>0.51266666666666671</v>
      </c>
      <c r="AN98" t="s">
        <v>226</v>
      </c>
    </row>
    <row r="99" spans="9:40" x14ac:dyDescent="0.45">
      <c r="I99" t="s">
        <v>181</v>
      </c>
      <c r="J99" t="s">
        <v>283</v>
      </c>
      <c r="K99">
        <v>1.7626531848694272E-2</v>
      </c>
      <c r="L99" t="s">
        <v>166</v>
      </c>
      <c r="N99" t="s">
        <v>194</v>
      </c>
      <c r="O99" t="s">
        <v>283</v>
      </c>
      <c r="P99">
        <v>0.11839809181379121</v>
      </c>
      <c r="Q99" t="s">
        <v>166</v>
      </c>
      <c r="S99" t="s">
        <v>208</v>
      </c>
      <c r="T99" t="s">
        <v>283</v>
      </c>
      <c r="U99">
        <v>0.1132756082542538</v>
      </c>
      <c r="V99" t="s">
        <v>166</v>
      </c>
      <c r="AK99">
        <v>2044</v>
      </c>
      <c r="AL99" t="s">
        <v>273</v>
      </c>
      <c r="AM99">
        <v>0.45859999999999995</v>
      </c>
      <c r="AN99" t="s">
        <v>226</v>
      </c>
    </row>
    <row r="100" spans="9:40" x14ac:dyDescent="0.45">
      <c r="I100" t="s">
        <v>181</v>
      </c>
      <c r="J100" t="s">
        <v>284</v>
      </c>
      <c r="K100">
        <v>4.2710420828266663E-2</v>
      </c>
      <c r="L100" t="s">
        <v>166</v>
      </c>
      <c r="N100" t="s">
        <v>194</v>
      </c>
      <c r="O100" t="s">
        <v>284</v>
      </c>
      <c r="P100">
        <v>2.2059533157520853E-2</v>
      </c>
      <c r="Q100" t="s">
        <v>166</v>
      </c>
      <c r="S100" t="s">
        <v>208</v>
      </c>
      <c r="T100" t="s">
        <v>284</v>
      </c>
      <c r="U100">
        <v>2.1017016391217187E-2</v>
      </c>
      <c r="V100" t="s">
        <v>166</v>
      </c>
      <c r="AK100">
        <v>2044</v>
      </c>
      <c r="AL100" t="s">
        <v>275</v>
      </c>
      <c r="AM100">
        <v>0.45056666666666673</v>
      </c>
      <c r="AN100" t="s">
        <v>226</v>
      </c>
    </row>
    <row r="101" spans="9:40" x14ac:dyDescent="0.45">
      <c r="I101" t="s">
        <v>181</v>
      </c>
      <c r="J101" t="s">
        <v>285</v>
      </c>
      <c r="K101">
        <v>0.33110909062259181</v>
      </c>
      <c r="L101" t="s">
        <v>166</v>
      </c>
      <c r="N101" t="s">
        <v>194</v>
      </c>
      <c r="O101" t="s">
        <v>285</v>
      </c>
      <c r="P101">
        <v>7.0622856318163368E-2</v>
      </c>
      <c r="Q101" t="s">
        <v>166</v>
      </c>
      <c r="S101" t="s">
        <v>208</v>
      </c>
      <c r="T101" t="s">
        <v>285</v>
      </c>
      <c r="U101">
        <v>8.6502406155843828E-2</v>
      </c>
      <c r="V101" t="s">
        <v>166</v>
      </c>
      <c r="AK101">
        <v>2044</v>
      </c>
      <c r="AL101" t="s">
        <v>276</v>
      </c>
      <c r="AM101">
        <v>0.39306666666666668</v>
      </c>
      <c r="AN101" t="s">
        <v>226</v>
      </c>
    </row>
    <row r="102" spans="9:40" x14ac:dyDescent="0.45">
      <c r="I102" t="s">
        <v>181</v>
      </c>
      <c r="J102" t="s">
        <v>286</v>
      </c>
      <c r="K102">
        <v>4.2395852022841692E-2</v>
      </c>
      <c r="L102" t="s">
        <v>166</v>
      </c>
      <c r="N102" t="s">
        <v>194</v>
      </c>
      <c r="O102" t="s">
        <v>286</v>
      </c>
      <c r="P102">
        <v>7.7584690104554613E-2</v>
      </c>
      <c r="Q102" t="s">
        <v>166</v>
      </c>
      <c r="S102" t="s">
        <v>208</v>
      </c>
      <c r="T102" t="s">
        <v>286</v>
      </c>
      <c r="U102">
        <v>9.7515249869032025E-2</v>
      </c>
      <c r="V102" t="s">
        <v>166</v>
      </c>
      <c r="AK102">
        <v>2044</v>
      </c>
      <c r="AL102" t="s">
        <v>278</v>
      </c>
      <c r="AM102">
        <v>0.51490000000000002</v>
      </c>
      <c r="AN102" t="s">
        <v>226</v>
      </c>
    </row>
    <row r="103" spans="9:40" x14ac:dyDescent="0.45">
      <c r="I103" t="s">
        <v>181</v>
      </c>
      <c r="J103" t="s">
        <v>287</v>
      </c>
      <c r="K103">
        <v>5.0945752619858432E-2</v>
      </c>
      <c r="L103" t="s">
        <v>166</v>
      </c>
      <c r="N103" t="s">
        <v>194</v>
      </c>
      <c r="O103" t="s">
        <v>287</v>
      </c>
      <c r="P103">
        <v>1.4864500434714441E-2</v>
      </c>
      <c r="Q103" t="s">
        <v>166</v>
      </c>
      <c r="S103" t="s">
        <v>208</v>
      </c>
      <c r="T103" t="s">
        <v>287</v>
      </c>
      <c r="U103">
        <v>1.8538345259633687E-2</v>
      </c>
      <c r="V103" t="s">
        <v>166</v>
      </c>
      <c r="AK103">
        <v>2045</v>
      </c>
      <c r="AL103" t="s">
        <v>273</v>
      </c>
      <c r="AM103">
        <v>0.43093333333333339</v>
      </c>
      <c r="AN103" t="s">
        <v>226</v>
      </c>
    </row>
    <row r="104" spans="9:40" x14ac:dyDescent="0.45">
      <c r="I104" t="s">
        <v>181</v>
      </c>
      <c r="J104" t="s">
        <v>288</v>
      </c>
      <c r="K104">
        <v>6.098365423322278E-2</v>
      </c>
      <c r="L104" t="s">
        <v>166</v>
      </c>
      <c r="N104" t="s">
        <v>194</v>
      </c>
      <c r="O104" t="s">
        <v>288</v>
      </c>
      <c r="P104">
        <v>0.14230953006343519</v>
      </c>
      <c r="Q104" t="s">
        <v>166</v>
      </c>
      <c r="S104" t="s">
        <v>208</v>
      </c>
      <c r="T104" t="s">
        <v>288</v>
      </c>
      <c r="U104">
        <v>0.13428218870963535</v>
      </c>
      <c r="V104" t="s">
        <v>166</v>
      </c>
      <c r="AK104">
        <v>2045</v>
      </c>
      <c r="AL104" t="s">
        <v>275</v>
      </c>
      <c r="AM104">
        <v>0.47599999999999998</v>
      </c>
      <c r="AN104" t="s">
        <v>226</v>
      </c>
    </row>
    <row r="105" spans="9:40" x14ac:dyDescent="0.45">
      <c r="I105" t="s">
        <v>181</v>
      </c>
      <c r="J105" t="s">
        <v>289</v>
      </c>
      <c r="K105">
        <v>0</v>
      </c>
      <c r="L105" t="s">
        <v>166</v>
      </c>
      <c r="N105" t="s">
        <v>194</v>
      </c>
      <c r="O105" t="s">
        <v>289</v>
      </c>
      <c r="P105">
        <v>0.14249840752927551</v>
      </c>
      <c r="Q105" t="s">
        <v>166</v>
      </c>
      <c r="S105" t="s">
        <v>208</v>
      </c>
      <c r="T105" t="s">
        <v>289</v>
      </c>
      <c r="U105">
        <v>0.12652081107209961</v>
      </c>
      <c r="V105" t="s">
        <v>166</v>
      </c>
      <c r="AK105">
        <v>2045</v>
      </c>
      <c r="AL105" t="s">
        <v>276</v>
      </c>
      <c r="AM105">
        <v>0.40736666666666665</v>
      </c>
      <c r="AN105" t="s">
        <v>226</v>
      </c>
    </row>
    <row r="106" spans="9:40" x14ac:dyDescent="0.45">
      <c r="I106" t="s">
        <v>181</v>
      </c>
      <c r="J106" t="s">
        <v>290</v>
      </c>
      <c r="K106">
        <v>2.092213416890708E-3</v>
      </c>
      <c r="L106" t="s">
        <v>166</v>
      </c>
      <c r="N106" t="s">
        <v>194</v>
      </c>
      <c r="O106" t="s">
        <v>290</v>
      </c>
      <c r="P106">
        <v>2.7380456153924489E-2</v>
      </c>
      <c r="Q106" t="s">
        <v>166</v>
      </c>
      <c r="S106" t="s">
        <v>208</v>
      </c>
      <c r="T106" t="s">
        <v>290</v>
      </c>
      <c r="U106">
        <v>2.4722286336866694E-2</v>
      </c>
      <c r="V106" t="s">
        <v>166</v>
      </c>
      <c r="AK106">
        <v>2045</v>
      </c>
      <c r="AL106" t="s">
        <v>278</v>
      </c>
      <c r="AM106">
        <v>0.54176666666666673</v>
      </c>
      <c r="AN106" t="s">
        <v>226</v>
      </c>
    </row>
    <row r="107" spans="9:40" x14ac:dyDescent="0.45">
      <c r="I107" t="s">
        <v>182</v>
      </c>
      <c r="J107" t="s">
        <v>279</v>
      </c>
      <c r="K107">
        <v>0.13568860705941005</v>
      </c>
      <c r="L107" t="s">
        <v>166</v>
      </c>
      <c r="N107" t="s">
        <v>195</v>
      </c>
      <c r="O107" t="s">
        <v>279</v>
      </c>
      <c r="P107">
        <v>0.11498019656207265</v>
      </c>
      <c r="Q107" t="s">
        <v>166</v>
      </c>
      <c r="S107" t="s">
        <v>209</v>
      </c>
      <c r="T107" t="s">
        <v>279</v>
      </c>
      <c r="U107">
        <v>0.11987619085565272</v>
      </c>
      <c r="V107" t="s">
        <v>166</v>
      </c>
      <c r="AK107">
        <v>2046</v>
      </c>
      <c r="AL107" t="s">
        <v>273</v>
      </c>
      <c r="AM107">
        <v>0.42500000000000004</v>
      </c>
      <c r="AN107" t="s">
        <v>226</v>
      </c>
    </row>
    <row r="108" spans="9:40" x14ac:dyDescent="0.45">
      <c r="I108" t="s">
        <v>182</v>
      </c>
      <c r="J108" t="s">
        <v>280</v>
      </c>
      <c r="K108">
        <v>7.9809889270202733E-4</v>
      </c>
      <c r="L108" t="s">
        <v>166</v>
      </c>
      <c r="N108" t="s">
        <v>195</v>
      </c>
      <c r="O108" t="s">
        <v>280</v>
      </c>
      <c r="P108">
        <v>0.12920856803743971</v>
      </c>
      <c r="Q108" t="s">
        <v>166</v>
      </c>
      <c r="S108" t="s">
        <v>209</v>
      </c>
      <c r="T108" t="s">
        <v>280</v>
      </c>
      <c r="U108">
        <v>0.13005388478472987</v>
      </c>
      <c r="V108" t="s">
        <v>166</v>
      </c>
      <c r="AK108">
        <v>2046</v>
      </c>
      <c r="AL108" t="s">
        <v>275</v>
      </c>
      <c r="AM108">
        <v>0.4911666666666667</v>
      </c>
      <c r="AN108" t="s">
        <v>226</v>
      </c>
    </row>
    <row r="109" spans="9:40" x14ac:dyDescent="0.45">
      <c r="I109" t="s">
        <v>182</v>
      </c>
      <c r="J109" t="s">
        <v>281</v>
      </c>
      <c r="K109">
        <v>1.2113557669436621E-2</v>
      </c>
      <c r="L109" t="s">
        <v>166</v>
      </c>
      <c r="N109" t="s">
        <v>195</v>
      </c>
      <c r="O109" t="s">
        <v>281</v>
      </c>
      <c r="P109">
        <v>2.3276062918914351E-2</v>
      </c>
      <c r="Q109" t="s">
        <v>166</v>
      </c>
      <c r="S109" t="s">
        <v>209</v>
      </c>
      <c r="T109" t="s">
        <v>281</v>
      </c>
      <c r="U109">
        <v>2.2118820300305875E-2</v>
      </c>
      <c r="V109" t="s">
        <v>166</v>
      </c>
      <c r="AK109">
        <v>2046</v>
      </c>
      <c r="AL109" t="s">
        <v>276</v>
      </c>
      <c r="AM109">
        <v>0.40189999999999998</v>
      </c>
      <c r="AN109" t="s">
        <v>226</v>
      </c>
    </row>
    <row r="110" spans="9:40" x14ac:dyDescent="0.45">
      <c r="I110" t="s">
        <v>182</v>
      </c>
      <c r="J110" t="s">
        <v>282</v>
      </c>
      <c r="K110">
        <v>0.3172404938188968</v>
      </c>
      <c r="L110" t="s">
        <v>166</v>
      </c>
      <c r="N110" t="s">
        <v>195</v>
      </c>
      <c r="O110" t="s">
        <v>282</v>
      </c>
      <c r="P110">
        <v>0.10347113486299371</v>
      </c>
      <c r="Q110" t="s">
        <v>166</v>
      </c>
      <c r="S110" t="s">
        <v>209</v>
      </c>
      <c r="T110" t="s">
        <v>282</v>
      </c>
      <c r="U110">
        <v>0.10702077234483594</v>
      </c>
      <c r="V110" t="s">
        <v>166</v>
      </c>
      <c r="AK110">
        <v>2046</v>
      </c>
      <c r="AL110" t="s">
        <v>278</v>
      </c>
      <c r="AM110">
        <v>0.5339666666666667</v>
      </c>
      <c r="AN110" t="s">
        <v>226</v>
      </c>
    </row>
    <row r="111" spans="9:40" x14ac:dyDescent="0.45">
      <c r="I111" t="s">
        <v>182</v>
      </c>
      <c r="J111" t="s">
        <v>283</v>
      </c>
      <c r="K111">
        <v>1.6232280354299165E-2</v>
      </c>
      <c r="L111" t="s">
        <v>166</v>
      </c>
      <c r="N111" t="s">
        <v>195</v>
      </c>
      <c r="O111" t="s">
        <v>283</v>
      </c>
      <c r="P111">
        <v>0.1197589797036735</v>
      </c>
      <c r="Q111" t="s">
        <v>166</v>
      </c>
      <c r="S111" t="s">
        <v>209</v>
      </c>
      <c r="T111" t="s">
        <v>283</v>
      </c>
      <c r="U111">
        <v>0.11736122889686686</v>
      </c>
      <c r="V111" t="s">
        <v>166</v>
      </c>
      <c r="AK111">
        <v>2047</v>
      </c>
      <c r="AL111" t="s">
        <v>273</v>
      </c>
      <c r="AM111">
        <v>0.45423333333333332</v>
      </c>
      <c r="AN111" t="s">
        <v>226</v>
      </c>
    </row>
    <row r="112" spans="9:40" x14ac:dyDescent="0.45">
      <c r="I112" t="s">
        <v>182</v>
      </c>
      <c r="J112" t="s">
        <v>284</v>
      </c>
      <c r="K112">
        <v>3.9803013489865799E-2</v>
      </c>
      <c r="L112" t="s">
        <v>166</v>
      </c>
      <c r="N112" t="s">
        <v>195</v>
      </c>
      <c r="O112" t="s">
        <v>284</v>
      </c>
      <c r="P112">
        <v>1.8786324558634871E-2</v>
      </c>
      <c r="Q112" t="s">
        <v>166</v>
      </c>
      <c r="S112" t="s">
        <v>209</v>
      </c>
      <c r="T112" t="s">
        <v>284</v>
      </c>
      <c r="U112">
        <v>2.03530505012165E-2</v>
      </c>
      <c r="V112" t="s">
        <v>166</v>
      </c>
      <c r="AK112">
        <v>2047</v>
      </c>
      <c r="AL112" t="s">
        <v>275</v>
      </c>
      <c r="AM112">
        <v>0.47543333333333337</v>
      </c>
      <c r="AN112" t="s">
        <v>226</v>
      </c>
    </row>
    <row r="113" spans="9:40" x14ac:dyDescent="0.45">
      <c r="I113" t="s">
        <v>182</v>
      </c>
      <c r="J113" t="s">
        <v>285</v>
      </c>
      <c r="K113">
        <v>0.33138396805243531</v>
      </c>
      <c r="L113" t="s">
        <v>166</v>
      </c>
      <c r="N113" t="s">
        <v>195</v>
      </c>
      <c r="O113" t="s">
        <v>285</v>
      </c>
      <c r="P113">
        <v>7.2122006502909244E-2</v>
      </c>
      <c r="Q113" t="s">
        <v>166</v>
      </c>
      <c r="S113" t="s">
        <v>209</v>
      </c>
      <c r="T113" t="s">
        <v>285</v>
      </c>
      <c r="U113">
        <v>8.2540168320131141E-2</v>
      </c>
      <c r="V113" t="s">
        <v>166</v>
      </c>
      <c r="AK113">
        <v>2047</v>
      </c>
      <c r="AL113" t="s">
        <v>276</v>
      </c>
      <c r="AM113">
        <v>0.40619999999999995</v>
      </c>
      <c r="AN113" t="s">
        <v>226</v>
      </c>
    </row>
    <row r="114" spans="9:40" x14ac:dyDescent="0.45">
      <c r="I114" t="s">
        <v>182</v>
      </c>
      <c r="J114" t="s">
        <v>286</v>
      </c>
      <c r="K114">
        <v>3.9742751209003044E-2</v>
      </c>
      <c r="L114" t="s">
        <v>166</v>
      </c>
      <c r="N114" t="s">
        <v>195</v>
      </c>
      <c r="O114" t="s">
        <v>286</v>
      </c>
      <c r="P114">
        <v>7.933045616546143E-2</v>
      </c>
      <c r="Q114" t="s">
        <v>166</v>
      </c>
      <c r="S114" t="s">
        <v>209</v>
      </c>
      <c r="T114" t="s">
        <v>286</v>
      </c>
      <c r="U114">
        <v>9.3842687305788444E-2</v>
      </c>
      <c r="V114" t="s">
        <v>166</v>
      </c>
      <c r="AK114">
        <v>2047</v>
      </c>
      <c r="AL114" t="s">
        <v>278</v>
      </c>
      <c r="AM114">
        <v>0.54360000000000008</v>
      </c>
      <c r="AN114" t="s">
        <v>226</v>
      </c>
    </row>
    <row r="115" spans="9:40" x14ac:dyDescent="0.45">
      <c r="I115" t="s">
        <v>182</v>
      </c>
      <c r="J115" t="s">
        <v>287</v>
      </c>
      <c r="K115">
        <v>4.8450541023527707E-2</v>
      </c>
      <c r="L115" t="s">
        <v>166</v>
      </c>
      <c r="N115" t="s">
        <v>195</v>
      </c>
      <c r="O115" t="s">
        <v>287</v>
      </c>
      <c r="P115">
        <v>1.3586118806004474E-2</v>
      </c>
      <c r="Q115" t="s">
        <v>166</v>
      </c>
      <c r="S115" t="s">
        <v>209</v>
      </c>
      <c r="T115" t="s">
        <v>287</v>
      </c>
      <c r="U115">
        <v>1.6768344043234733E-2</v>
      </c>
      <c r="V115" t="s">
        <v>166</v>
      </c>
      <c r="AK115">
        <v>2048</v>
      </c>
      <c r="AL115" t="s">
        <v>273</v>
      </c>
      <c r="AM115">
        <v>0.44470000000000004</v>
      </c>
      <c r="AN115" t="s">
        <v>226</v>
      </c>
    </row>
    <row r="116" spans="9:40" x14ac:dyDescent="0.45">
      <c r="I116" t="s">
        <v>182</v>
      </c>
      <c r="J116" t="s">
        <v>288</v>
      </c>
      <c r="K116">
        <v>5.6854306526569774E-2</v>
      </c>
      <c r="L116" t="s">
        <v>166</v>
      </c>
      <c r="N116" t="s">
        <v>195</v>
      </c>
      <c r="O116" t="s">
        <v>288</v>
      </c>
      <c r="P116">
        <v>0.14694423599104545</v>
      </c>
      <c r="Q116" t="s">
        <v>166</v>
      </c>
      <c r="S116" t="s">
        <v>209</v>
      </c>
      <c r="T116" t="s">
        <v>288</v>
      </c>
      <c r="U116">
        <v>0.13436138039850268</v>
      </c>
      <c r="V116" t="s">
        <v>166</v>
      </c>
      <c r="AK116">
        <v>2048</v>
      </c>
      <c r="AL116" t="s">
        <v>275</v>
      </c>
      <c r="AM116">
        <v>0.50159999999999993</v>
      </c>
      <c r="AN116" t="s">
        <v>226</v>
      </c>
    </row>
    <row r="117" spans="9:40" x14ac:dyDescent="0.45">
      <c r="I117" t="s">
        <v>182</v>
      </c>
      <c r="J117" t="s">
        <v>289</v>
      </c>
      <c r="K117">
        <v>0</v>
      </c>
      <c r="L117" t="s">
        <v>166</v>
      </c>
      <c r="N117" t="s">
        <v>195</v>
      </c>
      <c r="O117" t="s">
        <v>289</v>
      </c>
      <c r="P117">
        <v>0.14978324530263726</v>
      </c>
      <c r="Q117" t="s">
        <v>166</v>
      </c>
      <c r="S117" t="s">
        <v>209</v>
      </c>
      <c r="T117" t="s">
        <v>289</v>
      </c>
      <c r="U117">
        <v>0.13036732779485574</v>
      </c>
      <c r="V117" t="s">
        <v>166</v>
      </c>
      <c r="AK117">
        <v>2048</v>
      </c>
      <c r="AL117" t="s">
        <v>276</v>
      </c>
      <c r="AM117">
        <v>0.40586666666666665</v>
      </c>
      <c r="AN117" t="s">
        <v>226</v>
      </c>
    </row>
    <row r="118" spans="9:40" x14ac:dyDescent="0.45">
      <c r="I118" t="s">
        <v>182</v>
      </c>
      <c r="J118" t="s">
        <v>290</v>
      </c>
      <c r="K118">
        <v>1.6923819038565727E-3</v>
      </c>
      <c r="L118" t="s">
        <v>166</v>
      </c>
      <c r="N118" t="s">
        <v>195</v>
      </c>
      <c r="O118" t="s">
        <v>290</v>
      </c>
      <c r="P118">
        <v>2.8752670588209624E-2</v>
      </c>
      <c r="Q118" t="s">
        <v>166</v>
      </c>
      <c r="S118" t="s">
        <v>209</v>
      </c>
      <c r="T118" t="s">
        <v>290</v>
      </c>
      <c r="U118">
        <v>2.5336144453878717E-2</v>
      </c>
      <c r="V118" t="s">
        <v>166</v>
      </c>
      <c r="AK118">
        <v>2048</v>
      </c>
      <c r="AL118" t="s">
        <v>278</v>
      </c>
      <c r="AM118">
        <v>0.55500000000000005</v>
      </c>
      <c r="AN118" t="s">
        <v>226</v>
      </c>
    </row>
    <row r="119" spans="9:40" x14ac:dyDescent="0.45">
      <c r="I119" t="s">
        <v>183</v>
      </c>
      <c r="J119" t="s">
        <v>279</v>
      </c>
      <c r="K119">
        <v>0.13600218863843061</v>
      </c>
      <c r="L119" t="s">
        <v>166</v>
      </c>
      <c r="N119" t="s">
        <v>196</v>
      </c>
      <c r="O119" t="s">
        <v>279</v>
      </c>
      <c r="P119">
        <v>0.11640789226358544</v>
      </c>
      <c r="Q119" t="s">
        <v>166</v>
      </c>
      <c r="S119" t="s">
        <v>210</v>
      </c>
      <c r="T119" t="s">
        <v>279</v>
      </c>
      <c r="U119">
        <v>0.12003970300672201</v>
      </c>
      <c r="V119" t="s">
        <v>166</v>
      </c>
      <c r="AK119">
        <v>2049</v>
      </c>
      <c r="AL119" t="s">
        <v>273</v>
      </c>
      <c r="AM119">
        <v>0.46843333333333331</v>
      </c>
      <c r="AN119" t="s">
        <v>226</v>
      </c>
    </row>
    <row r="120" spans="9:40" x14ac:dyDescent="0.45">
      <c r="I120" t="s">
        <v>183</v>
      </c>
      <c r="J120" t="s">
        <v>280</v>
      </c>
      <c r="K120">
        <v>8.7935690524853507E-4</v>
      </c>
      <c r="L120" t="s">
        <v>166</v>
      </c>
      <c r="N120" t="s">
        <v>196</v>
      </c>
      <c r="O120" t="s">
        <v>280</v>
      </c>
      <c r="P120">
        <v>0.12169305013084168</v>
      </c>
      <c r="Q120" t="s">
        <v>166</v>
      </c>
      <c r="S120" t="s">
        <v>210</v>
      </c>
      <c r="T120" t="s">
        <v>280</v>
      </c>
      <c r="U120">
        <v>0.12774391132400809</v>
      </c>
      <c r="V120" t="s">
        <v>166</v>
      </c>
      <c r="AK120">
        <v>2049</v>
      </c>
      <c r="AL120" t="s">
        <v>275</v>
      </c>
      <c r="AM120">
        <v>0.45786666666666664</v>
      </c>
      <c r="AN120" t="s">
        <v>226</v>
      </c>
    </row>
    <row r="121" spans="9:40" x14ac:dyDescent="0.45">
      <c r="I121" t="s">
        <v>183</v>
      </c>
      <c r="J121" t="s">
        <v>281</v>
      </c>
      <c r="K121">
        <v>1.2042602704313694E-2</v>
      </c>
      <c r="L121" t="s">
        <v>166</v>
      </c>
      <c r="N121" t="s">
        <v>196</v>
      </c>
      <c r="O121" t="s">
        <v>281</v>
      </c>
      <c r="P121">
        <v>2.2238357778531226E-2</v>
      </c>
      <c r="Q121" t="s">
        <v>166</v>
      </c>
      <c r="S121" t="s">
        <v>210</v>
      </c>
      <c r="T121" t="s">
        <v>281</v>
      </c>
      <c r="U121">
        <v>2.2819778250689916E-2</v>
      </c>
      <c r="V121" t="s">
        <v>166</v>
      </c>
      <c r="AK121">
        <v>2049</v>
      </c>
      <c r="AL121" t="s">
        <v>276</v>
      </c>
      <c r="AM121">
        <v>0.39910000000000001</v>
      </c>
      <c r="AN121" t="s">
        <v>226</v>
      </c>
    </row>
    <row r="122" spans="9:40" x14ac:dyDescent="0.45">
      <c r="I122" t="s">
        <v>183</v>
      </c>
      <c r="J122" t="s">
        <v>282</v>
      </c>
      <c r="K122">
        <v>0.31235345508324863</v>
      </c>
      <c r="L122" t="s">
        <v>166</v>
      </c>
      <c r="N122" t="s">
        <v>196</v>
      </c>
      <c r="O122" t="s">
        <v>282</v>
      </c>
      <c r="P122">
        <v>0.11589298503800871</v>
      </c>
      <c r="Q122" t="s">
        <v>166</v>
      </c>
      <c r="S122" t="s">
        <v>210</v>
      </c>
      <c r="T122" t="s">
        <v>282</v>
      </c>
      <c r="U122">
        <v>0.11360349762044795</v>
      </c>
      <c r="V122" t="s">
        <v>166</v>
      </c>
      <c r="AK122">
        <v>2049</v>
      </c>
      <c r="AL122" t="s">
        <v>278</v>
      </c>
      <c r="AM122">
        <v>0.53293333333333326</v>
      </c>
      <c r="AN122" t="s">
        <v>226</v>
      </c>
    </row>
    <row r="123" spans="9:40" x14ac:dyDescent="0.45">
      <c r="I123" t="s">
        <v>183</v>
      </c>
      <c r="J123" t="s">
        <v>283</v>
      </c>
      <c r="K123">
        <v>1.6155906207759769E-2</v>
      </c>
      <c r="L123" t="s">
        <v>166</v>
      </c>
      <c r="N123" t="s">
        <v>196</v>
      </c>
      <c r="O123" t="s">
        <v>283</v>
      </c>
      <c r="P123">
        <v>0.13101836956348425</v>
      </c>
      <c r="Q123" t="s">
        <v>166</v>
      </c>
      <c r="S123" t="s">
        <v>210</v>
      </c>
      <c r="T123" t="s">
        <v>283</v>
      </c>
      <c r="U123">
        <v>0.11789578950322326</v>
      </c>
      <c r="V123" t="s">
        <v>166</v>
      </c>
      <c r="AK123">
        <v>2050</v>
      </c>
      <c r="AL123" t="s">
        <v>273</v>
      </c>
      <c r="AM123">
        <v>0.4689666666666667</v>
      </c>
      <c r="AN123" t="s">
        <v>226</v>
      </c>
    </row>
    <row r="124" spans="9:40" x14ac:dyDescent="0.45">
      <c r="I124" t="s">
        <v>183</v>
      </c>
      <c r="J124" t="s">
        <v>284</v>
      </c>
      <c r="K124">
        <v>4.3037040111403892E-2</v>
      </c>
      <c r="L124" t="s">
        <v>166</v>
      </c>
      <c r="N124" t="s">
        <v>196</v>
      </c>
      <c r="O124" t="s">
        <v>284</v>
      </c>
      <c r="P124">
        <v>2.10441996457576E-2</v>
      </c>
      <c r="Q124" t="s">
        <v>166</v>
      </c>
      <c r="S124" t="s">
        <v>210</v>
      </c>
      <c r="T124" t="s">
        <v>284</v>
      </c>
      <c r="U124">
        <v>2.2163081321340115E-2</v>
      </c>
      <c r="V124" t="s">
        <v>166</v>
      </c>
      <c r="AK124">
        <v>2050</v>
      </c>
      <c r="AL124" t="s">
        <v>275</v>
      </c>
      <c r="AM124">
        <v>0.49490000000000006</v>
      </c>
      <c r="AN124" t="s">
        <v>226</v>
      </c>
    </row>
    <row r="125" spans="9:40" x14ac:dyDescent="0.45">
      <c r="I125" t="s">
        <v>183</v>
      </c>
      <c r="J125" t="s">
        <v>285</v>
      </c>
      <c r="K125">
        <v>0.32909097178348473</v>
      </c>
      <c r="L125" t="s">
        <v>166</v>
      </c>
      <c r="N125" t="s">
        <v>196</v>
      </c>
      <c r="O125" t="s">
        <v>285</v>
      </c>
      <c r="P125">
        <v>6.7278613570905352E-2</v>
      </c>
      <c r="Q125" t="s">
        <v>166</v>
      </c>
      <c r="S125" t="s">
        <v>210</v>
      </c>
      <c r="T125" t="s">
        <v>285</v>
      </c>
      <c r="U125">
        <v>7.9131766330849798E-2</v>
      </c>
      <c r="V125" t="s">
        <v>166</v>
      </c>
      <c r="AK125">
        <v>2050</v>
      </c>
      <c r="AL125" t="s">
        <v>276</v>
      </c>
      <c r="AM125">
        <v>0.41019999999999995</v>
      </c>
      <c r="AN125" t="s">
        <v>226</v>
      </c>
    </row>
    <row r="126" spans="9:40" x14ac:dyDescent="0.45">
      <c r="I126" t="s">
        <v>183</v>
      </c>
      <c r="J126" t="s">
        <v>286</v>
      </c>
      <c r="K126">
        <v>3.8743022802296696E-2</v>
      </c>
      <c r="L126" t="s">
        <v>166</v>
      </c>
      <c r="N126" t="s">
        <v>196</v>
      </c>
      <c r="O126" t="s">
        <v>286</v>
      </c>
      <c r="P126">
        <v>7.6755176177628059E-2</v>
      </c>
      <c r="Q126" t="s">
        <v>166</v>
      </c>
      <c r="S126" t="s">
        <v>210</v>
      </c>
      <c r="T126" t="s">
        <v>286</v>
      </c>
      <c r="U126">
        <v>8.219147059567021E-2</v>
      </c>
      <c r="V126" t="s">
        <v>166</v>
      </c>
      <c r="AK126">
        <v>2050</v>
      </c>
      <c r="AL126" t="s">
        <v>278</v>
      </c>
      <c r="AM126">
        <v>0.54296666666666671</v>
      </c>
      <c r="AN126" t="s">
        <v>226</v>
      </c>
    </row>
    <row r="127" spans="9:40" x14ac:dyDescent="0.45">
      <c r="I127" t="s">
        <v>183</v>
      </c>
      <c r="J127" t="s">
        <v>287</v>
      </c>
      <c r="K127">
        <v>5.1107939123750272E-2</v>
      </c>
      <c r="L127" t="s">
        <v>166</v>
      </c>
      <c r="N127" t="s">
        <v>196</v>
      </c>
      <c r="O127" t="s">
        <v>287</v>
      </c>
      <c r="P127">
        <v>1.3823738547788598E-2</v>
      </c>
      <c r="Q127" t="s">
        <v>166</v>
      </c>
      <c r="S127" t="s">
        <v>210</v>
      </c>
      <c r="T127" t="s">
        <v>287</v>
      </c>
      <c r="U127">
        <v>1.6475562242874116E-2</v>
      </c>
      <c r="V127" t="s">
        <v>166</v>
      </c>
    </row>
    <row r="128" spans="9:40" x14ac:dyDescent="0.45">
      <c r="I128" t="s">
        <v>183</v>
      </c>
      <c r="J128" t="s">
        <v>288</v>
      </c>
      <c r="K128">
        <v>5.8787598376260887E-2</v>
      </c>
      <c r="L128" t="s">
        <v>166</v>
      </c>
      <c r="N128" t="s">
        <v>196</v>
      </c>
      <c r="O128" t="s">
        <v>288</v>
      </c>
      <c r="P128">
        <v>0.14188122683353416</v>
      </c>
      <c r="Q128" t="s">
        <v>166</v>
      </c>
      <c r="S128" t="s">
        <v>210</v>
      </c>
      <c r="T128" t="s">
        <v>288</v>
      </c>
      <c r="U128">
        <v>0.13833445278365461</v>
      </c>
      <c r="V128" t="s">
        <v>166</v>
      </c>
    </row>
    <row r="129" spans="9:22" x14ac:dyDescent="0.45">
      <c r="I129" t="s">
        <v>183</v>
      </c>
      <c r="J129" t="s">
        <v>289</v>
      </c>
      <c r="K129">
        <v>0</v>
      </c>
      <c r="L129" t="s">
        <v>166</v>
      </c>
      <c r="N129" t="s">
        <v>196</v>
      </c>
      <c r="O129" t="s">
        <v>289</v>
      </c>
      <c r="P129">
        <v>0.14538289589874237</v>
      </c>
      <c r="Q129" t="s">
        <v>166</v>
      </c>
      <c r="S129" t="s">
        <v>210</v>
      </c>
      <c r="T129" t="s">
        <v>289</v>
      </c>
      <c r="U129">
        <v>0.13415391796511711</v>
      </c>
      <c r="V129" t="s">
        <v>166</v>
      </c>
    </row>
    <row r="130" spans="9:22" x14ac:dyDescent="0.45">
      <c r="I130" t="s">
        <v>183</v>
      </c>
      <c r="J130" t="s">
        <v>290</v>
      </c>
      <c r="K130">
        <v>1.7999182638050006E-3</v>
      </c>
      <c r="L130" t="s">
        <v>166</v>
      </c>
      <c r="N130" t="s">
        <v>196</v>
      </c>
      <c r="O130" t="s">
        <v>290</v>
      </c>
      <c r="P130">
        <v>2.6583494551189583E-2</v>
      </c>
      <c r="Q130" t="s">
        <v>166</v>
      </c>
      <c r="S130" t="s">
        <v>210</v>
      </c>
      <c r="T130" t="s">
        <v>290</v>
      </c>
      <c r="U130">
        <v>2.5447069055404156E-2</v>
      </c>
      <c r="V130" t="s">
        <v>166</v>
      </c>
    </row>
    <row r="131" spans="9:22" x14ac:dyDescent="0.45">
      <c r="I131" t="s">
        <v>184</v>
      </c>
      <c r="J131" t="s">
        <v>279</v>
      </c>
      <c r="K131">
        <v>0.13744394933219464</v>
      </c>
      <c r="L131" t="s">
        <v>166</v>
      </c>
      <c r="N131" t="s">
        <v>197</v>
      </c>
      <c r="O131" t="s">
        <v>279</v>
      </c>
      <c r="P131">
        <v>0.12289911571358046</v>
      </c>
      <c r="Q131" t="s">
        <v>166</v>
      </c>
      <c r="S131" t="s">
        <v>211</v>
      </c>
      <c r="T131" t="s">
        <v>279</v>
      </c>
      <c r="U131">
        <v>0.12139428231638925</v>
      </c>
      <c r="V131" t="s">
        <v>166</v>
      </c>
    </row>
    <row r="132" spans="9:22" x14ac:dyDescent="0.45">
      <c r="I132" t="s">
        <v>184</v>
      </c>
      <c r="J132" t="s">
        <v>280</v>
      </c>
      <c r="K132">
        <v>6.2541377739505069E-4</v>
      </c>
      <c r="L132" t="s">
        <v>166</v>
      </c>
      <c r="N132" t="s">
        <v>197</v>
      </c>
      <c r="O132" t="s">
        <v>280</v>
      </c>
      <c r="P132">
        <v>0.13584182305951906</v>
      </c>
      <c r="Q132" t="s">
        <v>166</v>
      </c>
      <c r="S132" t="s">
        <v>211</v>
      </c>
      <c r="T132" t="s">
        <v>280</v>
      </c>
      <c r="U132">
        <v>0.13092564496367479</v>
      </c>
      <c r="V132" t="s">
        <v>166</v>
      </c>
    </row>
    <row r="133" spans="9:22" x14ac:dyDescent="0.45">
      <c r="I133" t="s">
        <v>184</v>
      </c>
      <c r="J133" t="s">
        <v>281</v>
      </c>
      <c r="K133">
        <v>1.1826806136493838E-2</v>
      </c>
      <c r="L133" t="s">
        <v>166</v>
      </c>
      <c r="N133" t="s">
        <v>197</v>
      </c>
      <c r="O133" t="s">
        <v>281</v>
      </c>
      <c r="P133">
        <v>2.3447978851277178E-2</v>
      </c>
      <c r="Q133" t="s">
        <v>166</v>
      </c>
      <c r="S133" t="s">
        <v>211</v>
      </c>
      <c r="T133" t="s">
        <v>281</v>
      </c>
      <c r="U133">
        <v>2.3016929671153506E-2</v>
      </c>
      <c r="V133" t="s">
        <v>166</v>
      </c>
    </row>
    <row r="134" spans="9:22" x14ac:dyDescent="0.45">
      <c r="I134" t="s">
        <v>184</v>
      </c>
      <c r="J134" t="s">
        <v>282</v>
      </c>
      <c r="K134">
        <v>0.31376319519575979</v>
      </c>
      <c r="L134" t="s">
        <v>166</v>
      </c>
      <c r="N134" t="s">
        <v>197</v>
      </c>
      <c r="O134" t="s">
        <v>282</v>
      </c>
      <c r="P134">
        <v>0.1121506404674731</v>
      </c>
      <c r="Q134" t="s">
        <v>166</v>
      </c>
      <c r="S134" t="s">
        <v>211</v>
      </c>
      <c r="T134" t="s">
        <v>282</v>
      </c>
      <c r="U134">
        <v>0.11460159685108165</v>
      </c>
      <c r="V134" t="s">
        <v>166</v>
      </c>
    </row>
    <row r="135" spans="9:22" x14ac:dyDescent="0.45">
      <c r="I135" t="s">
        <v>184</v>
      </c>
      <c r="J135" t="s">
        <v>283</v>
      </c>
      <c r="K135">
        <v>1.4030904035129787E-2</v>
      </c>
      <c r="L135" t="s">
        <v>166</v>
      </c>
      <c r="N135" t="s">
        <v>197</v>
      </c>
      <c r="O135" t="s">
        <v>283</v>
      </c>
      <c r="P135">
        <v>0.12024406447458108</v>
      </c>
      <c r="Q135" t="s">
        <v>166</v>
      </c>
      <c r="S135" t="s">
        <v>211</v>
      </c>
      <c r="T135" t="s">
        <v>283</v>
      </c>
      <c r="U135">
        <v>0.11909873748247124</v>
      </c>
      <c r="V135" t="s">
        <v>166</v>
      </c>
    </row>
    <row r="136" spans="9:22" x14ac:dyDescent="0.45">
      <c r="I136" t="s">
        <v>184</v>
      </c>
      <c r="J136" t="s">
        <v>284</v>
      </c>
      <c r="K136">
        <v>4.4539034249109918E-2</v>
      </c>
      <c r="L136" t="s">
        <v>166</v>
      </c>
      <c r="N136" t="s">
        <v>197</v>
      </c>
      <c r="O136" t="s">
        <v>284</v>
      </c>
      <c r="P136">
        <v>2.0900486891032955E-2</v>
      </c>
      <c r="Q136" t="s">
        <v>166</v>
      </c>
      <c r="S136" t="s">
        <v>211</v>
      </c>
      <c r="T136" t="s">
        <v>284</v>
      </c>
      <c r="U136">
        <v>2.3134638997133347E-2</v>
      </c>
      <c r="V136" t="s">
        <v>166</v>
      </c>
    </row>
    <row r="137" spans="9:22" x14ac:dyDescent="0.45">
      <c r="I137" t="s">
        <v>184</v>
      </c>
      <c r="J137" t="s">
        <v>285</v>
      </c>
      <c r="K137">
        <v>0.32774757856531894</v>
      </c>
      <c r="L137" t="s">
        <v>166</v>
      </c>
      <c r="N137" t="s">
        <v>197</v>
      </c>
      <c r="O137" t="s">
        <v>285</v>
      </c>
      <c r="P137">
        <v>6.4953022420357553E-2</v>
      </c>
      <c r="Q137" t="s">
        <v>166</v>
      </c>
      <c r="S137" t="s">
        <v>211</v>
      </c>
      <c r="T137" t="s">
        <v>285</v>
      </c>
      <c r="U137">
        <v>6.7021817498166089E-2</v>
      </c>
      <c r="V137" t="s">
        <v>166</v>
      </c>
    </row>
    <row r="138" spans="9:22" x14ac:dyDescent="0.45">
      <c r="I138" t="s">
        <v>184</v>
      </c>
      <c r="J138" t="s">
        <v>286</v>
      </c>
      <c r="K138">
        <v>3.1112037133872009E-2</v>
      </c>
      <c r="L138" t="s">
        <v>166</v>
      </c>
      <c r="N138" t="s">
        <v>197</v>
      </c>
      <c r="O138" t="s">
        <v>286</v>
      </c>
      <c r="P138">
        <v>7.3636430563728095E-2</v>
      </c>
      <c r="Q138" t="s">
        <v>166</v>
      </c>
      <c r="S138" t="s">
        <v>211</v>
      </c>
      <c r="T138" t="s">
        <v>286</v>
      </c>
      <c r="U138">
        <v>7.5041659573944888E-2</v>
      </c>
      <c r="V138" t="s">
        <v>166</v>
      </c>
    </row>
    <row r="139" spans="9:22" x14ac:dyDescent="0.45">
      <c r="I139" t="s">
        <v>184</v>
      </c>
      <c r="J139" t="s">
        <v>287</v>
      </c>
      <c r="K139">
        <v>5.2574091778830732E-2</v>
      </c>
      <c r="L139" t="s">
        <v>166</v>
      </c>
      <c r="N139" t="s">
        <v>197</v>
      </c>
      <c r="O139" t="s">
        <v>287</v>
      </c>
      <c r="P139">
        <v>1.1994041865917123E-2</v>
      </c>
      <c r="Q139" t="s">
        <v>166</v>
      </c>
      <c r="S139" t="s">
        <v>211</v>
      </c>
      <c r="T139" t="s">
        <v>287</v>
      </c>
      <c r="U139">
        <v>1.4389713746967047E-2</v>
      </c>
      <c r="V139" t="s">
        <v>166</v>
      </c>
    </row>
    <row r="140" spans="9:22" x14ac:dyDescent="0.45">
      <c r="I140" t="s">
        <v>184</v>
      </c>
      <c r="J140" t="s">
        <v>288</v>
      </c>
      <c r="K140">
        <v>6.4347276434081918E-2</v>
      </c>
      <c r="L140" t="s">
        <v>166</v>
      </c>
      <c r="N140" t="s">
        <v>197</v>
      </c>
      <c r="O140" t="s">
        <v>288</v>
      </c>
      <c r="P140">
        <v>0.14126709869513682</v>
      </c>
      <c r="Q140" t="s">
        <v>166</v>
      </c>
      <c r="S140" t="s">
        <v>211</v>
      </c>
      <c r="T140" t="s">
        <v>288</v>
      </c>
      <c r="U140">
        <v>0.14297421378245578</v>
      </c>
      <c r="V140" t="s">
        <v>166</v>
      </c>
    </row>
    <row r="141" spans="9:22" x14ac:dyDescent="0.45">
      <c r="I141" t="s">
        <v>184</v>
      </c>
      <c r="J141" t="s">
        <v>289</v>
      </c>
      <c r="K141">
        <v>0</v>
      </c>
      <c r="L141" t="s">
        <v>166</v>
      </c>
      <c r="N141" t="s">
        <v>197</v>
      </c>
      <c r="O141" t="s">
        <v>289</v>
      </c>
      <c r="P141">
        <v>0.14523775553505311</v>
      </c>
      <c r="Q141" t="s">
        <v>166</v>
      </c>
      <c r="S141" t="s">
        <v>211</v>
      </c>
      <c r="T141" t="s">
        <v>289</v>
      </c>
      <c r="U141">
        <v>0.14116168129723994</v>
      </c>
      <c r="V141" t="s">
        <v>166</v>
      </c>
    </row>
    <row r="142" spans="9:22" x14ac:dyDescent="0.45">
      <c r="I142" t="s">
        <v>184</v>
      </c>
      <c r="J142" t="s">
        <v>290</v>
      </c>
      <c r="K142">
        <v>1.9897133618148942E-3</v>
      </c>
      <c r="L142" t="s">
        <v>166</v>
      </c>
      <c r="N142" t="s">
        <v>197</v>
      </c>
      <c r="O142" t="s">
        <v>290</v>
      </c>
      <c r="P142">
        <v>2.7427541462340554E-2</v>
      </c>
      <c r="Q142" t="s">
        <v>166</v>
      </c>
      <c r="S142" t="s">
        <v>211</v>
      </c>
      <c r="T142" t="s">
        <v>290</v>
      </c>
      <c r="U142">
        <v>2.72390838193197E-2</v>
      </c>
      <c r="V142" t="s">
        <v>166</v>
      </c>
    </row>
    <row r="143" spans="9:22" x14ac:dyDescent="0.45">
      <c r="I143" t="s">
        <v>185</v>
      </c>
      <c r="J143" t="s">
        <v>279</v>
      </c>
      <c r="K143">
        <v>0.12879928762231363</v>
      </c>
      <c r="L143" t="s">
        <v>166</v>
      </c>
      <c r="N143" t="s">
        <v>198</v>
      </c>
      <c r="O143" t="s">
        <v>279</v>
      </c>
      <c r="P143">
        <v>0.11847820015384013</v>
      </c>
      <c r="Q143" t="s">
        <v>166</v>
      </c>
      <c r="S143" t="s">
        <v>212</v>
      </c>
      <c r="T143" t="s">
        <v>279</v>
      </c>
      <c r="U143">
        <v>0.11652755704994029</v>
      </c>
      <c r="V143" t="s">
        <v>166</v>
      </c>
    </row>
    <row r="144" spans="9:22" x14ac:dyDescent="0.45">
      <c r="I144" t="s">
        <v>185</v>
      </c>
      <c r="J144" t="s">
        <v>280</v>
      </c>
      <c r="K144">
        <v>7.260972483103884E-4</v>
      </c>
      <c r="L144" t="s">
        <v>166</v>
      </c>
      <c r="N144" t="s">
        <v>198</v>
      </c>
      <c r="O144" t="s">
        <v>280</v>
      </c>
      <c r="P144">
        <v>0.13438666632969909</v>
      </c>
      <c r="Q144" t="s">
        <v>166</v>
      </c>
      <c r="S144" t="s">
        <v>212</v>
      </c>
      <c r="T144" t="s">
        <v>280</v>
      </c>
      <c r="U144">
        <v>0.11835743372991429</v>
      </c>
      <c r="V144" t="s">
        <v>166</v>
      </c>
    </row>
    <row r="145" spans="9:22" x14ac:dyDescent="0.45">
      <c r="I145" t="s">
        <v>185</v>
      </c>
      <c r="J145" t="s">
        <v>281</v>
      </c>
      <c r="K145">
        <v>1.124623220721252E-2</v>
      </c>
      <c r="L145" t="s">
        <v>166</v>
      </c>
      <c r="N145" t="s">
        <v>198</v>
      </c>
      <c r="O145" t="s">
        <v>281</v>
      </c>
      <c r="P145">
        <v>2.2413665652182429E-2</v>
      </c>
      <c r="Q145" t="s">
        <v>166</v>
      </c>
      <c r="S145" t="s">
        <v>212</v>
      </c>
      <c r="T145" t="s">
        <v>281</v>
      </c>
      <c r="U145">
        <v>2.145703455517416E-2</v>
      </c>
      <c r="V145" t="s">
        <v>166</v>
      </c>
    </row>
    <row r="146" spans="9:22" x14ac:dyDescent="0.45">
      <c r="I146" t="s">
        <v>185</v>
      </c>
      <c r="J146" t="s">
        <v>282</v>
      </c>
      <c r="K146">
        <v>0.32492432010808053</v>
      </c>
      <c r="L146" t="s">
        <v>166</v>
      </c>
      <c r="N146" t="s">
        <v>198</v>
      </c>
      <c r="O146" t="s">
        <v>282</v>
      </c>
      <c r="P146">
        <v>0.1125490781722502</v>
      </c>
      <c r="Q146" t="s">
        <v>166</v>
      </c>
      <c r="S146" t="s">
        <v>212</v>
      </c>
      <c r="T146" t="s">
        <v>282</v>
      </c>
      <c r="U146">
        <v>0.11992281458100765</v>
      </c>
      <c r="V146" t="s">
        <v>166</v>
      </c>
    </row>
    <row r="147" spans="9:22" x14ac:dyDescent="0.45">
      <c r="I147" t="s">
        <v>185</v>
      </c>
      <c r="J147" t="s">
        <v>283</v>
      </c>
      <c r="K147">
        <v>1.5032964886727883E-2</v>
      </c>
      <c r="L147" t="s">
        <v>166</v>
      </c>
      <c r="N147" t="s">
        <v>198</v>
      </c>
      <c r="O147" t="s">
        <v>283</v>
      </c>
      <c r="P147">
        <v>0.11780581393455959</v>
      </c>
      <c r="Q147" t="s">
        <v>166</v>
      </c>
      <c r="S147" t="s">
        <v>212</v>
      </c>
      <c r="T147" t="s">
        <v>283</v>
      </c>
      <c r="U147">
        <v>0.13142970631105461</v>
      </c>
      <c r="V147" t="s">
        <v>166</v>
      </c>
    </row>
    <row r="148" spans="9:22" x14ac:dyDescent="0.45">
      <c r="I148" t="s">
        <v>185</v>
      </c>
      <c r="J148" t="s">
        <v>284</v>
      </c>
      <c r="K148">
        <v>4.5007326379101514E-2</v>
      </c>
      <c r="L148" t="s">
        <v>166</v>
      </c>
      <c r="N148" t="s">
        <v>198</v>
      </c>
      <c r="O148" t="s">
        <v>284</v>
      </c>
      <c r="P148">
        <v>2.0414100500911959E-2</v>
      </c>
      <c r="Q148" t="s">
        <v>166</v>
      </c>
      <c r="S148" t="s">
        <v>212</v>
      </c>
      <c r="T148" t="s">
        <v>284</v>
      </c>
      <c r="U148">
        <v>2.357523470307565E-2</v>
      </c>
      <c r="V148" t="s">
        <v>166</v>
      </c>
    </row>
    <row r="149" spans="9:22" x14ac:dyDescent="0.45">
      <c r="I149" t="s">
        <v>185</v>
      </c>
      <c r="J149" t="s">
        <v>285</v>
      </c>
      <c r="K149">
        <v>0.3222918150062708</v>
      </c>
      <c r="L149" t="s">
        <v>166</v>
      </c>
      <c r="N149" t="s">
        <v>198</v>
      </c>
      <c r="O149" t="s">
        <v>285</v>
      </c>
      <c r="P149">
        <v>6.5980129265164181E-2</v>
      </c>
      <c r="Q149" t="s">
        <v>166</v>
      </c>
      <c r="S149" t="s">
        <v>212</v>
      </c>
      <c r="T149" t="s">
        <v>285</v>
      </c>
      <c r="U149">
        <v>7.5816858755711952E-2</v>
      </c>
      <c r="V149" t="s">
        <v>166</v>
      </c>
    </row>
    <row r="150" spans="9:22" x14ac:dyDescent="0.45">
      <c r="I150" t="s">
        <v>185</v>
      </c>
      <c r="J150" t="s">
        <v>286</v>
      </c>
      <c r="K150">
        <v>3.3795359552797138E-2</v>
      </c>
      <c r="L150" t="s">
        <v>166</v>
      </c>
      <c r="N150" t="s">
        <v>198</v>
      </c>
      <c r="O150" t="s">
        <v>286</v>
      </c>
      <c r="P150">
        <v>7.2530579331026551E-2</v>
      </c>
      <c r="Q150" t="s">
        <v>166</v>
      </c>
      <c r="S150" t="s">
        <v>212</v>
      </c>
      <c r="T150" t="s">
        <v>286</v>
      </c>
      <c r="U150">
        <v>8.3901740753350204E-2</v>
      </c>
      <c r="V150" t="s">
        <v>166</v>
      </c>
    </row>
    <row r="151" spans="9:22" x14ac:dyDescent="0.45">
      <c r="I151" t="s">
        <v>185</v>
      </c>
      <c r="J151" t="s">
        <v>287</v>
      </c>
      <c r="K151">
        <v>5.0707212961847922E-2</v>
      </c>
      <c r="L151" t="s">
        <v>166</v>
      </c>
      <c r="N151" t="s">
        <v>198</v>
      </c>
      <c r="O151" t="s">
        <v>287</v>
      </c>
      <c r="P151">
        <v>1.1565124701550997E-2</v>
      </c>
      <c r="Q151" t="s">
        <v>166</v>
      </c>
      <c r="S151" t="s">
        <v>212</v>
      </c>
      <c r="T151" t="s">
        <v>287</v>
      </c>
      <c r="U151">
        <v>1.616546955150332E-2</v>
      </c>
      <c r="V151" t="s">
        <v>166</v>
      </c>
    </row>
    <row r="152" spans="9:22" x14ac:dyDescent="0.45">
      <c r="I152" t="s">
        <v>185</v>
      </c>
      <c r="J152" t="s">
        <v>288</v>
      </c>
      <c r="K152">
        <v>6.5578903835970245E-2</v>
      </c>
      <c r="L152" t="s">
        <v>166</v>
      </c>
      <c r="N152" t="s">
        <v>198</v>
      </c>
      <c r="O152" t="s">
        <v>288</v>
      </c>
      <c r="P152">
        <v>0.14368932229457171</v>
      </c>
      <c r="Q152" t="s">
        <v>166</v>
      </c>
      <c r="S152" t="s">
        <v>212</v>
      </c>
      <c r="T152" t="s">
        <v>288</v>
      </c>
      <c r="U152">
        <v>0.1341362163920671</v>
      </c>
      <c r="V152" t="s">
        <v>166</v>
      </c>
    </row>
    <row r="153" spans="9:22" x14ac:dyDescent="0.45">
      <c r="I153" t="s">
        <v>185</v>
      </c>
      <c r="J153" t="s">
        <v>289</v>
      </c>
      <c r="K153">
        <v>0</v>
      </c>
      <c r="L153" t="s">
        <v>166</v>
      </c>
      <c r="N153" t="s">
        <v>198</v>
      </c>
      <c r="O153" t="s">
        <v>289</v>
      </c>
      <c r="P153">
        <v>0.15151974703613855</v>
      </c>
      <c r="Q153" t="s">
        <v>166</v>
      </c>
      <c r="S153" t="s">
        <v>212</v>
      </c>
      <c r="T153" t="s">
        <v>289</v>
      </c>
      <c r="U153">
        <v>0.13345333771177106</v>
      </c>
      <c r="V153" t="s">
        <v>166</v>
      </c>
    </row>
    <row r="154" spans="9:22" x14ac:dyDescent="0.45">
      <c r="I154" t="s">
        <v>185</v>
      </c>
      <c r="J154" t="s">
        <v>290</v>
      </c>
      <c r="K154">
        <v>1.8904801913649384E-3</v>
      </c>
      <c r="L154" t="s">
        <v>166</v>
      </c>
      <c r="N154" t="s">
        <v>198</v>
      </c>
      <c r="O154" t="s">
        <v>290</v>
      </c>
      <c r="P154">
        <v>2.8667572628102097E-2</v>
      </c>
      <c r="Q154" t="s">
        <v>166</v>
      </c>
      <c r="S154" t="s">
        <v>212</v>
      </c>
      <c r="T154" t="s">
        <v>290</v>
      </c>
      <c r="U154">
        <v>2.5256595905432534E-2</v>
      </c>
      <c r="V154" t="s">
        <v>166</v>
      </c>
    </row>
    <row r="155" spans="9:22" x14ac:dyDescent="0.45">
      <c r="I155" t="s">
        <v>186</v>
      </c>
      <c r="J155" t="s">
        <v>279</v>
      </c>
      <c r="K155">
        <v>0.1294045407658406</v>
      </c>
      <c r="L155" t="s">
        <v>166</v>
      </c>
      <c r="N155" t="s">
        <v>199</v>
      </c>
      <c r="O155" t="s">
        <v>279</v>
      </c>
      <c r="P155">
        <v>0.12048034503835167</v>
      </c>
      <c r="Q155" t="s">
        <v>166</v>
      </c>
      <c r="S155" t="s">
        <v>213</v>
      </c>
      <c r="T155" t="s">
        <v>279</v>
      </c>
      <c r="U155">
        <v>0.1270875227706921</v>
      </c>
      <c r="V155" t="s">
        <v>166</v>
      </c>
    </row>
    <row r="156" spans="9:22" x14ac:dyDescent="0.45">
      <c r="I156" t="s">
        <v>186</v>
      </c>
      <c r="J156" t="s">
        <v>280</v>
      </c>
      <c r="K156">
        <v>8.525564777187236E-4</v>
      </c>
      <c r="L156" t="s">
        <v>166</v>
      </c>
      <c r="N156" t="s">
        <v>199</v>
      </c>
      <c r="O156" t="s">
        <v>280</v>
      </c>
      <c r="P156">
        <v>0.13168820555913405</v>
      </c>
      <c r="Q156" t="s">
        <v>166</v>
      </c>
      <c r="S156" t="s">
        <v>213</v>
      </c>
      <c r="T156" t="s">
        <v>280</v>
      </c>
      <c r="U156">
        <v>0.12684136649136679</v>
      </c>
      <c r="V156" t="s">
        <v>166</v>
      </c>
    </row>
    <row r="157" spans="9:22" x14ac:dyDescent="0.45">
      <c r="I157" t="s">
        <v>186</v>
      </c>
      <c r="J157" t="s">
        <v>281</v>
      </c>
      <c r="K157">
        <v>1.1469313665542364E-2</v>
      </c>
      <c r="L157" t="s">
        <v>166</v>
      </c>
      <c r="N157" t="s">
        <v>199</v>
      </c>
      <c r="O157" t="s">
        <v>281</v>
      </c>
      <c r="P157">
        <v>2.2204352000984581E-2</v>
      </c>
      <c r="Q157" t="s">
        <v>166</v>
      </c>
      <c r="S157" t="s">
        <v>213</v>
      </c>
      <c r="T157" t="s">
        <v>281</v>
      </c>
      <c r="U157">
        <v>2.340981713852238E-2</v>
      </c>
      <c r="V157" t="s">
        <v>166</v>
      </c>
    </row>
    <row r="158" spans="9:22" x14ac:dyDescent="0.45">
      <c r="I158" t="s">
        <v>186</v>
      </c>
      <c r="J158" t="s">
        <v>282</v>
      </c>
      <c r="K158">
        <v>0.32276247512912748</v>
      </c>
      <c r="L158" t="s">
        <v>166</v>
      </c>
      <c r="N158" t="s">
        <v>199</v>
      </c>
      <c r="O158" t="s">
        <v>282</v>
      </c>
      <c r="P158">
        <v>0.11645329556453643</v>
      </c>
      <c r="Q158" t="s">
        <v>166</v>
      </c>
      <c r="S158" t="s">
        <v>213</v>
      </c>
      <c r="T158" t="s">
        <v>282</v>
      </c>
      <c r="U158">
        <v>0.11540178301699948</v>
      </c>
      <c r="V158" t="s">
        <v>166</v>
      </c>
    </row>
    <row r="159" spans="9:22" x14ac:dyDescent="0.45">
      <c r="I159" t="s">
        <v>186</v>
      </c>
      <c r="J159" t="s">
        <v>283</v>
      </c>
      <c r="K159">
        <v>1.6086668220089629E-2</v>
      </c>
      <c r="L159" t="s">
        <v>166</v>
      </c>
      <c r="N159" t="s">
        <v>199</v>
      </c>
      <c r="O159" t="s">
        <v>283</v>
      </c>
      <c r="P159">
        <v>0.11770785630320409</v>
      </c>
      <c r="Q159" t="s">
        <v>166</v>
      </c>
      <c r="S159" t="s">
        <v>213</v>
      </c>
      <c r="T159" t="s">
        <v>283</v>
      </c>
      <c r="U159">
        <v>0.11874234307651363</v>
      </c>
      <c r="V159" t="s">
        <v>166</v>
      </c>
    </row>
    <row r="160" spans="9:22" x14ac:dyDescent="0.45">
      <c r="I160" t="s">
        <v>186</v>
      </c>
      <c r="J160" t="s">
        <v>284</v>
      </c>
      <c r="K160">
        <v>4.4206619995383875E-2</v>
      </c>
      <c r="L160" t="s">
        <v>166</v>
      </c>
      <c r="N160" t="s">
        <v>199</v>
      </c>
      <c r="O160" t="s">
        <v>284</v>
      </c>
      <c r="P160">
        <v>2.0680591395123009E-2</v>
      </c>
      <c r="Q160" t="s">
        <v>166</v>
      </c>
      <c r="S160" t="s">
        <v>213</v>
      </c>
      <c r="T160" t="s">
        <v>284</v>
      </c>
      <c r="U160">
        <v>2.2163542216096514E-2</v>
      </c>
      <c r="V160" t="s">
        <v>166</v>
      </c>
    </row>
    <row r="161" spans="9:22" x14ac:dyDescent="0.45">
      <c r="I161" t="s">
        <v>186</v>
      </c>
      <c r="J161" t="s">
        <v>285</v>
      </c>
      <c r="K161">
        <v>0.32686134684533125</v>
      </c>
      <c r="L161" t="s">
        <v>166</v>
      </c>
      <c r="N161" t="s">
        <v>199</v>
      </c>
      <c r="O161" t="s">
        <v>285</v>
      </c>
      <c r="P161">
        <v>7.5281907601450468E-2</v>
      </c>
      <c r="Q161" t="s">
        <v>166</v>
      </c>
      <c r="S161" t="s">
        <v>213</v>
      </c>
      <c r="T161" t="s">
        <v>285</v>
      </c>
      <c r="U161">
        <v>7.2520375722771341E-2</v>
      </c>
      <c r="V161" t="s">
        <v>166</v>
      </c>
    </row>
    <row r="162" spans="9:22" x14ac:dyDescent="0.45">
      <c r="I162" t="s">
        <v>186</v>
      </c>
      <c r="J162" t="s">
        <v>286</v>
      </c>
      <c r="K162">
        <v>3.8140450355045694E-2</v>
      </c>
      <c r="L162" t="s">
        <v>166</v>
      </c>
      <c r="N162" t="s">
        <v>199</v>
      </c>
      <c r="O162" t="s">
        <v>286</v>
      </c>
      <c r="P162">
        <v>8.0948287833913293E-2</v>
      </c>
      <c r="Q162" t="s">
        <v>166</v>
      </c>
      <c r="S162" t="s">
        <v>213</v>
      </c>
      <c r="T162" t="s">
        <v>286</v>
      </c>
      <c r="U162">
        <v>8.1040892109169996E-2</v>
      </c>
      <c r="V162" t="s">
        <v>166</v>
      </c>
    </row>
    <row r="163" spans="9:22" x14ac:dyDescent="0.45">
      <c r="I163" t="s">
        <v>186</v>
      </c>
      <c r="J163" t="s">
        <v>287</v>
      </c>
      <c r="K163">
        <v>5.0997136428243987E-2</v>
      </c>
      <c r="L163" t="s">
        <v>166</v>
      </c>
      <c r="N163" t="s">
        <v>199</v>
      </c>
      <c r="O163" t="s">
        <v>287</v>
      </c>
      <c r="P163">
        <v>1.4994262972929094E-2</v>
      </c>
      <c r="Q163" t="s">
        <v>166</v>
      </c>
      <c r="S163" t="s">
        <v>213</v>
      </c>
      <c r="T163" t="s">
        <v>287</v>
      </c>
      <c r="U163">
        <v>1.4519663368013457E-2</v>
      </c>
      <c r="V163" t="s">
        <v>166</v>
      </c>
    </row>
    <row r="164" spans="9:22" x14ac:dyDescent="0.45">
      <c r="I164" t="s">
        <v>186</v>
      </c>
      <c r="J164" t="s">
        <v>288</v>
      </c>
      <c r="K164">
        <v>5.7559804533785557E-2</v>
      </c>
      <c r="L164" t="s">
        <v>166</v>
      </c>
      <c r="N164" t="s">
        <v>199</v>
      </c>
      <c r="O164" t="s">
        <v>288</v>
      </c>
      <c r="P164">
        <v>0.13713840057141508</v>
      </c>
      <c r="Q164" t="s">
        <v>166</v>
      </c>
      <c r="S164" t="s">
        <v>213</v>
      </c>
      <c r="T164" t="s">
        <v>288</v>
      </c>
      <c r="U164">
        <v>0.13778567171027098</v>
      </c>
      <c r="V164" t="s">
        <v>166</v>
      </c>
    </row>
    <row r="165" spans="9:22" x14ac:dyDescent="0.45">
      <c r="I165" t="s">
        <v>186</v>
      </c>
      <c r="J165" t="s">
        <v>289</v>
      </c>
      <c r="K165">
        <v>0</v>
      </c>
      <c r="L165" t="s">
        <v>166</v>
      </c>
      <c r="N165" t="s">
        <v>199</v>
      </c>
      <c r="O165" t="s">
        <v>289</v>
      </c>
      <c r="P165">
        <v>0.13696802783232701</v>
      </c>
      <c r="Q165" t="s">
        <v>166</v>
      </c>
      <c r="S165" t="s">
        <v>213</v>
      </c>
      <c r="T165" t="s">
        <v>289</v>
      </c>
      <c r="U165">
        <v>0.13543232171779407</v>
      </c>
      <c r="V165" t="s">
        <v>166</v>
      </c>
    </row>
    <row r="166" spans="9:22" x14ac:dyDescent="0.45">
      <c r="I166" t="s">
        <v>186</v>
      </c>
      <c r="J166" t="s">
        <v>290</v>
      </c>
      <c r="K166">
        <v>1.6590875838884841E-3</v>
      </c>
      <c r="L166" t="s">
        <v>166</v>
      </c>
      <c r="N166" t="s">
        <v>199</v>
      </c>
      <c r="O166" t="s">
        <v>290</v>
      </c>
      <c r="P166">
        <v>2.5454467326633146E-2</v>
      </c>
      <c r="Q166" t="s">
        <v>166</v>
      </c>
      <c r="S166" t="s">
        <v>213</v>
      </c>
      <c r="T166" t="s">
        <v>290</v>
      </c>
      <c r="U166">
        <v>2.5054700661785365E-2</v>
      </c>
      <c r="V166" t="s">
        <v>166</v>
      </c>
    </row>
    <row r="167" spans="9:22" x14ac:dyDescent="0.45">
      <c r="N167" t="s">
        <v>200</v>
      </c>
      <c r="O167" t="s">
        <v>279</v>
      </c>
      <c r="P167">
        <v>0.12156774230843284</v>
      </c>
      <c r="Q167" t="s">
        <v>166</v>
      </c>
      <c r="S167" t="s">
        <v>214</v>
      </c>
      <c r="T167" t="s">
        <v>279</v>
      </c>
      <c r="U167">
        <v>0.12482176012447042</v>
      </c>
      <c r="V167" t="s">
        <v>166</v>
      </c>
    </row>
    <row r="168" spans="9:22" x14ac:dyDescent="0.45">
      <c r="N168" t="s">
        <v>200</v>
      </c>
      <c r="O168" t="s">
        <v>280</v>
      </c>
      <c r="P168">
        <v>0.12877891354974957</v>
      </c>
      <c r="Q168" t="s">
        <v>166</v>
      </c>
      <c r="S168" t="s">
        <v>214</v>
      </c>
      <c r="T168" t="s">
        <v>280</v>
      </c>
      <c r="U168">
        <v>0.12512557782699563</v>
      </c>
      <c r="V168" t="s">
        <v>166</v>
      </c>
    </row>
    <row r="169" spans="9:22" x14ac:dyDescent="0.45">
      <c r="N169" t="s">
        <v>200</v>
      </c>
      <c r="O169" t="s">
        <v>281</v>
      </c>
      <c r="P169">
        <v>2.2905316649807959E-2</v>
      </c>
      <c r="Q169" t="s">
        <v>166</v>
      </c>
      <c r="S169" t="s">
        <v>214</v>
      </c>
      <c r="T169" t="s">
        <v>281</v>
      </c>
      <c r="U169">
        <v>2.3154244618993007E-2</v>
      </c>
      <c r="V169" t="s">
        <v>166</v>
      </c>
    </row>
    <row r="170" spans="9:22" x14ac:dyDescent="0.45">
      <c r="N170" t="s">
        <v>200</v>
      </c>
      <c r="O170" t="s">
        <v>282</v>
      </c>
      <c r="P170">
        <v>0.11433101130097721</v>
      </c>
      <c r="Q170" t="s">
        <v>166</v>
      </c>
      <c r="S170" t="s">
        <v>214</v>
      </c>
      <c r="T170" t="s">
        <v>282</v>
      </c>
      <c r="U170">
        <v>0.1112364703436142</v>
      </c>
      <c r="V170" t="s">
        <v>166</v>
      </c>
    </row>
    <row r="171" spans="9:22" x14ac:dyDescent="0.45">
      <c r="N171" t="s">
        <v>200</v>
      </c>
      <c r="O171" t="s">
        <v>283</v>
      </c>
      <c r="P171">
        <v>0.12597567182457314</v>
      </c>
      <c r="Q171" t="s">
        <v>166</v>
      </c>
      <c r="S171" t="s">
        <v>214</v>
      </c>
      <c r="T171" t="s">
        <v>283</v>
      </c>
      <c r="U171">
        <v>0.12557141145573014</v>
      </c>
      <c r="V171" t="s">
        <v>166</v>
      </c>
    </row>
    <row r="172" spans="9:22" x14ac:dyDescent="0.45">
      <c r="N172" t="s">
        <v>200</v>
      </c>
      <c r="O172" t="s">
        <v>284</v>
      </c>
      <c r="P172">
        <v>2.0517198459581481E-2</v>
      </c>
      <c r="Q172" t="s">
        <v>166</v>
      </c>
      <c r="S172" t="s">
        <v>214</v>
      </c>
      <c r="T172" t="s">
        <v>284</v>
      </c>
      <c r="U172">
        <v>2.2639034977416251E-2</v>
      </c>
      <c r="V172" t="s">
        <v>166</v>
      </c>
    </row>
    <row r="173" spans="9:22" x14ac:dyDescent="0.45">
      <c r="N173" t="s">
        <v>200</v>
      </c>
      <c r="O173" t="s">
        <v>285</v>
      </c>
      <c r="P173">
        <v>6.7497903581894655E-2</v>
      </c>
      <c r="Q173" t="s">
        <v>166</v>
      </c>
      <c r="S173" t="s">
        <v>214</v>
      </c>
      <c r="T173" t="s">
        <v>285</v>
      </c>
      <c r="U173">
        <v>7.2609173732708601E-2</v>
      </c>
      <c r="V173" t="s">
        <v>166</v>
      </c>
    </row>
    <row r="174" spans="9:22" x14ac:dyDescent="0.45">
      <c r="N174" t="s">
        <v>200</v>
      </c>
      <c r="O174" t="s">
        <v>286</v>
      </c>
      <c r="P174">
        <v>7.7812088225310078E-2</v>
      </c>
      <c r="Q174" t="s">
        <v>166</v>
      </c>
      <c r="S174" t="s">
        <v>214</v>
      </c>
      <c r="T174" t="s">
        <v>286</v>
      </c>
      <c r="U174">
        <v>8.0920142983911425E-2</v>
      </c>
      <c r="V174" t="s">
        <v>166</v>
      </c>
    </row>
    <row r="175" spans="9:22" x14ac:dyDescent="0.45">
      <c r="N175" t="s">
        <v>200</v>
      </c>
      <c r="O175" t="s">
        <v>287</v>
      </c>
      <c r="P175">
        <v>1.3364924840699663E-2</v>
      </c>
      <c r="Q175" t="s">
        <v>166</v>
      </c>
      <c r="S175" t="s">
        <v>214</v>
      </c>
      <c r="T175" t="s">
        <v>287</v>
      </c>
      <c r="U175">
        <v>1.5580745950360688E-2</v>
      </c>
      <c r="V175" t="s">
        <v>166</v>
      </c>
    </row>
    <row r="176" spans="9:22" x14ac:dyDescent="0.45">
      <c r="N176" t="s">
        <v>200</v>
      </c>
      <c r="O176" t="s">
        <v>288</v>
      </c>
      <c r="P176">
        <v>0.13964218050036181</v>
      </c>
      <c r="Q176" t="s">
        <v>166</v>
      </c>
      <c r="S176" t="s">
        <v>214</v>
      </c>
      <c r="T176" t="s">
        <v>288</v>
      </c>
      <c r="U176">
        <v>0.13709296035670898</v>
      </c>
      <c r="V176" t="s">
        <v>166</v>
      </c>
    </row>
    <row r="177" spans="14:22" x14ac:dyDescent="0.45">
      <c r="N177" t="s">
        <v>200</v>
      </c>
      <c r="O177" t="s">
        <v>289</v>
      </c>
      <c r="P177">
        <v>0.14147580663445403</v>
      </c>
      <c r="Q177" t="s">
        <v>166</v>
      </c>
      <c r="S177" t="s">
        <v>214</v>
      </c>
      <c r="T177" t="s">
        <v>289</v>
      </c>
      <c r="U177">
        <v>0.13596271899415299</v>
      </c>
      <c r="V177" t="s">
        <v>166</v>
      </c>
    </row>
    <row r="178" spans="14:22" x14ac:dyDescent="0.45">
      <c r="N178" t="s">
        <v>200</v>
      </c>
      <c r="O178" t="s">
        <v>290</v>
      </c>
      <c r="P178">
        <v>2.6131242124158068E-2</v>
      </c>
      <c r="Q178" t="s">
        <v>166</v>
      </c>
      <c r="S178" t="s">
        <v>214</v>
      </c>
      <c r="T178" t="s">
        <v>290</v>
      </c>
      <c r="U178">
        <v>2.5285758634937809E-2</v>
      </c>
      <c r="V178" t="s">
        <v>166</v>
      </c>
    </row>
    <row r="179" spans="14:22" x14ac:dyDescent="0.45">
      <c r="S179" t="s">
        <v>215</v>
      </c>
      <c r="T179" t="s">
        <v>279</v>
      </c>
      <c r="U179">
        <v>0.12249246463921339</v>
      </c>
      <c r="V179" t="s">
        <v>166</v>
      </c>
    </row>
    <row r="180" spans="14:22" x14ac:dyDescent="0.45">
      <c r="S180" t="s">
        <v>215</v>
      </c>
      <c r="T180" t="s">
        <v>280</v>
      </c>
      <c r="U180">
        <v>0.12080143396571351</v>
      </c>
      <c r="V180" t="s">
        <v>166</v>
      </c>
    </row>
    <row r="181" spans="14:22" x14ac:dyDescent="0.45">
      <c r="S181" t="s">
        <v>215</v>
      </c>
      <c r="T181" t="s">
        <v>281</v>
      </c>
      <c r="U181">
        <v>2.2288206610978432E-2</v>
      </c>
      <c r="V181" t="s">
        <v>166</v>
      </c>
    </row>
    <row r="182" spans="14:22" x14ac:dyDescent="0.45">
      <c r="S182" t="s">
        <v>215</v>
      </c>
      <c r="T182" t="s">
        <v>282</v>
      </c>
      <c r="U182">
        <v>0.11414357855031833</v>
      </c>
      <c r="V182" t="s">
        <v>166</v>
      </c>
    </row>
    <row r="183" spans="14:22" x14ac:dyDescent="0.45">
      <c r="S183" t="s">
        <v>215</v>
      </c>
      <c r="T183" t="s">
        <v>283</v>
      </c>
      <c r="U183">
        <v>0.1300432264680832</v>
      </c>
      <c r="V183" t="s">
        <v>166</v>
      </c>
    </row>
    <row r="184" spans="14:22" x14ac:dyDescent="0.45">
      <c r="S184" t="s">
        <v>215</v>
      </c>
      <c r="T184" t="s">
        <v>284</v>
      </c>
      <c r="U184">
        <v>2.2986107211757614E-2</v>
      </c>
      <c r="V184" t="s">
        <v>166</v>
      </c>
    </row>
    <row r="185" spans="14:22" x14ac:dyDescent="0.45">
      <c r="S185" t="s">
        <v>215</v>
      </c>
      <c r="T185" t="s">
        <v>285</v>
      </c>
      <c r="U185">
        <v>7.6559150775399751E-2</v>
      </c>
      <c r="V185" t="s">
        <v>166</v>
      </c>
    </row>
    <row r="186" spans="14:22" x14ac:dyDescent="0.45">
      <c r="S186" t="s">
        <v>215</v>
      </c>
      <c r="T186" t="s">
        <v>286</v>
      </c>
      <c r="U186">
        <v>8.1701032543766455E-2</v>
      </c>
      <c r="V186" t="s">
        <v>166</v>
      </c>
    </row>
    <row r="187" spans="14:22" x14ac:dyDescent="0.45">
      <c r="S187" t="s">
        <v>215</v>
      </c>
      <c r="T187" t="s">
        <v>287</v>
      </c>
      <c r="U187">
        <v>1.5657531144034825E-2</v>
      </c>
      <c r="V187" t="s">
        <v>166</v>
      </c>
    </row>
    <row r="188" spans="14:22" x14ac:dyDescent="0.45">
      <c r="S188" t="s">
        <v>215</v>
      </c>
      <c r="T188" t="s">
        <v>288</v>
      </c>
      <c r="U188">
        <v>0.13551492540335208</v>
      </c>
      <c r="V188" t="s">
        <v>166</v>
      </c>
    </row>
    <row r="189" spans="14:22" x14ac:dyDescent="0.45">
      <c r="S189" t="s">
        <v>215</v>
      </c>
      <c r="T189" t="s">
        <v>289</v>
      </c>
      <c r="U189">
        <v>0.13282439579171587</v>
      </c>
      <c r="V189" t="s">
        <v>166</v>
      </c>
    </row>
    <row r="190" spans="14:22" x14ac:dyDescent="0.45">
      <c r="S190" t="s">
        <v>215</v>
      </c>
      <c r="T190" t="s">
        <v>290</v>
      </c>
      <c r="U190">
        <v>2.4987946895665133E-2</v>
      </c>
      <c r="V190" t="s">
        <v>166</v>
      </c>
    </row>
    <row r="191" spans="14:22" x14ac:dyDescent="0.45">
      <c r="S191" t="s">
        <v>216</v>
      </c>
      <c r="T191" t="s">
        <v>279</v>
      </c>
      <c r="U191">
        <v>0.12367676979071503</v>
      </c>
      <c r="V191" t="s">
        <v>166</v>
      </c>
    </row>
    <row r="192" spans="14:22" x14ac:dyDescent="0.45">
      <c r="S192" t="s">
        <v>216</v>
      </c>
      <c r="T192" t="s">
        <v>280</v>
      </c>
      <c r="U192">
        <v>0.12714987966373248</v>
      </c>
      <c r="V192" t="s">
        <v>166</v>
      </c>
    </row>
    <row r="193" spans="19:22" x14ac:dyDescent="0.45">
      <c r="S193" t="s">
        <v>216</v>
      </c>
      <c r="T193" t="s">
        <v>281</v>
      </c>
      <c r="U193">
        <v>2.2939574369143314E-2</v>
      </c>
      <c r="V193" t="s">
        <v>166</v>
      </c>
    </row>
    <row r="194" spans="19:22" x14ac:dyDescent="0.45">
      <c r="S194" t="s">
        <v>216</v>
      </c>
      <c r="T194" t="s">
        <v>282</v>
      </c>
      <c r="U194">
        <v>0.11508640728771527</v>
      </c>
      <c r="V194" t="s">
        <v>166</v>
      </c>
    </row>
    <row r="195" spans="19:22" x14ac:dyDescent="0.45">
      <c r="S195" t="s">
        <v>216</v>
      </c>
      <c r="T195" t="s">
        <v>283</v>
      </c>
      <c r="U195">
        <v>0.12707408505319162</v>
      </c>
      <c r="V195" t="s">
        <v>166</v>
      </c>
    </row>
    <row r="196" spans="19:22" x14ac:dyDescent="0.45">
      <c r="S196" t="s">
        <v>216</v>
      </c>
      <c r="T196" t="s">
        <v>284</v>
      </c>
      <c r="U196">
        <v>2.4023067588220016E-2</v>
      </c>
      <c r="V196" t="s">
        <v>166</v>
      </c>
    </row>
    <row r="197" spans="19:22" x14ac:dyDescent="0.45">
      <c r="S197" t="s">
        <v>216</v>
      </c>
      <c r="T197" t="s">
        <v>285</v>
      </c>
      <c r="U197">
        <v>7.2462942075232684E-2</v>
      </c>
      <c r="V197" t="s">
        <v>166</v>
      </c>
    </row>
    <row r="198" spans="19:22" x14ac:dyDescent="0.45">
      <c r="S198" t="s">
        <v>216</v>
      </c>
      <c r="T198" t="s">
        <v>286</v>
      </c>
      <c r="U198">
        <v>7.7626454860368649E-2</v>
      </c>
      <c r="V198" t="s">
        <v>166</v>
      </c>
    </row>
    <row r="199" spans="19:22" x14ac:dyDescent="0.45">
      <c r="S199" t="s">
        <v>216</v>
      </c>
      <c r="T199" t="s">
        <v>287</v>
      </c>
      <c r="U199">
        <v>1.5828957201189996E-2</v>
      </c>
      <c r="V199" t="s">
        <v>166</v>
      </c>
    </row>
    <row r="200" spans="19:22" x14ac:dyDescent="0.45">
      <c r="S200" t="s">
        <v>216</v>
      </c>
      <c r="T200" t="s">
        <v>288</v>
      </c>
      <c r="U200">
        <v>0.13587475290050693</v>
      </c>
      <c r="V200" t="s">
        <v>166</v>
      </c>
    </row>
    <row r="201" spans="19:22" x14ac:dyDescent="0.45">
      <c r="S201" t="s">
        <v>216</v>
      </c>
      <c r="T201" t="s">
        <v>289</v>
      </c>
      <c r="U201">
        <v>0.13262191273916205</v>
      </c>
      <c r="V201" t="s">
        <v>166</v>
      </c>
    </row>
    <row r="202" spans="19:22" x14ac:dyDescent="0.45">
      <c r="S202" t="s">
        <v>216</v>
      </c>
      <c r="T202" t="s">
        <v>290</v>
      </c>
      <c r="U202">
        <v>2.5635196470822415E-2</v>
      </c>
      <c r="V20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2025-11-26T08:02:36Z</dcterms:modified>
</cp:coreProperties>
</file>