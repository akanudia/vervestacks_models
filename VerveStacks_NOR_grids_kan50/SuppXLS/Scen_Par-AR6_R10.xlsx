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50\SuppXLS\"/>
    </mc:Choice>
  </mc:AlternateContent>
  <xr:revisionPtr revIDLastSave="0" documentId="13_ncr:1_{1B90E4A0-1C91-4557-8EED-208DFD962C87}" xr6:coauthVersionLast="47" xr6:coauthVersionMax="47" xr10:uidLastSave="{00000000-0000-0000-0000-000000000000}"/>
  <bookViews>
    <workbookView xWindow="4012" yWindow="4012" windowWidth="21601" windowHeight="11423" activeTab="1" xr2:uid="{00000000-000D-0000-FFFF-FFFF00000000}"/>
  </bookViews>
  <sheets>
    <sheet name="controller" sheetId="5" r:id="rId1"/>
    <sheet name="Veda" sheetId="1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1" hidden="1">Veda!#REF!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50" i="1"/>
  <c r="M50" i="1"/>
  <c r="N49" i="1"/>
  <c r="M49" i="1"/>
  <c r="N48" i="1"/>
  <c r="M48" i="1"/>
  <c r="N47" i="1"/>
  <c r="M47" i="1"/>
  <c r="D42" i="1"/>
  <c r="D41" i="1"/>
  <c r="D40" i="1"/>
  <c r="D39" i="1"/>
  <c r="L31" i="1"/>
  <c r="O31" i="1" s="1"/>
  <c r="L30" i="1"/>
  <c r="B45" i="1"/>
  <c r="N28" i="1"/>
  <c r="N17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O25" i="1" l="1"/>
  <c r="O24" i="1"/>
  <c r="C50" i="1" l="1"/>
  <c r="C49" i="1"/>
  <c r="C48" i="1"/>
  <c r="C47" i="1"/>
  <c r="O30" i="1" l="1"/>
  <c r="N11" i="1" s="1"/>
  <c r="U29" i="1"/>
  <c r="T29" i="1"/>
  <c r="S29" i="1"/>
  <c r="R29" i="1"/>
  <c r="Q29" i="1"/>
  <c r="P29" i="1"/>
  <c r="O29" i="1"/>
  <c r="J18" i="1"/>
  <c r="I18" i="1"/>
  <c r="H18" i="1"/>
  <c r="G18" i="1"/>
  <c r="F18" i="1"/>
  <c r="E18" i="1"/>
  <c r="E46" i="1" l="1"/>
  <c r="E40" i="1"/>
  <c r="E48" i="1" s="1"/>
  <c r="E39" i="1"/>
  <c r="E47" i="1" s="1"/>
  <c r="E42" i="1"/>
  <c r="E41" i="1"/>
  <c r="E49" i="1" s="1"/>
  <c r="F40" i="1"/>
  <c r="F48" i="1" s="1"/>
  <c r="F39" i="1"/>
  <c r="F47" i="1" s="1"/>
  <c r="F42" i="1"/>
  <c r="F41" i="1"/>
  <c r="F49" i="1" s="1"/>
  <c r="G40" i="1"/>
  <c r="G48" i="1" s="1"/>
  <c r="G39" i="1"/>
  <c r="G47" i="1" s="1"/>
  <c r="G42" i="1"/>
  <c r="G41" i="1"/>
  <c r="G49" i="1" s="1"/>
  <c r="H40" i="1"/>
  <c r="H48" i="1" s="1"/>
  <c r="H39" i="1"/>
  <c r="H47" i="1" s="1"/>
  <c r="H42" i="1"/>
  <c r="H41" i="1"/>
  <c r="H49" i="1" s="1"/>
  <c r="I40" i="1"/>
  <c r="I48" i="1" s="1"/>
  <c r="I39" i="1"/>
  <c r="I47" i="1" s="1"/>
  <c r="I42" i="1"/>
  <c r="I41" i="1"/>
  <c r="I49" i="1" s="1"/>
  <c r="J40" i="1"/>
  <c r="J48" i="1" s="1"/>
  <c r="J39" i="1"/>
  <c r="J47" i="1" s="1"/>
  <c r="J42" i="1"/>
  <c r="J41" i="1"/>
  <c r="J49" i="1" s="1"/>
  <c r="D49" i="1"/>
  <c r="H46" i="1"/>
  <c r="I46" i="1"/>
  <c r="D48" i="1"/>
  <c r="D50" i="1"/>
  <c r="D47" i="1"/>
  <c r="F46" i="1"/>
  <c r="G46" i="1"/>
  <c r="J46" i="1"/>
  <c r="O15" i="1"/>
  <c r="C26" i="1" l="1"/>
  <c r="J26" i="1" l="1"/>
  <c r="U26" i="1" s="1"/>
  <c r="I26" i="1"/>
  <c r="T26" i="1" s="1"/>
  <c r="H26" i="1"/>
  <c r="S26" i="1" s="1"/>
  <c r="G26" i="1"/>
  <c r="R26" i="1" s="1"/>
  <c r="F26" i="1"/>
  <c r="Q26" i="1" s="1"/>
  <c r="C15" i="1"/>
  <c r="I22" i="1" l="1"/>
  <c r="H19" i="1"/>
  <c r="H22" i="1"/>
  <c r="G19" i="1"/>
  <c r="G22" i="1"/>
  <c r="F19" i="1"/>
  <c r="D22" i="1"/>
  <c r="O22" i="1" s="1"/>
  <c r="P22" i="1" s="1"/>
  <c r="Q22" i="1" s="1"/>
  <c r="R22" i="1" s="1"/>
  <c r="S22" i="1" s="1"/>
  <c r="T22" i="1" s="1"/>
  <c r="U22" i="1" s="1"/>
  <c r="H16" i="1"/>
  <c r="E16" i="1"/>
  <c r="D16" i="1"/>
  <c r="J15" i="1"/>
  <c r="U15" i="1" s="1"/>
  <c r="H15" i="1"/>
  <c r="S15" i="1" s="1"/>
  <c r="G15" i="1"/>
  <c r="R15" i="1" s="1"/>
  <c r="F15" i="1"/>
  <c r="Q15" i="1" s="1"/>
  <c r="D20" i="1"/>
  <c r="O20" i="1" s="1"/>
  <c r="I19" i="1"/>
  <c r="F22" i="1"/>
  <c r="E19" i="1"/>
  <c r="E22" i="1"/>
  <c r="D19" i="1"/>
  <c r="O19" i="1" s="1"/>
  <c r="J16" i="1"/>
  <c r="J21" i="1"/>
  <c r="I16" i="1"/>
  <c r="T25" i="1" s="1"/>
  <c r="I21" i="1"/>
  <c r="H21" i="1"/>
  <c r="G16" i="1"/>
  <c r="G21" i="1"/>
  <c r="F16" i="1"/>
  <c r="Q25" i="1" s="1"/>
  <c r="F21" i="1"/>
  <c r="E21" i="1"/>
  <c r="D21" i="1"/>
  <c r="O21" i="1" s="1"/>
  <c r="J20" i="1"/>
  <c r="I20" i="1"/>
  <c r="I15" i="1"/>
  <c r="T15" i="1" s="1"/>
  <c r="H20" i="1"/>
  <c r="G20" i="1"/>
  <c r="F20" i="1"/>
  <c r="E20" i="1"/>
  <c r="E15" i="1"/>
  <c r="P15" i="1" s="1"/>
  <c r="D15" i="1"/>
  <c r="J19" i="1"/>
  <c r="J22" i="1"/>
  <c r="J50" i="1"/>
  <c r="U24" i="1" l="1"/>
  <c r="U25" i="1"/>
  <c r="R24" i="1"/>
  <c r="R25" i="1"/>
  <c r="P24" i="1"/>
  <c r="P25" i="1"/>
  <c r="S24" i="1"/>
  <c r="S25" i="1"/>
  <c r="T24" i="1"/>
  <c r="Q24" i="1"/>
  <c r="T19" i="1"/>
  <c r="Q20" i="1"/>
  <c r="P21" i="1"/>
  <c r="P20" i="1"/>
  <c r="S20" i="1"/>
  <c r="T20" i="1"/>
  <c r="Q21" i="1"/>
  <c r="U19" i="1"/>
  <c r="T21" i="1"/>
  <c r="R21" i="1"/>
  <c r="S21" i="1"/>
  <c r="U20" i="1"/>
  <c r="P19" i="1"/>
  <c r="O23" i="1"/>
  <c r="U21" i="1"/>
  <c r="R20" i="1"/>
  <c r="R23" i="1" s="1"/>
  <c r="R19" i="1"/>
  <c r="S19" i="1"/>
  <c r="Q19" i="1"/>
  <c r="S23" i="1" l="1"/>
  <c r="T23" i="1"/>
  <c r="Q23" i="1"/>
  <c r="U23" i="1"/>
  <c r="P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<sst xmlns="http://schemas.openxmlformats.org/spreadsheetml/2006/main" count="1687" uniqueCount="108">
  <si>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</si>
  <si>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</si>
  <si>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</si>
  <si>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</si>
  <si>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</si>
  <si>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</si>
  <si>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</si>
  <si>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</si>
  <si>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</si>
  <si>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</si>
  <si>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</si>
  <si>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</si>
  <si>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</si>
  <si>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</si>
  <si>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</si>
  <si>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</si>
  <si>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</si>
  <si>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</si>
  <si>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</si>
  <si>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</si>
  <si>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</si>
  <si>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</si>
  <si>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</si>
  <si>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</si>
  <si>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</si>
  <si>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</si>
  <si>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</si>
  <si>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</si>
  <si>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</si>
  <si>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</si>
  <si>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</si>
  <si>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</si>
  <si>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</si>
  <si>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</si>
  <si>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</si>
  <si>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</si>
  <si>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</si>
  <si>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</si>
  <si>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</si>
  <si>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</si>
  <si>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</si>
  <si>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</si>
  <si>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</si>
  <si>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</si>
  <si>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</si>
  <si>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</si>
  <si>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</si>
  <si>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</si>
  <si>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</si>
  <si>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</si>
  <si>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</si>
  <si>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</si>
  <si>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</si>
  <si>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</si>
  <si>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</si>
  <si>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</si>
  <si>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</si>
  <si>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</si>
  <si>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</si>
  <si>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</si>
  <si>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</si>
  <si>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</si>
  <si>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</si>
  <si>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</si>
  <si>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</si>
  <si>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</si>
  <si>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</si>
  <si>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</si>
  <si>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</si>
  <si>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</si>
  <si>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</si>
  <si>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</si>
  <si>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</si>
  <si>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</si>
  <si>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</si>
  <si>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</si>
  <si>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</si>
  <si>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</si>
  <si>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</si>
  <si>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</si>
  <si>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</si>
  <si>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</si>
  <si>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pset_co</t>
  </si>
  <si>
    <t>e 1.5 deg no OS</t>
  </si>
  <si>
    <t>d 1.5 deg OS</t>
  </si>
  <si>
    <t>c 2 deg (67%)</t>
  </si>
  <si>
    <t>b 2 deg (50%)</t>
  </si>
  <si>
    <t>a 3 deg</t>
  </si>
  <si>
    <t>~Scenmap</t>
  </si>
  <si>
    <t>scen</t>
  </si>
  <si>
    <t>case_no</t>
  </si>
  <si>
    <t>priority</t>
  </si>
  <si>
    <t>bio price multiplier</t>
  </si>
  <si>
    <t>R10EUROPE</t>
  </si>
  <si>
    <t>Heat growth relative to 2020</t>
  </si>
  <si>
    <t>base</t>
  </si>
  <si>
    <t>co2price</t>
  </si>
  <si>
    <t>heat_tfc_twh</t>
  </si>
  <si>
    <t>1-8</t>
  </si>
  <si>
    <t>chp_heat_twh</t>
  </si>
  <si>
    <t>heat_industry_twh</t>
  </si>
  <si>
    <t>heat_buildings_twh</t>
  </si>
  <si>
    <t>het_industry</t>
  </si>
  <si>
    <t>het_buildings</t>
  </si>
  <si>
    <t>NOR</t>
  </si>
  <si>
    <t>~tfm_ins-ts: region=NOR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</si>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</sst>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9"/>
      <color theme="1"/>
      <name val="Segoe UI"/>
      <family val="2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3" fillId="7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0" fillId="0" borderId="0" xfId="0" applyFont="1"/>
    <xf numFmtId="0" fontId="0" fillId="6" borderId="0" xfId="0" applyFill="1"/>
    <xf numFmtId="0" fontId="9" fillId="5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3" fillId="7" borderId="0" xfId="10"/>
    <xf numFmtId="164" fontId="13" fillId="7" borderId="0" xfId="10" applyNumberFormat="1"/>
    <xf numFmtId="2" fontId="13" fillId="7" borderId="0" xfId="10" applyNumberFormat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Veda!$O$15:$U$15</c:f>
              <c:numCache>
                <c:formatCode>0</c:formatCode>
                <c:ptCount val="7"/>
                <c:pt idx="0">
                  <c:v>132.62</c:v>
                </c:pt>
                <c:pt idx="1">
                  <c:v>139.251</c:v>
                </c:pt>
                <c:pt idx="2">
                  <c:v>155.16540000000001</c:v>
                </c:pt>
                <c:pt idx="3">
                  <c:v>171.07980000000001</c:v>
                </c:pt>
                <c:pt idx="4">
                  <c:v>188.32040000000001</c:v>
                </c:pt>
                <c:pt idx="5">
                  <c:v>210.86580000000001</c:v>
                </c:pt>
                <c:pt idx="6">
                  <c:v>229.43260000000001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4.25" x14ac:dyDescent="0.45"/>
  <cols>
    <col min="1" max="1" width="6.464843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7" x14ac:dyDescent="0.45">
      <c r="G1" s="16" t="s">
        <v>98</v>
      </c>
    </row>
    <row r="2" spans="1:7" x14ac:dyDescent="0.45">
      <c r="D2" s="1" t="str">
        <f>"~Inputcell: "&amp;_xlfn.TEXTJOIN(",",TRUE,B1:DZ1)</f>
        <v>~Inputcell: 1-8</v>
      </c>
    </row>
    <row r="3" spans="1:7" x14ac:dyDescent="0.45">
      <c r="D3" s="9">
        <v>3</v>
      </c>
    </row>
    <row r="5" spans="1:7" x14ac:dyDescent="0.45">
      <c r="D5" s="1" t="str">
        <f>VLOOKUP(D3,$C$9:$E$16,2,FALSE)</f>
        <v>base</v>
      </c>
      <c r="E5" s="1">
        <f>VLOOKUP(D3,$C$9:$E$16,3,FALSE)</f>
        <v>200</v>
      </c>
    </row>
    <row r="7" spans="1:7" x14ac:dyDescent="0.45">
      <c r="B7" s="13" t="s">
        <v>88</v>
      </c>
    </row>
    <row r="8" spans="1:7" ht="14.65" thickBot="1" x14ac:dyDescent="0.5">
      <c r="A8" s="4" t="s">
        <v>91</v>
      </c>
      <c r="B8" s="4" t="s">
        <v>89</v>
      </c>
      <c r="C8" s="4" t="s">
        <v>90</v>
      </c>
      <c r="D8" s="4" t="s">
        <v>16</v>
      </c>
      <c r="E8" s="4" t="s">
        <v>96</v>
      </c>
    </row>
    <row r="9" spans="1:7" x14ac:dyDescent="0.4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95</v>
      </c>
      <c r="E9" s="14">
        <v>0</v>
      </c>
    </row>
    <row r="10" spans="1:7" x14ac:dyDescent="0.45">
      <c r="A10">
        <v>5</v>
      </c>
      <c r="B10" t="str">
        <f t="shared" si="0"/>
        <v>base·$100</v>
      </c>
      <c r="C10">
        <f t="shared" ref="C10:C16" si="1">C9+1</f>
        <v>2</v>
      </c>
      <c r="D10" t="s">
        <v>95</v>
      </c>
      <c r="E10" s="14">
        <v>100</v>
      </c>
    </row>
    <row r="11" spans="1:7" x14ac:dyDescent="0.45">
      <c r="A11">
        <v>5</v>
      </c>
      <c r="B11" t="str">
        <f t="shared" si="0"/>
        <v>base·$200</v>
      </c>
      <c r="C11">
        <f t="shared" si="1"/>
        <v>3</v>
      </c>
      <c r="D11" t="s">
        <v>95</v>
      </c>
      <c r="E11" s="14">
        <v>200</v>
      </c>
    </row>
    <row r="12" spans="1:7" ht="14.65" customHeight="1" x14ac:dyDescent="0.45">
      <c r="A12">
        <v>5</v>
      </c>
      <c r="B12" t="str">
        <f t="shared" si="0"/>
        <v>base·$300</v>
      </c>
      <c r="C12">
        <f t="shared" si="1"/>
        <v>4</v>
      </c>
      <c r="D12" t="s">
        <v>95</v>
      </c>
      <c r="E12" s="14">
        <v>300</v>
      </c>
    </row>
    <row r="13" spans="1:7" ht="14.65" customHeight="1" x14ac:dyDescent="0.45">
      <c r="A13">
        <v>5</v>
      </c>
      <c r="B13" t="str">
        <f t="shared" si="0"/>
        <v>high·$000</v>
      </c>
      <c r="C13">
        <f t="shared" si="1"/>
        <v>5</v>
      </c>
      <c r="D13" t="s">
        <v>81</v>
      </c>
      <c r="E13" s="14">
        <f>E9</f>
        <v>0</v>
      </c>
    </row>
    <row r="14" spans="1:7" x14ac:dyDescent="0.45">
      <c r="A14">
        <v>5</v>
      </c>
      <c r="B14" t="str">
        <f t="shared" si="0"/>
        <v>high·$100</v>
      </c>
      <c r="C14">
        <f t="shared" si="1"/>
        <v>6</v>
      </c>
      <c r="D14" t="s">
        <v>81</v>
      </c>
      <c r="E14" s="14">
        <f>E10</f>
        <v>100</v>
      </c>
    </row>
    <row r="15" spans="1:7" x14ac:dyDescent="0.45">
      <c r="A15">
        <v>5</v>
      </c>
      <c r="B15" t="str">
        <f t="shared" si="0"/>
        <v>high·$200</v>
      </c>
      <c r="C15">
        <f t="shared" si="1"/>
        <v>7</v>
      </c>
      <c r="D15" t="s">
        <v>81</v>
      </c>
      <c r="E15" s="14">
        <f>E11</f>
        <v>200</v>
      </c>
    </row>
    <row r="16" spans="1:7" ht="17.649999999999999" customHeight="1" x14ac:dyDescent="0.45">
      <c r="A16">
        <v>5</v>
      </c>
      <c r="B16" t="str">
        <f t="shared" si="0"/>
        <v>high·$300</v>
      </c>
      <c r="C16">
        <f t="shared" si="1"/>
        <v>8</v>
      </c>
      <c r="D16" t="s">
        <v>81</v>
      </c>
      <c r="E16" s="14">
        <f>E12</f>
        <v>300</v>
      </c>
    </row>
    <row r="17" spans="1:1" ht="15" customHeight="1" x14ac:dyDescent="0.45">
      <c r="A17">
        <v>5</v>
      </c>
    </row>
    <row r="24" spans="1:1" ht="14.65" customHeight="1" x14ac:dyDescent="0.45"/>
    <row r="25" spans="1:1" ht="14.65" customHeight="1" x14ac:dyDescent="0.45"/>
    <row r="26" spans="1:1" ht="17.649999999999999" customHeight="1" x14ac:dyDescent="0.45"/>
    <row r="27" spans="1:1" ht="15" customHeight="1" x14ac:dyDescent="0.45"/>
    <row r="28" spans="1:1" ht="14.65" customHeight="1" x14ac:dyDescent="0.45"/>
    <row r="29" spans="1:1" ht="15" customHeight="1" x14ac:dyDescent="0.45"/>
    <row r="30" spans="1:1" ht="14.65" customHeight="1" x14ac:dyDescent="0.4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7"/>
  <sheetViews>
    <sheetView tabSelected="1" workbookViewId="0">
      <selection activeCell="O32" sqref="O32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104</v>
      </c>
      <c r="B1" s="16"/>
    </row>
    <row r="2" spans="1:34" x14ac:dyDescent="0.45">
      <c r="A2" s="15" t="s">
        <v>93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95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92</v>
      </c>
    </row>
    <row r="9" spans="1:34" x14ac:dyDescent="0.45">
      <c r="N9" t="s">
        <v>4</v>
      </c>
      <c r="AF9" t="s">
        <v>0</v>
      </c>
      <c r="AG9" t="s">
        <v>83</v>
      </c>
      <c r="AH9" s="12">
        <v>5</v>
      </c>
    </row>
    <row r="10" spans="1:34" x14ac:dyDescent="0.45">
      <c r="N10" s="1">
        <v>2022</v>
      </c>
      <c r="AF10" t="s">
        <v>2</v>
      </c>
      <c r="AG10" t="s">
        <v>84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132.62</v>
      </c>
      <c r="O11" s="2" t="s">
        <v>55</v>
      </c>
      <c r="AF11" t="s">
        <v>5</v>
      </c>
      <c r="AG11" t="s">
        <v>85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1.2829999999999999</v>
      </c>
      <c r="AF12" t="s">
        <v>7</v>
      </c>
      <c r="AG12" t="s">
        <v>86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5.3310000000000004</v>
      </c>
      <c r="AF13" t="s">
        <v>9</v>
      </c>
      <c r="AG13" t="s">
        <v>87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1.05</v>
      </c>
      <c r="F15" s="11">
        <f>SUMIFS(ar6_r10!$F$2:$F$99999,ar6_r10!$A$2:$A$99999,$C$15,ar6_r10!$C$2:$C$99999,F$18,ar6_r10!$M$2:$M$99999,$B15,ar6_r10!$B$2:$B$99999,$A$2)</f>
        <v>1.17</v>
      </c>
      <c r="G15" s="11">
        <f>SUMIFS(ar6_r10!$F$2:$F$99999,ar6_r10!$A$2:$A$99999,$C$15,ar6_r10!$C$2:$C$99999,G$18,ar6_r10!$M$2:$M$99999,$B15,ar6_r10!$B$2:$B$99999,$A$2)</f>
        <v>1.29</v>
      </c>
      <c r="H15" s="11">
        <f>SUMIFS(ar6_r10!$F$2:$F$99999,ar6_r10!$A$2:$A$99999,$C$15,ar6_r10!$C$2:$C$99999,H$18,ar6_r10!$M$2:$M$99999,$B15,ar6_r10!$B$2:$B$99999,$A$2)</f>
        <v>1.42</v>
      </c>
      <c r="I15" s="11">
        <f>SUMIFS(ar6_r10!$F$2:$F$99999,ar6_r10!$A$2:$A$99999,$C$15,ar6_r10!$C$2:$C$99999,I$18,ar6_r10!$M$2:$M$99999,$B15,ar6_r10!$B$2:$B$99999,$A$2)</f>
        <v>1.59</v>
      </c>
      <c r="J15" s="11">
        <f>SUMIFS(ar6_r10!$F$2:$F$99999,ar6_r10!$A$2:$A$99999,$C$15,ar6_r10!$C$2:$C$99999,J$18,ar6_r10!$M$2:$M$99999,$B15,ar6_r10!$B$2:$B$99999,$A$2)</f>
        <v>1.73</v>
      </c>
      <c r="O15" s="8">
        <f>N11</f>
        <v>132.62</v>
      </c>
      <c r="P15" s="8">
        <f t="shared" ref="P15:U15" si="0">$N$11*E15</f>
        <v>139.251</v>
      </c>
      <c r="Q15" s="8">
        <f t="shared" si="0"/>
        <v>155.16540000000001</v>
      </c>
      <c r="R15" s="8">
        <f t="shared" si="0"/>
        <v>171.07980000000001</v>
      </c>
      <c r="S15" s="8">
        <f t="shared" si="0"/>
        <v>188.32040000000001</v>
      </c>
      <c r="T15" s="8">
        <f t="shared" si="0"/>
        <v>210.86580000000001</v>
      </c>
      <c r="U15" s="8">
        <f t="shared" si="0"/>
        <v>229.43260000000001</v>
      </c>
    </row>
    <row r="16" spans="1:34" ht="14.65" thickTop="1" x14ac:dyDescent="0.45">
      <c r="B16" t="s">
        <v>94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0.98</v>
      </c>
      <c r="F16" s="11">
        <f>SUMIFS(ar6_r10!$F$2:$F$99999,ar6_r10!$A$2:$A$99999,$C$15,ar6_r10!$C$2:$C$99999,F$18,ar6_r10!$M$2:$M$99999,$B16,ar6_r10!$B$2:$B$99999,$A$2)</f>
        <v>0.96</v>
      </c>
      <c r="G16" s="11">
        <f>SUMIFS(ar6_r10!$F$2:$F$99999,ar6_r10!$A$2:$A$99999,$C$15,ar6_r10!$C$2:$C$99999,G$18,ar6_r10!$M$2:$M$99999,$B16,ar6_r10!$B$2:$B$99999,$A$2)</f>
        <v>0.92</v>
      </c>
      <c r="H16" s="11">
        <f>SUMIFS(ar6_r10!$F$2:$F$99999,ar6_r10!$A$2:$A$99999,$C$15,ar6_r10!$C$2:$C$99999,H$18,ar6_r10!$M$2:$M$99999,$B16,ar6_r10!$B$2:$B$99999,$A$2)</f>
        <v>0.84</v>
      </c>
      <c r="I16" s="11">
        <f>SUMIFS(ar6_r10!$F$2:$F$99999,ar6_r10!$A$2:$A$99999,$C$15,ar6_r10!$C$2:$C$99999,I$18,ar6_r10!$M$2:$M$99999,$B16,ar6_r10!$B$2:$B$99999,$A$2)</f>
        <v>0.83</v>
      </c>
      <c r="J16" s="11">
        <f>SUMIFS(ar6_r10!$F$2:$F$99999,ar6_r10!$A$2:$A$99999,$C$15,ar6_r10!$C$2:$C$99999,J$18,ar6_r10!$M$2:$M$99999,$B16,ar6_r10!$B$2:$B$99999,$A$2)</f>
        <v>0.8</v>
      </c>
    </row>
    <row r="17" spans="2:24" ht="17.649999999999999" customHeight="1" thickBot="1" x14ac:dyDescent="0.55000000000000004">
      <c r="N17" s="5" t="str">
        <f>"~TFM_INS-TS: region="&amp;$A$1</f>
        <v>~TFM_INS-TS: region=NOR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0.37</v>
      </c>
      <c r="E20" s="11">
        <f>SUMIFS(ar6_r10!$F$2:$F$99999,ar6_r10!$A$2:$A$99999,$C$15,ar6_r10!$C$2:$C$99999,E$18,ar6_r10!$M$2:$M$99999,$B20,ar6_r10!$B$2:$B$99999,$A$2)</f>
        <v>0.35</v>
      </c>
      <c r="F20" s="11">
        <f>SUMIFS(ar6_r10!$F$2:$F$99999,ar6_r10!$A$2:$A$99999,$C$15,ar6_r10!$C$2:$C$99999,F$18,ar6_r10!$M$2:$M$99999,$B20,ar6_r10!$B$2:$B$99999,$A$2)</f>
        <v>0.34</v>
      </c>
      <c r="G20" s="11">
        <f>SUMIFS(ar6_r10!$F$2:$F$99999,ar6_r10!$A$2:$A$99999,$C$15,ar6_r10!$C$2:$C$99999,G$18,ar6_r10!$M$2:$M$99999,$B20,ar6_r10!$B$2:$B$99999,$A$2)</f>
        <v>0.33</v>
      </c>
      <c r="H20" s="11">
        <f>SUMIFS(ar6_r10!$F$2:$F$99999,ar6_r10!$A$2:$A$99999,$C$15,ar6_r10!$C$2:$C$99999,H$18,ar6_r10!$M$2:$M$99999,$B20,ar6_r10!$B$2:$B$99999,$A$2)</f>
        <v>0.3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0.3</v>
      </c>
      <c r="N20" s="10" t="s">
        <v>18</v>
      </c>
      <c r="O20" s="6">
        <f t="shared" si="2"/>
        <v>49.069400000000002</v>
      </c>
      <c r="P20" s="6">
        <f t="shared" si="2"/>
        <v>48.737850000000002</v>
      </c>
      <c r="Q20" s="6">
        <f t="shared" si="2"/>
        <v>52.756236000000008</v>
      </c>
      <c r="R20" s="6">
        <f t="shared" si="2"/>
        <v>56.456334000000005</v>
      </c>
      <c r="S20" s="6">
        <f t="shared" si="2"/>
        <v>56.496119999999998</v>
      </c>
      <c r="T20" s="6">
        <f t="shared" si="2"/>
        <v>61.151081999999995</v>
      </c>
      <c r="U20" s="6">
        <f t="shared" si="2"/>
        <v>68.82978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0.59</v>
      </c>
      <c r="E21" s="11">
        <f>SUMIFS(ar6_r10!$F$2:$F$99999,ar6_r10!$A$2:$A$99999,$C$15,ar6_r10!$C$2:$C$99999,E$18,ar6_r10!$M$2:$M$99999,$B21,ar6_r10!$B$2:$B$99999,$A$2)</f>
        <v>0.59</v>
      </c>
      <c r="F21" s="11">
        <f>SUMIFS(ar6_r10!$F$2:$F$99999,ar6_r10!$A$2:$A$99999,$C$15,ar6_r10!$C$2:$C$99999,F$18,ar6_r10!$M$2:$M$99999,$B21,ar6_r10!$B$2:$B$99999,$A$2)</f>
        <v>0.59</v>
      </c>
      <c r="G21" s="11">
        <f>SUMIFS(ar6_r10!$F$2:$F$99999,ar6_r10!$A$2:$A$99999,$C$15,ar6_r10!$C$2:$C$99999,G$18,ar6_r10!$M$2:$M$99999,$B21,ar6_r10!$B$2:$B$99999,$A$2)</f>
        <v>0.57999999999999996</v>
      </c>
      <c r="H21" s="11">
        <f>SUMIFS(ar6_r10!$F$2:$F$99999,ar6_r10!$A$2:$A$99999,$C$15,ar6_r10!$C$2:$C$99999,H$18,ar6_r10!$M$2:$M$99999,$B21,ar6_r10!$B$2:$B$99999,$A$2)</f>
        <v>0.57999999999999996</v>
      </c>
      <c r="I21" s="11">
        <f>SUMIFS(ar6_r10!$F$2:$F$99999,ar6_r10!$A$2:$A$99999,$C$15,ar6_r10!$C$2:$C$99999,I$18,ar6_r10!$M$2:$M$99999,$B21,ar6_r10!$B$2:$B$99999,$A$2)</f>
        <v>0.56000000000000005</v>
      </c>
      <c r="J21" s="11">
        <f>SUMIFS(ar6_r10!$F$2:$F$99999,ar6_r10!$A$2:$A$99999,$C$15,ar6_r10!$C$2:$C$99999,J$18,ar6_r10!$M$2:$M$99999,$B21,ar6_r10!$B$2:$B$99999,$A$2)</f>
        <v>0.54</v>
      </c>
      <c r="N21" s="10" t="s">
        <v>21</v>
      </c>
      <c r="O21" s="6">
        <f t="shared" si="2"/>
        <v>78.245800000000003</v>
      </c>
      <c r="P21" s="6">
        <f t="shared" si="2"/>
        <v>82.158090000000001</v>
      </c>
      <c r="Q21" s="6">
        <f t="shared" si="2"/>
        <v>91.547585999999995</v>
      </c>
      <c r="R21" s="6">
        <f t="shared" si="2"/>
        <v>99.226283999999993</v>
      </c>
      <c r="S21" s="6">
        <f t="shared" si="2"/>
        <v>109.225832</v>
      </c>
      <c r="T21" s="6">
        <f t="shared" si="2"/>
        <v>118.08484800000002</v>
      </c>
      <c r="U21" s="6">
        <f t="shared" si="2"/>
        <v>123.89360400000001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0.03</v>
      </c>
      <c r="E22" s="11">
        <f>SUMIFS(ar6_r10!$F$2:$F$99999,ar6_r10!$A$2:$A$99999,$C$15,ar6_r10!$C$2:$C$99999,E$18,ar6_r10!$M$2:$M$99999,$B22,ar6_r10!$B$2:$B$99999,$A$2)</f>
        <v>0.05</v>
      </c>
      <c r="F22" s="11">
        <f>SUMIFS(ar6_r10!$F$2:$F$99999,ar6_r10!$A$2:$A$99999,$C$15,ar6_r10!$C$2:$C$99999,F$18,ar6_r10!$M$2:$M$99999,$B22,ar6_r10!$B$2:$B$99999,$A$2)</f>
        <v>0.04</v>
      </c>
      <c r="G22" s="11">
        <f>SUMIFS(ar6_r10!$F$2:$F$99999,ar6_r10!$A$2:$A$99999,$C$15,ar6_r10!$C$2:$C$99999,G$18,ar6_r10!$M$2:$M$99999,$B22,ar6_r10!$B$2:$B$99999,$A$2)</f>
        <v>0.06</v>
      </c>
      <c r="H22" s="11">
        <f>SUMIFS(ar6_r10!$F$2:$F$99999,ar6_r10!$A$2:$A$99999,$C$15,ar6_r10!$C$2:$C$99999,H$18,ar6_r10!$M$2:$M$99999,$B22,ar6_r10!$B$2:$B$99999,$A$2)</f>
        <v>7.0000000000000007E-2</v>
      </c>
      <c r="I22" s="11">
        <f>SUMIFS(ar6_r10!$F$2:$F$99999,ar6_r10!$A$2:$A$99999,$C$15,ar6_r10!$C$2:$C$99999,I$18,ar6_r10!$M$2:$M$99999,$B22,ar6_r10!$B$2:$B$99999,$A$2)</f>
        <v>0.08</v>
      </c>
      <c r="J22" s="11">
        <f>SUMIFS(ar6_r10!$F$2:$F$99999,ar6_r10!$A$2:$A$99999,$C$15,ar6_r10!$C$2:$C$99999,J$18,ar6_r10!$M$2:$M$99999,$B22,ar6_r10!$B$2:$B$99999,$A$2)</f>
        <v>0.08</v>
      </c>
      <c r="N22" s="10" t="s">
        <v>23</v>
      </c>
      <c r="O22" s="6">
        <f>D22*O$15</f>
        <v>3.9786000000000001</v>
      </c>
      <c r="P22" s="6">
        <f t="shared" ref="P22:U22" si="3">O22</f>
        <v>3.9786000000000001</v>
      </c>
      <c r="Q22" s="6">
        <f t="shared" si="3"/>
        <v>3.9786000000000001</v>
      </c>
      <c r="R22" s="6">
        <f t="shared" si="3"/>
        <v>3.9786000000000001</v>
      </c>
      <c r="S22" s="6">
        <f t="shared" si="3"/>
        <v>3.9786000000000001</v>
      </c>
      <c r="T22" s="6">
        <f t="shared" si="3"/>
        <v>3.9786000000000001</v>
      </c>
      <c r="U22" s="6">
        <f t="shared" si="3"/>
        <v>3.9786000000000001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1.3262</v>
      </c>
      <c r="P23" s="6">
        <f t="shared" si="4"/>
        <v>4.3764600000000087</v>
      </c>
      <c r="Q23" s="6">
        <f t="shared" si="4"/>
        <v>6.8829780000000085</v>
      </c>
      <c r="R23" s="6">
        <f t="shared" si="4"/>
        <v>11.418582000000015</v>
      </c>
      <c r="S23" s="6">
        <f t="shared" si="4"/>
        <v>18.619848000000019</v>
      </c>
      <c r="T23" s="6">
        <f t="shared" si="4"/>
        <v>27.651269999999982</v>
      </c>
      <c r="U23" s="6">
        <f t="shared" si="4"/>
        <v>32.730615999999998</v>
      </c>
      <c r="V23" t="s">
        <v>16</v>
      </c>
    </row>
    <row r="24" spans="2:24" x14ac:dyDescent="0.45">
      <c r="N24" s="18" t="s">
        <v>102</v>
      </c>
      <c r="O24" s="19">
        <f>N12</f>
        <v>1.2829999999999999</v>
      </c>
      <c r="P24" s="20">
        <f>$N$12*E16</f>
        <v>1.2573399999999999</v>
      </c>
      <c r="Q24" s="20">
        <f>$N$12*F16</f>
        <v>1.2316799999999999</v>
      </c>
      <c r="R24" s="20">
        <f t="shared" ref="R24:U24" si="5">$N$12*G16</f>
        <v>1.1803600000000001</v>
      </c>
      <c r="S24" s="20">
        <f t="shared" si="5"/>
        <v>1.0777199999999998</v>
      </c>
      <c r="T24" s="20">
        <f t="shared" si="5"/>
        <v>1.0648899999999999</v>
      </c>
      <c r="U24" s="20">
        <f t="shared" si="5"/>
        <v>1.0264</v>
      </c>
      <c r="V24" s="18" t="s">
        <v>16</v>
      </c>
    </row>
    <row r="25" spans="2:24" x14ac:dyDescent="0.45">
      <c r="N25" s="18" t="s">
        <v>103</v>
      </c>
      <c r="O25" s="19">
        <f>N13</f>
        <v>5.3310000000000004</v>
      </c>
      <c r="P25" s="20">
        <f>$N$13*E16</f>
        <v>5.22438</v>
      </c>
      <c r="Q25" s="20">
        <f t="shared" ref="Q25:U25" si="6">$N$13*F16</f>
        <v>5.1177600000000005</v>
      </c>
      <c r="R25" s="20">
        <f t="shared" si="6"/>
        <v>4.9045200000000007</v>
      </c>
      <c r="S25" s="20">
        <f t="shared" si="6"/>
        <v>4.47804</v>
      </c>
      <c r="T25" s="20">
        <f t="shared" si="6"/>
        <v>4.4247300000000003</v>
      </c>
      <c r="U25" s="20">
        <f t="shared" si="6"/>
        <v>4.2648000000000001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71.48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7.1480000000000002E-2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55000000000000004">
      <c r="N28" s="5" t="str">
        <f>"~TFM_INS-TS: region="&amp;$A$1</f>
        <v>~TFM_INS-TS: region=NOR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13.27</v>
      </c>
      <c r="N30" t="s">
        <v>30</v>
      </c>
      <c r="O30" s="3">
        <f>L30</f>
        <v>13.27</v>
      </c>
      <c r="Q30" s="6"/>
      <c r="R30" s="6"/>
      <c r="S30" s="6"/>
      <c r="T30" s="6"/>
      <c r="U30" s="6"/>
      <c r="V30" t="s">
        <v>31</v>
      </c>
      <c r="W30" t="s">
        <v>32</v>
      </c>
    </row>
    <row r="31" spans="2:24" ht="15" customHeight="1" thickTop="1" thickBot="1" x14ac:dyDescent="0.5">
      <c r="L31" s="3">
        <f>SUMIFS(iea_data!H3:H9999,iea_data!$B$3:$B$9999,$N$10,iea_data!$A$3:A$9999,$A$1)</f>
        <v>25.79</v>
      </c>
      <c r="N31" t="s">
        <v>33</v>
      </c>
      <c r="O31" s="3">
        <f>ABS(L31)</f>
        <v>25.79</v>
      </c>
      <c r="Q31" s="6"/>
      <c r="R31" s="6"/>
      <c r="S31" s="6"/>
      <c r="T31" s="6"/>
      <c r="U31" s="6"/>
      <c r="V31" t="s">
        <v>31</v>
      </c>
      <c r="W31" t="s">
        <v>32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72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1.07</v>
      </c>
      <c r="F39" s="11">
        <f>SUMIFS(ar6_r10!$F$2:$F$99999,ar6_r10!$A$2:$A$99999,$B$38,ar6_r10!$C$2:$C$99999,F$18,ar6_r10!$M$2:$M$99999,$B39,ar6_r10!$B$2:$B$99999,$A$2)</f>
        <v>1.24</v>
      </c>
      <c r="G39" s="11">
        <f>SUMIFS(ar6_r10!$F$2:$F$99999,ar6_r10!$A$2:$A$99999,$B$38,ar6_r10!$C$2:$C$99999,G$18,ar6_r10!$M$2:$M$99999,$B39,ar6_r10!$B$2:$B$99999,$A$2)</f>
        <v>1.1499999999999999</v>
      </c>
      <c r="H39" s="11">
        <f>SUMIFS(ar6_r10!$F$2:$F$99999,ar6_r10!$A$2:$A$99999,$B$38,ar6_r10!$C$2:$C$99999,H$18,ar6_r10!$M$2:$M$99999,$B39,ar6_r10!$B$2:$B$99999,$A$2)</f>
        <v>1.25</v>
      </c>
      <c r="I39" s="11">
        <f>SUMIFS(ar6_r10!$F$2:$F$99999,ar6_r10!$A$2:$A$99999,$B$38,ar6_r10!$C$2:$C$99999,I$18,ar6_r10!$M$2:$M$99999,$B39,ar6_r10!$B$2:$B$99999,$A$2)</f>
        <v>1.17</v>
      </c>
      <c r="J39" s="11">
        <f>SUMIFS(ar6_r10!$F$2:$F$99999,ar6_r10!$A$2:$A$99999,$B$38,ar6_r10!$C$2:$C$99999,J$18,ar6_r10!$M$2:$M$99999,$B39,ar6_r10!$B$2:$B$99999,$A$2)</f>
        <v>1.34</v>
      </c>
    </row>
    <row r="40" spans="2:14" x14ac:dyDescent="0.45">
      <c r="B40" t="s">
        <v>73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1.02</v>
      </c>
      <c r="F40" s="11">
        <f>SUMIFS(ar6_r10!$F$2:$F$99999,ar6_r10!$A$2:$A$99999,$B$38,ar6_r10!$C$2:$C$99999,F$18,ar6_r10!$M$2:$M$99999,$B40,ar6_r10!$B$2:$B$99999,$A$2)</f>
        <v>1.06</v>
      </c>
      <c r="G40" s="11">
        <f>SUMIFS(ar6_r10!$F$2:$F$99999,ar6_r10!$A$2:$A$99999,$B$38,ar6_r10!$C$2:$C$99999,G$18,ar6_r10!$M$2:$M$99999,$B40,ar6_r10!$B$2:$B$99999,$A$2)</f>
        <v>1.07</v>
      </c>
      <c r="H40" s="11">
        <f>SUMIFS(ar6_r10!$F$2:$F$99999,ar6_r10!$A$2:$A$99999,$B$38,ar6_r10!$C$2:$C$99999,H$18,ar6_r10!$M$2:$M$99999,$B40,ar6_r10!$B$2:$B$99999,$A$2)</f>
        <v>1.08</v>
      </c>
      <c r="I40" s="11">
        <f>SUMIFS(ar6_r10!$F$2:$F$99999,ar6_r10!$A$2:$A$99999,$B$38,ar6_r10!$C$2:$C$99999,I$18,ar6_r10!$M$2:$M$99999,$B40,ar6_r10!$B$2:$B$99999,$A$2)</f>
        <v>1.1000000000000001</v>
      </c>
      <c r="J40" s="11">
        <f>SUMIFS(ar6_r10!$F$2:$F$99999,ar6_r10!$A$2:$A$99999,$B$38,ar6_r10!$C$2:$C$99999,J$18,ar6_r10!$M$2:$M$99999,$B40,ar6_r10!$B$2:$B$99999,$A$2)</f>
        <v>1.1200000000000001</v>
      </c>
    </row>
    <row r="41" spans="2:14" x14ac:dyDescent="0.45">
      <c r="B41" t="s">
        <v>74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1.01</v>
      </c>
      <c r="F41" s="11">
        <f>SUMIFS(ar6_r10!$F$2:$F$99999,ar6_r10!$A$2:$A$99999,$B$38,ar6_r10!$C$2:$C$99999,F$18,ar6_r10!$M$2:$M$99999,$B41,ar6_r10!$B$2:$B$99999,$A$2)</f>
        <v>1.1100000000000001</v>
      </c>
      <c r="G41" s="11">
        <f>SUMIFS(ar6_r10!$F$2:$F$99999,ar6_r10!$A$2:$A$99999,$B$38,ar6_r10!$C$2:$C$99999,G$18,ar6_r10!$M$2:$M$99999,$B41,ar6_r10!$B$2:$B$99999,$A$2)</f>
        <v>1.01</v>
      </c>
      <c r="H41" s="11">
        <f>SUMIFS(ar6_r10!$F$2:$F$99999,ar6_r10!$A$2:$A$99999,$B$38,ar6_r10!$C$2:$C$99999,H$18,ar6_r10!$M$2:$M$99999,$B41,ar6_r10!$B$2:$B$99999,$A$2)</f>
        <v>1.01</v>
      </c>
      <c r="I41" s="11">
        <f>SUMIFS(ar6_r10!$F$2:$F$99999,ar6_r10!$A$2:$A$99999,$B$38,ar6_r10!$C$2:$C$99999,I$18,ar6_r10!$M$2:$M$99999,$B41,ar6_r10!$B$2:$B$99999,$A$2)</f>
        <v>1.04</v>
      </c>
      <c r="J41" s="11">
        <f>SUMIFS(ar6_r10!$F$2:$F$99999,ar6_r10!$A$2:$A$99999,$B$38,ar6_r10!$C$2:$C$99999,J$18,ar6_r10!$M$2:$M$99999,$B41,ar6_r10!$B$2:$B$99999,$A$2)</f>
        <v>1.1399999999999999</v>
      </c>
    </row>
    <row r="42" spans="2:14" x14ac:dyDescent="0.45">
      <c r="B42" t="s">
        <v>75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0.96</v>
      </c>
      <c r="F42" s="11">
        <f>SUMIFS(ar6_r10!$F$2:$F$99999,ar6_r10!$A$2:$A$99999,$B$38,ar6_r10!$C$2:$C$99999,F$18,ar6_r10!$M$2:$M$99999,$B42,ar6_r10!$B$2:$B$99999,$A$2)</f>
        <v>1.04</v>
      </c>
      <c r="G42" s="11">
        <f>SUMIFS(ar6_r10!$F$2:$F$99999,ar6_r10!$A$2:$A$99999,$B$38,ar6_r10!$C$2:$C$99999,G$18,ar6_r10!$M$2:$M$99999,$B42,ar6_r10!$B$2:$B$99999,$A$2)</f>
        <v>1.04</v>
      </c>
      <c r="H42" s="11">
        <f>SUMIFS(ar6_r10!$F$2:$F$99999,ar6_r10!$A$2:$A$99999,$B$38,ar6_r10!$C$2:$C$99999,H$18,ar6_r10!$M$2:$M$99999,$B42,ar6_r10!$B$2:$B$99999,$A$2)</f>
        <v>0.98</v>
      </c>
      <c r="I42" s="11">
        <f>SUMIFS(ar6_r10!$F$2:$F$99999,ar6_r10!$A$2:$A$99999,$B$38,ar6_r10!$C$2:$C$99999,I$18,ar6_r10!$M$2:$M$99999,$B42,ar6_r10!$B$2:$B$99999,$A$2)</f>
        <v>0.99</v>
      </c>
      <c r="J42" s="11">
        <f>SUMIFS(ar6_r10!$F$2:$F$99999,ar6_r10!$A$2:$A$99999,$B$38,ar6_r10!$C$2:$C$99999,J$18,ar6_r10!$M$2:$M$99999,$B42,ar6_r10!$B$2:$B$99999,$A$2)</f>
        <v>1</v>
      </c>
    </row>
    <row r="45" spans="2:14" ht="17.25" thickBot="1" x14ac:dyDescent="0.55000000000000004">
      <c r="B45" s="5" t="str">
        <f>"~TFM_INS-TS: region="&amp;$A$1&amp;"; attribute=flo_cost;pset_pn=-IMP*Z"</f>
        <v>~TFM_INS-TS: region=NOR; attribute=flo_cost;pset_pn=-IMP*Z</v>
      </c>
    </row>
    <row r="46" spans="2:14" ht="14.65" thickTop="1" x14ac:dyDescent="0.45">
      <c r="B46" t="s">
        <v>12</v>
      </c>
      <c r="C46" t="s">
        <v>82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80</v>
      </c>
      <c r="N46" t="s">
        <v>81</v>
      </c>
    </row>
    <row r="47" spans="2:14" x14ac:dyDescent="0.45">
      <c r="B47" t="s">
        <v>76</v>
      </c>
      <c r="C47" t="str">
        <f>B47</f>
        <v>Gas</v>
      </c>
      <c r="D47" t="e">
        <f t="shared" ref="D47:J50" si="9">AVERAGE($M47:$N47)*D39</f>
        <v>#N/A</v>
      </c>
      <c r="E47" t="e">
        <f t="shared" si="9"/>
        <v>#N/A</v>
      </c>
      <c r="F47" t="e">
        <f t="shared" si="9"/>
        <v>#N/A</v>
      </c>
      <c r="G47" t="e">
        <f t="shared" si="9"/>
        <v>#N/A</v>
      </c>
      <c r="H47" t="e">
        <f t="shared" si="9"/>
        <v>#N/A</v>
      </c>
      <c r="I47" t="e">
        <f t="shared" si="9"/>
        <v>#N/A</v>
      </c>
      <c r="J47" t="e">
        <f t="shared" si="9"/>
        <v>#N/A</v>
      </c>
      <c r="M47" t="e">
        <f>HLOOKUP($B47&amp;"_"&amp;M$46,fuel_prices!$B$10:$I$100,MATCH($A$1,fuel_prices!$A$10:$A$100,0),FALSE)</f>
        <v>#N/A</v>
      </c>
      <c r="N47" t="e">
        <f>HLOOKUP($B47&amp;"_"&amp;N$46,fuel_prices!$B$10:$I$100,MATCH($A$1,fuel_prices!$A$10:$A$100,0),FALSE)</f>
        <v>#N/A</v>
      </c>
    </row>
    <row r="48" spans="2:14" x14ac:dyDescent="0.45">
      <c r="B48" t="s">
        <v>77</v>
      </c>
      <c r="C48" t="str">
        <f t="shared" ref="C48:C50" si="10">B48</f>
        <v>Coal</v>
      </c>
      <c r="D48" t="e">
        <f t="shared" si="9"/>
        <v>#N/A</v>
      </c>
      <c r="E48" t="e">
        <f t="shared" si="9"/>
        <v>#N/A</v>
      </c>
      <c r="F48" t="e">
        <f t="shared" si="9"/>
        <v>#N/A</v>
      </c>
      <c r="G48" t="e">
        <f t="shared" si="9"/>
        <v>#N/A</v>
      </c>
      <c r="H48" t="e">
        <f t="shared" si="9"/>
        <v>#N/A</v>
      </c>
      <c r="I48" t="e">
        <f t="shared" si="9"/>
        <v>#N/A</v>
      </c>
      <c r="J48" t="e">
        <f t="shared" si="9"/>
        <v>#N/A</v>
      </c>
      <c r="M48" t="e">
        <f>HLOOKUP($B48&amp;"_"&amp;M$46,fuel_prices!$B$10:$I$100,MATCH($A$1,fuel_prices!$A$10:$A$100,0),FALSE)</f>
        <v>#N/A</v>
      </c>
      <c r="N48" t="e">
        <f>HLOOKUP($B48&amp;"_"&amp;N$46,fuel_prices!$B$10:$I$100,MATCH($A$1,fuel_prices!$A$10:$A$100,0),FALSE)</f>
        <v>#N/A</v>
      </c>
    </row>
    <row r="49" spans="1:14" x14ac:dyDescent="0.45">
      <c r="B49" t="s">
        <v>78</v>
      </c>
      <c r="C49" t="str">
        <f t="shared" si="10"/>
        <v>Oil</v>
      </c>
      <c r="D49" t="e">
        <f t="shared" si="9"/>
        <v>#N/A</v>
      </c>
      <c r="E49" t="e">
        <f t="shared" si="9"/>
        <v>#N/A</v>
      </c>
      <c r="F49" t="e">
        <f t="shared" si="9"/>
        <v>#N/A</v>
      </c>
      <c r="G49" t="e">
        <f t="shared" si="9"/>
        <v>#N/A</v>
      </c>
      <c r="H49" t="e">
        <f t="shared" si="9"/>
        <v>#N/A</v>
      </c>
      <c r="I49" t="e">
        <f t="shared" si="9"/>
        <v>#N/A</v>
      </c>
      <c r="J49" t="e">
        <f t="shared" si="9"/>
        <v>#N/A</v>
      </c>
      <c r="M49" t="e">
        <f>HLOOKUP($B49&amp;"_"&amp;M$46,fuel_prices!$B$10:$I$100,MATCH($A$1,fuel_prices!$A$10:$A$100,0),FALSE)</f>
        <v>#N/A</v>
      </c>
      <c r="N49" t="e">
        <f>HLOOKUP($B49&amp;"_"&amp;N$46,fuel_prices!$B$10:$I$100,MATCH($A$1,fuel_prices!$A$10:$A$100,0),FALSE)</f>
        <v>#N/A</v>
      </c>
    </row>
    <row r="50" spans="1:14" x14ac:dyDescent="0.45">
      <c r="B50" t="s">
        <v>79</v>
      </c>
      <c r="C50" t="str">
        <f t="shared" si="10"/>
        <v>Bioenergy</v>
      </c>
      <c r="D50" t="e">
        <f t="shared" si="9"/>
        <v>#N/A</v>
      </c>
      <c r="J50" t="e">
        <f>VLOOKUP($C$15,$AF$9:$AH$16,3,FALSE)*D50</f>
        <v>#N/A</v>
      </c>
      <c r="M50" t="e">
        <f>HLOOKUP($B50&amp;"_"&amp;M$46,fuel_prices!$B$10:$I$100,MATCH($A$1,fuel_prices!$A$10:$A$100,0),FALSE)</f>
        <v>#N/A</v>
      </c>
      <c r="N50" t="e">
        <f>HLOOKUP($B50&amp;"_"&amp;N$46,fuel_prices!$B$10:$I$100,MATCH($A$1,fuel_prices!$A$10:$A$100,0),FALSE)</f>
        <v>#N/A</v>
      </c>
    </row>
    <row r="54" spans="1:14" x14ac:dyDescent="0.45">
      <c r="A54" t="s">
        <v>105</v>
      </c>
    </row>
    <row r="55" spans="1:14" x14ac:dyDescent="0.45">
      <c r="A55" t="s">
        <v>28</v>
      </c>
      <c r="B55" t="s">
        <v>29</v>
      </c>
      <c r="C55">
        <v>2024</v>
      </c>
      <c r="D55">
        <v>2030</v>
      </c>
      <c r="E55">
        <v>2040</v>
      </c>
      <c r="F55" t="s">
        <v>13</v>
      </c>
    </row>
    <row r="56" spans="1:14" x14ac:dyDescent="0.45">
      <c r="A56" t="s">
        <v>33</v>
      </c>
      <c r="B56" t="s">
        <v>106</v>
      </c>
      <c r="C56">
        <v>5.0449999999999999</v>
      </c>
      <c r="D56">
        <v>5.0949999999999998</v>
      </c>
      <c r="E56">
        <v>5.0949999999999998</v>
      </c>
      <c r="F56" t="s">
        <v>107</v>
      </c>
    </row>
    <row r="57" spans="1:14" x14ac:dyDescent="0.45">
      <c r="A57" t="s">
        <v>30</v>
      </c>
      <c r="B57" t="s">
        <v>106</v>
      </c>
      <c r="C57">
        <v>3.7519999999999998</v>
      </c>
      <c r="D57">
        <v>3.7320000000000002</v>
      </c>
      <c r="E57">
        <v>3.7320000000000002</v>
      </c>
      <c r="F57" t="s">
        <v>107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0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58</v>
      </c>
    </row>
    <row r="10" spans="1:10" x14ac:dyDescent="0.45">
      <c r="A10" t="s">
        <v>34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selection activeCell="L10" sqref="L10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3" ht="22.05" customHeight="1" x14ac:dyDescent="0.45"/>
    <row r="9" spans="1:13" x14ac:dyDescent="0.45">
      <c r="A9" t="s">
        <v>56</v>
      </c>
    </row>
    <row r="10" spans="1:13" x14ac:dyDescent="0.4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99</v>
      </c>
      <c r="K10" t="s">
        <v>97</v>
      </c>
      <c r="L10" t="s">
        <v>100</v>
      </c>
      <c r="M10" t="s">
        <v>101</v>
      </c>
    </row>
    <row r="11" spans="1:13" x14ac:dyDescent="0.45">
      <c r="A11" t="s">
        <v>104</v>
      </c>
      <c r="B11">
        <v>2015</v>
      </c>
      <c r="C11">
        <v>47.61</v>
      </c>
      <c r="D11">
        <v>65.72</v>
      </c>
      <c r="E11">
        <v>0.63</v>
      </c>
      <c r="F11">
        <v>0.16</v>
      </c>
      <c r="G11">
        <v>7.37</v>
      </c>
      <c r="H11">
        <v>22.02</v>
      </c>
      <c r="I11">
        <v>143.06</v>
      </c>
      <c r="J11">
        <v>1.641</v>
      </c>
      <c r="K11">
        <v>5.2270000000000003</v>
      </c>
      <c r="L11">
        <v>1.087</v>
      </c>
      <c r="M11">
        <v>4.1399999999999997</v>
      </c>
    </row>
    <row r="12" spans="1:13" x14ac:dyDescent="0.45">
      <c r="A12" t="s">
        <v>104</v>
      </c>
      <c r="B12">
        <v>2016</v>
      </c>
      <c r="C12">
        <v>48.66</v>
      </c>
      <c r="D12">
        <v>67.62</v>
      </c>
      <c r="E12">
        <v>0.57999999999999996</v>
      </c>
      <c r="F12">
        <v>0.27</v>
      </c>
      <c r="G12">
        <v>5.74</v>
      </c>
      <c r="H12">
        <v>22.15</v>
      </c>
      <c r="I12">
        <v>148.12</v>
      </c>
      <c r="J12">
        <v>1.75</v>
      </c>
      <c r="K12">
        <v>5.61</v>
      </c>
      <c r="L12">
        <v>1.0189999999999999</v>
      </c>
      <c r="M12">
        <v>4.5910000000000002</v>
      </c>
    </row>
    <row r="13" spans="1:13" x14ac:dyDescent="0.45">
      <c r="A13" t="s">
        <v>104</v>
      </c>
      <c r="B13">
        <v>2017</v>
      </c>
      <c r="C13">
        <v>48.68</v>
      </c>
      <c r="D13">
        <v>67.84</v>
      </c>
      <c r="E13">
        <v>0.63</v>
      </c>
      <c r="F13">
        <v>0.42</v>
      </c>
      <c r="G13">
        <v>6.11</v>
      </c>
      <c r="H13">
        <v>21.28</v>
      </c>
      <c r="I13">
        <v>148.41</v>
      </c>
      <c r="J13">
        <v>1.968</v>
      </c>
      <c r="K13">
        <v>5.8650000000000002</v>
      </c>
      <c r="L13">
        <v>0.92500000000000004</v>
      </c>
      <c r="M13">
        <v>4.9400000000000004</v>
      </c>
    </row>
    <row r="14" spans="1:13" x14ac:dyDescent="0.45">
      <c r="A14" t="s">
        <v>104</v>
      </c>
      <c r="B14">
        <v>2018</v>
      </c>
      <c r="C14">
        <v>49.34</v>
      </c>
      <c r="D14">
        <v>69.099999999999994</v>
      </c>
      <c r="E14">
        <v>0.56999999999999995</v>
      </c>
      <c r="F14">
        <v>0.64</v>
      </c>
      <c r="G14">
        <v>8.34</v>
      </c>
      <c r="H14">
        <v>18.489999999999998</v>
      </c>
      <c r="I14">
        <v>146.03</v>
      </c>
      <c r="J14">
        <v>2.0289999999999999</v>
      </c>
      <c r="K14">
        <v>6.141</v>
      </c>
      <c r="L14">
        <v>0.93300000000000005</v>
      </c>
      <c r="M14">
        <v>5.2080000000000002</v>
      </c>
    </row>
    <row r="15" spans="1:13" x14ac:dyDescent="0.45">
      <c r="A15" t="s">
        <v>104</v>
      </c>
      <c r="B15">
        <v>2019</v>
      </c>
      <c r="C15">
        <v>48.71</v>
      </c>
      <c r="D15">
        <v>68.459999999999994</v>
      </c>
      <c r="E15">
        <v>0.56999999999999995</v>
      </c>
      <c r="F15">
        <v>0.86</v>
      </c>
      <c r="G15">
        <v>12.35</v>
      </c>
      <c r="H15">
        <v>12.31</v>
      </c>
      <c r="I15">
        <v>133.84</v>
      </c>
      <c r="J15">
        <v>2.2170000000000001</v>
      </c>
      <c r="K15">
        <v>6.1159999999999997</v>
      </c>
      <c r="L15">
        <v>0.91900000000000004</v>
      </c>
      <c r="M15">
        <v>5.1970000000000001</v>
      </c>
    </row>
    <row r="16" spans="1:13" x14ac:dyDescent="0.45">
      <c r="A16" t="s">
        <v>104</v>
      </c>
      <c r="B16">
        <v>2020</v>
      </c>
      <c r="C16">
        <v>48.73</v>
      </c>
      <c r="D16">
        <v>67.58</v>
      </c>
      <c r="E16">
        <v>0.68</v>
      </c>
      <c r="F16">
        <v>1.0900000000000001</v>
      </c>
      <c r="G16">
        <v>4.5</v>
      </c>
      <c r="H16">
        <v>24.97</v>
      </c>
      <c r="I16">
        <v>154.24</v>
      </c>
      <c r="J16">
        <v>2.0910000000000002</v>
      </c>
      <c r="K16">
        <v>5.5830000000000002</v>
      </c>
      <c r="L16">
        <v>0.90400000000000003</v>
      </c>
      <c r="M16">
        <v>4.6790000000000003</v>
      </c>
    </row>
    <row r="17" spans="1:13" x14ac:dyDescent="0.45">
      <c r="A17" t="s">
        <v>104</v>
      </c>
      <c r="B17">
        <v>2021</v>
      </c>
      <c r="C17">
        <v>49.92</v>
      </c>
      <c r="D17">
        <v>70.900000000000006</v>
      </c>
      <c r="E17">
        <v>0.7</v>
      </c>
      <c r="F17">
        <v>1.52</v>
      </c>
      <c r="G17">
        <v>8.24</v>
      </c>
      <c r="H17">
        <v>25.82</v>
      </c>
      <c r="I17">
        <v>157.13999999999999</v>
      </c>
      <c r="J17">
        <v>2.0910000000000002</v>
      </c>
      <c r="K17">
        <v>6.8739999999999997</v>
      </c>
      <c r="L17">
        <v>1.226</v>
      </c>
      <c r="M17">
        <v>5.6479999999999997</v>
      </c>
    </row>
    <row r="18" spans="1:13" x14ac:dyDescent="0.45">
      <c r="A18" t="s">
        <v>104</v>
      </c>
      <c r="B18">
        <v>2022</v>
      </c>
      <c r="C18">
        <v>49.39</v>
      </c>
      <c r="D18">
        <v>64.150000000000006</v>
      </c>
      <c r="E18">
        <v>0.75</v>
      </c>
      <c r="F18">
        <v>2</v>
      </c>
      <c r="G18">
        <v>13.27</v>
      </c>
      <c r="H18">
        <v>25.79</v>
      </c>
      <c r="I18">
        <v>145.13999999999999</v>
      </c>
      <c r="J18">
        <v>2.1419999999999999</v>
      </c>
      <c r="K18">
        <v>6.6139999999999999</v>
      </c>
      <c r="L18">
        <v>1.2829999999999999</v>
      </c>
      <c r="M18">
        <v>5.3310000000000004</v>
      </c>
    </row>
    <row r="19" spans="1:13" x14ac:dyDescent="0.45">
      <c r="A19" t="s">
        <v>104</v>
      </c>
      <c r="B19">
        <v>2023</v>
      </c>
      <c r="C19">
        <v>47.53</v>
      </c>
      <c r="D19">
        <v>66.31</v>
      </c>
      <c r="E19">
        <v>0.71</v>
      </c>
      <c r="F19">
        <v>2.4700000000000002</v>
      </c>
      <c r="G19">
        <v>13.24</v>
      </c>
      <c r="H19">
        <v>30.98</v>
      </c>
      <c r="I19">
        <v>153.16999999999999</v>
      </c>
      <c r="J19">
        <v>2.2970000000000002</v>
      </c>
      <c r="K19">
        <v>7.3360000000000003</v>
      </c>
      <c r="L19">
        <v>1.145</v>
      </c>
      <c r="M19">
        <v>6.1909999999999998</v>
      </c>
    </row>
    <row r="20" spans="1:13" x14ac:dyDescent="0.45">
      <c r="A20" t="s">
        <v>104</v>
      </c>
      <c r="B20">
        <v>2024</v>
      </c>
      <c r="C20">
        <v>48.05</v>
      </c>
      <c r="D20">
        <v>66.739999999999995</v>
      </c>
      <c r="E20">
        <v>0.73</v>
      </c>
      <c r="F20">
        <v>2.78</v>
      </c>
      <c r="G20">
        <v>14.68</v>
      </c>
      <c r="H20">
        <v>33.119999999999997</v>
      </c>
      <c r="I20">
        <v>156.69</v>
      </c>
      <c r="J20">
        <v>2.0630000000000002</v>
      </c>
      <c r="K20">
        <v>7.0430000000000001</v>
      </c>
      <c r="L20">
        <v>1.0960000000000001</v>
      </c>
      <c r="M20">
        <v>5.9470000000000001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activeCell="A14" sqref="A14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57</v>
      </c>
    </row>
    <row r="10" spans="1:13" x14ac:dyDescent="0.4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13</v>
      </c>
    </row>
    <row r="11" spans="1:13" x14ac:dyDescent="0.45">
      <c r="A11" t="s">
        <v>0</v>
      </c>
      <c r="B11" t="s">
        <v>93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25</v>
      </c>
    </row>
    <row r="12" spans="1:13" x14ac:dyDescent="0.45">
      <c r="A12" t="s">
        <v>0</v>
      </c>
      <c r="B12" t="s">
        <v>93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25</v>
      </c>
    </row>
    <row r="13" spans="1:13" x14ac:dyDescent="0.45">
      <c r="A13" t="s">
        <v>0</v>
      </c>
      <c r="B13" t="s">
        <v>93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25</v>
      </c>
    </row>
    <row r="14" spans="1:13" x14ac:dyDescent="0.45">
      <c r="A14" t="s">
        <v>0</v>
      </c>
      <c r="B14" t="s">
        <v>93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25</v>
      </c>
    </row>
    <row r="15" spans="1:13" x14ac:dyDescent="0.45">
      <c r="A15" t="s">
        <v>0</v>
      </c>
      <c r="B15" t="s">
        <v>93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25</v>
      </c>
    </row>
    <row r="16" spans="1:13" x14ac:dyDescent="0.45">
      <c r="A16" t="s">
        <v>0</v>
      </c>
      <c r="B16" t="s">
        <v>93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25</v>
      </c>
    </row>
    <row r="17" spans="1:13" x14ac:dyDescent="0.45">
      <c r="A17" t="s">
        <v>0</v>
      </c>
      <c r="B17" t="s">
        <v>93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25</v>
      </c>
    </row>
    <row r="18" spans="1:13" x14ac:dyDescent="0.45">
      <c r="A18" t="s">
        <v>2</v>
      </c>
      <c r="B18" t="s">
        <v>93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25</v>
      </c>
    </row>
    <row r="19" spans="1:13" x14ac:dyDescent="0.45">
      <c r="A19" t="s">
        <v>2</v>
      </c>
      <c r="B19" t="s">
        <v>93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25</v>
      </c>
    </row>
    <row r="20" spans="1:13" x14ac:dyDescent="0.45">
      <c r="A20" t="s">
        <v>2</v>
      </c>
      <c r="B20" t="s">
        <v>93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25</v>
      </c>
    </row>
    <row r="21" spans="1:13" x14ac:dyDescent="0.45">
      <c r="A21" t="s">
        <v>2</v>
      </c>
      <c r="B21" t="s">
        <v>93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25</v>
      </c>
    </row>
    <row r="22" spans="1:13" x14ac:dyDescent="0.45">
      <c r="A22" t="s">
        <v>2</v>
      </c>
      <c r="B22" t="s">
        <v>93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25</v>
      </c>
    </row>
    <row r="23" spans="1:13" x14ac:dyDescent="0.45">
      <c r="A23" t="s">
        <v>2</v>
      </c>
      <c r="B23" t="s">
        <v>93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25</v>
      </c>
    </row>
    <row r="24" spans="1:13" x14ac:dyDescent="0.45">
      <c r="A24" t="s">
        <v>2</v>
      </c>
      <c r="B24" t="s">
        <v>93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25</v>
      </c>
    </row>
    <row r="25" spans="1:13" x14ac:dyDescent="0.45">
      <c r="A25" t="s">
        <v>5</v>
      </c>
      <c r="B25" t="s">
        <v>93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25</v>
      </c>
    </row>
    <row r="26" spans="1:13" x14ac:dyDescent="0.45">
      <c r="A26" t="s">
        <v>5</v>
      </c>
      <c r="B26" t="s">
        <v>93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25</v>
      </c>
    </row>
    <row r="27" spans="1:13" x14ac:dyDescent="0.45">
      <c r="A27" t="s">
        <v>5</v>
      </c>
      <c r="B27" t="s">
        <v>93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25</v>
      </c>
    </row>
    <row r="28" spans="1:13" x14ac:dyDescent="0.45">
      <c r="A28" t="s">
        <v>5</v>
      </c>
      <c r="B28" t="s">
        <v>93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25</v>
      </c>
    </row>
    <row r="29" spans="1:13" x14ac:dyDescent="0.45">
      <c r="A29" t="s">
        <v>5</v>
      </c>
      <c r="B29" t="s">
        <v>93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25</v>
      </c>
    </row>
    <row r="30" spans="1:13" x14ac:dyDescent="0.45">
      <c r="A30" t="s">
        <v>5</v>
      </c>
      <c r="B30" t="s">
        <v>93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25</v>
      </c>
    </row>
    <row r="31" spans="1:13" x14ac:dyDescent="0.45">
      <c r="A31" t="s">
        <v>5</v>
      </c>
      <c r="B31" t="s">
        <v>93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25</v>
      </c>
    </row>
    <row r="32" spans="1:13" x14ac:dyDescent="0.45">
      <c r="A32" t="s">
        <v>7</v>
      </c>
      <c r="B32" t="s">
        <v>93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25</v>
      </c>
    </row>
    <row r="33" spans="1:13" x14ac:dyDescent="0.45">
      <c r="A33" t="s">
        <v>7</v>
      </c>
      <c r="B33" t="s">
        <v>93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25</v>
      </c>
    </row>
    <row r="34" spans="1:13" x14ac:dyDescent="0.45">
      <c r="A34" t="s">
        <v>7</v>
      </c>
      <c r="B34" t="s">
        <v>93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25</v>
      </c>
    </row>
    <row r="35" spans="1:13" x14ac:dyDescent="0.45">
      <c r="A35" t="s">
        <v>7</v>
      </c>
      <c r="B35" t="s">
        <v>93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25</v>
      </c>
    </row>
    <row r="36" spans="1:13" x14ac:dyDescent="0.45">
      <c r="A36" t="s">
        <v>7</v>
      </c>
      <c r="B36" t="s">
        <v>93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25</v>
      </c>
    </row>
    <row r="37" spans="1:13" x14ac:dyDescent="0.45">
      <c r="A37" t="s">
        <v>7</v>
      </c>
      <c r="B37" t="s">
        <v>93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25</v>
      </c>
    </row>
    <row r="38" spans="1:13" x14ac:dyDescent="0.45">
      <c r="A38" t="s">
        <v>7</v>
      </c>
      <c r="B38" t="s">
        <v>93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25</v>
      </c>
    </row>
    <row r="39" spans="1:13" x14ac:dyDescent="0.45">
      <c r="A39" t="s">
        <v>9</v>
      </c>
      <c r="B39" t="s">
        <v>93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25</v>
      </c>
    </row>
    <row r="40" spans="1:13" x14ac:dyDescent="0.45">
      <c r="A40" t="s">
        <v>9</v>
      </c>
      <c r="B40" t="s">
        <v>93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25</v>
      </c>
    </row>
    <row r="41" spans="1:13" x14ac:dyDescent="0.45">
      <c r="A41" t="s">
        <v>9</v>
      </c>
      <c r="B41" t="s">
        <v>93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25</v>
      </c>
    </row>
    <row r="42" spans="1:13" x14ac:dyDescent="0.45">
      <c r="A42" t="s">
        <v>9</v>
      </c>
      <c r="B42" t="s">
        <v>93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25</v>
      </c>
    </row>
    <row r="43" spans="1:13" x14ac:dyDescent="0.45">
      <c r="A43" t="s">
        <v>9</v>
      </c>
      <c r="B43" t="s">
        <v>93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25</v>
      </c>
    </row>
    <row r="44" spans="1:13" x14ac:dyDescent="0.45">
      <c r="A44" t="s">
        <v>9</v>
      </c>
      <c r="B44" t="s">
        <v>93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25</v>
      </c>
    </row>
    <row r="45" spans="1:13" x14ac:dyDescent="0.45">
      <c r="A45" t="s">
        <v>9</v>
      </c>
      <c r="B45" t="s">
        <v>93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25</v>
      </c>
    </row>
    <row r="46" spans="1:13" x14ac:dyDescent="0.45">
      <c r="A46" t="s">
        <v>0</v>
      </c>
      <c r="B46" t="s">
        <v>93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93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93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93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93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93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93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93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93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93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93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93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93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93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93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93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93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93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93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93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93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93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93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93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93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93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93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93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93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93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93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93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93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93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93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93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94</v>
      </c>
    </row>
    <row r="82" spans="1:13" x14ac:dyDescent="0.45">
      <c r="A82" t="s">
        <v>0</v>
      </c>
      <c r="B82" t="s">
        <v>93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94</v>
      </c>
    </row>
    <row r="83" spans="1:13" x14ac:dyDescent="0.45">
      <c r="A83" t="s">
        <v>0</v>
      </c>
      <c r="B83" t="s">
        <v>93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94</v>
      </c>
    </row>
    <row r="84" spans="1:13" x14ac:dyDescent="0.45">
      <c r="A84" t="s">
        <v>0</v>
      </c>
      <c r="B84" t="s">
        <v>93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94</v>
      </c>
    </row>
    <row r="85" spans="1:13" x14ac:dyDescent="0.45">
      <c r="A85" t="s">
        <v>0</v>
      </c>
      <c r="B85" t="s">
        <v>93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94</v>
      </c>
    </row>
    <row r="86" spans="1:13" x14ac:dyDescent="0.45">
      <c r="A86" t="s">
        <v>0</v>
      </c>
      <c r="B86" t="s">
        <v>93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94</v>
      </c>
    </row>
    <row r="87" spans="1:13" x14ac:dyDescent="0.45">
      <c r="A87" t="s">
        <v>0</v>
      </c>
      <c r="B87" t="s">
        <v>93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94</v>
      </c>
    </row>
    <row r="88" spans="1:13" x14ac:dyDescent="0.45">
      <c r="A88" t="s">
        <v>2</v>
      </c>
      <c r="B88" t="s">
        <v>93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94</v>
      </c>
    </row>
    <row r="89" spans="1:13" x14ac:dyDescent="0.45">
      <c r="A89" t="s">
        <v>2</v>
      </c>
      <c r="B89" t="s">
        <v>93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94</v>
      </c>
    </row>
    <row r="90" spans="1:13" x14ac:dyDescent="0.45">
      <c r="A90" t="s">
        <v>2</v>
      </c>
      <c r="B90" t="s">
        <v>93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94</v>
      </c>
    </row>
    <row r="91" spans="1:13" x14ac:dyDescent="0.45">
      <c r="A91" t="s">
        <v>2</v>
      </c>
      <c r="B91" t="s">
        <v>93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94</v>
      </c>
    </row>
    <row r="92" spans="1:13" x14ac:dyDescent="0.45">
      <c r="A92" t="s">
        <v>2</v>
      </c>
      <c r="B92" t="s">
        <v>93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94</v>
      </c>
    </row>
    <row r="93" spans="1:13" x14ac:dyDescent="0.45">
      <c r="A93" t="s">
        <v>2</v>
      </c>
      <c r="B93" t="s">
        <v>93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94</v>
      </c>
    </row>
    <row r="94" spans="1:13" x14ac:dyDescent="0.45">
      <c r="A94" t="s">
        <v>2</v>
      </c>
      <c r="B94" t="s">
        <v>93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94</v>
      </c>
    </row>
    <row r="95" spans="1:13" x14ac:dyDescent="0.45">
      <c r="A95" t="s">
        <v>5</v>
      </c>
      <c r="B95" t="s">
        <v>93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94</v>
      </c>
    </row>
    <row r="96" spans="1:13" x14ac:dyDescent="0.45">
      <c r="A96" t="s">
        <v>5</v>
      </c>
      <c r="B96" t="s">
        <v>93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94</v>
      </c>
    </row>
    <row r="97" spans="1:13" x14ac:dyDescent="0.45">
      <c r="A97" t="s">
        <v>5</v>
      </c>
      <c r="B97" t="s">
        <v>93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94</v>
      </c>
    </row>
    <row r="98" spans="1:13" x14ac:dyDescent="0.45">
      <c r="A98" t="s">
        <v>5</v>
      </c>
      <c r="B98" t="s">
        <v>93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94</v>
      </c>
    </row>
    <row r="99" spans="1:13" x14ac:dyDescent="0.45">
      <c r="A99" t="s">
        <v>5</v>
      </c>
      <c r="B99" t="s">
        <v>93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94</v>
      </c>
    </row>
    <row r="100" spans="1:13" x14ac:dyDescent="0.45">
      <c r="A100" t="s">
        <v>5</v>
      </c>
      <c r="B100" t="s">
        <v>93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94</v>
      </c>
    </row>
    <row r="101" spans="1:13" x14ac:dyDescent="0.45">
      <c r="A101" t="s">
        <v>5</v>
      </c>
      <c r="B101" t="s">
        <v>93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94</v>
      </c>
    </row>
    <row r="102" spans="1:13" x14ac:dyDescent="0.45">
      <c r="A102" t="s">
        <v>7</v>
      </c>
      <c r="B102" t="s">
        <v>93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94</v>
      </c>
    </row>
    <row r="103" spans="1:13" x14ac:dyDescent="0.45">
      <c r="A103" t="s">
        <v>7</v>
      </c>
      <c r="B103" t="s">
        <v>93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94</v>
      </c>
    </row>
    <row r="104" spans="1:13" x14ac:dyDescent="0.45">
      <c r="A104" t="s">
        <v>7</v>
      </c>
      <c r="B104" t="s">
        <v>93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94</v>
      </c>
    </row>
    <row r="105" spans="1:13" x14ac:dyDescent="0.45">
      <c r="A105" t="s">
        <v>7</v>
      </c>
      <c r="B105" t="s">
        <v>93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94</v>
      </c>
    </row>
    <row r="106" spans="1:13" x14ac:dyDescent="0.45">
      <c r="A106" t="s">
        <v>7</v>
      </c>
      <c r="B106" t="s">
        <v>93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94</v>
      </c>
    </row>
    <row r="107" spans="1:13" x14ac:dyDescent="0.45">
      <c r="A107" t="s">
        <v>7</v>
      </c>
      <c r="B107" t="s">
        <v>93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94</v>
      </c>
    </row>
    <row r="108" spans="1:13" x14ac:dyDescent="0.45">
      <c r="A108" t="s">
        <v>7</v>
      </c>
      <c r="B108" t="s">
        <v>93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94</v>
      </c>
    </row>
    <row r="109" spans="1:13" x14ac:dyDescent="0.45">
      <c r="A109" t="s">
        <v>9</v>
      </c>
      <c r="B109" t="s">
        <v>93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94</v>
      </c>
    </row>
    <row r="110" spans="1:13" x14ac:dyDescent="0.45">
      <c r="A110" t="s">
        <v>9</v>
      </c>
      <c r="B110" t="s">
        <v>93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94</v>
      </c>
    </row>
    <row r="111" spans="1:13" x14ac:dyDescent="0.45">
      <c r="A111" t="s">
        <v>9</v>
      </c>
      <c r="B111" t="s">
        <v>93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94</v>
      </c>
    </row>
    <row r="112" spans="1:13" x14ac:dyDescent="0.45">
      <c r="A112" t="s">
        <v>9</v>
      </c>
      <c r="B112" t="s">
        <v>93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94</v>
      </c>
    </row>
    <row r="113" spans="1:13" x14ac:dyDescent="0.45">
      <c r="A113" t="s">
        <v>9</v>
      </c>
      <c r="B113" t="s">
        <v>93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94</v>
      </c>
    </row>
    <row r="114" spans="1:13" x14ac:dyDescent="0.45">
      <c r="A114" t="s">
        <v>9</v>
      </c>
      <c r="B114" t="s">
        <v>93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94</v>
      </c>
    </row>
    <row r="115" spans="1:13" x14ac:dyDescent="0.45">
      <c r="A115" t="s">
        <v>9</v>
      </c>
      <c r="B115" t="s">
        <v>93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94</v>
      </c>
    </row>
    <row r="116" spans="1:13" x14ac:dyDescent="0.45">
      <c r="A116" t="s">
        <v>0</v>
      </c>
      <c r="B116" t="s">
        <v>93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14</v>
      </c>
    </row>
    <row r="117" spans="1:13" x14ac:dyDescent="0.45">
      <c r="A117" t="s">
        <v>0</v>
      </c>
      <c r="B117" t="s">
        <v>93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14</v>
      </c>
    </row>
    <row r="118" spans="1:13" x14ac:dyDescent="0.45">
      <c r="A118" t="s">
        <v>0</v>
      </c>
      <c r="B118" t="s">
        <v>93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14</v>
      </c>
    </row>
    <row r="119" spans="1:13" x14ac:dyDescent="0.45">
      <c r="A119" t="s">
        <v>0</v>
      </c>
      <c r="B119" t="s">
        <v>93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14</v>
      </c>
    </row>
    <row r="120" spans="1:13" x14ac:dyDescent="0.45">
      <c r="A120" t="s">
        <v>0</v>
      </c>
      <c r="B120" t="s">
        <v>93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14</v>
      </c>
    </row>
    <row r="121" spans="1:13" x14ac:dyDescent="0.45">
      <c r="A121" t="s">
        <v>0</v>
      </c>
      <c r="B121" t="s">
        <v>93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14</v>
      </c>
    </row>
    <row r="122" spans="1:13" x14ac:dyDescent="0.45">
      <c r="A122" t="s">
        <v>0</v>
      </c>
      <c r="B122" t="s">
        <v>93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14</v>
      </c>
    </row>
    <row r="123" spans="1:13" x14ac:dyDescent="0.45">
      <c r="A123" t="s">
        <v>2</v>
      </c>
      <c r="B123" t="s">
        <v>93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14</v>
      </c>
    </row>
    <row r="124" spans="1:13" x14ac:dyDescent="0.45">
      <c r="A124" t="s">
        <v>2</v>
      </c>
      <c r="B124" t="s">
        <v>93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14</v>
      </c>
    </row>
    <row r="125" spans="1:13" x14ac:dyDescent="0.45">
      <c r="A125" t="s">
        <v>2</v>
      </c>
      <c r="B125" t="s">
        <v>93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14</v>
      </c>
    </row>
    <row r="126" spans="1:13" x14ac:dyDescent="0.45">
      <c r="A126" t="s">
        <v>2</v>
      </c>
      <c r="B126" t="s">
        <v>93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14</v>
      </c>
    </row>
    <row r="127" spans="1:13" x14ac:dyDescent="0.45">
      <c r="A127" t="s">
        <v>2</v>
      </c>
      <c r="B127" t="s">
        <v>93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14</v>
      </c>
    </row>
    <row r="128" spans="1:13" x14ac:dyDescent="0.45">
      <c r="A128" t="s">
        <v>2</v>
      </c>
      <c r="B128" t="s">
        <v>93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14</v>
      </c>
    </row>
    <row r="129" spans="1:13" x14ac:dyDescent="0.45">
      <c r="A129" t="s">
        <v>2</v>
      </c>
      <c r="B129" t="s">
        <v>93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14</v>
      </c>
    </row>
    <row r="130" spans="1:13" x14ac:dyDescent="0.45">
      <c r="A130" t="s">
        <v>5</v>
      </c>
      <c r="B130" t="s">
        <v>93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14</v>
      </c>
    </row>
    <row r="131" spans="1:13" x14ac:dyDescent="0.45">
      <c r="A131" t="s">
        <v>5</v>
      </c>
      <c r="B131" t="s">
        <v>93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14</v>
      </c>
    </row>
    <row r="132" spans="1:13" x14ac:dyDescent="0.45">
      <c r="A132" t="s">
        <v>5</v>
      </c>
      <c r="B132" t="s">
        <v>93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14</v>
      </c>
    </row>
    <row r="133" spans="1:13" x14ac:dyDescent="0.45">
      <c r="A133" t="s">
        <v>5</v>
      </c>
      <c r="B133" t="s">
        <v>93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14</v>
      </c>
    </row>
    <row r="134" spans="1:13" x14ac:dyDescent="0.45">
      <c r="A134" t="s">
        <v>5</v>
      </c>
      <c r="B134" t="s">
        <v>93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14</v>
      </c>
    </row>
    <row r="135" spans="1:13" x14ac:dyDescent="0.45">
      <c r="A135" t="s">
        <v>5</v>
      </c>
      <c r="B135" t="s">
        <v>93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14</v>
      </c>
    </row>
    <row r="136" spans="1:13" x14ac:dyDescent="0.45">
      <c r="A136" t="s">
        <v>5</v>
      </c>
      <c r="B136" t="s">
        <v>93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14</v>
      </c>
    </row>
    <row r="137" spans="1:13" x14ac:dyDescent="0.45">
      <c r="A137" t="s">
        <v>7</v>
      </c>
      <c r="B137" t="s">
        <v>93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14</v>
      </c>
    </row>
    <row r="138" spans="1:13" x14ac:dyDescent="0.45">
      <c r="A138" t="s">
        <v>7</v>
      </c>
      <c r="B138" t="s">
        <v>93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14</v>
      </c>
    </row>
    <row r="139" spans="1:13" x14ac:dyDescent="0.45">
      <c r="A139" t="s">
        <v>7</v>
      </c>
      <c r="B139" t="s">
        <v>93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14</v>
      </c>
    </row>
    <row r="140" spans="1:13" x14ac:dyDescent="0.45">
      <c r="A140" t="s">
        <v>7</v>
      </c>
      <c r="B140" t="s">
        <v>93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14</v>
      </c>
    </row>
    <row r="141" spans="1:13" x14ac:dyDescent="0.45">
      <c r="A141" t="s">
        <v>7</v>
      </c>
      <c r="B141" t="s">
        <v>93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14</v>
      </c>
    </row>
    <row r="142" spans="1:13" x14ac:dyDescent="0.45">
      <c r="A142" t="s">
        <v>7</v>
      </c>
      <c r="B142" t="s">
        <v>93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14</v>
      </c>
    </row>
    <row r="143" spans="1:13" x14ac:dyDescent="0.45">
      <c r="A143" t="s">
        <v>7</v>
      </c>
      <c r="B143" t="s">
        <v>93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14</v>
      </c>
    </row>
    <row r="144" spans="1:13" x14ac:dyDescent="0.45">
      <c r="A144" t="s">
        <v>9</v>
      </c>
      <c r="B144" t="s">
        <v>93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14</v>
      </c>
    </row>
    <row r="145" spans="1:13" x14ac:dyDescent="0.45">
      <c r="A145" t="s">
        <v>9</v>
      </c>
      <c r="B145" t="s">
        <v>93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14</v>
      </c>
    </row>
    <row r="146" spans="1:13" x14ac:dyDescent="0.45">
      <c r="A146" t="s">
        <v>9</v>
      </c>
      <c r="B146" t="s">
        <v>93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14</v>
      </c>
    </row>
    <row r="147" spans="1:13" x14ac:dyDescent="0.45">
      <c r="A147" t="s">
        <v>9</v>
      </c>
      <c r="B147" t="s">
        <v>93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14</v>
      </c>
    </row>
    <row r="148" spans="1:13" x14ac:dyDescent="0.45">
      <c r="A148" t="s">
        <v>9</v>
      </c>
      <c r="B148" t="s">
        <v>93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14</v>
      </c>
    </row>
    <row r="149" spans="1:13" x14ac:dyDescent="0.45">
      <c r="A149" t="s">
        <v>9</v>
      </c>
      <c r="B149" t="s">
        <v>93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14</v>
      </c>
    </row>
    <row r="150" spans="1:13" x14ac:dyDescent="0.45">
      <c r="A150" t="s">
        <v>9</v>
      </c>
      <c r="B150" t="s">
        <v>93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14</v>
      </c>
    </row>
    <row r="151" spans="1:13" x14ac:dyDescent="0.45">
      <c r="A151" t="s">
        <v>0</v>
      </c>
      <c r="B151" t="s">
        <v>93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17</v>
      </c>
    </row>
    <row r="152" spans="1:13" x14ac:dyDescent="0.45">
      <c r="A152" t="s">
        <v>0</v>
      </c>
      <c r="B152" t="s">
        <v>93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17</v>
      </c>
    </row>
    <row r="153" spans="1:13" x14ac:dyDescent="0.45">
      <c r="A153" t="s">
        <v>0</v>
      </c>
      <c r="B153" t="s">
        <v>93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17</v>
      </c>
    </row>
    <row r="154" spans="1:13" x14ac:dyDescent="0.45">
      <c r="A154" t="s">
        <v>0</v>
      </c>
      <c r="B154" t="s">
        <v>93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17</v>
      </c>
    </row>
    <row r="155" spans="1:13" x14ac:dyDescent="0.45">
      <c r="A155" t="s">
        <v>0</v>
      </c>
      <c r="B155" t="s">
        <v>93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17</v>
      </c>
    </row>
    <row r="156" spans="1:13" x14ac:dyDescent="0.45">
      <c r="A156" t="s">
        <v>0</v>
      </c>
      <c r="B156" t="s">
        <v>93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17</v>
      </c>
    </row>
    <row r="157" spans="1:13" x14ac:dyDescent="0.45">
      <c r="A157" t="s">
        <v>0</v>
      </c>
      <c r="B157" t="s">
        <v>93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17</v>
      </c>
    </row>
    <row r="158" spans="1:13" x14ac:dyDescent="0.45">
      <c r="A158" t="s">
        <v>2</v>
      </c>
      <c r="B158" t="s">
        <v>93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17</v>
      </c>
    </row>
    <row r="159" spans="1:13" x14ac:dyDescent="0.45">
      <c r="A159" t="s">
        <v>2</v>
      </c>
      <c r="B159" t="s">
        <v>93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17</v>
      </c>
    </row>
    <row r="160" spans="1:13" x14ac:dyDescent="0.45">
      <c r="A160" t="s">
        <v>2</v>
      </c>
      <c r="B160" t="s">
        <v>93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17</v>
      </c>
    </row>
    <row r="161" spans="1:13" x14ac:dyDescent="0.45">
      <c r="A161" t="s">
        <v>2</v>
      </c>
      <c r="B161" t="s">
        <v>93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17</v>
      </c>
    </row>
    <row r="162" spans="1:13" x14ac:dyDescent="0.45">
      <c r="A162" t="s">
        <v>2</v>
      </c>
      <c r="B162" t="s">
        <v>93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17</v>
      </c>
    </row>
    <row r="163" spans="1:13" x14ac:dyDescent="0.45">
      <c r="A163" t="s">
        <v>2</v>
      </c>
      <c r="B163" t="s">
        <v>93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17</v>
      </c>
    </row>
    <row r="164" spans="1:13" x14ac:dyDescent="0.45">
      <c r="A164" t="s">
        <v>2</v>
      </c>
      <c r="B164" t="s">
        <v>93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17</v>
      </c>
    </row>
    <row r="165" spans="1:13" x14ac:dyDescent="0.45">
      <c r="A165" t="s">
        <v>5</v>
      </c>
      <c r="B165" t="s">
        <v>93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17</v>
      </c>
    </row>
    <row r="166" spans="1:13" x14ac:dyDescent="0.45">
      <c r="A166" t="s">
        <v>5</v>
      </c>
      <c r="B166" t="s">
        <v>93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17</v>
      </c>
    </row>
    <row r="167" spans="1:13" x14ac:dyDescent="0.45">
      <c r="A167" t="s">
        <v>5</v>
      </c>
      <c r="B167" t="s">
        <v>93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17</v>
      </c>
    </row>
    <row r="168" spans="1:13" x14ac:dyDescent="0.45">
      <c r="A168" t="s">
        <v>5</v>
      </c>
      <c r="B168" t="s">
        <v>93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17</v>
      </c>
    </row>
    <row r="169" spans="1:13" x14ac:dyDescent="0.45">
      <c r="A169" t="s">
        <v>5</v>
      </c>
      <c r="B169" t="s">
        <v>93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17</v>
      </c>
    </row>
    <row r="170" spans="1:13" x14ac:dyDescent="0.45">
      <c r="A170" t="s">
        <v>5</v>
      </c>
      <c r="B170" t="s">
        <v>93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17</v>
      </c>
    </row>
    <row r="171" spans="1:13" x14ac:dyDescent="0.45">
      <c r="A171" t="s">
        <v>5</v>
      </c>
      <c r="B171" t="s">
        <v>93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17</v>
      </c>
    </row>
    <row r="172" spans="1:13" x14ac:dyDescent="0.45">
      <c r="A172" t="s">
        <v>7</v>
      </c>
      <c r="B172" t="s">
        <v>93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17</v>
      </c>
    </row>
    <row r="173" spans="1:13" x14ac:dyDescent="0.45">
      <c r="A173" t="s">
        <v>7</v>
      </c>
      <c r="B173" t="s">
        <v>93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17</v>
      </c>
    </row>
    <row r="174" spans="1:13" x14ac:dyDescent="0.45">
      <c r="A174" t="s">
        <v>7</v>
      </c>
      <c r="B174" t="s">
        <v>93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17</v>
      </c>
    </row>
    <row r="175" spans="1:13" x14ac:dyDescent="0.45">
      <c r="A175" t="s">
        <v>7</v>
      </c>
      <c r="B175" t="s">
        <v>93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17</v>
      </c>
    </row>
    <row r="176" spans="1:13" x14ac:dyDescent="0.45">
      <c r="A176" t="s">
        <v>7</v>
      </c>
      <c r="B176" t="s">
        <v>93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17</v>
      </c>
    </row>
    <row r="177" spans="1:13" x14ac:dyDescent="0.45">
      <c r="A177" t="s">
        <v>7</v>
      </c>
      <c r="B177" t="s">
        <v>93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17</v>
      </c>
    </row>
    <row r="178" spans="1:13" x14ac:dyDescent="0.45">
      <c r="A178" t="s">
        <v>7</v>
      </c>
      <c r="B178" t="s">
        <v>93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17</v>
      </c>
    </row>
    <row r="179" spans="1:13" x14ac:dyDescent="0.45">
      <c r="A179" t="s">
        <v>9</v>
      </c>
      <c r="B179" t="s">
        <v>93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17</v>
      </c>
    </row>
    <row r="180" spans="1:13" x14ac:dyDescent="0.45">
      <c r="A180" t="s">
        <v>9</v>
      </c>
      <c r="B180" t="s">
        <v>93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17</v>
      </c>
    </row>
    <row r="181" spans="1:13" x14ac:dyDescent="0.45">
      <c r="A181" t="s">
        <v>9</v>
      </c>
      <c r="B181" t="s">
        <v>93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17</v>
      </c>
    </row>
    <row r="182" spans="1:13" x14ac:dyDescent="0.45">
      <c r="A182" t="s">
        <v>9</v>
      </c>
      <c r="B182" t="s">
        <v>93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17</v>
      </c>
    </row>
    <row r="183" spans="1:13" x14ac:dyDescent="0.45">
      <c r="A183" t="s">
        <v>9</v>
      </c>
      <c r="B183" t="s">
        <v>93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17</v>
      </c>
    </row>
    <row r="184" spans="1:13" x14ac:dyDescent="0.45">
      <c r="A184" t="s">
        <v>9</v>
      </c>
      <c r="B184" t="s">
        <v>93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17</v>
      </c>
    </row>
    <row r="185" spans="1:13" x14ac:dyDescent="0.45">
      <c r="A185" t="s">
        <v>9</v>
      </c>
      <c r="B185" t="s">
        <v>93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17</v>
      </c>
    </row>
    <row r="186" spans="1:13" x14ac:dyDescent="0.45">
      <c r="A186" t="s">
        <v>0</v>
      </c>
      <c r="B186" t="s">
        <v>93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20</v>
      </c>
    </row>
    <row r="187" spans="1:13" x14ac:dyDescent="0.45">
      <c r="A187" t="s">
        <v>0</v>
      </c>
      <c r="B187" t="s">
        <v>93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20</v>
      </c>
    </row>
    <row r="188" spans="1:13" x14ac:dyDescent="0.45">
      <c r="A188" t="s">
        <v>0</v>
      </c>
      <c r="B188" t="s">
        <v>93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20</v>
      </c>
    </row>
    <row r="189" spans="1:13" x14ac:dyDescent="0.45">
      <c r="A189" t="s">
        <v>0</v>
      </c>
      <c r="B189" t="s">
        <v>93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20</v>
      </c>
    </row>
    <row r="190" spans="1:13" x14ac:dyDescent="0.45">
      <c r="A190" t="s">
        <v>0</v>
      </c>
      <c r="B190" t="s">
        <v>93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20</v>
      </c>
    </row>
    <row r="191" spans="1:13" x14ac:dyDescent="0.45">
      <c r="A191" t="s">
        <v>0</v>
      </c>
      <c r="B191" t="s">
        <v>93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20</v>
      </c>
    </row>
    <row r="192" spans="1:13" x14ac:dyDescent="0.45">
      <c r="A192" t="s">
        <v>0</v>
      </c>
      <c r="B192" t="s">
        <v>93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20</v>
      </c>
    </row>
    <row r="193" spans="1:13" x14ac:dyDescent="0.45">
      <c r="A193" t="s">
        <v>2</v>
      </c>
      <c r="B193" t="s">
        <v>93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20</v>
      </c>
    </row>
    <row r="194" spans="1:13" x14ac:dyDescent="0.45">
      <c r="A194" t="s">
        <v>2</v>
      </c>
      <c r="B194" t="s">
        <v>93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20</v>
      </c>
    </row>
    <row r="195" spans="1:13" x14ac:dyDescent="0.45">
      <c r="A195" t="s">
        <v>2</v>
      </c>
      <c r="B195" t="s">
        <v>93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20</v>
      </c>
    </row>
    <row r="196" spans="1:13" x14ac:dyDescent="0.45">
      <c r="A196" t="s">
        <v>2</v>
      </c>
      <c r="B196" t="s">
        <v>93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20</v>
      </c>
    </row>
    <row r="197" spans="1:13" x14ac:dyDescent="0.45">
      <c r="A197" t="s">
        <v>2</v>
      </c>
      <c r="B197" t="s">
        <v>93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20</v>
      </c>
    </row>
    <row r="198" spans="1:13" x14ac:dyDescent="0.45">
      <c r="A198" t="s">
        <v>2</v>
      </c>
      <c r="B198" t="s">
        <v>93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20</v>
      </c>
    </row>
    <row r="199" spans="1:13" x14ac:dyDescent="0.45">
      <c r="A199" t="s">
        <v>2</v>
      </c>
      <c r="B199" t="s">
        <v>93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20</v>
      </c>
    </row>
    <row r="200" spans="1:13" x14ac:dyDescent="0.45">
      <c r="A200" t="s">
        <v>5</v>
      </c>
      <c r="B200" t="s">
        <v>93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20</v>
      </c>
    </row>
    <row r="201" spans="1:13" x14ac:dyDescent="0.45">
      <c r="A201" t="s">
        <v>5</v>
      </c>
      <c r="B201" t="s">
        <v>93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20</v>
      </c>
    </row>
    <row r="202" spans="1:13" x14ac:dyDescent="0.45">
      <c r="A202" t="s">
        <v>5</v>
      </c>
      <c r="B202" t="s">
        <v>93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20</v>
      </c>
    </row>
    <row r="203" spans="1:13" x14ac:dyDescent="0.45">
      <c r="A203" t="s">
        <v>5</v>
      </c>
      <c r="B203" t="s">
        <v>93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20</v>
      </c>
    </row>
    <row r="204" spans="1:13" x14ac:dyDescent="0.45">
      <c r="A204" t="s">
        <v>5</v>
      </c>
      <c r="B204" t="s">
        <v>93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20</v>
      </c>
    </row>
    <row r="205" spans="1:13" x14ac:dyDescent="0.45">
      <c r="A205" t="s">
        <v>5</v>
      </c>
      <c r="B205" t="s">
        <v>93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20</v>
      </c>
    </row>
    <row r="206" spans="1:13" x14ac:dyDescent="0.45">
      <c r="A206" t="s">
        <v>5</v>
      </c>
      <c r="B206" t="s">
        <v>93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20</v>
      </c>
    </row>
    <row r="207" spans="1:13" x14ac:dyDescent="0.45">
      <c r="A207" t="s">
        <v>7</v>
      </c>
      <c r="B207" t="s">
        <v>93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20</v>
      </c>
    </row>
    <row r="208" spans="1:13" x14ac:dyDescent="0.45">
      <c r="A208" t="s">
        <v>7</v>
      </c>
      <c r="B208" t="s">
        <v>93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20</v>
      </c>
    </row>
    <row r="209" spans="1:13" x14ac:dyDescent="0.45">
      <c r="A209" t="s">
        <v>7</v>
      </c>
      <c r="B209" t="s">
        <v>93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20</v>
      </c>
    </row>
    <row r="210" spans="1:13" x14ac:dyDescent="0.45">
      <c r="A210" t="s">
        <v>7</v>
      </c>
      <c r="B210" t="s">
        <v>93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20</v>
      </c>
    </row>
    <row r="211" spans="1:13" x14ac:dyDescent="0.45">
      <c r="A211" t="s">
        <v>7</v>
      </c>
      <c r="B211" t="s">
        <v>93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20</v>
      </c>
    </row>
    <row r="212" spans="1:13" x14ac:dyDescent="0.45">
      <c r="A212" t="s">
        <v>7</v>
      </c>
      <c r="B212" t="s">
        <v>93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20</v>
      </c>
    </row>
    <row r="213" spans="1:13" x14ac:dyDescent="0.45">
      <c r="A213" t="s">
        <v>7</v>
      </c>
      <c r="B213" t="s">
        <v>93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20</v>
      </c>
    </row>
    <row r="214" spans="1:13" x14ac:dyDescent="0.45">
      <c r="A214" t="s">
        <v>9</v>
      </c>
      <c r="B214" t="s">
        <v>93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20</v>
      </c>
    </row>
    <row r="215" spans="1:13" x14ac:dyDescent="0.45">
      <c r="A215" t="s">
        <v>9</v>
      </c>
      <c r="B215" t="s">
        <v>93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20</v>
      </c>
    </row>
    <row r="216" spans="1:13" x14ac:dyDescent="0.45">
      <c r="A216" t="s">
        <v>9</v>
      </c>
      <c r="B216" t="s">
        <v>93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20</v>
      </c>
    </row>
    <row r="217" spans="1:13" x14ac:dyDescent="0.45">
      <c r="A217" t="s">
        <v>9</v>
      </c>
      <c r="B217" t="s">
        <v>93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20</v>
      </c>
    </row>
    <row r="218" spans="1:13" x14ac:dyDescent="0.45">
      <c r="A218" t="s">
        <v>9</v>
      </c>
      <c r="B218" t="s">
        <v>93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20</v>
      </c>
    </row>
    <row r="219" spans="1:13" x14ac:dyDescent="0.45">
      <c r="A219" t="s">
        <v>9</v>
      </c>
      <c r="B219" t="s">
        <v>93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20</v>
      </c>
    </row>
    <row r="220" spans="1:13" x14ac:dyDescent="0.45">
      <c r="A220" t="s">
        <v>9</v>
      </c>
      <c r="B220" t="s">
        <v>93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20</v>
      </c>
    </row>
    <row r="221" spans="1:13" x14ac:dyDescent="0.45">
      <c r="A221" t="s">
        <v>0</v>
      </c>
      <c r="B221" t="s">
        <v>93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22</v>
      </c>
    </row>
    <row r="222" spans="1:13" x14ac:dyDescent="0.45">
      <c r="A222" t="s">
        <v>0</v>
      </c>
      <c r="B222" t="s">
        <v>93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22</v>
      </c>
    </row>
    <row r="223" spans="1:13" x14ac:dyDescent="0.45">
      <c r="A223" t="s">
        <v>0</v>
      </c>
      <c r="B223" t="s">
        <v>93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22</v>
      </c>
    </row>
    <row r="224" spans="1:13" x14ac:dyDescent="0.45">
      <c r="A224" t="s">
        <v>0</v>
      </c>
      <c r="B224" t="s">
        <v>93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22</v>
      </c>
    </row>
    <row r="225" spans="1:13" x14ac:dyDescent="0.45">
      <c r="A225" t="s">
        <v>0</v>
      </c>
      <c r="B225" t="s">
        <v>93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22</v>
      </c>
    </row>
    <row r="226" spans="1:13" x14ac:dyDescent="0.45">
      <c r="A226" t="s">
        <v>0</v>
      </c>
      <c r="B226" t="s">
        <v>93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22</v>
      </c>
    </row>
    <row r="227" spans="1:13" x14ac:dyDescent="0.45">
      <c r="A227" t="s">
        <v>0</v>
      </c>
      <c r="B227" t="s">
        <v>93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22</v>
      </c>
    </row>
    <row r="228" spans="1:13" x14ac:dyDescent="0.45">
      <c r="A228" t="s">
        <v>2</v>
      </c>
      <c r="B228" t="s">
        <v>93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22</v>
      </c>
    </row>
    <row r="229" spans="1:13" x14ac:dyDescent="0.45">
      <c r="A229" t="s">
        <v>2</v>
      </c>
      <c r="B229" t="s">
        <v>93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22</v>
      </c>
    </row>
    <row r="230" spans="1:13" x14ac:dyDescent="0.45">
      <c r="A230" t="s">
        <v>2</v>
      </c>
      <c r="B230" t="s">
        <v>93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22</v>
      </c>
    </row>
    <row r="231" spans="1:13" x14ac:dyDescent="0.45">
      <c r="A231" t="s">
        <v>2</v>
      </c>
      <c r="B231" t="s">
        <v>93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22</v>
      </c>
    </row>
    <row r="232" spans="1:13" x14ac:dyDescent="0.45">
      <c r="A232" t="s">
        <v>2</v>
      </c>
      <c r="B232" t="s">
        <v>93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22</v>
      </c>
    </row>
    <row r="233" spans="1:13" x14ac:dyDescent="0.45">
      <c r="A233" t="s">
        <v>2</v>
      </c>
      <c r="B233" t="s">
        <v>93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22</v>
      </c>
    </row>
    <row r="234" spans="1:13" x14ac:dyDescent="0.45">
      <c r="A234" t="s">
        <v>2</v>
      </c>
      <c r="B234" t="s">
        <v>93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22</v>
      </c>
    </row>
    <row r="235" spans="1:13" x14ac:dyDescent="0.45">
      <c r="A235" t="s">
        <v>5</v>
      </c>
      <c r="B235" t="s">
        <v>93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22</v>
      </c>
    </row>
    <row r="236" spans="1:13" x14ac:dyDescent="0.45">
      <c r="A236" t="s">
        <v>5</v>
      </c>
      <c r="B236" t="s">
        <v>93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22</v>
      </c>
    </row>
    <row r="237" spans="1:13" x14ac:dyDescent="0.45">
      <c r="A237" t="s">
        <v>5</v>
      </c>
      <c r="B237" t="s">
        <v>93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22</v>
      </c>
    </row>
    <row r="238" spans="1:13" x14ac:dyDescent="0.45">
      <c r="A238" t="s">
        <v>5</v>
      </c>
      <c r="B238" t="s">
        <v>93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22</v>
      </c>
    </row>
    <row r="239" spans="1:13" x14ac:dyDescent="0.45">
      <c r="A239" t="s">
        <v>5</v>
      </c>
      <c r="B239" t="s">
        <v>93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22</v>
      </c>
    </row>
    <row r="240" spans="1:13" x14ac:dyDescent="0.45">
      <c r="A240" t="s">
        <v>5</v>
      </c>
      <c r="B240" t="s">
        <v>93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22</v>
      </c>
    </row>
    <row r="241" spans="1:13" x14ac:dyDescent="0.45">
      <c r="A241" t="s">
        <v>5</v>
      </c>
      <c r="B241" t="s">
        <v>93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22</v>
      </c>
    </row>
    <row r="242" spans="1:13" x14ac:dyDescent="0.45">
      <c r="A242" t="s">
        <v>7</v>
      </c>
      <c r="B242" t="s">
        <v>93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22</v>
      </c>
    </row>
    <row r="243" spans="1:13" x14ac:dyDescent="0.45">
      <c r="A243" t="s">
        <v>7</v>
      </c>
      <c r="B243" t="s">
        <v>93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22</v>
      </c>
    </row>
    <row r="244" spans="1:13" x14ac:dyDescent="0.45">
      <c r="A244" t="s">
        <v>7</v>
      </c>
      <c r="B244" t="s">
        <v>93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22</v>
      </c>
    </row>
    <row r="245" spans="1:13" x14ac:dyDescent="0.45">
      <c r="A245" t="s">
        <v>7</v>
      </c>
      <c r="B245" t="s">
        <v>93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22</v>
      </c>
    </row>
    <row r="246" spans="1:13" x14ac:dyDescent="0.45">
      <c r="A246" t="s">
        <v>7</v>
      </c>
      <c r="B246" t="s">
        <v>93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22</v>
      </c>
    </row>
    <row r="247" spans="1:13" x14ac:dyDescent="0.45">
      <c r="A247" t="s">
        <v>7</v>
      </c>
      <c r="B247" t="s">
        <v>93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22</v>
      </c>
    </row>
    <row r="248" spans="1:13" x14ac:dyDescent="0.45">
      <c r="A248" t="s">
        <v>7</v>
      </c>
      <c r="B248" t="s">
        <v>93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22</v>
      </c>
    </row>
    <row r="249" spans="1:13" x14ac:dyDescent="0.45">
      <c r="A249" t="s">
        <v>9</v>
      </c>
      <c r="B249" t="s">
        <v>93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22</v>
      </c>
    </row>
    <row r="250" spans="1:13" x14ac:dyDescent="0.45">
      <c r="A250" t="s">
        <v>9</v>
      </c>
      <c r="B250" t="s">
        <v>93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22</v>
      </c>
    </row>
    <row r="251" spans="1:13" x14ac:dyDescent="0.45">
      <c r="A251" t="s">
        <v>9</v>
      </c>
      <c r="B251" t="s">
        <v>93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22</v>
      </c>
    </row>
    <row r="252" spans="1:13" x14ac:dyDescent="0.45">
      <c r="A252" t="s">
        <v>9</v>
      </c>
      <c r="B252" t="s">
        <v>93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22</v>
      </c>
    </row>
    <row r="253" spans="1:13" x14ac:dyDescent="0.45">
      <c r="A253" t="s">
        <v>9</v>
      </c>
      <c r="B253" t="s">
        <v>93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22</v>
      </c>
    </row>
    <row r="254" spans="1:13" x14ac:dyDescent="0.45">
      <c r="A254" t="s">
        <v>9</v>
      </c>
      <c r="B254" t="s">
        <v>93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22</v>
      </c>
    </row>
    <row r="255" spans="1:13" x14ac:dyDescent="0.45">
      <c r="A255" t="s">
        <v>9</v>
      </c>
      <c r="B255" t="s">
        <v>93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22</v>
      </c>
    </row>
    <row r="256" spans="1:13" x14ac:dyDescent="0.45">
      <c r="A256" t="s">
        <v>0</v>
      </c>
      <c r="B256" t="s">
        <v>93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68</v>
      </c>
    </row>
    <row r="257" spans="1:13" x14ac:dyDescent="0.45">
      <c r="A257" t="s">
        <v>0</v>
      </c>
      <c r="B257" t="s">
        <v>93</v>
      </c>
      <c r="C257">
        <v>2025</v>
      </c>
      <c r="D257">
        <v>34</v>
      </c>
      <c r="E257">
        <v>65535</v>
      </c>
      <c r="F257">
        <v>2.42</v>
      </c>
      <c r="H257">
        <v>1.18</v>
      </c>
      <c r="I257">
        <v>65535</v>
      </c>
      <c r="J257">
        <v>2.0099999999999998</v>
      </c>
      <c r="K257">
        <v>2.75</v>
      </c>
      <c r="L257" t="s">
        <v>1</v>
      </c>
      <c r="M257" t="s">
        <v>68</v>
      </c>
    </row>
    <row r="258" spans="1:13" x14ac:dyDescent="0.45">
      <c r="A258" t="s">
        <v>0</v>
      </c>
      <c r="B258" t="s">
        <v>93</v>
      </c>
      <c r="C258">
        <v>2030</v>
      </c>
      <c r="D258">
        <v>34</v>
      </c>
      <c r="E258">
        <v>65535</v>
      </c>
      <c r="F258">
        <v>3.1</v>
      </c>
      <c r="H258">
        <v>1.71</v>
      </c>
      <c r="I258">
        <v>65535</v>
      </c>
      <c r="J258">
        <v>2.38</v>
      </c>
      <c r="K258">
        <v>3.46</v>
      </c>
      <c r="L258" t="s">
        <v>1</v>
      </c>
      <c r="M258" t="s">
        <v>68</v>
      </c>
    </row>
    <row r="259" spans="1:13" x14ac:dyDescent="0.45">
      <c r="A259" t="s">
        <v>0</v>
      </c>
      <c r="B259" t="s">
        <v>93</v>
      </c>
      <c r="C259">
        <v>2035</v>
      </c>
      <c r="D259">
        <v>34</v>
      </c>
      <c r="E259">
        <v>65535</v>
      </c>
      <c r="F259">
        <v>3.54</v>
      </c>
      <c r="H259">
        <v>1.91</v>
      </c>
      <c r="I259">
        <v>65535</v>
      </c>
      <c r="J259">
        <v>2.66</v>
      </c>
      <c r="K259">
        <v>4.16</v>
      </c>
      <c r="L259" t="s">
        <v>1</v>
      </c>
      <c r="M259" t="s">
        <v>68</v>
      </c>
    </row>
    <row r="260" spans="1:13" x14ac:dyDescent="0.45">
      <c r="A260" t="s">
        <v>0</v>
      </c>
      <c r="B260" t="s">
        <v>93</v>
      </c>
      <c r="C260">
        <v>2040</v>
      </c>
      <c r="D260">
        <v>34</v>
      </c>
      <c r="E260">
        <v>65535</v>
      </c>
      <c r="F260">
        <v>4.0999999999999996</v>
      </c>
      <c r="H260">
        <v>2.27</v>
      </c>
      <c r="I260">
        <v>65535</v>
      </c>
      <c r="J260">
        <v>2.96</v>
      </c>
      <c r="K260">
        <v>4.5199999999999996</v>
      </c>
      <c r="L260" t="s">
        <v>1</v>
      </c>
      <c r="M260" t="s">
        <v>68</v>
      </c>
    </row>
    <row r="261" spans="1:13" x14ac:dyDescent="0.45">
      <c r="A261" t="s">
        <v>0</v>
      </c>
      <c r="B261" t="s">
        <v>93</v>
      </c>
      <c r="C261">
        <v>2045</v>
      </c>
      <c r="D261">
        <v>34</v>
      </c>
      <c r="E261">
        <v>65535</v>
      </c>
      <c r="F261">
        <v>3.86</v>
      </c>
      <c r="H261">
        <v>2.54</v>
      </c>
      <c r="I261">
        <v>65535</v>
      </c>
      <c r="J261">
        <v>3.3</v>
      </c>
      <c r="K261">
        <v>4.8899999999999997</v>
      </c>
      <c r="L261" t="s">
        <v>1</v>
      </c>
      <c r="M261" t="s">
        <v>68</v>
      </c>
    </row>
    <row r="262" spans="1:13" x14ac:dyDescent="0.45">
      <c r="A262" t="s">
        <v>0</v>
      </c>
      <c r="B262" t="s">
        <v>93</v>
      </c>
      <c r="C262">
        <v>2050</v>
      </c>
      <c r="D262">
        <v>34</v>
      </c>
      <c r="E262">
        <v>65535</v>
      </c>
      <c r="F262">
        <v>3.59</v>
      </c>
      <c r="H262">
        <v>2.73</v>
      </c>
      <c r="I262">
        <v>65535</v>
      </c>
      <c r="J262">
        <v>3.07</v>
      </c>
      <c r="K262">
        <v>4.0599999999999996</v>
      </c>
      <c r="L262" t="s">
        <v>1</v>
      </c>
      <c r="M262" t="s">
        <v>68</v>
      </c>
    </row>
    <row r="263" spans="1:13" x14ac:dyDescent="0.45">
      <c r="A263" t="s">
        <v>2</v>
      </c>
      <c r="B263" t="s">
        <v>93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68</v>
      </c>
    </row>
    <row r="264" spans="1:13" x14ac:dyDescent="0.45">
      <c r="A264" t="s">
        <v>2</v>
      </c>
      <c r="B264" t="s">
        <v>93</v>
      </c>
      <c r="C264">
        <v>2025</v>
      </c>
      <c r="D264">
        <v>44</v>
      </c>
      <c r="E264">
        <v>65535</v>
      </c>
      <c r="F264">
        <v>1.22</v>
      </c>
      <c r="H264">
        <v>0</v>
      </c>
      <c r="I264">
        <v>65535</v>
      </c>
      <c r="J264">
        <v>1.1299999999999999</v>
      </c>
      <c r="K264">
        <v>1.35</v>
      </c>
      <c r="L264" t="s">
        <v>3</v>
      </c>
      <c r="M264" t="s">
        <v>68</v>
      </c>
    </row>
    <row r="265" spans="1:13" x14ac:dyDescent="0.45">
      <c r="A265" t="s">
        <v>2</v>
      </c>
      <c r="B265" t="s">
        <v>93</v>
      </c>
      <c r="C265">
        <v>2030</v>
      </c>
      <c r="D265">
        <v>44</v>
      </c>
      <c r="E265">
        <v>65535</v>
      </c>
      <c r="F265">
        <v>1.5</v>
      </c>
      <c r="H265">
        <v>0</v>
      </c>
      <c r="I265">
        <v>65535</v>
      </c>
      <c r="J265">
        <v>1.31</v>
      </c>
      <c r="K265">
        <v>1.83</v>
      </c>
      <c r="L265" t="s">
        <v>3</v>
      </c>
      <c r="M265" t="s">
        <v>68</v>
      </c>
    </row>
    <row r="266" spans="1:13" x14ac:dyDescent="0.45">
      <c r="A266" t="s">
        <v>2</v>
      </c>
      <c r="B266" t="s">
        <v>93</v>
      </c>
      <c r="C266">
        <v>2035</v>
      </c>
      <c r="D266">
        <v>44</v>
      </c>
      <c r="E266">
        <v>65535</v>
      </c>
      <c r="F266">
        <v>2.12</v>
      </c>
      <c r="H266">
        <v>0</v>
      </c>
      <c r="I266">
        <v>65535</v>
      </c>
      <c r="J266">
        <v>1.68</v>
      </c>
      <c r="K266">
        <v>2.46</v>
      </c>
      <c r="L266" t="s">
        <v>3</v>
      </c>
      <c r="M266" t="s">
        <v>68</v>
      </c>
    </row>
    <row r="267" spans="1:13" x14ac:dyDescent="0.45">
      <c r="A267" t="s">
        <v>2</v>
      </c>
      <c r="B267" t="s">
        <v>93</v>
      </c>
      <c r="C267">
        <v>2040</v>
      </c>
      <c r="D267">
        <v>44</v>
      </c>
      <c r="E267">
        <v>65535</v>
      </c>
      <c r="F267">
        <v>2.5</v>
      </c>
      <c r="H267">
        <v>0</v>
      </c>
      <c r="I267">
        <v>65535</v>
      </c>
      <c r="J267">
        <v>2</v>
      </c>
      <c r="K267">
        <v>2.94</v>
      </c>
      <c r="L267" t="s">
        <v>3</v>
      </c>
      <c r="M267" t="s">
        <v>68</v>
      </c>
    </row>
    <row r="268" spans="1:13" x14ac:dyDescent="0.45">
      <c r="A268" t="s">
        <v>2</v>
      </c>
      <c r="B268" t="s">
        <v>93</v>
      </c>
      <c r="C268">
        <v>2045</v>
      </c>
      <c r="D268">
        <v>44</v>
      </c>
      <c r="E268">
        <v>65535</v>
      </c>
      <c r="F268">
        <v>2.79</v>
      </c>
      <c r="H268">
        <v>0</v>
      </c>
      <c r="I268">
        <v>65535</v>
      </c>
      <c r="J268">
        <v>2.08</v>
      </c>
      <c r="K268">
        <v>3.44</v>
      </c>
      <c r="L268" t="s">
        <v>3</v>
      </c>
      <c r="M268" t="s">
        <v>68</v>
      </c>
    </row>
    <row r="269" spans="1:13" x14ac:dyDescent="0.45">
      <c r="A269" t="s">
        <v>2</v>
      </c>
      <c r="B269" t="s">
        <v>93</v>
      </c>
      <c r="C269">
        <v>2050</v>
      </c>
      <c r="D269">
        <v>44</v>
      </c>
      <c r="E269">
        <v>65535</v>
      </c>
      <c r="F269">
        <v>2.95</v>
      </c>
      <c r="H269">
        <v>0</v>
      </c>
      <c r="I269">
        <v>65535</v>
      </c>
      <c r="J269">
        <v>2.4900000000000002</v>
      </c>
      <c r="K269">
        <v>3.78</v>
      </c>
      <c r="L269" t="s">
        <v>3</v>
      </c>
      <c r="M269" t="s">
        <v>68</v>
      </c>
    </row>
    <row r="270" spans="1:13" x14ac:dyDescent="0.45">
      <c r="A270" t="s">
        <v>5</v>
      </c>
      <c r="B270" t="s">
        <v>93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68</v>
      </c>
    </row>
    <row r="271" spans="1:13" x14ac:dyDescent="0.45">
      <c r="A271" t="s">
        <v>5</v>
      </c>
      <c r="B271" t="s">
        <v>93</v>
      </c>
      <c r="C271">
        <v>2025</v>
      </c>
      <c r="D271">
        <v>112</v>
      </c>
      <c r="E271">
        <v>65535</v>
      </c>
      <c r="F271">
        <v>1.41</v>
      </c>
      <c r="H271">
        <v>0.98</v>
      </c>
      <c r="I271">
        <v>65535</v>
      </c>
      <c r="J271">
        <v>1.23</v>
      </c>
      <c r="K271">
        <v>1.96</v>
      </c>
      <c r="L271" t="s">
        <v>6</v>
      </c>
      <c r="M271" t="s">
        <v>68</v>
      </c>
    </row>
    <row r="272" spans="1:13" x14ac:dyDescent="0.45">
      <c r="A272" t="s">
        <v>5</v>
      </c>
      <c r="B272" t="s">
        <v>93</v>
      </c>
      <c r="C272">
        <v>2030</v>
      </c>
      <c r="D272">
        <v>112</v>
      </c>
      <c r="E272">
        <v>65535</v>
      </c>
      <c r="F272">
        <v>2.04</v>
      </c>
      <c r="H272">
        <v>1.05</v>
      </c>
      <c r="I272">
        <v>65535</v>
      </c>
      <c r="J272">
        <v>1.52</v>
      </c>
      <c r="K272">
        <v>2.5499999999999998</v>
      </c>
      <c r="L272" t="s">
        <v>6</v>
      </c>
      <c r="M272" t="s">
        <v>68</v>
      </c>
    </row>
    <row r="273" spans="1:13" x14ac:dyDescent="0.45">
      <c r="A273" t="s">
        <v>5</v>
      </c>
      <c r="B273" t="s">
        <v>93</v>
      </c>
      <c r="C273">
        <v>2035</v>
      </c>
      <c r="D273">
        <v>112</v>
      </c>
      <c r="E273">
        <v>65535</v>
      </c>
      <c r="F273">
        <v>2.4</v>
      </c>
      <c r="H273">
        <v>1.05</v>
      </c>
      <c r="I273">
        <v>65535</v>
      </c>
      <c r="J273">
        <v>1.71</v>
      </c>
      <c r="K273">
        <v>3.14</v>
      </c>
      <c r="L273" t="s">
        <v>6</v>
      </c>
      <c r="M273" t="s">
        <v>68</v>
      </c>
    </row>
    <row r="274" spans="1:13" x14ac:dyDescent="0.45">
      <c r="A274" t="s">
        <v>5</v>
      </c>
      <c r="B274" t="s">
        <v>93</v>
      </c>
      <c r="C274">
        <v>2040</v>
      </c>
      <c r="D274">
        <v>112</v>
      </c>
      <c r="E274">
        <v>65535</v>
      </c>
      <c r="F274">
        <v>2.6</v>
      </c>
      <c r="H274">
        <v>1.06</v>
      </c>
      <c r="I274">
        <v>65535</v>
      </c>
      <c r="J274">
        <v>1.85</v>
      </c>
      <c r="K274">
        <v>3.74</v>
      </c>
      <c r="L274" t="s">
        <v>6</v>
      </c>
      <c r="M274" t="s">
        <v>68</v>
      </c>
    </row>
    <row r="275" spans="1:13" x14ac:dyDescent="0.45">
      <c r="A275" t="s">
        <v>5</v>
      </c>
      <c r="B275" t="s">
        <v>93</v>
      </c>
      <c r="C275">
        <v>2045</v>
      </c>
      <c r="D275">
        <v>112</v>
      </c>
      <c r="E275">
        <v>65535</v>
      </c>
      <c r="F275">
        <v>2.85</v>
      </c>
      <c r="H275">
        <v>1.08</v>
      </c>
      <c r="I275">
        <v>65535</v>
      </c>
      <c r="J275">
        <v>2</v>
      </c>
      <c r="K275">
        <v>4.28</v>
      </c>
      <c r="L275" t="s">
        <v>6</v>
      </c>
      <c r="M275" t="s">
        <v>68</v>
      </c>
    </row>
    <row r="276" spans="1:13" x14ac:dyDescent="0.45">
      <c r="A276" t="s">
        <v>5</v>
      </c>
      <c r="B276" t="s">
        <v>93</v>
      </c>
      <c r="C276">
        <v>2050</v>
      </c>
      <c r="D276">
        <v>112</v>
      </c>
      <c r="E276">
        <v>65535</v>
      </c>
      <c r="F276">
        <v>2.97</v>
      </c>
      <c r="H276">
        <v>0</v>
      </c>
      <c r="I276">
        <v>65535</v>
      </c>
      <c r="J276">
        <v>2.15</v>
      </c>
      <c r="K276">
        <v>4.51</v>
      </c>
      <c r="L276" t="s">
        <v>6</v>
      </c>
      <c r="M276" t="s">
        <v>68</v>
      </c>
    </row>
    <row r="277" spans="1:13" x14ac:dyDescent="0.45">
      <c r="A277" t="s">
        <v>7</v>
      </c>
      <c r="B277" t="s">
        <v>93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68</v>
      </c>
    </row>
    <row r="278" spans="1:13" x14ac:dyDescent="0.45">
      <c r="A278" t="s">
        <v>7</v>
      </c>
      <c r="B278" t="s">
        <v>93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68</v>
      </c>
    </row>
    <row r="279" spans="1:13" x14ac:dyDescent="0.45">
      <c r="A279" t="s">
        <v>7</v>
      </c>
      <c r="B279" t="s">
        <v>93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68</v>
      </c>
    </row>
    <row r="280" spans="1:13" x14ac:dyDescent="0.45">
      <c r="A280" t="s">
        <v>7</v>
      </c>
      <c r="B280" t="s">
        <v>93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68</v>
      </c>
    </row>
    <row r="281" spans="1:13" x14ac:dyDescent="0.45">
      <c r="A281" t="s">
        <v>7</v>
      </c>
      <c r="B281" t="s">
        <v>93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68</v>
      </c>
    </row>
    <row r="282" spans="1:13" x14ac:dyDescent="0.45">
      <c r="A282" t="s">
        <v>7</v>
      </c>
      <c r="B282" t="s">
        <v>93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68</v>
      </c>
    </row>
    <row r="283" spans="1:13" x14ac:dyDescent="0.45">
      <c r="A283" t="s">
        <v>7</v>
      </c>
      <c r="B283" t="s">
        <v>93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68</v>
      </c>
    </row>
    <row r="284" spans="1:13" x14ac:dyDescent="0.45">
      <c r="A284" t="s">
        <v>9</v>
      </c>
      <c r="B284" t="s">
        <v>93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68</v>
      </c>
    </row>
    <row r="285" spans="1:13" x14ac:dyDescent="0.45">
      <c r="A285" t="s">
        <v>9</v>
      </c>
      <c r="B285" t="s">
        <v>93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68</v>
      </c>
    </row>
    <row r="286" spans="1:13" x14ac:dyDescent="0.45">
      <c r="A286" t="s">
        <v>9</v>
      </c>
      <c r="B286" t="s">
        <v>93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68</v>
      </c>
    </row>
    <row r="287" spans="1:13" x14ac:dyDescent="0.45">
      <c r="A287" t="s">
        <v>9</v>
      </c>
      <c r="B287" t="s">
        <v>93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68</v>
      </c>
    </row>
    <row r="288" spans="1:13" x14ac:dyDescent="0.45">
      <c r="A288" t="s">
        <v>9</v>
      </c>
      <c r="B288" t="s">
        <v>93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68</v>
      </c>
    </row>
    <row r="289" spans="1:13" x14ac:dyDescent="0.45">
      <c r="A289" t="s">
        <v>9</v>
      </c>
      <c r="B289" t="s">
        <v>93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68</v>
      </c>
    </row>
    <row r="290" spans="1:13" x14ac:dyDescent="0.45">
      <c r="A290" t="s">
        <v>9</v>
      </c>
      <c r="B290" t="s">
        <v>93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68</v>
      </c>
    </row>
    <row r="291" spans="1:13" x14ac:dyDescent="0.45">
      <c r="A291" t="s">
        <v>0</v>
      </c>
      <c r="B291" t="s">
        <v>93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69</v>
      </c>
    </row>
    <row r="292" spans="1:13" x14ac:dyDescent="0.45">
      <c r="A292" t="s">
        <v>0</v>
      </c>
      <c r="B292" t="s">
        <v>93</v>
      </c>
      <c r="C292">
        <v>2025</v>
      </c>
      <c r="D292">
        <v>50</v>
      </c>
      <c r="E292">
        <v>65535</v>
      </c>
      <c r="F292">
        <v>1.1000000000000001</v>
      </c>
      <c r="H292">
        <v>-4.33</v>
      </c>
      <c r="I292">
        <v>65535</v>
      </c>
      <c r="J292">
        <v>0.81</v>
      </c>
      <c r="K292">
        <v>1.5</v>
      </c>
      <c r="L292" t="s">
        <v>1</v>
      </c>
      <c r="M292" t="s">
        <v>69</v>
      </c>
    </row>
    <row r="293" spans="1:13" x14ac:dyDescent="0.45">
      <c r="A293" t="s">
        <v>0</v>
      </c>
      <c r="B293" t="s">
        <v>93</v>
      </c>
      <c r="C293">
        <v>2030</v>
      </c>
      <c r="D293">
        <v>50</v>
      </c>
      <c r="E293">
        <v>65535</v>
      </c>
      <c r="F293">
        <v>1.77</v>
      </c>
      <c r="H293">
        <v>-6.1</v>
      </c>
      <c r="I293">
        <v>65535</v>
      </c>
      <c r="J293">
        <v>1.27</v>
      </c>
      <c r="K293">
        <v>2.54</v>
      </c>
      <c r="L293" t="s">
        <v>1</v>
      </c>
      <c r="M293" t="s">
        <v>69</v>
      </c>
    </row>
    <row r="294" spans="1:13" x14ac:dyDescent="0.45">
      <c r="A294" t="s">
        <v>0</v>
      </c>
      <c r="B294" t="s">
        <v>93</v>
      </c>
      <c r="C294">
        <v>2035</v>
      </c>
      <c r="D294">
        <v>50</v>
      </c>
      <c r="E294">
        <v>65535</v>
      </c>
      <c r="F294">
        <v>1.87</v>
      </c>
      <c r="H294">
        <v>-6.86</v>
      </c>
      <c r="I294">
        <v>65535</v>
      </c>
      <c r="J294">
        <v>1.1499999999999999</v>
      </c>
      <c r="K294">
        <v>2.77</v>
      </c>
      <c r="L294" t="s">
        <v>1</v>
      </c>
      <c r="M294" t="s">
        <v>69</v>
      </c>
    </row>
    <row r="295" spans="1:13" x14ac:dyDescent="0.45">
      <c r="A295" t="s">
        <v>0</v>
      </c>
      <c r="B295" t="s">
        <v>93</v>
      </c>
      <c r="C295">
        <v>2040</v>
      </c>
      <c r="D295">
        <v>50</v>
      </c>
      <c r="E295">
        <v>65535</v>
      </c>
      <c r="F295">
        <v>1.96</v>
      </c>
      <c r="H295">
        <v>-9.2100000000000009</v>
      </c>
      <c r="I295">
        <v>65535</v>
      </c>
      <c r="J295">
        <v>1.31</v>
      </c>
      <c r="K295">
        <v>3.39</v>
      </c>
      <c r="L295" t="s">
        <v>1</v>
      </c>
      <c r="M295" t="s">
        <v>69</v>
      </c>
    </row>
    <row r="296" spans="1:13" x14ac:dyDescent="0.45">
      <c r="A296" t="s">
        <v>0</v>
      </c>
      <c r="B296" t="s">
        <v>93</v>
      </c>
      <c r="C296">
        <v>2045</v>
      </c>
      <c r="D296">
        <v>50</v>
      </c>
      <c r="E296">
        <v>65535</v>
      </c>
      <c r="F296">
        <v>2.13</v>
      </c>
      <c r="H296">
        <v>-6.95</v>
      </c>
      <c r="I296">
        <v>65535</v>
      </c>
      <c r="J296">
        <v>1.6</v>
      </c>
      <c r="K296">
        <v>3.41</v>
      </c>
      <c r="L296" t="s">
        <v>1</v>
      </c>
      <c r="M296" t="s">
        <v>69</v>
      </c>
    </row>
    <row r="297" spans="1:13" x14ac:dyDescent="0.45">
      <c r="A297" t="s">
        <v>0</v>
      </c>
      <c r="B297" t="s">
        <v>93</v>
      </c>
      <c r="C297">
        <v>2050</v>
      </c>
      <c r="D297">
        <v>50</v>
      </c>
      <c r="E297">
        <v>65535</v>
      </c>
      <c r="F297">
        <v>2</v>
      </c>
      <c r="H297">
        <v>-10.07</v>
      </c>
      <c r="I297">
        <v>65535</v>
      </c>
      <c r="J297">
        <v>1.55</v>
      </c>
      <c r="K297">
        <v>4.63</v>
      </c>
      <c r="L297" t="s">
        <v>1</v>
      </c>
      <c r="M297" t="s">
        <v>69</v>
      </c>
    </row>
    <row r="298" spans="1:13" x14ac:dyDescent="0.45">
      <c r="A298" t="s">
        <v>2</v>
      </c>
      <c r="B298" t="s">
        <v>93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69</v>
      </c>
    </row>
    <row r="299" spans="1:13" x14ac:dyDescent="0.45">
      <c r="A299" t="s">
        <v>2</v>
      </c>
      <c r="B299" t="s">
        <v>93</v>
      </c>
      <c r="C299">
        <v>2025</v>
      </c>
      <c r="D299">
        <v>52</v>
      </c>
      <c r="E299">
        <v>65535</v>
      </c>
      <c r="F299">
        <v>0.61</v>
      </c>
      <c r="H299">
        <v>0</v>
      </c>
      <c r="I299">
        <v>65535</v>
      </c>
      <c r="J299">
        <v>0.53</v>
      </c>
      <c r="K299">
        <v>0.89</v>
      </c>
      <c r="L299" t="s">
        <v>3</v>
      </c>
      <c r="M299" t="s">
        <v>69</v>
      </c>
    </row>
    <row r="300" spans="1:13" x14ac:dyDescent="0.45">
      <c r="A300" t="s">
        <v>2</v>
      </c>
      <c r="B300" t="s">
        <v>93</v>
      </c>
      <c r="C300">
        <v>2030</v>
      </c>
      <c r="D300">
        <v>63</v>
      </c>
      <c r="E300">
        <v>65535</v>
      </c>
      <c r="F300">
        <v>1.07</v>
      </c>
      <c r="H300">
        <v>0</v>
      </c>
      <c r="I300">
        <v>65535</v>
      </c>
      <c r="J300">
        <v>0.6</v>
      </c>
      <c r="K300">
        <v>1.55</v>
      </c>
      <c r="L300" t="s">
        <v>3</v>
      </c>
      <c r="M300" t="s">
        <v>69</v>
      </c>
    </row>
    <row r="301" spans="1:13" x14ac:dyDescent="0.45">
      <c r="A301" t="s">
        <v>2</v>
      </c>
      <c r="B301" t="s">
        <v>93</v>
      </c>
      <c r="C301">
        <v>2035</v>
      </c>
      <c r="D301">
        <v>52</v>
      </c>
      <c r="E301">
        <v>65535</v>
      </c>
      <c r="F301">
        <v>1.0900000000000001</v>
      </c>
      <c r="H301">
        <v>0</v>
      </c>
      <c r="I301">
        <v>65535</v>
      </c>
      <c r="J301">
        <v>0.6</v>
      </c>
      <c r="K301">
        <v>1.76</v>
      </c>
      <c r="L301" t="s">
        <v>3</v>
      </c>
      <c r="M301" t="s">
        <v>69</v>
      </c>
    </row>
    <row r="302" spans="1:13" x14ac:dyDescent="0.45">
      <c r="A302" t="s">
        <v>2</v>
      </c>
      <c r="B302" t="s">
        <v>93</v>
      </c>
      <c r="C302">
        <v>2040</v>
      </c>
      <c r="D302">
        <v>63</v>
      </c>
      <c r="E302">
        <v>65535</v>
      </c>
      <c r="F302">
        <v>1.25</v>
      </c>
      <c r="H302">
        <v>0</v>
      </c>
      <c r="I302">
        <v>65535</v>
      </c>
      <c r="J302">
        <v>0.87</v>
      </c>
      <c r="K302">
        <v>1.91</v>
      </c>
      <c r="L302" t="s">
        <v>3</v>
      </c>
      <c r="M302" t="s">
        <v>69</v>
      </c>
    </row>
    <row r="303" spans="1:13" x14ac:dyDescent="0.45">
      <c r="A303" t="s">
        <v>2</v>
      </c>
      <c r="B303" t="s">
        <v>93</v>
      </c>
      <c r="C303">
        <v>2045</v>
      </c>
      <c r="D303">
        <v>52</v>
      </c>
      <c r="E303">
        <v>65535</v>
      </c>
      <c r="F303">
        <v>1.35</v>
      </c>
      <c r="H303">
        <v>0</v>
      </c>
      <c r="I303">
        <v>65535</v>
      </c>
      <c r="J303">
        <v>0.78</v>
      </c>
      <c r="K303">
        <v>1.89</v>
      </c>
      <c r="L303" t="s">
        <v>3</v>
      </c>
      <c r="M303" t="s">
        <v>69</v>
      </c>
    </row>
    <row r="304" spans="1:13" x14ac:dyDescent="0.45">
      <c r="A304" t="s">
        <v>2</v>
      </c>
      <c r="B304" t="s">
        <v>93</v>
      </c>
      <c r="C304">
        <v>2050</v>
      </c>
      <c r="D304">
        <v>63</v>
      </c>
      <c r="E304">
        <v>65535</v>
      </c>
      <c r="F304">
        <v>1.62</v>
      </c>
      <c r="H304">
        <v>-2.31</v>
      </c>
      <c r="I304">
        <v>65535</v>
      </c>
      <c r="J304">
        <v>0.61</v>
      </c>
      <c r="K304">
        <v>2.16</v>
      </c>
      <c r="L304" t="s">
        <v>3</v>
      </c>
      <c r="M304" t="s">
        <v>69</v>
      </c>
    </row>
    <row r="305" spans="1:13" x14ac:dyDescent="0.45">
      <c r="A305" t="s">
        <v>5</v>
      </c>
      <c r="B305" t="s">
        <v>93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69</v>
      </c>
    </row>
    <row r="306" spans="1:13" x14ac:dyDescent="0.45">
      <c r="A306" t="s">
        <v>5</v>
      </c>
      <c r="B306" t="s">
        <v>93</v>
      </c>
      <c r="C306">
        <v>2025</v>
      </c>
      <c r="D306">
        <v>163</v>
      </c>
      <c r="E306">
        <v>65535</v>
      </c>
      <c r="F306">
        <v>0.75</v>
      </c>
      <c r="H306">
        <v>0.46</v>
      </c>
      <c r="I306">
        <v>65535</v>
      </c>
      <c r="J306">
        <v>0.54</v>
      </c>
      <c r="K306">
        <v>1.24</v>
      </c>
      <c r="L306" t="s">
        <v>6</v>
      </c>
      <c r="M306" t="s">
        <v>69</v>
      </c>
    </row>
    <row r="307" spans="1:13" x14ac:dyDescent="0.45">
      <c r="A307" t="s">
        <v>5</v>
      </c>
      <c r="B307" t="s">
        <v>93</v>
      </c>
      <c r="C307">
        <v>2030</v>
      </c>
      <c r="D307">
        <v>166</v>
      </c>
      <c r="E307">
        <v>65535</v>
      </c>
      <c r="F307">
        <v>1.1499999999999999</v>
      </c>
      <c r="H307">
        <v>0.51</v>
      </c>
      <c r="I307">
        <v>65535</v>
      </c>
      <c r="J307">
        <v>0.74</v>
      </c>
      <c r="K307">
        <v>1.65</v>
      </c>
      <c r="L307" t="s">
        <v>6</v>
      </c>
      <c r="M307" t="s">
        <v>69</v>
      </c>
    </row>
    <row r="308" spans="1:13" x14ac:dyDescent="0.45">
      <c r="A308" t="s">
        <v>5</v>
      </c>
      <c r="B308" t="s">
        <v>93</v>
      </c>
      <c r="C308">
        <v>2035</v>
      </c>
      <c r="D308">
        <v>163</v>
      </c>
      <c r="E308">
        <v>65535</v>
      </c>
      <c r="F308">
        <v>1.21</v>
      </c>
      <c r="H308">
        <v>-0.95</v>
      </c>
      <c r="I308">
        <v>65535</v>
      </c>
      <c r="J308">
        <v>0.88</v>
      </c>
      <c r="K308">
        <v>2.11</v>
      </c>
      <c r="L308" t="s">
        <v>6</v>
      </c>
      <c r="M308" t="s">
        <v>69</v>
      </c>
    </row>
    <row r="309" spans="1:13" x14ac:dyDescent="0.45">
      <c r="A309" t="s">
        <v>5</v>
      </c>
      <c r="B309" t="s">
        <v>93</v>
      </c>
      <c r="C309">
        <v>2040</v>
      </c>
      <c r="D309">
        <v>166</v>
      </c>
      <c r="E309">
        <v>65535</v>
      </c>
      <c r="F309">
        <v>1.28</v>
      </c>
      <c r="H309">
        <v>-1.8</v>
      </c>
      <c r="I309">
        <v>65535</v>
      </c>
      <c r="J309">
        <v>0.89</v>
      </c>
      <c r="K309">
        <v>2.4300000000000002</v>
      </c>
      <c r="L309" t="s">
        <v>6</v>
      </c>
      <c r="M309" t="s">
        <v>69</v>
      </c>
    </row>
    <row r="310" spans="1:13" x14ac:dyDescent="0.45">
      <c r="A310" t="s">
        <v>5</v>
      </c>
      <c r="B310" t="s">
        <v>93</v>
      </c>
      <c r="C310">
        <v>2045</v>
      </c>
      <c r="D310">
        <v>163</v>
      </c>
      <c r="E310">
        <v>65535</v>
      </c>
      <c r="F310">
        <v>1.48</v>
      </c>
      <c r="H310">
        <v>-5.93</v>
      </c>
      <c r="I310">
        <v>65535</v>
      </c>
      <c r="J310">
        <v>1.08</v>
      </c>
      <c r="K310">
        <v>2.75</v>
      </c>
      <c r="L310" t="s">
        <v>6</v>
      </c>
      <c r="M310" t="s">
        <v>69</v>
      </c>
    </row>
    <row r="311" spans="1:13" x14ac:dyDescent="0.45">
      <c r="A311" t="s">
        <v>5</v>
      </c>
      <c r="B311" t="s">
        <v>93</v>
      </c>
      <c r="C311">
        <v>2050</v>
      </c>
      <c r="D311">
        <v>166</v>
      </c>
      <c r="E311">
        <v>65535</v>
      </c>
      <c r="F311">
        <v>1.59</v>
      </c>
      <c r="H311">
        <v>-5.35</v>
      </c>
      <c r="I311">
        <v>65535</v>
      </c>
      <c r="J311">
        <v>0.97</v>
      </c>
      <c r="K311">
        <v>2.91</v>
      </c>
      <c r="L311" t="s">
        <v>6</v>
      </c>
      <c r="M311" t="s">
        <v>69</v>
      </c>
    </row>
    <row r="312" spans="1:13" x14ac:dyDescent="0.45">
      <c r="A312" t="s">
        <v>7</v>
      </c>
      <c r="B312" t="s">
        <v>93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69</v>
      </c>
    </row>
    <row r="313" spans="1:13" x14ac:dyDescent="0.45">
      <c r="A313" t="s">
        <v>7</v>
      </c>
      <c r="B313" t="s">
        <v>93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69</v>
      </c>
    </row>
    <row r="314" spans="1:13" x14ac:dyDescent="0.45">
      <c r="A314" t="s">
        <v>7</v>
      </c>
      <c r="B314" t="s">
        <v>93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69</v>
      </c>
    </row>
    <row r="315" spans="1:13" x14ac:dyDescent="0.45">
      <c r="A315" t="s">
        <v>7</v>
      </c>
      <c r="B315" t="s">
        <v>93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69</v>
      </c>
    </row>
    <row r="316" spans="1:13" x14ac:dyDescent="0.45">
      <c r="A316" t="s">
        <v>7</v>
      </c>
      <c r="B316" t="s">
        <v>93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69</v>
      </c>
    </row>
    <row r="317" spans="1:13" x14ac:dyDescent="0.45">
      <c r="A317" t="s">
        <v>7</v>
      </c>
      <c r="B317" t="s">
        <v>93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69</v>
      </c>
    </row>
    <row r="318" spans="1:13" x14ac:dyDescent="0.45">
      <c r="A318" t="s">
        <v>7</v>
      </c>
      <c r="B318" t="s">
        <v>93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69</v>
      </c>
    </row>
    <row r="319" spans="1:13" x14ac:dyDescent="0.45">
      <c r="A319" t="s">
        <v>9</v>
      </c>
      <c r="B319" t="s">
        <v>93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69</v>
      </c>
    </row>
    <row r="320" spans="1:13" x14ac:dyDescent="0.45">
      <c r="A320" t="s">
        <v>9</v>
      </c>
      <c r="B320" t="s">
        <v>93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69</v>
      </c>
    </row>
    <row r="321" spans="1:13" x14ac:dyDescent="0.45">
      <c r="A321" t="s">
        <v>9</v>
      </c>
      <c r="B321" t="s">
        <v>93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69</v>
      </c>
    </row>
    <row r="322" spans="1:13" x14ac:dyDescent="0.45">
      <c r="A322" t="s">
        <v>9</v>
      </c>
      <c r="B322" t="s">
        <v>93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69</v>
      </c>
    </row>
    <row r="323" spans="1:13" x14ac:dyDescent="0.45">
      <c r="A323" t="s">
        <v>9</v>
      </c>
      <c r="B323" t="s">
        <v>93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69</v>
      </c>
    </row>
    <row r="324" spans="1:13" x14ac:dyDescent="0.45">
      <c r="A324" t="s">
        <v>9</v>
      </c>
      <c r="B324" t="s">
        <v>93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69</v>
      </c>
    </row>
    <row r="325" spans="1:13" x14ac:dyDescent="0.45">
      <c r="A325" t="s">
        <v>9</v>
      </c>
      <c r="B325" t="s">
        <v>93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69</v>
      </c>
    </row>
    <row r="326" spans="1:13" x14ac:dyDescent="0.45">
      <c r="A326" t="s">
        <v>0</v>
      </c>
      <c r="B326" t="s">
        <v>93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70</v>
      </c>
    </row>
    <row r="327" spans="1:13" x14ac:dyDescent="0.45">
      <c r="A327" t="s">
        <v>0</v>
      </c>
      <c r="B327" t="s">
        <v>93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70</v>
      </c>
    </row>
    <row r="328" spans="1:13" x14ac:dyDescent="0.45">
      <c r="A328" t="s">
        <v>0</v>
      </c>
      <c r="B328" t="s">
        <v>93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70</v>
      </c>
    </row>
    <row r="329" spans="1:13" x14ac:dyDescent="0.45">
      <c r="A329" t="s">
        <v>0</v>
      </c>
      <c r="B329" t="s">
        <v>93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70</v>
      </c>
    </row>
    <row r="330" spans="1:13" x14ac:dyDescent="0.45">
      <c r="A330" t="s">
        <v>0</v>
      </c>
      <c r="B330" t="s">
        <v>93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70</v>
      </c>
    </row>
    <row r="331" spans="1:13" x14ac:dyDescent="0.45">
      <c r="A331" t="s">
        <v>0</v>
      </c>
      <c r="B331" t="s">
        <v>93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70</v>
      </c>
    </row>
    <row r="332" spans="1:13" x14ac:dyDescent="0.45">
      <c r="A332" t="s">
        <v>0</v>
      </c>
      <c r="B332" t="s">
        <v>93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70</v>
      </c>
    </row>
    <row r="333" spans="1:13" x14ac:dyDescent="0.45">
      <c r="A333" t="s">
        <v>2</v>
      </c>
      <c r="B333" t="s">
        <v>93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70</v>
      </c>
    </row>
    <row r="334" spans="1:13" x14ac:dyDescent="0.45">
      <c r="A334" t="s">
        <v>2</v>
      </c>
      <c r="B334" t="s">
        <v>93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70</v>
      </c>
    </row>
    <row r="335" spans="1:13" x14ac:dyDescent="0.45">
      <c r="A335" t="s">
        <v>2</v>
      </c>
      <c r="B335" t="s">
        <v>93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70</v>
      </c>
    </row>
    <row r="336" spans="1:13" x14ac:dyDescent="0.45">
      <c r="A336" t="s">
        <v>2</v>
      </c>
      <c r="B336" t="s">
        <v>93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70</v>
      </c>
    </row>
    <row r="337" spans="1:13" x14ac:dyDescent="0.45">
      <c r="A337" t="s">
        <v>2</v>
      </c>
      <c r="B337" t="s">
        <v>93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70</v>
      </c>
    </row>
    <row r="338" spans="1:13" x14ac:dyDescent="0.45">
      <c r="A338" t="s">
        <v>2</v>
      </c>
      <c r="B338" t="s">
        <v>93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70</v>
      </c>
    </row>
    <row r="339" spans="1:13" x14ac:dyDescent="0.45">
      <c r="A339" t="s">
        <v>2</v>
      </c>
      <c r="B339" t="s">
        <v>93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70</v>
      </c>
    </row>
    <row r="340" spans="1:13" x14ac:dyDescent="0.45">
      <c r="A340" t="s">
        <v>5</v>
      </c>
      <c r="B340" t="s">
        <v>93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70</v>
      </c>
    </row>
    <row r="341" spans="1:13" x14ac:dyDescent="0.45">
      <c r="A341" t="s">
        <v>5</v>
      </c>
      <c r="B341" t="s">
        <v>93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70</v>
      </c>
    </row>
    <row r="342" spans="1:13" x14ac:dyDescent="0.45">
      <c r="A342" t="s">
        <v>5</v>
      </c>
      <c r="B342" t="s">
        <v>93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70</v>
      </c>
    </row>
    <row r="343" spans="1:13" x14ac:dyDescent="0.45">
      <c r="A343" t="s">
        <v>5</v>
      </c>
      <c r="B343" t="s">
        <v>93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70</v>
      </c>
    </row>
    <row r="344" spans="1:13" x14ac:dyDescent="0.45">
      <c r="A344" t="s">
        <v>5</v>
      </c>
      <c r="B344" t="s">
        <v>93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70</v>
      </c>
    </row>
    <row r="345" spans="1:13" x14ac:dyDescent="0.45">
      <c r="A345" t="s">
        <v>5</v>
      </c>
      <c r="B345" t="s">
        <v>93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70</v>
      </c>
    </row>
    <row r="346" spans="1:13" x14ac:dyDescent="0.45">
      <c r="A346" t="s">
        <v>5</v>
      </c>
      <c r="B346" t="s">
        <v>93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70</v>
      </c>
    </row>
    <row r="347" spans="1:13" x14ac:dyDescent="0.45">
      <c r="A347" t="s">
        <v>7</v>
      </c>
      <c r="B347" t="s">
        <v>93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70</v>
      </c>
    </row>
    <row r="348" spans="1:13" x14ac:dyDescent="0.45">
      <c r="A348" t="s">
        <v>7</v>
      </c>
      <c r="B348" t="s">
        <v>93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70</v>
      </c>
    </row>
    <row r="349" spans="1:13" x14ac:dyDescent="0.45">
      <c r="A349" t="s">
        <v>7</v>
      </c>
      <c r="B349" t="s">
        <v>93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70</v>
      </c>
    </row>
    <row r="350" spans="1:13" x14ac:dyDescent="0.45">
      <c r="A350" t="s">
        <v>7</v>
      </c>
      <c r="B350" t="s">
        <v>93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70</v>
      </c>
    </row>
    <row r="351" spans="1:13" x14ac:dyDescent="0.45">
      <c r="A351" t="s">
        <v>7</v>
      </c>
      <c r="B351" t="s">
        <v>93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70</v>
      </c>
    </row>
    <row r="352" spans="1:13" x14ac:dyDescent="0.45">
      <c r="A352" t="s">
        <v>7</v>
      </c>
      <c r="B352" t="s">
        <v>93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70</v>
      </c>
    </row>
    <row r="353" spans="1:13" x14ac:dyDescent="0.45">
      <c r="A353" t="s">
        <v>7</v>
      </c>
      <c r="B353" t="s">
        <v>93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70</v>
      </c>
    </row>
    <row r="354" spans="1:13" x14ac:dyDescent="0.45">
      <c r="A354" t="s">
        <v>9</v>
      </c>
      <c r="B354" t="s">
        <v>93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70</v>
      </c>
    </row>
    <row r="355" spans="1:13" x14ac:dyDescent="0.45">
      <c r="A355" t="s">
        <v>9</v>
      </c>
      <c r="B355" t="s">
        <v>93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70</v>
      </c>
    </row>
    <row r="356" spans="1:13" x14ac:dyDescent="0.45">
      <c r="A356" t="s">
        <v>9</v>
      </c>
      <c r="B356" t="s">
        <v>93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70</v>
      </c>
    </row>
    <row r="357" spans="1:13" x14ac:dyDescent="0.45">
      <c r="A357" t="s">
        <v>9</v>
      </c>
      <c r="B357" t="s">
        <v>93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70</v>
      </c>
    </row>
    <row r="358" spans="1:13" x14ac:dyDescent="0.45">
      <c r="A358" t="s">
        <v>9</v>
      </c>
      <c r="B358" t="s">
        <v>93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70</v>
      </c>
    </row>
    <row r="359" spans="1:13" x14ac:dyDescent="0.45">
      <c r="A359" t="s">
        <v>9</v>
      </c>
      <c r="B359" t="s">
        <v>93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70</v>
      </c>
    </row>
    <row r="360" spans="1:13" x14ac:dyDescent="0.45">
      <c r="A360" t="s">
        <v>9</v>
      </c>
      <c r="B360" t="s">
        <v>93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70</v>
      </c>
    </row>
    <row r="361" spans="1:13" x14ac:dyDescent="0.45">
      <c r="A361" t="s">
        <v>0</v>
      </c>
      <c r="B361" t="s">
        <v>93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71</v>
      </c>
    </row>
    <row r="362" spans="1:13" x14ac:dyDescent="0.45">
      <c r="A362" t="s">
        <v>0</v>
      </c>
      <c r="B362" t="s">
        <v>93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71</v>
      </c>
    </row>
    <row r="363" spans="1:13" x14ac:dyDescent="0.45">
      <c r="A363" t="s">
        <v>0</v>
      </c>
      <c r="B363" t="s">
        <v>93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71</v>
      </c>
    </row>
    <row r="364" spans="1:13" x14ac:dyDescent="0.45">
      <c r="A364" t="s">
        <v>0</v>
      </c>
      <c r="B364" t="s">
        <v>93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71</v>
      </c>
    </row>
    <row r="365" spans="1:13" x14ac:dyDescent="0.45">
      <c r="A365" t="s">
        <v>0</v>
      </c>
      <c r="B365" t="s">
        <v>93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71</v>
      </c>
    </row>
    <row r="366" spans="1:13" x14ac:dyDescent="0.45">
      <c r="A366" t="s">
        <v>0</v>
      </c>
      <c r="B366" t="s">
        <v>93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71</v>
      </c>
    </row>
    <row r="367" spans="1:13" x14ac:dyDescent="0.45">
      <c r="A367" t="s">
        <v>0</v>
      </c>
      <c r="B367" t="s">
        <v>93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71</v>
      </c>
    </row>
    <row r="368" spans="1:13" x14ac:dyDescent="0.45">
      <c r="A368" t="s">
        <v>2</v>
      </c>
      <c r="B368" t="s">
        <v>93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71</v>
      </c>
    </row>
    <row r="369" spans="1:13" x14ac:dyDescent="0.45">
      <c r="A369" t="s">
        <v>2</v>
      </c>
      <c r="B369" t="s">
        <v>93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71</v>
      </c>
    </row>
    <row r="370" spans="1:13" x14ac:dyDescent="0.45">
      <c r="A370" t="s">
        <v>2</v>
      </c>
      <c r="B370" t="s">
        <v>93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71</v>
      </c>
    </row>
    <row r="371" spans="1:13" x14ac:dyDescent="0.45">
      <c r="A371" t="s">
        <v>2</v>
      </c>
      <c r="B371" t="s">
        <v>93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71</v>
      </c>
    </row>
    <row r="372" spans="1:13" x14ac:dyDescent="0.45">
      <c r="A372" t="s">
        <v>2</v>
      </c>
      <c r="B372" t="s">
        <v>93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71</v>
      </c>
    </row>
    <row r="373" spans="1:13" x14ac:dyDescent="0.45">
      <c r="A373" t="s">
        <v>2</v>
      </c>
      <c r="B373" t="s">
        <v>93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71</v>
      </c>
    </row>
    <row r="374" spans="1:13" x14ac:dyDescent="0.45">
      <c r="A374" t="s">
        <v>2</v>
      </c>
      <c r="B374" t="s">
        <v>93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71</v>
      </c>
    </row>
    <row r="375" spans="1:13" x14ac:dyDescent="0.45">
      <c r="A375" t="s">
        <v>5</v>
      </c>
      <c r="B375" t="s">
        <v>93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71</v>
      </c>
    </row>
    <row r="376" spans="1:13" x14ac:dyDescent="0.45">
      <c r="A376" t="s">
        <v>5</v>
      </c>
      <c r="B376" t="s">
        <v>93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71</v>
      </c>
    </row>
    <row r="377" spans="1:13" x14ac:dyDescent="0.45">
      <c r="A377" t="s">
        <v>5</v>
      </c>
      <c r="B377" t="s">
        <v>93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71</v>
      </c>
    </row>
    <row r="378" spans="1:13" x14ac:dyDescent="0.45">
      <c r="A378" t="s">
        <v>5</v>
      </c>
      <c r="B378" t="s">
        <v>93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71</v>
      </c>
    </row>
    <row r="379" spans="1:13" x14ac:dyDescent="0.45">
      <c r="A379" t="s">
        <v>5</v>
      </c>
      <c r="B379" t="s">
        <v>93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71</v>
      </c>
    </row>
    <row r="380" spans="1:13" x14ac:dyDescent="0.45">
      <c r="A380" t="s">
        <v>5</v>
      </c>
      <c r="B380" t="s">
        <v>93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71</v>
      </c>
    </row>
    <row r="381" spans="1:13" x14ac:dyDescent="0.45">
      <c r="A381" t="s">
        <v>5</v>
      </c>
      <c r="B381" t="s">
        <v>93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71</v>
      </c>
    </row>
    <row r="382" spans="1:13" x14ac:dyDescent="0.45">
      <c r="A382" t="s">
        <v>7</v>
      </c>
      <c r="B382" t="s">
        <v>93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71</v>
      </c>
    </row>
    <row r="383" spans="1:13" x14ac:dyDescent="0.45">
      <c r="A383" t="s">
        <v>7</v>
      </c>
      <c r="B383" t="s">
        <v>93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71</v>
      </c>
    </row>
    <row r="384" spans="1:13" x14ac:dyDescent="0.45">
      <c r="A384" t="s">
        <v>7</v>
      </c>
      <c r="B384" t="s">
        <v>93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71</v>
      </c>
    </row>
    <row r="385" spans="1:13" x14ac:dyDescent="0.45">
      <c r="A385" t="s">
        <v>7</v>
      </c>
      <c r="B385" t="s">
        <v>93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71</v>
      </c>
    </row>
    <row r="386" spans="1:13" x14ac:dyDescent="0.45">
      <c r="A386" t="s">
        <v>7</v>
      </c>
      <c r="B386" t="s">
        <v>93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71</v>
      </c>
    </row>
    <row r="387" spans="1:13" x14ac:dyDescent="0.45">
      <c r="A387" t="s">
        <v>7</v>
      </c>
      <c r="B387" t="s">
        <v>93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71</v>
      </c>
    </row>
    <row r="388" spans="1:13" x14ac:dyDescent="0.45">
      <c r="A388" t="s">
        <v>7</v>
      </c>
      <c r="B388" t="s">
        <v>93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71</v>
      </c>
    </row>
    <row r="389" spans="1:13" x14ac:dyDescent="0.45">
      <c r="A389" t="s">
        <v>9</v>
      </c>
      <c r="B389" t="s">
        <v>93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71</v>
      </c>
    </row>
    <row r="390" spans="1:13" x14ac:dyDescent="0.45">
      <c r="A390" t="s">
        <v>9</v>
      </c>
      <c r="B390" t="s">
        <v>93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71</v>
      </c>
    </row>
    <row r="391" spans="1:13" x14ac:dyDescent="0.45">
      <c r="A391" t="s">
        <v>9</v>
      </c>
      <c r="B391" t="s">
        <v>93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71</v>
      </c>
    </row>
    <row r="392" spans="1:13" x14ac:dyDescent="0.45">
      <c r="A392" t="s">
        <v>9</v>
      </c>
      <c r="B392" t="s">
        <v>93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71</v>
      </c>
    </row>
    <row r="393" spans="1:13" x14ac:dyDescent="0.45">
      <c r="A393" t="s">
        <v>9</v>
      </c>
      <c r="B393" t="s">
        <v>93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71</v>
      </c>
    </row>
    <row r="394" spans="1:13" x14ac:dyDescent="0.45">
      <c r="A394" t="s">
        <v>9</v>
      </c>
      <c r="B394" t="s">
        <v>93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71</v>
      </c>
    </row>
    <row r="395" spans="1:13" x14ac:dyDescent="0.45">
      <c r="A395" t="s">
        <v>9</v>
      </c>
      <c r="B395" t="s">
        <v>93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controller</vt:lpstr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2026-09-22T09:28:00Z</dcterms:modified>
</cp:coreProperties>
</file>