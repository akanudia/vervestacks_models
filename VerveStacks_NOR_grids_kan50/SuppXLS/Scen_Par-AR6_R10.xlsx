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ppXLS\"/>
    </mc:Choice>
  </mc:AlternateContent>
  <xr:revisionPtr revIDLastSave="0" documentId="13_ncr:1_{D3867980-C264-496C-8FA0-E045FC92DA76}" xr6:coauthVersionLast="47" xr6:coauthVersionMax="47" xr10:uidLastSave="{00000000-0000-0000-0000-000000000000}"/>
  <bookViews>
    <workbookView xWindow="4012" yWindow="4012" windowWidth="21601" windowHeight="1142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R24" i="1"/>
  <c r="R25" i="1"/>
  <c r="U24" i="1"/>
  <c r="U25" i="1"/>
  <c r="P24" i="1"/>
  <c r="P25" i="1"/>
  <c r="Q24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<sst xmlns="http://schemas.openxmlformats.org/spreadsheetml/2006/main" count="1687" uniqueCount="108">
  <si>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</si>
  <si>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</si>
  <si>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</si>
  <si>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</si>
  <si>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</si>
  <si>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</si>
  <si>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</si>
  <si>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</si>
  <si>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</si>
  <si>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</si>
  <si>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</si>
  <si>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</si>
  <si>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</si>
  <si>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</si>
  <si>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</si>
  <si>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</si>
  <si>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</si>
  <si>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</si>
  <si>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</si>
  <si>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</si>
  <si>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</si>
  <si>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</si>
  <si>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</si>
  <si>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</si>
  <si>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</si>
  <si>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</si>
  <si>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</si>
  <si>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</si>
  <si>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</si>
  <si>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</si>
  <si>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</si>
  <si>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</si>
  <si>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</si>
  <si>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</si>
  <si>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</si>
  <si>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</si>
  <si>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</si>
  <si>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</si>
  <si>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</si>
  <si>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</si>
  <si>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</si>
  <si>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</si>
  <si>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</si>
  <si>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</si>
  <si>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</si>
  <si>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</si>
  <si>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</si>
  <si>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</si>
  <si>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</si>
  <si>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</si>
  <si>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</si>
  <si>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</si>
  <si>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</si>
  <si>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</si>
  <si>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</si>
  <si>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</si>
  <si>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</si>
  <si>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</si>
  <si>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</si>
  <si>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</si>
  <si>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</si>
  <si>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</si>
  <si>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</si>
  <si>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</si>
  <si>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</si>
  <si>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</si>
  <si>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</si>
  <si>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</si>
  <si>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</si>
  <si>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</si>
  <si>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</si>
  <si>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</si>
  <si>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</si>
  <si>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</si>
  <si>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</si>
  <si>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</si>
  <si>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</si>
  <si>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</si>
  <si>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</si>
  <si>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</si>
  <si>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</si>
  <si>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</si>
  <si>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</si>
  <si>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</si>
  <si>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</si>
  <si>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</si>
  <si>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</si>
  <si>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</si>
  <si>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</si>
  <si>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</si>
  <si>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</si>
  <si>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</si>
  <si>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</si>
  <si>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</si>
  <si>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</si>
  <si>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</si>
  <si>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</si>
  <si>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</si>
  <si>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</si>
  <si>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</si>
  <si>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</si>
  <si>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</si>
  <si>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</si>
  <si>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</si>
  <si>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NOR</t>
  </si>
  <si>
    <t>~tfm_ins-ts: region=NOR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</si>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</sst>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132.62</c:v>
                </c:pt>
                <c:pt idx="1">
                  <c:v>139.251</c:v>
                </c:pt>
                <c:pt idx="2">
                  <c:v>155.16540000000001</c:v>
                </c:pt>
                <c:pt idx="3">
                  <c:v>171.07980000000001</c:v>
                </c:pt>
                <c:pt idx="4">
                  <c:v>188.32040000000001</c:v>
                </c:pt>
                <c:pt idx="5">
                  <c:v>210.86580000000001</c:v>
                </c:pt>
                <c:pt idx="6">
                  <c:v>229.43260000000001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132.62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1.2829999999999999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5.3310000000000004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132.62</v>
      </c>
      <c r="P15" s="8">
        <f t="shared" ref="P15:U15" si="0">$N$11*E15</f>
        <v>139.251</v>
      </c>
      <c r="Q15" s="8">
        <f t="shared" si="0"/>
        <v>155.16540000000001</v>
      </c>
      <c r="R15" s="8">
        <f t="shared" si="0"/>
        <v>171.07980000000001</v>
      </c>
      <c r="S15" s="8">
        <f t="shared" si="0"/>
        <v>188.32040000000001</v>
      </c>
      <c r="T15" s="8">
        <f t="shared" si="0"/>
        <v>210.86580000000001</v>
      </c>
      <c r="U15" s="8">
        <f t="shared" si="0"/>
        <v>229.43260000000001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region=NOR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49.069400000000002</v>
      </c>
      <c r="P20" s="6">
        <f t="shared" si="2"/>
        <v>48.737850000000002</v>
      </c>
      <c r="Q20" s="6">
        <f t="shared" si="2"/>
        <v>52.756236000000008</v>
      </c>
      <c r="R20" s="6">
        <f t="shared" si="2"/>
        <v>56.456334000000005</v>
      </c>
      <c r="S20" s="6">
        <f t="shared" si="2"/>
        <v>56.496119999999998</v>
      </c>
      <c r="T20" s="6">
        <f t="shared" si="2"/>
        <v>61.151081999999995</v>
      </c>
      <c r="U20" s="6">
        <f t="shared" si="2"/>
        <v>68.82978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78.245800000000003</v>
      </c>
      <c r="P21" s="6">
        <f t="shared" si="2"/>
        <v>82.158090000000001</v>
      </c>
      <c r="Q21" s="6">
        <f t="shared" si="2"/>
        <v>91.547585999999995</v>
      </c>
      <c r="R21" s="6">
        <f t="shared" si="2"/>
        <v>99.226283999999993</v>
      </c>
      <c r="S21" s="6">
        <f t="shared" si="2"/>
        <v>109.225832</v>
      </c>
      <c r="T21" s="6">
        <f t="shared" si="2"/>
        <v>118.08484800000002</v>
      </c>
      <c r="U21" s="6">
        <f t="shared" si="2"/>
        <v>123.89360400000001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3.9786000000000001</v>
      </c>
      <c r="P22" s="6">
        <f t="shared" ref="P22:U22" si="3">O22</f>
        <v>3.9786000000000001</v>
      </c>
      <c r="Q22" s="6">
        <f t="shared" si="3"/>
        <v>3.9786000000000001</v>
      </c>
      <c r="R22" s="6">
        <f t="shared" si="3"/>
        <v>3.9786000000000001</v>
      </c>
      <c r="S22" s="6">
        <f t="shared" si="3"/>
        <v>3.9786000000000001</v>
      </c>
      <c r="T22" s="6">
        <f t="shared" si="3"/>
        <v>3.9786000000000001</v>
      </c>
      <c r="U22" s="6">
        <f t="shared" si="3"/>
        <v>3.9786000000000001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1.3262</v>
      </c>
      <c r="P23" s="6">
        <f t="shared" si="4"/>
        <v>4.3764600000000087</v>
      </c>
      <c r="Q23" s="6">
        <f t="shared" si="4"/>
        <v>6.8829780000000085</v>
      </c>
      <c r="R23" s="6">
        <f t="shared" si="4"/>
        <v>11.418582000000015</v>
      </c>
      <c r="S23" s="6">
        <f t="shared" si="4"/>
        <v>18.619848000000019</v>
      </c>
      <c r="T23" s="6">
        <f t="shared" si="4"/>
        <v>27.651269999999982</v>
      </c>
      <c r="U23" s="6">
        <f t="shared" si="4"/>
        <v>32.730615999999998</v>
      </c>
      <c r="V23" t="s">
        <v>16</v>
      </c>
    </row>
    <row r="24" spans="2:24" x14ac:dyDescent="0.45">
      <c r="N24" s="18" t="s">
        <v>102</v>
      </c>
      <c r="O24" s="19">
        <f>N12</f>
        <v>1.2829999999999999</v>
      </c>
      <c r="P24" s="20">
        <f>$N$12*E16</f>
        <v>1.2573399999999999</v>
      </c>
      <c r="Q24" s="20">
        <f>$N$12*F16</f>
        <v>1.2316799999999999</v>
      </c>
      <c r="R24" s="20">
        <f t="shared" ref="R24:U24" si="5">$N$12*G16</f>
        <v>1.1803600000000001</v>
      </c>
      <c r="S24" s="20">
        <f t="shared" si="5"/>
        <v>1.0777199999999998</v>
      </c>
      <c r="T24" s="20">
        <f t="shared" si="5"/>
        <v>1.0648899999999999</v>
      </c>
      <c r="U24" s="20">
        <f t="shared" si="5"/>
        <v>1.0264</v>
      </c>
      <c r="V24" s="18" t="s">
        <v>16</v>
      </c>
    </row>
    <row r="25" spans="2:24" x14ac:dyDescent="0.45">
      <c r="N25" s="18" t="s">
        <v>103</v>
      </c>
      <c r="O25" s="19">
        <f>N13</f>
        <v>5.3310000000000004</v>
      </c>
      <c r="P25" s="20">
        <f>$N$13*E16</f>
        <v>5.22438</v>
      </c>
      <c r="Q25" s="20">
        <f t="shared" ref="Q25:U25" si="6">$N$13*F16</f>
        <v>5.1177600000000005</v>
      </c>
      <c r="R25" s="20">
        <f t="shared" si="6"/>
        <v>4.9045200000000007</v>
      </c>
      <c r="S25" s="20">
        <f t="shared" si="6"/>
        <v>4.47804</v>
      </c>
      <c r="T25" s="20">
        <f t="shared" si="6"/>
        <v>4.4247300000000003</v>
      </c>
      <c r="U25" s="20">
        <f t="shared" si="6"/>
        <v>4.2648000000000001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region=NOR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13.27</v>
      </c>
      <c r="N30" t="s">
        <v>30</v>
      </c>
      <c r="O30" s="3">
        <f>L30</f>
        <v>13.27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25.79</v>
      </c>
      <c r="N31" t="s">
        <v>33</v>
      </c>
      <c r="O31" s="3">
        <f>ABS(L31)</f>
        <v>25.79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region=NOR;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 t="e">
        <f t="shared" ref="D47:J50" si="9">AVERAGE($M47:$N47)*D39</f>
        <v>#N/A</v>
      </c>
      <c r="E47" t="e">
        <f t="shared" si="9"/>
        <v>#N/A</v>
      </c>
      <c r="F47" t="e">
        <f t="shared" si="9"/>
        <v>#N/A</v>
      </c>
      <c r="G47" t="e">
        <f t="shared" si="9"/>
        <v>#N/A</v>
      </c>
      <c r="H47" t="e">
        <f t="shared" si="9"/>
        <v>#N/A</v>
      </c>
      <c r="I47" t="e">
        <f t="shared" si="9"/>
        <v>#N/A</v>
      </c>
      <c r="J47" t="e">
        <f t="shared" si="9"/>
        <v>#N/A</v>
      </c>
      <c r="M47" t="e">
        <f>HLOOKUP($B47&amp;"_"&amp;M$46,fuel_prices!$B$10:$I$100,MATCH($A$1,fuel_prices!$A$10:$A$100,0),FALSE)</f>
        <v>#N/A</v>
      </c>
      <c r="N47" t="e">
        <f>HLOOKUP($B47&amp;"_"&amp;N$46,fuel_prices!$B$10:$I$100,MATCH($A$1,fuel_prices!$A$10:$A$100,0),FALSE)</f>
        <v>#N/A</v>
      </c>
    </row>
    <row r="48" spans="2:14" x14ac:dyDescent="0.45">
      <c r="B48" t="s">
        <v>77</v>
      </c>
      <c r="C48" t="str">
        <f t="shared" ref="C48:C50" si="10">B48</f>
        <v>Coal</v>
      </c>
      <c r="D48" t="e">
        <f t="shared" si="9"/>
        <v>#N/A</v>
      </c>
      <c r="E48" t="e">
        <f t="shared" si="9"/>
        <v>#N/A</v>
      </c>
      <c r="F48" t="e">
        <f t="shared" si="9"/>
        <v>#N/A</v>
      </c>
      <c r="G48" t="e">
        <f t="shared" si="9"/>
        <v>#N/A</v>
      </c>
      <c r="H48" t="e">
        <f t="shared" si="9"/>
        <v>#N/A</v>
      </c>
      <c r="I48" t="e">
        <f t="shared" si="9"/>
        <v>#N/A</v>
      </c>
      <c r="J48" t="e">
        <f t="shared" si="9"/>
        <v>#N/A</v>
      </c>
      <c r="M48" t="e">
        <f>HLOOKUP($B48&amp;"_"&amp;M$46,fuel_prices!$B$10:$I$100,MATCH($A$1,fuel_prices!$A$10:$A$100,0),FALSE)</f>
        <v>#N/A</v>
      </c>
      <c r="N48" t="e">
        <f>HLOOKUP($B48&amp;"_"&amp;N$46,fuel_prices!$B$10:$I$100,MATCH($A$1,fuel_prices!$A$10:$A$100,0),FALSE)</f>
        <v>#N/A</v>
      </c>
    </row>
    <row r="49" spans="1:14" x14ac:dyDescent="0.45">
      <c r="B49" t="s">
        <v>78</v>
      </c>
      <c r="C49" t="str">
        <f t="shared" si="10"/>
        <v>Oil</v>
      </c>
      <c r="D49" t="e">
        <f t="shared" si="9"/>
        <v>#N/A</v>
      </c>
      <c r="E49" t="e">
        <f t="shared" si="9"/>
        <v>#N/A</v>
      </c>
      <c r="F49" t="e">
        <f t="shared" si="9"/>
        <v>#N/A</v>
      </c>
      <c r="G49" t="e">
        <f t="shared" si="9"/>
        <v>#N/A</v>
      </c>
      <c r="H49" t="e">
        <f t="shared" si="9"/>
        <v>#N/A</v>
      </c>
      <c r="I49" t="e">
        <f t="shared" si="9"/>
        <v>#N/A</v>
      </c>
      <c r="J49" t="e">
        <f t="shared" si="9"/>
        <v>#N/A</v>
      </c>
      <c r="M49" t="e">
        <f>HLOOKUP($B49&amp;"_"&amp;M$46,fuel_prices!$B$10:$I$100,MATCH($A$1,fuel_prices!$A$10:$A$100,0),FALSE)</f>
        <v>#N/A</v>
      </c>
      <c r="N49" t="e">
        <f>HLOOKUP($B49&amp;"_"&amp;N$46,fuel_prices!$B$10:$I$100,MATCH($A$1,fuel_prices!$A$10:$A$100,0),FALSE)</f>
        <v>#N/A</v>
      </c>
    </row>
    <row r="50" spans="1:14" x14ac:dyDescent="0.45">
      <c r="B50" t="s">
        <v>79</v>
      </c>
      <c r="C50" t="str">
        <f t="shared" si="10"/>
        <v>Bioenergy</v>
      </c>
      <c r="D50" t="e">
        <f t="shared" si="9"/>
        <v>#N/A</v>
      </c>
      <c r="J50" t="e">
        <f>VLOOKUP($C$15,$AF$9:$AH$16,3,FALSE)*D50</f>
        <v>#N/A</v>
      </c>
      <c r="M50" t="e">
        <f>HLOOKUP($B50&amp;"_"&amp;M$46,fuel_prices!$B$10:$I$100,MATCH($A$1,fuel_prices!$A$10:$A$100,0),FALSE)</f>
        <v>#N/A</v>
      </c>
      <c r="N50" t="e">
        <f>HLOOKUP($B50&amp;"_"&amp;N$46,fuel_prices!$B$10:$I$100,MATCH($A$1,fuel_prices!$A$10:$A$100,0),FALSE)</f>
        <v>#N/A</v>
      </c>
    </row>
    <row r="54" spans="1:14" x14ac:dyDescent="0.45">
      <c r="A54" t="s">
        <v>105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106</v>
      </c>
      <c r="C56">
        <v>5.0449999999999999</v>
      </c>
      <c r="D56">
        <v>5.0949999999999998</v>
      </c>
      <c r="E56">
        <v>5.0949999999999998</v>
      </c>
      <c r="F56" t="s">
        <v>107</v>
      </c>
    </row>
    <row r="57" spans="1:14" x14ac:dyDescent="0.45">
      <c r="A57" t="s">
        <v>30</v>
      </c>
      <c r="B57" t="s">
        <v>106</v>
      </c>
      <c r="C57">
        <v>3.7519999999999998</v>
      </c>
      <c r="D57">
        <v>3.7320000000000002</v>
      </c>
      <c r="E57">
        <v>3.7320000000000002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104</v>
      </c>
      <c r="B11">
        <v>2015</v>
      </c>
      <c r="C11">
        <v>47.61</v>
      </c>
      <c r="D11">
        <v>65.72</v>
      </c>
      <c r="E11">
        <v>0.63</v>
      </c>
      <c r="F11">
        <v>0.16</v>
      </c>
      <c r="G11">
        <v>7.37</v>
      </c>
      <c r="H11">
        <v>22.02</v>
      </c>
      <c r="I11">
        <v>143.06</v>
      </c>
      <c r="J11">
        <v>1.641</v>
      </c>
      <c r="K11">
        <v>5.2270000000000003</v>
      </c>
      <c r="L11">
        <v>1.087</v>
      </c>
      <c r="M11">
        <v>4.1399999999999997</v>
      </c>
    </row>
    <row r="12" spans="1:13" x14ac:dyDescent="0.45">
      <c r="A12" t="s">
        <v>104</v>
      </c>
      <c r="B12">
        <v>2016</v>
      </c>
      <c r="C12">
        <v>48.66</v>
      </c>
      <c r="D12">
        <v>67.62</v>
      </c>
      <c r="E12">
        <v>0.57999999999999996</v>
      </c>
      <c r="F12">
        <v>0.27</v>
      </c>
      <c r="G12">
        <v>5.74</v>
      </c>
      <c r="H12">
        <v>22.15</v>
      </c>
      <c r="I12">
        <v>148.12</v>
      </c>
      <c r="J12">
        <v>1.75</v>
      </c>
      <c r="K12">
        <v>5.61</v>
      </c>
      <c r="L12">
        <v>1.0189999999999999</v>
      </c>
      <c r="M12">
        <v>4.5910000000000002</v>
      </c>
    </row>
    <row r="13" spans="1:13" x14ac:dyDescent="0.45">
      <c r="A13" t="s">
        <v>104</v>
      </c>
      <c r="B13">
        <v>2017</v>
      </c>
      <c r="C13">
        <v>48.68</v>
      </c>
      <c r="D13">
        <v>67.84</v>
      </c>
      <c r="E13">
        <v>0.63</v>
      </c>
      <c r="F13">
        <v>0.42</v>
      </c>
      <c r="G13">
        <v>6.11</v>
      </c>
      <c r="H13">
        <v>21.28</v>
      </c>
      <c r="I13">
        <v>148.41</v>
      </c>
      <c r="J13">
        <v>1.968</v>
      </c>
      <c r="K13">
        <v>5.8650000000000002</v>
      </c>
      <c r="L13">
        <v>0.92500000000000004</v>
      </c>
      <c r="M13">
        <v>4.9400000000000004</v>
      </c>
    </row>
    <row r="14" spans="1:13" x14ac:dyDescent="0.45">
      <c r="A14" t="s">
        <v>104</v>
      </c>
      <c r="B14">
        <v>2018</v>
      </c>
      <c r="C14">
        <v>49.34</v>
      </c>
      <c r="D14">
        <v>69.099999999999994</v>
      </c>
      <c r="E14">
        <v>0.56999999999999995</v>
      </c>
      <c r="F14">
        <v>0.64</v>
      </c>
      <c r="G14">
        <v>8.34</v>
      </c>
      <c r="H14">
        <v>18.489999999999998</v>
      </c>
      <c r="I14">
        <v>146.03</v>
      </c>
      <c r="J14">
        <v>2.0289999999999999</v>
      </c>
      <c r="K14">
        <v>6.141</v>
      </c>
      <c r="L14">
        <v>0.93300000000000005</v>
      </c>
      <c r="M14">
        <v>5.2080000000000002</v>
      </c>
    </row>
    <row r="15" spans="1:13" x14ac:dyDescent="0.45">
      <c r="A15" t="s">
        <v>104</v>
      </c>
      <c r="B15">
        <v>2019</v>
      </c>
      <c r="C15">
        <v>48.71</v>
      </c>
      <c r="D15">
        <v>68.459999999999994</v>
      </c>
      <c r="E15">
        <v>0.56999999999999995</v>
      </c>
      <c r="F15">
        <v>0.86</v>
      </c>
      <c r="G15">
        <v>12.35</v>
      </c>
      <c r="H15">
        <v>12.31</v>
      </c>
      <c r="I15">
        <v>133.84</v>
      </c>
      <c r="J15">
        <v>2.2170000000000001</v>
      </c>
      <c r="K15">
        <v>6.1159999999999997</v>
      </c>
      <c r="L15">
        <v>0.91900000000000004</v>
      </c>
      <c r="M15">
        <v>5.1970000000000001</v>
      </c>
    </row>
    <row r="16" spans="1:13" x14ac:dyDescent="0.45">
      <c r="A16" t="s">
        <v>104</v>
      </c>
      <c r="B16">
        <v>2020</v>
      </c>
      <c r="C16">
        <v>48.73</v>
      </c>
      <c r="D16">
        <v>67.58</v>
      </c>
      <c r="E16">
        <v>0.68</v>
      </c>
      <c r="F16">
        <v>1.0900000000000001</v>
      </c>
      <c r="G16">
        <v>4.5</v>
      </c>
      <c r="H16">
        <v>24.97</v>
      </c>
      <c r="I16">
        <v>154.24</v>
      </c>
      <c r="J16">
        <v>2.0910000000000002</v>
      </c>
      <c r="K16">
        <v>5.5830000000000002</v>
      </c>
      <c r="L16">
        <v>0.90400000000000003</v>
      </c>
      <c r="M16">
        <v>4.6790000000000003</v>
      </c>
    </row>
    <row r="17" spans="1:13" x14ac:dyDescent="0.45">
      <c r="A17" t="s">
        <v>104</v>
      </c>
      <c r="B17">
        <v>2021</v>
      </c>
      <c r="C17">
        <v>49.92</v>
      </c>
      <c r="D17">
        <v>70.900000000000006</v>
      </c>
      <c r="E17">
        <v>0.7</v>
      </c>
      <c r="F17">
        <v>1.52</v>
      </c>
      <c r="G17">
        <v>8.24</v>
      </c>
      <c r="H17">
        <v>25.82</v>
      </c>
      <c r="I17">
        <v>157.13999999999999</v>
      </c>
      <c r="J17">
        <v>2.0910000000000002</v>
      </c>
      <c r="K17">
        <v>6.8739999999999997</v>
      </c>
      <c r="L17">
        <v>1.226</v>
      </c>
      <c r="M17">
        <v>5.6479999999999997</v>
      </c>
    </row>
    <row r="18" spans="1:13" x14ac:dyDescent="0.45">
      <c r="A18" t="s">
        <v>104</v>
      </c>
      <c r="B18">
        <v>2022</v>
      </c>
      <c r="C18">
        <v>49.39</v>
      </c>
      <c r="D18">
        <v>64.150000000000006</v>
      </c>
      <c r="E18">
        <v>0.75</v>
      </c>
      <c r="F18">
        <v>2</v>
      </c>
      <c r="G18">
        <v>13.27</v>
      </c>
      <c r="H18">
        <v>25.79</v>
      </c>
      <c r="I18">
        <v>145.13999999999999</v>
      </c>
      <c r="J18">
        <v>2.1419999999999999</v>
      </c>
      <c r="K18">
        <v>6.6139999999999999</v>
      </c>
      <c r="L18">
        <v>1.2829999999999999</v>
      </c>
      <c r="M18">
        <v>5.3310000000000004</v>
      </c>
    </row>
    <row r="19" spans="1:13" x14ac:dyDescent="0.45">
      <c r="A19" t="s">
        <v>104</v>
      </c>
      <c r="B19">
        <v>2023</v>
      </c>
      <c r="C19">
        <v>47.53</v>
      </c>
      <c r="D19">
        <v>66.31</v>
      </c>
      <c r="E19">
        <v>0.71</v>
      </c>
      <c r="F19">
        <v>2.4700000000000002</v>
      </c>
      <c r="G19">
        <v>13.24</v>
      </c>
      <c r="H19">
        <v>30.98</v>
      </c>
      <c r="I19">
        <v>153.16999999999999</v>
      </c>
      <c r="J19">
        <v>2.2970000000000002</v>
      </c>
      <c r="K19">
        <v>7.3360000000000003</v>
      </c>
      <c r="L19">
        <v>1.145</v>
      </c>
      <c r="M19">
        <v>6.1909999999999998</v>
      </c>
    </row>
    <row r="20" spans="1:13" x14ac:dyDescent="0.45">
      <c r="A20" t="s">
        <v>104</v>
      </c>
      <c r="B20">
        <v>2024</v>
      </c>
      <c r="C20">
        <v>48.05</v>
      </c>
      <c r="D20">
        <v>66.739999999999995</v>
      </c>
      <c r="E20">
        <v>0.73</v>
      </c>
      <c r="F20">
        <v>2.78</v>
      </c>
      <c r="G20">
        <v>14.68</v>
      </c>
      <c r="H20">
        <v>33.119999999999997</v>
      </c>
      <c r="I20">
        <v>156.69</v>
      </c>
      <c r="J20">
        <v>2.0630000000000002</v>
      </c>
      <c r="K20">
        <v>7.0430000000000001</v>
      </c>
      <c r="L20">
        <v>1.0960000000000001</v>
      </c>
      <c r="M20">
        <v>5.9470000000000001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2026-09-22T09:52:39Z</dcterms:modified>
</cp:coreProperties>
</file>