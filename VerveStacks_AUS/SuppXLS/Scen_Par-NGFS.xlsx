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\SuppXLS\"/>
    </mc:Choice>
  </mc:AlternateContent>
  <xr:revisionPtr revIDLastSave="0" documentId="8_{F171F2B5-FC4B-43FD-A33A-32B7CBD2DCE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<sst xmlns="http://schemas.openxmlformats.org/spreadsheetml/2006/main" count="58489" uniqueCount="92">
  <si>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</si>
  <si>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</si>
  <si>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</si>
  <si>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</si>
  <si>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</si>
  <si>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</si>
  <si>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</si>
  <si>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</si>
  <si>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</si>
  <si>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</si>
  <si>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</si>
  <si>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</si>
  <si>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</si>
  <si>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</si>
  <si>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</si>
  <si>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</si>
  <si>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</si>
  <si>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</si>
  <si>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</si>
  <si>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</si>
  <si>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</si>
  <si>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</si>
  <si>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</si>
  <si>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</si>
  <si>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</si>
  <si>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</si>
  <si>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</si>
  <si>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</si>
  <si>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</si>
  <si>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</si>
  <si>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</si>
  <si>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</si>
  <si>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</si>
  <si>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</si>
  <si>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</si>
  <si>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</si>
  <si>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</si>
  <si>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</si>
  <si>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</si>
  <si>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</si>
  <si>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</si>
  <si>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</si>
  <si>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</si>
  <si>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</si>
  <si>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</si>
  <si>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</si>
  <si>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</si>
  <si>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</si>
  <si>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</si>
  <si>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</si>
  <si>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</si>
  <si>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</si>
  <si>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</si>
  <si>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</si>
  <si>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</si>
  <si>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</si>
  <si>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</si>
  <si>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</si>
  <si>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</si>
  <si>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</si>
  <si>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</si>
  <si>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</si>
  <si>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</si>
  <si>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</si>
  <si>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</si>
  <si>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</si>
  <si>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</si>
  <si>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</si>
  <si>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</si>
  <si>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</si>
  <si>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</si>
  <si>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</si>
  <si>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</si>
  <si>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</si>
  <si>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</si>
  <si>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</si>
  <si>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</si>
  <si>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</si>
  <si>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</si>
  <si>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</si>
  <si>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</si>
  <si>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</si>
  <si>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</si>
  <si>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</si>
  <si>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AUS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</si>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</sst>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272.91999999999996</c:v>
                </c:pt>
                <c:pt idx="1">
                  <c:v>307.85429395940326</c:v>
                </c:pt>
                <c:pt idx="2">
                  <c:v>332.09605086818289</c:v>
                </c:pt>
                <c:pt idx="3">
                  <c:v>346.4996057715822</c:v>
                </c:pt>
                <c:pt idx="4">
                  <c:v>368.67226999266319</c:v>
                </c:pt>
                <c:pt idx="5">
                  <c:v>386.13274247982383</c:v>
                </c:pt>
                <c:pt idx="6">
                  <c:v>397.21240009782338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170.31</c:v>
                </c:pt>
                <c:pt idx="1">
                  <c:v>170.59843582845519</c:v>
                </c:pt>
                <c:pt idx="2">
                  <c:v>150.98040335047477</c:v>
                </c:pt>
                <c:pt idx="3">
                  <c:v>142.5134318848643</c:v>
                </c:pt>
                <c:pt idx="4">
                  <c:v>138.07479281090551</c:v>
                </c:pt>
                <c:pt idx="5">
                  <c:v>135.49694338724339</c:v>
                </c:pt>
                <c:pt idx="6">
                  <c:v>136.51098704494544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272.91999999999996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272.91999999999996</v>
      </c>
      <c r="S12" s="8">
        <f t="shared" ref="S12:X12" si="0">SUM(S17:S20)</f>
        <v>307.85429395940326</v>
      </c>
      <c r="T12" s="8">
        <f t="shared" si="0"/>
        <v>332.09605086818289</v>
      </c>
      <c r="U12" s="8">
        <f t="shared" si="0"/>
        <v>346.4996057715822</v>
      </c>
      <c r="V12" s="8">
        <f t="shared" si="0"/>
        <v>368.67226999266319</v>
      </c>
      <c r="W12" s="8">
        <f t="shared" si="0"/>
        <v>386.13274247982383</v>
      </c>
      <c r="X12" s="8">
        <f t="shared" si="0"/>
        <v>397.21240009782338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6.6E-3</v>
      </c>
      <c r="H16" s="10">
        <f>SUMIFS(ngfs_median!$J$2:$J$17119,ngfs_median!$B$2:$B$17119,Veda!$C$5,ngfs_median!$H$2:$H$17119,Veda!$Q16,ngfs_median!$I$2:$I$17119,Veda!H$15)</f>
        <v>3.0600000000000002E-2</v>
      </c>
      <c r="I16" s="10">
        <f>SUMIFS(ngfs_median!$J$2:$J$17119,ngfs_median!$B$2:$B$17119,Veda!$C$5,ngfs_median!$H$2:$H$17119,Veda!$Q16,ngfs_median!$I$2:$I$17119,Veda!I$15)</f>
        <v>4.7399999999999998E-2</v>
      </c>
      <c r="J16" s="10">
        <f>SUMIFS(ngfs_median!$J$2:$J$17119,ngfs_median!$B$2:$B$17119,Veda!$C$5,ngfs_median!$H$2:$H$17119,Veda!$Q16,ngfs_median!$I$2:$I$17119,Veda!J$15)</f>
        <v>5.7849999999999999E-2</v>
      </c>
      <c r="K16" s="10">
        <f>SUMIFS(ngfs_median!$J$2:$J$17119,ngfs_median!$B$2:$B$17119,Veda!$C$5,ngfs_median!$H$2:$H$17119,Veda!$Q16,ngfs_median!$I$2:$I$17119,Veda!K$15)</f>
        <v>6.7899999999999988E-2</v>
      </c>
      <c r="L16" s="10">
        <f>SUMIFS(ngfs_median!$J$2:$J$17119,ngfs_median!$B$2:$B$17119,Veda!$C$5,ngfs_median!$H$2:$H$17119,Veda!$Q16,ngfs_median!$I$2:$I$17119,Veda!L$15)</f>
        <v>7.6550000000000007E-2</v>
      </c>
      <c r="M16" s="10">
        <f>SUMIFS(ngfs_median!$J$2:$J$17119,ngfs_median!$B$2:$B$17119,Veda!$C$5,ngfs_median!$H$2:$H$17119,Veda!$Q16,ngfs_median!$I$2:$I$17119,Veda!M$15)</f>
        <v>8.1750000000000003E-2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4.6666666666666652</v>
      </c>
      <c r="U16" s="6">
        <f t="shared" si="2"/>
        <v>7.5694444444444429</v>
      </c>
      <c r="V16" s="6">
        <f t="shared" si="2"/>
        <v>10.361111111111107</v>
      </c>
      <c r="W16" s="6">
        <f t="shared" si="2"/>
        <v>12.763888888888889</v>
      </c>
      <c r="X16" s="6">
        <f t="shared" si="2"/>
        <v>14.208333333333334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2.1049999999999999E-2</v>
      </c>
      <c r="H17" s="10">
        <f>SUMIFS(ngfs_median!$J$2:$J$17119,ngfs_median!$B$2:$B$17119,Veda!$C$5,ngfs_median!$H$2:$H$17119,Veda!$Q17,ngfs_median!$I$2:$I$17119,Veda!H$15)</f>
        <v>4.6550000000000001E-2</v>
      </c>
      <c r="I17" s="10">
        <f>SUMIFS(ngfs_median!$J$2:$J$17119,ngfs_median!$B$2:$B$17119,Veda!$C$5,ngfs_median!$H$2:$H$17119,Veda!$Q17,ngfs_median!$I$2:$I$17119,Veda!I$15)</f>
        <v>8.0449999999999994E-2</v>
      </c>
      <c r="J17" s="10">
        <f>SUMIFS(ngfs_median!$J$2:$J$17119,ngfs_median!$B$2:$B$17119,Veda!$C$5,ngfs_median!$H$2:$H$17119,Veda!$Q17,ngfs_median!$I$2:$I$17119,Veda!J$15)</f>
        <v>0.1179</v>
      </c>
      <c r="K17" s="10">
        <f>SUMIFS(ngfs_median!$J$2:$J$17119,ngfs_median!$B$2:$B$17119,Veda!$C$5,ngfs_median!$H$2:$H$17119,Veda!$Q17,ngfs_median!$I$2:$I$17119,Veda!K$15)</f>
        <v>0.15715000000000001</v>
      </c>
      <c r="L17" s="10">
        <f>SUMIFS(ngfs_median!$J$2:$J$17119,ngfs_median!$B$2:$B$17119,Veda!$C$5,ngfs_median!$H$2:$H$17119,Veda!$Q17,ngfs_median!$I$2:$I$17119,Veda!L$15)</f>
        <v>0.18304999999999999</v>
      </c>
      <c r="M17" s="10">
        <f>SUMIFS(ngfs_median!$J$2:$J$17119,ngfs_median!$B$2:$B$17119,Veda!$C$5,ngfs_median!$H$2:$H$17119,Veda!$Q17,ngfs_median!$I$2:$I$17119,Veda!M$15)</f>
        <v>0.21060000000000001</v>
      </c>
      <c r="Q17" s="12" t="s">
        <v>10</v>
      </c>
      <c r="R17" s="6">
        <f>$Q$10*G17/SUM($G$17:$G$19)</f>
        <v>5.6199227194913179</v>
      </c>
      <c r="S17" s="6">
        <f>R17</f>
        <v>5.6199227194913179</v>
      </c>
      <c r="T17" s="6">
        <f t="shared" ref="T17:X17" si="3">S17</f>
        <v>5.6199227194913179</v>
      </c>
      <c r="U17" s="6">
        <f t="shared" si="3"/>
        <v>5.6199227194913179</v>
      </c>
      <c r="V17" s="6">
        <f t="shared" si="3"/>
        <v>5.6199227194913179</v>
      </c>
      <c r="W17" s="6">
        <f t="shared" si="3"/>
        <v>5.6199227194913179</v>
      </c>
      <c r="X17" s="6">
        <f t="shared" si="3"/>
        <v>5.6199227194913179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0.62779999999999991</v>
      </c>
      <c r="H18" s="10">
        <f>SUMIFS(ngfs_median!$J$2:$J$17119,ngfs_median!$B$2:$B$17119,Veda!$C$5,ngfs_median!$H$2:$H$17119,Veda!$Q18,ngfs_median!$I$2:$I$17119,Veda!H$15)</f>
        <v>0.69225000000000003</v>
      </c>
      <c r="I18" s="10">
        <f>SUMIFS(ngfs_median!$J$2:$J$17119,ngfs_median!$B$2:$B$17119,Veda!$C$5,ngfs_median!$H$2:$H$17119,Veda!$Q18,ngfs_median!$I$2:$I$17119,Veda!I$15)</f>
        <v>0.73829999999999996</v>
      </c>
      <c r="J18" s="10">
        <f>SUMIFS(ngfs_median!$J$2:$J$17119,ngfs_median!$B$2:$B$17119,Veda!$C$5,ngfs_median!$H$2:$H$17119,Veda!$Q18,ngfs_median!$I$2:$I$17119,Veda!J$15)</f>
        <v>0.74744999999999995</v>
      </c>
      <c r="K18" s="10">
        <f>SUMIFS(ngfs_median!$J$2:$J$17119,ngfs_median!$B$2:$B$17119,Veda!$C$5,ngfs_median!$H$2:$H$17119,Veda!$Q18,ngfs_median!$I$2:$I$17119,Veda!K$15)</f>
        <v>0.76395000000000002</v>
      </c>
      <c r="L18" s="10">
        <f>SUMIFS(ngfs_median!$J$2:$J$17119,ngfs_median!$B$2:$B$17119,Veda!$C$5,ngfs_median!$H$2:$H$17119,Veda!$Q18,ngfs_median!$I$2:$I$17119,Veda!L$15)</f>
        <v>0.77665000000000006</v>
      </c>
      <c r="M18" s="10">
        <f>SUMIFS(ngfs_median!$J$2:$J$17119,ngfs_median!$B$2:$B$17119,Veda!$C$5,ngfs_median!$H$2:$H$17119,Veda!$Q18,ngfs_median!$I$2:$I$17119,Veda!M$15)</f>
        <v>0.76275000000000004</v>
      </c>
      <c r="Q18" s="12" t="s">
        <v>12</v>
      </c>
      <c r="R18" s="6">
        <f>$Q$10*G18/SUM($G$17:$G$19)</f>
        <v>167.6098566886769</v>
      </c>
      <c r="S18" s="6">
        <f t="shared" ref="S18:X19" si="4">R18*H18/G18</f>
        <v>184.81669845928099</v>
      </c>
      <c r="T18" s="6">
        <f t="shared" si="4"/>
        <v>197.11111371973584</v>
      </c>
      <c r="U18" s="6">
        <f t="shared" si="4"/>
        <v>199.55397798972851</v>
      </c>
      <c r="V18" s="6">
        <f t="shared" si="4"/>
        <v>203.95914306676445</v>
      </c>
      <c r="W18" s="6">
        <f t="shared" si="4"/>
        <v>207.34978527757394</v>
      </c>
      <c r="X18" s="6">
        <f t="shared" si="4"/>
        <v>203.6387674247982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0.37339999999999995</v>
      </c>
      <c r="H19" s="10">
        <f>SUMIFS(ngfs_median!$J$2:$J$17119,ngfs_median!$B$2:$B$17119,Veda!$C$5,ngfs_median!$H$2:$H$17119,Veda!$Q19,ngfs_median!$I$2:$I$17119,Veda!H$15)</f>
        <v>0.4143</v>
      </c>
      <c r="I19" s="10">
        <f>SUMIFS(ngfs_median!$J$2:$J$17119,ngfs_median!$B$2:$B$17119,Veda!$C$5,ngfs_median!$H$2:$H$17119,Veda!$Q19,ngfs_median!$I$2:$I$17119,Veda!I$15)</f>
        <v>0.42515000000000003</v>
      </c>
      <c r="J19" s="10">
        <f>SUMIFS(ngfs_median!$J$2:$J$17119,ngfs_median!$B$2:$B$17119,Veda!$C$5,ngfs_median!$H$2:$H$17119,Veda!$Q19,ngfs_median!$I$2:$I$17119,Veda!J$15)</f>
        <v>0.4325</v>
      </c>
      <c r="K19" s="10">
        <f>SUMIFS(ngfs_median!$J$2:$J$17119,ngfs_median!$B$2:$B$17119,Veda!$C$5,ngfs_median!$H$2:$H$17119,Veda!$Q19,ngfs_median!$I$2:$I$17119,Veda!K$15)</f>
        <v>0.45979999999999999</v>
      </c>
      <c r="L19" s="10">
        <f>SUMIFS(ngfs_median!$J$2:$J$17119,ngfs_median!$B$2:$B$17119,Veda!$C$5,ngfs_median!$H$2:$H$17119,Veda!$Q19,ngfs_median!$I$2:$I$17119,Veda!L$15)</f>
        <v>0.48660000000000003</v>
      </c>
      <c r="M19" s="10">
        <f>SUMIFS(ngfs_median!$J$2:$J$17119,ngfs_median!$B$2:$B$17119,Veda!$C$5,ngfs_median!$H$2:$H$17119,Veda!$Q19,ngfs_median!$I$2:$I$17119,Veda!M$15)</f>
        <v>0.51444999999999996</v>
      </c>
      <c r="Q19" s="12" t="s">
        <v>13</v>
      </c>
      <c r="R19" s="6">
        <f>$Q$10*G19/SUM($G$17:$G$19)</f>
        <v>99.690220591831718</v>
      </c>
      <c r="S19" s="6">
        <f t="shared" si="4"/>
        <v>110.60969038884811</v>
      </c>
      <c r="T19" s="6">
        <f t="shared" si="4"/>
        <v>113.5064201516263</v>
      </c>
      <c r="U19" s="6">
        <f t="shared" si="4"/>
        <v>115.46872095866958</v>
      </c>
      <c r="V19" s="6">
        <f t="shared" si="4"/>
        <v>122.75726681340178</v>
      </c>
      <c r="W19" s="6">
        <f t="shared" si="4"/>
        <v>129.91232281731473</v>
      </c>
      <c r="X19" s="6">
        <f t="shared" si="4"/>
        <v>137.34770750794812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6.8079823917828319</v>
      </c>
      <c r="T20" s="6">
        <f t="shared" si="5"/>
        <v>15.85859427732942</v>
      </c>
      <c r="U20" s="6">
        <f t="shared" si="5"/>
        <v>25.856984103692838</v>
      </c>
      <c r="V20" s="6">
        <f t="shared" si="5"/>
        <v>36.335937393005622</v>
      </c>
      <c r="W20" s="6">
        <f t="shared" si="5"/>
        <v>43.250711665443866</v>
      </c>
      <c r="X20" s="6">
        <f t="shared" si="5"/>
        <v>50.606002445585716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170.31</v>
      </c>
      <c r="D22" s="12" t="s">
        <v>79</v>
      </c>
      <c r="G22" s="8">
        <f>G35/$G$35*$B22</f>
        <v>170.31</v>
      </c>
      <c r="H22" s="8">
        <f t="shared" ref="H22:M22" si="6">H35/$G$35*$B22</f>
        <v>170.59843582845519</v>
      </c>
      <c r="I22" s="8">
        <f t="shared" si="6"/>
        <v>150.98040335047477</v>
      </c>
      <c r="J22" s="8">
        <f t="shared" si="6"/>
        <v>142.5134318848643</v>
      </c>
      <c r="K22" s="8">
        <f t="shared" si="6"/>
        <v>138.07479281090551</v>
      </c>
      <c r="L22" s="8">
        <f t="shared" si="6"/>
        <v>135.49694338724339</v>
      </c>
      <c r="M22" s="8">
        <f t="shared" si="6"/>
        <v>136.51098704494544</v>
      </c>
      <c r="Q22" t="s">
        <v>64</v>
      </c>
      <c r="T22" s="8">
        <f>I35*1000</f>
        <v>61818.9</v>
      </c>
      <c r="U22" s="8">
        <f>J35*1000</f>
        <v>58352.099999999991</v>
      </c>
      <c r="V22" s="8">
        <f>K35*1000</f>
        <v>56534.700000000004</v>
      </c>
      <c r="W22" s="8">
        <f>L35*1000</f>
        <v>55479.200000000004</v>
      </c>
      <c r="X22" s="8">
        <f>M35*1000</f>
        <v>55894.400000000001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0</v>
      </c>
      <c r="S26" s="3">
        <f>AVERAGEIFS(historical_data_long!$D$3:$D$9999,historical_data_long!$B$3:$B$9999,"&gt;2017",historical_data_long!$A$3:$A$9999,$O26)</f>
        <v>0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69.733400000000017</v>
      </c>
      <c r="H35" s="11">
        <f>SUMIFS(ngfs_median!$J$2:$J$17119,ngfs_median!$B$2:$B$17119,Veda!$C$5,ngfs_median!$D$2:$D$17119,Veda!$D22,ngfs_median!$I$2:$I$17119,Veda!H$15)</f>
        <v>69.851500000000001</v>
      </c>
      <c r="I35" s="11">
        <f>SUMIFS(ngfs_median!$J$2:$J$17119,ngfs_median!$B$2:$B$17119,Veda!$C$5,ngfs_median!$D$2:$D$17119,Veda!$D22,ngfs_median!$I$2:$I$17119,Veda!I$15)</f>
        <v>61.818899999999999</v>
      </c>
      <c r="J35" s="11">
        <f>SUMIFS(ngfs_median!$J$2:$J$17119,ngfs_median!$B$2:$B$17119,Veda!$C$5,ngfs_median!$D$2:$D$17119,Veda!$D22,ngfs_median!$I$2:$I$17119,Veda!J$15)</f>
        <v>58.352099999999993</v>
      </c>
      <c r="K35" s="11">
        <f>SUMIFS(ngfs_median!$J$2:$J$17119,ngfs_median!$B$2:$B$17119,Veda!$C$5,ngfs_median!$D$2:$D$17119,Veda!$D22,ngfs_median!$I$2:$I$17119,Veda!K$15)</f>
        <v>56.534700000000001</v>
      </c>
      <c r="L35" s="11">
        <f>SUMIFS(ngfs_median!$J$2:$J$17119,ngfs_median!$B$2:$B$17119,Veda!$C$5,ngfs_median!$D$2:$D$17119,Veda!$D22,ngfs_median!$I$2:$I$17119,Veda!L$15)</f>
        <v>55.479200000000006</v>
      </c>
      <c r="M35" s="11">
        <f>SUMIFS(ngfs_median!$J$2:$J$17119,ngfs_median!$B$2:$B$17119,Veda!$C$5,ngfs_median!$D$2:$D$17119,Veda!$D22,ngfs_median!$I$2:$I$17119,Veda!M$15)</f>
        <v>55.894400000000005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556"/>
  <sheetViews>
    <sheetView workbookViewId="0">
      <selection sqref="A1:D556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0.89</v>
      </c>
    </row>
    <row r="3" spans="1:4" x14ac:dyDescent="0.45">
      <c r="A3" t="s">
        <v>34</v>
      </c>
      <c r="B3">
        <v>2000</v>
      </c>
      <c r="C3" t="s">
        <v>74</v>
      </c>
      <c r="D3">
        <v>180.26</v>
      </c>
    </row>
    <row r="4" spans="1:4" x14ac:dyDescent="0.45">
      <c r="A4" t="s">
        <v>36</v>
      </c>
      <c r="B4">
        <v>2000</v>
      </c>
      <c r="C4" t="s">
        <v>74</v>
      </c>
      <c r="D4">
        <v>16.760000000000002</v>
      </c>
    </row>
    <row r="5" spans="1:4" x14ac:dyDescent="0.45">
      <c r="A5" t="s">
        <v>56</v>
      </c>
      <c r="B5">
        <v>2000</v>
      </c>
      <c r="C5" t="s">
        <v>74</v>
      </c>
      <c r="D5">
        <v>16.47</v>
      </c>
    </row>
    <row r="6" spans="1:4" x14ac:dyDescent="0.45">
      <c r="A6" t="s">
        <v>38</v>
      </c>
      <c r="B6">
        <v>2000</v>
      </c>
      <c r="C6" t="s">
        <v>74</v>
      </c>
      <c r="D6">
        <v>2.27</v>
      </c>
    </row>
    <row r="7" spans="1:4" x14ac:dyDescent="0.45">
      <c r="A7" t="s">
        <v>58</v>
      </c>
      <c r="B7">
        <v>2000</v>
      </c>
      <c r="C7" t="s">
        <v>74</v>
      </c>
      <c r="D7">
        <v>0.05</v>
      </c>
    </row>
    <row r="8" spans="1:4" x14ac:dyDescent="0.45">
      <c r="A8" t="s">
        <v>91</v>
      </c>
      <c r="B8">
        <v>2000</v>
      </c>
      <c r="C8" t="s">
        <v>74</v>
      </c>
      <c r="D8">
        <v>0.13</v>
      </c>
    </row>
    <row r="9" spans="1:4" x14ac:dyDescent="0.45">
      <c r="A9" t="s">
        <v>32</v>
      </c>
      <c r="B9">
        <v>2001</v>
      </c>
      <c r="C9" t="s">
        <v>74</v>
      </c>
      <c r="D9">
        <v>0.8</v>
      </c>
    </row>
    <row r="10" spans="1:4" x14ac:dyDescent="0.45">
      <c r="A10" t="s">
        <v>34</v>
      </c>
      <c r="B10">
        <v>2001</v>
      </c>
      <c r="C10" t="s">
        <v>74</v>
      </c>
      <c r="D10">
        <v>179.88</v>
      </c>
    </row>
    <row r="11" spans="1:4" x14ac:dyDescent="0.45">
      <c r="A11" t="s">
        <v>36</v>
      </c>
      <c r="B11">
        <v>2001</v>
      </c>
      <c r="C11" t="s">
        <v>74</v>
      </c>
      <c r="D11">
        <v>24.5</v>
      </c>
    </row>
    <row r="12" spans="1:4" x14ac:dyDescent="0.45">
      <c r="A12" t="s">
        <v>56</v>
      </c>
      <c r="B12">
        <v>2001</v>
      </c>
      <c r="C12" t="s">
        <v>74</v>
      </c>
      <c r="D12">
        <v>16.12</v>
      </c>
    </row>
    <row r="13" spans="1:4" x14ac:dyDescent="0.45">
      <c r="A13" t="s">
        <v>38</v>
      </c>
      <c r="B13">
        <v>2001</v>
      </c>
      <c r="C13" t="s">
        <v>74</v>
      </c>
      <c r="D13">
        <v>2.62</v>
      </c>
    </row>
    <row r="14" spans="1:4" x14ac:dyDescent="0.45">
      <c r="A14" t="s">
        <v>58</v>
      </c>
      <c r="B14">
        <v>2001</v>
      </c>
      <c r="C14" t="s">
        <v>74</v>
      </c>
      <c r="D14">
        <v>0.05</v>
      </c>
    </row>
    <row r="15" spans="1:4" x14ac:dyDescent="0.45">
      <c r="A15" t="s">
        <v>91</v>
      </c>
      <c r="B15">
        <v>2001</v>
      </c>
      <c r="C15" t="s">
        <v>74</v>
      </c>
      <c r="D15">
        <v>0.28999999999999998</v>
      </c>
    </row>
    <row r="16" spans="1:4" x14ac:dyDescent="0.45">
      <c r="A16" t="s">
        <v>32</v>
      </c>
      <c r="B16">
        <v>2002</v>
      </c>
      <c r="C16" t="s">
        <v>74</v>
      </c>
      <c r="D16">
        <v>1.27</v>
      </c>
    </row>
    <row r="17" spans="1:4" x14ac:dyDescent="0.45">
      <c r="A17" t="s">
        <v>34</v>
      </c>
      <c r="B17">
        <v>2002</v>
      </c>
      <c r="C17" t="s">
        <v>74</v>
      </c>
      <c r="D17">
        <v>171.86</v>
      </c>
    </row>
    <row r="18" spans="1:4" x14ac:dyDescent="0.45">
      <c r="A18" t="s">
        <v>36</v>
      </c>
      <c r="B18">
        <v>2002</v>
      </c>
      <c r="C18" t="s">
        <v>74</v>
      </c>
      <c r="D18">
        <v>30.55</v>
      </c>
    </row>
    <row r="19" spans="1:4" x14ac:dyDescent="0.45">
      <c r="A19" t="s">
        <v>56</v>
      </c>
      <c r="B19">
        <v>2002</v>
      </c>
      <c r="C19" t="s">
        <v>74</v>
      </c>
      <c r="D19">
        <v>16.09</v>
      </c>
    </row>
    <row r="20" spans="1:4" x14ac:dyDescent="0.45">
      <c r="A20" t="s">
        <v>38</v>
      </c>
      <c r="B20">
        <v>2002</v>
      </c>
      <c r="C20" t="s">
        <v>74</v>
      </c>
      <c r="D20">
        <v>3.13</v>
      </c>
    </row>
    <row r="21" spans="1:4" x14ac:dyDescent="0.45">
      <c r="A21" t="s">
        <v>58</v>
      </c>
      <c r="B21">
        <v>2002</v>
      </c>
      <c r="C21" t="s">
        <v>74</v>
      </c>
      <c r="D21">
        <v>0.06</v>
      </c>
    </row>
    <row r="22" spans="1:4" x14ac:dyDescent="0.45">
      <c r="A22" t="s">
        <v>91</v>
      </c>
      <c r="B22">
        <v>2002</v>
      </c>
      <c r="C22" t="s">
        <v>74</v>
      </c>
      <c r="D22">
        <v>0.53</v>
      </c>
    </row>
    <row r="23" spans="1:4" x14ac:dyDescent="0.45">
      <c r="A23" t="s">
        <v>32</v>
      </c>
      <c r="B23">
        <v>2003</v>
      </c>
      <c r="C23" t="s">
        <v>74</v>
      </c>
      <c r="D23">
        <v>1.69</v>
      </c>
    </row>
    <row r="24" spans="1:4" x14ac:dyDescent="0.45">
      <c r="A24" t="s">
        <v>34</v>
      </c>
      <c r="B24">
        <v>2003</v>
      </c>
      <c r="C24" t="s">
        <v>74</v>
      </c>
      <c r="D24">
        <v>173.61</v>
      </c>
    </row>
    <row r="25" spans="1:4" x14ac:dyDescent="0.45">
      <c r="A25" t="s">
        <v>36</v>
      </c>
      <c r="B25">
        <v>2003</v>
      </c>
      <c r="C25" t="s">
        <v>74</v>
      </c>
      <c r="D25">
        <v>30.15</v>
      </c>
    </row>
    <row r="26" spans="1:4" x14ac:dyDescent="0.45">
      <c r="A26" t="s">
        <v>56</v>
      </c>
      <c r="B26">
        <v>2003</v>
      </c>
      <c r="C26" t="s">
        <v>74</v>
      </c>
      <c r="D26">
        <v>16.21</v>
      </c>
    </row>
    <row r="27" spans="1:4" x14ac:dyDescent="0.45">
      <c r="A27" t="s">
        <v>38</v>
      </c>
      <c r="B27">
        <v>2003</v>
      </c>
      <c r="C27" t="s">
        <v>74</v>
      </c>
      <c r="D27">
        <v>3.53</v>
      </c>
    </row>
    <row r="28" spans="1:4" x14ac:dyDescent="0.45">
      <c r="A28" t="s">
        <v>58</v>
      </c>
      <c r="B28">
        <v>2003</v>
      </c>
      <c r="C28" t="s">
        <v>74</v>
      </c>
      <c r="D28">
        <v>0.06</v>
      </c>
    </row>
    <row r="29" spans="1:4" x14ac:dyDescent="0.45">
      <c r="A29" t="s">
        <v>91</v>
      </c>
      <c r="B29">
        <v>2003</v>
      </c>
      <c r="C29" t="s">
        <v>74</v>
      </c>
      <c r="D29">
        <v>0.7</v>
      </c>
    </row>
    <row r="30" spans="1:4" x14ac:dyDescent="0.45">
      <c r="A30" t="s">
        <v>32</v>
      </c>
      <c r="B30">
        <v>2004</v>
      </c>
      <c r="C30" t="s">
        <v>74</v>
      </c>
      <c r="D30">
        <v>2.82</v>
      </c>
    </row>
    <row r="31" spans="1:4" x14ac:dyDescent="0.45">
      <c r="A31" t="s">
        <v>34</v>
      </c>
      <c r="B31">
        <v>2004</v>
      </c>
      <c r="C31" t="s">
        <v>74</v>
      </c>
      <c r="D31">
        <v>178.96</v>
      </c>
    </row>
    <row r="32" spans="1:4" x14ac:dyDescent="0.45">
      <c r="A32" t="s">
        <v>36</v>
      </c>
      <c r="B32">
        <v>2004</v>
      </c>
      <c r="C32" t="s">
        <v>74</v>
      </c>
      <c r="D32">
        <v>27.36</v>
      </c>
    </row>
    <row r="33" spans="1:4" x14ac:dyDescent="0.45">
      <c r="A33" t="s">
        <v>56</v>
      </c>
      <c r="B33">
        <v>2004</v>
      </c>
      <c r="C33" t="s">
        <v>74</v>
      </c>
      <c r="D33">
        <v>15.69</v>
      </c>
    </row>
    <row r="34" spans="1:4" x14ac:dyDescent="0.45">
      <c r="A34" t="s">
        <v>38</v>
      </c>
      <c r="B34">
        <v>2004</v>
      </c>
      <c r="C34" t="s">
        <v>74</v>
      </c>
      <c r="D34">
        <v>3.53</v>
      </c>
    </row>
    <row r="35" spans="1:4" x14ac:dyDescent="0.45">
      <c r="A35" t="s">
        <v>58</v>
      </c>
      <c r="B35">
        <v>2004</v>
      </c>
      <c r="C35" t="s">
        <v>74</v>
      </c>
      <c r="D35">
        <v>7.0000000000000007E-2</v>
      </c>
    </row>
    <row r="36" spans="1:4" x14ac:dyDescent="0.45">
      <c r="A36" t="s">
        <v>91</v>
      </c>
      <c r="B36">
        <v>2004</v>
      </c>
      <c r="C36" t="s">
        <v>74</v>
      </c>
      <c r="D36">
        <v>0.8</v>
      </c>
    </row>
    <row r="37" spans="1:4" x14ac:dyDescent="0.45">
      <c r="A37" t="s">
        <v>32</v>
      </c>
      <c r="B37">
        <v>2005</v>
      </c>
      <c r="C37" t="s">
        <v>74</v>
      </c>
      <c r="D37">
        <v>3.87</v>
      </c>
    </row>
    <row r="38" spans="1:4" x14ac:dyDescent="0.45">
      <c r="A38" t="s">
        <v>34</v>
      </c>
      <c r="B38">
        <v>2005</v>
      </c>
      <c r="C38" t="s">
        <v>74</v>
      </c>
      <c r="D38">
        <v>182.98</v>
      </c>
    </row>
    <row r="39" spans="1:4" x14ac:dyDescent="0.45">
      <c r="A39" t="s">
        <v>36</v>
      </c>
      <c r="B39">
        <v>2005</v>
      </c>
      <c r="C39" t="s">
        <v>74</v>
      </c>
      <c r="D39">
        <v>23.26</v>
      </c>
    </row>
    <row r="40" spans="1:4" x14ac:dyDescent="0.45">
      <c r="A40" t="s">
        <v>56</v>
      </c>
      <c r="B40">
        <v>2005</v>
      </c>
      <c r="C40" t="s">
        <v>74</v>
      </c>
      <c r="D40">
        <v>15.47</v>
      </c>
    </row>
    <row r="41" spans="1:4" x14ac:dyDescent="0.45">
      <c r="A41" t="s">
        <v>38</v>
      </c>
      <c r="B41">
        <v>2005</v>
      </c>
      <c r="C41" t="s">
        <v>74</v>
      </c>
      <c r="D41">
        <v>3.78</v>
      </c>
    </row>
    <row r="42" spans="1:4" x14ac:dyDescent="0.45">
      <c r="A42" t="s">
        <v>58</v>
      </c>
      <c r="B42">
        <v>2005</v>
      </c>
      <c r="C42" t="s">
        <v>74</v>
      </c>
      <c r="D42">
        <v>0.08</v>
      </c>
    </row>
    <row r="43" spans="1:4" x14ac:dyDescent="0.45">
      <c r="A43" t="s">
        <v>91</v>
      </c>
      <c r="B43">
        <v>2005</v>
      </c>
      <c r="C43" t="s">
        <v>74</v>
      </c>
      <c r="D43">
        <v>1.3</v>
      </c>
    </row>
    <row r="44" spans="1:4" x14ac:dyDescent="0.45">
      <c r="A44" t="s">
        <v>32</v>
      </c>
      <c r="B44">
        <v>2006</v>
      </c>
      <c r="C44" t="s">
        <v>74</v>
      </c>
      <c r="D44">
        <v>3.93</v>
      </c>
    </row>
    <row r="45" spans="1:4" x14ac:dyDescent="0.45">
      <c r="A45" t="s">
        <v>34</v>
      </c>
      <c r="B45">
        <v>2006</v>
      </c>
      <c r="C45" t="s">
        <v>74</v>
      </c>
      <c r="D45">
        <v>185.76</v>
      </c>
    </row>
    <row r="46" spans="1:4" x14ac:dyDescent="0.45">
      <c r="A46" t="s">
        <v>36</v>
      </c>
      <c r="B46">
        <v>2006</v>
      </c>
      <c r="C46" t="s">
        <v>74</v>
      </c>
      <c r="D46">
        <v>27.29</v>
      </c>
    </row>
    <row r="47" spans="1:4" x14ac:dyDescent="0.45">
      <c r="A47" t="s">
        <v>56</v>
      </c>
      <c r="B47">
        <v>2006</v>
      </c>
      <c r="C47" t="s">
        <v>74</v>
      </c>
      <c r="D47">
        <v>14.95</v>
      </c>
    </row>
    <row r="48" spans="1:4" x14ac:dyDescent="0.45">
      <c r="A48" t="s">
        <v>57</v>
      </c>
      <c r="B48">
        <v>2006</v>
      </c>
      <c r="C48" t="s">
        <v>74</v>
      </c>
      <c r="D48">
        <v>0</v>
      </c>
    </row>
    <row r="49" spans="1:4" x14ac:dyDescent="0.45">
      <c r="A49" t="s">
        <v>38</v>
      </c>
      <c r="B49">
        <v>2006</v>
      </c>
      <c r="C49" t="s">
        <v>74</v>
      </c>
      <c r="D49">
        <v>3.8</v>
      </c>
    </row>
    <row r="50" spans="1:4" x14ac:dyDescent="0.45">
      <c r="A50" t="s">
        <v>58</v>
      </c>
      <c r="B50">
        <v>2006</v>
      </c>
      <c r="C50" t="s">
        <v>74</v>
      </c>
      <c r="D50">
        <v>0.1</v>
      </c>
    </row>
    <row r="51" spans="1:4" x14ac:dyDescent="0.45">
      <c r="A51" t="s">
        <v>91</v>
      </c>
      <c r="B51">
        <v>2006</v>
      </c>
      <c r="C51" t="s">
        <v>74</v>
      </c>
      <c r="D51">
        <v>2.16</v>
      </c>
    </row>
    <row r="52" spans="1:4" x14ac:dyDescent="0.45">
      <c r="A52" t="s">
        <v>32</v>
      </c>
      <c r="B52">
        <v>2007</v>
      </c>
      <c r="C52" t="s">
        <v>74</v>
      </c>
      <c r="D52">
        <v>4.28</v>
      </c>
    </row>
    <row r="53" spans="1:4" x14ac:dyDescent="0.45">
      <c r="A53" t="s">
        <v>34</v>
      </c>
      <c r="B53">
        <v>2007</v>
      </c>
      <c r="C53" t="s">
        <v>74</v>
      </c>
      <c r="D53">
        <v>185.49</v>
      </c>
    </row>
    <row r="54" spans="1:4" x14ac:dyDescent="0.45">
      <c r="A54" t="s">
        <v>36</v>
      </c>
      <c r="B54">
        <v>2007</v>
      </c>
      <c r="C54" t="s">
        <v>74</v>
      </c>
      <c r="D54">
        <v>33.4</v>
      </c>
    </row>
    <row r="55" spans="1:4" x14ac:dyDescent="0.45">
      <c r="A55" t="s">
        <v>56</v>
      </c>
      <c r="B55">
        <v>2007</v>
      </c>
      <c r="C55" t="s">
        <v>74</v>
      </c>
      <c r="D55">
        <v>13.05</v>
      </c>
    </row>
    <row r="56" spans="1:4" x14ac:dyDescent="0.45">
      <c r="A56" t="s">
        <v>38</v>
      </c>
      <c r="B56">
        <v>2007</v>
      </c>
      <c r="C56" t="s">
        <v>74</v>
      </c>
      <c r="D56">
        <v>4.01</v>
      </c>
    </row>
    <row r="57" spans="1:4" x14ac:dyDescent="0.45">
      <c r="A57" t="s">
        <v>58</v>
      </c>
      <c r="B57">
        <v>2007</v>
      </c>
      <c r="C57" t="s">
        <v>74</v>
      </c>
      <c r="D57">
        <v>0.11</v>
      </c>
    </row>
    <row r="58" spans="1:4" x14ac:dyDescent="0.45">
      <c r="A58" t="s">
        <v>91</v>
      </c>
      <c r="B58">
        <v>2007</v>
      </c>
      <c r="C58" t="s">
        <v>74</v>
      </c>
      <c r="D58">
        <v>2.85</v>
      </c>
    </row>
    <row r="59" spans="1:4" x14ac:dyDescent="0.45">
      <c r="A59" t="s">
        <v>32</v>
      </c>
      <c r="B59">
        <v>2008</v>
      </c>
      <c r="C59" t="s">
        <v>74</v>
      </c>
      <c r="D59">
        <v>3.7</v>
      </c>
    </row>
    <row r="60" spans="1:4" x14ac:dyDescent="0.45">
      <c r="A60" t="s">
        <v>34</v>
      </c>
      <c r="B60">
        <v>2008</v>
      </c>
      <c r="C60" t="s">
        <v>74</v>
      </c>
      <c r="D60">
        <v>184.24</v>
      </c>
    </row>
    <row r="61" spans="1:4" x14ac:dyDescent="0.45">
      <c r="A61" t="s">
        <v>36</v>
      </c>
      <c r="B61">
        <v>2008</v>
      </c>
      <c r="C61" t="s">
        <v>74</v>
      </c>
      <c r="D61">
        <v>36.31</v>
      </c>
    </row>
    <row r="62" spans="1:4" x14ac:dyDescent="0.45">
      <c r="A62" t="s">
        <v>56</v>
      </c>
      <c r="B62">
        <v>2008</v>
      </c>
      <c r="C62" t="s">
        <v>74</v>
      </c>
      <c r="D62">
        <v>11.82</v>
      </c>
    </row>
    <row r="63" spans="1:4" x14ac:dyDescent="0.45">
      <c r="A63" t="s">
        <v>38</v>
      </c>
      <c r="B63">
        <v>2008</v>
      </c>
      <c r="C63" t="s">
        <v>74</v>
      </c>
      <c r="D63">
        <v>5.71</v>
      </c>
    </row>
    <row r="64" spans="1:4" x14ac:dyDescent="0.45">
      <c r="A64" t="s">
        <v>58</v>
      </c>
      <c r="B64">
        <v>2008</v>
      </c>
      <c r="C64" t="s">
        <v>74</v>
      </c>
      <c r="D64">
        <v>0.14000000000000001</v>
      </c>
    </row>
    <row r="65" spans="1:4" x14ac:dyDescent="0.45">
      <c r="A65" t="s">
        <v>91</v>
      </c>
      <c r="B65">
        <v>2008</v>
      </c>
      <c r="C65" t="s">
        <v>74</v>
      </c>
      <c r="D65">
        <v>3.46</v>
      </c>
    </row>
    <row r="66" spans="1:4" x14ac:dyDescent="0.45">
      <c r="A66" t="s">
        <v>32</v>
      </c>
      <c r="B66">
        <v>2009</v>
      </c>
      <c r="C66" t="s">
        <v>74</v>
      </c>
      <c r="D66">
        <v>2.79</v>
      </c>
    </row>
    <row r="67" spans="1:4" x14ac:dyDescent="0.45">
      <c r="A67" t="s">
        <v>34</v>
      </c>
      <c r="B67">
        <v>2009</v>
      </c>
      <c r="C67" t="s">
        <v>74</v>
      </c>
      <c r="D67">
        <v>182.02</v>
      </c>
    </row>
    <row r="68" spans="1:4" x14ac:dyDescent="0.45">
      <c r="A68" t="s">
        <v>36</v>
      </c>
      <c r="B68">
        <v>2009</v>
      </c>
      <c r="C68" t="s">
        <v>74</v>
      </c>
      <c r="D68">
        <v>41.12</v>
      </c>
    </row>
    <row r="69" spans="1:4" x14ac:dyDescent="0.45">
      <c r="A69" t="s">
        <v>56</v>
      </c>
      <c r="B69">
        <v>2009</v>
      </c>
      <c r="C69" t="s">
        <v>74</v>
      </c>
      <c r="D69">
        <v>12.64</v>
      </c>
    </row>
    <row r="70" spans="1:4" x14ac:dyDescent="0.45">
      <c r="A70" t="s">
        <v>38</v>
      </c>
      <c r="B70">
        <v>2009</v>
      </c>
      <c r="C70" t="s">
        <v>74</v>
      </c>
      <c r="D70">
        <v>6.6</v>
      </c>
    </row>
    <row r="71" spans="1:4" x14ac:dyDescent="0.45">
      <c r="A71" t="s">
        <v>58</v>
      </c>
      <c r="B71">
        <v>2009</v>
      </c>
      <c r="C71" t="s">
        <v>74</v>
      </c>
      <c r="D71">
        <v>0.28999999999999998</v>
      </c>
    </row>
    <row r="72" spans="1:4" x14ac:dyDescent="0.45">
      <c r="A72" t="s">
        <v>91</v>
      </c>
      <c r="B72">
        <v>2009</v>
      </c>
      <c r="C72" t="s">
        <v>74</v>
      </c>
      <c r="D72">
        <v>4.4400000000000004</v>
      </c>
    </row>
    <row r="73" spans="1:4" x14ac:dyDescent="0.45">
      <c r="A73" t="s">
        <v>32</v>
      </c>
      <c r="B73">
        <v>2010</v>
      </c>
      <c r="C73" t="s">
        <v>74</v>
      </c>
      <c r="D73">
        <v>2.44</v>
      </c>
    </row>
    <row r="74" spans="1:4" x14ac:dyDescent="0.45">
      <c r="A74" t="s">
        <v>34</v>
      </c>
      <c r="B74">
        <v>2010</v>
      </c>
      <c r="C74" t="s">
        <v>74</v>
      </c>
      <c r="D74">
        <v>176.02</v>
      </c>
    </row>
    <row r="75" spans="1:4" x14ac:dyDescent="0.45">
      <c r="A75" t="s">
        <v>36</v>
      </c>
      <c r="B75">
        <v>2010</v>
      </c>
      <c r="C75" t="s">
        <v>74</v>
      </c>
      <c r="D75">
        <v>46.79</v>
      </c>
    </row>
    <row r="76" spans="1:4" x14ac:dyDescent="0.45">
      <c r="A76" t="s">
        <v>56</v>
      </c>
      <c r="B76">
        <v>2010</v>
      </c>
      <c r="C76" t="s">
        <v>74</v>
      </c>
      <c r="D76">
        <v>13.75</v>
      </c>
    </row>
    <row r="77" spans="1:4" x14ac:dyDescent="0.45">
      <c r="A77" t="s">
        <v>38</v>
      </c>
      <c r="B77">
        <v>2010</v>
      </c>
      <c r="C77" t="s">
        <v>74</v>
      </c>
      <c r="D77">
        <v>6</v>
      </c>
    </row>
    <row r="78" spans="1:4" x14ac:dyDescent="0.45">
      <c r="A78" t="s">
        <v>58</v>
      </c>
      <c r="B78">
        <v>2010</v>
      </c>
      <c r="C78" t="s">
        <v>74</v>
      </c>
      <c r="D78">
        <v>0.98</v>
      </c>
    </row>
    <row r="79" spans="1:4" x14ac:dyDescent="0.45">
      <c r="A79" t="s">
        <v>91</v>
      </c>
      <c r="B79">
        <v>2010</v>
      </c>
      <c r="C79" t="s">
        <v>74</v>
      </c>
      <c r="D79">
        <v>4.99</v>
      </c>
    </row>
    <row r="80" spans="1:4" x14ac:dyDescent="0.45">
      <c r="A80" t="s">
        <v>32</v>
      </c>
      <c r="B80">
        <v>2011</v>
      </c>
      <c r="C80" t="s">
        <v>74</v>
      </c>
      <c r="D80">
        <v>2.57</v>
      </c>
    </row>
    <row r="81" spans="1:4" x14ac:dyDescent="0.45">
      <c r="A81" t="s">
        <v>34</v>
      </c>
      <c r="B81">
        <v>2011</v>
      </c>
      <c r="C81" t="s">
        <v>74</v>
      </c>
      <c r="D81">
        <v>171.98</v>
      </c>
    </row>
    <row r="82" spans="1:4" x14ac:dyDescent="0.45">
      <c r="A82" t="s">
        <v>36</v>
      </c>
      <c r="B82">
        <v>2011</v>
      </c>
      <c r="C82" t="s">
        <v>74</v>
      </c>
      <c r="D82">
        <v>48.78</v>
      </c>
    </row>
    <row r="83" spans="1:4" x14ac:dyDescent="0.45">
      <c r="A83" t="s">
        <v>56</v>
      </c>
      <c r="B83">
        <v>2011</v>
      </c>
      <c r="C83" t="s">
        <v>74</v>
      </c>
      <c r="D83">
        <v>19.57</v>
      </c>
    </row>
    <row r="84" spans="1:4" x14ac:dyDescent="0.45">
      <c r="A84" t="s">
        <v>38</v>
      </c>
      <c r="B84">
        <v>2011</v>
      </c>
      <c r="C84" t="s">
        <v>74</v>
      </c>
      <c r="D84">
        <v>4.91</v>
      </c>
    </row>
    <row r="85" spans="1:4" x14ac:dyDescent="0.45">
      <c r="A85" t="s">
        <v>58</v>
      </c>
      <c r="B85">
        <v>2011</v>
      </c>
      <c r="C85" t="s">
        <v>74</v>
      </c>
      <c r="D85">
        <v>2.04</v>
      </c>
    </row>
    <row r="86" spans="1:4" x14ac:dyDescent="0.45">
      <c r="A86" t="s">
        <v>91</v>
      </c>
      <c r="B86">
        <v>2011</v>
      </c>
      <c r="C86" t="s">
        <v>74</v>
      </c>
      <c r="D86">
        <v>6.43</v>
      </c>
    </row>
    <row r="87" spans="1:4" x14ac:dyDescent="0.45">
      <c r="A87" t="s">
        <v>32</v>
      </c>
      <c r="B87">
        <v>2012</v>
      </c>
      <c r="C87" t="s">
        <v>74</v>
      </c>
      <c r="D87">
        <v>3.1</v>
      </c>
    </row>
    <row r="88" spans="1:4" x14ac:dyDescent="0.45">
      <c r="A88" t="s">
        <v>34</v>
      </c>
      <c r="B88">
        <v>2012</v>
      </c>
      <c r="C88" t="s">
        <v>74</v>
      </c>
      <c r="D88">
        <v>165.38</v>
      </c>
    </row>
    <row r="89" spans="1:4" x14ac:dyDescent="0.45">
      <c r="A89" t="s">
        <v>36</v>
      </c>
      <c r="B89">
        <v>2012</v>
      </c>
      <c r="C89" t="s">
        <v>74</v>
      </c>
      <c r="D89">
        <v>49.81</v>
      </c>
    </row>
    <row r="90" spans="1:4" x14ac:dyDescent="0.45">
      <c r="A90" t="s">
        <v>56</v>
      </c>
      <c r="B90">
        <v>2012</v>
      </c>
      <c r="C90" t="s">
        <v>74</v>
      </c>
      <c r="D90">
        <v>17.04</v>
      </c>
    </row>
    <row r="91" spans="1:4" x14ac:dyDescent="0.45">
      <c r="A91" t="s">
        <v>38</v>
      </c>
      <c r="B91">
        <v>2012</v>
      </c>
      <c r="C91" t="s">
        <v>74</v>
      </c>
      <c r="D91">
        <v>5.2</v>
      </c>
    </row>
    <row r="92" spans="1:4" x14ac:dyDescent="0.45">
      <c r="A92" t="s">
        <v>58</v>
      </c>
      <c r="B92">
        <v>2012</v>
      </c>
      <c r="C92" t="s">
        <v>74</v>
      </c>
      <c r="D92">
        <v>2.41</v>
      </c>
    </row>
    <row r="93" spans="1:4" x14ac:dyDescent="0.45">
      <c r="A93" t="s">
        <v>91</v>
      </c>
      <c r="B93">
        <v>2012</v>
      </c>
      <c r="C93" t="s">
        <v>74</v>
      </c>
      <c r="D93">
        <v>7.72</v>
      </c>
    </row>
    <row r="94" spans="1:4" x14ac:dyDescent="0.45">
      <c r="A94" t="s">
        <v>32</v>
      </c>
      <c r="B94">
        <v>2013</v>
      </c>
      <c r="C94" t="s">
        <v>74</v>
      </c>
      <c r="D94">
        <v>3.33</v>
      </c>
    </row>
    <row r="95" spans="1:4" x14ac:dyDescent="0.45">
      <c r="A95" t="s">
        <v>34</v>
      </c>
      <c r="B95">
        <v>2013</v>
      </c>
      <c r="C95" t="s">
        <v>74</v>
      </c>
      <c r="D95">
        <v>155.44999999999999</v>
      </c>
    </row>
    <row r="96" spans="1:4" x14ac:dyDescent="0.45">
      <c r="A96" t="s">
        <v>36</v>
      </c>
      <c r="B96">
        <v>2013</v>
      </c>
      <c r="C96" t="s">
        <v>74</v>
      </c>
      <c r="D96">
        <v>52.72</v>
      </c>
    </row>
    <row r="97" spans="1:4" x14ac:dyDescent="0.45">
      <c r="A97" t="s">
        <v>56</v>
      </c>
      <c r="B97">
        <v>2013</v>
      </c>
      <c r="C97" t="s">
        <v>74</v>
      </c>
      <c r="D97">
        <v>19.09</v>
      </c>
    </row>
    <row r="98" spans="1:4" x14ac:dyDescent="0.45">
      <c r="A98" t="s">
        <v>38</v>
      </c>
      <c r="B98">
        <v>2013</v>
      </c>
      <c r="C98" t="s">
        <v>74</v>
      </c>
      <c r="D98">
        <v>5.86</v>
      </c>
    </row>
    <row r="99" spans="1:4" x14ac:dyDescent="0.45">
      <c r="A99" t="s">
        <v>58</v>
      </c>
      <c r="B99">
        <v>2013</v>
      </c>
      <c r="C99" t="s">
        <v>74</v>
      </c>
      <c r="D99">
        <v>3.85</v>
      </c>
    </row>
    <row r="100" spans="1:4" x14ac:dyDescent="0.45">
      <c r="A100" t="s">
        <v>91</v>
      </c>
      <c r="B100">
        <v>2013</v>
      </c>
      <c r="C100" t="s">
        <v>74</v>
      </c>
      <c r="D100">
        <v>9.26</v>
      </c>
    </row>
    <row r="101" spans="1:4" x14ac:dyDescent="0.45">
      <c r="A101" t="s">
        <v>32</v>
      </c>
      <c r="B101">
        <v>2014</v>
      </c>
      <c r="C101" t="s">
        <v>74</v>
      </c>
      <c r="D101">
        <v>3.55</v>
      </c>
    </row>
    <row r="102" spans="1:4" x14ac:dyDescent="0.45">
      <c r="A102" t="s">
        <v>34</v>
      </c>
      <c r="B102">
        <v>2014</v>
      </c>
      <c r="C102" t="s">
        <v>74</v>
      </c>
      <c r="D102">
        <v>155.22999999999999</v>
      </c>
    </row>
    <row r="103" spans="1:4" x14ac:dyDescent="0.45">
      <c r="A103" t="s">
        <v>36</v>
      </c>
      <c r="B103">
        <v>2014</v>
      </c>
      <c r="C103" t="s">
        <v>74</v>
      </c>
      <c r="D103">
        <v>53.66</v>
      </c>
    </row>
    <row r="104" spans="1:4" x14ac:dyDescent="0.45">
      <c r="A104" t="s">
        <v>56</v>
      </c>
      <c r="B104">
        <v>2014</v>
      </c>
      <c r="C104" t="s">
        <v>74</v>
      </c>
      <c r="D104">
        <v>14.48</v>
      </c>
    </row>
    <row r="105" spans="1:4" x14ac:dyDescent="0.45">
      <c r="A105" t="s">
        <v>38</v>
      </c>
      <c r="B105">
        <v>2014</v>
      </c>
      <c r="C105" t="s">
        <v>74</v>
      </c>
      <c r="D105">
        <v>6</v>
      </c>
    </row>
    <row r="106" spans="1:4" x14ac:dyDescent="0.45">
      <c r="A106" t="s">
        <v>58</v>
      </c>
      <c r="B106">
        <v>2014</v>
      </c>
      <c r="C106" t="s">
        <v>74</v>
      </c>
      <c r="D106">
        <v>4.95</v>
      </c>
    </row>
    <row r="107" spans="1:4" x14ac:dyDescent="0.45">
      <c r="A107" t="s">
        <v>91</v>
      </c>
      <c r="B107">
        <v>2014</v>
      </c>
      <c r="C107" t="s">
        <v>74</v>
      </c>
      <c r="D107">
        <v>9.7799999999999994</v>
      </c>
    </row>
    <row r="108" spans="1:4" x14ac:dyDescent="0.45">
      <c r="A108" t="s">
        <v>32</v>
      </c>
      <c r="B108">
        <v>2015</v>
      </c>
      <c r="C108" t="s">
        <v>74</v>
      </c>
      <c r="D108">
        <v>3.68</v>
      </c>
    </row>
    <row r="109" spans="1:4" x14ac:dyDescent="0.45">
      <c r="A109" t="s">
        <v>34</v>
      </c>
      <c r="B109">
        <v>2015</v>
      </c>
      <c r="C109" t="s">
        <v>74</v>
      </c>
      <c r="D109">
        <v>162.19999999999999</v>
      </c>
    </row>
    <row r="110" spans="1:4" x14ac:dyDescent="0.45">
      <c r="A110" t="s">
        <v>36</v>
      </c>
      <c r="B110">
        <v>2015</v>
      </c>
      <c r="C110" t="s">
        <v>74</v>
      </c>
      <c r="D110">
        <v>49.71</v>
      </c>
    </row>
    <row r="111" spans="1:4" x14ac:dyDescent="0.45">
      <c r="A111" t="s">
        <v>56</v>
      </c>
      <c r="B111">
        <v>2015</v>
      </c>
      <c r="C111" t="s">
        <v>74</v>
      </c>
      <c r="D111">
        <v>14.09</v>
      </c>
    </row>
    <row r="112" spans="1:4" x14ac:dyDescent="0.45">
      <c r="A112" t="s">
        <v>38</v>
      </c>
      <c r="B112">
        <v>2015</v>
      </c>
      <c r="C112" t="s">
        <v>74</v>
      </c>
      <c r="D112">
        <v>6.28</v>
      </c>
    </row>
    <row r="113" spans="1:4" x14ac:dyDescent="0.45">
      <c r="A113" t="s">
        <v>58</v>
      </c>
      <c r="B113">
        <v>2015</v>
      </c>
      <c r="C113" t="s">
        <v>74</v>
      </c>
      <c r="D113">
        <v>6.2</v>
      </c>
    </row>
    <row r="114" spans="1:4" x14ac:dyDescent="0.45">
      <c r="A114" t="s">
        <v>91</v>
      </c>
      <c r="B114">
        <v>2015</v>
      </c>
      <c r="C114" t="s">
        <v>74</v>
      </c>
      <c r="D114">
        <v>11.83</v>
      </c>
    </row>
    <row r="115" spans="1:4" x14ac:dyDescent="0.45">
      <c r="A115" t="s">
        <v>32</v>
      </c>
      <c r="B115">
        <v>2016</v>
      </c>
      <c r="C115" t="s">
        <v>74</v>
      </c>
      <c r="D115">
        <v>3.63</v>
      </c>
    </row>
    <row r="116" spans="1:4" x14ac:dyDescent="0.45">
      <c r="A116" t="s">
        <v>34</v>
      </c>
      <c r="B116">
        <v>2016</v>
      </c>
      <c r="C116" t="s">
        <v>74</v>
      </c>
      <c r="D116">
        <v>162.36000000000001</v>
      </c>
    </row>
    <row r="117" spans="1:4" x14ac:dyDescent="0.45">
      <c r="A117" t="s">
        <v>36</v>
      </c>
      <c r="B117">
        <v>2016</v>
      </c>
      <c r="C117" t="s">
        <v>74</v>
      </c>
      <c r="D117">
        <v>48.11</v>
      </c>
    </row>
    <row r="118" spans="1:4" x14ac:dyDescent="0.45">
      <c r="A118" t="s">
        <v>56</v>
      </c>
      <c r="B118">
        <v>2016</v>
      </c>
      <c r="C118" t="s">
        <v>74</v>
      </c>
      <c r="D118">
        <v>17.63</v>
      </c>
    </row>
    <row r="119" spans="1:4" x14ac:dyDescent="0.45">
      <c r="A119" t="s">
        <v>38</v>
      </c>
      <c r="B119">
        <v>2016</v>
      </c>
      <c r="C119" t="s">
        <v>74</v>
      </c>
      <c r="D119">
        <v>6.02</v>
      </c>
    </row>
    <row r="120" spans="1:4" x14ac:dyDescent="0.45">
      <c r="A120" t="s">
        <v>58</v>
      </c>
      <c r="B120">
        <v>2016</v>
      </c>
      <c r="C120" t="s">
        <v>74</v>
      </c>
      <c r="D120">
        <v>7.44</v>
      </c>
    </row>
    <row r="121" spans="1:4" x14ac:dyDescent="0.45">
      <c r="A121" t="s">
        <v>91</v>
      </c>
      <c r="B121">
        <v>2016</v>
      </c>
      <c r="C121" t="s">
        <v>74</v>
      </c>
      <c r="D121">
        <v>13.04</v>
      </c>
    </row>
    <row r="122" spans="1:4" x14ac:dyDescent="0.45">
      <c r="A122" t="s">
        <v>32</v>
      </c>
      <c r="B122">
        <v>2017</v>
      </c>
      <c r="C122" t="s">
        <v>74</v>
      </c>
      <c r="D122">
        <v>3.56</v>
      </c>
    </row>
    <row r="123" spans="1:4" x14ac:dyDescent="0.45">
      <c r="A123" t="s">
        <v>34</v>
      </c>
      <c r="B123">
        <v>2017</v>
      </c>
      <c r="C123" t="s">
        <v>74</v>
      </c>
      <c r="D123">
        <v>159.16999999999999</v>
      </c>
    </row>
    <row r="124" spans="1:4" x14ac:dyDescent="0.45">
      <c r="A124" t="s">
        <v>36</v>
      </c>
      <c r="B124">
        <v>2017</v>
      </c>
      <c r="C124" t="s">
        <v>74</v>
      </c>
      <c r="D124">
        <v>55.09</v>
      </c>
    </row>
    <row r="125" spans="1:4" x14ac:dyDescent="0.45">
      <c r="A125" t="s">
        <v>56</v>
      </c>
      <c r="B125">
        <v>2017</v>
      </c>
      <c r="C125" t="s">
        <v>74</v>
      </c>
      <c r="D125">
        <v>13.5</v>
      </c>
    </row>
    <row r="126" spans="1:4" x14ac:dyDescent="0.45">
      <c r="A126" t="s">
        <v>38</v>
      </c>
      <c r="B126">
        <v>2017</v>
      </c>
      <c r="C126" t="s">
        <v>74</v>
      </c>
      <c r="D126">
        <v>5.52</v>
      </c>
    </row>
    <row r="127" spans="1:4" x14ac:dyDescent="0.45">
      <c r="A127" t="s">
        <v>58</v>
      </c>
      <c r="B127">
        <v>2017</v>
      </c>
      <c r="C127" t="s">
        <v>74</v>
      </c>
      <c r="D127">
        <v>8.92</v>
      </c>
    </row>
    <row r="128" spans="1:4" x14ac:dyDescent="0.45">
      <c r="A128" t="s">
        <v>91</v>
      </c>
      <c r="B128">
        <v>2017</v>
      </c>
      <c r="C128" t="s">
        <v>74</v>
      </c>
      <c r="D128">
        <v>13.21</v>
      </c>
    </row>
    <row r="129" spans="1:4" x14ac:dyDescent="0.45">
      <c r="A129" t="s">
        <v>32</v>
      </c>
      <c r="B129">
        <v>2018</v>
      </c>
      <c r="C129" t="s">
        <v>74</v>
      </c>
      <c r="D129">
        <v>3.59</v>
      </c>
    </row>
    <row r="130" spans="1:4" x14ac:dyDescent="0.45">
      <c r="A130" t="s">
        <v>34</v>
      </c>
      <c r="B130">
        <v>2018</v>
      </c>
      <c r="C130" t="s">
        <v>74</v>
      </c>
      <c r="D130">
        <v>156.56</v>
      </c>
    </row>
    <row r="131" spans="1:4" x14ac:dyDescent="0.45">
      <c r="A131" t="s">
        <v>36</v>
      </c>
      <c r="B131">
        <v>2018</v>
      </c>
      <c r="C131" t="s">
        <v>74</v>
      </c>
      <c r="D131">
        <v>51.46</v>
      </c>
    </row>
    <row r="132" spans="1:4" x14ac:dyDescent="0.45">
      <c r="A132" t="s">
        <v>56</v>
      </c>
      <c r="B132">
        <v>2018</v>
      </c>
      <c r="C132" t="s">
        <v>74</v>
      </c>
      <c r="D132">
        <v>17.309999999999999</v>
      </c>
    </row>
    <row r="133" spans="1:4" x14ac:dyDescent="0.45">
      <c r="A133" t="s">
        <v>38</v>
      </c>
      <c r="B133">
        <v>2018</v>
      </c>
      <c r="C133" t="s">
        <v>74</v>
      </c>
      <c r="D133">
        <v>5.12</v>
      </c>
    </row>
    <row r="134" spans="1:4" x14ac:dyDescent="0.45">
      <c r="A134" t="s">
        <v>58</v>
      </c>
      <c r="B134">
        <v>2018</v>
      </c>
      <c r="C134" t="s">
        <v>74</v>
      </c>
      <c r="D134">
        <v>12.33</v>
      </c>
    </row>
    <row r="135" spans="1:4" x14ac:dyDescent="0.45">
      <c r="A135" t="s">
        <v>91</v>
      </c>
      <c r="B135">
        <v>2018</v>
      </c>
      <c r="C135" t="s">
        <v>74</v>
      </c>
      <c r="D135">
        <v>16.260000000000002</v>
      </c>
    </row>
    <row r="136" spans="1:4" x14ac:dyDescent="0.45">
      <c r="A136" t="s">
        <v>32</v>
      </c>
      <c r="B136">
        <v>2019</v>
      </c>
      <c r="C136" t="s">
        <v>74</v>
      </c>
      <c r="D136">
        <v>3.47</v>
      </c>
    </row>
    <row r="137" spans="1:4" x14ac:dyDescent="0.45">
      <c r="A137" t="s">
        <v>34</v>
      </c>
      <c r="B137">
        <v>2019</v>
      </c>
      <c r="C137" t="s">
        <v>74</v>
      </c>
      <c r="D137">
        <v>149.84</v>
      </c>
    </row>
    <row r="138" spans="1:4" x14ac:dyDescent="0.45">
      <c r="A138" t="s">
        <v>36</v>
      </c>
      <c r="B138">
        <v>2019</v>
      </c>
      <c r="C138" t="s">
        <v>74</v>
      </c>
      <c r="D138">
        <v>55.71</v>
      </c>
    </row>
    <row r="139" spans="1:4" x14ac:dyDescent="0.45">
      <c r="A139" t="s">
        <v>56</v>
      </c>
      <c r="B139">
        <v>2019</v>
      </c>
      <c r="C139" t="s">
        <v>74</v>
      </c>
      <c r="D139">
        <v>14.02</v>
      </c>
    </row>
    <row r="140" spans="1:4" x14ac:dyDescent="0.45">
      <c r="A140" t="s">
        <v>38</v>
      </c>
      <c r="B140">
        <v>2019</v>
      </c>
      <c r="C140" t="s">
        <v>74</v>
      </c>
      <c r="D140">
        <v>5.09</v>
      </c>
    </row>
    <row r="141" spans="1:4" x14ac:dyDescent="0.45">
      <c r="A141" t="s">
        <v>58</v>
      </c>
      <c r="B141">
        <v>2019</v>
      </c>
      <c r="C141" t="s">
        <v>74</v>
      </c>
      <c r="D141">
        <v>18.3</v>
      </c>
    </row>
    <row r="142" spans="1:4" x14ac:dyDescent="0.45">
      <c r="A142" t="s">
        <v>91</v>
      </c>
      <c r="B142">
        <v>2019</v>
      </c>
      <c r="C142" t="s">
        <v>74</v>
      </c>
      <c r="D142">
        <v>19.47</v>
      </c>
    </row>
    <row r="143" spans="1:4" x14ac:dyDescent="0.45">
      <c r="A143" t="s">
        <v>32</v>
      </c>
      <c r="B143">
        <v>2020</v>
      </c>
      <c r="C143" t="s">
        <v>74</v>
      </c>
      <c r="D143">
        <v>3.41</v>
      </c>
    </row>
    <row r="144" spans="1:4" x14ac:dyDescent="0.45">
      <c r="A144" t="s">
        <v>34</v>
      </c>
      <c r="B144">
        <v>2020</v>
      </c>
      <c r="C144" t="s">
        <v>74</v>
      </c>
      <c r="D144">
        <v>142.93</v>
      </c>
    </row>
    <row r="145" spans="1:4" x14ac:dyDescent="0.45">
      <c r="A145" t="s">
        <v>36</v>
      </c>
      <c r="B145">
        <v>2020</v>
      </c>
      <c r="C145" t="s">
        <v>74</v>
      </c>
      <c r="D145">
        <v>53.05</v>
      </c>
    </row>
    <row r="146" spans="1:4" x14ac:dyDescent="0.45">
      <c r="A146" t="s">
        <v>56</v>
      </c>
      <c r="B146">
        <v>2020</v>
      </c>
      <c r="C146" t="s">
        <v>74</v>
      </c>
      <c r="D146">
        <v>14.42</v>
      </c>
    </row>
    <row r="147" spans="1:4" x14ac:dyDescent="0.45">
      <c r="A147" t="s">
        <v>38</v>
      </c>
      <c r="B147">
        <v>2020</v>
      </c>
      <c r="C147" t="s">
        <v>74</v>
      </c>
      <c r="D147">
        <v>4.8899999999999997</v>
      </c>
    </row>
    <row r="148" spans="1:4" x14ac:dyDescent="0.45">
      <c r="A148" t="s">
        <v>58</v>
      </c>
      <c r="B148">
        <v>2020</v>
      </c>
      <c r="C148" t="s">
        <v>74</v>
      </c>
      <c r="D148">
        <v>23.84</v>
      </c>
    </row>
    <row r="149" spans="1:4" x14ac:dyDescent="0.45">
      <c r="A149" t="s">
        <v>91</v>
      </c>
      <c r="B149">
        <v>2020</v>
      </c>
      <c r="C149" t="s">
        <v>74</v>
      </c>
      <c r="D149">
        <v>22.61</v>
      </c>
    </row>
    <row r="150" spans="1:4" x14ac:dyDescent="0.45">
      <c r="A150" t="s">
        <v>32</v>
      </c>
      <c r="B150">
        <v>2021</v>
      </c>
      <c r="C150" t="s">
        <v>74</v>
      </c>
      <c r="D150">
        <v>3.34</v>
      </c>
    </row>
    <row r="151" spans="1:4" x14ac:dyDescent="0.45">
      <c r="A151" t="s">
        <v>34</v>
      </c>
      <c r="B151">
        <v>2021</v>
      </c>
      <c r="C151" t="s">
        <v>74</v>
      </c>
      <c r="D151">
        <v>137.4</v>
      </c>
    </row>
    <row r="152" spans="1:4" x14ac:dyDescent="0.45">
      <c r="A152" t="s">
        <v>36</v>
      </c>
      <c r="B152">
        <v>2021</v>
      </c>
      <c r="C152" t="s">
        <v>74</v>
      </c>
      <c r="D152">
        <v>47.63</v>
      </c>
    </row>
    <row r="153" spans="1:4" x14ac:dyDescent="0.45">
      <c r="A153" t="s">
        <v>56</v>
      </c>
      <c r="B153">
        <v>2021</v>
      </c>
      <c r="C153" t="s">
        <v>74</v>
      </c>
      <c r="D153">
        <v>15.94</v>
      </c>
    </row>
    <row r="154" spans="1:4" x14ac:dyDescent="0.45">
      <c r="A154" t="s">
        <v>38</v>
      </c>
      <c r="B154">
        <v>2021</v>
      </c>
      <c r="C154" t="s">
        <v>74</v>
      </c>
      <c r="D154">
        <v>5.15</v>
      </c>
    </row>
    <row r="155" spans="1:4" x14ac:dyDescent="0.45">
      <c r="A155" t="s">
        <v>58</v>
      </c>
      <c r="B155">
        <v>2021</v>
      </c>
      <c r="C155" t="s">
        <v>74</v>
      </c>
      <c r="D155">
        <v>31.19</v>
      </c>
    </row>
    <row r="156" spans="1:4" x14ac:dyDescent="0.45">
      <c r="A156" t="s">
        <v>91</v>
      </c>
      <c r="B156">
        <v>2021</v>
      </c>
      <c r="C156" t="s">
        <v>74</v>
      </c>
      <c r="D156">
        <v>26.8</v>
      </c>
    </row>
    <row r="157" spans="1:4" x14ac:dyDescent="0.45">
      <c r="A157" t="s">
        <v>32</v>
      </c>
      <c r="B157">
        <v>2022</v>
      </c>
      <c r="C157" t="s">
        <v>74</v>
      </c>
      <c r="D157">
        <v>3.19</v>
      </c>
    </row>
    <row r="158" spans="1:4" x14ac:dyDescent="0.45">
      <c r="A158" t="s">
        <v>34</v>
      </c>
      <c r="B158">
        <v>2022</v>
      </c>
      <c r="C158" t="s">
        <v>74</v>
      </c>
      <c r="D158">
        <v>129.21</v>
      </c>
    </row>
    <row r="159" spans="1:4" x14ac:dyDescent="0.45">
      <c r="A159" t="s">
        <v>36</v>
      </c>
      <c r="B159">
        <v>2022</v>
      </c>
      <c r="C159" t="s">
        <v>74</v>
      </c>
      <c r="D159">
        <v>50.82</v>
      </c>
    </row>
    <row r="160" spans="1:4" x14ac:dyDescent="0.45">
      <c r="A160" t="s">
        <v>56</v>
      </c>
      <c r="B160">
        <v>2022</v>
      </c>
      <c r="C160" t="s">
        <v>74</v>
      </c>
      <c r="D160">
        <v>16.66</v>
      </c>
    </row>
    <row r="161" spans="1:4" x14ac:dyDescent="0.45">
      <c r="A161" t="s">
        <v>38</v>
      </c>
      <c r="B161">
        <v>2022</v>
      </c>
      <c r="C161" t="s">
        <v>74</v>
      </c>
      <c r="D161">
        <v>5.45</v>
      </c>
    </row>
    <row r="162" spans="1:4" x14ac:dyDescent="0.45">
      <c r="A162" t="s">
        <v>58</v>
      </c>
      <c r="B162">
        <v>2022</v>
      </c>
      <c r="C162" t="s">
        <v>74</v>
      </c>
      <c r="D162">
        <v>37.54</v>
      </c>
    </row>
    <row r="163" spans="1:4" x14ac:dyDescent="0.45">
      <c r="A163" t="s">
        <v>91</v>
      </c>
      <c r="B163">
        <v>2022</v>
      </c>
      <c r="C163" t="s">
        <v>74</v>
      </c>
      <c r="D163">
        <v>30.05</v>
      </c>
    </row>
    <row r="164" spans="1:4" x14ac:dyDescent="0.45">
      <c r="A164" t="s">
        <v>32</v>
      </c>
      <c r="B164">
        <v>2023</v>
      </c>
      <c r="C164" t="s">
        <v>74</v>
      </c>
      <c r="D164">
        <v>3.13</v>
      </c>
    </row>
    <row r="165" spans="1:4" x14ac:dyDescent="0.45">
      <c r="A165" t="s">
        <v>34</v>
      </c>
      <c r="B165">
        <v>2023</v>
      </c>
      <c r="C165" t="s">
        <v>74</v>
      </c>
      <c r="D165">
        <v>125.61</v>
      </c>
    </row>
    <row r="166" spans="1:4" x14ac:dyDescent="0.45">
      <c r="A166" t="s">
        <v>36</v>
      </c>
      <c r="B166">
        <v>2023</v>
      </c>
      <c r="C166" t="s">
        <v>74</v>
      </c>
      <c r="D166">
        <v>46.67</v>
      </c>
    </row>
    <row r="167" spans="1:4" x14ac:dyDescent="0.45">
      <c r="A167" t="s">
        <v>56</v>
      </c>
      <c r="B167">
        <v>2023</v>
      </c>
      <c r="C167" t="s">
        <v>74</v>
      </c>
      <c r="D167">
        <v>15.26</v>
      </c>
    </row>
    <row r="168" spans="1:4" x14ac:dyDescent="0.45">
      <c r="A168" t="s">
        <v>38</v>
      </c>
      <c r="B168">
        <v>2023</v>
      </c>
      <c r="C168" t="s">
        <v>74</v>
      </c>
      <c r="D168">
        <v>5.58</v>
      </c>
    </row>
    <row r="169" spans="1:4" x14ac:dyDescent="0.45">
      <c r="A169" t="s">
        <v>58</v>
      </c>
      <c r="B169">
        <v>2023</v>
      </c>
      <c r="C169" t="s">
        <v>74</v>
      </c>
      <c r="D169">
        <v>44.99</v>
      </c>
    </row>
    <row r="170" spans="1:4" x14ac:dyDescent="0.45">
      <c r="A170" t="s">
        <v>91</v>
      </c>
      <c r="B170">
        <v>2023</v>
      </c>
      <c r="C170" t="s">
        <v>74</v>
      </c>
      <c r="D170">
        <v>31.87</v>
      </c>
    </row>
    <row r="171" spans="1:4" x14ac:dyDescent="0.45">
      <c r="A171" t="s">
        <v>32</v>
      </c>
      <c r="B171">
        <v>2000</v>
      </c>
      <c r="C171" t="s">
        <v>75</v>
      </c>
      <c r="D171">
        <v>0.42</v>
      </c>
    </row>
    <row r="172" spans="1:4" x14ac:dyDescent="0.45">
      <c r="A172" t="s">
        <v>34</v>
      </c>
      <c r="B172">
        <v>2000</v>
      </c>
      <c r="C172" t="s">
        <v>75</v>
      </c>
      <c r="D172">
        <v>27.75</v>
      </c>
    </row>
    <row r="173" spans="1:4" x14ac:dyDescent="0.45">
      <c r="A173" t="s">
        <v>36</v>
      </c>
      <c r="B173">
        <v>2000</v>
      </c>
      <c r="C173" t="s">
        <v>75</v>
      </c>
      <c r="D173">
        <v>7.86</v>
      </c>
    </row>
    <row r="174" spans="1:4" x14ac:dyDescent="0.45">
      <c r="A174" t="s">
        <v>56</v>
      </c>
      <c r="B174">
        <v>2000</v>
      </c>
      <c r="C174" t="s">
        <v>75</v>
      </c>
      <c r="D174">
        <v>6.78</v>
      </c>
    </row>
    <row r="175" spans="1:4" x14ac:dyDescent="0.45">
      <c r="A175" t="s">
        <v>38</v>
      </c>
      <c r="B175">
        <v>2000</v>
      </c>
      <c r="C175" t="s">
        <v>75</v>
      </c>
      <c r="D175">
        <v>1.93</v>
      </c>
    </row>
    <row r="176" spans="1:4" x14ac:dyDescent="0.45">
      <c r="A176" t="s">
        <v>58</v>
      </c>
      <c r="B176">
        <v>2000</v>
      </c>
      <c r="C176" t="s">
        <v>75</v>
      </c>
      <c r="D176">
        <v>0.03</v>
      </c>
    </row>
    <row r="177" spans="1:4" x14ac:dyDescent="0.45">
      <c r="A177" t="s">
        <v>91</v>
      </c>
      <c r="B177">
        <v>2000</v>
      </c>
      <c r="C177" t="s">
        <v>75</v>
      </c>
      <c r="D177">
        <v>0.03</v>
      </c>
    </row>
    <row r="178" spans="1:4" x14ac:dyDescent="0.45">
      <c r="A178" t="s">
        <v>32</v>
      </c>
      <c r="B178">
        <v>2001</v>
      </c>
      <c r="C178" t="s">
        <v>75</v>
      </c>
      <c r="D178">
        <v>0.57999999999999996</v>
      </c>
    </row>
    <row r="179" spans="1:4" x14ac:dyDescent="0.45">
      <c r="A179" t="s">
        <v>34</v>
      </c>
      <c r="B179">
        <v>2001</v>
      </c>
      <c r="C179" t="s">
        <v>75</v>
      </c>
      <c r="D179">
        <v>28.82</v>
      </c>
    </row>
    <row r="180" spans="1:4" x14ac:dyDescent="0.45">
      <c r="A180" t="s">
        <v>36</v>
      </c>
      <c r="B180">
        <v>2001</v>
      </c>
      <c r="C180" t="s">
        <v>75</v>
      </c>
      <c r="D180">
        <v>7.9</v>
      </c>
    </row>
    <row r="181" spans="1:4" x14ac:dyDescent="0.45">
      <c r="A181" t="s">
        <v>56</v>
      </c>
      <c r="B181">
        <v>2001</v>
      </c>
      <c r="C181" t="s">
        <v>75</v>
      </c>
      <c r="D181">
        <v>6.78</v>
      </c>
    </row>
    <row r="182" spans="1:4" x14ac:dyDescent="0.45">
      <c r="A182" t="s">
        <v>38</v>
      </c>
      <c r="B182">
        <v>2001</v>
      </c>
      <c r="C182" t="s">
        <v>75</v>
      </c>
      <c r="D182">
        <v>1.7</v>
      </c>
    </row>
    <row r="183" spans="1:4" x14ac:dyDescent="0.45">
      <c r="A183" t="s">
        <v>58</v>
      </c>
      <c r="B183">
        <v>2001</v>
      </c>
      <c r="C183" t="s">
        <v>75</v>
      </c>
      <c r="D183">
        <v>0.03</v>
      </c>
    </row>
    <row r="184" spans="1:4" x14ac:dyDescent="0.45">
      <c r="A184" t="s">
        <v>91</v>
      </c>
      <c r="B184">
        <v>2001</v>
      </c>
      <c r="C184" t="s">
        <v>75</v>
      </c>
      <c r="D184">
        <v>0.08</v>
      </c>
    </row>
    <row r="185" spans="1:4" x14ac:dyDescent="0.45">
      <c r="A185" t="s">
        <v>32</v>
      </c>
      <c r="B185">
        <v>2002</v>
      </c>
      <c r="C185" t="s">
        <v>75</v>
      </c>
      <c r="D185">
        <v>0.57999999999999996</v>
      </c>
    </row>
    <row r="186" spans="1:4" x14ac:dyDescent="0.45">
      <c r="A186" t="s">
        <v>34</v>
      </c>
      <c r="B186">
        <v>2002</v>
      </c>
      <c r="C186" t="s">
        <v>75</v>
      </c>
      <c r="D186">
        <v>28.86</v>
      </c>
    </row>
    <row r="187" spans="1:4" x14ac:dyDescent="0.45">
      <c r="A187" t="s">
        <v>36</v>
      </c>
      <c r="B187">
        <v>2002</v>
      </c>
      <c r="C187" t="s">
        <v>75</v>
      </c>
      <c r="D187">
        <v>10.55</v>
      </c>
    </row>
    <row r="188" spans="1:4" x14ac:dyDescent="0.45">
      <c r="A188" t="s">
        <v>56</v>
      </c>
      <c r="B188">
        <v>2002</v>
      </c>
      <c r="C188" t="s">
        <v>75</v>
      </c>
      <c r="D188">
        <v>6.78</v>
      </c>
    </row>
    <row r="189" spans="1:4" x14ac:dyDescent="0.45">
      <c r="A189" t="s">
        <v>38</v>
      </c>
      <c r="B189">
        <v>2002</v>
      </c>
      <c r="C189" t="s">
        <v>75</v>
      </c>
      <c r="D189">
        <v>1.88</v>
      </c>
    </row>
    <row r="190" spans="1:4" x14ac:dyDescent="0.45">
      <c r="A190" t="s">
        <v>58</v>
      </c>
      <c r="B190">
        <v>2002</v>
      </c>
      <c r="C190" t="s">
        <v>75</v>
      </c>
      <c r="D190">
        <v>0.03</v>
      </c>
    </row>
    <row r="191" spans="1:4" x14ac:dyDescent="0.45">
      <c r="A191" t="s">
        <v>91</v>
      </c>
      <c r="B191">
        <v>2002</v>
      </c>
      <c r="C191" t="s">
        <v>75</v>
      </c>
      <c r="D191">
        <v>0.11</v>
      </c>
    </row>
    <row r="192" spans="1:4" x14ac:dyDescent="0.45">
      <c r="A192" t="s">
        <v>32</v>
      </c>
      <c r="B192">
        <v>2003</v>
      </c>
      <c r="C192" t="s">
        <v>75</v>
      </c>
      <c r="D192">
        <v>0.63</v>
      </c>
    </row>
    <row r="193" spans="1:4" x14ac:dyDescent="0.45">
      <c r="A193" t="s">
        <v>34</v>
      </c>
      <c r="B193">
        <v>2003</v>
      </c>
      <c r="C193" t="s">
        <v>75</v>
      </c>
      <c r="D193">
        <v>29.75</v>
      </c>
    </row>
    <row r="194" spans="1:4" x14ac:dyDescent="0.45">
      <c r="A194" t="s">
        <v>36</v>
      </c>
      <c r="B194">
        <v>2003</v>
      </c>
      <c r="C194" t="s">
        <v>75</v>
      </c>
      <c r="D194">
        <v>9.4</v>
      </c>
    </row>
    <row r="195" spans="1:4" x14ac:dyDescent="0.45">
      <c r="A195" t="s">
        <v>56</v>
      </c>
      <c r="B195">
        <v>2003</v>
      </c>
      <c r="C195" t="s">
        <v>75</v>
      </c>
      <c r="D195">
        <v>6.78</v>
      </c>
    </row>
    <row r="196" spans="1:4" x14ac:dyDescent="0.45">
      <c r="A196" t="s">
        <v>38</v>
      </c>
      <c r="B196">
        <v>2003</v>
      </c>
      <c r="C196" t="s">
        <v>75</v>
      </c>
      <c r="D196">
        <v>1.62</v>
      </c>
    </row>
    <row r="197" spans="1:4" x14ac:dyDescent="0.45">
      <c r="A197" t="s">
        <v>58</v>
      </c>
      <c r="B197">
        <v>2003</v>
      </c>
      <c r="C197" t="s">
        <v>75</v>
      </c>
      <c r="D197">
        <v>0.04</v>
      </c>
    </row>
    <row r="198" spans="1:4" x14ac:dyDescent="0.45">
      <c r="A198" t="s">
        <v>91</v>
      </c>
      <c r="B198">
        <v>2003</v>
      </c>
      <c r="C198" t="s">
        <v>75</v>
      </c>
      <c r="D198">
        <v>0.19</v>
      </c>
    </row>
    <row r="199" spans="1:4" x14ac:dyDescent="0.45">
      <c r="A199" t="s">
        <v>32</v>
      </c>
      <c r="B199">
        <v>2004</v>
      </c>
      <c r="C199" t="s">
        <v>75</v>
      </c>
      <c r="D199">
        <v>0.7</v>
      </c>
    </row>
    <row r="200" spans="1:4" x14ac:dyDescent="0.45">
      <c r="A200" t="s">
        <v>34</v>
      </c>
      <c r="B200">
        <v>2004</v>
      </c>
      <c r="C200" t="s">
        <v>75</v>
      </c>
      <c r="D200">
        <v>29.75</v>
      </c>
    </row>
    <row r="201" spans="1:4" x14ac:dyDescent="0.45">
      <c r="A201" t="s">
        <v>36</v>
      </c>
      <c r="B201">
        <v>2004</v>
      </c>
      <c r="C201" t="s">
        <v>75</v>
      </c>
      <c r="D201">
        <v>9.6300000000000008</v>
      </c>
    </row>
    <row r="202" spans="1:4" x14ac:dyDescent="0.45">
      <c r="A202" t="s">
        <v>56</v>
      </c>
      <c r="B202">
        <v>2004</v>
      </c>
      <c r="C202" t="s">
        <v>75</v>
      </c>
      <c r="D202">
        <v>6.86</v>
      </c>
    </row>
    <row r="203" spans="1:4" x14ac:dyDescent="0.45">
      <c r="A203" t="s">
        <v>38</v>
      </c>
      <c r="B203">
        <v>2004</v>
      </c>
      <c r="C203" t="s">
        <v>75</v>
      </c>
      <c r="D203">
        <v>1.2</v>
      </c>
    </row>
    <row r="204" spans="1:4" x14ac:dyDescent="0.45">
      <c r="A204" t="s">
        <v>58</v>
      </c>
      <c r="B204">
        <v>2004</v>
      </c>
      <c r="C204" t="s">
        <v>75</v>
      </c>
      <c r="D204">
        <v>0.05</v>
      </c>
    </row>
    <row r="205" spans="1:4" x14ac:dyDescent="0.45">
      <c r="A205" t="s">
        <v>91</v>
      </c>
      <c r="B205">
        <v>2004</v>
      </c>
      <c r="C205" t="s">
        <v>75</v>
      </c>
      <c r="D205">
        <v>0.38</v>
      </c>
    </row>
    <row r="206" spans="1:4" x14ac:dyDescent="0.45">
      <c r="A206" t="s">
        <v>32</v>
      </c>
      <c r="B206">
        <v>2005</v>
      </c>
      <c r="C206" t="s">
        <v>75</v>
      </c>
      <c r="D206">
        <v>0.76</v>
      </c>
    </row>
    <row r="207" spans="1:4" x14ac:dyDescent="0.45">
      <c r="A207" t="s">
        <v>34</v>
      </c>
      <c r="B207">
        <v>2005</v>
      </c>
      <c r="C207" t="s">
        <v>75</v>
      </c>
      <c r="D207">
        <v>29.75</v>
      </c>
    </row>
    <row r="208" spans="1:4" x14ac:dyDescent="0.45">
      <c r="A208" t="s">
        <v>36</v>
      </c>
      <c r="B208">
        <v>2005</v>
      </c>
      <c r="C208" t="s">
        <v>75</v>
      </c>
      <c r="D208">
        <v>9.9499999999999993</v>
      </c>
    </row>
    <row r="209" spans="1:4" x14ac:dyDescent="0.45">
      <c r="A209" t="s">
        <v>56</v>
      </c>
      <c r="B209">
        <v>2005</v>
      </c>
      <c r="C209" t="s">
        <v>75</v>
      </c>
      <c r="D209">
        <v>7.46</v>
      </c>
    </row>
    <row r="210" spans="1:4" x14ac:dyDescent="0.45">
      <c r="A210" t="s">
        <v>38</v>
      </c>
      <c r="B210">
        <v>2005</v>
      </c>
      <c r="C210" t="s">
        <v>75</v>
      </c>
      <c r="D210">
        <v>1.0900000000000001</v>
      </c>
    </row>
    <row r="211" spans="1:4" x14ac:dyDescent="0.45">
      <c r="A211" t="s">
        <v>58</v>
      </c>
      <c r="B211">
        <v>2005</v>
      </c>
      <c r="C211" t="s">
        <v>75</v>
      </c>
      <c r="D211">
        <v>0.05</v>
      </c>
    </row>
    <row r="212" spans="1:4" x14ac:dyDescent="0.45">
      <c r="A212" t="s">
        <v>91</v>
      </c>
      <c r="B212">
        <v>2005</v>
      </c>
      <c r="C212" t="s">
        <v>75</v>
      </c>
      <c r="D212">
        <v>0.74</v>
      </c>
    </row>
    <row r="213" spans="1:4" x14ac:dyDescent="0.45">
      <c r="A213" t="s">
        <v>32</v>
      </c>
      <c r="B213">
        <v>2006</v>
      </c>
      <c r="C213" t="s">
        <v>75</v>
      </c>
      <c r="D213">
        <v>0.83</v>
      </c>
    </row>
    <row r="214" spans="1:4" x14ac:dyDescent="0.45">
      <c r="A214" t="s">
        <v>34</v>
      </c>
      <c r="B214">
        <v>2006</v>
      </c>
      <c r="C214" t="s">
        <v>75</v>
      </c>
      <c r="D214">
        <v>29.75</v>
      </c>
    </row>
    <row r="215" spans="1:4" x14ac:dyDescent="0.45">
      <c r="A215" t="s">
        <v>36</v>
      </c>
      <c r="B215">
        <v>2006</v>
      </c>
      <c r="C215" t="s">
        <v>75</v>
      </c>
      <c r="D215">
        <v>10.49</v>
      </c>
    </row>
    <row r="216" spans="1:4" x14ac:dyDescent="0.45">
      <c r="A216" t="s">
        <v>56</v>
      </c>
      <c r="B216">
        <v>2006</v>
      </c>
      <c r="C216" t="s">
        <v>75</v>
      </c>
      <c r="D216">
        <v>7.46</v>
      </c>
    </row>
    <row r="217" spans="1:4" x14ac:dyDescent="0.45">
      <c r="A217" t="s">
        <v>57</v>
      </c>
      <c r="B217">
        <v>2006</v>
      </c>
      <c r="C217" t="s">
        <v>75</v>
      </c>
    </row>
    <row r="218" spans="1:4" x14ac:dyDescent="0.45">
      <c r="A218" t="s">
        <v>38</v>
      </c>
      <c r="B218">
        <v>2006</v>
      </c>
      <c r="C218" t="s">
        <v>75</v>
      </c>
      <c r="D218">
        <v>1.1100000000000001</v>
      </c>
    </row>
    <row r="219" spans="1:4" x14ac:dyDescent="0.45">
      <c r="A219" t="s">
        <v>58</v>
      </c>
      <c r="B219">
        <v>2006</v>
      </c>
      <c r="C219" t="s">
        <v>75</v>
      </c>
      <c r="D219">
        <v>0.06</v>
      </c>
    </row>
    <row r="220" spans="1:4" x14ac:dyDescent="0.45">
      <c r="A220" t="s">
        <v>91</v>
      </c>
      <c r="B220">
        <v>2006</v>
      </c>
      <c r="C220" t="s">
        <v>75</v>
      </c>
      <c r="D220">
        <v>0.82</v>
      </c>
    </row>
    <row r="221" spans="1:4" x14ac:dyDescent="0.45">
      <c r="A221" t="s">
        <v>32</v>
      </c>
      <c r="B221">
        <v>2007</v>
      </c>
      <c r="C221" t="s">
        <v>75</v>
      </c>
      <c r="D221">
        <v>0.84</v>
      </c>
    </row>
    <row r="222" spans="1:4" x14ac:dyDescent="0.45">
      <c r="A222" t="s">
        <v>34</v>
      </c>
      <c r="B222">
        <v>2007</v>
      </c>
      <c r="C222" t="s">
        <v>75</v>
      </c>
      <c r="D222">
        <v>30.5</v>
      </c>
    </row>
    <row r="223" spans="1:4" x14ac:dyDescent="0.45">
      <c r="A223" t="s">
        <v>36</v>
      </c>
      <c r="B223">
        <v>2007</v>
      </c>
      <c r="C223" t="s">
        <v>75</v>
      </c>
      <c r="D223">
        <v>12.77</v>
      </c>
    </row>
    <row r="224" spans="1:4" x14ac:dyDescent="0.45">
      <c r="A224" t="s">
        <v>56</v>
      </c>
      <c r="B224">
        <v>2007</v>
      </c>
      <c r="C224" t="s">
        <v>75</v>
      </c>
      <c r="D224">
        <v>7.46</v>
      </c>
    </row>
    <row r="225" spans="1:4" x14ac:dyDescent="0.45">
      <c r="A225" t="s">
        <v>38</v>
      </c>
      <c r="B225">
        <v>2007</v>
      </c>
      <c r="C225" t="s">
        <v>75</v>
      </c>
      <c r="D225">
        <v>1.04</v>
      </c>
    </row>
    <row r="226" spans="1:4" x14ac:dyDescent="0.45">
      <c r="A226" t="s">
        <v>58</v>
      </c>
      <c r="B226">
        <v>2007</v>
      </c>
      <c r="C226" t="s">
        <v>75</v>
      </c>
      <c r="D226">
        <v>7.0000000000000007E-2</v>
      </c>
    </row>
    <row r="227" spans="1:4" x14ac:dyDescent="0.45">
      <c r="A227" t="s">
        <v>91</v>
      </c>
      <c r="B227">
        <v>2007</v>
      </c>
      <c r="C227" t="s">
        <v>75</v>
      </c>
      <c r="D227">
        <v>1.25</v>
      </c>
    </row>
    <row r="228" spans="1:4" x14ac:dyDescent="0.45">
      <c r="A228" t="s">
        <v>32</v>
      </c>
      <c r="B228">
        <v>2008</v>
      </c>
      <c r="C228" t="s">
        <v>75</v>
      </c>
      <c r="D228">
        <v>0.78</v>
      </c>
    </row>
    <row r="229" spans="1:4" x14ac:dyDescent="0.45">
      <c r="A229" t="s">
        <v>34</v>
      </c>
      <c r="B229">
        <v>2008</v>
      </c>
      <c r="C229" t="s">
        <v>75</v>
      </c>
      <c r="D229">
        <v>30.5</v>
      </c>
    </row>
    <row r="230" spans="1:4" x14ac:dyDescent="0.45">
      <c r="A230" t="s">
        <v>36</v>
      </c>
      <c r="B230">
        <v>2008</v>
      </c>
      <c r="C230" t="s">
        <v>75</v>
      </c>
      <c r="D230">
        <v>13.12</v>
      </c>
    </row>
    <row r="231" spans="1:4" x14ac:dyDescent="0.45">
      <c r="A231" t="s">
        <v>56</v>
      </c>
      <c r="B231">
        <v>2008</v>
      </c>
      <c r="C231" t="s">
        <v>75</v>
      </c>
      <c r="D231">
        <v>7.46</v>
      </c>
    </row>
    <row r="232" spans="1:4" x14ac:dyDescent="0.45">
      <c r="A232" t="s">
        <v>38</v>
      </c>
      <c r="B232">
        <v>2008</v>
      </c>
      <c r="C232" t="s">
        <v>75</v>
      </c>
      <c r="D232">
        <v>1.07</v>
      </c>
    </row>
    <row r="233" spans="1:4" x14ac:dyDescent="0.45">
      <c r="A233" t="s">
        <v>58</v>
      </c>
      <c r="B233">
        <v>2008</v>
      </c>
      <c r="C233" t="s">
        <v>75</v>
      </c>
      <c r="D233">
        <v>0.09</v>
      </c>
    </row>
    <row r="234" spans="1:4" x14ac:dyDescent="0.45">
      <c r="A234" t="s">
        <v>91</v>
      </c>
      <c r="B234">
        <v>2008</v>
      </c>
      <c r="C234" t="s">
        <v>75</v>
      </c>
      <c r="D234">
        <v>1.44</v>
      </c>
    </row>
    <row r="235" spans="1:4" x14ac:dyDescent="0.45">
      <c r="A235" t="s">
        <v>32</v>
      </c>
      <c r="B235">
        <v>2009</v>
      </c>
      <c r="C235" t="s">
        <v>75</v>
      </c>
      <c r="D235">
        <v>0.82</v>
      </c>
    </row>
    <row r="236" spans="1:4" x14ac:dyDescent="0.45">
      <c r="A236" t="s">
        <v>34</v>
      </c>
      <c r="B236">
        <v>2009</v>
      </c>
      <c r="C236" t="s">
        <v>75</v>
      </c>
      <c r="D236">
        <v>30.96</v>
      </c>
    </row>
    <row r="237" spans="1:4" x14ac:dyDescent="0.45">
      <c r="A237" t="s">
        <v>36</v>
      </c>
      <c r="B237">
        <v>2009</v>
      </c>
      <c r="C237" t="s">
        <v>75</v>
      </c>
      <c r="D237">
        <v>14.74</v>
      </c>
    </row>
    <row r="238" spans="1:4" x14ac:dyDescent="0.45">
      <c r="A238" t="s">
        <v>56</v>
      </c>
      <c r="B238">
        <v>2009</v>
      </c>
      <c r="C238" t="s">
        <v>75</v>
      </c>
      <c r="D238">
        <v>7.46</v>
      </c>
    </row>
    <row r="239" spans="1:4" x14ac:dyDescent="0.45">
      <c r="A239" t="s">
        <v>38</v>
      </c>
      <c r="B239">
        <v>2009</v>
      </c>
      <c r="C239" t="s">
        <v>75</v>
      </c>
      <c r="D239">
        <v>1.34</v>
      </c>
    </row>
    <row r="240" spans="1:4" x14ac:dyDescent="0.45">
      <c r="A240" t="s">
        <v>58</v>
      </c>
      <c r="B240">
        <v>2009</v>
      </c>
      <c r="C240" t="s">
        <v>75</v>
      </c>
      <c r="D240">
        <v>0.33</v>
      </c>
    </row>
    <row r="241" spans="1:4" x14ac:dyDescent="0.45">
      <c r="A241" t="s">
        <v>91</v>
      </c>
      <c r="B241">
        <v>2009</v>
      </c>
      <c r="C241" t="s">
        <v>75</v>
      </c>
      <c r="D241">
        <v>1.7</v>
      </c>
    </row>
    <row r="242" spans="1:4" x14ac:dyDescent="0.45">
      <c r="A242" t="s">
        <v>32</v>
      </c>
      <c r="B242">
        <v>2010</v>
      </c>
      <c r="C242" t="s">
        <v>75</v>
      </c>
      <c r="D242">
        <v>0.83</v>
      </c>
    </row>
    <row r="243" spans="1:4" x14ac:dyDescent="0.45">
      <c r="A243" t="s">
        <v>34</v>
      </c>
      <c r="B243">
        <v>2010</v>
      </c>
      <c r="C243" t="s">
        <v>75</v>
      </c>
      <c r="D243">
        <v>30.47</v>
      </c>
    </row>
    <row r="244" spans="1:4" x14ac:dyDescent="0.45">
      <c r="A244" t="s">
        <v>36</v>
      </c>
      <c r="B244">
        <v>2010</v>
      </c>
      <c r="C244" t="s">
        <v>75</v>
      </c>
      <c r="D244">
        <v>16.88</v>
      </c>
    </row>
    <row r="245" spans="1:4" x14ac:dyDescent="0.45">
      <c r="A245" t="s">
        <v>56</v>
      </c>
      <c r="B245">
        <v>2010</v>
      </c>
      <c r="C245" t="s">
        <v>75</v>
      </c>
      <c r="D245">
        <v>7.46</v>
      </c>
    </row>
    <row r="246" spans="1:4" x14ac:dyDescent="0.45">
      <c r="A246" t="s">
        <v>38</v>
      </c>
      <c r="B246">
        <v>2010</v>
      </c>
      <c r="C246" t="s">
        <v>75</v>
      </c>
      <c r="D246">
        <v>2.1800000000000002</v>
      </c>
    </row>
    <row r="247" spans="1:4" x14ac:dyDescent="0.45">
      <c r="A247" t="s">
        <v>58</v>
      </c>
      <c r="B247">
        <v>2010</v>
      </c>
      <c r="C247" t="s">
        <v>75</v>
      </c>
      <c r="D247">
        <v>1.0900000000000001</v>
      </c>
    </row>
    <row r="248" spans="1:4" x14ac:dyDescent="0.45">
      <c r="A248" t="s">
        <v>91</v>
      </c>
      <c r="B248">
        <v>2010</v>
      </c>
      <c r="C248" t="s">
        <v>75</v>
      </c>
      <c r="D248">
        <v>1.86</v>
      </c>
    </row>
    <row r="249" spans="1:4" x14ac:dyDescent="0.45">
      <c r="A249" t="s">
        <v>32</v>
      </c>
      <c r="B249">
        <v>2011</v>
      </c>
      <c r="C249" t="s">
        <v>75</v>
      </c>
      <c r="D249">
        <v>0.83</v>
      </c>
    </row>
    <row r="250" spans="1:4" x14ac:dyDescent="0.45">
      <c r="A250" t="s">
        <v>34</v>
      </c>
      <c r="B250">
        <v>2011</v>
      </c>
      <c r="C250" t="s">
        <v>75</v>
      </c>
      <c r="D250">
        <v>30.35</v>
      </c>
    </row>
    <row r="251" spans="1:4" x14ac:dyDescent="0.45">
      <c r="A251" t="s">
        <v>36</v>
      </c>
      <c r="B251">
        <v>2011</v>
      </c>
      <c r="C251" t="s">
        <v>75</v>
      </c>
      <c r="D251">
        <v>17.2</v>
      </c>
    </row>
    <row r="252" spans="1:4" x14ac:dyDescent="0.45">
      <c r="A252" t="s">
        <v>56</v>
      </c>
      <c r="B252">
        <v>2011</v>
      </c>
      <c r="C252" t="s">
        <v>75</v>
      </c>
      <c r="D252">
        <v>7.46</v>
      </c>
    </row>
    <row r="253" spans="1:4" x14ac:dyDescent="0.45">
      <c r="A253" t="s">
        <v>38</v>
      </c>
      <c r="B253">
        <v>2011</v>
      </c>
      <c r="C253" t="s">
        <v>75</v>
      </c>
      <c r="D253">
        <v>2.12</v>
      </c>
    </row>
    <row r="254" spans="1:4" x14ac:dyDescent="0.45">
      <c r="A254" t="s">
        <v>58</v>
      </c>
      <c r="B254">
        <v>2011</v>
      </c>
      <c r="C254" t="s">
        <v>75</v>
      </c>
      <c r="D254">
        <v>2.4700000000000002</v>
      </c>
    </row>
    <row r="255" spans="1:4" x14ac:dyDescent="0.45">
      <c r="A255" t="s">
        <v>91</v>
      </c>
      <c r="B255">
        <v>2011</v>
      </c>
      <c r="C255" t="s">
        <v>75</v>
      </c>
      <c r="D255">
        <v>2.13</v>
      </c>
    </row>
    <row r="256" spans="1:4" x14ac:dyDescent="0.45">
      <c r="A256" t="s">
        <v>32</v>
      </c>
      <c r="B256">
        <v>2012</v>
      </c>
      <c r="C256" t="s">
        <v>75</v>
      </c>
      <c r="D256">
        <v>0.83</v>
      </c>
    </row>
    <row r="257" spans="1:4" x14ac:dyDescent="0.45">
      <c r="A257" t="s">
        <v>34</v>
      </c>
      <c r="B257">
        <v>2012</v>
      </c>
      <c r="C257" t="s">
        <v>75</v>
      </c>
      <c r="D257">
        <v>29.59</v>
      </c>
    </row>
    <row r="258" spans="1:4" x14ac:dyDescent="0.45">
      <c r="A258" t="s">
        <v>36</v>
      </c>
      <c r="B258">
        <v>2012</v>
      </c>
      <c r="C258" t="s">
        <v>75</v>
      </c>
      <c r="D258">
        <v>17.95</v>
      </c>
    </row>
    <row r="259" spans="1:4" x14ac:dyDescent="0.45">
      <c r="A259" t="s">
        <v>56</v>
      </c>
      <c r="B259">
        <v>2012</v>
      </c>
      <c r="C259" t="s">
        <v>75</v>
      </c>
      <c r="D259">
        <v>7.46</v>
      </c>
    </row>
    <row r="260" spans="1:4" x14ac:dyDescent="0.45">
      <c r="A260" t="s">
        <v>38</v>
      </c>
      <c r="B260">
        <v>2012</v>
      </c>
      <c r="C260" t="s">
        <v>75</v>
      </c>
      <c r="D260">
        <v>1.71</v>
      </c>
    </row>
    <row r="261" spans="1:4" x14ac:dyDescent="0.45">
      <c r="A261" t="s">
        <v>58</v>
      </c>
      <c r="B261">
        <v>2012</v>
      </c>
      <c r="C261" t="s">
        <v>75</v>
      </c>
      <c r="D261">
        <v>3.8</v>
      </c>
    </row>
    <row r="262" spans="1:4" x14ac:dyDescent="0.45">
      <c r="A262" t="s">
        <v>91</v>
      </c>
      <c r="B262">
        <v>2012</v>
      </c>
      <c r="C262" t="s">
        <v>75</v>
      </c>
      <c r="D262">
        <v>2.56</v>
      </c>
    </row>
    <row r="263" spans="1:4" x14ac:dyDescent="0.45">
      <c r="A263" t="s">
        <v>32</v>
      </c>
      <c r="B263">
        <v>2013</v>
      </c>
      <c r="C263" t="s">
        <v>75</v>
      </c>
      <c r="D263">
        <v>0.82</v>
      </c>
    </row>
    <row r="264" spans="1:4" x14ac:dyDescent="0.45">
      <c r="A264" t="s">
        <v>34</v>
      </c>
      <c r="B264">
        <v>2013</v>
      </c>
      <c r="C264" t="s">
        <v>75</v>
      </c>
      <c r="D264">
        <v>29.59</v>
      </c>
    </row>
    <row r="265" spans="1:4" x14ac:dyDescent="0.45">
      <c r="A265" t="s">
        <v>36</v>
      </c>
      <c r="B265">
        <v>2013</v>
      </c>
      <c r="C265" t="s">
        <v>75</v>
      </c>
      <c r="D265">
        <v>18.309999999999999</v>
      </c>
    </row>
    <row r="266" spans="1:4" x14ac:dyDescent="0.45">
      <c r="A266" t="s">
        <v>56</v>
      </c>
      <c r="B266">
        <v>2013</v>
      </c>
      <c r="C266" t="s">
        <v>75</v>
      </c>
      <c r="D266">
        <v>7.46</v>
      </c>
    </row>
    <row r="267" spans="1:4" x14ac:dyDescent="0.45">
      <c r="A267" t="s">
        <v>38</v>
      </c>
      <c r="B267">
        <v>2013</v>
      </c>
      <c r="C267" t="s">
        <v>75</v>
      </c>
      <c r="D267">
        <v>2.14</v>
      </c>
    </row>
    <row r="268" spans="1:4" x14ac:dyDescent="0.45">
      <c r="A268" t="s">
        <v>58</v>
      </c>
      <c r="B268">
        <v>2013</v>
      </c>
      <c r="C268" t="s">
        <v>75</v>
      </c>
      <c r="D268">
        <v>4.57</v>
      </c>
    </row>
    <row r="269" spans="1:4" x14ac:dyDescent="0.45">
      <c r="A269" t="s">
        <v>91</v>
      </c>
      <c r="B269">
        <v>2013</v>
      </c>
      <c r="C269" t="s">
        <v>75</v>
      </c>
      <c r="D269">
        <v>3.22</v>
      </c>
    </row>
    <row r="270" spans="1:4" x14ac:dyDescent="0.45">
      <c r="A270" t="s">
        <v>32</v>
      </c>
      <c r="B270">
        <v>2014</v>
      </c>
      <c r="C270" t="s">
        <v>75</v>
      </c>
      <c r="D270">
        <v>0.82</v>
      </c>
    </row>
    <row r="271" spans="1:4" x14ac:dyDescent="0.45">
      <c r="A271" t="s">
        <v>34</v>
      </c>
      <c r="B271">
        <v>2014</v>
      </c>
      <c r="C271" t="s">
        <v>75</v>
      </c>
      <c r="D271">
        <v>28.29</v>
      </c>
    </row>
    <row r="272" spans="1:4" x14ac:dyDescent="0.45">
      <c r="A272" t="s">
        <v>36</v>
      </c>
      <c r="B272">
        <v>2014</v>
      </c>
      <c r="C272" t="s">
        <v>75</v>
      </c>
      <c r="D272">
        <v>18.920000000000002</v>
      </c>
    </row>
    <row r="273" spans="1:4" x14ac:dyDescent="0.45">
      <c r="A273" t="s">
        <v>56</v>
      </c>
      <c r="B273">
        <v>2014</v>
      </c>
      <c r="C273" t="s">
        <v>75</v>
      </c>
      <c r="D273">
        <v>7.46</v>
      </c>
    </row>
    <row r="274" spans="1:4" x14ac:dyDescent="0.45">
      <c r="A274" t="s">
        <v>38</v>
      </c>
      <c r="B274">
        <v>2014</v>
      </c>
      <c r="C274" t="s">
        <v>75</v>
      </c>
      <c r="D274">
        <v>1.99</v>
      </c>
    </row>
    <row r="275" spans="1:4" x14ac:dyDescent="0.45">
      <c r="A275" t="s">
        <v>58</v>
      </c>
      <c r="B275">
        <v>2014</v>
      </c>
      <c r="C275" t="s">
        <v>75</v>
      </c>
      <c r="D275">
        <v>5.29</v>
      </c>
    </row>
    <row r="276" spans="1:4" x14ac:dyDescent="0.45">
      <c r="A276" t="s">
        <v>91</v>
      </c>
      <c r="B276">
        <v>2014</v>
      </c>
      <c r="C276" t="s">
        <v>75</v>
      </c>
      <c r="D276">
        <v>3.8</v>
      </c>
    </row>
    <row r="277" spans="1:4" x14ac:dyDescent="0.45">
      <c r="A277" t="s">
        <v>32</v>
      </c>
      <c r="B277">
        <v>2015</v>
      </c>
      <c r="C277" t="s">
        <v>75</v>
      </c>
      <c r="D277">
        <v>0.83</v>
      </c>
    </row>
    <row r="278" spans="1:4" x14ac:dyDescent="0.45">
      <c r="A278" t="s">
        <v>34</v>
      </c>
      <c r="B278">
        <v>2015</v>
      </c>
      <c r="C278" t="s">
        <v>75</v>
      </c>
      <c r="D278">
        <v>27.7</v>
      </c>
    </row>
    <row r="279" spans="1:4" x14ac:dyDescent="0.45">
      <c r="A279" t="s">
        <v>36</v>
      </c>
      <c r="B279">
        <v>2015</v>
      </c>
      <c r="C279" t="s">
        <v>75</v>
      </c>
      <c r="D279">
        <v>23.61</v>
      </c>
    </row>
    <row r="280" spans="1:4" x14ac:dyDescent="0.45">
      <c r="A280" t="s">
        <v>56</v>
      </c>
      <c r="B280">
        <v>2015</v>
      </c>
      <c r="C280" t="s">
        <v>75</v>
      </c>
      <c r="D280">
        <v>7.46</v>
      </c>
    </row>
    <row r="281" spans="1:4" x14ac:dyDescent="0.45">
      <c r="A281" t="s">
        <v>38</v>
      </c>
      <c r="B281">
        <v>2015</v>
      </c>
      <c r="C281" t="s">
        <v>75</v>
      </c>
      <c r="D281">
        <v>3.41</v>
      </c>
    </row>
    <row r="282" spans="1:4" x14ac:dyDescent="0.45">
      <c r="A282" t="s">
        <v>58</v>
      </c>
      <c r="B282">
        <v>2015</v>
      </c>
      <c r="C282" t="s">
        <v>75</v>
      </c>
      <c r="D282">
        <v>5.95</v>
      </c>
    </row>
    <row r="283" spans="1:4" x14ac:dyDescent="0.45">
      <c r="A283" t="s">
        <v>91</v>
      </c>
      <c r="B283">
        <v>2015</v>
      </c>
      <c r="C283" t="s">
        <v>75</v>
      </c>
      <c r="D283">
        <v>4.18</v>
      </c>
    </row>
    <row r="284" spans="1:4" x14ac:dyDescent="0.45">
      <c r="A284" t="s">
        <v>32</v>
      </c>
      <c r="B284">
        <v>2016</v>
      </c>
      <c r="C284" t="s">
        <v>75</v>
      </c>
      <c r="D284">
        <v>0.86</v>
      </c>
    </row>
    <row r="285" spans="1:4" x14ac:dyDescent="0.45">
      <c r="A285" t="s">
        <v>34</v>
      </c>
      <c r="B285">
        <v>2016</v>
      </c>
      <c r="C285" t="s">
        <v>75</v>
      </c>
      <c r="D285">
        <v>26.94</v>
      </c>
    </row>
    <row r="286" spans="1:4" x14ac:dyDescent="0.45">
      <c r="A286" t="s">
        <v>36</v>
      </c>
      <c r="B286">
        <v>2016</v>
      </c>
      <c r="C286" t="s">
        <v>75</v>
      </c>
      <c r="D286">
        <v>22.83</v>
      </c>
    </row>
    <row r="287" spans="1:4" x14ac:dyDescent="0.45">
      <c r="A287" t="s">
        <v>56</v>
      </c>
      <c r="B287">
        <v>2016</v>
      </c>
      <c r="C287" t="s">
        <v>75</v>
      </c>
      <c r="D287">
        <v>7.46</v>
      </c>
    </row>
    <row r="288" spans="1:4" x14ac:dyDescent="0.45">
      <c r="A288" t="s">
        <v>38</v>
      </c>
      <c r="B288">
        <v>2016</v>
      </c>
      <c r="C288" t="s">
        <v>75</v>
      </c>
      <c r="D288">
        <v>3.08</v>
      </c>
    </row>
    <row r="289" spans="1:4" x14ac:dyDescent="0.45">
      <c r="A289" t="s">
        <v>58</v>
      </c>
      <c r="B289">
        <v>2016</v>
      </c>
      <c r="C289" t="s">
        <v>75</v>
      </c>
      <c r="D289">
        <v>6.69</v>
      </c>
    </row>
    <row r="290" spans="1:4" x14ac:dyDescent="0.45">
      <c r="A290" t="s">
        <v>91</v>
      </c>
      <c r="B290">
        <v>2016</v>
      </c>
      <c r="C290" t="s">
        <v>75</v>
      </c>
      <c r="D290">
        <v>4.32</v>
      </c>
    </row>
    <row r="291" spans="1:4" x14ac:dyDescent="0.45">
      <c r="A291" t="s">
        <v>32</v>
      </c>
      <c r="B291">
        <v>2017</v>
      </c>
      <c r="C291" t="s">
        <v>75</v>
      </c>
      <c r="D291">
        <v>0.86</v>
      </c>
    </row>
    <row r="292" spans="1:4" x14ac:dyDescent="0.45">
      <c r="A292" t="s">
        <v>34</v>
      </c>
      <c r="B292">
        <v>2017</v>
      </c>
      <c r="C292" t="s">
        <v>75</v>
      </c>
      <c r="D292">
        <v>25.1</v>
      </c>
    </row>
    <row r="293" spans="1:4" x14ac:dyDescent="0.45">
      <c r="A293" t="s">
        <v>36</v>
      </c>
      <c r="B293">
        <v>2017</v>
      </c>
      <c r="C293" t="s">
        <v>75</v>
      </c>
      <c r="D293">
        <v>22.71</v>
      </c>
    </row>
    <row r="294" spans="1:4" x14ac:dyDescent="0.45">
      <c r="A294" t="s">
        <v>56</v>
      </c>
      <c r="B294">
        <v>2017</v>
      </c>
      <c r="C294" t="s">
        <v>75</v>
      </c>
      <c r="D294">
        <v>7.46</v>
      </c>
    </row>
    <row r="295" spans="1:4" x14ac:dyDescent="0.45">
      <c r="A295" t="s">
        <v>38</v>
      </c>
      <c r="B295">
        <v>2017</v>
      </c>
      <c r="C295" t="s">
        <v>75</v>
      </c>
      <c r="D295">
        <v>2.4900000000000002</v>
      </c>
    </row>
    <row r="296" spans="1:4" x14ac:dyDescent="0.45">
      <c r="A296" t="s">
        <v>58</v>
      </c>
      <c r="B296">
        <v>2017</v>
      </c>
      <c r="C296" t="s">
        <v>75</v>
      </c>
      <c r="D296">
        <v>7.29</v>
      </c>
    </row>
    <row r="297" spans="1:4" x14ac:dyDescent="0.45">
      <c r="A297" t="s">
        <v>91</v>
      </c>
      <c r="B297">
        <v>2017</v>
      </c>
      <c r="C297" t="s">
        <v>75</v>
      </c>
      <c r="D297">
        <v>5.41</v>
      </c>
    </row>
    <row r="298" spans="1:4" x14ac:dyDescent="0.45">
      <c r="A298" t="s">
        <v>32</v>
      </c>
      <c r="B298">
        <v>2018</v>
      </c>
      <c r="C298" t="s">
        <v>75</v>
      </c>
      <c r="D298">
        <v>0.86</v>
      </c>
    </row>
    <row r="299" spans="1:4" x14ac:dyDescent="0.45">
      <c r="A299" t="s">
        <v>34</v>
      </c>
      <c r="B299">
        <v>2018</v>
      </c>
      <c r="C299" t="s">
        <v>75</v>
      </c>
      <c r="D299">
        <v>25.1</v>
      </c>
    </row>
    <row r="300" spans="1:4" x14ac:dyDescent="0.45">
      <c r="A300" t="s">
        <v>36</v>
      </c>
      <c r="B300">
        <v>2018</v>
      </c>
      <c r="C300" t="s">
        <v>75</v>
      </c>
      <c r="D300">
        <v>23.44</v>
      </c>
    </row>
    <row r="301" spans="1:4" x14ac:dyDescent="0.45">
      <c r="A301" t="s">
        <v>56</v>
      </c>
      <c r="B301">
        <v>2018</v>
      </c>
      <c r="C301" t="s">
        <v>75</v>
      </c>
      <c r="D301">
        <v>7.71</v>
      </c>
    </row>
    <row r="302" spans="1:4" x14ac:dyDescent="0.45">
      <c r="A302" t="s">
        <v>38</v>
      </c>
      <c r="B302">
        <v>2018</v>
      </c>
      <c r="C302" t="s">
        <v>75</v>
      </c>
      <c r="D302">
        <v>2.44</v>
      </c>
    </row>
    <row r="303" spans="1:4" x14ac:dyDescent="0.45">
      <c r="A303" t="s">
        <v>58</v>
      </c>
      <c r="B303">
        <v>2018</v>
      </c>
      <c r="C303" t="s">
        <v>75</v>
      </c>
      <c r="D303">
        <v>11.37</v>
      </c>
    </row>
    <row r="304" spans="1:4" x14ac:dyDescent="0.45">
      <c r="A304" t="s">
        <v>91</v>
      </c>
      <c r="B304">
        <v>2018</v>
      </c>
      <c r="C304" t="s">
        <v>75</v>
      </c>
      <c r="D304">
        <v>6.41</v>
      </c>
    </row>
    <row r="305" spans="1:4" x14ac:dyDescent="0.45">
      <c r="A305" t="s">
        <v>32</v>
      </c>
      <c r="B305">
        <v>2019</v>
      </c>
      <c r="C305" t="s">
        <v>75</v>
      </c>
      <c r="D305">
        <v>0.86</v>
      </c>
    </row>
    <row r="306" spans="1:4" x14ac:dyDescent="0.45">
      <c r="A306" t="s">
        <v>34</v>
      </c>
      <c r="B306">
        <v>2019</v>
      </c>
      <c r="C306" t="s">
        <v>75</v>
      </c>
      <c r="D306">
        <v>25.1</v>
      </c>
    </row>
    <row r="307" spans="1:4" x14ac:dyDescent="0.45">
      <c r="A307" t="s">
        <v>36</v>
      </c>
      <c r="B307">
        <v>2019</v>
      </c>
      <c r="C307" t="s">
        <v>75</v>
      </c>
      <c r="D307">
        <v>23.32</v>
      </c>
    </row>
    <row r="308" spans="1:4" x14ac:dyDescent="0.45">
      <c r="A308" t="s">
        <v>56</v>
      </c>
      <c r="B308">
        <v>2019</v>
      </c>
      <c r="C308" t="s">
        <v>75</v>
      </c>
      <c r="D308">
        <v>7.71</v>
      </c>
    </row>
    <row r="309" spans="1:4" x14ac:dyDescent="0.45">
      <c r="A309" t="s">
        <v>38</v>
      </c>
      <c r="B309">
        <v>2019</v>
      </c>
      <c r="C309" t="s">
        <v>75</v>
      </c>
      <c r="D309">
        <v>2.4</v>
      </c>
    </row>
    <row r="310" spans="1:4" x14ac:dyDescent="0.45">
      <c r="A310" t="s">
        <v>58</v>
      </c>
      <c r="B310">
        <v>2019</v>
      </c>
      <c r="C310" t="s">
        <v>75</v>
      </c>
      <c r="D310">
        <v>16.149999999999999</v>
      </c>
    </row>
    <row r="311" spans="1:4" x14ac:dyDescent="0.45">
      <c r="A311" t="s">
        <v>91</v>
      </c>
      <c r="B311">
        <v>2019</v>
      </c>
      <c r="C311" t="s">
        <v>75</v>
      </c>
      <c r="D311">
        <v>7.88</v>
      </c>
    </row>
    <row r="312" spans="1:4" x14ac:dyDescent="0.45">
      <c r="A312" t="s">
        <v>32</v>
      </c>
      <c r="B312">
        <v>2020</v>
      </c>
      <c r="C312" t="s">
        <v>75</v>
      </c>
      <c r="D312">
        <v>0.87</v>
      </c>
    </row>
    <row r="313" spans="1:4" x14ac:dyDescent="0.45">
      <c r="A313" t="s">
        <v>34</v>
      </c>
      <c r="B313">
        <v>2020</v>
      </c>
      <c r="C313" t="s">
        <v>75</v>
      </c>
      <c r="D313">
        <v>25.1</v>
      </c>
    </row>
    <row r="314" spans="1:4" x14ac:dyDescent="0.45">
      <c r="A314" t="s">
        <v>36</v>
      </c>
      <c r="B314">
        <v>2020</v>
      </c>
      <c r="C314" t="s">
        <v>75</v>
      </c>
      <c r="D314">
        <v>24.66</v>
      </c>
    </row>
    <row r="315" spans="1:4" x14ac:dyDescent="0.45">
      <c r="A315" t="s">
        <v>56</v>
      </c>
      <c r="B315">
        <v>2020</v>
      </c>
      <c r="C315" t="s">
        <v>75</v>
      </c>
      <c r="D315">
        <v>7.71</v>
      </c>
    </row>
    <row r="316" spans="1:4" x14ac:dyDescent="0.45">
      <c r="A316" t="s">
        <v>38</v>
      </c>
      <c r="B316">
        <v>2020</v>
      </c>
      <c r="C316" t="s">
        <v>75</v>
      </c>
      <c r="D316">
        <v>2.31</v>
      </c>
    </row>
    <row r="317" spans="1:4" x14ac:dyDescent="0.45">
      <c r="A317" t="s">
        <v>58</v>
      </c>
      <c r="B317">
        <v>2020</v>
      </c>
      <c r="C317" t="s">
        <v>75</v>
      </c>
      <c r="D317">
        <v>20.84</v>
      </c>
    </row>
    <row r="318" spans="1:4" x14ac:dyDescent="0.45">
      <c r="A318" t="s">
        <v>91</v>
      </c>
      <c r="B318">
        <v>2020</v>
      </c>
      <c r="C318" t="s">
        <v>75</v>
      </c>
      <c r="D318">
        <v>10.210000000000001</v>
      </c>
    </row>
    <row r="319" spans="1:4" x14ac:dyDescent="0.45">
      <c r="A319" t="s">
        <v>32</v>
      </c>
      <c r="B319">
        <v>2021</v>
      </c>
      <c r="C319" t="s">
        <v>75</v>
      </c>
      <c r="D319">
        <v>0.87</v>
      </c>
    </row>
    <row r="320" spans="1:4" x14ac:dyDescent="0.45">
      <c r="A320" t="s">
        <v>34</v>
      </c>
      <c r="B320">
        <v>2021</v>
      </c>
      <c r="C320" t="s">
        <v>75</v>
      </c>
      <c r="D320">
        <v>25.1</v>
      </c>
    </row>
    <row r="321" spans="1:4" x14ac:dyDescent="0.45">
      <c r="A321" t="s">
        <v>36</v>
      </c>
      <c r="B321">
        <v>2021</v>
      </c>
      <c r="C321" t="s">
        <v>75</v>
      </c>
      <c r="D321">
        <v>24.93</v>
      </c>
    </row>
    <row r="322" spans="1:4" x14ac:dyDescent="0.45">
      <c r="A322" t="s">
        <v>56</v>
      </c>
      <c r="B322">
        <v>2021</v>
      </c>
      <c r="C322" t="s">
        <v>75</v>
      </c>
      <c r="D322">
        <v>7.71</v>
      </c>
    </row>
    <row r="323" spans="1:4" x14ac:dyDescent="0.45">
      <c r="A323" t="s">
        <v>38</v>
      </c>
      <c r="B323">
        <v>2021</v>
      </c>
      <c r="C323" t="s">
        <v>75</v>
      </c>
      <c r="D323">
        <v>2.4300000000000002</v>
      </c>
    </row>
    <row r="324" spans="1:4" x14ac:dyDescent="0.45">
      <c r="A324" t="s">
        <v>58</v>
      </c>
      <c r="B324">
        <v>2021</v>
      </c>
      <c r="C324" t="s">
        <v>75</v>
      </c>
      <c r="D324">
        <v>25.76</v>
      </c>
    </row>
    <row r="325" spans="1:4" x14ac:dyDescent="0.45">
      <c r="A325" t="s">
        <v>91</v>
      </c>
      <c r="B325">
        <v>2021</v>
      </c>
      <c r="C325" t="s">
        <v>75</v>
      </c>
      <c r="D325">
        <v>10.56</v>
      </c>
    </row>
    <row r="326" spans="1:4" x14ac:dyDescent="0.45">
      <c r="A326" t="s">
        <v>32</v>
      </c>
      <c r="B326">
        <v>2022</v>
      </c>
      <c r="C326" t="s">
        <v>75</v>
      </c>
      <c r="D326">
        <v>0.88</v>
      </c>
    </row>
    <row r="327" spans="1:4" x14ac:dyDescent="0.45">
      <c r="A327" t="s">
        <v>34</v>
      </c>
      <c r="B327">
        <v>2022</v>
      </c>
      <c r="C327" t="s">
        <v>75</v>
      </c>
      <c r="D327">
        <v>24.4</v>
      </c>
    </row>
    <row r="328" spans="1:4" x14ac:dyDescent="0.45">
      <c r="A328" t="s">
        <v>36</v>
      </c>
      <c r="B328">
        <v>2022</v>
      </c>
      <c r="C328" t="s">
        <v>75</v>
      </c>
      <c r="D328">
        <v>26.98</v>
      </c>
    </row>
    <row r="329" spans="1:4" x14ac:dyDescent="0.45">
      <c r="A329" t="s">
        <v>56</v>
      </c>
      <c r="B329">
        <v>2022</v>
      </c>
      <c r="C329" t="s">
        <v>75</v>
      </c>
      <c r="D329">
        <v>7.71</v>
      </c>
    </row>
    <row r="330" spans="1:4" x14ac:dyDescent="0.45">
      <c r="A330" t="s">
        <v>38</v>
      </c>
      <c r="B330">
        <v>2022</v>
      </c>
      <c r="C330" t="s">
        <v>75</v>
      </c>
      <c r="D330">
        <v>2.4300000000000002</v>
      </c>
    </row>
    <row r="331" spans="1:4" x14ac:dyDescent="0.45">
      <c r="A331" t="s">
        <v>58</v>
      </c>
      <c r="B331">
        <v>2022</v>
      </c>
      <c r="C331" t="s">
        <v>75</v>
      </c>
      <c r="D331">
        <v>29.96</v>
      </c>
    </row>
    <row r="332" spans="1:4" x14ac:dyDescent="0.45">
      <c r="A332" t="s">
        <v>91</v>
      </c>
      <c r="B332">
        <v>2022</v>
      </c>
      <c r="C332" t="s">
        <v>75</v>
      </c>
      <c r="D332">
        <v>10.56</v>
      </c>
    </row>
    <row r="333" spans="1:4" x14ac:dyDescent="0.45">
      <c r="A333" t="s">
        <v>32</v>
      </c>
      <c r="B333">
        <v>2023</v>
      </c>
      <c r="C333" t="s">
        <v>75</v>
      </c>
      <c r="D333">
        <v>0.88</v>
      </c>
    </row>
    <row r="334" spans="1:4" x14ac:dyDescent="0.45">
      <c r="A334" t="s">
        <v>34</v>
      </c>
      <c r="B334">
        <v>2023</v>
      </c>
      <c r="C334" t="s">
        <v>75</v>
      </c>
      <c r="D334">
        <v>22.86</v>
      </c>
    </row>
    <row r="335" spans="1:4" x14ac:dyDescent="0.45">
      <c r="A335" t="s">
        <v>36</v>
      </c>
      <c r="B335">
        <v>2023</v>
      </c>
      <c r="C335" t="s">
        <v>75</v>
      </c>
      <c r="D335">
        <v>27.04</v>
      </c>
    </row>
    <row r="336" spans="1:4" x14ac:dyDescent="0.45">
      <c r="A336" t="s">
        <v>56</v>
      </c>
      <c r="B336">
        <v>2023</v>
      </c>
      <c r="C336" t="s">
        <v>75</v>
      </c>
      <c r="D336">
        <v>8.44</v>
      </c>
    </row>
    <row r="337" spans="1:4" x14ac:dyDescent="0.45">
      <c r="A337" t="s">
        <v>38</v>
      </c>
      <c r="B337">
        <v>2023</v>
      </c>
      <c r="C337" t="s">
        <v>75</v>
      </c>
      <c r="D337">
        <v>2.4300000000000002</v>
      </c>
    </row>
    <row r="338" spans="1:4" x14ac:dyDescent="0.45">
      <c r="A338" t="s">
        <v>58</v>
      </c>
      <c r="B338">
        <v>2023</v>
      </c>
      <c r="C338" t="s">
        <v>75</v>
      </c>
      <c r="D338">
        <v>33.68</v>
      </c>
    </row>
    <row r="339" spans="1:4" x14ac:dyDescent="0.45">
      <c r="A339" t="s">
        <v>91</v>
      </c>
      <c r="B339">
        <v>2023</v>
      </c>
      <c r="C339" t="s">
        <v>75</v>
      </c>
      <c r="D339">
        <v>11.33</v>
      </c>
    </row>
    <row r="340" spans="1:4" x14ac:dyDescent="0.45">
      <c r="A340" t="s">
        <v>32</v>
      </c>
      <c r="B340">
        <v>2000</v>
      </c>
      <c r="C340" t="s">
        <v>76</v>
      </c>
      <c r="D340">
        <v>0.19</v>
      </c>
    </row>
    <row r="341" spans="1:4" x14ac:dyDescent="0.45">
      <c r="A341" t="s">
        <v>34</v>
      </c>
      <c r="B341">
        <v>2000</v>
      </c>
      <c r="C341" t="s">
        <v>76</v>
      </c>
      <c r="D341">
        <v>160.41</v>
      </c>
    </row>
    <row r="342" spans="1:4" x14ac:dyDescent="0.45">
      <c r="A342" t="s">
        <v>36</v>
      </c>
      <c r="B342">
        <v>2000</v>
      </c>
      <c r="C342" t="s">
        <v>76</v>
      </c>
      <c r="D342">
        <v>12.28</v>
      </c>
    </row>
    <row r="343" spans="1:4" x14ac:dyDescent="0.45">
      <c r="A343" t="s">
        <v>56</v>
      </c>
      <c r="B343">
        <v>2000</v>
      </c>
      <c r="C343" t="s">
        <v>76</v>
      </c>
      <c r="D343">
        <v>0.39</v>
      </c>
    </row>
    <row r="344" spans="1:4" x14ac:dyDescent="0.45">
      <c r="A344" t="s">
        <v>38</v>
      </c>
      <c r="B344">
        <v>2000</v>
      </c>
      <c r="C344" t="s">
        <v>76</v>
      </c>
      <c r="D344">
        <v>1.49</v>
      </c>
    </row>
    <row r="345" spans="1:4" x14ac:dyDescent="0.45">
      <c r="A345" t="s">
        <v>58</v>
      </c>
      <c r="B345">
        <v>2000</v>
      </c>
      <c r="C345" t="s">
        <v>76</v>
      </c>
      <c r="D345">
        <v>0</v>
      </c>
    </row>
    <row r="346" spans="1:4" x14ac:dyDescent="0.45">
      <c r="A346" t="s">
        <v>91</v>
      </c>
      <c r="B346">
        <v>2000</v>
      </c>
      <c r="C346" t="s">
        <v>76</v>
      </c>
      <c r="D346">
        <v>0</v>
      </c>
    </row>
    <row r="347" spans="1:4" x14ac:dyDescent="0.45">
      <c r="A347" t="s">
        <v>32</v>
      </c>
      <c r="B347">
        <v>2001</v>
      </c>
      <c r="C347" t="s">
        <v>76</v>
      </c>
      <c r="D347">
        <v>0.17</v>
      </c>
    </row>
    <row r="348" spans="1:4" x14ac:dyDescent="0.45">
      <c r="A348" t="s">
        <v>34</v>
      </c>
      <c r="B348">
        <v>2001</v>
      </c>
      <c r="C348" t="s">
        <v>76</v>
      </c>
      <c r="D348">
        <v>159.88</v>
      </c>
    </row>
    <row r="349" spans="1:4" x14ac:dyDescent="0.45">
      <c r="A349" t="s">
        <v>36</v>
      </c>
      <c r="B349">
        <v>2001</v>
      </c>
      <c r="C349" t="s">
        <v>76</v>
      </c>
      <c r="D349">
        <v>17.96</v>
      </c>
    </row>
    <row r="350" spans="1:4" x14ac:dyDescent="0.45">
      <c r="A350" t="s">
        <v>56</v>
      </c>
      <c r="B350">
        <v>2001</v>
      </c>
      <c r="C350" t="s">
        <v>76</v>
      </c>
      <c r="D350">
        <v>0.38</v>
      </c>
    </row>
    <row r="351" spans="1:4" x14ac:dyDescent="0.45">
      <c r="A351" t="s">
        <v>38</v>
      </c>
      <c r="B351">
        <v>2001</v>
      </c>
      <c r="C351" t="s">
        <v>76</v>
      </c>
      <c r="D351">
        <v>1.72</v>
      </c>
    </row>
    <row r="352" spans="1:4" x14ac:dyDescent="0.45">
      <c r="A352" t="s">
        <v>58</v>
      </c>
      <c r="B352">
        <v>2001</v>
      </c>
      <c r="C352" t="s">
        <v>76</v>
      </c>
      <c r="D352">
        <v>0</v>
      </c>
    </row>
    <row r="353" spans="1:4" x14ac:dyDescent="0.45">
      <c r="A353" t="s">
        <v>91</v>
      </c>
      <c r="B353">
        <v>2001</v>
      </c>
      <c r="C353" t="s">
        <v>76</v>
      </c>
      <c r="D353">
        <v>0</v>
      </c>
    </row>
    <row r="354" spans="1:4" x14ac:dyDescent="0.45">
      <c r="A354" t="s">
        <v>32</v>
      </c>
      <c r="B354">
        <v>2002</v>
      </c>
      <c r="C354" t="s">
        <v>76</v>
      </c>
      <c r="D354">
        <v>0.27</v>
      </c>
    </row>
    <row r="355" spans="1:4" x14ac:dyDescent="0.45">
      <c r="A355" t="s">
        <v>34</v>
      </c>
      <c r="B355">
        <v>2002</v>
      </c>
      <c r="C355" t="s">
        <v>76</v>
      </c>
      <c r="D355">
        <v>152.49</v>
      </c>
    </row>
    <row r="356" spans="1:4" x14ac:dyDescent="0.45">
      <c r="A356" t="s">
        <v>36</v>
      </c>
      <c r="B356">
        <v>2002</v>
      </c>
      <c r="C356" t="s">
        <v>76</v>
      </c>
      <c r="D356">
        <v>22.39</v>
      </c>
    </row>
    <row r="357" spans="1:4" x14ac:dyDescent="0.45">
      <c r="A357" t="s">
        <v>56</v>
      </c>
      <c r="B357">
        <v>2002</v>
      </c>
      <c r="C357" t="s">
        <v>76</v>
      </c>
      <c r="D357">
        <v>0.38</v>
      </c>
    </row>
    <row r="358" spans="1:4" x14ac:dyDescent="0.45">
      <c r="A358" t="s">
        <v>38</v>
      </c>
      <c r="B358">
        <v>2002</v>
      </c>
      <c r="C358" t="s">
        <v>76</v>
      </c>
      <c r="D358">
        <v>2.06</v>
      </c>
    </row>
    <row r="359" spans="1:4" x14ac:dyDescent="0.45">
      <c r="A359" t="s">
        <v>58</v>
      </c>
      <c r="B359">
        <v>2002</v>
      </c>
      <c r="C359" t="s">
        <v>76</v>
      </c>
      <c r="D359">
        <v>0</v>
      </c>
    </row>
    <row r="360" spans="1:4" x14ac:dyDescent="0.45">
      <c r="A360" t="s">
        <v>91</v>
      </c>
      <c r="B360">
        <v>2002</v>
      </c>
      <c r="C360" t="s">
        <v>76</v>
      </c>
      <c r="D360">
        <v>0.01</v>
      </c>
    </row>
    <row r="361" spans="1:4" x14ac:dyDescent="0.45">
      <c r="A361" t="s">
        <v>32</v>
      </c>
      <c r="B361">
        <v>2003</v>
      </c>
      <c r="C361" t="s">
        <v>76</v>
      </c>
      <c r="D361">
        <v>0.37</v>
      </c>
    </row>
    <row r="362" spans="1:4" x14ac:dyDescent="0.45">
      <c r="A362" t="s">
        <v>34</v>
      </c>
      <c r="B362">
        <v>2003</v>
      </c>
      <c r="C362" t="s">
        <v>76</v>
      </c>
      <c r="D362">
        <v>153.80000000000001</v>
      </c>
    </row>
    <row r="363" spans="1:4" x14ac:dyDescent="0.45">
      <c r="A363" t="s">
        <v>36</v>
      </c>
      <c r="B363">
        <v>2003</v>
      </c>
      <c r="C363" t="s">
        <v>76</v>
      </c>
      <c r="D363">
        <v>22.1</v>
      </c>
    </row>
    <row r="364" spans="1:4" x14ac:dyDescent="0.45">
      <c r="A364" t="s">
        <v>56</v>
      </c>
      <c r="B364">
        <v>2003</v>
      </c>
      <c r="C364" t="s">
        <v>76</v>
      </c>
      <c r="D364">
        <v>0.39</v>
      </c>
    </row>
    <row r="365" spans="1:4" x14ac:dyDescent="0.45">
      <c r="A365" t="s">
        <v>38</v>
      </c>
      <c r="B365">
        <v>2003</v>
      </c>
      <c r="C365" t="s">
        <v>76</v>
      </c>
      <c r="D365">
        <v>2.3199999999999998</v>
      </c>
    </row>
    <row r="366" spans="1:4" x14ac:dyDescent="0.45">
      <c r="A366" t="s">
        <v>58</v>
      </c>
      <c r="B366">
        <v>2003</v>
      </c>
      <c r="C366" t="s">
        <v>76</v>
      </c>
      <c r="D366">
        <v>0</v>
      </c>
    </row>
    <row r="367" spans="1:4" x14ac:dyDescent="0.45">
      <c r="A367" t="s">
        <v>91</v>
      </c>
      <c r="B367">
        <v>2003</v>
      </c>
      <c r="C367" t="s">
        <v>76</v>
      </c>
      <c r="D367">
        <v>0.01</v>
      </c>
    </row>
    <row r="368" spans="1:4" x14ac:dyDescent="0.45">
      <c r="A368" t="s">
        <v>32</v>
      </c>
      <c r="B368">
        <v>2004</v>
      </c>
      <c r="C368" t="s">
        <v>76</v>
      </c>
      <c r="D368">
        <v>0.61</v>
      </c>
    </row>
    <row r="369" spans="1:4" x14ac:dyDescent="0.45">
      <c r="A369" t="s">
        <v>34</v>
      </c>
      <c r="B369">
        <v>2004</v>
      </c>
      <c r="C369" t="s">
        <v>76</v>
      </c>
      <c r="D369">
        <v>158.38</v>
      </c>
    </row>
    <row r="370" spans="1:4" x14ac:dyDescent="0.45">
      <c r="A370" t="s">
        <v>36</v>
      </c>
      <c r="B370">
        <v>2004</v>
      </c>
      <c r="C370" t="s">
        <v>76</v>
      </c>
      <c r="D370">
        <v>20.05</v>
      </c>
    </row>
    <row r="371" spans="1:4" x14ac:dyDescent="0.45">
      <c r="A371" t="s">
        <v>56</v>
      </c>
      <c r="B371">
        <v>2004</v>
      </c>
      <c r="C371" t="s">
        <v>76</v>
      </c>
      <c r="D371">
        <v>0.37</v>
      </c>
    </row>
    <row r="372" spans="1:4" x14ac:dyDescent="0.45">
      <c r="A372" t="s">
        <v>38</v>
      </c>
      <c r="B372">
        <v>2004</v>
      </c>
      <c r="C372" t="s">
        <v>76</v>
      </c>
      <c r="D372">
        <v>2.3199999999999998</v>
      </c>
    </row>
    <row r="373" spans="1:4" x14ac:dyDescent="0.45">
      <c r="A373" t="s">
        <v>58</v>
      </c>
      <c r="B373">
        <v>2004</v>
      </c>
      <c r="C373" t="s">
        <v>76</v>
      </c>
      <c r="D373">
        <v>0</v>
      </c>
    </row>
    <row r="374" spans="1:4" x14ac:dyDescent="0.45">
      <c r="A374" t="s">
        <v>91</v>
      </c>
      <c r="B374">
        <v>2004</v>
      </c>
      <c r="C374" t="s">
        <v>76</v>
      </c>
      <c r="D374">
        <v>0.01</v>
      </c>
    </row>
    <row r="375" spans="1:4" x14ac:dyDescent="0.45">
      <c r="A375" t="s">
        <v>32</v>
      </c>
      <c r="B375">
        <v>2005</v>
      </c>
      <c r="C375" t="s">
        <v>76</v>
      </c>
      <c r="D375">
        <v>0.84</v>
      </c>
    </row>
    <row r="376" spans="1:4" x14ac:dyDescent="0.45">
      <c r="A376" t="s">
        <v>34</v>
      </c>
      <c r="B376">
        <v>2005</v>
      </c>
      <c r="C376" t="s">
        <v>76</v>
      </c>
      <c r="D376">
        <v>161.94</v>
      </c>
    </row>
    <row r="377" spans="1:4" x14ac:dyDescent="0.45">
      <c r="A377" t="s">
        <v>36</v>
      </c>
      <c r="B377">
        <v>2005</v>
      </c>
      <c r="C377" t="s">
        <v>76</v>
      </c>
      <c r="D377">
        <v>17.05</v>
      </c>
    </row>
    <row r="378" spans="1:4" x14ac:dyDescent="0.45">
      <c r="A378" t="s">
        <v>56</v>
      </c>
      <c r="B378">
        <v>2005</v>
      </c>
      <c r="C378" t="s">
        <v>76</v>
      </c>
      <c r="D378">
        <v>0.37</v>
      </c>
    </row>
    <row r="379" spans="1:4" x14ac:dyDescent="0.45">
      <c r="A379" t="s">
        <v>38</v>
      </c>
      <c r="B379">
        <v>2005</v>
      </c>
      <c r="C379" t="s">
        <v>76</v>
      </c>
      <c r="D379">
        <v>2.4900000000000002</v>
      </c>
    </row>
    <row r="380" spans="1:4" x14ac:dyDescent="0.45">
      <c r="A380" t="s">
        <v>58</v>
      </c>
      <c r="B380">
        <v>2005</v>
      </c>
      <c r="C380" t="s">
        <v>76</v>
      </c>
      <c r="D380">
        <v>0</v>
      </c>
    </row>
    <row r="381" spans="1:4" x14ac:dyDescent="0.45">
      <c r="A381" t="s">
        <v>91</v>
      </c>
      <c r="B381">
        <v>2005</v>
      </c>
      <c r="C381" t="s">
        <v>76</v>
      </c>
      <c r="D381">
        <v>0.01</v>
      </c>
    </row>
    <row r="382" spans="1:4" x14ac:dyDescent="0.45">
      <c r="A382" t="s">
        <v>32</v>
      </c>
      <c r="B382">
        <v>2006</v>
      </c>
      <c r="C382" t="s">
        <v>76</v>
      </c>
      <c r="D382">
        <v>0.85</v>
      </c>
    </row>
    <row r="383" spans="1:4" x14ac:dyDescent="0.45">
      <c r="A383" t="s">
        <v>34</v>
      </c>
      <c r="B383">
        <v>2006</v>
      </c>
      <c r="C383" t="s">
        <v>76</v>
      </c>
      <c r="D383">
        <v>164.4</v>
      </c>
    </row>
    <row r="384" spans="1:4" x14ac:dyDescent="0.45">
      <c r="A384" t="s">
        <v>36</v>
      </c>
      <c r="B384">
        <v>2006</v>
      </c>
      <c r="C384" t="s">
        <v>76</v>
      </c>
      <c r="D384">
        <v>20</v>
      </c>
    </row>
    <row r="385" spans="1:4" x14ac:dyDescent="0.45">
      <c r="A385" t="s">
        <v>56</v>
      </c>
      <c r="B385">
        <v>2006</v>
      </c>
      <c r="C385" t="s">
        <v>76</v>
      </c>
      <c r="D385">
        <v>0.36</v>
      </c>
    </row>
    <row r="386" spans="1:4" x14ac:dyDescent="0.45">
      <c r="A386" t="s">
        <v>57</v>
      </c>
      <c r="B386">
        <v>2006</v>
      </c>
      <c r="C386" t="s">
        <v>76</v>
      </c>
      <c r="D386">
        <v>0</v>
      </c>
    </row>
    <row r="387" spans="1:4" x14ac:dyDescent="0.45">
      <c r="A387" t="s">
        <v>38</v>
      </c>
      <c r="B387">
        <v>2006</v>
      </c>
      <c r="C387" t="s">
        <v>76</v>
      </c>
      <c r="D387">
        <v>2.5</v>
      </c>
    </row>
    <row r="388" spans="1:4" x14ac:dyDescent="0.45">
      <c r="A388" t="s">
        <v>58</v>
      </c>
      <c r="B388">
        <v>2006</v>
      </c>
      <c r="C388" t="s">
        <v>76</v>
      </c>
      <c r="D388">
        <v>0</v>
      </c>
    </row>
    <row r="389" spans="1:4" x14ac:dyDescent="0.45">
      <c r="A389" t="s">
        <v>91</v>
      </c>
      <c r="B389">
        <v>2006</v>
      </c>
      <c r="C389" t="s">
        <v>76</v>
      </c>
      <c r="D389">
        <v>0.02</v>
      </c>
    </row>
    <row r="390" spans="1:4" x14ac:dyDescent="0.45">
      <c r="A390" t="s">
        <v>32</v>
      </c>
      <c r="B390">
        <v>2007</v>
      </c>
      <c r="C390" t="s">
        <v>76</v>
      </c>
      <c r="D390">
        <v>0.93</v>
      </c>
    </row>
    <row r="391" spans="1:4" x14ac:dyDescent="0.45">
      <c r="A391" t="s">
        <v>34</v>
      </c>
      <c r="B391">
        <v>2007</v>
      </c>
      <c r="C391" t="s">
        <v>76</v>
      </c>
      <c r="D391">
        <v>164</v>
      </c>
    </row>
    <row r="392" spans="1:4" x14ac:dyDescent="0.45">
      <c r="A392" t="s">
        <v>36</v>
      </c>
      <c r="B392">
        <v>2007</v>
      </c>
      <c r="C392" t="s">
        <v>76</v>
      </c>
      <c r="D392">
        <v>24.48</v>
      </c>
    </row>
    <row r="393" spans="1:4" x14ac:dyDescent="0.45">
      <c r="A393" t="s">
        <v>56</v>
      </c>
      <c r="B393">
        <v>2007</v>
      </c>
      <c r="C393" t="s">
        <v>76</v>
      </c>
      <c r="D393">
        <v>0.31</v>
      </c>
    </row>
    <row r="394" spans="1:4" x14ac:dyDescent="0.45">
      <c r="A394" t="s">
        <v>38</v>
      </c>
      <c r="B394">
        <v>2007</v>
      </c>
      <c r="C394" t="s">
        <v>76</v>
      </c>
      <c r="D394">
        <v>2.64</v>
      </c>
    </row>
    <row r="395" spans="1:4" x14ac:dyDescent="0.45">
      <c r="A395" t="s">
        <v>58</v>
      </c>
      <c r="B395">
        <v>2007</v>
      </c>
      <c r="C395" t="s">
        <v>76</v>
      </c>
      <c r="D395">
        <v>0.01</v>
      </c>
    </row>
    <row r="396" spans="1:4" x14ac:dyDescent="0.45">
      <c r="A396" t="s">
        <v>91</v>
      </c>
      <c r="B396">
        <v>2007</v>
      </c>
      <c r="C396" t="s">
        <v>76</v>
      </c>
      <c r="D396">
        <v>0.03</v>
      </c>
    </row>
    <row r="397" spans="1:4" x14ac:dyDescent="0.45">
      <c r="A397" t="s">
        <v>32</v>
      </c>
      <c r="B397">
        <v>2008</v>
      </c>
      <c r="C397" t="s">
        <v>76</v>
      </c>
      <c r="D397">
        <v>0.8</v>
      </c>
    </row>
    <row r="398" spans="1:4" x14ac:dyDescent="0.45">
      <c r="A398" t="s">
        <v>34</v>
      </c>
      <c r="B398">
        <v>2008</v>
      </c>
      <c r="C398" t="s">
        <v>76</v>
      </c>
      <c r="D398">
        <v>162.72999999999999</v>
      </c>
    </row>
    <row r="399" spans="1:4" x14ac:dyDescent="0.45">
      <c r="A399" t="s">
        <v>36</v>
      </c>
      <c r="B399">
        <v>2008</v>
      </c>
      <c r="C399" t="s">
        <v>76</v>
      </c>
      <c r="D399">
        <v>26.61</v>
      </c>
    </row>
    <row r="400" spans="1:4" x14ac:dyDescent="0.45">
      <c r="A400" t="s">
        <v>56</v>
      </c>
      <c r="B400">
        <v>2008</v>
      </c>
      <c r="C400" t="s">
        <v>76</v>
      </c>
      <c r="D400">
        <v>0.28000000000000003</v>
      </c>
    </row>
    <row r="401" spans="1:4" x14ac:dyDescent="0.45">
      <c r="A401" t="s">
        <v>38</v>
      </c>
      <c r="B401">
        <v>2008</v>
      </c>
      <c r="C401" t="s">
        <v>76</v>
      </c>
      <c r="D401">
        <v>3.76</v>
      </c>
    </row>
    <row r="402" spans="1:4" x14ac:dyDescent="0.45">
      <c r="A402" t="s">
        <v>58</v>
      </c>
      <c r="B402">
        <v>2008</v>
      </c>
      <c r="C402" t="s">
        <v>76</v>
      </c>
      <c r="D402">
        <v>0.01</v>
      </c>
    </row>
    <row r="403" spans="1:4" x14ac:dyDescent="0.45">
      <c r="A403" t="s">
        <v>91</v>
      </c>
      <c r="B403">
        <v>2008</v>
      </c>
      <c r="C403" t="s">
        <v>76</v>
      </c>
      <c r="D403">
        <v>0.03</v>
      </c>
    </row>
    <row r="404" spans="1:4" x14ac:dyDescent="0.45">
      <c r="A404" t="s">
        <v>32</v>
      </c>
      <c r="B404">
        <v>2009</v>
      </c>
      <c r="C404" t="s">
        <v>76</v>
      </c>
      <c r="D404">
        <v>0.6</v>
      </c>
    </row>
    <row r="405" spans="1:4" x14ac:dyDescent="0.45">
      <c r="A405" t="s">
        <v>34</v>
      </c>
      <c r="B405">
        <v>2009</v>
      </c>
      <c r="C405" t="s">
        <v>76</v>
      </c>
      <c r="D405">
        <v>160.77000000000001</v>
      </c>
    </row>
    <row r="406" spans="1:4" x14ac:dyDescent="0.45">
      <c r="A406" t="s">
        <v>36</v>
      </c>
      <c r="B406">
        <v>2009</v>
      </c>
      <c r="C406" t="s">
        <v>76</v>
      </c>
      <c r="D406">
        <v>30.14</v>
      </c>
    </row>
    <row r="407" spans="1:4" x14ac:dyDescent="0.45">
      <c r="A407" t="s">
        <v>56</v>
      </c>
      <c r="B407">
        <v>2009</v>
      </c>
      <c r="C407" t="s">
        <v>76</v>
      </c>
      <c r="D407">
        <v>0.3</v>
      </c>
    </row>
    <row r="408" spans="1:4" x14ac:dyDescent="0.45">
      <c r="A408" t="s">
        <v>38</v>
      </c>
      <c r="B408">
        <v>2009</v>
      </c>
      <c r="C408" t="s">
        <v>76</v>
      </c>
      <c r="D408">
        <v>4.34</v>
      </c>
    </row>
    <row r="409" spans="1:4" x14ac:dyDescent="0.45">
      <c r="A409" t="s">
        <v>58</v>
      </c>
      <c r="B409">
        <v>2009</v>
      </c>
      <c r="C409" t="s">
        <v>76</v>
      </c>
      <c r="D409">
        <v>0.01</v>
      </c>
    </row>
    <row r="410" spans="1:4" x14ac:dyDescent="0.45">
      <c r="A410" t="s">
        <v>91</v>
      </c>
      <c r="B410">
        <v>2009</v>
      </c>
      <c r="C410" t="s">
        <v>76</v>
      </c>
      <c r="D410">
        <v>0.04</v>
      </c>
    </row>
    <row r="411" spans="1:4" x14ac:dyDescent="0.45">
      <c r="A411" t="s">
        <v>32</v>
      </c>
      <c r="B411">
        <v>2010</v>
      </c>
      <c r="C411" t="s">
        <v>76</v>
      </c>
      <c r="D411">
        <v>0.53</v>
      </c>
    </row>
    <row r="412" spans="1:4" x14ac:dyDescent="0.45">
      <c r="A412" t="s">
        <v>34</v>
      </c>
      <c r="B412">
        <v>2010</v>
      </c>
      <c r="C412" t="s">
        <v>76</v>
      </c>
      <c r="D412">
        <v>155.47</v>
      </c>
    </row>
    <row r="413" spans="1:4" x14ac:dyDescent="0.45">
      <c r="A413" t="s">
        <v>36</v>
      </c>
      <c r="B413">
        <v>2010</v>
      </c>
      <c r="C413" t="s">
        <v>76</v>
      </c>
      <c r="D413">
        <v>34.29</v>
      </c>
    </row>
    <row r="414" spans="1:4" x14ac:dyDescent="0.45">
      <c r="A414" t="s">
        <v>56</v>
      </c>
      <c r="B414">
        <v>2010</v>
      </c>
      <c r="C414" t="s">
        <v>76</v>
      </c>
      <c r="D414">
        <v>0.33</v>
      </c>
    </row>
    <row r="415" spans="1:4" x14ac:dyDescent="0.45">
      <c r="A415" t="s">
        <v>38</v>
      </c>
      <c r="B415">
        <v>2010</v>
      </c>
      <c r="C415" t="s">
        <v>76</v>
      </c>
      <c r="D415">
        <v>3.95</v>
      </c>
    </row>
    <row r="416" spans="1:4" x14ac:dyDescent="0.45">
      <c r="A416" t="s">
        <v>58</v>
      </c>
      <c r="B416">
        <v>2010</v>
      </c>
      <c r="C416" t="s">
        <v>76</v>
      </c>
      <c r="D416">
        <v>0.05</v>
      </c>
    </row>
    <row r="417" spans="1:4" x14ac:dyDescent="0.45">
      <c r="A417" t="s">
        <v>91</v>
      </c>
      <c r="B417">
        <v>2010</v>
      </c>
      <c r="C417" t="s">
        <v>76</v>
      </c>
      <c r="D417">
        <v>0.05</v>
      </c>
    </row>
    <row r="418" spans="1:4" x14ac:dyDescent="0.45">
      <c r="A418" t="s">
        <v>32</v>
      </c>
      <c r="B418">
        <v>2011</v>
      </c>
      <c r="C418" t="s">
        <v>76</v>
      </c>
      <c r="D418">
        <v>0.56000000000000005</v>
      </c>
    </row>
    <row r="419" spans="1:4" x14ac:dyDescent="0.45">
      <c r="A419" t="s">
        <v>34</v>
      </c>
      <c r="B419">
        <v>2011</v>
      </c>
      <c r="C419" t="s">
        <v>76</v>
      </c>
      <c r="D419">
        <v>151.9</v>
      </c>
    </row>
    <row r="420" spans="1:4" x14ac:dyDescent="0.45">
      <c r="A420" t="s">
        <v>36</v>
      </c>
      <c r="B420">
        <v>2011</v>
      </c>
      <c r="C420" t="s">
        <v>76</v>
      </c>
      <c r="D420">
        <v>35.75</v>
      </c>
    </row>
    <row r="421" spans="1:4" x14ac:dyDescent="0.45">
      <c r="A421" t="s">
        <v>56</v>
      </c>
      <c r="B421">
        <v>2011</v>
      </c>
      <c r="C421" t="s">
        <v>76</v>
      </c>
      <c r="D421">
        <v>0.46</v>
      </c>
    </row>
    <row r="422" spans="1:4" x14ac:dyDescent="0.45">
      <c r="A422" t="s">
        <v>38</v>
      </c>
      <c r="B422">
        <v>2011</v>
      </c>
      <c r="C422" t="s">
        <v>76</v>
      </c>
      <c r="D422">
        <v>3.23</v>
      </c>
    </row>
    <row r="423" spans="1:4" x14ac:dyDescent="0.45">
      <c r="A423" t="s">
        <v>58</v>
      </c>
      <c r="B423">
        <v>2011</v>
      </c>
      <c r="C423" t="s">
        <v>76</v>
      </c>
      <c r="D423">
        <v>0.1</v>
      </c>
    </row>
    <row r="424" spans="1:4" x14ac:dyDescent="0.45">
      <c r="A424" t="s">
        <v>91</v>
      </c>
      <c r="B424">
        <v>2011</v>
      </c>
      <c r="C424" t="s">
        <v>76</v>
      </c>
      <c r="D424">
        <v>0.06</v>
      </c>
    </row>
    <row r="425" spans="1:4" x14ac:dyDescent="0.45">
      <c r="A425" t="s">
        <v>32</v>
      </c>
      <c r="B425">
        <v>2012</v>
      </c>
      <c r="C425" t="s">
        <v>76</v>
      </c>
      <c r="D425">
        <v>0.67</v>
      </c>
    </row>
    <row r="426" spans="1:4" x14ac:dyDescent="0.45">
      <c r="A426" t="s">
        <v>34</v>
      </c>
      <c r="B426">
        <v>2012</v>
      </c>
      <c r="C426" t="s">
        <v>76</v>
      </c>
      <c r="D426">
        <v>146.06</v>
      </c>
    </row>
    <row r="427" spans="1:4" x14ac:dyDescent="0.45">
      <c r="A427" t="s">
        <v>36</v>
      </c>
      <c r="B427">
        <v>2012</v>
      </c>
      <c r="C427" t="s">
        <v>76</v>
      </c>
      <c r="D427">
        <v>36.51</v>
      </c>
    </row>
    <row r="428" spans="1:4" x14ac:dyDescent="0.45">
      <c r="A428" t="s">
        <v>56</v>
      </c>
      <c r="B428">
        <v>2012</v>
      </c>
      <c r="C428" t="s">
        <v>76</v>
      </c>
      <c r="D428">
        <v>0.4</v>
      </c>
    </row>
    <row r="429" spans="1:4" x14ac:dyDescent="0.45">
      <c r="A429" t="s">
        <v>38</v>
      </c>
      <c r="B429">
        <v>2012</v>
      </c>
      <c r="C429" t="s">
        <v>76</v>
      </c>
      <c r="D429">
        <v>3.42</v>
      </c>
    </row>
    <row r="430" spans="1:4" x14ac:dyDescent="0.45">
      <c r="A430" t="s">
        <v>58</v>
      </c>
      <c r="B430">
        <v>2012</v>
      </c>
      <c r="C430" t="s">
        <v>76</v>
      </c>
      <c r="D430">
        <v>0.11</v>
      </c>
    </row>
    <row r="431" spans="1:4" x14ac:dyDescent="0.45">
      <c r="A431" t="s">
        <v>91</v>
      </c>
      <c r="B431">
        <v>2012</v>
      </c>
      <c r="C431" t="s">
        <v>76</v>
      </c>
      <c r="D431">
        <v>7.0000000000000007E-2</v>
      </c>
    </row>
    <row r="432" spans="1:4" x14ac:dyDescent="0.45">
      <c r="A432" t="s">
        <v>32</v>
      </c>
      <c r="B432">
        <v>2013</v>
      </c>
      <c r="C432" t="s">
        <v>76</v>
      </c>
      <c r="D432">
        <v>0.72</v>
      </c>
    </row>
    <row r="433" spans="1:4" x14ac:dyDescent="0.45">
      <c r="A433" t="s">
        <v>34</v>
      </c>
      <c r="B433">
        <v>2013</v>
      </c>
      <c r="C433" t="s">
        <v>76</v>
      </c>
      <c r="D433">
        <v>137.28</v>
      </c>
    </row>
    <row r="434" spans="1:4" x14ac:dyDescent="0.45">
      <c r="A434" t="s">
        <v>36</v>
      </c>
      <c r="B434">
        <v>2013</v>
      </c>
      <c r="C434" t="s">
        <v>76</v>
      </c>
      <c r="D434">
        <v>38.64</v>
      </c>
    </row>
    <row r="435" spans="1:4" x14ac:dyDescent="0.45">
      <c r="A435" t="s">
        <v>56</v>
      </c>
      <c r="B435">
        <v>2013</v>
      </c>
      <c r="C435" t="s">
        <v>76</v>
      </c>
      <c r="D435">
        <v>0.45</v>
      </c>
    </row>
    <row r="436" spans="1:4" x14ac:dyDescent="0.45">
      <c r="A436" t="s">
        <v>38</v>
      </c>
      <c r="B436">
        <v>2013</v>
      </c>
      <c r="C436" t="s">
        <v>76</v>
      </c>
      <c r="D436">
        <v>3.86</v>
      </c>
    </row>
    <row r="437" spans="1:4" x14ac:dyDescent="0.45">
      <c r="A437" t="s">
        <v>58</v>
      </c>
      <c r="B437">
        <v>2013</v>
      </c>
      <c r="C437" t="s">
        <v>76</v>
      </c>
      <c r="D437">
        <v>0.18</v>
      </c>
    </row>
    <row r="438" spans="1:4" x14ac:dyDescent="0.45">
      <c r="A438" t="s">
        <v>91</v>
      </c>
      <c r="B438">
        <v>2013</v>
      </c>
      <c r="C438" t="s">
        <v>76</v>
      </c>
      <c r="D438">
        <v>0.09</v>
      </c>
    </row>
    <row r="439" spans="1:4" x14ac:dyDescent="0.45">
      <c r="A439" t="s">
        <v>32</v>
      </c>
      <c r="B439">
        <v>2014</v>
      </c>
      <c r="C439" t="s">
        <v>76</v>
      </c>
      <c r="D439">
        <v>0.77</v>
      </c>
    </row>
    <row r="440" spans="1:4" x14ac:dyDescent="0.45">
      <c r="A440" t="s">
        <v>34</v>
      </c>
      <c r="B440">
        <v>2014</v>
      </c>
      <c r="C440" t="s">
        <v>76</v>
      </c>
      <c r="D440">
        <v>137.1</v>
      </c>
    </row>
    <row r="441" spans="1:4" x14ac:dyDescent="0.45">
      <c r="A441" t="s">
        <v>36</v>
      </c>
      <c r="B441">
        <v>2014</v>
      </c>
      <c r="C441" t="s">
        <v>76</v>
      </c>
      <c r="D441">
        <v>39.33</v>
      </c>
    </row>
    <row r="442" spans="1:4" x14ac:dyDescent="0.45">
      <c r="A442" t="s">
        <v>56</v>
      </c>
      <c r="B442">
        <v>2014</v>
      </c>
      <c r="C442" t="s">
        <v>76</v>
      </c>
      <c r="D442">
        <v>0.34</v>
      </c>
    </row>
    <row r="443" spans="1:4" x14ac:dyDescent="0.45">
      <c r="A443" t="s">
        <v>38</v>
      </c>
      <c r="B443">
        <v>2014</v>
      </c>
      <c r="C443" t="s">
        <v>76</v>
      </c>
      <c r="D443">
        <v>3.95</v>
      </c>
    </row>
    <row r="444" spans="1:4" x14ac:dyDescent="0.45">
      <c r="A444" t="s">
        <v>58</v>
      </c>
      <c r="B444">
        <v>2014</v>
      </c>
      <c r="C444" t="s">
        <v>76</v>
      </c>
      <c r="D444">
        <v>0.24</v>
      </c>
    </row>
    <row r="445" spans="1:4" x14ac:dyDescent="0.45">
      <c r="A445" t="s">
        <v>91</v>
      </c>
      <c r="B445">
        <v>2014</v>
      </c>
      <c r="C445" t="s">
        <v>76</v>
      </c>
      <c r="D445">
        <v>0.09</v>
      </c>
    </row>
    <row r="446" spans="1:4" x14ac:dyDescent="0.45">
      <c r="A446" t="s">
        <v>32</v>
      </c>
      <c r="B446">
        <v>2015</v>
      </c>
      <c r="C446" t="s">
        <v>76</v>
      </c>
      <c r="D446">
        <v>0.8</v>
      </c>
    </row>
    <row r="447" spans="1:4" x14ac:dyDescent="0.45">
      <c r="A447" t="s">
        <v>34</v>
      </c>
      <c r="B447">
        <v>2015</v>
      </c>
      <c r="C447" t="s">
        <v>76</v>
      </c>
      <c r="D447">
        <v>143.25</v>
      </c>
    </row>
    <row r="448" spans="1:4" x14ac:dyDescent="0.45">
      <c r="A448" t="s">
        <v>36</v>
      </c>
      <c r="B448">
        <v>2015</v>
      </c>
      <c r="C448" t="s">
        <v>76</v>
      </c>
      <c r="D448">
        <v>36.43</v>
      </c>
    </row>
    <row r="449" spans="1:4" x14ac:dyDescent="0.45">
      <c r="A449" t="s">
        <v>56</v>
      </c>
      <c r="B449">
        <v>2015</v>
      </c>
      <c r="C449" t="s">
        <v>76</v>
      </c>
      <c r="D449">
        <v>0.33</v>
      </c>
    </row>
    <row r="450" spans="1:4" x14ac:dyDescent="0.45">
      <c r="A450" t="s">
        <v>38</v>
      </c>
      <c r="B450">
        <v>2015</v>
      </c>
      <c r="C450" t="s">
        <v>76</v>
      </c>
      <c r="D450">
        <v>4.13</v>
      </c>
    </row>
    <row r="451" spans="1:4" x14ac:dyDescent="0.45">
      <c r="A451" t="s">
        <v>58</v>
      </c>
      <c r="B451">
        <v>2015</v>
      </c>
      <c r="C451" t="s">
        <v>76</v>
      </c>
      <c r="D451">
        <v>0.28999999999999998</v>
      </c>
    </row>
    <row r="452" spans="1:4" x14ac:dyDescent="0.45">
      <c r="A452" t="s">
        <v>91</v>
      </c>
      <c r="B452">
        <v>2015</v>
      </c>
      <c r="C452" t="s">
        <v>76</v>
      </c>
      <c r="D452">
        <v>0.11</v>
      </c>
    </row>
    <row r="453" spans="1:4" x14ac:dyDescent="0.45">
      <c r="A453" t="s">
        <v>32</v>
      </c>
      <c r="B453">
        <v>2016</v>
      </c>
      <c r="C453" t="s">
        <v>76</v>
      </c>
      <c r="D453">
        <v>0.78</v>
      </c>
    </row>
    <row r="454" spans="1:4" x14ac:dyDescent="0.45">
      <c r="A454" t="s">
        <v>34</v>
      </c>
      <c r="B454">
        <v>2016</v>
      </c>
      <c r="C454" t="s">
        <v>76</v>
      </c>
      <c r="D454">
        <v>143.36000000000001</v>
      </c>
    </row>
    <row r="455" spans="1:4" x14ac:dyDescent="0.45">
      <c r="A455" t="s">
        <v>36</v>
      </c>
      <c r="B455">
        <v>2016</v>
      </c>
      <c r="C455" t="s">
        <v>76</v>
      </c>
      <c r="D455">
        <v>35.26</v>
      </c>
    </row>
    <row r="456" spans="1:4" x14ac:dyDescent="0.45">
      <c r="A456" t="s">
        <v>56</v>
      </c>
      <c r="B456">
        <v>2016</v>
      </c>
      <c r="C456" t="s">
        <v>76</v>
      </c>
      <c r="D456">
        <v>0.42</v>
      </c>
    </row>
    <row r="457" spans="1:4" x14ac:dyDescent="0.45">
      <c r="A457" t="s">
        <v>38</v>
      </c>
      <c r="B457">
        <v>2016</v>
      </c>
      <c r="C457" t="s">
        <v>76</v>
      </c>
      <c r="D457">
        <v>3.96</v>
      </c>
    </row>
    <row r="458" spans="1:4" x14ac:dyDescent="0.45">
      <c r="A458" t="s">
        <v>58</v>
      </c>
      <c r="B458">
        <v>2016</v>
      </c>
      <c r="C458" t="s">
        <v>76</v>
      </c>
      <c r="D458">
        <v>0.35</v>
      </c>
    </row>
    <row r="459" spans="1:4" x14ac:dyDescent="0.45">
      <c r="A459" t="s">
        <v>91</v>
      </c>
      <c r="B459">
        <v>2016</v>
      </c>
      <c r="C459" t="s">
        <v>76</v>
      </c>
      <c r="D459">
        <v>0.12</v>
      </c>
    </row>
    <row r="460" spans="1:4" x14ac:dyDescent="0.45">
      <c r="A460" t="s">
        <v>32</v>
      </c>
      <c r="B460">
        <v>2017</v>
      </c>
      <c r="C460" t="s">
        <v>76</v>
      </c>
      <c r="D460">
        <v>0.77</v>
      </c>
    </row>
    <row r="461" spans="1:4" x14ac:dyDescent="0.45">
      <c r="A461" t="s">
        <v>34</v>
      </c>
      <c r="B461">
        <v>2017</v>
      </c>
      <c r="C461" t="s">
        <v>76</v>
      </c>
      <c r="D461">
        <v>140.31</v>
      </c>
    </row>
    <row r="462" spans="1:4" x14ac:dyDescent="0.45">
      <c r="A462" t="s">
        <v>36</v>
      </c>
      <c r="B462">
        <v>2017</v>
      </c>
      <c r="C462" t="s">
        <v>76</v>
      </c>
      <c r="D462">
        <v>40.380000000000003</v>
      </c>
    </row>
    <row r="463" spans="1:4" x14ac:dyDescent="0.45">
      <c r="A463" t="s">
        <v>56</v>
      </c>
      <c r="B463">
        <v>2017</v>
      </c>
      <c r="C463" t="s">
        <v>76</v>
      </c>
      <c r="D463">
        <v>0.32</v>
      </c>
    </row>
    <row r="464" spans="1:4" x14ac:dyDescent="0.45">
      <c r="A464" t="s">
        <v>38</v>
      </c>
      <c r="B464">
        <v>2017</v>
      </c>
      <c r="C464" t="s">
        <v>76</v>
      </c>
      <c r="D464">
        <v>3.63</v>
      </c>
    </row>
    <row r="465" spans="1:4" x14ac:dyDescent="0.45">
      <c r="A465" t="s">
        <v>58</v>
      </c>
      <c r="B465">
        <v>2017</v>
      </c>
      <c r="C465" t="s">
        <v>76</v>
      </c>
      <c r="D465">
        <v>0.42</v>
      </c>
    </row>
    <row r="466" spans="1:4" x14ac:dyDescent="0.45">
      <c r="A466" t="s">
        <v>91</v>
      </c>
      <c r="B466">
        <v>2017</v>
      </c>
      <c r="C466" t="s">
        <v>76</v>
      </c>
      <c r="D466">
        <v>0.13</v>
      </c>
    </row>
    <row r="467" spans="1:4" x14ac:dyDescent="0.45">
      <c r="A467" t="s">
        <v>32</v>
      </c>
      <c r="B467">
        <v>2018</v>
      </c>
      <c r="C467" t="s">
        <v>76</v>
      </c>
      <c r="D467">
        <v>0.78</v>
      </c>
    </row>
    <row r="468" spans="1:4" x14ac:dyDescent="0.45">
      <c r="A468" t="s">
        <v>34</v>
      </c>
      <c r="B468">
        <v>2018</v>
      </c>
      <c r="C468" t="s">
        <v>76</v>
      </c>
      <c r="D468">
        <v>137.78</v>
      </c>
    </row>
    <row r="469" spans="1:4" x14ac:dyDescent="0.45">
      <c r="A469" t="s">
        <v>36</v>
      </c>
      <c r="B469">
        <v>2018</v>
      </c>
      <c r="C469" t="s">
        <v>76</v>
      </c>
      <c r="D469">
        <v>37.72</v>
      </c>
    </row>
    <row r="470" spans="1:4" x14ac:dyDescent="0.45">
      <c r="A470" t="s">
        <v>56</v>
      </c>
      <c r="B470">
        <v>2018</v>
      </c>
      <c r="C470" t="s">
        <v>76</v>
      </c>
      <c r="D470">
        <v>0.41</v>
      </c>
    </row>
    <row r="471" spans="1:4" x14ac:dyDescent="0.45">
      <c r="A471" t="s">
        <v>38</v>
      </c>
      <c r="B471">
        <v>2018</v>
      </c>
      <c r="C471" t="s">
        <v>76</v>
      </c>
      <c r="D471">
        <v>3.37</v>
      </c>
    </row>
    <row r="472" spans="1:4" x14ac:dyDescent="0.45">
      <c r="A472" t="s">
        <v>58</v>
      </c>
      <c r="B472">
        <v>2018</v>
      </c>
      <c r="C472" t="s">
        <v>76</v>
      </c>
      <c r="D472">
        <v>0.59</v>
      </c>
    </row>
    <row r="473" spans="1:4" x14ac:dyDescent="0.45">
      <c r="A473" t="s">
        <v>91</v>
      </c>
      <c r="B473">
        <v>2018</v>
      </c>
      <c r="C473" t="s">
        <v>76</v>
      </c>
      <c r="D473">
        <v>0.15</v>
      </c>
    </row>
    <row r="474" spans="1:4" x14ac:dyDescent="0.45">
      <c r="A474" t="s">
        <v>32</v>
      </c>
      <c r="B474">
        <v>2019</v>
      </c>
      <c r="C474" t="s">
        <v>76</v>
      </c>
      <c r="D474">
        <v>0.75</v>
      </c>
    </row>
    <row r="475" spans="1:4" x14ac:dyDescent="0.45">
      <c r="A475" t="s">
        <v>34</v>
      </c>
      <c r="B475">
        <v>2019</v>
      </c>
      <c r="C475" t="s">
        <v>76</v>
      </c>
      <c r="D475">
        <v>131.86000000000001</v>
      </c>
    </row>
    <row r="476" spans="1:4" x14ac:dyDescent="0.45">
      <c r="A476" t="s">
        <v>36</v>
      </c>
      <c r="B476">
        <v>2019</v>
      </c>
      <c r="C476" t="s">
        <v>76</v>
      </c>
      <c r="D476">
        <v>40.83</v>
      </c>
    </row>
    <row r="477" spans="1:4" x14ac:dyDescent="0.45">
      <c r="A477" t="s">
        <v>56</v>
      </c>
      <c r="B477">
        <v>2019</v>
      </c>
      <c r="C477" t="s">
        <v>76</v>
      </c>
      <c r="D477">
        <v>0.33</v>
      </c>
    </row>
    <row r="478" spans="1:4" x14ac:dyDescent="0.45">
      <c r="A478" t="s">
        <v>38</v>
      </c>
      <c r="B478">
        <v>2019</v>
      </c>
      <c r="C478" t="s">
        <v>76</v>
      </c>
      <c r="D478">
        <v>3.35</v>
      </c>
    </row>
    <row r="479" spans="1:4" x14ac:dyDescent="0.45">
      <c r="A479" t="s">
        <v>58</v>
      </c>
      <c r="B479">
        <v>2019</v>
      </c>
      <c r="C479" t="s">
        <v>76</v>
      </c>
      <c r="D479">
        <v>0.87</v>
      </c>
    </row>
    <row r="480" spans="1:4" x14ac:dyDescent="0.45">
      <c r="A480" t="s">
        <v>91</v>
      </c>
      <c r="B480">
        <v>2019</v>
      </c>
      <c r="C480" t="s">
        <v>76</v>
      </c>
      <c r="D480">
        <v>0.19</v>
      </c>
    </row>
    <row r="481" spans="1:4" x14ac:dyDescent="0.45">
      <c r="A481" t="s">
        <v>32</v>
      </c>
      <c r="B481">
        <v>2020</v>
      </c>
      <c r="C481" t="s">
        <v>76</v>
      </c>
      <c r="D481">
        <v>0.74</v>
      </c>
    </row>
    <row r="482" spans="1:4" x14ac:dyDescent="0.45">
      <c r="A482" t="s">
        <v>34</v>
      </c>
      <c r="B482">
        <v>2020</v>
      </c>
      <c r="C482" t="s">
        <v>76</v>
      </c>
      <c r="D482">
        <v>125.78</v>
      </c>
    </row>
    <row r="483" spans="1:4" x14ac:dyDescent="0.45">
      <c r="A483" t="s">
        <v>36</v>
      </c>
      <c r="B483">
        <v>2020</v>
      </c>
      <c r="C483" t="s">
        <v>76</v>
      </c>
      <c r="D483">
        <v>38.880000000000003</v>
      </c>
    </row>
    <row r="484" spans="1:4" x14ac:dyDescent="0.45">
      <c r="A484" t="s">
        <v>56</v>
      </c>
      <c r="B484">
        <v>2020</v>
      </c>
      <c r="C484" t="s">
        <v>76</v>
      </c>
      <c r="D484">
        <v>0.34</v>
      </c>
    </row>
    <row r="485" spans="1:4" x14ac:dyDescent="0.45">
      <c r="A485" t="s">
        <v>38</v>
      </c>
      <c r="B485">
        <v>2020</v>
      </c>
      <c r="C485" t="s">
        <v>76</v>
      </c>
      <c r="D485">
        <v>3.22</v>
      </c>
    </row>
    <row r="486" spans="1:4" x14ac:dyDescent="0.45">
      <c r="A486" t="s">
        <v>58</v>
      </c>
      <c r="B486">
        <v>2020</v>
      </c>
      <c r="C486" t="s">
        <v>76</v>
      </c>
      <c r="D486">
        <v>1.1299999999999999</v>
      </c>
    </row>
    <row r="487" spans="1:4" x14ac:dyDescent="0.45">
      <c r="A487" t="s">
        <v>91</v>
      </c>
      <c r="B487">
        <v>2020</v>
      </c>
      <c r="C487" t="s">
        <v>76</v>
      </c>
      <c r="D487">
        <v>0.22</v>
      </c>
    </row>
    <row r="488" spans="1:4" x14ac:dyDescent="0.45">
      <c r="A488" t="s">
        <v>32</v>
      </c>
      <c r="B488">
        <v>2021</v>
      </c>
      <c r="C488" t="s">
        <v>76</v>
      </c>
      <c r="D488">
        <v>0.72</v>
      </c>
    </row>
    <row r="489" spans="1:4" x14ac:dyDescent="0.45">
      <c r="A489" t="s">
        <v>34</v>
      </c>
      <c r="B489">
        <v>2021</v>
      </c>
      <c r="C489" t="s">
        <v>76</v>
      </c>
      <c r="D489">
        <v>120.92</v>
      </c>
    </row>
    <row r="490" spans="1:4" x14ac:dyDescent="0.45">
      <c r="A490" t="s">
        <v>36</v>
      </c>
      <c r="B490">
        <v>2021</v>
      </c>
      <c r="C490" t="s">
        <v>76</v>
      </c>
      <c r="D490">
        <v>34.909999999999997</v>
      </c>
    </row>
    <row r="491" spans="1:4" x14ac:dyDescent="0.45">
      <c r="A491" t="s">
        <v>56</v>
      </c>
      <c r="B491">
        <v>2021</v>
      </c>
      <c r="C491" t="s">
        <v>76</v>
      </c>
      <c r="D491">
        <v>0.38</v>
      </c>
    </row>
    <row r="492" spans="1:4" x14ac:dyDescent="0.45">
      <c r="A492" t="s">
        <v>38</v>
      </c>
      <c r="B492">
        <v>2021</v>
      </c>
      <c r="C492" t="s">
        <v>76</v>
      </c>
      <c r="D492">
        <v>3.39</v>
      </c>
    </row>
    <row r="493" spans="1:4" x14ac:dyDescent="0.45">
      <c r="A493" t="s">
        <v>58</v>
      </c>
      <c r="B493">
        <v>2021</v>
      </c>
      <c r="C493" t="s">
        <v>76</v>
      </c>
      <c r="D493">
        <v>1.48</v>
      </c>
    </row>
    <row r="494" spans="1:4" x14ac:dyDescent="0.45">
      <c r="A494" t="s">
        <v>91</v>
      </c>
      <c r="B494">
        <v>2021</v>
      </c>
      <c r="C494" t="s">
        <v>76</v>
      </c>
      <c r="D494">
        <v>0.25</v>
      </c>
    </row>
    <row r="495" spans="1:4" x14ac:dyDescent="0.45">
      <c r="A495" t="s">
        <v>32</v>
      </c>
      <c r="B495">
        <v>2022</v>
      </c>
      <c r="C495" t="s">
        <v>76</v>
      </c>
      <c r="D495">
        <v>0.69</v>
      </c>
    </row>
    <row r="496" spans="1:4" x14ac:dyDescent="0.45">
      <c r="A496" t="s">
        <v>34</v>
      </c>
      <c r="B496">
        <v>2022</v>
      </c>
      <c r="C496" t="s">
        <v>76</v>
      </c>
      <c r="D496">
        <v>113.71</v>
      </c>
    </row>
    <row r="497" spans="1:4" x14ac:dyDescent="0.45">
      <c r="A497" t="s">
        <v>36</v>
      </c>
      <c r="B497">
        <v>2022</v>
      </c>
      <c r="C497" t="s">
        <v>76</v>
      </c>
      <c r="D497">
        <v>37.25</v>
      </c>
    </row>
    <row r="498" spans="1:4" x14ac:dyDescent="0.45">
      <c r="A498" t="s">
        <v>56</v>
      </c>
      <c r="B498">
        <v>2022</v>
      </c>
      <c r="C498" t="s">
        <v>76</v>
      </c>
      <c r="D498">
        <v>0.4</v>
      </c>
    </row>
    <row r="499" spans="1:4" x14ac:dyDescent="0.45">
      <c r="A499" t="s">
        <v>38</v>
      </c>
      <c r="B499">
        <v>2022</v>
      </c>
      <c r="C499" t="s">
        <v>76</v>
      </c>
      <c r="D499">
        <v>3.59</v>
      </c>
    </row>
    <row r="500" spans="1:4" x14ac:dyDescent="0.45">
      <c r="A500" t="s">
        <v>58</v>
      </c>
      <c r="B500">
        <v>2022</v>
      </c>
      <c r="C500" t="s">
        <v>76</v>
      </c>
      <c r="D500">
        <v>1.78</v>
      </c>
    </row>
    <row r="501" spans="1:4" x14ac:dyDescent="0.45">
      <c r="A501" t="s">
        <v>91</v>
      </c>
      <c r="B501">
        <v>2022</v>
      </c>
      <c r="C501" t="s">
        <v>76</v>
      </c>
      <c r="D501">
        <v>0.28999999999999998</v>
      </c>
    </row>
    <row r="502" spans="1:4" x14ac:dyDescent="0.45">
      <c r="A502" t="s">
        <v>32</v>
      </c>
      <c r="B502">
        <v>2023</v>
      </c>
      <c r="C502" t="s">
        <v>76</v>
      </c>
      <c r="D502">
        <v>0.68</v>
      </c>
    </row>
    <row r="503" spans="1:4" x14ac:dyDescent="0.45">
      <c r="A503" t="s">
        <v>34</v>
      </c>
      <c r="B503">
        <v>2023</v>
      </c>
      <c r="C503" t="s">
        <v>76</v>
      </c>
      <c r="D503">
        <v>110.58</v>
      </c>
    </row>
    <row r="504" spans="1:4" x14ac:dyDescent="0.45">
      <c r="A504" t="s">
        <v>36</v>
      </c>
      <c r="B504">
        <v>2023</v>
      </c>
      <c r="C504" t="s">
        <v>76</v>
      </c>
      <c r="D504">
        <v>34.200000000000003</v>
      </c>
    </row>
    <row r="505" spans="1:4" x14ac:dyDescent="0.45">
      <c r="A505" t="s">
        <v>56</v>
      </c>
      <c r="B505">
        <v>2023</v>
      </c>
      <c r="C505" t="s">
        <v>76</v>
      </c>
      <c r="D505">
        <v>0.36</v>
      </c>
    </row>
    <row r="506" spans="1:4" x14ac:dyDescent="0.45">
      <c r="A506" t="s">
        <v>38</v>
      </c>
      <c r="B506">
        <v>2023</v>
      </c>
      <c r="C506" t="s">
        <v>76</v>
      </c>
      <c r="D506">
        <v>3.67</v>
      </c>
    </row>
    <row r="507" spans="1:4" x14ac:dyDescent="0.45">
      <c r="A507" t="s">
        <v>58</v>
      </c>
      <c r="B507">
        <v>2023</v>
      </c>
      <c r="C507" t="s">
        <v>76</v>
      </c>
      <c r="D507">
        <v>2.14</v>
      </c>
    </row>
    <row r="508" spans="1:4" x14ac:dyDescent="0.45">
      <c r="A508" t="s">
        <v>91</v>
      </c>
      <c r="B508">
        <v>2023</v>
      </c>
      <c r="C508" t="s">
        <v>76</v>
      </c>
      <c r="D508">
        <v>0.3</v>
      </c>
    </row>
    <row r="509" spans="1:4" x14ac:dyDescent="0.45">
      <c r="A509" t="s">
        <v>60</v>
      </c>
      <c r="B509">
        <v>2000</v>
      </c>
      <c r="C509" t="s">
        <v>74</v>
      </c>
      <c r="D509">
        <v>0</v>
      </c>
    </row>
    <row r="510" spans="1:4" x14ac:dyDescent="0.45">
      <c r="A510" t="s">
        <v>59</v>
      </c>
      <c r="B510">
        <v>2000</v>
      </c>
      <c r="C510" t="s">
        <v>74</v>
      </c>
      <c r="D510">
        <v>0</v>
      </c>
    </row>
    <row r="511" spans="1:4" x14ac:dyDescent="0.45">
      <c r="A511" t="s">
        <v>60</v>
      </c>
      <c r="B511">
        <v>2001</v>
      </c>
      <c r="C511" t="s">
        <v>74</v>
      </c>
      <c r="D511">
        <v>0</v>
      </c>
    </row>
    <row r="512" spans="1:4" x14ac:dyDescent="0.45">
      <c r="A512" t="s">
        <v>59</v>
      </c>
      <c r="B512">
        <v>2001</v>
      </c>
      <c r="C512" t="s">
        <v>74</v>
      </c>
      <c r="D512">
        <v>0</v>
      </c>
    </row>
    <row r="513" spans="1:4" x14ac:dyDescent="0.45">
      <c r="A513" t="s">
        <v>60</v>
      </c>
      <c r="B513">
        <v>2002</v>
      </c>
      <c r="C513" t="s">
        <v>74</v>
      </c>
      <c r="D513">
        <v>0</v>
      </c>
    </row>
    <row r="514" spans="1:4" x14ac:dyDescent="0.45">
      <c r="A514" t="s">
        <v>59</v>
      </c>
      <c r="B514">
        <v>2002</v>
      </c>
      <c r="C514" t="s">
        <v>74</v>
      </c>
      <c r="D514">
        <v>0</v>
      </c>
    </row>
    <row r="515" spans="1:4" x14ac:dyDescent="0.45">
      <c r="A515" t="s">
        <v>60</v>
      </c>
      <c r="B515">
        <v>2003</v>
      </c>
      <c r="C515" t="s">
        <v>74</v>
      </c>
      <c r="D515">
        <v>0</v>
      </c>
    </row>
    <row r="516" spans="1:4" x14ac:dyDescent="0.45">
      <c r="A516" t="s">
        <v>59</v>
      </c>
      <c r="B516">
        <v>2003</v>
      </c>
      <c r="C516" t="s">
        <v>74</v>
      </c>
      <c r="D516">
        <v>0</v>
      </c>
    </row>
    <row r="517" spans="1:4" x14ac:dyDescent="0.45">
      <c r="A517" t="s">
        <v>60</v>
      </c>
      <c r="B517">
        <v>2004</v>
      </c>
      <c r="C517" t="s">
        <v>74</v>
      </c>
      <c r="D517">
        <v>0</v>
      </c>
    </row>
    <row r="518" spans="1:4" x14ac:dyDescent="0.45">
      <c r="A518" t="s">
        <v>59</v>
      </c>
      <c r="B518">
        <v>2004</v>
      </c>
      <c r="C518" t="s">
        <v>74</v>
      </c>
      <c r="D518">
        <v>0</v>
      </c>
    </row>
    <row r="519" spans="1:4" x14ac:dyDescent="0.45">
      <c r="A519" t="s">
        <v>60</v>
      </c>
      <c r="B519">
        <v>2005</v>
      </c>
      <c r="C519" t="s">
        <v>74</v>
      </c>
      <c r="D519">
        <v>0</v>
      </c>
    </row>
    <row r="520" spans="1:4" x14ac:dyDescent="0.45">
      <c r="A520" t="s">
        <v>59</v>
      </c>
      <c r="B520">
        <v>2005</v>
      </c>
      <c r="C520" t="s">
        <v>74</v>
      </c>
      <c r="D520">
        <v>0</v>
      </c>
    </row>
    <row r="521" spans="1:4" x14ac:dyDescent="0.45">
      <c r="A521" t="s">
        <v>60</v>
      </c>
      <c r="B521">
        <v>2006</v>
      </c>
      <c r="C521" t="s">
        <v>74</v>
      </c>
      <c r="D521">
        <v>0</v>
      </c>
    </row>
    <row r="522" spans="1:4" x14ac:dyDescent="0.45">
      <c r="A522" t="s">
        <v>59</v>
      </c>
      <c r="B522">
        <v>2006</v>
      </c>
      <c r="C522" t="s">
        <v>74</v>
      </c>
      <c r="D522">
        <v>0</v>
      </c>
    </row>
    <row r="523" spans="1:4" x14ac:dyDescent="0.45">
      <c r="A523" t="s">
        <v>60</v>
      </c>
      <c r="B523">
        <v>2007</v>
      </c>
      <c r="C523" t="s">
        <v>74</v>
      </c>
      <c r="D523">
        <v>0</v>
      </c>
    </row>
    <row r="524" spans="1:4" x14ac:dyDescent="0.45">
      <c r="A524" t="s">
        <v>59</v>
      </c>
      <c r="B524">
        <v>2007</v>
      </c>
      <c r="C524" t="s">
        <v>74</v>
      </c>
      <c r="D524">
        <v>0</v>
      </c>
    </row>
    <row r="525" spans="1:4" x14ac:dyDescent="0.45">
      <c r="A525" t="s">
        <v>60</v>
      </c>
      <c r="B525">
        <v>2008</v>
      </c>
      <c r="C525" t="s">
        <v>74</v>
      </c>
      <c r="D525">
        <v>0</v>
      </c>
    </row>
    <row r="526" spans="1:4" x14ac:dyDescent="0.45">
      <c r="A526" t="s">
        <v>59</v>
      </c>
      <c r="B526">
        <v>2008</v>
      </c>
      <c r="C526" t="s">
        <v>74</v>
      </c>
      <c r="D526">
        <v>0</v>
      </c>
    </row>
    <row r="527" spans="1:4" x14ac:dyDescent="0.45">
      <c r="A527" t="s">
        <v>60</v>
      </c>
      <c r="B527">
        <v>2009</v>
      </c>
      <c r="C527" t="s">
        <v>74</v>
      </c>
      <c r="D527">
        <v>0</v>
      </c>
    </row>
    <row r="528" spans="1:4" x14ac:dyDescent="0.45">
      <c r="A528" t="s">
        <v>59</v>
      </c>
      <c r="B528">
        <v>2009</v>
      </c>
      <c r="C528" t="s">
        <v>74</v>
      </c>
      <c r="D528">
        <v>0</v>
      </c>
    </row>
    <row r="529" spans="1:4" x14ac:dyDescent="0.45">
      <c r="A529" t="s">
        <v>60</v>
      </c>
      <c r="B529">
        <v>2010</v>
      </c>
      <c r="C529" t="s">
        <v>74</v>
      </c>
      <c r="D529">
        <v>0</v>
      </c>
    </row>
    <row r="530" spans="1:4" x14ac:dyDescent="0.45">
      <c r="A530" t="s">
        <v>59</v>
      </c>
      <c r="B530">
        <v>2010</v>
      </c>
      <c r="C530" t="s">
        <v>74</v>
      </c>
      <c r="D530">
        <v>0</v>
      </c>
    </row>
    <row r="531" spans="1:4" x14ac:dyDescent="0.45">
      <c r="A531" t="s">
        <v>60</v>
      </c>
      <c r="B531">
        <v>2011</v>
      </c>
      <c r="C531" t="s">
        <v>74</v>
      </c>
      <c r="D531">
        <v>0</v>
      </c>
    </row>
    <row r="532" spans="1:4" x14ac:dyDescent="0.45">
      <c r="A532" t="s">
        <v>59</v>
      </c>
      <c r="B532">
        <v>2011</v>
      </c>
      <c r="C532" t="s">
        <v>74</v>
      </c>
      <c r="D532">
        <v>0</v>
      </c>
    </row>
    <row r="533" spans="1:4" x14ac:dyDescent="0.45">
      <c r="A533" t="s">
        <v>60</v>
      </c>
      <c r="B533">
        <v>2012</v>
      </c>
      <c r="C533" t="s">
        <v>74</v>
      </c>
      <c r="D533">
        <v>0</v>
      </c>
    </row>
    <row r="534" spans="1:4" x14ac:dyDescent="0.45">
      <c r="A534" t="s">
        <v>59</v>
      </c>
      <c r="B534">
        <v>2012</v>
      </c>
      <c r="C534" t="s">
        <v>74</v>
      </c>
      <c r="D534">
        <v>0</v>
      </c>
    </row>
    <row r="535" spans="1:4" x14ac:dyDescent="0.45">
      <c r="A535" t="s">
        <v>60</v>
      </c>
      <c r="B535">
        <v>2013</v>
      </c>
      <c r="C535" t="s">
        <v>74</v>
      </c>
      <c r="D535">
        <v>0</v>
      </c>
    </row>
    <row r="536" spans="1:4" x14ac:dyDescent="0.45">
      <c r="A536" t="s">
        <v>59</v>
      </c>
      <c r="B536">
        <v>2013</v>
      </c>
      <c r="C536" t="s">
        <v>74</v>
      </c>
      <c r="D536">
        <v>0</v>
      </c>
    </row>
    <row r="537" spans="1:4" x14ac:dyDescent="0.45">
      <c r="A537" t="s">
        <v>60</v>
      </c>
      <c r="B537">
        <v>2014</v>
      </c>
      <c r="C537" t="s">
        <v>74</v>
      </c>
      <c r="D537">
        <v>0</v>
      </c>
    </row>
    <row r="538" spans="1:4" x14ac:dyDescent="0.45">
      <c r="A538" t="s">
        <v>59</v>
      </c>
      <c r="B538">
        <v>2014</v>
      </c>
      <c r="C538" t="s">
        <v>74</v>
      </c>
      <c r="D538">
        <v>0</v>
      </c>
    </row>
    <row r="539" spans="1:4" x14ac:dyDescent="0.45">
      <c r="A539" t="s">
        <v>60</v>
      </c>
      <c r="B539">
        <v>2015</v>
      </c>
      <c r="C539" t="s">
        <v>74</v>
      </c>
      <c r="D539">
        <v>0</v>
      </c>
    </row>
    <row r="540" spans="1:4" x14ac:dyDescent="0.45">
      <c r="A540" t="s">
        <v>59</v>
      </c>
      <c r="B540">
        <v>2015</v>
      </c>
      <c r="C540" t="s">
        <v>74</v>
      </c>
      <c r="D540">
        <v>0</v>
      </c>
    </row>
    <row r="541" spans="1:4" x14ac:dyDescent="0.45">
      <c r="A541" t="s">
        <v>60</v>
      </c>
      <c r="B541">
        <v>2016</v>
      </c>
      <c r="C541" t="s">
        <v>74</v>
      </c>
      <c r="D541">
        <v>0</v>
      </c>
    </row>
    <row r="542" spans="1:4" x14ac:dyDescent="0.45">
      <c r="A542" t="s">
        <v>59</v>
      </c>
      <c r="B542">
        <v>2016</v>
      </c>
      <c r="C542" t="s">
        <v>74</v>
      </c>
      <c r="D542">
        <v>0</v>
      </c>
    </row>
    <row r="543" spans="1:4" x14ac:dyDescent="0.45">
      <c r="A543" t="s">
        <v>60</v>
      </c>
      <c r="B543">
        <v>2017</v>
      </c>
      <c r="C543" t="s">
        <v>74</v>
      </c>
      <c r="D543">
        <v>0</v>
      </c>
    </row>
    <row r="544" spans="1:4" x14ac:dyDescent="0.45">
      <c r="A544" t="s">
        <v>59</v>
      </c>
      <c r="B544">
        <v>2017</v>
      </c>
      <c r="C544" t="s">
        <v>74</v>
      </c>
      <c r="D544">
        <v>0</v>
      </c>
    </row>
    <row r="545" spans="1:4" x14ac:dyDescent="0.45">
      <c r="A545" t="s">
        <v>60</v>
      </c>
      <c r="B545">
        <v>2018</v>
      </c>
      <c r="C545" t="s">
        <v>74</v>
      </c>
      <c r="D545">
        <v>0</v>
      </c>
    </row>
    <row r="546" spans="1:4" x14ac:dyDescent="0.45">
      <c r="A546" t="s">
        <v>59</v>
      </c>
      <c r="B546">
        <v>2018</v>
      </c>
      <c r="C546" t="s">
        <v>74</v>
      </c>
      <c r="D546">
        <v>0</v>
      </c>
    </row>
    <row r="547" spans="1:4" x14ac:dyDescent="0.45">
      <c r="A547" t="s">
        <v>60</v>
      </c>
      <c r="B547">
        <v>2019</v>
      </c>
      <c r="C547" t="s">
        <v>74</v>
      </c>
      <c r="D547">
        <v>0</v>
      </c>
    </row>
    <row r="548" spans="1:4" x14ac:dyDescent="0.45">
      <c r="A548" t="s">
        <v>59</v>
      </c>
      <c r="B548">
        <v>2019</v>
      </c>
      <c r="C548" t="s">
        <v>74</v>
      </c>
      <c r="D548">
        <v>0</v>
      </c>
    </row>
    <row r="549" spans="1:4" x14ac:dyDescent="0.45">
      <c r="A549" t="s">
        <v>60</v>
      </c>
      <c r="B549">
        <v>2020</v>
      </c>
      <c r="C549" t="s">
        <v>74</v>
      </c>
      <c r="D549">
        <v>0</v>
      </c>
    </row>
    <row r="550" spans="1:4" x14ac:dyDescent="0.45">
      <c r="A550" t="s">
        <v>59</v>
      </c>
      <c r="B550">
        <v>2020</v>
      </c>
      <c r="C550" t="s">
        <v>74</v>
      </c>
      <c r="D550">
        <v>0</v>
      </c>
    </row>
    <row r="551" spans="1:4" x14ac:dyDescent="0.45">
      <c r="A551" t="s">
        <v>60</v>
      </c>
      <c r="B551">
        <v>2021</v>
      </c>
      <c r="C551" t="s">
        <v>74</v>
      </c>
      <c r="D551">
        <v>0</v>
      </c>
    </row>
    <row r="552" spans="1:4" x14ac:dyDescent="0.45">
      <c r="A552" t="s">
        <v>59</v>
      </c>
      <c r="B552">
        <v>2021</v>
      </c>
      <c r="C552" t="s">
        <v>74</v>
      </c>
      <c r="D552">
        <v>0</v>
      </c>
    </row>
    <row r="553" spans="1:4" x14ac:dyDescent="0.45">
      <c r="A553" t="s">
        <v>60</v>
      </c>
      <c r="B553">
        <v>2022</v>
      </c>
      <c r="C553" t="s">
        <v>74</v>
      </c>
      <c r="D553">
        <v>0</v>
      </c>
    </row>
    <row r="554" spans="1:4" x14ac:dyDescent="0.45">
      <c r="A554" t="s">
        <v>59</v>
      </c>
      <c r="B554">
        <v>2022</v>
      </c>
      <c r="C554" t="s">
        <v>74</v>
      </c>
      <c r="D554">
        <v>0</v>
      </c>
    </row>
    <row r="555" spans="1:4" x14ac:dyDescent="0.45">
      <c r="A555" t="s">
        <v>60</v>
      </c>
      <c r="B555">
        <v>2023</v>
      </c>
      <c r="C555" t="s">
        <v>74</v>
      </c>
      <c r="D555">
        <v>0</v>
      </c>
    </row>
    <row r="556" spans="1:4" x14ac:dyDescent="0.45">
      <c r="A556" t="s">
        <v>59</v>
      </c>
      <c r="B556">
        <v>2023</v>
      </c>
      <c r="C556" t="s">
        <v>74</v>
      </c>
      <c r="D5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60.113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59.558400000000006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59.680599999999998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60.094200000000001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59.830999999999996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59.502000000000002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59.69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2025</v>
      </c>
      <c r="J9">
        <v>65.950400000000002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62.792000000000002</v>
      </c>
      <c r="K10" t="s">
        <v>52</v>
      </c>
      <c r="L10">
        <v>94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2025</v>
      </c>
      <c r="J11">
        <v>63.027000000000001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2025</v>
      </c>
      <c r="J12">
        <v>63.308999999999997</v>
      </c>
      <c r="K12" t="s">
        <v>52</v>
      </c>
      <c r="L12">
        <v>94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2025</v>
      </c>
      <c r="J13">
        <v>64.813000000000002</v>
      </c>
      <c r="K13" t="s">
        <v>52</v>
      </c>
      <c r="L13">
        <v>94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2025</v>
      </c>
      <c r="J14">
        <v>65.245400000000004</v>
      </c>
      <c r="K14" t="s">
        <v>52</v>
      </c>
      <c r="L14">
        <v>94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2025</v>
      </c>
      <c r="J15">
        <v>65.348799999999997</v>
      </c>
      <c r="K15" t="s">
        <v>52</v>
      </c>
      <c r="L15">
        <v>94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2030</v>
      </c>
      <c r="J16">
        <v>43.305799999999998</v>
      </c>
      <c r="K16" t="s">
        <v>52</v>
      </c>
      <c r="L16">
        <v>94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2030</v>
      </c>
      <c r="J17">
        <v>53.354399999999998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53.589400000000005</v>
      </c>
      <c r="K18" t="s">
        <v>52</v>
      </c>
      <c r="L18">
        <v>94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2030</v>
      </c>
      <c r="J19">
        <v>53.702200000000005</v>
      </c>
      <c r="K19" t="s">
        <v>52</v>
      </c>
      <c r="L19">
        <v>94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2030</v>
      </c>
      <c r="J20">
        <v>17.333600000000001</v>
      </c>
      <c r="K20" t="s">
        <v>52</v>
      </c>
      <c r="L20">
        <v>94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2030</v>
      </c>
      <c r="J21">
        <v>53.504800000000003</v>
      </c>
      <c r="K21" t="s">
        <v>52</v>
      </c>
      <c r="L21">
        <v>94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2030</v>
      </c>
      <c r="J22">
        <v>12.238800000000001</v>
      </c>
      <c r="K22" t="s">
        <v>52</v>
      </c>
      <c r="L22">
        <v>94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2035</v>
      </c>
      <c r="J23">
        <v>25.784199999999998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2035</v>
      </c>
      <c r="J24">
        <v>47.225599999999993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2035</v>
      </c>
      <c r="J25">
        <v>27.833399999999997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49.989200000000004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2035</v>
      </c>
      <c r="J27">
        <v>12.1448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2035</v>
      </c>
      <c r="J28">
        <v>44.0578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2035</v>
      </c>
      <c r="J29">
        <v>5.9501999999999997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2040</v>
      </c>
      <c r="J30">
        <v>7.5200000000000003E-2</v>
      </c>
      <c r="K30" t="s">
        <v>52</v>
      </c>
      <c r="L30">
        <v>94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2040</v>
      </c>
      <c r="J31">
        <v>40.260200000000005</v>
      </c>
      <c r="K31" t="s">
        <v>52</v>
      </c>
      <c r="L31">
        <v>94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2040</v>
      </c>
      <c r="J32">
        <v>8.5351999999999997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2040</v>
      </c>
      <c r="J33">
        <v>25.474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1.8236000000000001</v>
      </c>
      <c r="K34" t="s">
        <v>52</v>
      </c>
      <c r="L34">
        <v>94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32.693199999999997</v>
      </c>
      <c r="K35" t="s">
        <v>52</v>
      </c>
      <c r="L35">
        <v>94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2040</v>
      </c>
      <c r="J36">
        <v>1.222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2045</v>
      </c>
      <c r="J37">
        <v>0</v>
      </c>
      <c r="K37" t="s">
        <v>52</v>
      </c>
      <c r="L37">
        <v>94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35.184200000000004</v>
      </c>
      <c r="K38" t="s">
        <v>52</v>
      </c>
      <c r="L38">
        <v>94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2045</v>
      </c>
      <c r="J39">
        <v>5.6869999999999994</v>
      </c>
      <c r="K39" t="s">
        <v>52</v>
      </c>
      <c r="L39">
        <v>94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2045</v>
      </c>
      <c r="J40">
        <v>3.7600000000000001E-2</v>
      </c>
      <c r="K40" t="s">
        <v>52</v>
      </c>
      <c r="L40">
        <v>94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2045</v>
      </c>
      <c r="J41">
        <v>0.45119999999999993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23.462399999999999</v>
      </c>
      <c r="K42" t="s">
        <v>52</v>
      </c>
      <c r="L42">
        <v>94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2045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2050</v>
      </c>
      <c r="J44">
        <v>0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2050</v>
      </c>
      <c r="J45">
        <v>31.9694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2050</v>
      </c>
      <c r="J46">
        <v>7.5200000000000003E-2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2050</v>
      </c>
      <c r="J47">
        <v>5.6399999999999992E-2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2050</v>
      </c>
      <c r="J48">
        <v>0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2050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8.1784999999999997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2020</v>
      </c>
      <c r="J52">
        <v>8.0190000000000001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2020</v>
      </c>
      <c r="J53">
        <v>7.9859999999999998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2020</v>
      </c>
      <c r="J54">
        <v>8.0685000000000002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2020</v>
      </c>
      <c r="J55">
        <v>8.1234999999999999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2020</v>
      </c>
      <c r="J56">
        <v>8.0135000000000005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2020</v>
      </c>
      <c r="J57">
        <v>8.1675000000000004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2025</v>
      </c>
      <c r="J58">
        <v>7.7824999999999989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6.1985000000000001</v>
      </c>
      <c r="K59" t="s">
        <v>53</v>
      </c>
      <c r="L59">
        <v>55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2025</v>
      </c>
      <c r="J60">
        <v>6.1269999999999998</v>
      </c>
      <c r="K60" t="s">
        <v>53</v>
      </c>
      <c r="L60">
        <v>55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2025</v>
      </c>
      <c r="J61">
        <v>6.1875</v>
      </c>
      <c r="K61" t="s">
        <v>53</v>
      </c>
      <c r="L61">
        <v>55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2025</v>
      </c>
      <c r="J62">
        <v>7.6009999999999991</v>
      </c>
      <c r="K62" t="s">
        <v>53</v>
      </c>
      <c r="L62">
        <v>55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2025</v>
      </c>
      <c r="J63">
        <v>7.5679999999999996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2025</v>
      </c>
      <c r="J64">
        <v>7.8155000000000001</v>
      </c>
      <c r="K64" t="s">
        <v>53</v>
      </c>
      <c r="L64">
        <v>55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2030</v>
      </c>
      <c r="J65">
        <v>11.984500000000001</v>
      </c>
      <c r="K65" t="s">
        <v>53</v>
      </c>
      <c r="L65">
        <v>55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2030</v>
      </c>
      <c r="J66">
        <v>8.464500000000001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8.3544999999999998</v>
      </c>
      <c r="K67" t="s">
        <v>53</v>
      </c>
      <c r="L67">
        <v>55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2030</v>
      </c>
      <c r="J68">
        <v>8.4039999999999999</v>
      </c>
      <c r="K68" t="s">
        <v>53</v>
      </c>
      <c r="L68">
        <v>55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2030</v>
      </c>
      <c r="J69">
        <v>5.4340000000000002</v>
      </c>
      <c r="K69" t="s">
        <v>53</v>
      </c>
      <c r="L69">
        <v>55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2030</v>
      </c>
      <c r="J70">
        <v>9.1850000000000005</v>
      </c>
      <c r="K70" t="s">
        <v>53</v>
      </c>
      <c r="L70">
        <v>55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2030</v>
      </c>
      <c r="J71">
        <v>9.1134999999999984</v>
      </c>
      <c r="K71" t="s">
        <v>53</v>
      </c>
      <c r="L71">
        <v>55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18.381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11.1265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30.266500000000001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22.946000000000002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1.2925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12.782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1.3420000000000001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2040</v>
      </c>
      <c r="J79">
        <v>24.887499999999999</v>
      </c>
      <c r="K79" t="s">
        <v>53</v>
      </c>
      <c r="L79">
        <v>55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2040</v>
      </c>
      <c r="J80">
        <v>16.2745</v>
      </c>
      <c r="K80" t="s">
        <v>53</v>
      </c>
      <c r="L80">
        <v>55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2040</v>
      </c>
      <c r="J81">
        <v>35.342999999999996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2040</v>
      </c>
      <c r="J82">
        <v>38.763999999999996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2.7555000000000001</v>
      </c>
      <c r="K83" t="s">
        <v>53</v>
      </c>
      <c r="L83">
        <v>55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2040</v>
      </c>
      <c r="J84">
        <v>18.04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2040</v>
      </c>
      <c r="J85">
        <v>1.6005</v>
      </c>
      <c r="K85" t="s">
        <v>53</v>
      </c>
      <c r="L85">
        <v>55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2045</v>
      </c>
      <c r="J86">
        <v>26.317499999999999</v>
      </c>
      <c r="K86" t="s">
        <v>53</v>
      </c>
      <c r="L86">
        <v>55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2045</v>
      </c>
      <c r="J87">
        <v>20.294999999999998</v>
      </c>
      <c r="K87" t="s">
        <v>53</v>
      </c>
      <c r="L87">
        <v>55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2045</v>
      </c>
      <c r="J88">
        <v>25.932499999999997</v>
      </c>
      <c r="K88" t="s">
        <v>53</v>
      </c>
      <c r="L88">
        <v>55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2045</v>
      </c>
      <c r="J89">
        <v>46.865499999999997</v>
      </c>
      <c r="K89" t="s">
        <v>53</v>
      </c>
      <c r="L89">
        <v>55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2045</v>
      </c>
      <c r="J90">
        <v>3.2229999999999999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23.6005</v>
      </c>
      <c r="K91" t="s">
        <v>53</v>
      </c>
      <c r="L91">
        <v>55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2045</v>
      </c>
      <c r="J92">
        <v>0.13750000000000001</v>
      </c>
      <c r="K92" t="s">
        <v>53</v>
      </c>
      <c r="L92">
        <v>55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2050</v>
      </c>
      <c r="J93">
        <v>22.154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2050</v>
      </c>
      <c r="J94">
        <v>23.925000000000001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2050</v>
      </c>
      <c r="J95">
        <v>19.354499999999998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2050</v>
      </c>
      <c r="J96">
        <v>40.029000000000003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2050</v>
      </c>
      <c r="J97">
        <v>1.76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2050</v>
      </c>
      <c r="J98">
        <v>32.284999999999997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2.1910000000000003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2020</v>
      </c>
      <c r="J101">
        <v>2.1560000000000001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2020</v>
      </c>
      <c r="J102">
        <v>2.149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2020</v>
      </c>
      <c r="J103">
        <v>2.1629999999999998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2020</v>
      </c>
      <c r="J104">
        <v>2.177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2020</v>
      </c>
      <c r="J105">
        <v>2.149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2020</v>
      </c>
      <c r="J106">
        <v>2.1910000000000003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2025</v>
      </c>
      <c r="J107">
        <v>1.0289999999999999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0.86099999999999999</v>
      </c>
      <c r="K108" t="s">
        <v>54</v>
      </c>
      <c r="L108">
        <v>70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2025</v>
      </c>
      <c r="J109">
        <v>0.86099999999999999</v>
      </c>
      <c r="K109" t="s">
        <v>54</v>
      </c>
      <c r="L109">
        <v>70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2025</v>
      </c>
      <c r="J110">
        <v>0.86799999999999999</v>
      </c>
      <c r="K110" t="s">
        <v>54</v>
      </c>
      <c r="L110">
        <v>70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2025</v>
      </c>
      <c r="J111">
        <v>1.008</v>
      </c>
      <c r="K111" t="s">
        <v>54</v>
      </c>
      <c r="L111">
        <v>70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1.008</v>
      </c>
      <c r="K112" t="s">
        <v>54</v>
      </c>
      <c r="L112">
        <v>70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2025</v>
      </c>
      <c r="J113">
        <v>1.0289999999999999</v>
      </c>
      <c r="K113" t="s">
        <v>54</v>
      </c>
      <c r="L113">
        <v>70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2030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2030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2030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2030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2035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2035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2035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2040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2045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1.0158499999999999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1.01525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1.0187499999999998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1.01755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1.0016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1.0183499999999999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1.0221499999999999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5.7042000000000002</v>
      </c>
      <c r="K156" t="s">
        <v>45</v>
      </c>
    </row>
    <row r="157" spans="1:12" x14ac:dyDescent="0.45">
      <c r="A157" t="s">
        <v>90</v>
      </c>
      <c r="B157" t="s">
        <v>4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5.9036</v>
      </c>
      <c r="K157" t="s">
        <v>45</v>
      </c>
    </row>
    <row r="158" spans="1:12" x14ac:dyDescent="0.45">
      <c r="A158" t="s">
        <v>90</v>
      </c>
      <c r="B158" t="s">
        <v>0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5.8747499999999997</v>
      </c>
      <c r="K158" t="s">
        <v>45</v>
      </c>
    </row>
    <row r="159" spans="1:12" x14ac:dyDescent="0.45">
      <c r="A159" t="s">
        <v>90</v>
      </c>
      <c r="B159" t="s">
        <v>6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5.8790499999999994</v>
      </c>
      <c r="K159" t="s">
        <v>45</v>
      </c>
    </row>
    <row r="160" spans="1:12" x14ac:dyDescent="0.45">
      <c r="A160" t="s">
        <v>90</v>
      </c>
      <c r="B160" t="s">
        <v>5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5.7969500000000007</v>
      </c>
      <c r="K160" t="s">
        <v>45</v>
      </c>
    </row>
    <row r="161" spans="1:11" x14ac:dyDescent="0.45">
      <c r="A161" t="s">
        <v>90</v>
      </c>
      <c r="B161" t="s">
        <v>2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5.9362499999999994</v>
      </c>
      <c r="K161" t="s">
        <v>45</v>
      </c>
    </row>
    <row r="162" spans="1:11" x14ac:dyDescent="0.45">
      <c r="A162" t="s">
        <v>90</v>
      </c>
      <c r="B162" t="s">
        <v>1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6.0568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12.581250000000001</v>
      </c>
      <c r="K163" t="s">
        <v>45</v>
      </c>
    </row>
    <row r="164" spans="1:11" x14ac:dyDescent="0.45">
      <c r="A164" t="s">
        <v>90</v>
      </c>
      <c r="B164" t="s">
        <v>4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6.8841000000000001</v>
      </c>
      <c r="K164" t="s">
        <v>45</v>
      </c>
    </row>
    <row r="165" spans="1:11" x14ac:dyDescent="0.45">
      <c r="A165" t="s">
        <v>90</v>
      </c>
      <c r="B165" t="s">
        <v>0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6.8551000000000002</v>
      </c>
      <c r="K165" t="s">
        <v>45</v>
      </c>
    </row>
    <row r="166" spans="1:11" x14ac:dyDescent="0.45">
      <c r="A166" t="s">
        <v>90</v>
      </c>
      <c r="B166" t="s">
        <v>6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6.8777500000000007</v>
      </c>
      <c r="K166" t="s">
        <v>45</v>
      </c>
    </row>
    <row r="167" spans="1:11" x14ac:dyDescent="0.45">
      <c r="A167" t="s">
        <v>90</v>
      </c>
      <c r="B167" t="s">
        <v>5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13.657</v>
      </c>
      <c r="K167" t="s">
        <v>45</v>
      </c>
    </row>
    <row r="168" spans="1:11" x14ac:dyDescent="0.45">
      <c r="A168" t="s">
        <v>90</v>
      </c>
      <c r="B168" t="s">
        <v>2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16.68075</v>
      </c>
      <c r="K168" t="s">
        <v>45</v>
      </c>
    </row>
    <row r="169" spans="1:11" x14ac:dyDescent="0.45">
      <c r="A169" t="s">
        <v>90</v>
      </c>
      <c r="B169" t="s">
        <v>1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16.86195</v>
      </c>
      <c r="K169" t="s">
        <v>45</v>
      </c>
    </row>
    <row r="170" spans="1:11" x14ac:dyDescent="0.45">
      <c r="A170" t="s">
        <v>90</v>
      </c>
      <c r="B170" t="s">
        <v>3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24.613500000000002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7.258</v>
      </c>
      <c r="K171" t="s">
        <v>45</v>
      </c>
    </row>
    <row r="172" spans="1:11" x14ac:dyDescent="0.45">
      <c r="A172" t="s">
        <v>90</v>
      </c>
      <c r="B172" t="s">
        <v>0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8.1828000000000003</v>
      </c>
      <c r="K172" t="s">
        <v>45</v>
      </c>
    </row>
    <row r="173" spans="1:11" x14ac:dyDescent="0.45">
      <c r="A173" t="s">
        <v>90</v>
      </c>
      <c r="B173" t="s">
        <v>6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7.3732500000000005</v>
      </c>
      <c r="K173" t="s">
        <v>45</v>
      </c>
    </row>
    <row r="174" spans="1:11" x14ac:dyDescent="0.45">
      <c r="A174" t="s">
        <v>90</v>
      </c>
      <c r="B174" t="s">
        <v>5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20.5154</v>
      </c>
      <c r="K174" t="s">
        <v>45</v>
      </c>
    </row>
    <row r="175" spans="1:11" x14ac:dyDescent="0.45">
      <c r="A175" t="s">
        <v>90</v>
      </c>
      <c r="B175" t="s">
        <v>2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31.327649999999998</v>
      </c>
      <c r="K175" t="s">
        <v>45</v>
      </c>
    </row>
    <row r="176" spans="1:11" x14ac:dyDescent="0.45">
      <c r="A176" t="s">
        <v>90</v>
      </c>
      <c r="B176" t="s">
        <v>1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29.731949999999998</v>
      </c>
      <c r="K176" t="s">
        <v>45</v>
      </c>
    </row>
    <row r="177" spans="1:11" x14ac:dyDescent="0.45">
      <c r="A177" t="s">
        <v>90</v>
      </c>
      <c r="B177" t="s">
        <v>3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35.895049999999998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7.1009500000000001</v>
      </c>
      <c r="K178" t="s">
        <v>45</v>
      </c>
    </row>
    <row r="179" spans="1:11" x14ac:dyDescent="0.45">
      <c r="A179" t="s">
        <v>90</v>
      </c>
      <c r="B179" t="s">
        <v>0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31.205849999999998</v>
      </c>
      <c r="K179" t="s">
        <v>45</v>
      </c>
    </row>
    <row r="180" spans="1:11" x14ac:dyDescent="0.45">
      <c r="A180" t="s">
        <v>90</v>
      </c>
      <c r="B180" t="s">
        <v>6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14.977399999999999</v>
      </c>
      <c r="K180" t="s">
        <v>45</v>
      </c>
    </row>
    <row r="181" spans="1:11" x14ac:dyDescent="0.45">
      <c r="A181" t="s">
        <v>90</v>
      </c>
      <c r="B181" t="s">
        <v>5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27.418500000000002</v>
      </c>
      <c r="K181" t="s">
        <v>45</v>
      </c>
    </row>
    <row r="182" spans="1:11" x14ac:dyDescent="0.45">
      <c r="A182" t="s">
        <v>90</v>
      </c>
      <c r="B182" t="s">
        <v>2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46.235699999999994</v>
      </c>
      <c r="K182" t="s">
        <v>45</v>
      </c>
    </row>
    <row r="183" spans="1:11" x14ac:dyDescent="0.45">
      <c r="A183" t="s">
        <v>90</v>
      </c>
      <c r="B183" t="s">
        <v>1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39.511200000000002</v>
      </c>
      <c r="K183" t="s">
        <v>45</v>
      </c>
    </row>
    <row r="184" spans="1:11" x14ac:dyDescent="0.45">
      <c r="A184" t="s">
        <v>90</v>
      </c>
      <c r="B184" t="s">
        <v>3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47.848799999999997</v>
      </c>
      <c r="K184" t="s">
        <v>45</v>
      </c>
    </row>
    <row r="185" spans="1:11" x14ac:dyDescent="0.45">
      <c r="A185" t="s">
        <v>90</v>
      </c>
      <c r="B185" t="s">
        <v>4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7.0939499999999995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48.641300000000001</v>
      </c>
      <c r="K186" t="s">
        <v>45</v>
      </c>
    </row>
    <row r="187" spans="1:11" x14ac:dyDescent="0.45">
      <c r="A187" t="s">
        <v>90</v>
      </c>
      <c r="B187" t="s">
        <v>6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24.488050000000001</v>
      </c>
      <c r="K187" t="s">
        <v>45</v>
      </c>
    </row>
    <row r="188" spans="1:11" x14ac:dyDescent="0.45">
      <c r="A188" t="s">
        <v>90</v>
      </c>
      <c r="B188" t="s">
        <v>5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30.729599999999998</v>
      </c>
      <c r="K188" t="s">
        <v>45</v>
      </c>
    </row>
    <row r="189" spans="1:11" x14ac:dyDescent="0.45">
      <c r="A189" t="s">
        <v>90</v>
      </c>
      <c r="B189" t="s">
        <v>2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55.939300000000003</v>
      </c>
      <c r="K189" t="s">
        <v>45</v>
      </c>
    </row>
    <row r="190" spans="1:11" x14ac:dyDescent="0.45">
      <c r="A190" t="s">
        <v>90</v>
      </c>
      <c r="B190" t="s">
        <v>1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43.934200000000004</v>
      </c>
      <c r="K190" t="s">
        <v>45</v>
      </c>
    </row>
    <row r="191" spans="1:11" x14ac:dyDescent="0.45">
      <c r="A191" t="s">
        <v>90</v>
      </c>
      <c r="B191" t="s">
        <v>3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58.454650000000001</v>
      </c>
      <c r="K191" t="s">
        <v>45</v>
      </c>
    </row>
    <row r="192" spans="1:11" x14ac:dyDescent="0.45">
      <c r="A192" t="s">
        <v>90</v>
      </c>
      <c r="B192" t="s">
        <v>4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6.8298000000000005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63.819699999999997</v>
      </c>
      <c r="K193" t="s">
        <v>45</v>
      </c>
    </row>
    <row r="194" spans="1:11" x14ac:dyDescent="0.45">
      <c r="A194" t="s">
        <v>90</v>
      </c>
      <c r="B194" t="s">
        <v>6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34.444649999999996</v>
      </c>
      <c r="K194" t="s">
        <v>45</v>
      </c>
    </row>
    <row r="195" spans="1:11" x14ac:dyDescent="0.45">
      <c r="A195" t="s">
        <v>90</v>
      </c>
      <c r="B195" t="s">
        <v>5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30.056800000000003</v>
      </c>
      <c r="K195" t="s">
        <v>45</v>
      </c>
    </row>
    <row r="196" spans="1:11" x14ac:dyDescent="0.45">
      <c r="A196" t="s">
        <v>90</v>
      </c>
      <c r="B196" t="s">
        <v>2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58.731899999999996</v>
      </c>
      <c r="K196" t="s">
        <v>45</v>
      </c>
    </row>
    <row r="197" spans="1:11" x14ac:dyDescent="0.45">
      <c r="A197" t="s">
        <v>90</v>
      </c>
      <c r="B197" t="s">
        <v>1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44.974050000000005</v>
      </c>
      <c r="K197" t="s">
        <v>45</v>
      </c>
    </row>
    <row r="198" spans="1:11" x14ac:dyDescent="0.45">
      <c r="A198" t="s">
        <v>90</v>
      </c>
      <c r="B198" t="s">
        <v>3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50.633049999999997</v>
      </c>
      <c r="K198" t="s">
        <v>45</v>
      </c>
    </row>
    <row r="199" spans="1:11" x14ac:dyDescent="0.45">
      <c r="A199" t="s">
        <v>90</v>
      </c>
      <c r="B199" t="s">
        <v>4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6.4076500000000003</v>
      </c>
      <c r="K199" t="s">
        <v>45</v>
      </c>
    </row>
    <row r="200" spans="1:11" x14ac:dyDescent="0.45">
      <c r="A200" t="s">
        <v>90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76.027050000000003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32.109700000000004</v>
      </c>
      <c r="K201" t="s">
        <v>45</v>
      </c>
    </row>
    <row r="202" spans="1:11" x14ac:dyDescent="0.45">
      <c r="A202" t="s">
        <v>90</v>
      </c>
      <c r="B202" t="s">
        <v>5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48.405649999999994</v>
      </c>
      <c r="K202" t="s">
        <v>45</v>
      </c>
    </row>
    <row r="203" spans="1:11" x14ac:dyDescent="0.45">
      <c r="A203" t="s">
        <v>90</v>
      </c>
      <c r="B203" t="s">
        <v>2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58.3123</v>
      </c>
      <c r="K203" t="s">
        <v>45</v>
      </c>
    </row>
    <row r="204" spans="1:11" x14ac:dyDescent="0.45">
      <c r="A204" t="s">
        <v>90</v>
      </c>
      <c r="B204" t="s">
        <v>1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47.74915</v>
      </c>
      <c r="K204" t="s">
        <v>45</v>
      </c>
    </row>
    <row r="205" spans="1:11" x14ac:dyDescent="0.45">
      <c r="A205" t="s">
        <v>90</v>
      </c>
      <c r="B205" t="s">
        <v>3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47.277349999999998</v>
      </c>
      <c r="K205" t="s">
        <v>45</v>
      </c>
    </row>
    <row r="206" spans="1:11" x14ac:dyDescent="0.45">
      <c r="A206" t="s">
        <v>90</v>
      </c>
      <c r="B206" t="s">
        <v>4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5.5278499999999999</v>
      </c>
      <c r="K206" t="s">
        <v>45</v>
      </c>
    </row>
    <row r="207" spans="1:11" x14ac:dyDescent="0.45">
      <c r="A207" t="s">
        <v>90</v>
      </c>
      <c r="B207" t="s">
        <v>0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93.650999999999996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29.276249999999997</v>
      </c>
      <c r="K208" t="s">
        <v>45</v>
      </c>
    </row>
    <row r="209" spans="1:11" x14ac:dyDescent="0.45">
      <c r="A209" t="s">
        <v>90</v>
      </c>
      <c r="B209" t="s">
        <v>5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52.18215</v>
      </c>
      <c r="K209" t="s">
        <v>45</v>
      </c>
    </row>
    <row r="210" spans="1:11" x14ac:dyDescent="0.45">
      <c r="A210" t="s">
        <v>90</v>
      </c>
      <c r="B210" t="s">
        <v>2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55.455449999999999</v>
      </c>
      <c r="K210" t="s">
        <v>45</v>
      </c>
    </row>
    <row r="211" spans="1:11" x14ac:dyDescent="0.45">
      <c r="A211" t="s">
        <v>90</v>
      </c>
      <c r="B211" t="s">
        <v>1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44.999749999999999</v>
      </c>
      <c r="K211" t="s">
        <v>45</v>
      </c>
    </row>
    <row r="212" spans="1:11" x14ac:dyDescent="0.45">
      <c r="A212" t="s">
        <v>90</v>
      </c>
      <c r="B212" t="s">
        <v>3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43.327349999999996</v>
      </c>
      <c r="K212" t="s">
        <v>45</v>
      </c>
    </row>
    <row r="213" spans="1:11" x14ac:dyDescent="0.45">
      <c r="A213" t="s">
        <v>90</v>
      </c>
      <c r="B213" t="s">
        <v>4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4.0000999999999998</v>
      </c>
      <c r="K213" t="s">
        <v>45</v>
      </c>
    </row>
    <row r="214" spans="1:11" x14ac:dyDescent="0.45">
      <c r="A214" t="s">
        <v>90</v>
      </c>
      <c r="B214" t="s">
        <v>0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106.24475000000001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26.050349999999998</v>
      </c>
      <c r="K215" t="s">
        <v>45</v>
      </c>
    </row>
    <row r="216" spans="1:11" x14ac:dyDescent="0.45">
      <c r="A216" t="s">
        <v>90</v>
      </c>
      <c r="B216" t="s">
        <v>5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53.306849999999997</v>
      </c>
      <c r="K216" t="s">
        <v>45</v>
      </c>
    </row>
    <row r="217" spans="1:11" x14ac:dyDescent="0.45">
      <c r="A217" t="s">
        <v>90</v>
      </c>
      <c r="B217" t="s">
        <v>2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50.4148</v>
      </c>
      <c r="K217" t="s">
        <v>45</v>
      </c>
    </row>
    <row r="218" spans="1:11" x14ac:dyDescent="0.45">
      <c r="A218" t="s">
        <v>90</v>
      </c>
      <c r="B218" t="s">
        <v>1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40.762600000000006</v>
      </c>
      <c r="K218" t="s">
        <v>45</v>
      </c>
    </row>
    <row r="219" spans="1:11" x14ac:dyDescent="0.45">
      <c r="A219" t="s">
        <v>90</v>
      </c>
      <c r="B219" t="s">
        <v>3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36.734250000000003</v>
      </c>
      <c r="K219" t="s">
        <v>45</v>
      </c>
    </row>
    <row r="220" spans="1:11" x14ac:dyDescent="0.45">
      <c r="A220" t="s">
        <v>90</v>
      </c>
      <c r="B220" t="s">
        <v>4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2.4655500000000004</v>
      </c>
      <c r="K220" t="s">
        <v>45</v>
      </c>
    </row>
    <row r="221" spans="1:11" x14ac:dyDescent="0.45">
      <c r="A221" t="s">
        <v>90</v>
      </c>
      <c r="B221" t="s">
        <v>0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122.31440000000001</v>
      </c>
      <c r="K221" t="s">
        <v>45</v>
      </c>
    </row>
    <row r="222" spans="1:11" x14ac:dyDescent="0.45">
      <c r="A222" t="s">
        <v>90</v>
      </c>
      <c r="B222" t="s">
        <v>6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22.727799999999998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54.510200000000005</v>
      </c>
      <c r="K223" t="s">
        <v>45</v>
      </c>
    </row>
    <row r="224" spans="1:11" x14ac:dyDescent="0.45">
      <c r="A224" t="s">
        <v>90</v>
      </c>
      <c r="B224" t="s">
        <v>2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45.290300000000002</v>
      </c>
      <c r="K224" t="s">
        <v>45</v>
      </c>
    </row>
    <row r="225" spans="1:11" x14ac:dyDescent="0.45">
      <c r="A225" t="s">
        <v>90</v>
      </c>
      <c r="B225" t="s">
        <v>1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37.176950000000005</v>
      </c>
      <c r="K225" t="s">
        <v>45</v>
      </c>
    </row>
    <row r="226" spans="1:11" x14ac:dyDescent="0.45">
      <c r="A226" t="s">
        <v>90</v>
      </c>
      <c r="B226" t="s">
        <v>3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28.7087</v>
      </c>
      <c r="K226" t="s">
        <v>45</v>
      </c>
    </row>
    <row r="227" spans="1:11" x14ac:dyDescent="0.45">
      <c r="A227" t="s">
        <v>90</v>
      </c>
      <c r="B227" t="s">
        <v>4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1.3161999999999998</v>
      </c>
      <c r="K227" t="s">
        <v>45</v>
      </c>
    </row>
    <row r="228" spans="1:11" x14ac:dyDescent="0.45">
      <c r="A228" t="s">
        <v>90</v>
      </c>
      <c r="B228" t="s">
        <v>0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121.46934999999999</v>
      </c>
      <c r="K228" t="s">
        <v>45</v>
      </c>
    </row>
    <row r="229" spans="1:11" x14ac:dyDescent="0.45">
      <c r="A229" t="s">
        <v>90</v>
      </c>
      <c r="B229" t="s">
        <v>6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19.446550000000002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54.557550000000006</v>
      </c>
      <c r="K230" t="s">
        <v>45</v>
      </c>
    </row>
    <row r="231" spans="1:11" x14ac:dyDescent="0.45">
      <c r="A231" t="s">
        <v>90</v>
      </c>
      <c r="B231" t="s">
        <v>2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32.627600000000001</v>
      </c>
      <c r="K231" t="s">
        <v>45</v>
      </c>
    </row>
    <row r="232" spans="1:11" x14ac:dyDescent="0.45">
      <c r="A232" t="s">
        <v>90</v>
      </c>
      <c r="B232" t="s">
        <v>1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37.057699999999997</v>
      </c>
      <c r="K232" t="s">
        <v>45</v>
      </c>
    </row>
    <row r="233" spans="1:11" x14ac:dyDescent="0.45">
      <c r="A233" t="s">
        <v>90</v>
      </c>
      <c r="B233" t="s">
        <v>3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20.427500000000002</v>
      </c>
      <c r="K233" t="s">
        <v>45</v>
      </c>
    </row>
    <row r="234" spans="1:11" x14ac:dyDescent="0.45">
      <c r="A234" t="s">
        <v>90</v>
      </c>
      <c r="B234" t="s">
        <v>4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0.17349999999999999</v>
      </c>
      <c r="K234" t="s">
        <v>45</v>
      </c>
    </row>
    <row r="235" spans="1:11" x14ac:dyDescent="0.45">
      <c r="A235" t="s">
        <v>90</v>
      </c>
      <c r="B235" t="s">
        <v>0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121.6437</v>
      </c>
      <c r="K235" t="s">
        <v>45</v>
      </c>
    </row>
    <row r="236" spans="1:11" x14ac:dyDescent="0.45">
      <c r="A236" t="s">
        <v>90</v>
      </c>
      <c r="B236" t="s">
        <v>6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11.408149999999999</v>
      </c>
      <c r="K236" t="s">
        <v>45</v>
      </c>
    </row>
    <row r="237" spans="1:11" x14ac:dyDescent="0.45">
      <c r="A237" t="s">
        <v>90</v>
      </c>
      <c r="B237" t="s">
        <v>5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54.773650000000004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19.543950000000002</v>
      </c>
      <c r="K238" t="s">
        <v>45</v>
      </c>
    </row>
    <row r="239" spans="1:11" x14ac:dyDescent="0.45">
      <c r="A239" t="s">
        <v>90</v>
      </c>
      <c r="B239" t="s">
        <v>1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33.348050000000001</v>
      </c>
      <c r="K239" t="s">
        <v>45</v>
      </c>
    </row>
    <row r="240" spans="1:11" x14ac:dyDescent="0.45">
      <c r="A240" t="s">
        <v>90</v>
      </c>
      <c r="B240" t="s">
        <v>3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15.9863</v>
      </c>
      <c r="K240" t="s">
        <v>45</v>
      </c>
    </row>
    <row r="241" spans="1:11" x14ac:dyDescent="0.45">
      <c r="A241" t="s">
        <v>90</v>
      </c>
      <c r="B241" t="s">
        <v>4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8.8650000000000007E-2</v>
      </c>
      <c r="K241" t="s">
        <v>45</v>
      </c>
    </row>
    <row r="242" spans="1:11" x14ac:dyDescent="0.45">
      <c r="A242" t="s">
        <v>90</v>
      </c>
      <c r="B242" t="s">
        <v>0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104.46199999999999</v>
      </c>
      <c r="K242" t="s">
        <v>45</v>
      </c>
    </row>
    <row r="243" spans="1:11" x14ac:dyDescent="0.45">
      <c r="A243" t="s">
        <v>90</v>
      </c>
      <c r="B243" t="s">
        <v>6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7.1971000000000007</v>
      </c>
      <c r="K243" t="s">
        <v>45</v>
      </c>
    </row>
    <row r="244" spans="1:11" x14ac:dyDescent="0.45">
      <c r="A244" t="s">
        <v>90</v>
      </c>
      <c r="B244" t="s">
        <v>5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55.061599999999999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11.3346</v>
      </c>
      <c r="K245" t="s">
        <v>45</v>
      </c>
    </row>
    <row r="246" spans="1:11" x14ac:dyDescent="0.45">
      <c r="A246" t="s">
        <v>90</v>
      </c>
      <c r="B246" t="s">
        <v>1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33.594250000000002</v>
      </c>
      <c r="K246" t="s">
        <v>45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11.2135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87.30295000000001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2.7712500000000002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55.33755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3.109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33.736649999999997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10.131550000000001</v>
      </c>
      <c r="K254" t="s">
        <v>45</v>
      </c>
    </row>
    <row r="255" spans="1:11" x14ac:dyDescent="0.45">
      <c r="A255" t="s">
        <v>90</v>
      </c>
      <c r="B255" t="s">
        <v>4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0</v>
      </c>
      <c r="K255" t="s">
        <v>45</v>
      </c>
    </row>
    <row r="256" spans="1:11" x14ac:dyDescent="0.45">
      <c r="A256" t="s">
        <v>90</v>
      </c>
      <c r="B256" t="s">
        <v>0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70.590800000000002</v>
      </c>
      <c r="K256" t="s">
        <v>45</v>
      </c>
    </row>
    <row r="257" spans="1:11" x14ac:dyDescent="0.45">
      <c r="A257" t="s">
        <v>90</v>
      </c>
      <c r="B257" t="s">
        <v>6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1.7922</v>
      </c>
      <c r="K257" t="s">
        <v>45</v>
      </c>
    </row>
    <row r="258" spans="1:11" x14ac:dyDescent="0.45">
      <c r="A258" t="s">
        <v>90</v>
      </c>
      <c r="B258" t="s">
        <v>5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52.348249999999993</v>
      </c>
      <c r="K258" t="s">
        <v>45</v>
      </c>
    </row>
    <row r="259" spans="1:11" x14ac:dyDescent="0.45">
      <c r="A259" t="s">
        <v>90</v>
      </c>
      <c r="B259" t="s">
        <v>2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1.8353999999999999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34.645449999999997</v>
      </c>
      <c r="K260" t="s">
        <v>45</v>
      </c>
    </row>
    <row r="261" spans="1:11" x14ac:dyDescent="0.45">
      <c r="A261" t="s">
        <v>90</v>
      </c>
      <c r="B261" t="s">
        <v>3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9.0642999999999994</v>
      </c>
      <c r="K261" t="s">
        <v>45</v>
      </c>
    </row>
    <row r="262" spans="1:11" x14ac:dyDescent="0.45">
      <c r="A262" t="s">
        <v>90</v>
      </c>
      <c r="B262" t="s">
        <v>4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0</v>
      </c>
      <c r="K262" t="s">
        <v>45</v>
      </c>
    </row>
    <row r="263" spans="1:11" x14ac:dyDescent="0.45">
      <c r="A263" t="s">
        <v>90</v>
      </c>
      <c r="B263" t="s">
        <v>0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53.742050000000006</v>
      </c>
      <c r="K263" t="s">
        <v>45</v>
      </c>
    </row>
    <row r="264" spans="1:11" x14ac:dyDescent="0.45">
      <c r="A264" t="s">
        <v>90</v>
      </c>
      <c r="B264" t="s">
        <v>6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0.78610000000000002</v>
      </c>
      <c r="K264" t="s">
        <v>45</v>
      </c>
    </row>
    <row r="265" spans="1:11" x14ac:dyDescent="0.45">
      <c r="A265" t="s">
        <v>90</v>
      </c>
      <c r="B265" t="s">
        <v>5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49.553200000000004</v>
      </c>
      <c r="K265" t="s">
        <v>45</v>
      </c>
    </row>
    <row r="266" spans="1:11" x14ac:dyDescent="0.45">
      <c r="A266" t="s">
        <v>90</v>
      </c>
      <c r="B266" t="s">
        <v>2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0.55169999999999997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35.823149999999998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264.42065000000002</v>
      </c>
      <c r="K268" t="s">
        <v>48</v>
      </c>
    </row>
    <row r="269" spans="1:11" x14ac:dyDescent="0.45">
      <c r="A269" t="s">
        <v>90</v>
      </c>
      <c r="B269" t="s">
        <v>4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2020</v>
      </c>
      <c r="J269">
        <v>264.92925000000002</v>
      </c>
      <c r="K269" t="s">
        <v>48</v>
      </c>
    </row>
    <row r="270" spans="1:11" x14ac:dyDescent="0.45">
      <c r="A270" t="s">
        <v>90</v>
      </c>
      <c r="B270" t="s">
        <v>0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2020</v>
      </c>
      <c r="J270">
        <v>265.04944999999998</v>
      </c>
      <c r="K270" t="s">
        <v>48</v>
      </c>
    </row>
    <row r="271" spans="1:11" x14ac:dyDescent="0.45">
      <c r="A271" t="s">
        <v>90</v>
      </c>
      <c r="B271" t="s">
        <v>6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2020</v>
      </c>
      <c r="J271">
        <v>265.23329999999999</v>
      </c>
      <c r="K271" t="s">
        <v>48</v>
      </c>
    </row>
    <row r="272" spans="1:11" x14ac:dyDescent="0.45">
      <c r="A272" t="s">
        <v>90</v>
      </c>
      <c r="B272" t="s">
        <v>5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2020</v>
      </c>
      <c r="J272">
        <v>261.41615000000002</v>
      </c>
      <c r="K272" t="s">
        <v>48</v>
      </c>
    </row>
    <row r="273" spans="1:11" x14ac:dyDescent="0.45">
      <c r="A273" t="s">
        <v>90</v>
      </c>
      <c r="B273" t="s">
        <v>2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2020</v>
      </c>
      <c r="J273">
        <v>264.99119999999999</v>
      </c>
      <c r="K273" t="s">
        <v>48</v>
      </c>
    </row>
    <row r="274" spans="1:11" x14ac:dyDescent="0.45">
      <c r="A274" t="s">
        <v>90</v>
      </c>
      <c r="B274" t="s">
        <v>1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2020</v>
      </c>
      <c r="J274">
        <v>263.63260000000002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2025</v>
      </c>
      <c r="J275">
        <v>71.705749999999995</v>
      </c>
      <c r="K275" t="s">
        <v>48</v>
      </c>
    </row>
    <row r="276" spans="1:11" x14ac:dyDescent="0.45">
      <c r="A276" t="s">
        <v>90</v>
      </c>
      <c r="B276" t="s">
        <v>4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2025</v>
      </c>
      <c r="J276">
        <v>81.113399999999999</v>
      </c>
      <c r="K276" t="s">
        <v>48</v>
      </c>
    </row>
    <row r="277" spans="1:11" x14ac:dyDescent="0.45">
      <c r="A277" t="s">
        <v>90</v>
      </c>
      <c r="B277" t="s">
        <v>0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2025</v>
      </c>
      <c r="J277">
        <v>87.9084</v>
      </c>
      <c r="K277" t="s">
        <v>48</v>
      </c>
    </row>
    <row r="278" spans="1:11" x14ac:dyDescent="0.45">
      <c r="A278" t="s">
        <v>90</v>
      </c>
      <c r="B278" t="s">
        <v>6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2025</v>
      </c>
      <c r="J278">
        <v>84.727049999999991</v>
      </c>
      <c r="K278" t="s">
        <v>48</v>
      </c>
    </row>
    <row r="279" spans="1:11" x14ac:dyDescent="0.45">
      <c r="A279" t="s">
        <v>90</v>
      </c>
      <c r="B279" t="s">
        <v>5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2025</v>
      </c>
      <c r="J279">
        <v>54.077200000000005</v>
      </c>
      <c r="K279" t="s">
        <v>48</v>
      </c>
    </row>
    <row r="280" spans="1:11" x14ac:dyDescent="0.45">
      <c r="A280" t="s">
        <v>90</v>
      </c>
      <c r="B280" t="s">
        <v>2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2025</v>
      </c>
      <c r="J280">
        <v>64.056349999999995</v>
      </c>
      <c r="K280" t="s">
        <v>48</v>
      </c>
    </row>
    <row r="281" spans="1:11" x14ac:dyDescent="0.45">
      <c r="A281" t="s">
        <v>90</v>
      </c>
      <c r="B281" t="s">
        <v>1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2025</v>
      </c>
      <c r="J281">
        <v>59.054000000000002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2030</v>
      </c>
      <c r="J282">
        <v>-223.04745</v>
      </c>
      <c r="K282" t="s">
        <v>48</v>
      </c>
    </row>
    <row r="283" spans="1:11" x14ac:dyDescent="0.45">
      <c r="A283" t="s">
        <v>90</v>
      </c>
      <c r="B283" t="s">
        <v>4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2030</v>
      </c>
      <c r="J283">
        <v>-143.45499999999998</v>
      </c>
      <c r="K283" t="s">
        <v>48</v>
      </c>
    </row>
    <row r="284" spans="1:11" x14ac:dyDescent="0.45">
      <c r="A284" t="s">
        <v>90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-130.4289</v>
      </c>
      <c r="K284" t="s">
        <v>48</v>
      </c>
    </row>
    <row r="285" spans="1:11" x14ac:dyDescent="0.45">
      <c r="A285" t="s">
        <v>90</v>
      </c>
      <c r="B285" t="s">
        <v>6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2030</v>
      </c>
      <c r="J285">
        <v>-136.75919999999999</v>
      </c>
      <c r="K285" t="s">
        <v>48</v>
      </c>
    </row>
    <row r="286" spans="1:11" x14ac:dyDescent="0.45">
      <c r="A286" t="s">
        <v>90</v>
      </c>
      <c r="B286" t="s">
        <v>5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2030</v>
      </c>
      <c r="J286">
        <v>-304.30009999999999</v>
      </c>
      <c r="K286" t="s">
        <v>48</v>
      </c>
    </row>
    <row r="287" spans="1:11" x14ac:dyDescent="0.45">
      <c r="A287" t="s">
        <v>90</v>
      </c>
      <c r="B287" t="s">
        <v>2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-269.95114999999998</v>
      </c>
      <c r="K287" t="s">
        <v>48</v>
      </c>
    </row>
    <row r="288" spans="1:11" x14ac:dyDescent="0.45">
      <c r="A288" t="s">
        <v>90</v>
      </c>
      <c r="B288" t="s">
        <v>1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2030</v>
      </c>
      <c r="J288">
        <v>-284.85135000000002</v>
      </c>
      <c r="K288" t="s">
        <v>48</v>
      </c>
    </row>
    <row r="289" spans="1:11" x14ac:dyDescent="0.45">
      <c r="A289" t="s">
        <v>90</v>
      </c>
      <c r="B289" t="s">
        <v>3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2035</v>
      </c>
      <c r="J289">
        <v>-388.61369999999999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2035</v>
      </c>
      <c r="J290">
        <v>-291.98315000000002</v>
      </c>
      <c r="K290" t="s">
        <v>48</v>
      </c>
    </row>
    <row r="291" spans="1:11" x14ac:dyDescent="0.45">
      <c r="A291" t="s">
        <v>90</v>
      </c>
      <c r="B291" t="s">
        <v>0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2035</v>
      </c>
      <c r="J291">
        <v>-316.12665000000004</v>
      </c>
      <c r="K291" t="s">
        <v>48</v>
      </c>
    </row>
    <row r="292" spans="1:11" x14ac:dyDescent="0.45">
      <c r="A292" t="s">
        <v>90</v>
      </c>
      <c r="B292" t="s">
        <v>6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2035</v>
      </c>
      <c r="J292">
        <v>-332.43550000000005</v>
      </c>
      <c r="K292" t="s">
        <v>48</v>
      </c>
    </row>
    <row r="293" spans="1:11" x14ac:dyDescent="0.45">
      <c r="A293" t="s">
        <v>90</v>
      </c>
      <c r="B293" t="s">
        <v>5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2035</v>
      </c>
      <c r="J293">
        <v>-479.5147</v>
      </c>
      <c r="K293" t="s">
        <v>48</v>
      </c>
    </row>
    <row r="294" spans="1:11" x14ac:dyDescent="0.45">
      <c r="A294" t="s">
        <v>90</v>
      </c>
      <c r="B294" t="s">
        <v>2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2035</v>
      </c>
      <c r="J294">
        <v>-426.36955</v>
      </c>
      <c r="K294" t="s">
        <v>48</v>
      </c>
    </row>
    <row r="295" spans="1:11" x14ac:dyDescent="0.45">
      <c r="A295" t="s">
        <v>90</v>
      </c>
      <c r="B295" t="s">
        <v>1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2035</v>
      </c>
      <c r="J295">
        <v>-470.64935000000003</v>
      </c>
      <c r="K295" t="s">
        <v>48</v>
      </c>
    </row>
    <row r="296" spans="1:11" x14ac:dyDescent="0.45">
      <c r="A296" t="s">
        <v>90</v>
      </c>
      <c r="B296" t="s">
        <v>3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2040</v>
      </c>
      <c r="J296">
        <v>-473.76739999999995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2040</v>
      </c>
      <c r="J297">
        <v>-330.56484999999998</v>
      </c>
      <c r="K297" t="s">
        <v>48</v>
      </c>
    </row>
    <row r="298" spans="1:11" x14ac:dyDescent="0.45">
      <c r="A298" t="s">
        <v>90</v>
      </c>
      <c r="B298" t="s">
        <v>0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2040</v>
      </c>
      <c r="J298">
        <v>-519.8432499999999</v>
      </c>
      <c r="K298" t="s">
        <v>48</v>
      </c>
    </row>
    <row r="299" spans="1:11" x14ac:dyDescent="0.45">
      <c r="A299" t="s">
        <v>90</v>
      </c>
      <c r="B299" t="s">
        <v>6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2040</v>
      </c>
      <c r="J299">
        <v>-489.15319999999997</v>
      </c>
      <c r="K299" t="s">
        <v>48</v>
      </c>
    </row>
    <row r="300" spans="1:11" x14ac:dyDescent="0.45">
      <c r="A300" t="s">
        <v>90</v>
      </c>
      <c r="B300" t="s">
        <v>5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2040</v>
      </c>
      <c r="J300">
        <v>-568.19710000000009</v>
      </c>
      <c r="K300" t="s">
        <v>48</v>
      </c>
    </row>
    <row r="301" spans="1:11" x14ac:dyDescent="0.45">
      <c r="A301" t="s">
        <v>90</v>
      </c>
      <c r="B301" t="s">
        <v>2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2040</v>
      </c>
      <c r="J301">
        <v>-498.23405000000002</v>
      </c>
      <c r="K301" t="s">
        <v>48</v>
      </c>
    </row>
    <row r="302" spans="1:11" x14ac:dyDescent="0.45">
      <c r="A302" t="s">
        <v>90</v>
      </c>
      <c r="B302" t="s">
        <v>1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2040</v>
      </c>
      <c r="J302">
        <v>-560.15805</v>
      </c>
      <c r="K302" t="s">
        <v>48</v>
      </c>
    </row>
    <row r="303" spans="1:11" x14ac:dyDescent="0.45">
      <c r="A303" t="s">
        <v>90</v>
      </c>
      <c r="B303" t="s">
        <v>3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2045</v>
      </c>
      <c r="J303">
        <v>-514.60760000000005</v>
      </c>
      <c r="K303" t="s">
        <v>48</v>
      </c>
    </row>
    <row r="304" spans="1:11" x14ac:dyDescent="0.45">
      <c r="A304" t="s">
        <v>90</v>
      </c>
      <c r="B304" t="s">
        <v>4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2045</v>
      </c>
      <c r="J304">
        <v>-353.18939999999998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2045</v>
      </c>
      <c r="J305">
        <v>-619.35404999999992</v>
      </c>
      <c r="K305" t="s">
        <v>48</v>
      </c>
    </row>
    <row r="306" spans="1:11" x14ac:dyDescent="0.45">
      <c r="A306" t="s">
        <v>90</v>
      </c>
      <c r="B306" t="s">
        <v>6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2045</v>
      </c>
      <c r="J306">
        <v>-570.71125000000006</v>
      </c>
      <c r="K306" t="s">
        <v>48</v>
      </c>
    </row>
    <row r="307" spans="1:11" x14ac:dyDescent="0.45">
      <c r="A307" t="s">
        <v>90</v>
      </c>
      <c r="B307" t="s">
        <v>5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-628.10450000000003</v>
      </c>
      <c r="K307" t="s">
        <v>48</v>
      </c>
    </row>
    <row r="308" spans="1:11" x14ac:dyDescent="0.45">
      <c r="A308" t="s">
        <v>90</v>
      </c>
      <c r="B308" t="s">
        <v>2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2045</v>
      </c>
      <c r="J308">
        <v>-531.16415000000006</v>
      </c>
      <c r="K308" t="s">
        <v>48</v>
      </c>
    </row>
    <row r="309" spans="1:11" x14ac:dyDescent="0.45">
      <c r="A309" t="s">
        <v>90</v>
      </c>
      <c r="B309" t="s">
        <v>1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2045</v>
      </c>
      <c r="J309">
        <v>-635.46154999999999</v>
      </c>
      <c r="K309" t="s">
        <v>48</v>
      </c>
    </row>
    <row r="310" spans="1:11" x14ac:dyDescent="0.45">
      <c r="A310" t="s">
        <v>90</v>
      </c>
      <c r="B310" t="s">
        <v>3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2050</v>
      </c>
      <c r="J310">
        <v>-531.93955000000005</v>
      </c>
      <c r="K310" t="s">
        <v>48</v>
      </c>
    </row>
    <row r="311" spans="1:11" x14ac:dyDescent="0.45">
      <c r="A311" t="s">
        <v>90</v>
      </c>
      <c r="B311" t="s">
        <v>4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2050</v>
      </c>
      <c r="J311">
        <v>-366.15115000000003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2050</v>
      </c>
      <c r="J312">
        <v>-684.55165</v>
      </c>
      <c r="K312" t="s">
        <v>48</v>
      </c>
    </row>
    <row r="313" spans="1:11" x14ac:dyDescent="0.45">
      <c r="A313" t="s">
        <v>90</v>
      </c>
      <c r="B313" t="s">
        <v>6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2050</v>
      </c>
      <c r="J313">
        <v>-602.44410000000005</v>
      </c>
      <c r="K313" t="s">
        <v>48</v>
      </c>
    </row>
    <row r="314" spans="1:11" x14ac:dyDescent="0.45">
      <c r="A314" t="s">
        <v>90</v>
      </c>
      <c r="B314" t="s">
        <v>5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2050</v>
      </c>
      <c r="J314">
        <v>-642.9054000000001</v>
      </c>
      <c r="K314" t="s">
        <v>48</v>
      </c>
    </row>
    <row r="315" spans="1:11" x14ac:dyDescent="0.45">
      <c r="A315" t="s">
        <v>90</v>
      </c>
      <c r="B315" t="s">
        <v>2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2050</v>
      </c>
      <c r="J315">
        <v>-540.75729999999999</v>
      </c>
      <c r="K315" t="s">
        <v>48</v>
      </c>
    </row>
    <row r="316" spans="1:11" x14ac:dyDescent="0.45">
      <c r="A316" t="s">
        <v>90</v>
      </c>
      <c r="B316" t="s">
        <v>1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2050</v>
      </c>
      <c r="J316">
        <v>-693.63909999999998</v>
      </c>
      <c r="K316" t="s">
        <v>48</v>
      </c>
    </row>
    <row r="317" spans="1:11" x14ac:dyDescent="0.45">
      <c r="A317" t="s">
        <v>90</v>
      </c>
      <c r="B317" t="s">
        <v>3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2055</v>
      </c>
      <c r="J317">
        <v>-530.0557</v>
      </c>
      <c r="K317" t="s">
        <v>48</v>
      </c>
    </row>
    <row r="318" spans="1:11" x14ac:dyDescent="0.45">
      <c r="A318" t="s">
        <v>90</v>
      </c>
      <c r="B318" t="s">
        <v>4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2055</v>
      </c>
      <c r="J318">
        <v>-372.61225000000002</v>
      </c>
      <c r="K318" t="s">
        <v>48</v>
      </c>
    </row>
    <row r="319" spans="1:11" x14ac:dyDescent="0.45">
      <c r="A319" t="s">
        <v>90</v>
      </c>
      <c r="B319" t="s">
        <v>0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2055</v>
      </c>
      <c r="J319">
        <v>-712.71180000000004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2055</v>
      </c>
      <c r="J320">
        <v>-586.54379999999992</v>
      </c>
      <c r="K320" t="s">
        <v>48</v>
      </c>
    </row>
    <row r="321" spans="1:11" x14ac:dyDescent="0.45">
      <c r="A321" t="s">
        <v>90</v>
      </c>
      <c r="B321" t="s">
        <v>5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2055</v>
      </c>
      <c r="J321">
        <v>-631.4443</v>
      </c>
      <c r="K321" t="s">
        <v>48</v>
      </c>
    </row>
    <row r="322" spans="1:11" x14ac:dyDescent="0.45">
      <c r="A322" t="s">
        <v>90</v>
      </c>
      <c r="B322" t="s">
        <v>2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2055</v>
      </c>
      <c r="J322">
        <v>-538.05555000000004</v>
      </c>
      <c r="K322" t="s">
        <v>48</v>
      </c>
    </row>
    <row r="323" spans="1:11" x14ac:dyDescent="0.45">
      <c r="A323" t="s">
        <v>90</v>
      </c>
      <c r="B323" t="s">
        <v>1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2055</v>
      </c>
      <c r="J323">
        <v>-724.11449999999991</v>
      </c>
      <c r="K323" t="s">
        <v>48</v>
      </c>
    </row>
    <row r="324" spans="1:11" x14ac:dyDescent="0.45">
      <c r="A324" t="s">
        <v>90</v>
      </c>
      <c r="B324" t="s">
        <v>3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2060</v>
      </c>
      <c r="J324">
        <v>-522.57960000000003</v>
      </c>
      <c r="K324" t="s">
        <v>48</v>
      </c>
    </row>
    <row r="325" spans="1:11" x14ac:dyDescent="0.45">
      <c r="A325" t="s">
        <v>90</v>
      </c>
      <c r="B325" t="s">
        <v>4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2060</v>
      </c>
      <c r="J325">
        <v>-376.44524999999999</v>
      </c>
      <c r="K325" t="s">
        <v>48</v>
      </c>
    </row>
    <row r="326" spans="1:11" x14ac:dyDescent="0.45">
      <c r="A326" t="s">
        <v>90</v>
      </c>
      <c r="B326" t="s">
        <v>0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2060</v>
      </c>
      <c r="J326">
        <v>-708.13104999999996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-556.14049999999997</v>
      </c>
      <c r="K327" t="s">
        <v>48</v>
      </c>
    </row>
    <row r="328" spans="1:11" x14ac:dyDescent="0.45">
      <c r="A328" t="s">
        <v>90</v>
      </c>
      <c r="B328" t="s">
        <v>5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2060</v>
      </c>
      <c r="J328">
        <v>-619.59449999999993</v>
      </c>
      <c r="K328" t="s">
        <v>48</v>
      </c>
    </row>
    <row r="329" spans="1:11" x14ac:dyDescent="0.45">
      <c r="A329" t="s">
        <v>90</v>
      </c>
      <c r="B329" t="s">
        <v>2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2060</v>
      </c>
      <c r="J329">
        <v>-537.21285</v>
      </c>
      <c r="K329" t="s">
        <v>48</v>
      </c>
    </row>
    <row r="330" spans="1:11" x14ac:dyDescent="0.45">
      <c r="A330" t="s">
        <v>90</v>
      </c>
      <c r="B330" t="s">
        <v>1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2060</v>
      </c>
      <c r="J330">
        <v>-691.9202499999999</v>
      </c>
      <c r="K330" t="s">
        <v>48</v>
      </c>
    </row>
    <row r="331" spans="1:11" x14ac:dyDescent="0.45">
      <c r="A331" t="s">
        <v>90</v>
      </c>
      <c r="B331" t="s">
        <v>3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2065</v>
      </c>
      <c r="J331">
        <v>-521.60179999999991</v>
      </c>
      <c r="K331" t="s">
        <v>48</v>
      </c>
    </row>
    <row r="332" spans="1:11" x14ac:dyDescent="0.45">
      <c r="A332" t="s">
        <v>90</v>
      </c>
      <c r="B332" t="s">
        <v>4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2065</v>
      </c>
      <c r="J332">
        <v>-379.97114999999997</v>
      </c>
      <c r="K332" t="s">
        <v>48</v>
      </c>
    </row>
    <row r="333" spans="1:11" x14ac:dyDescent="0.45">
      <c r="A333" t="s">
        <v>90</v>
      </c>
      <c r="B333" t="s">
        <v>0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2065</v>
      </c>
      <c r="J333">
        <v>-707.73170000000005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2065</v>
      </c>
      <c r="J334">
        <v>-544.72604999999999</v>
      </c>
      <c r="K334" t="s">
        <v>48</v>
      </c>
    </row>
    <row r="335" spans="1:11" x14ac:dyDescent="0.45">
      <c r="A335" t="s">
        <v>90</v>
      </c>
      <c r="B335" t="s">
        <v>5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2065</v>
      </c>
      <c r="J335">
        <v>-606.50265000000002</v>
      </c>
      <c r="K335" t="s">
        <v>48</v>
      </c>
    </row>
    <row r="336" spans="1:11" x14ac:dyDescent="0.45">
      <c r="A336" t="s">
        <v>90</v>
      </c>
      <c r="B336" t="s">
        <v>2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2065</v>
      </c>
      <c r="J336">
        <v>-535.88654999999994</v>
      </c>
      <c r="K336" t="s">
        <v>48</v>
      </c>
    </row>
    <row r="337" spans="1:11" x14ac:dyDescent="0.45">
      <c r="A337" t="s">
        <v>90</v>
      </c>
      <c r="B337" t="s">
        <v>1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2065</v>
      </c>
      <c r="J337">
        <v>-644.23829999999998</v>
      </c>
      <c r="K337" t="s">
        <v>48</v>
      </c>
    </row>
    <row r="338" spans="1:11" x14ac:dyDescent="0.45">
      <c r="A338" t="s">
        <v>90</v>
      </c>
      <c r="B338" t="s">
        <v>3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2070</v>
      </c>
      <c r="J338">
        <v>-520.68374999999992</v>
      </c>
      <c r="K338" t="s">
        <v>48</v>
      </c>
    </row>
    <row r="339" spans="1:11" x14ac:dyDescent="0.45">
      <c r="A339" t="s">
        <v>90</v>
      </c>
      <c r="B339" t="s">
        <v>4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2070</v>
      </c>
      <c r="J339">
        <v>-383.37275</v>
      </c>
      <c r="K339" t="s">
        <v>48</v>
      </c>
    </row>
    <row r="340" spans="1:11" x14ac:dyDescent="0.45">
      <c r="A340" t="s">
        <v>90</v>
      </c>
      <c r="B340" t="s">
        <v>0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2070</v>
      </c>
      <c r="J340">
        <v>-710.84969999999998</v>
      </c>
      <c r="K340" t="s">
        <v>48</v>
      </c>
    </row>
    <row r="341" spans="1:11" x14ac:dyDescent="0.45">
      <c r="A341" t="s">
        <v>90</v>
      </c>
      <c r="B341" t="s">
        <v>6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2070</v>
      </c>
      <c r="J341">
        <v>-533.22655000000009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2070</v>
      </c>
      <c r="J342">
        <v>-593.48759999999993</v>
      </c>
      <c r="K342" t="s">
        <v>48</v>
      </c>
    </row>
    <row r="343" spans="1:11" x14ac:dyDescent="0.45">
      <c r="A343" t="s">
        <v>90</v>
      </c>
      <c r="B343" t="s">
        <v>2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2070</v>
      </c>
      <c r="J343">
        <v>-534.14675</v>
      </c>
      <c r="K343" t="s">
        <v>48</v>
      </c>
    </row>
    <row r="344" spans="1:11" x14ac:dyDescent="0.45">
      <c r="A344" t="s">
        <v>90</v>
      </c>
      <c r="B344" t="s">
        <v>1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2070</v>
      </c>
      <c r="J344">
        <v>-597.19095000000004</v>
      </c>
      <c r="K344" t="s">
        <v>48</v>
      </c>
    </row>
    <row r="345" spans="1:11" x14ac:dyDescent="0.45">
      <c r="A345" t="s">
        <v>90</v>
      </c>
      <c r="B345" t="s">
        <v>3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2075</v>
      </c>
      <c r="J345">
        <v>-515.44714999999997</v>
      </c>
      <c r="K345" t="s">
        <v>48</v>
      </c>
    </row>
    <row r="346" spans="1:11" x14ac:dyDescent="0.45">
      <c r="A346" t="s">
        <v>90</v>
      </c>
      <c r="B346" t="s">
        <v>4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2075</v>
      </c>
      <c r="J346">
        <v>-394.89109999999999</v>
      </c>
      <c r="K346" t="s">
        <v>48</v>
      </c>
    </row>
    <row r="347" spans="1:11" x14ac:dyDescent="0.45">
      <c r="A347" t="s">
        <v>90</v>
      </c>
      <c r="B347" t="s">
        <v>0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-698.55279999999993</v>
      </c>
      <c r="K347" t="s">
        <v>48</v>
      </c>
    </row>
    <row r="348" spans="1:11" x14ac:dyDescent="0.45">
      <c r="A348" t="s">
        <v>90</v>
      </c>
      <c r="B348" t="s">
        <v>6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2075</v>
      </c>
      <c r="J348">
        <v>-538.50240000000008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2075</v>
      </c>
      <c r="J349">
        <v>-613.17284999999993</v>
      </c>
      <c r="K349" t="s">
        <v>48</v>
      </c>
    </row>
    <row r="350" spans="1:11" x14ac:dyDescent="0.45">
      <c r="A350" t="s">
        <v>90</v>
      </c>
      <c r="B350" t="s">
        <v>2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2075</v>
      </c>
      <c r="J350">
        <v>-530.43810000000008</v>
      </c>
      <c r="K350" t="s">
        <v>48</v>
      </c>
    </row>
    <row r="351" spans="1:11" x14ac:dyDescent="0.45">
      <c r="A351" t="s">
        <v>90</v>
      </c>
      <c r="B351" t="s">
        <v>1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2075</v>
      </c>
      <c r="J351">
        <v>-596.38249999999994</v>
      </c>
      <c r="K351" t="s">
        <v>48</v>
      </c>
    </row>
    <row r="352" spans="1:11" x14ac:dyDescent="0.45">
      <c r="A352" t="s">
        <v>90</v>
      </c>
      <c r="B352" t="s">
        <v>3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2080</v>
      </c>
      <c r="J352">
        <v>-509.99535000000003</v>
      </c>
      <c r="K352" t="s">
        <v>48</v>
      </c>
    </row>
    <row r="353" spans="1:11" x14ac:dyDescent="0.45">
      <c r="A353" t="s">
        <v>90</v>
      </c>
      <c r="B353" t="s">
        <v>4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2080</v>
      </c>
      <c r="J353">
        <v>-406.58274999999998</v>
      </c>
      <c r="K353" t="s">
        <v>48</v>
      </c>
    </row>
    <row r="354" spans="1:11" x14ac:dyDescent="0.45">
      <c r="A354" t="s">
        <v>90</v>
      </c>
      <c r="B354" t="s">
        <v>0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2080</v>
      </c>
      <c r="J354">
        <v>-687.68820000000005</v>
      </c>
      <c r="K354" t="s">
        <v>48</v>
      </c>
    </row>
    <row r="355" spans="1:11" x14ac:dyDescent="0.45">
      <c r="A355" t="s">
        <v>90</v>
      </c>
      <c r="B355" t="s">
        <v>6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2080</v>
      </c>
      <c r="J355">
        <v>-543.96319999999992</v>
      </c>
      <c r="K355" t="s">
        <v>48</v>
      </c>
    </row>
    <row r="356" spans="1:11" x14ac:dyDescent="0.45">
      <c r="A356" t="s">
        <v>90</v>
      </c>
      <c r="B356" t="s">
        <v>5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2080</v>
      </c>
      <c r="J356">
        <v>-633.02539999999999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2080</v>
      </c>
      <c r="J357">
        <v>-526.07510000000002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2080</v>
      </c>
      <c r="J358">
        <v>-592.02454999999998</v>
      </c>
      <c r="K358" t="s">
        <v>48</v>
      </c>
    </row>
    <row r="359" spans="1:11" x14ac:dyDescent="0.45">
      <c r="A359" t="s">
        <v>90</v>
      </c>
      <c r="B359" t="s">
        <v>3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2085</v>
      </c>
      <c r="J359">
        <v>-511.346</v>
      </c>
      <c r="K359" t="s">
        <v>48</v>
      </c>
    </row>
    <row r="360" spans="1:11" x14ac:dyDescent="0.45">
      <c r="A360" t="s">
        <v>90</v>
      </c>
      <c r="B360" t="s">
        <v>4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2085</v>
      </c>
      <c r="J360">
        <v>-408.18914999999998</v>
      </c>
      <c r="K360" t="s">
        <v>48</v>
      </c>
    </row>
    <row r="361" spans="1:11" x14ac:dyDescent="0.45">
      <c r="A361" t="s">
        <v>90</v>
      </c>
      <c r="B361" t="s">
        <v>0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2085</v>
      </c>
      <c r="J361">
        <v>-670.06029999999998</v>
      </c>
      <c r="K361" t="s">
        <v>48</v>
      </c>
    </row>
    <row r="362" spans="1:11" x14ac:dyDescent="0.45">
      <c r="A362" t="s">
        <v>90</v>
      </c>
      <c r="B362" t="s">
        <v>6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2085</v>
      </c>
      <c r="J362">
        <v>-550.94055000000003</v>
      </c>
      <c r="K362" t="s">
        <v>48</v>
      </c>
    </row>
    <row r="363" spans="1:11" x14ac:dyDescent="0.45">
      <c r="A363" t="s">
        <v>90</v>
      </c>
      <c r="B363" t="s">
        <v>5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2085</v>
      </c>
      <c r="J363">
        <v>-624.76095000000009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2085</v>
      </c>
      <c r="J364">
        <v>-514.97984999999994</v>
      </c>
      <c r="K364" t="s">
        <v>48</v>
      </c>
    </row>
    <row r="365" spans="1:11" x14ac:dyDescent="0.45">
      <c r="A365" t="s">
        <v>90</v>
      </c>
      <c r="B365" t="s">
        <v>1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2085</v>
      </c>
      <c r="J365">
        <v>-579.0367</v>
      </c>
      <c r="K365" t="s">
        <v>48</v>
      </c>
    </row>
    <row r="366" spans="1:11" x14ac:dyDescent="0.45">
      <c r="A366" t="s">
        <v>90</v>
      </c>
      <c r="B366" t="s">
        <v>3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2090</v>
      </c>
      <c r="J366">
        <v>-512.18989999999997</v>
      </c>
      <c r="K366" t="s">
        <v>48</v>
      </c>
    </row>
    <row r="367" spans="1:11" x14ac:dyDescent="0.45">
      <c r="A367" t="s">
        <v>90</v>
      </c>
      <c r="B367" t="s">
        <v>4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-410.31465000000003</v>
      </c>
      <c r="K367" t="s">
        <v>48</v>
      </c>
    </row>
    <row r="368" spans="1:11" x14ac:dyDescent="0.45">
      <c r="A368" t="s">
        <v>90</v>
      </c>
      <c r="B368" t="s">
        <v>0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2090</v>
      </c>
      <c r="J368">
        <v>-652.46775000000002</v>
      </c>
      <c r="K368" t="s">
        <v>48</v>
      </c>
    </row>
    <row r="369" spans="1:11" x14ac:dyDescent="0.45">
      <c r="A369" t="s">
        <v>90</v>
      </c>
      <c r="B369" t="s">
        <v>6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2090</v>
      </c>
      <c r="J369">
        <v>-557.17840000000001</v>
      </c>
      <c r="K369" t="s">
        <v>48</v>
      </c>
    </row>
    <row r="370" spans="1:11" x14ac:dyDescent="0.45">
      <c r="A370" t="s">
        <v>90</v>
      </c>
      <c r="B370" t="s">
        <v>5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2090</v>
      </c>
      <c r="J370">
        <v>-616.50839999999994</v>
      </c>
      <c r="K370" t="s">
        <v>48</v>
      </c>
    </row>
    <row r="371" spans="1:11" x14ac:dyDescent="0.45">
      <c r="A371" t="s">
        <v>90</v>
      </c>
      <c r="B371" t="s">
        <v>2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2090</v>
      </c>
      <c r="J371">
        <v>-503.77470000000005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2090</v>
      </c>
      <c r="J372">
        <v>-565.94575000000009</v>
      </c>
      <c r="K372" t="s">
        <v>48</v>
      </c>
    </row>
    <row r="373" spans="1:11" x14ac:dyDescent="0.45">
      <c r="A373" t="s">
        <v>90</v>
      </c>
      <c r="B373" t="s">
        <v>3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2095</v>
      </c>
      <c r="J373">
        <v>-499.11694999999997</v>
      </c>
      <c r="K373" t="s">
        <v>48</v>
      </c>
    </row>
    <row r="374" spans="1:11" x14ac:dyDescent="0.45">
      <c r="A374" t="s">
        <v>90</v>
      </c>
      <c r="B374" t="s">
        <v>4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2095</v>
      </c>
      <c r="J374">
        <v>-401.55939999999998</v>
      </c>
      <c r="K374" t="s">
        <v>48</v>
      </c>
    </row>
    <row r="375" spans="1:11" x14ac:dyDescent="0.45">
      <c r="A375" t="s">
        <v>90</v>
      </c>
      <c r="B375" t="s">
        <v>0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2095</v>
      </c>
      <c r="J375">
        <v>-624.74849999999992</v>
      </c>
      <c r="K375" t="s">
        <v>48</v>
      </c>
    </row>
    <row r="376" spans="1:11" x14ac:dyDescent="0.45">
      <c r="A376" t="s">
        <v>90</v>
      </c>
      <c r="B376" t="s">
        <v>6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2095</v>
      </c>
      <c r="J376">
        <v>-549.26224999999999</v>
      </c>
      <c r="K376" t="s">
        <v>48</v>
      </c>
    </row>
    <row r="377" spans="1:11" x14ac:dyDescent="0.45">
      <c r="A377" t="s">
        <v>90</v>
      </c>
      <c r="B377" t="s">
        <v>5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2095</v>
      </c>
      <c r="J377">
        <v>-618.76160000000004</v>
      </c>
      <c r="K377" t="s">
        <v>48</v>
      </c>
    </row>
    <row r="378" spans="1:11" x14ac:dyDescent="0.45">
      <c r="A378" t="s">
        <v>90</v>
      </c>
      <c r="B378" t="s">
        <v>2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2095</v>
      </c>
      <c r="J378">
        <v>-484.30865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2095</v>
      </c>
      <c r="J379">
        <v>-575.52459999999996</v>
      </c>
      <c r="K379" t="s">
        <v>48</v>
      </c>
    </row>
    <row r="380" spans="1:11" x14ac:dyDescent="0.45">
      <c r="A380" t="s">
        <v>90</v>
      </c>
      <c r="B380" t="s">
        <v>3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2100</v>
      </c>
      <c r="J380">
        <v>-486.06245000000001</v>
      </c>
      <c r="K380" t="s">
        <v>48</v>
      </c>
    </row>
    <row r="381" spans="1:11" x14ac:dyDescent="0.45">
      <c r="A381" t="s">
        <v>90</v>
      </c>
      <c r="B381" t="s">
        <v>4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2100</v>
      </c>
      <c r="J381">
        <v>-393.33350000000002</v>
      </c>
      <c r="K381" t="s">
        <v>48</v>
      </c>
    </row>
    <row r="382" spans="1:11" x14ac:dyDescent="0.45">
      <c r="A382" t="s">
        <v>90</v>
      </c>
      <c r="B382" t="s">
        <v>0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2100</v>
      </c>
      <c r="J382">
        <v>-596.89364999999998</v>
      </c>
      <c r="K382" t="s">
        <v>48</v>
      </c>
    </row>
    <row r="383" spans="1:11" x14ac:dyDescent="0.45">
      <c r="A383" t="s">
        <v>90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2100</v>
      </c>
      <c r="J383">
        <v>-541.19029999999998</v>
      </c>
      <c r="K383" t="s">
        <v>48</v>
      </c>
    </row>
    <row r="384" spans="1:11" x14ac:dyDescent="0.45">
      <c r="A384" t="s">
        <v>90</v>
      </c>
      <c r="B384" t="s">
        <v>5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2100</v>
      </c>
      <c r="J384">
        <v>-621.18110000000001</v>
      </c>
      <c r="K384" t="s">
        <v>48</v>
      </c>
    </row>
    <row r="385" spans="1:11" x14ac:dyDescent="0.45">
      <c r="A385" t="s">
        <v>90</v>
      </c>
      <c r="B385" t="s">
        <v>2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-464.85944999999998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-585.41640000000007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368.1232</v>
      </c>
      <c r="K387" t="s">
        <v>51</v>
      </c>
    </row>
    <row r="388" spans="1:11" x14ac:dyDescent="0.45">
      <c r="A388" t="s">
        <v>90</v>
      </c>
      <c r="B388" t="s">
        <v>4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2020</v>
      </c>
      <c r="J388">
        <v>368.61654999999996</v>
      </c>
      <c r="K388" t="s">
        <v>51</v>
      </c>
    </row>
    <row r="389" spans="1:11" x14ac:dyDescent="0.45">
      <c r="A389" t="s">
        <v>90</v>
      </c>
      <c r="B389" t="s">
        <v>0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2020</v>
      </c>
      <c r="J389">
        <v>368.72444999999999</v>
      </c>
      <c r="K389" t="s">
        <v>51</v>
      </c>
    </row>
    <row r="390" spans="1:11" x14ac:dyDescent="0.45">
      <c r="A390" t="s">
        <v>90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2020</v>
      </c>
      <c r="J390">
        <v>368.93385000000001</v>
      </c>
      <c r="K390" t="s">
        <v>51</v>
      </c>
    </row>
    <row r="391" spans="1:11" x14ac:dyDescent="0.45">
      <c r="A391" t="s">
        <v>90</v>
      </c>
      <c r="B391" t="s">
        <v>5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2020</v>
      </c>
      <c r="J391">
        <v>364.66904999999997</v>
      </c>
      <c r="K391" t="s">
        <v>51</v>
      </c>
    </row>
    <row r="392" spans="1:11" x14ac:dyDescent="0.45">
      <c r="A392" t="s">
        <v>90</v>
      </c>
      <c r="B392" t="s">
        <v>2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2020</v>
      </c>
      <c r="J392">
        <v>368.6857</v>
      </c>
      <c r="K392" t="s">
        <v>51</v>
      </c>
    </row>
    <row r="393" spans="1:11" x14ac:dyDescent="0.45">
      <c r="A393" t="s">
        <v>90</v>
      </c>
      <c r="B393" t="s">
        <v>1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2020</v>
      </c>
      <c r="J393">
        <v>367.11849999999998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2025</v>
      </c>
      <c r="J394">
        <v>291.28805</v>
      </c>
      <c r="K394" t="s">
        <v>51</v>
      </c>
    </row>
    <row r="395" spans="1:11" x14ac:dyDescent="0.45">
      <c r="A395" t="s">
        <v>90</v>
      </c>
      <c r="B395" t="s">
        <v>4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2025</v>
      </c>
      <c r="J395">
        <v>298.70139999999998</v>
      </c>
      <c r="K395" t="s">
        <v>51</v>
      </c>
    </row>
    <row r="396" spans="1:11" x14ac:dyDescent="0.45">
      <c r="A396" t="s">
        <v>90</v>
      </c>
      <c r="B396" t="s">
        <v>0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2025</v>
      </c>
      <c r="J396">
        <v>299.02420000000001</v>
      </c>
      <c r="K396" t="s">
        <v>51</v>
      </c>
    </row>
    <row r="397" spans="1:11" x14ac:dyDescent="0.45">
      <c r="A397" t="s">
        <v>90</v>
      </c>
      <c r="B397" t="s">
        <v>6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2025</v>
      </c>
      <c r="J397">
        <v>299.0872</v>
      </c>
      <c r="K397" t="s">
        <v>51</v>
      </c>
    </row>
    <row r="398" spans="1:11" x14ac:dyDescent="0.45">
      <c r="A398" t="s">
        <v>90</v>
      </c>
      <c r="B398" t="s">
        <v>5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2025</v>
      </c>
      <c r="J398">
        <v>274.81214999999997</v>
      </c>
      <c r="K398" t="s">
        <v>51</v>
      </c>
    </row>
    <row r="399" spans="1:11" x14ac:dyDescent="0.45">
      <c r="A399" t="s">
        <v>90</v>
      </c>
      <c r="B399" t="s">
        <v>2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2025</v>
      </c>
      <c r="J399">
        <v>284.99334999999996</v>
      </c>
      <c r="K399" t="s">
        <v>51</v>
      </c>
    </row>
    <row r="400" spans="1:11" x14ac:dyDescent="0.45">
      <c r="A400" t="s">
        <v>90</v>
      </c>
      <c r="B400" t="s">
        <v>1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2025</v>
      </c>
      <c r="J400">
        <v>279.49509999999998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2030</v>
      </c>
      <c r="J401">
        <v>203.32080000000002</v>
      </c>
      <c r="K401" t="s">
        <v>51</v>
      </c>
    </row>
    <row r="402" spans="1:11" x14ac:dyDescent="0.45">
      <c r="A402" t="s">
        <v>90</v>
      </c>
      <c r="B402" t="s">
        <v>4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2030</v>
      </c>
      <c r="J402">
        <v>286.09390000000002</v>
      </c>
      <c r="K402" t="s">
        <v>51</v>
      </c>
    </row>
    <row r="403" spans="1:11" x14ac:dyDescent="0.45">
      <c r="A403" t="s">
        <v>90</v>
      </c>
      <c r="B403" t="s">
        <v>0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2030</v>
      </c>
      <c r="J403">
        <v>286.1737</v>
      </c>
      <c r="K403" t="s">
        <v>51</v>
      </c>
    </row>
    <row r="404" spans="1:11" x14ac:dyDescent="0.45">
      <c r="A404" t="s">
        <v>90</v>
      </c>
      <c r="B404" t="s">
        <v>6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2030</v>
      </c>
      <c r="J404">
        <v>286.32974999999999</v>
      </c>
      <c r="K404" t="s">
        <v>51</v>
      </c>
    </row>
    <row r="405" spans="1:11" x14ac:dyDescent="0.45">
      <c r="A405" t="s">
        <v>90</v>
      </c>
      <c r="B405" t="s">
        <v>5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2030</v>
      </c>
      <c r="J405">
        <v>137.57294999999999</v>
      </c>
      <c r="K405" t="s">
        <v>51</v>
      </c>
    </row>
    <row r="406" spans="1:11" x14ac:dyDescent="0.45">
      <c r="A406" t="s">
        <v>90</v>
      </c>
      <c r="B406" t="s">
        <v>2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160.33154999999999</v>
      </c>
      <c r="K406" t="s">
        <v>51</v>
      </c>
    </row>
    <row r="407" spans="1:11" x14ac:dyDescent="0.45">
      <c r="A407" t="s">
        <v>90</v>
      </c>
      <c r="B407" t="s">
        <v>1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2030</v>
      </c>
      <c r="J407">
        <v>152.31864999999999</v>
      </c>
      <c r="K407" t="s">
        <v>51</v>
      </c>
    </row>
    <row r="408" spans="1:11" x14ac:dyDescent="0.45">
      <c r="A408" t="s">
        <v>90</v>
      </c>
      <c r="B408" t="s">
        <v>3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2035</v>
      </c>
      <c r="J408">
        <v>128.63385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2035</v>
      </c>
      <c r="J409">
        <v>230.94454999999999</v>
      </c>
      <c r="K409" t="s">
        <v>51</v>
      </c>
    </row>
    <row r="410" spans="1:11" x14ac:dyDescent="0.45">
      <c r="A410" t="s">
        <v>90</v>
      </c>
      <c r="B410" t="s">
        <v>0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2035</v>
      </c>
      <c r="J410">
        <v>224.23964999999998</v>
      </c>
      <c r="K410" t="s">
        <v>51</v>
      </c>
    </row>
    <row r="411" spans="1:11" x14ac:dyDescent="0.45">
      <c r="A411" t="s">
        <v>90</v>
      </c>
      <c r="B411" t="s">
        <v>6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2035</v>
      </c>
      <c r="J411">
        <v>235.61345</v>
      </c>
      <c r="K411" t="s">
        <v>51</v>
      </c>
    </row>
    <row r="412" spans="1:11" x14ac:dyDescent="0.45">
      <c r="A412" t="s">
        <v>90</v>
      </c>
      <c r="B412" t="s">
        <v>5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2035</v>
      </c>
      <c r="J412">
        <v>80.326499999999996</v>
      </c>
      <c r="K412" t="s">
        <v>51</v>
      </c>
    </row>
    <row r="413" spans="1:11" x14ac:dyDescent="0.45">
      <c r="A413" t="s">
        <v>90</v>
      </c>
      <c r="B413" t="s">
        <v>2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2035</v>
      </c>
      <c r="J413">
        <v>95.695050000000009</v>
      </c>
      <c r="K413" t="s">
        <v>51</v>
      </c>
    </row>
    <row r="414" spans="1:11" x14ac:dyDescent="0.45">
      <c r="A414" t="s">
        <v>90</v>
      </c>
      <c r="B414" t="s">
        <v>1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2035</v>
      </c>
      <c r="J414">
        <v>74.767899999999997</v>
      </c>
      <c r="K414" t="s">
        <v>51</v>
      </c>
    </row>
    <row r="415" spans="1:11" x14ac:dyDescent="0.45">
      <c r="A415" t="s">
        <v>90</v>
      </c>
      <c r="B415" t="s">
        <v>3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2040</v>
      </c>
      <c r="J415">
        <v>66.48214999999999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2040</v>
      </c>
      <c r="J416">
        <v>214.16905</v>
      </c>
      <c r="K416" t="s">
        <v>51</v>
      </c>
    </row>
    <row r="417" spans="1:11" x14ac:dyDescent="0.45">
      <c r="A417" t="s">
        <v>90</v>
      </c>
      <c r="B417" t="s">
        <v>0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2040</v>
      </c>
      <c r="J417">
        <v>80.106249999999989</v>
      </c>
      <c r="K417" t="s">
        <v>51</v>
      </c>
    </row>
    <row r="418" spans="1:11" x14ac:dyDescent="0.45">
      <c r="A418" t="s">
        <v>90</v>
      </c>
      <c r="B418" t="s">
        <v>6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2040</v>
      </c>
      <c r="J418">
        <v>152.9307</v>
      </c>
      <c r="K418" t="s">
        <v>51</v>
      </c>
    </row>
    <row r="419" spans="1:11" x14ac:dyDescent="0.45">
      <c r="A419" t="s">
        <v>90</v>
      </c>
      <c r="B419" t="s">
        <v>5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2040</v>
      </c>
      <c r="J419">
        <v>54.347349999999999</v>
      </c>
      <c r="K419" t="s">
        <v>51</v>
      </c>
    </row>
    <row r="420" spans="1:11" x14ac:dyDescent="0.45">
      <c r="A420" t="s">
        <v>90</v>
      </c>
      <c r="B420" t="s">
        <v>2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2040</v>
      </c>
      <c r="J420">
        <v>47.459599999999995</v>
      </c>
      <c r="K420" t="s">
        <v>51</v>
      </c>
    </row>
    <row r="421" spans="1:11" x14ac:dyDescent="0.45">
      <c r="A421" t="s">
        <v>90</v>
      </c>
      <c r="B421" t="s">
        <v>1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2040</v>
      </c>
      <c r="J421">
        <v>33.939750000000004</v>
      </c>
      <c r="K421" t="s">
        <v>51</v>
      </c>
    </row>
    <row r="422" spans="1:11" x14ac:dyDescent="0.45">
      <c r="A422" t="s">
        <v>90</v>
      </c>
      <c r="B422" t="s">
        <v>3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2045</v>
      </c>
      <c r="J422">
        <v>29.027100000000001</v>
      </c>
      <c r="K422" t="s">
        <v>51</v>
      </c>
    </row>
    <row r="423" spans="1:11" x14ac:dyDescent="0.45">
      <c r="A423" t="s">
        <v>90</v>
      </c>
      <c r="B423" t="s">
        <v>4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2045</v>
      </c>
      <c r="J423">
        <v>199.83674999999999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2045</v>
      </c>
      <c r="J424">
        <v>23.0305</v>
      </c>
      <c r="K424" t="s">
        <v>51</v>
      </c>
    </row>
    <row r="425" spans="1:11" x14ac:dyDescent="0.45">
      <c r="A425" t="s">
        <v>90</v>
      </c>
      <c r="B425" t="s">
        <v>6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2045</v>
      </c>
      <c r="J425">
        <v>110.90995000000001</v>
      </c>
      <c r="K425" t="s">
        <v>51</v>
      </c>
    </row>
    <row r="426" spans="1:11" x14ac:dyDescent="0.45">
      <c r="A426" t="s">
        <v>90</v>
      </c>
      <c r="B426" t="s">
        <v>5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29.27205</v>
      </c>
      <c r="K426" t="s">
        <v>51</v>
      </c>
    </row>
    <row r="427" spans="1:11" x14ac:dyDescent="0.45">
      <c r="A427" t="s">
        <v>90</v>
      </c>
      <c r="B427" t="s">
        <v>2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2045</v>
      </c>
      <c r="J427">
        <v>19.9922</v>
      </c>
      <c r="K427" t="s">
        <v>51</v>
      </c>
    </row>
    <row r="428" spans="1:11" x14ac:dyDescent="0.45">
      <c r="A428" t="s">
        <v>90</v>
      </c>
      <c r="B428" t="s">
        <v>1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2045</v>
      </c>
      <c r="J428">
        <v>2.7159500000000003</v>
      </c>
      <c r="K428" t="s">
        <v>51</v>
      </c>
    </row>
    <row r="429" spans="1:11" x14ac:dyDescent="0.45">
      <c r="A429" t="s">
        <v>90</v>
      </c>
      <c r="B429" t="s">
        <v>3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2050</v>
      </c>
      <c r="J429">
        <v>12.405949999999999</v>
      </c>
      <c r="K429" t="s">
        <v>51</v>
      </c>
    </row>
    <row r="430" spans="1:11" x14ac:dyDescent="0.45">
      <c r="A430" t="s">
        <v>90</v>
      </c>
      <c r="B430" t="s">
        <v>4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2050</v>
      </c>
      <c r="J430">
        <v>194.44970000000001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2050</v>
      </c>
      <c r="J431">
        <v>-12.75825</v>
      </c>
      <c r="K431" t="s">
        <v>51</v>
      </c>
    </row>
    <row r="432" spans="1:11" x14ac:dyDescent="0.45">
      <c r="A432" t="s">
        <v>90</v>
      </c>
      <c r="B432" t="s">
        <v>6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2050</v>
      </c>
      <c r="J432">
        <v>95.756249999999994</v>
      </c>
      <c r="K432" t="s">
        <v>51</v>
      </c>
    </row>
    <row r="433" spans="1:11" x14ac:dyDescent="0.45">
      <c r="A433" t="s">
        <v>90</v>
      </c>
      <c r="B433" t="s">
        <v>5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2050</v>
      </c>
      <c r="J433">
        <v>6.6160499999999995</v>
      </c>
      <c r="K433" t="s">
        <v>51</v>
      </c>
    </row>
    <row r="434" spans="1:11" x14ac:dyDescent="0.45">
      <c r="A434" t="s">
        <v>90</v>
      </c>
      <c r="B434" t="s">
        <v>2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2050</v>
      </c>
      <c r="J434">
        <v>14.712</v>
      </c>
      <c r="K434" t="s">
        <v>51</v>
      </c>
    </row>
    <row r="435" spans="1:11" x14ac:dyDescent="0.45">
      <c r="A435" t="s">
        <v>90</v>
      </c>
      <c r="B435" t="s">
        <v>1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2050</v>
      </c>
      <c r="J435">
        <v>-14.411850000000001</v>
      </c>
      <c r="K435" t="s">
        <v>51</v>
      </c>
    </row>
    <row r="436" spans="1:11" x14ac:dyDescent="0.45">
      <c r="A436" t="s">
        <v>90</v>
      </c>
      <c r="B436" t="s">
        <v>3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2055</v>
      </c>
      <c r="J436">
        <v>9.8053500000000007</v>
      </c>
      <c r="K436" t="s">
        <v>51</v>
      </c>
    </row>
    <row r="437" spans="1:11" x14ac:dyDescent="0.45">
      <c r="A437" t="s">
        <v>90</v>
      </c>
      <c r="B437" t="s">
        <v>4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2055</v>
      </c>
      <c r="J437">
        <v>187.44714999999999</v>
      </c>
      <c r="K437" t="s">
        <v>51</v>
      </c>
    </row>
    <row r="438" spans="1:11" x14ac:dyDescent="0.45">
      <c r="A438" t="s">
        <v>90</v>
      </c>
      <c r="B438" t="s">
        <v>0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2055</v>
      </c>
      <c r="J438">
        <v>-40.918800000000005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2055</v>
      </c>
      <c r="J439">
        <v>51.278150000000004</v>
      </c>
      <c r="K439" t="s">
        <v>51</v>
      </c>
    </row>
    <row r="440" spans="1:11" x14ac:dyDescent="0.45">
      <c r="A440" t="s">
        <v>90</v>
      </c>
      <c r="B440" t="s">
        <v>5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2055</v>
      </c>
      <c r="J440">
        <v>-27.013650000000002</v>
      </c>
      <c r="K440" t="s">
        <v>51</v>
      </c>
    </row>
    <row r="441" spans="1:11" x14ac:dyDescent="0.45">
      <c r="A441" t="s">
        <v>90</v>
      </c>
      <c r="B441" t="s">
        <v>2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2055</v>
      </c>
      <c r="J441">
        <v>11.016300000000001</v>
      </c>
      <c r="K441" t="s">
        <v>51</v>
      </c>
    </row>
    <row r="442" spans="1:11" x14ac:dyDescent="0.45">
      <c r="A442" t="s">
        <v>90</v>
      </c>
      <c r="B442" t="s">
        <v>1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2055</v>
      </c>
      <c r="J442">
        <v>-29.253300000000003</v>
      </c>
      <c r="K442" t="s">
        <v>51</v>
      </c>
    </row>
    <row r="443" spans="1:11" x14ac:dyDescent="0.45">
      <c r="A443" t="s">
        <v>90</v>
      </c>
      <c r="B443" t="s">
        <v>3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2060</v>
      </c>
      <c r="J443">
        <v>8.4144500000000004</v>
      </c>
      <c r="K443" t="s">
        <v>51</v>
      </c>
    </row>
    <row r="444" spans="1:11" x14ac:dyDescent="0.45">
      <c r="A444" t="s">
        <v>90</v>
      </c>
      <c r="B444" t="s">
        <v>4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2060</v>
      </c>
      <c r="J444">
        <v>181.83590000000001</v>
      </c>
      <c r="K444" t="s">
        <v>51</v>
      </c>
    </row>
    <row r="445" spans="1:11" x14ac:dyDescent="0.45">
      <c r="A445" t="s">
        <v>90</v>
      </c>
      <c r="B445" t="s">
        <v>0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2060</v>
      </c>
      <c r="J445">
        <v>-70.261150000000001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47.073500000000003</v>
      </c>
      <c r="K446" t="s">
        <v>51</v>
      </c>
    </row>
    <row r="447" spans="1:11" x14ac:dyDescent="0.45">
      <c r="A447" t="s">
        <v>90</v>
      </c>
      <c r="B447" t="s">
        <v>5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2060</v>
      </c>
      <c r="J447">
        <v>-33.471350000000001</v>
      </c>
      <c r="K447" t="s">
        <v>51</v>
      </c>
    </row>
    <row r="448" spans="1:11" x14ac:dyDescent="0.45">
      <c r="A448" t="s">
        <v>90</v>
      </c>
      <c r="B448" t="s">
        <v>2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2060</v>
      </c>
      <c r="J448">
        <v>3.17645</v>
      </c>
      <c r="K448" t="s">
        <v>51</v>
      </c>
    </row>
    <row r="449" spans="1:11" x14ac:dyDescent="0.45">
      <c r="A449" t="s">
        <v>90</v>
      </c>
      <c r="B449" t="s">
        <v>1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2060</v>
      </c>
      <c r="J449">
        <v>-34.575600000000001</v>
      </c>
      <c r="K449" t="s">
        <v>51</v>
      </c>
    </row>
    <row r="450" spans="1:11" x14ac:dyDescent="0.45">
      <c r="A450" t="s">
        <v>90</v>
      </c>
      <c r="B450" t="s">
        <v>3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2065</v>
      </c>
      <c r="J450">
        <v>5.5976999999999997</v>
      </c>
      <c r="K450" t="s">
        <v>51</v>
      </c>
    </row>
    <row r="451" spans="1:11" x14ac:dyDescent="0.45">
      <c r="A451" t="s">
        <v>90</v>
      </c>
      <c r="B451" t="s">
        <v>4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2065</v>
      </c>
      <c r="J451">
        <v>175.87094999999999</v>
      </c>
      <c r="K451" t="s">
        <v>51</v>
      </c>
    </row>
    <row r="452" spans="1:11" x14ac:dyDescent="0.45">
      <c r="A452" t="s">
        <v>90</v>
      </c>
      <c r="B452" t="s">
        <v>0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2065</v>
      </c>
      <c r="J452">
        <v>-89.638949999999994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2065</v>
      </c>
      <c r="J453">
        <v>44.091500000000003</v>
      </c>
      <c r="K453" t="s">
        <v>51</v>
      </c>
    </row>
    <row r="454" spans="1:11" x14ac:dyDescent="0.45">
      <c r="A454" t="s">
        <v>90</v>
      </c>
      <c r="B454" t="s">
        <v>5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2065</v>
      </c>
      <c r="J454">
        <v>-35.997950000000003</v>
      </c>
      <c r="K454" t="s">
        <v>51</v>
      </c>
    </row>
    <row r="455" spans="1:11" x14ac:dyDescent="0.45">
      <c r="A455" t="s">
        <v>90</v>
      </c>
      <c r="B455" t="s">
        <v>2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2065</v>
      </c>
      <c r="J455">
        <v>-1.4208499999999999</v>
      </c>
      <c r="K455" t="s">
        <v>51</v>
      </c>
    </row>
    <row r="456" spans="1:11" x14ac:dyDescent="0.45">
      <c r="A456" t="s">
        <v>90</v>
      </c>
      <c r="B456" t="s">
        <v>1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2065</v>
      </c>
      <c r="J456">
        <v>-33.206800000000001</v>
      </c>
      <c r="K456" t="s">
        <v>51</v>
      </c>
    </row>
    <row r="457" spans="1:11" x14ac:dyDescent="0.45">
      <c r="A457" t="s">
        <v>90</v>
      </c>
      <c r="B457" t="s">
        <v>3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2070</v>
      </c>
      <c r="J457">
        <v>2.7221000000000002</v>
      </c>
      <c r="K457" t="s">
        <v>51</v>
      </c>
    </row>
    <row r="458" spans="1:11" x14ac:dyDescent="0.45">
      <c r="A458" t="s">
        <v>90</v>
      </c>
      <c r="B458" t="s">
        <v>4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2070</v>
      </c>
      <c r="J458">
        <v>170.0361</v>
      </c>
      <c r="K458" t="s">
        <v>51</v>
      </c>
    </row>
    <row r="459" spans="1:11" x14ac:dyDescent="0.45">
      <c r="A459" t="s">
        <v>90</v>
      </c>
      <c r="B459" t="s">
        <v>0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2070</v>
      </c>
      <c r="J459">
        <v>-112.53065000000001</v>
      </c>
      <c r="K459" t="s">
        <v>51</v>
      </c>
    </row>
    <row r="460" spans="1:11" x14ac:dyDescent="0.45">
      <c r="A460" t="s">
        <v>90</v>
      </c>
      <c r="B460" t="s">
        <v>6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2070</v>
      </c>
      <c r="J460">
        <v>41.195250000000001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2070</v>
      </c>
      <c r="J461">
        <v>-38.601500000000001</v>
      </c>
      <c r="K461" t="s">
        <v>51</v>
      </c>
    </row>
    <row r="462" spans="1:11" x14ac:dyDescent="0.45">
      <c r="A462" t="s">
        <v>90</v>
      </c>
      <c r="B462" t="s">
        <v>2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2070</v>
      </c>
      <c r="J462">
        <v>-5.6050000000000004</v>
      </c>
      <c r="K462" t="s">
        <v>51</v>
      </c>
    </row>
    <row r="463" spans="1:11" x14ac:dyDescent="0.45">
      <c r="A463" t="s">
        <v>90</v>
      </c>
      <c r="B463" t="s">
        <v>1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2070</v>
      </c>
      <c r="J463">
        <v>-32.472749999999998</v>
      </c>
      <c r="K463" t="s">
        <v>51</v>
      </c>
    </row>
    <row r="464" spans="1:11" x14ac:dyDescent="0.45">
      <c r="A464" t="s">
        <v>90</v>
      </c>
      <c r="B464" t="s">
        <v>3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2075</v>
      </c>
      <c r="J464">
        <v>3.33405</v>
      </c>
      <c r="K464" t="s">
        <v>51</v>
      </c>
    </row>
    <row r="465" spans="1:11" x14ac:dyDescent="0.45">
      <c r="A465" t="s">
        <v>90</v>
      </c>
      <c r="B465" t="s">
        <v>4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2075</v>
      </c>
      <c r="J465">
        <v>162.7621</v>
      </c>
      <c r="K465" t="s">
        <v>51</v>
      </c>
    </row>
    <row r="466" spans="1:11" x14ac:dyDescent="0.45">
      <c r="A466" t="s">
        <v>90</v>
      </c>
      <c r="B466" t="s">
        <v>0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-113.34950000000001</v>
      </c>
      <c r="K466" t="s">
        <v>51</v>
      </c>
    </row>
    <row r="467" spans="1:11" x14ac:dyDescent="0.45">
      <c r="A467" t="s">
        <v>90</v>
      </c>
      <c r="B467" t="s">
        <v>6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2075</v>
      </c>
      <c r="J467">
        <v>40.713299999999997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2075</v>
      </c>
      <c r="J468">
        <v>-39.004999999999995</v>
      </c>
      <c r="K468" t="s">
        <v>51</v>
      </c>
    </row>
    <row r="469" spans="1:11" x14ac:dyDescent="0.45">
      <c r="A469" t="s">
        <v>90</v>
      </c>
      <c r="B469" t="s">
        <v>2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2075</v>
      </c>
      <c r="J469">
        <v>1.56785</v>
      </c>
      <c r="K469" t="s">
        <v>51</v>
      </c>
    </row>
    <row r="470" spans="1:11" x14ac:dyDescent="0.45">
      <c r="A470" t="s">
        <v>90</v>
      </c>
      <c r="B470" t="s">
        <v>1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2075</v>
      </c>
      <c r="J470">
        <v>-34.849850000000004</v>
      </c>
      <c r="K470" t="s">
        <v>51</v>
      </c>
    </row>
    <row r="471" spans="1:11" x14ac:dyDescent="0.45">
      <c r="A471" t="s">
        <v>90</v>
      </c>
      <c r="B471" t="s">
        <v>3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2080</v>
      </c>
      <c r="J471">
        <v>4.1577000000000002</v>
      </c>
      <c r="K471" t="s">
        <v>51</v>
      </c>
    </row>
    <row r="472" spans="1:11" x14ac:dyDescent="0.45">
      <c r="A472" t="s">
        <v>90</v>
      </c>
      <c r="B472" t="s">
        <v>4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2080</v>
      </c>
      <c r="J472">
        <v>155.31810000000002</v>
      </c>
      <c r="K472" t="s">
        <v>51</v>
      </c>
    </row>
    <row r="473" spans="1:11" x14ac:dyDescent="0.45">
      <c r="A473" t="s">
        <v>90</v>
      </c>
      <c r="B473" t="s">
        <v>0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2080</v>
      </c>
      <c r="J473">
        <v>-115.5994</v>
      </c>
      <c r="K473" t="s">
        <v>51</v>
      </c>
    </row>
    <row r="474" spans="1:11" x14ac:dyDescent="0.45">
      <c r="A474" t="s">
        <v>90</v>
      </c>
      <c r="B474" t="s">
        <v>6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2080</v>
      </c>
      <c r="J474">
        <v>40.04795</v>
      </c>
      <c r="K474" t="s">
        <v>51</v>
      </c>
    </row>
    <row r="475" spans="1:11" x14ac:dyDescent="0.45">
      <c r="A475" t="s">
        <v>90</v>
      </c>
      <c r="B475" t="s">
        <v>5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2080</v>
      </c>
      <c r="J475">
        <v>-39.5764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2080</v>
      </c>
      <c r="J476">
        <v>9.3952999999999989</v>
      </c>
      <c r="K476" t="s">
        <v>51</v>
      </c>
    </row>
    <row r="477" spans="1:11" x14ac:dyDescent="0.45">
      <c r="A477" t="s">
        <v>90</v>
      </c>
      <c r="B477" t="s">
        <v>1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2080</v>
      </c>
      <c r="J477">
        <v>-33.67615</v>
      </c>
      <c r="K477" t="s">
        <v>51</v>
      </c>
    </row>
    <row r="478" spans="1:11" x14ac:dyDescent="0.45">
      <c r="A478" t="s">
        <v>90</v>
      </c>
      <c r="B478" t="s">
        <v>3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2085</v>
      </c>
      <c r="J478">
        <v>1.5368999999999999</v>
      </c>
      <c r="K478" t="s">
        <v>51</v>
      </c>
    </row>
    <row r="479" spans="1:11" x14ac:dyDescent="0.45">
      <c r="A479" t="s">
        <v>90</v>
      </c>
      <c r="B479" t="s">
        <v>4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2085</v>
      </c>
      <c r="J479">
        <v>148.06195</v>
      </c>
      <c r="K479" t="s">
        <v>51</v>
      </c>
    </row>
    <row r="480" spans="1:11" x14ac:dyDescent="0.45">
      <c r="A480" t="s">
        <v>90</v>
      </c>
      <c r="B480" t="s">
        <v>0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2085</v>
      </c>
      <c r="J480">
        <v>-99.520849999999996</v>
      </c>
      <c r="K480" t="s">
        <v>51</v>
      </c>
    </row>
    <row r="481" spans="1:11" x14ac:dyDescent="0.45">
      <c r="A481" t="s">
        <v>90</v>
      </c>
      <c r="B481" t="s">
        <v>6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2085</v>
      </c>
      <c r="J481">
        <v>38.414200000000001</v>
      </c>
      <c r="K481" t="s">
        <v>51</v>
      </c>
    </row>
    <row r="482" spans="1:11" x14ac:dyDescent="0.45">
      <c r="A482" t="s">
        <v>90</v>
      </c>
      <c r="B482" t="s">
        <v>5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2085</v>
      </c>
      <c r="J482">
        <v>-40.76585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2085</v>
      </c>
      <c r="J483">
        <v>17.029899999999998</v>
      </c>
      <c r="K483" t="s">
        <v>51</v>
      </c>
    </row>
    <row r="484" spans="1:11" x14ac:dyDescent="0.45">
      <c r="A484" t="s">
        <v>90</v>
      </c>
      <c r="B484" t="s">
        <v>1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2085</v>
      </c>
      <c r="J484">
        <v>-34.557549999999999</v>
      </c>
      <c r="K484" t="s">
        <v>51</v>
      </c>
    </row>
    <row r="485" spans="1:11" x14ac:dyDescent="0.45">
      <c r="A485" t="s">
        <v>90</v>
      </c>
      <c r="B485" t="s">
        <v>3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2090</v>
      </c>
      <c r="J485">
        <v>-0.57155</v>
      </c>
      <c r="K485" t="s">
        <v>51</v>
      </c>
    </row>
    <row r="486" spans="1:11" x14ac:dyDescent="0.45">
      <c r="A486" t="s">
        <v>90</v>
      </c>
      <c r="B486" t="s">
        <v>4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140.29345000000001</v>
      </c>
      <c r="K486" t="s">
        <v>51</v>
      </c>
    </row>
    <row r="487" spans="1:11" x14ac:dyDescent="0.45">
      <c r="A487" t="s">
        <v>90</v>
      </c>
      <c r="B487" t="s">
        <v>0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2090</v>
      </c>
      <c r="J487">
        <v>-83.474950000000007</v>
      </c>
      <c r="K487" t="s">
        <v>51</v>
      </c>
    </row>
    <row r="488" spans="1:11" x14ac:dyDescent="0.45">
      <c r="A488" t="s">
        <v>90</v>
      </c>
      <c r="B488" t="s">
        <v>6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2090</v>
      </c>
      <c r="J488">
        <v>37.535849999999996</v>
      </c>
      <c r="K488" t="s">
        <v>51</v>
      </c>
    </row>
    <row r="489" spans="1:11" x14ac:dyDescent="0.45">
      <c r="A489" t="s">
        <v>90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2090</v>
      </c>
      <c r="J489">
        <v>-41.96705</v>
      </c>
      <c r="K489" t="s">
        <v>51</v>
      </c>
    </row>
    <row r="490" spans="1:11" x14ac:dyDescent="0.45">
      <c r="A490" t="s">
        <v>90</v>
      </c>
      <c r="B490" t="s">
        <v>2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2090</v>
      </c>
      <c r="J490">
        <v>24.78575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2090</v>
      </c>
      <c r="J491">
        <v>-35.333799999999997</v>
      </c>
      <c r="K491" t="s">
        <v>51</v>
      </c>
    </row>
    <row r="492" spans="1:11" x14ac:dyDescent="0.45">
      <c r="A492" t="s">
        <v>90</v>
      </c>
      <c r="B492" t="s">
        <v>3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2095</v>
      </c>
      <c r="J492">
        <v>-1.2314500000000002</v>
      </c>
      <c r="K492" t="s">
        <v>51</v>
      </c>
    </row>
    <row r="493" spans="1:11" x14ac:dyDescent="0.45">
      <c r="A493" t="s">
        <v>90</v>
      </c>
      <c r="B493" t="s">
        <v>4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2095</v>
      </c>
      <c r="J493">
        <v>129.9933</v>
      </c>
      <c r="K493" t="s">
        <v>51</v>
      </c>
    </row>
    <row r="494" spans="1:11" x14ac:dyDescent="0.45">
      <c r="A494" t="s">
        <v>90</v>
      </c>
      <c r="B494" t="s">
        <v>0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2095</v>
      </c>
      <c r="J494">
        <v>-66.457700000000003</v>
      </c>
      <c r="K494" t="s">
        <v>51</v>
      </c>
    </row>
    <row r="495" spans="1:11" x14ac:dyDescent="0.45">
      <c r="A495" t="s">
        <v>90</v>
      </c>
      <c r="B495" t="s">
        <v>6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2095</v>
      </c>
      <c r="J495">
        <v>35.592149999999997</v>
      </c>
      <c r="K495" t="s">
        <v>51</v>
      </c>
    </row>
    <row r="496" spans="1:11" x14ac:dyDescent="0.45">
      <c r="A496" t="s">
        <v>90</v>
      </c>
      <c r="B496" t="s">
        <v>5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2095</v>
      </c>
      <c r="J496">
        <v>-40.525849999999998</v>
      </c>
      <c r="K496" t="s">
        <v>51</v>
      </c>
    </row>
    <row r="497" spans="1:11" x14ac:dyDescent="0.45">
      <c r="A497" t="s">
        <v>90</v>
      </c>
      <c r="B497" t="s">
        <v>2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2095</v>
      </c>
      <c r="J497">
        <v>24.563600000000001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2095</v>
      </c>
      <c r="J498">
        <v>-36.803049999999999</v>
      </c>
      <c r="K498" t="s">
        <v>51</v>
      </c>
    </row>
    <row r="499" spans="1:11" x14ac:dyDescent="0.45">
      <c r="A499" t="s">
        <v>90</v>
      </c>
      <c r="B499" t="s">
        <v>3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2100</v>
      </c>
      <c r="J499">
        <v>-1.91195</v>
      </c>
      <c r="K499" t="s">
        <v>51</v>
      </c>
    </row>
    <row r="500" spans="1:11" x14ac:dyDescent="0.45">
      <c r="A500" t="s">
        <v>90</v>
      </c>
      <c r="B500" t="s">
        <v>4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2100</v>
      </c>
      <c r="J500">
        <v>119.1652</v>
      </c>
      <c r="K500" t="s">
        <v>51</v>
      </c>
    </row>
    <row r="501" spans="1:11" x14ac:dyDescent="0.45">
      <c r="A501" t="s">
        <v>90</v>
      </c>
      <c r="B501" t="s">
        <v>0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2100</v>
      </c>
      <c r="J501">
        <v>-49.305700000000002</v>
      </c>
      <c r="K501" t="s">
        <v>51</v>
      </c>
    </row>
    <row r="502" spans="1:11" x14ac:dyDescent="0.45">
      <c r="A502" t="s">
        <v>90</v>
      </c>
      <c r="B502" t="s">
        <v>6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2100</v>
      </c>
      <c r="J502">
        <v>33.803550000000001</v>
      </c>
      <c r="K502" t="s">
        <v>51</v>
      </c>
    </row>
    <row r="503" spans="1:11" x14ac:dyDescent="0.45">
      <c r="A503" t="s">
        <v>90</v>
      </c>
      <c r="B503" t="s">
        <v>5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2100</v>
      </c>
      <c r="J503">
        <v>-39.251350000000002</v>
      </c>
      <c r="K503" t="s">
        <v>51</v>
      </c>
    </row>
    <row r="504" spans="1:11" x14ac:dyDescent="0.45">
      <c r="A504" t="s">
        <v>90</v>
      </c>
      <c r="B504" t="s">
        <v>2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2100</v>
      </c>
      <c r="J504">
        <v>24.3261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-38.5871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0.37024999999999997</v>
      </c>
      <c r="K506" t="s">
        <v>24</v>
      </c>
    </row>
    <row r="507" spans="1:11" x14ac:dyDescent="0.45">
      <c r="A507" t="s">
        <v>90</v>
      </c>
      <c r="B507" t="s">
        <v>4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2020</v>
      </c>
      <c r="J507">
        <v>0.37339999999999995</v>
      </c>
      <c r="K507" t="s">
        <v>24</v>
      </c>
    </row>
    <row r="508" spans="1:11" x14ac:dyDescent="0.45">
      <c r="A508" t="s">
        <v>90</v>
      </c>
      <c r="B508" t="s">
        <v>0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2020</v>
      </c>
      <c r="J508">
        <v>0.36780000000000002</v>
      </c>
      <c r="K508" t="s">
        <v>24</v>
      </c>
    </row>
    <row r="509" spans="1:11" x14ac:dyDescent="0.45">
      <c r="A509" t="s">
        <v>90</v>
      </c>
      <c r="B509" t="s">
        <v>6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2020</v>
      </c>
      <c r="J509">
        <v>0.36830000000000002</v>
      </c>
      <c r="K509" t="s">
        <v>24</v>
      </c>
    </row>
    <row r="510" spans="1:11" x14ac:dyDescent="0.45">
      <c r="A510" t="s">
        <v>90</v>
      </c>
      <c r="B510" t="s">
        <v>5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2020</v>
      </c>
      <c r="J510">
        <v>0.3569</v>
      </c>
      <c r="K510" t="s">
        <v>24</v>
      </c>
    </row>
    <row r="511" spans="1:11" x14ac:dyDescent="0.45">
      <c r="A511" t="s">
        <v>90</v>
      </c>
      <c r="B511" t="s">
        <v>2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2020</v>
      </c>
      <c r="J511">
        <v>0.37224999999999997</v>
      </c>
      <c r="K511" t="s">
        <v>24</v>
      </c>
    </row>
    <row r="512" spans="1:11" x14ac:dyDescent="0.45">
      <c r="A512" t="s">
        <v>90</v>
      </c>
      <c r="B512" t="s">
        <v>1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2020</v>
      </c>
      <c r="J512">
        <v>0.36829999999999996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2025</v>
      </c>
      <c r="J513">
        <v>0.41770000000000002</v>
      </c>
      <c r="K513" t="s">
        <v>24</v>
      </c>
    </row>
    <row r="514" spans="1:11" x14ac:dyDescent="0.45">
      <c r="A514" t="s">
        <v>90</v>
      </c>
      <c r="B514" t="s">
        <v>4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2025</v>
      </c>
      <c r="J514">
        <v>0.4143</v>
      </c>
      <c r="K514" t="s">
        <v>24</v>
      </c>
    </row>
    <row r="515" spans="1:11" x14ac:dyDescent="0.45">
      <c r="A515" t="s">
        <v>90</v>
      </c>
      <c r="B515" t="s">
        <v>0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2025</v>
      </c>
      <c r="J515">
        <v>0.40790000000000004</v>
      </c>
      <c r="K515" t="s">
        <v>24</v>
      </c>
    </row>
    <row r="516" spans="1:11" x14ac:dyDescent="0.45">
      <c r="A516" t="s">
        <v>90</v>
      </c>
      <c r="B516" t="s">
        <v>6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2025</v>
      </c>
      <c r="J516">
        <v>0.40884999999999999</v>
      </c>
      <c r="K516" t="s">
        <v>24</v>
      </c>
    </row>
    <row r="517" spans="1:11" x14ac:dyDescent="0.45">
      <c r="A517" t="s">
        <v>90</v>
      </c>
      <c r="B517" t="s">
        <v>5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2025</v>
      </c>
      <c r="J517">
        <v>0.37154999999999999</v>
      </c>
      <c r="K517" t="s">
        <v>24</v>
      </c>
    </row>
    <row r="518" spans="1:11" x14ac:dyDescent="0.45">
      <c r="A518" t="s">
        <v>90</v>
      </c>
      <c r="B518" t="s">
        <v>2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2025</v>
      </c>
      <c r="J518">
        <v>0.41639999999999999</v>
      </c>
      <c r="K518" t="s">
        <v>24</v>
      </c>
    </row>
    <row r="519" spans="1:11" x14ac:dyDescent="0.45">
      <c r="A519" t="s">
        <v>90</v>
      </c>
      <c r="B519" t="s">
        <v>1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2025</v>
      </c>
      <c r="J519">
        <v>0.40975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2030</v>
      </c>
      <c r="J520">
        <v>0.41165000000000002</v>
      </c>
      <c r="K520" t="s">
        <v>24</v>
      </c>
    </row>
    <row r="521" spans="1:11" x14ac:dyDescent="0.45">
      <c r="A521" t="s">
        <v>90</v>
      </c>
      <c r="B521" t="s">
        <v>4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2030</v>
      </c>
      <c r="J521">
        <v>0.42515000000000003</v>
      </c>
      <c r="K521" t="s">
        <v>24</v>
      </c>
    </row>
    <row r="522" spans="1:11" x14ac:dyDescent="0.45">
      <c r="A522" t="s">
        <v>90</v>
      </c>
      <c r="B522" t="s">
        <v>0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2030</v>
      </c>
      <c r="J522">
        <v>0.4204</v>
      </c>
      <c r="K522" t="s">
        <v>24</v>
      </c>
    </row>
    <row r="523" spans="1:11" x14ac:dyDescent="0.45">
      <c r="A523" t="s">
        <v>90</v>
      </c>
      <c r="B523" t="s">
        <v>6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2030</v>
      </c>
      <c r="J523">
        <v>0.42185</v>
      </c>
      <c r="K523" t="s">
        <v>24</v>
      </c>
    </row>
    <row r="524" spans="1:11" x14ac:dyDescent="0.45">
      <c r="A524" t="s">
        <v>90</v>
      </c>
      <c r="B524" t="s">
        <v>5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2030</v>
      </c>
      <c r="J524">
        <v>0.32594999999999996</v>
      </c>
      <c r="K524" t="s">
        <v>24</v>
      </c>
    </row>
    <row r="525" spans="1:11" x14ac:dyDescent="0.45">
      <c r="A525" t="s">
        <v>90</v>
      </c>
      <c r="B525" t="s">
        <v>2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0.40505000000000002</v>
      </c>
      <c r="K525" t="s">
        <v>24</v>
      </c>
    </row>
    <row r="526" spans="1:11" x14ac:dyDescent="0.45">
      <c r="A526" t="s">
        <v>90</v>
      </c>
      <c r="B526" t="s">
        <v>1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2030</v>
      </c>
      <c r="J526">
        <v>0.41175</v>
      </c>
      <c r="K526" t="s">
        <v>24</v>
      </c>
    </row>
    <row r="527" spans="1:11" x14ac:dyDescent="0.45">
      <c r="A527" t="s">
        <v>90</v>
      </c>
      <c r="B527" t="s">
        <v>3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2035</v>
      </c>
      <c r="J527">
        <v>0.44625000000000004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2035</v>
      </c>
      <c r="J528">
        <v>0.4325</v>
      </c>
      <c r="K528" t="s">
        <v>24</v>
      </c>
    </row>
    <row r="529" spans="1:11" x14ac:dyDescent="0.45">
      <c r="A529" t="s">
        <v>90</v>
      </c>
      <c r="B529" t="s">
        <v>0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2035</v>
      </c>
      <c r="J529">
        <v>0.4178</v>
      </c>
      <c r="K529" t="s">
        <v>24</v>
      </c>
    </row>
    <row r="530" spans="1:11" x14ac:dyDescent="0.45">
      <c r="A530" t="s">
        <v>90</v>
      </c>
      <c r="B530" t="s">
        <v>6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2035</v>
      </c>
      <c r="J530">
        <v>0.41844999999999999</v>
      </c>
      <c r="K530" t="s">
        <v>24</v>
      </c>
    </row>
    <row r="531" spans="1:11" x14ac:dyDescent="0.45">
      <c r="A531" t="s">
        <v>90</v>
      </c>
      <c r="B531" t="s">
        <v>5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2035</v>
      </c>
      <c r="J531">
        <v>0.3266</v>
      </c>
      <c r="K531" t="s">
        <v>24</v>
      </c>
    </row>
    <row r="532" spans="1:11" x14ac:dyDescent="0.45">
      <c r="A532" t="s">
        <v>90</v>
      </c>
      <c r="B532" t="s">
        <v>2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2035</v>
      </c>
      <c r="J532">
        <v>0.46030000000000004</v>
      </c>
      <c r="K532" t="s">
        <v>24</v>
      </c>
    </row>
    <row r="533" spans="1:11" x14ac:dyDescent="0.45">
      <c r="A533" t="s">
        <v>90</v>
      </c>
      <c r="B533" t="s">
        <v>1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2035</v>
      </c>
      <c r="J533">
        <v>0.49345</v>
      </c>
      <c r="K533" t="s">
        <v>24</v>
      </c>
    </row>
    <row r="534" spans="1:11" x14ac:dyDescent="0.45">
      <c r="A534" t="s">
        <v>90</v>
      </c>
      <c r="B534" t="s">
        <v>3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2040</v>
      </c>
      <c r="J534">
        <v>0.51195000000000002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2040</v>
      </c>
      <c r="J535">
        <v>0.45979999999999999</v>
      </c>
      <c r="K535" t="s">
        <v>24</v>
      </c>
    </row>
    <row r="536" spans="1:11" x14ac:dyDescent="0.45">
      <c r="A536" t="s">
        <v>90</v>
      </c>
      <c r="B536" t="s">
        <v>0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2040</v>
      </c>
      <c r="J536">
        <v>0.52334999999999998</v>
      </c>
      <c r="K536" t="s">
        <v>24</v>
      </c>
    </row>
    <row r="537" spans="1:11" x14ac:dyDescent="0.45">
      <c r="A537" t="s">
        <v>90</v>
      </c>
      <c r="B537" t="s">
        <v>6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2040</v>
      </c>
      <c r="J537">
        <v>0.47025</v>
      </c>
      <c r="K537" t="s">
        <v>24</v>
      </c>
    </row>
    <row r="538" spans="1:11" x14ac:dyDescent="0.45">
      <c r="A538" t="s">
        <v>90</v>
      </c>
      <c r="B538" t="s">
        <v>5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2040</v>
      </c>
      <c r="J538">
        <v>0.30879999999999996</v>
      </c>
      <c r="K538" t="s">
        <v>24</v>
      </c>
    </row>
    <row r="539" spans="1:11" x14ac:dyDescent="0.45">
      <c r="A539" t="s">
        <v>90</v>
      </c>
      <c r="B539" t="s">
        <v>2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2040</v>
      </c>
      <c r="J539">
        <v>0.52194999999999991</v>
      </c>
      <c r="K539" t="s">
        <v>24</v>
      </c>
    </row>
    <row r="540" spans="1:11" x14ac:dyDescent="0.45">
      <c r="A540" t="s">
        <v>90</v>
      </c>
      <c r="B540" t="s">
        <v>1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2040</v>
      </c>
      <c r="J540">
        <v>0.5302</v>
      </c>
      <c r="K540" t="s">
        <v>24</v>
      </c>
    </row>
    <row r="541" spans="1:11" x14ac:dyDescent="0.45">
      <c r="A541" t="s">
        <v>90</v>
      </c>
      <c r="B541" t="s">
        <v>3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2045</v>
      </c>
      <c r="J541">
        <v>0.54679999999999995</v>
      </c>
      <c r="K541" t="s">
        <v>24</v>
      </c>
    </row>
    <row r="542" spans="1:11" x14ac:dyDescent="0.45">
      <c r="A542" t="s">
        <v>90</v>
      </c>
      <c r="B542" t="s">
        <v>4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2045</v>
      </c>
      <c r="J542">
        <v>0.48660000000000003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2045</v>
      </c>
      <c r="J543">
        <v>0.55954999999999999</v>
      </c>
      <c r="K543" t="s">
        <v>24</v>
      </c>
    </row>
    <row r="544" spans="1:11" x14ac:dyDescent="0.45">
      <c r="A544" t="s">
        <v>90</v>
      </c>
      <c r="B544" t="s">
        <v>6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2045</v>
      </c>
      <c r="J544">
        <v>0.50970000000000004</v>
      </c>
      <c r="K544" t="s">
        <v>24</v>
      </c>
    </row>
    <row r="545" spans="1:11" x14ac:dyDescent="0.45">
      <c r="A545" t="s">
        <v>90</v>
      </c>
      <c r="B545" t="s">
        <v>5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0.30420000000000003</v>
      </c>
      <c r="K545" t="s">
        <v>24</v>
      </c>
    </row>
    <row r="546" spans="1:11" x14ac:dyDescent="0.45">
      <c r="A546" t="s">
        <v>90</v>
      </c>
      <c r="B546" t="s">
        <v>2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2045</v>
      </c>
      <c r="J546">
        <v>0.56040000000000001</v>
      </c>
      <c r="K546" t="s">
        <v>24</v>
      </c>
    </row>
    <row r="547" spans="1:11" x14ac:dyDescent="0.45">
      <c r="A547" t="s">
        <v>90</v>
      </c>
      <c r="B547" t="s">
        <v>1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2045</v>
      </c>
      <c r="J547">
        <v>0.57250000000000001</v>
      </c>
      <c r="K547" t="s">
        <v>24</v>
      </c>
    </row>
    <row r="548" spans="1:11" x14ac:dyDescent="0.45">
      <c r="A548" t="s">
        <v>90</v>
      </c>
      <c r="B548" t="s">
        <v>3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2050</v>
      </c>
      <c r="J548">
        <v>0.58135000000000003</v>
      </c>
      <c r="K548" t="s">
        <v>24</v>
      </c>
    </row>
    <row r="549" spans="1:11" x14ac:dyDescent="0.45">
      <c r="A549" t="s">
        <v>90</v>
      </c>
      <c r="B549" t="s">
        <v>4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2050</v>
      </c>
      <c r="J549">
        <v>0.51444999999999996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2050</v>
      </c>
      <c r="J550">
        <v>0.57939999999999992</v>
      </c>
      <c r="K550" t="s">
        <v>24</v>
      </c>
    </row>
    <row r="551" spans="1:11" x14ac:dyDescent="0.45">
      <c r="A551" t="s">
        <v>90</v>
      </c>
      <c r="B551" t="s">
        <v>6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2050</v>
      </c>
      <c r="J551">
        <v>0.53354999999999997</v>
      </c>
      <c r="K551" t="s">
        <v>24</v>
      </c>
    </row>
    <row r="552" spans="1:11" x14ac:dyDescent="0.45">
      <c r="A552" t="s">
        <v>90</v>
      </c>
      <c r="B552" t="s">
        <v>5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2050</v>
      </c>
      <c r="J552">
        <v>0.31930000000000003</v>
      </c>
      <c r="K552" t="s">
        <v>24</v>
      </c>
    </row>
    <row r="553" spans="1:11" x14ac:dyDescent="0.45">
      <c r="A553" t="s">
        <v>90</v>
      </c>
      <c r="B553" t="s">
        <v>2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2050</v>
      </c>
      <c r="J553">
        <v>0.57650000000000001</v>
      </c>
      <c r="K553" t="s">
        <v>24</v>
      </c>
    </row>
    <row r="554" spans="1:11" x14ac:dyDescent="0.45">
      <c r="A554" t="s">
        <v>90</v>
      </c>
      <c r="B554" t="s">
        <v>1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2050</v>
      </c>
      <c r="J554">
        <v>0.6016999999999999</v>
      </c>
      <c r="K554" t="s">
        <v>24</v>
      </c>
    </row>
    <row r="555" spans="1:11" x14ac:dyDescent="0.45">
      <c r="A555" t="s">
        <v>90</v>
      </c>
      <c r="B555" t="s">
        <v>3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2055</v>
      </c>
      <c r="J555">
        <v>0.5968500000000001</v>
      </c>
      <c r="K555" t="s">
        <v>24</v>
      </c>
    </row>
    <row r="556" spans="1:11" x14ac:dyDescent="0.45">
      <c r="A556" t="s">
        <v>90</v>
      </c>
      <c r="B556" t="s">
        <v>4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2055</v>
      </c>
      <c r="J556">
        <v>0.5302</v>
      </c>
      <c r="K556" t="s">
        <v>24</v>
      </c>
    </row>
    <row r="557" spans="1:11" x14ac:dyDescent="0.45">
      <c r="A557" t="s">
        <v>90</v>
      </c>
      <c r="B557" t="s">
        <v>0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2055</v>
      </c>
      <c r="J557">
        <v>0.60319999999999996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2055</v>
      </c>
      <c r="J558">
        <v>0.54909999999999992</v>
      </c>
      <c r="K558" t="s">
        <v>24</v>
      </c>
    </row>
    <row r="559" spans="1:11" x14ac:dyDescent="0.45">
      <c r="A559" t="s">
        <v>90</v>
      </c>
      <c r="B559" t="s">
        <v>5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2055</v>
      </c>
      <c r="J559">
        <v>0.3125</v>
      </c>
      <c r="K559" t="s">
        <v>24</v>
      </c>
    </row>
    <row r="560" spans="1:11" x14ac:dyDescent="0.45">
      <c r="A560" t="s">
        <v>90</v>
      </c>
      <c r="B560" t="s">
        <v>2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2055</v>
      </c>
      <c r="J560">
        <v>0.55920000000000003</v>
      </c>
      <c r="K560" t="s">
        <v>24</v>
      </c>
    </row>
    <row r="561" spans="1:11" x14ac:dyDescent="0.45">
      <c r="A561" t="s">
        <v>90</v>
      </c>
      <c r="B561" t="s">
        <v>1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2055</v>
      </c>
      <c r="J561">
        <v>0.61424999999999996</v>
      </c>
      <c r="K561" t="s">
        <v>24</v>
      </c>
    </row>
    <row r="562" spans="1:11" x14ac:dyDescent="0.45">
      <c r="A562" t="s">
        <v>90</v>
      </c>
      <c r="B562" t="s">
        <v>3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2060</v>
      </c>
      <c r="J562">
        <v>0.5363</v>
      </c>
      <c r="K562" t="s">
        <v>24</v>
      </c>
    </row>
    <row r="563" spans="1:11" x14ac:dyDescent="0.45">
      <c r="A563" t="s">
        <v>90</v>
      </c>
      <c r="B563" t="s">
        <v>4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2060</v>
      </c>
      <c r="J563">
        <v>0.52750000000000008</v>
      </c>
      <c r="K563" t="s">
        <v>24</v>
      </c>
    </row>
    <row r="564" spans="1:11" x14ac:dyDescent="0.45">
      <c r="A564" t="s">
        <v>90</v>
      </c>
      <c r="B564" t="s">
        <v>0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2060</v>
      </c>
      <c r="J564">
        <v>0.56140000000000001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0.52150000000000007</v>
      </c>
      <c r="K565" t="s">
        <v>24</v>
      </c>
    </row>
    <row r="566" spans="1:11" x14ac:dyDescent="0.45">
      <c r="A566" t="s">
        <v>90</v>
      </c>
      <c r="B566" t="s">
        <v>5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2060</v>
      </c>
      <c r="J566">
        <v>0.30259999999999998</v>
      </c>
      <c r="K566" t="s">
        <v>24</v>
      </c>
    </row>
    <row r="567" spans="1:11" x14ac:dyDescent="0.45">
      <c r="A567" t="s">
        <v>90</v>
      </c>
      <c r="B567" t="s">
        <v>2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2060</v>
      </c>
      <c r="J567">
        <v>0.51785000000000003</v>
      </c>
      <c r="K567" t="s">
        <v>24</v>
      </c>
    </row>
    <row r="568" spans="1:11" x14ac:dyDescent="0.45">
      <c r="A568" t="s">
        <v>90</v>
      </c>
      <c r="B568" t="s">
        <v>1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2060</v>
      </c>
      <c r="J568">
        <v>0.56825000000000003</v>
      </c>
      <c r="K568" t="s">
        <v>24</v>
      </c>
    </row>
    <row r="569" spans="1:11" x14ac:dyDescent="0.45">
      <c r="A569" t="s">
        <v>90</v>
      </c>
      <c r="B569" t="s">
        <v>3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2065</v>
      </c>
      <c r="J569">
        <v>0.54039999999999999</v>
      </c>
      <c r="K569" t="s">
        <v>24</v>
      </c>
    </row>
    <row r="570" spans="1:11" x14ac:dyDescent="0.45">
      <c r="A570" t="s">
        <v>90</v>
      </c>
      <c r="B570" t="s">
        <v>4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2065</v>
      </c>
      <c r="J570">
        <v>0.52695000000000003</v>
      </c>
      <c r="K570" t="s">
        <v>24</v>
      </c>
    </row>
    <row r="571" spans="1:11" x14ac:dyDescent="0.45">
      <c r="A571" t="s">
        <v>90</v>
      </c>
      <c r="B571" t="s">
        <v>0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2065</v>
      </c>
      <c r="J571">
        <v>0.55520000000000003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2065</v>
      </c>
      <c r="J572">
        <v>0.52659999999999996</v>
      </c>
      <c r="K572" t="s">
        <v>24</v>
      </c>
    </row>
    <row r="573" spans="1:11" x14ac:dyDescent="0.45">
      <c r="A573" t="s">
        <v>90</v>
      </c>
      <c r="B573" t="s">
        <v>5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2065</v>
      </c>
      <c r="J573">
        <v>0.30320000000000003</v>
      </c>
      <c r="K573" t="s">
        <v>24</v>
      </c>
    </row>
    <row r="574" spans="1:11" x14ac:dyDescent="0.45">
      <c r="A574" t="s">
        <v>90</v>
      </c>
      <c r="B574" t="s">
        <v>2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2065</v>
      </c>
      <c r="J574">
        <v>0.52560000000000007</v>
      </c>
      <c r="K574" t="s">
        <v>24</v>
      </c>
    </row>
    <row r="575" spans="1:11" x14ac:dyDescent="0.45">
      <c r="A575" t="s">
        <v>90</v>
      </c>
      <c r="B575" t="s">
        <v>1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2065</v>
      </c>
      <c r="J575">
        <v>0.56679999999999997</v>
      </c>
      <c r="K575" t="s">
        <v>24</v>
      </c>
    </row>
    <row r="576" spans="1:11" x14ac:dyDescent="0.45">
      <c r="A576" t="s">
        <v>90</v>
      </c>
      <c r="B576" t="s">
        <v>3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2070</v>
      </c>
      <c r="J576">
        <v>0.54259999999999997</v>
      </c>
      <c r="K576" t="s">
        <v>24</v>
      </c>
    </row>
    <row r="577" spans="1:11" x14ac:dyDescent="0.45">
      <c r="A577" t="s">
        <v>90</v>
      </c>
      <c r="B577" t="s">
        <v>4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2070</v>
      </c>
      <c r="J577">
        <v>0.5230999999999999</v>
      </c>
      <c r="K577" t="s">
        <v>24</v>
      </c>
    </row>
    <row r="578" spans="1:11" x14ac:dyDescent="0.45">
      <c r="A578" t="s">
        <v>90</v>
      </c>
      <c r="B578" t="s">
        <v>0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2070</v>
      </c>
      <c r="J578">
        <v>0.54844999999999999</v>
      </c>
      <c r="K578" t="s">
        <v>24</v>
      </c>
    </row>
    <row r="579" spans="1:11" x14ac:dyDescent="0.45">
      <c r="A579" t="s">
        <v>90</v>
      </c>
      <c r="B579" t="s">
        <v>6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2070</v>
      </c>
      <c r="J579">
        <v>0.52829999999999999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2070</v>
      </c>
      <c r="J580">
        <v>0.30115000000000003</v>
      </c>
      <c r="K580" t="s">
        <v>24</v>
      </c>
    </row>
    <row r="581" spans="1:11" x14ac:dyDescent="0.45">
      <c r="A581" t="s">
        <v>90</v>
      </c>
      <c r="B581" t="s">
        <v>2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2070</v>
      </c>
      <c r="J581">
        <v>0.53010000000000002</v>
      </c>
      <c r="K581" t="s">
        <v>24</v>
      </c>
    </row>
    <row r="582" spans="1:11" x14ac:dyDescent="0.45">
      <c r="A582" t="s">
        <v>90</v>
      </c>
      <c r="B582" t="s">
        <v>1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2070</v>
      </c>
      <c r="J582">
        <v>0.56345000000000001</v>
      </c>
      <c r="K582" t="s">
        <v>24</v>
      </c>
    </row>
    <row r="583" spans="1:11" x14ac:dyDescent="0.45">
      <c r="A583" t="s">
        <v>90</v>
      </c>
      <c r="B583" t="s">
        <v>3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2075</v>
      </c>
      <c r="J583">
        <v>0.53885000000000005</v>
      </c>
      <c r="K583" t="s">
        <v>24</v>
      </c>
    </row>
    <row r="584" spans="1:11" x14ac:dyDescent="0.45">
      <c r="A584" t="s">
        <v>90</v>
      </c>
      <c r="B584" t="s">
        <v>4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2075</v>
      </c>
      <c r="J584">
        <v>0.5181</v>
      </c>
      <c r="K584" t="s">
        <v>24</v>
      </c>
    </row>
    <row r="585" spans="1:11" x14ac:dyDescent="0.45">
      <c r="A585" t="s">
        <v>90</v>
      </c>
      <c r="B585" t="s">
        <v>0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0.54879999999999995</v>
      </c>
      <c r="K585" t="s">
        <v>24</v>
      </c>
    </row>
    <row r="586" spans="1:11" x14ac:dyDescent="0.45">
      <c r="A586" t="s">
        <v>90</v>
      </c>
      <c r="B586" t="s">
        <v>6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2075</v>
      </c>
      <c r="J586">
        <v>0.52885000000000004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2075</v>
      </c>
      <c r="J587">
        <v>0.30335000000000001</v>
      </c>
      <c r="K587" t="s">
        <v>24</v>
      </c>
    </row>
    <row r="588" spans="1:11" x14ac:dyDescent="0.45">
      <c r="A588" t="s">
        <v>90</v>
      </c>
      <c r="B588" t="s">
        <v>2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2075</v>
      </c>
      <c r="J588">
        <v>0.52625</v>
      </c>
      <c r="K588" t="s">
        <v>24</v>
      </c>
    </row>
    <row r="589" spans="1:11" x14ac:dyDescent="0.45">
      <c r="A589" t="s">
        <v>90</v>
      </c>
      <c r="B589" t="s">
        <v>1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2075</v>
      </c>
      <c r="J589">
        <v>0.56014999999999993</v>
      </c>
      <c r="K589" t="s">
        <v>24</v>
      </c>
    </row>
    <row r="590" spans="1:11" x14ac:dyDescent="0.45">
      <c r="A590" t="s">
        <v>90</v>
      </c>
      <c r="B590" t="s">
        <v>3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2080</v>
      </c>
      <c r="J590">
        <v>0.5354000000000001</v>
      </c>
      <c r="K590" t="s">
        <v>24</v>
      </c>
    </row>
    <row r="591" spans="1:11" x14ac:dyDescent="0.45">
      <c r="A591" t="s">
        <v>90</v>
      </c>
      <c r="B591" t="s">
        <v>4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2080</v>
      </c>
      <c r="J591">
        <v>0.51134999999999997</v>
      </c>
      <c r="K591" t="s">
        <v>24</v>
      </c>
    </row>
    <row r="592" spans="1:11" x14ac:dyDescent="0.45">
      <c r="A592" t="s">
        <v>90</v>
      </c>
      <c r="B592" t="s">
        <v>0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2080</v>
      </c>
      <c r="J592">
        <v>0.54695000000000005</v>
      </c>
      <c r="K592" t="s">
        <v>24</v>
      </c>
    </row>
    <row r="593" spans="1:11" x14ac:dyDescent="0.45">
      <c r="A593" t="s">
        <v>90</v>
      </c>
      <c r="B593" t="s">
        <v>6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2080</v>
      </c>
      <c r="J593">
        <v>0.52689999999999992</v>
      </c>
      <c r="K593" t="s">
        <v>24</v>
      </c>
    </row>
    <row r="594" spans="1:11" x14ac:dyDescent="0.45">
      <c r="A594" t="s">
        <v>90</v>
      </c>
      <c r="B594" t="s">
        <v>5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2080</v>
      </c>
      <c r="J594">
        <v>0.30500000000000005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2080</v>
      </c>
      <c r="J595">
        <v>0.51964999999999995</v>
      </c>
      <c r="K595" t="s">
        <v>24</v>
      </c>
    </row>
    <row r="596" spans="1:11" x14ac:dyDescent="0.45">
      <c r="A596" t="s">
        <v>90</v>
      </c>
      <c r="B596" t="s">
        <v>1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2080</v>
      </c>
      <c r="J596">
        <v>0.55610000000000004</v>
      </c>
      <c r="K596" t="s">
        <v>24</v>
      </c>
    </row>
    <row r="597" spans="1:11" x14ac:dyDescent="0.45">
      <c r="A597" t="s">
        <v>90</v>
      </c>
      <c r="B597" t="s">
        <v>3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2085</v>
      </c>
      <c r="J597">
        <v>0.52800000000000002</v>
      </c>
      <c r="K597" t="s">
        <v>24</v>
      </c>
    </row>
    <row r="598" spans="1:11" x14ac:dyDescent="0.45">
      <c r="A598" t="s">
        <v>90</v>
      </c>
      <c r="B598" t="s">
        <v>4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2085</v>
      </c>
      <c r="J598">
        <v>0.50319999999999998</v>
      </c>
      <c r="K598" t="s">
        <v>24</v>
      </c>
    </row>
    <row r="599" spans="1:11" x14ac:dyDescent="0.45">
      <c r="A599" t="s">
        <v>90</v>
      </c>
      <c r="B599" t="s">
        <v>0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2085</v>
      </c>
      <c r="J599">
        <v>0.53505000000000003</v>
      </c>
      <c r="K599" t="s">
        <v>24</v>
      </c>
    </row>
    <row r="600" spans="1:11" x14ac:dyDescent="0.45">
      <c r="A600" t="s">
        <v>90</v>
      </c>
      <c r="B600" t="s">
        <v>6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2085</v>
      </c>
      <c r="J600">
        <v>0.51505000000000001</v>
      </c>
      <c r="K600" t="s">
        <v>24</v>
      </c>
    </row>
    <row r="601" spans="1:11" x14ac:dyDescent="0.45">
      <c r="A601" t="s">
        <v>90</v>
      </c>
      <c r="B601" t="s">
        <v>5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2085</v>
      </c>
      <c r="J601">
        <v>0.31085000000000002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2085</v>
      </c>
      <c r="J602">
        <v>0.50880000000000003</v>
      </c>
      <c r="K602" t="s">
        <v>24</v>
      </c>
    </row>
    <row r="603" spans="1:11" x14ac:dyDescent="0.45">
      <c r="A603" t="s">
        <v>90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2085</v>
      </c>
      <c r="J603">
        <v>0.55020000000000002</v>
      </c>
      <c r="K603" t="s">
        <v>24</v>
      </c>
    </row>
    <row r="604" spans="1:11" x14ac:dyDescent="0.45">
      <c r="A604" t="s">
        <v>90</v>
      </c>
      <c r="B604" t="s">
        <v>3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2090</v>
      </c>
      <c r="J604">
        <v>0.51859999999999995</v>
      </c>
      <c r="K604" t="s">
        <v>24</v>
      </c>
    </row>
    <row r="605" spans="1:11" x14ac:dyDescent="0.45">
      <c r="A605" t="s">
        <v>90</v>
      </c>
      <c r="B605" t="s">
        <v>4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0.49145000000000005</v>
      </c>
      <c r="K605" t="s">
        <v>24</v>
      </c>
    </row>
    <row r="606" spans="1:11" x14ac:dyDescent="0.45">
      <c r="A606" t="s">
        <v>90</v>
      </c>
      <c r="B606" t="s">
        <v>0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2090</v>
      </c>
      <c r="J606">
        <v>0.52105000000000001</v>
      </c>
      <c r="K606" t="s">
        <v>24</v>
      </c>
    </row>
    <row r="607" spans="1:11" x14ac:dyDescent="0.45">
      <c r="A607" t="s">
        <v>90</v>
      </c>
      <c r="B607" t="s">
        <v>6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2090</v>
      </c>
      <c r="J607">
        <v>0.50195000000000001</v>
      </c>
      <c r="K607" t="s">
        <v>24</v>
      </c>
    </row>
    <row r="608" spans="1:11" x14ac:dyDescent="0.45">
      <c r="A608" t="s">
        <v>90</v>
      </c>
      <c r="B608" t="s">
        <v>5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2090</v>
      </c>
      <c r="J608">
        <v>0.31635000000000002</v>
      </c>
      <c r="K608" t="s">
        <v>24</v>
      </c>
    </row>
    <row r="609" spans="1:11" x14ac:dyDescent="0.45">
      <c r="A609" t="s">
        <v>90</v>
      </c>
      <c r="B609" t="s">
        <v>2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2090</v>
      </c>
      <c r="J609">
        <v>0.49855000000000005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2090</v>
      </c>
      <c r="J610">
        <v>0.54305000000000003</v>
      </c>
      <c r="K610" t="s">
        <v>24</v>
      </c>
    </row>
    <row r="611" spans="1:11" x14ac:dyDescent="0.45">
      <c r="A611" t="s">
        <v>90</v>
      </c>
      <c r="B611" t="s">
        <v>3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2095</v>
      </c>
      <c r="J611">
        <v>0.49930000000000002</v>
      </c>
      <c r="K611" t="s">
        <v>24</v>
      </c>
    </row>
    <row r="612" spans="1:11" x14ac:dyDescent="0.45">
      <c r="A612" t="s">
        <v>90</v>
      </c>
      <c r="B612" t="s">
        <v>4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2095</v>
      </c>
      <c r="J612">
        <v>0.4768</v>
      </c>
      <c r="K612" t="s">
        <v>24</v>
      </c>
    </row>
    <row r="613" spans="1:11" x14ac:dyDescent="0.45">
      <c r="A613" t="s">
        <v>90</v>
      </c>
      <c r="B613" t="s">
        <v>0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2095</v>
      </c>
      <c r="J613">
        <v>0.50445000000000007</v>
      </c>
      <c r="K613" t="s">
        <v>24</v>
      </c>
    </row>
    <row r="614" spans="1:11" x14ac:dyDescent="0.45">
      <c r="A614" t="s">
        <v>90</v>
      </c>
      <c r="B614" t="s">
        <v>6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2095</v>
      </c>
      <c r="J614">
        <v>0.48814999999999997</v>
      </c>
      <c r="K614" t="s">
        <v>24</v>
      </c>
    </row>
    <row r="615" spans="1:11" x14ac:dyDescent="0.45">
      <c r="A615" t="s">
        <v>90</v>
      </c>
      <c r="B615" t="s">
        <v>5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2095</v>
      </c>
      <c r="J615">
        <v>0.31064999999999998</v>
      </c>
      <c r="K615" t="s">
        <v>24</v>
      </c>
    </row>
    <row r="616" spans="1:11" x14ac:dyDescent="0.45">
      <c r="A616" t="s">
        <v>90</v>
      </c>
      <c r="B616" t="s">
        <v>2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2095</v>
      </c>
      <c r="J616">
        <v>0.48599999999999999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2095</v>
      </c>
      <c r="J617">
        <v>0.52249999999999996</v>
      </c>
      <c r="K617" t="s">
        <v>24</v>
      </c>
    </row>
    <row r="618" spans="1:11" x14ac:dyDescent="0.45">
      <c r="A618" t="s">
        <v>90</v>
      </c>
      <c r="B618" t="s">
        <v>3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2100</v>
      </c>
      <c r="J618">
        <v>0.47899999999999998</v>
      </c>
      <c r="K618" t="s">
        <v>24</v>
      </c>
    </row>
    <row r="619" spans="1:11" x14ac:dyDescent="0.45">
      <c r="A619" t="s">
        <v>90</v>
      </c>
      <c r="B619" t="s">
        <v>4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2100</v>
      </c>
      <c r="J619">
        <v>0.46145000000000003</v>
      </c>
      <c r="K619" t="s">
        <v>24</v>
      </c>
    </row>
    <row r="620" spans="1:11" x14ac:dyDescent="0.45">
      <c r="A620" t="s">
        <v>90</v>
      </c>
      <c r="B620" t="s">
        <v>0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2100</v>
      </c>
      <c r="J620">
        <v>0.48650000000000004</v>
      </c>
      <c r="K620" t="s">
        <v>24</v>
      </c>
    </row>
    <row r="621" spans="1:11" x14ac:dyDescent="0.45">
      <c r="A621" t="s">
        <v>90</v>
      </c>
      <c r="B621" t="s">
        <v>6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2100</v>
      </c>
      <c r="J621">
        <v>0.47399999999999998</v>
      </c>
      <c r="K621" t="s">
        <v>24</v>
      </c>
    </row>
    <row r="622" spans="1:11" x14ac:dyDescent="0.45">
      <c r="A622" t="s">
        <v>90</v>
      </c>
      <c r="B622" t="s">
        <v>5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2100</v>
      </c>
      <c r="J622">
        <v>0.30384999999999995</v>
      </c>
      <c r="K622" t="s">
        <v>24</v>
      </c>
    </row>
    <row r="623" spans="1:11" x14ac:dyDescent="0.45">
      <c r="A623" t="s">
        <v>90</v>
      </c>
      <c r="B623" t="s">
        <v>2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2100</v>
      </c>
      <c r="J623">
        <v>0.47215000000000001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0.50090000000000001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0.62575000000000003</v>
      </c>
      <c r="K625" t="s">
        <v>28</v>
      </c>
    </row>
    <row r="626" spans="1:11" x14ac:dyDescent="0.45">
      <c r="A626" t="s">
        <v>90</v>
      </c>
      <c r="B626" t="s">
        <v>4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0.62779999999999991</v>
      </c>
      <c r="K626" t="s">
        <v>28</v>
      </c>
    </row>
    <row r="627" spans="1:11" x14ac:dyDescent="0.45">
      <c r="A627" t="s">
        <v>90</v>
      </c>
      <c r="B627" t="s">
        <v>0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0.62515000000000009</v>
      </c>
      <c r="K627" t="s">
        <v>28</v>
      </c>
    </row>
    <row r="628" spans="1:11" x14ac:dyDescent="0.45">
      <c r="A628" t="s">
        <v>90</v>
      </c>
      <c r="B628" t="s">
        <v>6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0.62475000000000003</v>
      </c>
      <c r="K628" t="s">
        <v>28</v>
      </c>
    </row>
    <row r="629" spans="1:11" x14ac:dyDescent="0.45">
      <c r="A629" t="s">
        <v>90</v>
      </c>
      <c r="B629" t="s">
        <v>5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0.61314999999999997</v>
      </c>
      <c r="K629" t="s">
        <v>28</v>
      </c>
    </row>
    <row r="630" spans="1:11" x14ac:dyDescent="0.45">
      <c r="A630" t="s">
        <v>90</v>
      </c>
      <c r="B630" t="s">
        <v>2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0.62780000000000002</v>
      </c>
      <c r="K630" t="s">
        <v>28</v>
      </c>
    </row>
    <row r="631" spans="1:11" x14ac:dyDescent="0.45">
      <c r="A631" t="s">
        <v>90</v>
      </c>
      <c r="B631" t="s">
        <v>1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0.62190000000000001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0.69040000000000001</v>
      </c>
      <c r="K632" t="s">
        <v>28</v>
      </c>
    </row>
    <row r="633" spans="1:11" x14ac:dyDescent="0.45">
      <c r="A633" t="s">
        <v>90</v>
      </c>
      <c r="B633" t="s">
        <v>4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0.69225000000000003</v>
      </c>
      <c r="K633" t="s">
        <v>28</v>
      </c>
    </row>
    <row r="634" spans="1:11" x14ac:dyDescent="0.45">
      <c r="A634" t="s">
        <v>90</v>
      </c>
      <c r="B634" t="s">
        <v>0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0.6885</v>
      </c>
      <c r="K634" t="s">
        <v>28</v>
      </c>
    </row>
    <row r="635" spans="1:11" x14ac:dyDescent="0.45">
      <c r="A635" t="s">
        <v>90</v>
      </c>
      <c r="B635" t="s">
        <v>6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0.68840000000000001</v>
      </c>
      <c r="K635" t="s">
        <v>28</v>
      </c>
    </row>
    <row r="636" spans="1:11" x14ac:dyDescent="0.45">
      <c r="A636" t="s">
        <v>90</v>
      </c>
      <c r="B636" t="s">
        <v>5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0.66410000000000002</v>
      </c>
      <c r="K636" t="s">
        <v>28</v>
      </c>
    </row>
    <row r="637" spans="1:11" x14ac:dyDescent="0.45">
      <c r="A637" t="s">
        <v>90</v>
      </c>
      <c r="B637" t="s">
        <v>2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0.69164999999999999</v>
      </c>
      <c r="K637" t="s">
        <v>28</v>
      </c>
    </row>
    <row r="638" spans="1:11" x14ac:dyDescent="0.45">
      <c r="A638" t="s">
        <v>90</v>
      </c>
      <c r="B638" t="s">
        <v>1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0.67979999999999996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0.72270000000000001</v>
      </c>
      <c r="K639" t="s">
        <v>28</v>
      </c>
    </row>
    <row r="640" spans="1:11" x14ac:dyDescent="0.45">
      <c r="A640" t="s">
        <v>90</v>
      </c>
      <c r="B640" t="s">
        <v>4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0.73829999999999996</v>
      </c>
      <c r="K640" t="s">
        <v>28</v>
      </c>
    </row>
    <row r="641" spans="1:11" x14ac:dyDescent="0.45">
      <c r="A641" t="s">
        <v>90</v>
      </c>
      <c r="B641" t="s">
        <v>0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0.7288</v>
      </c>
      <c r="K641" t="s">
        <v>28</v>
      </c>
    </row>
    <row r="642" spans="1:11" x14ac:dyDescent="0.45">
      <c r="A642" t="s">
        <v>90</v>
      </c>
      <c r="B642" t="s">
        <v>6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0.73294999999999999</v>
      </c>
      <c r="K642" t="s">
        <v>28</v>
      </c>
    </row>
    <row r="643" spans="1:11" x14ac:dyDescent="0.45">
      <c r="A643" t="s">
        <v>90</v>
      </c>
      <c r="B643" t="s">
        <v>5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0.68635000000000002</v>
      </c>
      <c r="K643" t="s">
        <v>28</v>
      </c>
    </row>
    <row r="644" spans="1:11" x14ac:dyDescent="0.45">
      <c r="A644" t="s">
        <v>90</v>
      </c>
      <c r="B644" t="s">
        <v>2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0.71879999999999999</v>
      </c>
      <c r="K644" t="s">
        <v>28</v>
      </c>
    </row>
    <row r="645" spans="1:11" x14ac:dyDescent="0.45">
      <c r="A645" t="s">
        <v>90</v>
      </c>
      <c r="B645" t="s">
        <v>1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0.71934999999999993</v>
      </c>
      <c r="K645" t="s">
        <v>28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0.74970000000000003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0.74744999999999995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0.72350000000000003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0.73694999999999999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0.71845000000000003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0.75785000000000002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0.79049999999999998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0.79984999999999995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0.76395000000000002</v>
      </c>
      <c r="K654" t="s">
        <v>28</v>
      </c>
    </row>
    <row r="655" spans="1:11" x14ac:dyDescent="0.45">
      <c r="A655" t="s">
        <v>90</v>
      </c>
      <c r="B655" t="s">
        <v>0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0.75879999999999992</v>
      </c>
      <c r="K655" t="s">
        <v>28</v>
      </c>
    </row>
    <row r="656" spans="1:11" x14ac:dyDescent="0.45">
      <c r="A656" t="s">
        <v>90</v>
      </c>
      <c r="B656" t="s">
        <v>6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0.76034999999999997</v>
      </c>
      <c r="K656" t="s">
        <v>28</v>
      </c>
    </row>
    <row r="657" spans="1:11" x14ac:dyDescent="0.45">
      <c r="A657" t="s">
        <v>90</v>
      </c>
      <c r="B657" t="s">
        <v>5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0.7349</v>
      </c>
      <c r="K657" t="s">
        <v>28</v>
      </c>
    </row>
    <row r="658" spans="1:11" x14ac:dyDescent="0.45">
      <c r="A658" t="s">
        <v>90</v>
      </c>
      <c r="B658" t="s">
        <v>2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0.81695000000000007</v>
      </c>
      <c r="K658" t="s">
        <v>28</v>
      </c>
    </row>
    <row r="659" spans="1:11" x14ac:dyDescent="0.45">
      <c r="A659" t="s">
        <v>90</v>
      </c>
      <c r="B659" t="s">
        <v>1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0.86360000000000003</v>
      </c>
      <c r="K659" t="s">
        <v>28</v>
      </c>
    </row>
    <row r="660" spans="1:11" x14ac:dyDescent="0.45">
      <c r="A660" t="s">
        <v>90</v>
      </c>
      <c r="B660" t="s">
        <v>3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0.86595</v>
      </c>
      <c r="K660" t="s">
        <v>28</v>
      </c>
    </row>
    <row r="661" spans="1:11" x14ac:dyDescent="0.45">
      <c r="A661" t="s">
        <v>90</v>
      </c>
      <c r="B661" t="s">
        <v>4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0.77665000000000006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0.82745000000000002</v>
      </c>
      <c r="K662" t="s">
        <v>28</v>
      </c>
    </row>
    <row r="663" spans="1:11" x14ac:dyDescent="0.45">
      <c r="A663" t="s">
        <v>90</v>
      </c>
      <c r="B663" t="s">
        <v>6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0.78720000000000001</v>
      </c>
      <c r="K663" t="s">
        <v>28</v>
      </c>
    </row>
    <row r="664" spans="1:11" x14ac:dyDescent="0.45">
      <c r="A664" t="s">
        <v>90</v>
      </c>
      <c r="B664" t="s">
        <v>5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0.74865000000000004</v>
      </c>
      <c r="K664" t="s">
        <v>28</v>
      </c>
    </row>
    <row r="665" spans="1:11" x14ac:dyDescent="0.45">
      <c r="A665" t="s">
        <v>90</v>
      </c>
      <c r="B665" t="s">
        <v>2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0.86114999999999997</v>
      </c>
      <c r="K665" t="s">
        <v>28</v>
      </c>
    </row>
    <row r="666" spans="1:11" x14ac:dyDescent="0.45">
      <c r="A666" t="s">
        <v>90</v>
      </c>
      <c r="B666" t="s">
        <v>1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0.90300000000000002</v>
      </c>
      <c r="K666" t="s">
        <v>28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0.86165000000000003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0.76275000000000004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0.85644999999999993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0.77900000000000003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0.74564999999999992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0.81579999999999997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0.88844999999999996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0.78044999999999998</v>
      </c>
      <c r="K674" t="s">
        <v>28</v>
      </c>
    </row>
    <row r="675" spans="1:11" x14ac:dyDescent="0.45">
      <c r="A675" t="s">
        <v>90</v>
      </c>
      <c r="B675" t="s">
        <v>4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0.7359</v>
      </c>
      <c r="K675" t="s">
        <v>28</v>
      </c>
    </row>
    <row r="676" spans="1:11" x14ac:dyDescent="0.45">
      <c r="A676" t="s">
        <v>90</v>
      </c>
      <c r="B676" t="s">
        <v>0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0.79669999999999996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0.74215000000000009</v>
      </c>
      <c r="K677" t="s">
        <v>28</v>
      </c>
    </row>
    <row r="678" spans="1:11" x14ac:dyDescent="0.45">
      <c r="A678" t="s">
        <v>90</v>
      </c>
      <c r="B678" t="s">
        <v>5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0.71240000000000003</v>
      </c>
      <c r="K678" t="s">
        <v>28</v>
      </c>
    </row>
    <row r="679" spans="1:11" x14ac:dyDescent="0.45">
      <c r="A679" t="s">
        <v>90</v>
      </c>
      <c r="B679" t="s">
        <v>2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0.74025000000000007</v>
      </c>
      <c r="K679" t="s">
        <v>28</v>
      </c>
    </row>
    <row r="680" spans="1:11" x14ac:dyDescent="0.45">
      <c r="A680" t="s">
        <v>90</v>
      </c>
      <c r="B680" t="s">
        <v>1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0.80489999999999995</v>
      </c>
      <c r="K680" t="s">
        <v>28</v>
      </c>
    </row>
    <row r="681" spans="1:11" x14ac:dyDescent="0.45">
      <c r="A681" t="s">
        <v>90</v>
      </c>
      <c r="B681" t="s">
        <v>3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0.76505000000000001</v>
      </c>
      <c r="K681" t="s">
        <v>28</v>
      </c>
    </row>
    <row r="682" spans="1:11" x14ac:dyDescent="0.45">
      <c r="A682" t="s">
        <v>90</v>
      </c>
      <c r="B682" t="s">
        <v>4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0.74469999999999992</v>
      </c>
      <c r="K682" t="s">
        <v>28</v>
      </c>
    </row>
    <row r="683" spans="1:11" x14ac:dyDescent="0.45">
      <c r="A683" t="s">
        <v>90</v>
      </c>
      <c r="B683" t="s">
        <v>0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0.78734999999999999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0.73995</v>
      </c>
      <c r="K684" t="s">
        <v>28</v>
      </c>
    </row>
    <row r="685" spans="1:11" x14ac:dyDescent="0.45">
      <c r="A685" t="s">
        <v>90</v>
      </c>
      <c r="B685" t="s">
        <v>5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0.7167</v>
      </c>
      <c r="K685" t="s">
        <v>28</v>
      </c>
    </row>
    <row r="686" spans="1:11" x14ac:dyDescent="0.45">
      <c r="A686" t="s">
        <v>90</v>
      </c>
      <c r="B686" t="s">
        <v>2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0.73775000000000002</v>
      </c>
      <c r="K686" t="s">
        <v>28</v>
      </c>
    </row>
    <row r="687" spans="1:11" x14ac:dyDescent="0.45">
      <c r="A687" t="s">
        <v>90</v>
      </c>
      <c r="B687" t="s">
        <v>1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0.7914000000000001</v>
      </c>
      <c r="K687" t="s">
        <v>28</v>
      </c>
    </row>
    <row r="688" spans="1:11" x14ac:dyDescent="0.45">
      <c r="A688" t="s">
        <v>90</v>
      </c>
      <c r="B688" t="s">
        <v>3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0.77954999999999997</v>
      </c>
      <c r="K688" t="s">
        <v>28</v>
      </c>
    </row>
    <row r="689" spans="1:11" x14ac:dyDescent="0.45">
      <c r="A689" t="s">
        <v>90</v>
      </c>
      <c r="B689" t="s">
        <v>4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0.74940000000000007</v>
      </c>
      <c r="K689" t="s">
        <v>28</v>
      </c>
    </row>
    <row r="690" spans="1:11" x14ac:dyDescent="0.45">
      <c r="A690" t="s">
        <v>90</v>
      </c>
      <c r="B690" t="s">
        <v>0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0.78859999999999997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0.75305</v>
      </c>
      <c r="K691" t="s">
        <v>28</v>
      </c>
    </row>
    <row r="692" spans="1:11" x14ac:dyDescent="0.45">
      <c r="A692" t="s">
        <v>90</v>
      </c>
      <c r="B692" t="s">
        <v>5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0.71965000000000001</v>
      </c>
      <c r="K692" t="s">
        <v>28</v>
      </c>
    </row>
    <row r="693" spans="1:11" x14ac:dyDescent="0.45">
      <c r="A693" t="s">
        <v>90</v>
      </c>
      <c r="B693" t="s">
        <v>2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0.75550000000000006</v>
      </c>
      <c r="K693" t="s">
        <v>28</v>
      </c>
    </row>
    <row r="694" spans="1:11" x14ac:dyDescent="0.45">
      <c r="A694" t="s">
        <v>90</v>
      </c>
      <c r="B694" t="s">
        <v>1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0.79720000000000002</v>
      </c>
      <c r="K694" t="s">
        <v>28</v>
      </c>
    </row>
    <row r="695" spans="1:11" x14ac:dyDescent="0.45">
      <c r="A695" t="s">
        <v>90</v>
      </c>
      <c r="B695" t="s">
        <v>3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0.79475000000000007</v>
      </c>
      <c r="K695" t="s">
        <v>28</v>
      </c>
    </row>
    <row r="696" spans="1:11" x14ac:dyDescent="0.45">
      <c r="A696" t="s">
        <v>90</v>
      </c>
      <c r="B696" t="s">
        <v>4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0.75290000000000001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0.79144999999999999</v>
      </c>
      <c r="K697" t="s">
        <v>28</v>
      </c>
    </row>
    <row r="698" spans="1:11" x14ac:dyDescent="0.45">
      <c r="A698" t="s">
        <v>90</v>
      </c>
      <c r="B698" t="s">
        <v>6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0.76580000000000004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0.72094999999999998</v>
      </c>
      <c r="K699" t="s">
        <v>28</v>
      </c>
    </row>
    <row r="700" spans="1:11" x14ac:dyDescent="0.45">
      <c r="A700" t="s">
        <v>90</v>
      </c>
      <c r="B700" t="s">
        <v>2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0.77350000000000008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0.80249999999999999</v>
      </c>
      <c r="K701" t="s">
        <v>28</v>
      </c>
    </row>
    <row r="702" spans="1:11" x14ac:dyDescent="0.45">
      <c r="A702" t="s">
        <v>90</v>
      </c>
      <c r="B702" t="s">
        <v>3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0.83834999999999993</v>
      </c>
      <c r="K702" t="s">
        <v>28</v>
      </c>
    </row>
    <row r="703" spans="1:11" x14ac:dyDescent="0.45">
      <c r="A703" t="s">
        <v>90</v>
      </c>
      <c r="B703" t="s">
        <v>4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0.78865000000000007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0.83979999999999999</v>
      </c>
      <c r="K704" t="s">
        <v>28</v>
      </c>
    </row>
    <row r="705" spans="1:11" x14ac:dyDescent="0.45">
      <c r="A705" t="s">
        <v>90</v>
      </c>
      <c r="B705" t="s">
        <v>6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0.81230000000000002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0.76400000000000001</v>
      </c>
      <c r="K706" t="s">
        <v>28</v>
      </c>
    </row>
    <row r="707" spans="1:11" x14ac:dyDescent="0.45">
      <c r="A707" t="s">
        <v>90</v>
      </c>
      <c r="B707" t="s">
        <v>2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0.81424999999999992</v>
      </c>
      <c r="K707" t="s">
        <v>28</v>
      </c>
    </row>
    <row r="708" spans="1:11" x14ac:dyDescent="0.45">
      <c r="A708" t="s">
        <v>90</v>
      </c>
      <c r="B708" t="s">
        <v>1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0.85359999999999991</v>
      </c>
      <c r="K708" t="s">
        <v>28</v>
      </c>
    </row>
    <row r="709" spans="1:11" x14ac:dyDescent="0.45">
      <c r="A709" t="s">
        <v>90</v>
      </c>
      <c r="B709" t="s">
        <v>3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0.88100000000000001</v>
      </c>
      <c r="K709" t="s">
        <v>28</v>
      </c>
    </row>
    <row r="710" spans="1:11" x14ac:dyDescent="0.45">
      <c r="A710" t="s">
        <v>90</v>
      </c>
      <c r="B710" t="s">
        <v>4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0.82414999999999994</v>
      </c>
      <c r="K710" t="s">
        <v>28</v>
      </c>
    </row>
    <row r="711" spans="1:11" x14ac:dyDescent="0.45">
      <c r="A711" t="s">
        <v>90</v>
      </c>
      <c r="B711" t="s">
        <v>0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0.88805000000000001</v>
      </c>
      <c r="K711" t="s">
        <v>28</v>
      </c>
    </row>
    <row r="712" spans="1:11" x14ac:dyDescent="0.45">
      <c r="A712" t="s">
        <v>90</v>
      </c>
      <c r="B712" t="s">
        <v>6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0.85875000000000001</v>
      </c>
      <c r="K712" t="s">
        <v>28</v>
      </c>
    </row>
    <row r="713" spans="1:11" x14ac:dyDescent="0.45">
      <c r="A713" t="s">
        <v>90</v>
      </c>
      <c r="B713" t="s">
        <v>5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0.80740000000000001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0.85454999999999992</v>
      </c>
      <c r="K714" t="s">
        <v>28</v>
      </c>
    </row>
    <row r="715" spans="1:11" x14ac:dyDescent="0.45">
      <c r="A715" t="s">
        <v>90</v>
      </c>
      <c r="B715" t="s">
        <v>1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0.90510000000000002</v>
      </c>
      <c r="K715" t="s">
        <v>28</v>
      </c>
    </row>
    <row r="716" spans="1:11" x14ac:dyDescent="0.45">
      <c r="A716" t="s">
        <v>90</v>
      </c>
      <c r="B716" t="s">
        <v>3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0.92945</v>
      </c>
      <c r="K716" t="s">
        <v>28</v>
      </c>
    </row>
    <row r="717" spans="1:11" x14ac:dyDescent="0.45">
      <c r="A717" t="s">
        <v>90</v>
      </c>
      <c r="B717" t="s">
        <v>4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0.86595</v>
      </c>
      <c r="K717" t="s">
        <v>28</v>
      </c>
    </row>
    <row r="718" spans="1:11" x14ac:dyDescent="0.45">
      <c r="A718" t="s">
        <v>90</v>
      </c>
      <c r="B718" t="s">
        <v>0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0.92420000000000002</v>
      </c>
      <c r="K718" t="s">
        <v>28</v>
      </c>
    </row>
    <row r="719" spans="1:11" x14ac:dyDescent="0.45">
      <c r="A719" t="s">
        <v>90</v>
      </c>
      <c r="B719" t="s">
        <v>6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0.89585000000000004</v>
      </c>
      <c r="K719" t="s">
        <v>28</v>
      </c>
    </row>
    <row r="720" spans="1:11" x14ac:dyDescent="0.45">
      <c r="A720" t="s">
        <v>90</v>
      </c>
      <c r="B720" t="s">
        <v>5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0.85614999999999997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0.89440000000000008</v>
      </c>
      <c r="K721" t="s">
        <v>28</v>
      </c>
    </row>
    <row r="722" spans="1:11" x14ac:dyDescent="0.45">
      <c r="A722" t="s">
        <v>90</v>
      </c>
      <c r="B722" t="s">
        <v>1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0.95594999999999997</v>
      </c>
      <c r="K722" t="s">
        <v>28</v>
      </c>
    </row>
    <row r="723" spans="1:11" x14ac:dyDescent="0.45">
      <c r="A723" t="s">
        <v>90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0.97740000000000005</v>
      </c>
      <c r="K723" t="s">
        <v>28</v>
      </c>
    </row>
    <row r="724" spans="1:11" x14ac:dyDescent="0.45">
      <c r="A724" t="s">
        <v>90</v>
      </c>
      <c r="B724" t="s">
        <v>4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0.90549999999999997</v>
      </c>
      <c r="K724" t="s">
        <v>28</v>
      </c>
    </row>
    <row r="725" spans="1:11" x14ac:dyDescent="0.45">
      <c r="A725" t="s">
        <v>90</v>
      </c>
      <c r="B725" t="s">
        <v>0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0.95900000000000007</v>
      </c>
      <c r="K725" t="s">
        <v>28</v>
      </c>
    </row>
    <row r="726" spans="1:11" x14ac:dyDescent="0.45">
      <c r="A726" t="s">
        <v>90</v>
      </c>
      <c r="B726" t="s">
        <v>6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0.93325000000000002</v>
      </c>
      <c r="K726" t="s">
        <v>28</v>
      </c>
    </row>
    <row r="727" spans="1:11" x14ac:dyDescent="0.45">
      <c r="A727" t="s">
        <v>90</v>
      </c>
      <c r="B727" t="s">
        <v>5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0.90500000000000003</v>
      </c>
      <c r="K727" t="s">
        <v>28</v>
      </c>
    </row>
    <row r="728" spans="1:11" x14ac:dyDescent="0.45">
      <c r="A728" t="s">
        <v>90</v>
      </c>
      <c r="B728" t="s">
        <v>2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0.93435000000000001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1.0055499999999999</v>
      </c>
      <c r="K729" t="s">
        <v>28</v>
      </c>
    </row>
    <row r="730" spans="1:11" x14ac:dyDescent="0.45">
      <c r="A730" t="s">
        <v>90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1.00895</v>
      </c>
      <c r="K730" t="s">
        <v>28</v>
      </c>
    </row>
    <row r="731" spans="1:11" x14ac:dyDescent="0.45">
      <c r="A731" t="s">
        <v>90</v>
      </c>
      <c r="B731" t="s">
        <v>4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0.93774999999999997</v>
      </c>
      <c r="K731" t="s">
        <v>28</v>
      </c>
    </row>
    <row r="732" spans="1:11" x14ac:dyDescent="0.45">
      <c r="A732" t="s">
        <v>90</v>
      </c>
      <c r="B732" t="s">
        <v>0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0.99580000000000002</v>
      </c>
      <c r="K732" t="s">
        <v>28</v>
      </c>
    </row>
    <row r="733" spans="1:11" x14ac:dyDescent="0.45">
      <c r="A733" t="s">
        <v>90</v>
      </c>
      <c r="B733" t="s">
        <v>6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0.97225000000000006</v>
      </c>
      <c r="K733" t="s">
        <v>28</v>
      </c>
    </row>
    <row r="734" spans="1:11" x14ac:dyDescent="0.45">
      <c r="A734" t="s">
        <v>90</v>
      </c>
      <c r="B734" t="s">
        <v>5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0.94294999999999995</v>
      </c>
      <c r="K734" t="s">
        <v>28</v>
      </c>
    </row>
    <row r="735" spans="1:11" x14ac:dyDescent="0.45">
      <c r="A735" t="s">
        <v>90</v>
      </c>
      <c r="B735" t="s">
        <v>2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0.97370000000000001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1.0366</v>
      </c>
      <c r="K736" t="s">
        <v>28</v>
      </c>
    </row>
    <row r="737" spans="1:11" x14ac:dyDescent="0.45">
      <c r="A737" t="s">
        <v>90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1.0400499999999999</v>
      </c>
      <c r="K737" t="s">
        <v>28</v>
      </c>
    </row>
    <row r="738" spans="1:11" x14ac:dyDescent="0.45">
      <c r="A738" t="s">
        <v>90</v>
      </c>
      <c r="B738" t="s">
        <v>4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0.97044999999999992</v>
      </c>
      <c r="K738" t="s">
        <v>28</v>
      </c>
    </row>
    <row r="739" spans="1:11" x14ac:dyDescent="0.45">
      <c r="A739" t="s">
        <v>90</v>
      </c>
      <c r="B739" t="s">
        <v>0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1.0327500000000001</v>
      </c>
      <c r="K739" t="s">
        <v>28</v>
      </c>
    </row>
    <row r="740" spans="1:11" x14ac:dyDescent="0.45">
      <c r="A740" t="s">
        <v>90</v>
      </c>
      <c r="B740" t="s">
        <v>6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1.012</v>
      </c>
      <c r="K740" t="s">
        <v>28</v>
      </c>
    </row>
    <row r="741" spans="1:11" x14ac:dyDescent="0.45">
      <c r="A741" t="s">
        <v>90</v>
      </c>
      <c r="B741" t="s">
        <v>5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0.97885</v>
      </c>
      <c r="K741" t="s">
        <v>28</v>
      </c>
    </row>
    <row r="742" spans="1:11" x14ac:dyDescent="0.45">
      <c r="A742" t="s">
        <v>90</v>
      </c>
      <c r="B742" t="s">
        <v>2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1.0131999999999999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1.0672999999999999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2.0899999999999998E-2</v>
      </c>
      <c r="K744" t="s">
        <v>27</v>
      </c>
    </row>
    <row r="745" spans="1:11" x14ac:dyDescent="0.45">
      <c r="A745" t="s">
        <v>90</v>
      </c>
      <c r="B745" t="s">
        <v>4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2020</v>
      </c>
      <c r="J745">
        <v>2.1049999999999999E-2</v>
      </c>
      <c r="K745" t="s">
        <v>27</v>
      </c>
    </row>
    <row r="746" spans="1:11" x14ac:dyDescent="0.45">
      <c r="A746" t="s">
        <v>90</v>
      </c>
      <c r="B746" t="s">
        <v>0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2020</v>
      </c>
      <c r="J746">
        <v>2.085E-2</v>
      </c>
      <c r="K746" t="s">
        <v>27</v>
      </c>
    </row>
    <row r="747" spans="1:11" x14ac:dyDescent="0.45">
      <c r="A747" t="s">
        <v>90</v>
      </c>
      <c r="B747" t="s">
        <v>6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2020</v>
      </c>
      <c r="J747">
        <v>2.095E-2</v>
      </c>
      <c r="K747" t="s">
        <v>27</v>
      </c>
    </row>
    <row r="748" spans="1:11" x14ac:dyDescent="0.45">
      <c r="A748" t="s">
        <v>90</v>
      </c>
      <c r="B748" t="s">
        <v>5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2020</v>
      </c>
      <c r="J748">
        <v>2.0650000000000002E-2</v>
      </c>
      <c r="K748" t="s">
        <v>27</v>
      </c>
    </row>
    <row r="749" spans="1:11" x14ac:dyDescent="0.45">
      <c r="A749" t="s">
        <v>90</v>
      </c>
      <c r="B749" t="s">
        <v>2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2020</v>
      </c>
      <c r="J749">
        <v>2.1000000000000001E-2</v>
      </c>
      <c r="K749" t="s">
        <v>27</v>
      </c>
    </row>
    <row r="750" spans="1:11" x14ac:dyDescent="0.45">
      <c r="A750" t="s">
        <v>90</v>
      </c>
      <c r="B750" t="s">
        <v>1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2020</v>
      </c>
      <c r="J750">
        <v>2.06E-2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2025</v>
      </c>
      <c r="J751">
        <v>4.1099999999999998E-2</v>
      </c>
      <c r="K751" t="s">
        <v>27</v>
      </c>
    </row>
    <row r="752" spans="1:11" x14ac:dyDescent="0.45">
      <c r="A752" t="s">
        <v>90</v>
      </c>
      <c r="B752" t="s">
        <v>4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2025</v>
      </c>
      <c r="J752">
        <v>4.6550000000000001E-2</v>
      </c>
      <c r="K752" t="s">
        <v>27</v>
      </c>
    </row>
    <row r="753" spans="1:11" x14ac:dyDescent="0.45">
      <c r="A753" t="s">
        <v>90</v>
      </c>
      <c r="B753" t="s">
        <v>0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2025</v>
      </c>
      <c r="J753">
        <v>4.5699999999999998E-2</v>
      </c>
      <c r="K753" t="s">
        <v>27</v>
      </c>
    </row>
    <row r="754" spans="1:11" x14ac:dyDescent="0.45">
      <c r="A754" t="s">
        <v>90</v>
      </c>
      <c r="B754" t="s">
        <v>6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2025</v>
      </c>
      <c r="J754">
        <v>4.5749999999999999E-2</v>
      </c>
      <c r="K754" t="s">
        <v>27</v>
      </c>
    </row>
    <row r="755" spans="1:11" x14ac:dyDescent="0.45">
      <c r="A755" t="s">
        <v>90</v>
      </c>
      <c r="B755" t="s">
        <v>5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2025</v>
      </c>
      <c r="J755">
        <v>3.5949999999999996E-2</v>
      </c>
      <c r="K755" t="s">
        <v>27</v>
      </c>
    </row>
    <row r="756" spans="1:11" x14ac:dyDescent="0.45">
      <c r="A756" t="s">
        <v>90</v>
      </c>
      <c r="B756" t="s">
        <v>2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2025</v>
      </c>
      <c r="J756">
        <v>4.7E-2</v>
      </c>
      <c r="K756" t="s">
        <v>27</v>
      </c>
    </row>
    <row r="757" spans="1:11" x14ac:dyDescent="0.45">
      <c r="A757" t="s">
        <v>90</v>
      </c>
      <c r="B757" t="s">
        <v>1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2025</v>
      </c>
      <c r="J757">
        <v>4.1300000000000003E-2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2030</v>
      </c>
      <c r="J758">
        <v>8.1000000000000003E-2</v>
      </c>
      <c r="K758" t="s">
        <v>27</v>
      </c>
    </row>
    <row r="759" spans="1:11" x14ac:dyDescent="0.45">
      <c r="A759" t="s">
        <v>90</v>
      </c>
      <c r="B759" t="s">
        <v>4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2030</v>
      </c>
      <c r="J759">
        <v>8.0449999999999994E-2</v>
      </c>
      <c r="K759" t="s">
        <v>27</v>
      </c>
    </row>
    <row r="760" spans="1:11" x14ac:dyDescent="0.45">
      <c r="A760" t="s">
        <v>90</v>
      </c>
      <c r="B760" t="s">
        <v>0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2030</v>
      </c>
      <c r="J760">
        <v>7.8300000000000008E-2</v>
      </c>
      <c r="K760" t="s">
        <v>27</v>
      </c>
    </row>
    <row r="761" spans="1:11" x14ac:dyDescent="0.45">
      <c r="A761" t="s">
        <v>90</v>
      </c>
      <c r="B761" t="s">
        <v>6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2030</v>
      </c>
      <c r="J761">
        <v>7.775E-2</v>
      </c>
      <c r="K761" t="s">
        <v>27</v>
      </c>
    </row>
    <row r="762" spans="1:11" x14ac:dyDescent="0.45">
      <c r="A762" t="s">
        <v>90</v>
      </c>
      <c r="B762" t="s">
        <v>5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2030</v>
      </c>
      <c r="J762">
        <v>6.5049999999999997E-2</v>
      </c>
      <c r="K762" t="s">
        <v>27</v>
      </c>
    </row>
    <row r="763" spans="1:11" x14ac:dyDescent="0.45">
      <c r="A763" t="s">
        <v>90</v>
      </c>
      <c r="B763" t="s">
        <v>2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7.3000000000000009E-2</v>
      </c>
      <c r="K763" t="s">
        <v>27</v>
      </c>
    </row>
    <row r="764" spans="1:11" x14ac:dyDescent="0.45">
      <c r="A764" t="s">
        <v>90</v>
      </c>
      <c r="B764" t="s">
        <v>1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2030</v>
      </c>
      <c r="J764">
        <v>7.7300000000000008E-2</v>
      </c>
      <c r="K764" t="s">
        <v>27</v>
      </c>
    </row>
    <row r="765" spans="1:11" x14ac:dyDescent="0.45">
      <c r="A765" t="s">
        <v>90</v>
      </c>
      <c r="B765" t="s">
        <v>3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2035</v>
      </c>
      <c r="J765">
        <v>0.1343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2035</v>
      </c>
      <c r="J766">
        <v>0.1179</v>
      </c>
      <c r="K766" t="s">
        <v>27</v>
      </c>
    </row>
    <row r="767" spans="1:11" x14ac:dyDescent="0.45">
      <c r="A767" t="s">
        <v>90</v>
      </c>
      <c r="B767" t="s">
        <v>0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2035</v>
      </c>
      <c r="J767">
        <v>0.1124</v>
      </c>
      <c r="K767" t="s">
        <v>27</v>
      </c>
    </row>
    <row r="768" spans="1:11" x14ac:dyDescent="0.45">
      <c r="A768" t="s">
        <v>90</v>
      </c>
      <c r="B768" t="s">
        <v>6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2035</v>
      </c>
      <c r="J768">
        <v>0.11335000000000001</v>
      </c>
      <c r="K768" t="s">
        <v>27</v>
      </c>
    </row>
    <row r="769" spans="1:11" x14ac:dyDescent="0.45">
      <c r="A769" t="s">
        <v>90</v>
      </c>
      <c r="B769" t="s">
        <v>5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2035</v>
      </c>
      <c r="J769">
        <v>0.10930000000000001</v>
      </c>
      <c r="K769" t="s">
        <v>27</v>
      </c>
    </row>
    <row r="770" spans="1:11" x14ac:dyDescent="0.45">
      <c r="A770" t="s">
        <v>90</v>
      </c>
      <c r="B770" t="s">
        <v>2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2035</v>
      </c>
      <c r="J770">
        <v>0.12509999999999999</v>
      </c>
      <c r="K770" t="s">
        <v>27</v>
      </c>
    </row>
    <row r="771" spans="1:11" x14ac:dyDescent="0.45">
      <c r="A771" t="s">
        <v>90</v>
      </c>
      <c r="B771" t="s">
        <v>1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2035</v>
      </c>
      <c r="J771">
        <v>0.15115000000000001</v>
      </c>
      <c r="K771" t="s">
        <v>27</v>
      </c>
    </row>
    <row r="772" spans="1:11" x14ac:dyDescent="0.45">
      <c r="A772" t="s">
        <v>90</v>
      </c>
      <c r="B772" t="s">
        <v>3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2040</v>
      </c>
      <c r="J772">
        <v>0.20224999999999999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2040</v>
      </c>
      <c r="J773">
        <v>0.15715000000000001</v>
      </c>
      <c r="K773" t="s">
        <v>27</v>
      </c>
    </row>
    <row r="774" spans="1:11" x14ac:dyDescent="0.45">
      <c r="A774" t="s">
        <v>90</v>
      </c>
      <c r="B774" t="s">
        <v>0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2040</v>
      </c>
      <c r="J774">
        <v>0.15245</v>
      </c>
      <c r="K774" t="s">
        <v>27</v>
      </c>
    </row>
    <row r="775" spans="1:11" x14ac:dyDescent="0.45">
      <c r="A775" t="s">
        <v>90</v>
      </c>
      <c r="B775" t="s">
        <v>6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2040</v>
      </c>
      <c r="J775">
        <v>0.16109999999999999</v>
      </c>
      <c r="K775" t="s">
        <v>27</v>
      </c>
    </row>
    <row r="776" spans="1:11" x14ac:dyDescent="0.45">
      <c r="A776" t="s">
        <v>90</v>
      </c>
      <c r="B776" t="s">
        <v>5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2040</v>
      </c>
      <c r="J776">
        <v>0.14230000000000001</v>
      </c>
      <c r="K776" t="s">
        <v>27</v>
      </c>
    </row>
    <row r="777" spans="1:11" x14ac:dyDescent="0.45">
      <c r="A777" t="s">
        <v>90</v>
      </c>
      <c r="B777" t="s">
        <v>2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2040</v>
      </c>
      <c r="J777">
        <v>0.1706</v>
      </c>
      <c r="K777" t="s">
        <v>27</v>
      </c>
    </row>
    <row r="778" spans="1:11" x14ac:dyDescent="0.45">
      <c r="A778" t="s">
        <v>90</v>
      </c>
      <c r="B778" t="s">
        <v>1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2040</v>
      </c>
      <c r="J778">
        <v>0.21390000000000001</v>
      </c>
      <c r="K778" t="s">
        <v>27</v>
      </c>
    </row>
    <row r="779" spans="1:11" x14ac:dyDescent="0.45">
      <c r="A779" t="s">
        <v>90</v>
      </c>
      <c r="B779" t="s">
        <v>3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2045</v>
      </c>
      <c r="J779">
        <v>0.245</v>
      </c>
      <c r="K779" t="s">
        <v>27</v>
      </c>
    </row>
    <row r="780" spans="1:11" x14ac:dyDescent="0.45">
      <c r="A780" t="s">
        <v>90</v>
      </c>
      <c r="B780" t="s">
        <v>4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2045</v>
      </c>
      <c r="J780">
        <v>0.18304999999999999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2045</v>
      </c>
      <c r="J781">
        <v>0.19325000000000001</v>
      </c>
      <c r="K781" t="s">
        <v>27</v>
      </c>
    </row>
    <row r="782" spans="1:11" x14ac:dyDescent="0.45">
      <c r="A782" t="s">
        <v>90</v>
      </c>
      <c r="B782" t="s">
        <v>6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2045</v>
      </c>
      <c r="J782">
        <v>0.19514999999999999</v>
      </c>
      <c r="K782" t="s">
        <v>27</v>
      </c>
    </row>
    <row r="783" spans="1:11" x14ac:dyDescent="0.45">
      <c r="A783" t="s">
        <v>90</v>
      </c>
      <c r="B783" t="s">
        <v>5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0.17420000000000002</v>
      </c>
      <c r="K783" t="s">
        <v>27</v>
      </c>
    </row>
    <row r="784" spans="1:11" x14ac:dyDescent="0.45">
      <c r="A784" t="s">
        <v>90</v>
      </c>
      <c r="B784" t="s">
        <v>2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2045</v>
      </c>
      <c r="J784">
        <v>0.20169999999999999</v>
      </c>
      <c r="K784" t="s">
        <v>27</v>
      </c>
    </row>
    <row r="785" spans="1:11" x14ac:dyDescent="0.45">
      <c r="A785" t="s">
        <v>90</v>
      </c>
      <c r="B785" t="s">
        <v>1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2045</v>
      </c>
      <c r="J785">
        <v>0.25309999999999999</v>
      </c>
      <c r="K785" t="s">
        <v>27</v>
      </c>
    </row>
    <row r="786" spans="1:11" x14ac:dyDescent="0.45">
      <c r="A786" t="s">
        <v>90</v>
      </c>
      <c r="B786" t="s">
        <v>3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2050</v>
      </c>
      <c r="J786">
        <v>0.27485000000000004</v>
      </c>
      <c r="K786" t="s">
        <v>27</v>
      </c>
    </row>
    <row r="787" spans="1:11" x14ac:dyDescent="0.45">
      <c r="A787" t="s">
        <v>90</v>
      </c>
      <c r="B787" t="s">
        <v>4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2050</v>
      </c>
      <c r="J787">
        <v>0.21060000000000001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2050</v>
      </c>
      <c r="J788">
        <v>0.22139999999999999</v>
      </c>
      <c r="K788" t="s">
        <v>27</v>
      </c>
    </row>
    <row r="789" spans="1:11" x14ac:dyDescent="0.45">
      <c r="A789" t="s">
        <v>90</v>
      </c>
      <c r="B789" t="s">
        <v>6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2050</v>
      </c>
      <c r="J789">
        <v>0.23089999999999999</v>
      </c>
      <c r="K789" t="s">
        <v>27</v>
      </c>
    </row>
    <row r="790" spans="1:11" x14ac:dyDescent="0.45">
      <c r="A790" t="s">
        <v>90</v>
      </c>
      <c r="B790" t="s">
        <v>5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2050</v>
      </c>
      <c r="J790">
        <v>0.17444999999999999</v>
      </c>
      <c r="K790" t="s">
        <v>27</v>
      </c>
    </row>
    <row r="791" spans="1:11" x14ac:dyDescent="0.45">
      <c r="A791" t="s">
        <v>90</v>
      </c>
      <c r="B791" t="s">
        <v>2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2050</v>
      </c>
      <c r="J791">
        <v>0.22844999999999999</v>
      </c>
      <c r="K791" t="s">
        <v>27</v>
      </c>
    </row>
    <row r="792" spans="1:11" x14ac:dyDescent="0.45">
      <c r="A792" t="s">
        <v>90</v>
      </c>
      <c r="B792" t="s">
        <v>1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2050</v>
      </c>
      <c r="J792">
        <v>0.28234999999999999</v>
      </c>
      <c r="K792" t="s">
        <v>27</v>
      </c>
    </row>
    <row r="793" spans="1:11" x14ac:dyDescent="0.45">
      <c r="A793" t="s">
        <v>90</v>
      </c>
      <c r="B793" t="s">
        <v>3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2055</v>
      </c>
      <c r="J793">
        <v>0.30525000000000002</v>
      </c>
      <c r="K793" t="s">
        <v>27</v>
      </c>
    </row>
    <row r="794" spans="1:11" x14ac:dyDescent="0.45">
      <c r="A794" t="s">
        <v>90</v>
      </c>
      <c r="B794" t="s">
        <v>4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2055</v>
      </c>
      <c r="J794">
        <v>0.2477</v>
      </c>
      <c r="K794" t="s">
        <v>27</v>
      </c>
    </row>
    <row r="795" spans="1:11" x14ac:dyDescent="0.45">
      <c r="A795" t="s">
        <v>90</v>
      </c>
      <c r="B795" t="s">
        <v>0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2055</v>
      </c>
      <c r="J795">
        <v>0.25555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2055</v>
      </c>
      <c r="J796">
        <v>0.25480000000000003</v>
      </c>
      <c r="K796" t="s">
        <v>27</v>
      </c>
    </row>
    <row r="797" spans="1:11" x14ac:dyDescent="0.45">
      <c r="A797" t="s">
        <v>90</v>
      </c>
      <c r="B797" t="s">
        <v>5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2055</v>
      </c>
      <c r="J797">
        <v>0.20835000000000001</v>
      </c>
      <c r="K797" t="s">
        <v>27</v>
      </c>
    </row>
    <row r="798" spans="1:11" x14ac:dyDescent="0.45">
      <c r="A798" t="s">
        <v>90</v>
      </c>
      <c r="B798" t="s">
        <v>2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2055</v>
      </c>
      <c r="J798">
        <v>0.25169999999999998</v>
      </c>
      <c r="K798" t="s">
        <v>27</v>
      </c>
    </row>
    <row r="799" spans="1:11" x14ac:dyDescent="0.45">
      <c r="A799" t="s">
        <v>90</v>
      </c>
      <c r="B799" t="s">
        <v>1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2055</v>
      </c>
      <c r="J799">
        <v>0.31304999999999999</v>
      </c>
      <c r="K799" t="s">
        <v>27</v>
      </c>
    </row>
    <row r="800" spans="1:11" x14ac:dyDescent="0.45">
      <c r="A800" t="s">
        <v>90</v>
      </c>
      <c r="B800" t="s">
        <v>3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2060</v>
      </c>
      <c r="J800">
        <v>0.33069999999999999</v>
      </c>
      <c r="K800" t="s">
        <v>27</v>
      </c>
    </row>
    <row r="801" spans="1:11" x14ac:dyDescent="0.45">
      <c r="A801" t="s">
        <v>90</v>
      </c>
      <c r="B801" t="s">
        <v>4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2060</v>
      </c>
      <c r="J801">
        <v>0.2747</v>
      </c>
      <c r="K801" t="s">
        <v>27</v>
      </c>
    </row>
    <row r="802" spans="1:11" x14ac:dyDescent="0.45">
      <c r="A802" t="s">
        <v>90</v>
      </c>
      <c r="B802" t="s">
        <v>0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2060</v>
      </c>
      <c r="J802">
        <v>0.28575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0.27860000000000001</v>
      </c>
      <c r="K803" t="s">
        <v>27</v>
      </c>
    </row>
    <row r="804" spans="1:11" x14ac:dyDescent="0.45">
      <c r="A804" t="s">
        <v>90</v>
      </c>
      <c r="B804" t="s">
        <v>5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2060</v>
      </c>
      <c r="J804">
        <v>0.23265</v>
      </c>
      <c r="K804" t="s">
        <v>27</v>
      </c>
    </row>
    <row r="805" spans="1:11" x14ac:dyDescent="0.45">
      <c r="A805" t="s">
        <v>90</v>
      </c>
      <c r="B805" t="s">
        <v>2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2060</v>
      </c>
      <c r="J805">
        <v>0.27655000000000002</v>
      </c>
      <c r="K805" t="s">
        <v>27</v>
      </c>
    </row>
    <row r="806" spans="1:11" x14ac:dyDescent="0.45">
      <c r="A806" t="s">
        <v>90</v>
      </c>
      <c r="B806" t="s">
        <v>1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2060</v>
      </c>
      <c r="J806">
        <v>0.34370000000000001</v>
      </c>
      <c r="K806" t="s">
        <v>27</v>
      </c>
    </row>
    <row r="807" spans="1:11" x14ac:dyDescent="0.45">
      <c r="A807" t="s">
        <v>90</v>
      </c>
      <c r="B807" t="s">
        <v>3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2065</v>
      </c>
      <c r="J807">
        <v>0.35109999999999997</v>
      </c>
      <c r="K807" t="s">
        <v>27</v>
      </c>
    </row>
    <row r="808" spans="1:11" x14ac:dyDescent="0.45">
      <c r="A808" t="s">
        <v>90</v>
      </c>
      <c r="B808" t="s">
        <v>4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2065</v>
      </c>
      <c r="J808">
        <v>0.29490000000000005</v>
      </c>
      <c r="K808" t="s">
        <v>27</v>
      </c>
    </row>
    <row r="809" spans="1:11" x14ac:dyDescent="0.45">
      <c r="A809" t="s">
        <v>90</v>
      </c>
      <c r="B809" t="s">
        <v>0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2065</v>
      </c>
      <c r="J809">
        <v>0.3049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2065</v>
      </c>
      <c r="J810">
        <v>0.29825000000000002</v>
      </c>
      <c r="K810" t="s">
        <v>27</v>
      </c>
    </row>
    <row r="811" spans="1:11" x14ac:dyDescent="0.45">
      <c r="A811" t="s">
        <v>90</v>
      </c>
      <c r="B811" t="s">
        <v>5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2065</v>
      </c>
      <c r="J811">
        <v>0.24925</v>
      </c>
      <c r="K811" t="s">
        <v>27</v>
      </c>
    </row>
    <row r="812" spans="1:11" x14ac:dyDescent="0.45">
      <c r="A812" t="s">
        <v>90</v>
      </c>
      <c r="B812" t="s">
        <v>2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2065</v>
      </c>
      <c r="J812">
        <v>0.29820000000000002</v>
      </c>
      <c r="K812" t="s">
        <v>27</v>
      </c>
    </row>
    <row r="813" spans="1:11" x14ac:dyDescent="0.45">
      <c r="A813" t="s">
        <v>90</v>
      </c>
      <c r="B813" t="s">
        <v>1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2065</v>
      </c>
      <c r="J813">
        <v>0.36304999999999998</v>
      </c>
      <c r="K813" t="s">
        <v>27</v>
      </c>
    </row>
    <row r="814" spans="1:11" x14ac:dyDescent="0.45">
      <c r="A814" t="s">
        <v>90</v>
      </c>
      <c r="B814" t="s">
        <v>3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2070</v>
      </c>
      <c r="J814">
        <v>0.3705</v>
      </c>
      <c r="K814" t="s">
        <v>27</v>
      </c>
    </row>
    <row r="815" spans="1:11" x14ac:dyDescent="0.45">
      <c r="A815" t="s">
        <v>90</v>
      </c>
      <c r="B815" t="s">
        <v>4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2070</v>
      </c>
      <c r="J815">
        <v>0.31374999999999997</v>
      </c>
      <c r="K815" t="s">
        <v>27</v>
      </c>
    </row>
    <row r="816" spans="1:11" x14ac:dyDescent="0.45">
      <c r="A816" t="s">
        <v>90</v>
      </c>
      <c r="B816" t="s">
        <v>0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2070</v>
      </c>
      <c r="J816">
        <v>0.32430000000000003</v>
      </c>
      <c r="K816" t="s">
        <v>27</v>
      </c>
    </row>
    <row r="817" spans="1:11" x14ac:dyDescent="0.45">
      <c r="A817" t="s">
        <v>90</v>
      </c>
      <c r="B817" t="s">
        <v>6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2070</v>
      </c>
      <c r="J817">
        <v>0.31679999999999997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2070</v>
      </c>
      <c r="J818">
        <v>0.26370000000000005</v>
      </c>
      <c r="K818" t="s">
        <v>27</v>
      </c>
    </row>
    <row r="819" spans="1:11" x14ac:dyDescent="0.45">
      <c r="A819" t="s">
        <v>90</v>
      </c>
      <c r="B819" t="s">
        <v>2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2070</v>
      </c>
      <c r="J819">
        <v>0.31864999999999999</v>
      </c>
      <c r="K819" t="s">
        <v>27</v>
      </c>
    </row>
    <row r="820" spans="1:11" x14ac:dyDescent="0.45">
      <c r="A820" t="s">
        <v>90</v>
      </c>
      <c r="B820" t="s">
        <v>1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2070</v>
      </c>
      <c r="J820">
        <v>0.38065000000000004</v>
      </c>
      <c r="K820" t="s">
        <v>27</v>
      </c>
    </row>
    <row r="821" spans="1:11" x14ac:dyDescent="0.45">
      <c r="A821" t="s">
        <v>90</v>
      </c>
      <c r="B821" t="s">
        <v>3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2075</v>
      </c>
      <c r="J821">
        <v>0.38629999999999998</v>
      </c>
      <c r="K821" t="s">
        <v>27</v>
      </c>
    </row>
    <row r="822" spans="1:11" x14ac:dyDescent="0.45">
      <c r="A822" t="s">
        <v>90</v>
      </c>
      <c r="B822" t="s">
        <v>4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2075</v>
      </c>
      <c r="J822">
        <v>0.32779999999999998</v>
      </c>
      <c r="K822" t="s">
        <v>27</v>
      </c>
    </row>
    <row r="823" spans="1:11" x14ac:dyDescent="0.45">
      <c r="A823" t="s">
        <v>90</v>
      </c>
      <c r="B823" t="s">
        <v>0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0.34145000000000003</v>
      </c>
      <c r="K823" t="s">
        <v>27</v>
      </c>
    </row>
    <row r="824" spans="1:11" x14ac:dyDescent="0.45">
      <c r="A824" t="s">
        <v>90</v>
      </c>
      <c r="B824" t="s">
        <v>6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2075</v>
      </c>
      <c r="J824">
        <v>0.33215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2075</v>
      </c>
      <c r="J825">
        <v>0.27980000000000005</v>
      </c>
      <c r="K825" t="s">
        <v>27</v>
      </c>
    </row>
    <row r="826" spans="1:11" x14ac:dyDescent="0.45">
      <c r="A826" t="s">
        <v>90</v>
      </c>
      <c r="B826" t="s">
        <v>2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2075</v>
      </c>
      <c r="J826">
        <v>0.33204999999999996</v>
      </c>
      <c r="K826" t="s">
        <v>27</v>
      </c>
    </row>
    <row r="827" spans="1:11" x14ac:dyDescent="0.45">
      <c r="A827" t="s">
        <v>90</v>
      </c>
      <c r="B827" t="s">
        <v>1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2075</v>
      </c>
      <c r="J827">
        <v>0.39905000000000002</v>
      </c>
      <c r="K827" t="s">
        <v>27</v>
      </c>
    </row>
    <row r="828" spans="1:11" x14ac:dyDescent="0.45">
      <c r="A828" t="s">
        <v>90</v>
      </c>
      <c r="B828" t="s">
        <v>3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2080</v>
      </c>
      <c r="J828">
        <v>0.40129999999999999</v>
      </c>
      <c r="K828" t="s">
        <v>27</v>
      </c>
    </row>
    <row r="829" spans="1:11" x14ac:dyDescent="0.45">
      <c r="A829" t="s">
        <v>90</v>
      </c>
      <c r="B829" t="s">
        <v>4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2080</v>
      </c>
      <c r="J829">
        <v>0.34155000000000002</v>
      </c>
      <c r="K829" t="s">
        <v>27</v>
      </c>
    </row>
    <row r="830" spans="1:11" x14ac:dyDescent="0.45">
      <c r="A830" t="s">
        <v>90</v>
      </c>
      <c r="B830" t="s">
        <v>0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2080</v>
      </c>
      <c r="J830">
        <v>0.35750000000000004</v>
      </c>
      <c r="K830" t="s">
        <v>27</v>
      </c>
    </row>
    <row r="831" spans="1:11" x14ac:dyDescent="0.45">
      <c r="A831" t="s">
        <v>90</v>
      </c>
      <c r="B831" t="s">
        <v>6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2080</v>
      </c>
      <c r="J831">
        <v>0.34665000000000001</v>
      </c>
      <c r="K831" t="s">
        <v>27</v>
      </c>
    </row>
    <row r="832" spans="1:11" x14ac:dyDescent="0.45">
      <c r="A832" t="s">
        <v>90</v>
      </c>
      <c r="B832" t="s">
        <v>5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2080</v>
      </c>
      <c r="J832">
        <v>0.29495000000000005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2080</v>
      </c>
      <c r="J833">
        <v>0.34450000000000003</v>
      </c>
      <c r="K833" t="s">
        <v>27</v>
      </c>
    </row>
    <row r="834" spans="1:11" x14ac:dyDescent="0.45">
      <c r="A834" t="s">
        <v>90</v>
      </c>
      <c r="B834" t="s">
        <v>1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2080</v>
      </c>
      <c r="J834">
        <v>0.41649999999999998</v>
      </c>
      <c r="K834" t="s">
        <v>27</v>
      </c>
    </row>
    <row r="835" spans="1:11" x14ac:dyDescent="0.45">
      <c r="A835" t="s">
        <v>90</v>
      </c>
      <c r="B835" t="s">
        <v>3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2085</v>
      </c>
      <c r="J835">
        <v>0.41449999999999998</v>
      </c>
      <c r="K835" t="s">
        <v>27</v>
      </c>
    </row>
    <row r="836" spans="1:11" x14ac:dyDescent="0.45">
      <c r="A836" t="s">
        <v>90</v>
      </c>
      <c r="B836" t="s">
        <v>4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2085</v>
      </c>
      <c r="J836">
        <v>0.35375000000000001</v>
      </c>
      <c r="K836" t="s">
        <v>27</v>
      </c>
    </row>
    <row r="837" spans="1:11" x14ac:dyDescent="0.45">
      <c r="A837" t="s">
        <v>90</v>
      </c>
      <c r="B837" t="s">
        <v>0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2085</v>
      </c>
      <c r="J837">
        <v>0.36934999999999996</v>
      </c>
      <c r="K837" t="s">
        <v>27</v>
      </c>
    </row>
    <row r="838" spans="1:11" x14ac:dyDescent="0.45">
      <c r="A838" t="s">
        <v>90</v>
      </c>
      <c r="B838" t="s">
        <v>6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2085</v>
      </c>
      <c r="J838">
        <v>0.35845000000000005</v>
      </c>
      <c r="K838" t="s">
        <v>27</v>
      </c>
    </row>
    <row r="839" spans="1:11" x14ac:dyDescent="0.45">
      <c r="A839" t="s">
        <v>90</v>
      </c>
      <c r="B839" t="s">
        <v>5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2085</v>
      </c>
      <c r="J839">
        <v>0.30530000000000002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2085</v>
      </c>
      <c r="J840">
        <v>0.35625000000000001</v>
      </c>
      <c r="K840" t="s">
        <v>27</v>
      </c>
    </row>
    <row r="841" spans="1:11" x14ac:dyDescent="0.45">
      <c r="A841" t="s">
        <v>90</v>
      </c>
      <c r="B841" t="s">
        <v>1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2085</v>
      </c>
      <c r="J841">
        <v>0.43105000000000004</v>
      </c>
      <c r="K841" t="s">
        <v>27</v>
      </c>
    </row>
    <row r="842" spans="1:11" x14ac:dyDescent="0.45">
      <c r="A842" t="s">
        <v>90</v>
      </c>
      <c r="B842" t="s">
        <v>3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2090</v>
      </c>
      <c r="J842">
        <v>0.42625000000000002</v>
      </c>
      <c r="K842" t="s">
        <v>27</v>
      </c>
    </row>
    <row r="843" spans="1:11" x14ac:dyDescent="0.45">
      <c r="A843" t="s">
        <v>90</v>
      </c>
      <c r="B843" t="s">
        <v>4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0.36370000000000002</v>
      </c>
      <c r="K843" t="s">
        <v>27</v>
      </c>
    </row>
    <row r="844" spans="1:11" x14ac:dyDescent="0.45">
      <c r="A844" t="s">
        <v>90</v>
      </c>
      <c r="B844" t="s">
        <v>0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2090</v>
      </c>
      <c r="J844">
        <v>0.37980000000000003</v>
      </c>
      <c r="K844" t="s">
        <v>27</v>
      </c>
    </row>
    <row r="845" spans="1:11" x14ac:dyDescent="0.45">
      <c r="A845" t="s">
        <v>90</v>
      </c>
      <c r="B845" t="s">
        <v>6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2090</v>
      </c>
      <c r="J845">
        <v>0.37</v>
      </c>
      <c r="K845" t="s">
        <v>27</v>
      </c>
    </row>
    <row r="846" spans="1:11" x14ac:dyDescent="0.45">
      <c r="A846" t="s">
        <v>90</v>
      </c>
      <c r="B846" t="s">
        <v>5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2090</v>
      </c>
      <c r="J846">
        <v>0.31384999999999996</v>
      </c>
      <c r="K846" t="s">
        <v>27</v>
      </c>
    </row>
    <row r="847" spans="1:11" x14ac:dyDescent="0.45">
      <c r="A847" t="s">
        <v>90</v>
      </c>
      <c r="B847" t="s">
        <v>2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2090</v>
      </c>
      <c r="J847">
        <v>0.36975000000000002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2090</v>
      </c>
      <c r="J848">
        <v>0.44315000000000004</v>
      </c>
      <c r="K848" t="s">
        <v>27</v>
      </c>
    </row>
    <row r="849" spans="1:11" x14ac:dyDescent="0.45">
      <c r="A849" t="s">
        <v>90</v>
      </c>
      <c r="B849" t="s">
        <v>3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2095</v>
      </c>
      <c r="J849">
        <v>0.43955</v>
      </c>
      <c r="K849" t="s">
        <v>27</v>
      </c>
    </row>
    <row r="850" spans="1:11" x14ac:dyDescent="0.45">
      <c r="A850" t="s">
        <v>90</v>
      </c>
      <c r="B850" t="s">
        <v>4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2095</v>
      </c>
      <c r="J850">
        <v>0.37585000000000002</v>
      </c>
      <c r="K850" t="s">
        <v>27</v>
      </c>
    </row>
    <row r="851" spans="1:11" x14ac:dyDescent="0.45">
      <c r="A851" t="s">
        <v>90</v>
      </c>
      <c r="B851" t="s">
        <v>0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2095</v>
      </c>
      <c r="J851">
        <v>0.39269999999999999</v>
      </c>
      <c r="K851" t="s">
        <v>27</v>
      </c>
    </row>
    <row r="852" spans="1:11" x14ac:dyDescent="0.45">
      <c r="A852" t="s">
        <v>90</v>
      </c>
      <c r="B852" t="s">
        <v>6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2095</v>
      </c>
      <c r="J852">
        <v>0.38524999999999998</v>
      </c>
      <c r="K852" t="s">
        <v>27</v>
      </c>
    </row>
    <row r="853" spans="1:11" x14ac:dyDescent="0.45">
      <c r="A853" t="s">
        <v>90</v>
      </c>
      <c r="B853" t="s">
        <v>5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2095</v>
      </c>
      <c r="J853">
        <v>0.32615</v>
      </c>
      <c r="K853" t="s">
        <v>27</v>
      </c>
    </row>
    <row r="854" spans="1:11" x14ac:dyDescent="0.45">
      <c r="A854" t="s">
        <v>90</v>
      </c>
      <c r="B854" t="s">
        <v>2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2095</v>
      </c>
      <c r="J854">
        <v>0.38390000000000002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2095</v>
      </c>
      <c r="J855">
        <v>0.45619999999999999</v>
      </c>
      <c r="K855" t="s">
        <v>27</v>
      </c>
    </row>
    <row r="856" spans="1:11" x14ac:dyDescent="0.45">
      <c r="A856" t="s">
        <v>90</v>
      </c>
      <c r="B856" t="s">
        <v>3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2100</v>
      </c>
      <c r="J856">
        <v>0.45150000000000001</v>
      </c>
      <c r="K856" t="s">
        <v>27</v>
      </c>
    </row>
    <row r="857" spans="1:11" x14ac:dyDescent="0.45">
      <c r="A857" t="s">
        <v>90</v>
      </c>
      <c r="B857" t="s">
        <v>4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2100</v>
      </c>
      <c r="J857">
        <v>0.38734999999999997</v>
      </c>
      <c r="K857" t="s">
        <v>27</v>
      </c>
    </row>
    <row r="858" spans="1:11" x14ac:dyDescent="0.45">
      <c r="A858" t="s">
        <v>90</v>
      </c>
      <c r="B858" t="s">
        <v>0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2100</v>
      </c>
      <c r="J858">
        <v>0.40444999999999998</v>
      </c>
      <c r="K858" t="s">
        <v>27</v>
      </c>
    </row>
    <row r="859" spans="1:11" x14ac:dyDescent="0.45">
      <c r="A859" t="s">
        <v>90</v>
      </c>
      <c r="B859" t="s">
        <v>6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2100</v>
      </c>
      <c r="J859">
        <v>0.40084999999999998</v>
      </c>
      <c r="K859" t="s">
        <v>27</v>
      </c>
    </row>
    <row r="860" spans="1:11" x14ac:dyDescent="0.45">
      <c r="A860" t="s">
        <v>90</v>
      </c>
      <c r="B860" t="s">
        <v>5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2100</v>
      </c>
      <c r="J860">
        <v>0.33955000000000002</v>
      </c>
      <c r="K860" t="s">
        <v>27</v>
      </c>
    </row>
    <row r="861" spans="1:11" x14ac:dyDescent="0.45">
      <c r="A861" t="s">
        <v>90</v>
      </c>
      <c r="B861" t="s">
        <v>2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2100</v>
      </c>
      <c r="J861">
        <v>0.39690000000000003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0.46750000000000003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4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2020</v>
      </c>
      <c r="J864">
        <v>5.3799000000000001</v>
      </c>
      <c r="K864" t="s">
        <v>29</v>
      </c>
    </row>
    <row r="865" spans="1:11" x14ac:dyDescent="0.45">
      <c r="A865" t="s">
        <v>90</v>
      </c>
      <c r="B865" t="s">
        <v>0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2020</v>
      </c>
      <c r="J865">
        <v>5.3799000000000001</v>
      </c>
      <c r="K865" t="s">
        <v>29</v>
      </c>
    </row>
    <row r="866" spans="1:11" x14ac:dyDescent="0.45">
      <c r="A866" t="s">
        <v>90</v>
      </c>
      <c r="B866" t="s">
        <v>6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2020</v>
      </c>
      <c r="J866">
        <v>5.3799000000000001</v>
      </c>
      <c r="K866" t="s">
        <v>29</v>
      </c>
    </row>
    <row r="867" spans="1:11" x14ac:dyDescent="0.45">
      <c r="A867" t="s">
        <v>90</v>
      </c>
      <c r="B867" t="s">
        <v>5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2020</v>
      </c>
      <c r="J867">
        <v>5.3799000000000001</v>
      </c>
      <c r="K867" t="s">
        <v>29</v>
      </c>
    </row>
    <row r="868" spans="1:11" x14ac:dyDescent="0.45">
      <c r="A868" t="s">
        <v>90</v>
      </c>
      <c r="B868" t="s">
        <v>2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2020</v>
      </c>
      <c r="J868">
        <v>5.3799000000000001</v>
      </c>
      <c r="K868" t="s">
        <v>29</v>
      </c>
    </row>
    <row r="869" spans="1:11" x14ac:dyDescent="0.45">
      <c r="A869" t="s">
        <v>90</v>
      </c>
      <c r="B869" t="s">
        <v>1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2020</v>
      </c>
      <c r="J869">
        <v>5.3799000000000001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2025</v>
      </c>
      <c r="J870">
        <v>5.6314500000000001</v>
      </c>
      <c r="K870" t="s">
        <v>29</v>
      </c>
    </row>
    <row r="871" spans="1:11" x14ac:dyDescent="0.45">
      <c r="A871" t="s">
        <v>90</v>
      </c>
      <c r="B871" t="s">
        <v>4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2025</v>
      </c>
      <c r="J871">
        <v>5.7637999999999998</v>
      </c>
      <c r="K871" t="s">
        <v>29</v>
      </c>
    </row>
    <row r="872" spans="1:11" x14ac:dyDescent="0.45">
      <c r="A872" t="s">
        <v>90</v>
      </c>
      <c r="B872" t="s">
        <v>0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2025</v>
      </c>
      <c r="J872">
        <v>5.7637999999999998</v>
      </c>
      <c r="K872" t="s">
        <v>29</v>
      </c>
    </row>
    <row r="873" spans="1:11" x14ac:dyDescent="0.45">
      <c r="A873" t="s">
        <v>90</v>
      </c>
      <c r="B873" t="s">
        <v>6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2025</v>
      </c>
      <c r="J873">
        <v>5.7637999999999998</v>
      </c>
      <c r="K873" t="s">
        <v>29</v>
      </c>
    </row>
    <row r="874" spans="1:11" x14ac:dyDescent="0.45">
      <c r="A874" t="s">
        <v>90</v>
      </c>
      <c r="B874" t="s">
        <v>5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2025</v>
      </c>
      <c r="J874">
        <v>5.3708</v>
      </c>
      <c r="K874" t="s">
        <v>29</v>
      </c>
    </row>
    <row r="875" spans="1:11" x14ac:dyDescent="0.45">
      <c r="A875" t="s">
        <v>90</v>
      </c>
      <c r="B875" t="s">
        <v>2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2025</v>
      </c>
      <c r="J875">
        <v>5.6462000000000003</v>
      </c>
      <c r="K875" t="s">
        <v>29</v>
      </c>
    </row>
    <row r="876" spans="1:11" x14ac:dyDescent="0.45">
      <c r="A876" t="s">
        <v>90</v>
      </c>
      <c r="B876" t="s">
        <v>1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2025</v>
      </c>
      <c r="J876">
        <v>5.2343000000000002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2030</v>
      </c>
      <c r="J877">
        <v>5.5214499999999997</v>
      </c>
      <c r="K877" t="s">
        <v>29</v>
      </c>
    </row>
    <row r="878" spans="1:11" x14ac:dyDescent="0.45">
      <c r="A878" t="s">
        <v>90</v>
      </c>
      <c r="B878" t="s">
        <v>4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2030</v>
      </c>
      <c r="J878">
        <v>5.3145500000000006</v>
      </c>
      <c r="K878" t="s">
        <v>29</v>
      </c>
    </row>
    <row r="879" spans="1:11" x14ac:dyDescent="0.45">
      <c r="A879" t="s">
        <v>90</v>
      </c>
      <c r="B879" t="s">
        <v>0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2030</v>
      </c>
      <c r="J879">
        <v>5.3145500000000006</v>
      </c>
      <c r="K879" t="s">
        <v>29</v>
      </c>
    </row>
    <row r="880" spans="1:11" x14ac:dyDescent="0.45">
      <c r="A880" t="s">
        <v>90</v>
      </c>
      <c r="B880" t="s">
        <v>6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2030</v>
      </c>
      <c r="J880">
        <v>5.3145500000000006</v>
      </c>
      <c r="K880" t="s">
        <v>29</v>
      </c>
    </row>
    <row r="881" spans="1:11" x14ac:dyDescent="0.45">
      <c r="A881" t="s">
        <v>90</v>
      </c>
      <c r="B881" t="s">
        <v>5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2030</v>
      </c>
      <c r="J881">
        <v>5.2363499999999998</v>
      </c>
      <c r="K881" t="s">
        <v>29</v>
      </c>
    </row>
    <row r="882" spans="1:11" x14ac:dyDescent="0.45">
      <c r="A882" t="s">
        <v>90</v>
      </c>
      <c r="B882" t="s">
        <v>2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5.6435499999999994</v>
      </c>
      <c r="K882" t="s">
        <v>29</v>
      </c>
    </row>
    <row r="883" spans="1:11" x14ac:dyDescent="0.45">
      <c r="A883" t="s">
        <v>90</v>
      </c>
      <c r="B883" t="s">
        <v>1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2030</v>
      </c>
      <c r="J883">
        <v>6.0677500000000002</v>
      </c>
      <c r="K883" t="s">
        <v>29</v>
      </c>
    </row>
    <row r="884" spans="1:11" x14ac:dyDescent="0.45">
      <c r="A884" t="s">
        <v>90</v>
      </c>
      <c r="B884" t="s">
        <v>3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2035</v>
      </c>
      <c r="J884">
        <v>5.7596500000000006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2035</v>
      </c>
      <c r="J885">
        <v>4.5601500000000001</v>
      </c>
      <c r="K885" t="s">
        <v>29</v>
      </c>
    </row>
    <row r="886" spans="1:11" x14ac:dyDescent="0.45">
      <c r="A886" t="s">
        <v>90</v>
      </c>
      <c r="B886" t="s">
        <v>0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2035</v>
      </c>
      <c r="J886">
        <v>2.1764999999999999</v>
      </c>
      <c r="K886" t="s">
        <v>29</v>
      </c>
    </row>
    <row r="887" spans="1:11" x14ac:dyDescent="0.45">
      <c r="A887" t="s">
        <v>90</v>
      </c>
      <c r="B887" t="s">
        <v>6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2035</v>
      </c>
      <c r="J887">
        <v>4.7282500000000001</v>
      </c>
      <c r="K887" t="s">
        <v>29</v>
      </c>
    </row>
    <row r="888" spans="1:11" x14ac:dyDescent="0.45">
      <c r="A888" t="s">
        <v>90</v>
      </c>
      <c r="B888" t="s">
        <v>5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2035</v>
      </c>
      <c r="J888">
        <v>7.7720500000000001</v>
      </c>
      <c r="K888" t="s">
        <v>29</v>
      </c>
    </row>
    <row r="889" spans="1:11" x14ac:dyDescent="0.45">
      <c r="A889" t="s">
        <v>90</v>
      </c>
      <c r="B889" t="s">
        <v>2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2035</v>
      </c>
      <c r="J889">
        <v>5.8456999999999999</v>
      </c>
      <c r="K889" t="s">
        <v>29</v>
      </c>
    </row>
    <row r="890" spans="1:11" x14ac:dyDescent="0.45">
      <c r="A890" t="s">
        <v>90</v>
      </c>
      <c r="B890" t="s">
        <v>1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2035</v>
      </c>
      <c r="J890">
        <v>8.3306499999999986</v>
      </c>
      <c r="K890" t="s">
        <v>29</v>
      </c>
    </row>
    <row r="891" spans="1:11" x14ac:dyDescent="0.45">
      <c r="A891" t="s">
        <v>90</v>
      </c>
      <c r="B891" t="s">
        <v>3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2040</v>
      </c>
      <c r="J891">
        <v>6.8430499999999999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2040</v>
      </c>
      <c r="J892">
        <v>2.1816000000000004</v>
      </c>
      <c r="K892" t="s">
        <v>29</v>
      </c>
    </row>
    <row r="893" spans="1:11" x14ac:dyDescent="0.45">
      <c r="A893" t="s">
        <v>90</v>
      </c>
      <c r="B893" t="s">
        <v>0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2040</v>
      </c>
      <c r="J893">
        <v>5.5442</v>
      </c>
      <c r="K893" t="s">
        <v>29</v>
      </c>
    </row>
    <row r="894" spans="1:11" x14ac:dyDescent="0.45">
      <c r="A894" t="s">
        <v>90</v>
      </c>
      <c r="B894" t="s">
        <v>6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2040</v>
      </c>
      <c r="J894">
        <v>5.6577500000000001</v>
      </c>
      <c r="K894" t="s">
        <v>29</v>
      </c>
    </row>
    <row r="895" spans="1:11" x14ac:dyDescent="0.45">
      <c r="A895" t="s">
        <v>90</v>
      </c>
      <c r="B895" t="s">
        <v>5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2040</v>
      </c>
      <c r="J895">
        <v>8.9328500000000002</v>
      </c>
      <c r="K895" t="s">
        <v>29</v>
      </c>
    </row>
    <row r="896" spans="1:11" x14ac:dyDescent="0.45">
      <c r="A896" t="s">
        <v>90</v>
      </c>
      <c r="B896" t="s">
        <v>2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2040</v>
      </c>
      <c r="J896">
        <v>5.91425</v>
      </c>
      <c r="K896" t="s">
        <v>29</v>
      </c>
    </row>
    <row r="897" spans="1:11" x14ac:dyDescent="0.45">
      <c r="A897" t="s">
        <v>90</v>
      </c>
      <c r="B897" t="s">
        <v>1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2040</v>
      </c>
      <c r="J897">
        <v>16.86035</v>
      </c>
      <c r="K897" t="s">
        <v>29</v>
      </c>
    </row>
    <row r="898" spans="1:11" x14ac:dyDescent="0.45">
      <c r="A898" t="s">
        <v>90</v>
      </c>
      <c r="B898" t="s">
        <v>3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2045</v>
      </c>
      <c r="J898">
        <v>6.9108000000000001</v>
      </c>
      <c r="K898" t="s">
        <v>29</v>
      </c>
    </row>
    <row r="899" spans="1:11" x14ac:dyDescent="0.45">
      <c r="A899" t="s">
        <v>90</v>
      </c>
      <c r="B899" t="s">
        <v>4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2045</v>
      </c>
      <c r="J899">
        <v>2.3449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2045</v>
      </c>
      <c r="J900">
        <v>9.1586999999999996</v>
      </c>
      <c r="K900" t="s">
        <v>29</v>
      </c>
    </row>
    <row r="901" spans="1:11" x14ac:dyDescent="0.45">
      <c r="A901" t="s">
        <v>90</v>
      </c>
      <c r="B901" t="s">
        <v>6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2045</v>
      </c>
      <c r="J901">
        <v>6.6602499999999996</v>
      </c>
      <c r="K901" t="s">
        <v>29</v>
      </c>
    </row>
    <row r="902" spans="1:11" x14ac:dyDescent="0.45">
      <c r="A902" t="s">
        <v>90</v>
      </c>
      <c r="B902" t="s">
        <v>5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10.32155</v>
      </c>
      <c r="K902" t="s">
        <v>29</v>
      </c>
    </row>
    <row r="903" spans="1:11" x14ac:dyDescent="0.45">
      <c r="A903" t="s">
        <v>90</v>
      </c>
      <c r="B903" t="s">
        <v>2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2045</v>
      </c>
      <c r="J903">
        <v>6.5330500000000002</v>
      </c>
      <c r="K903" t="s">
        <v>29</v>
      </c>
    </row>
    <row r="904" spans="1:11" x14ac:dyDescent="0.45">
      <c r="A904" t="s">
        <v>90</v>
      </c>
      <c r="B904" t="s">
        <v>1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2045</v>
      </c>
      <c r="J904">
        <v>22.537300000000002</v>
      </c>
      <c r="K904" t="s">
        <v>29</v>
      </c>
    </row>
    <row r="905" spans="1:11" x14ac:dyDescent="0.45">
      <c r="A905" t="s">
        <v>90</v>
      </c>
      <c r="B905" t="s">
        <v>3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2050</v>
      </c>
      <c r="J905">
        <v>7.9924499999999998</v>
      </c>
      <c r="K905" t="s">
        <v>29</v>
      </c>
    </row>
    <row r="906" spans="1:11" x14ac:dyDescent="0.45">
      <c r="A906" t="s">
        <v>90</v>
      </c>
      <c r="B906" t="s">
        <v>4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2050</v>
      </c>
      <c r="J906">
        <v>3.6767000000000003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2050</v>
      </c>
      <c r="J907">
        <v>17.657350000000001</v>
      </c>
      <c r="K907" t="s">
        <v>29</v>
      </c>
    </row>
    <row r="908" spans="1:11" x14ac:dyDescent="0.45">
      <c r="A908" t="s">
        <v>90</v>
      </c>
      <c r="B908" t="s">
        <v>6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2050</v>
      </c>
      <c r="J908">
        <v>8.1373999999999995</v>
      </c>
      <c r="K908" t="s">
        <v>29</v>
      </c>
    </row>
    <row r="909" spans="1:11" x14ac:dyDescent="0.45">
      <c r="A909" t="s">
        <v>90</v>
      </c>
      <c r="B909" t="s">
        <v>5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2050</v>
      </c>
      <c r="J909">
        <v>12.79175</v>
      </c>
      <c r="K909" t="s">
        <v>29</v>
      </c>
    </row>
    <row r="910" spans="1:11" x14ac:dyDescent="0.45">
      <c r="A910" t="s">
        <v>90</v>
      </c>
      <c r="B910" t="s">
        <v>2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2050</v>
      </c>
      <c r="J910">
        <v>7.6464999999999996</v>
      </c>
      <c r="K910" t="s">
        <v>29</v>
      </c>
    </row>
    <row r="911" spans="1:11" x14ac:dyDescent="0.45">
      <c r="A911" t="s">
        <v>90</v>
      </c>
      <c r="B911" t="s">
        <v>1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2050</v>
      </c>
      <c r="J911">
        <v>21.625300000000003</v>
      </c>
      <c r="K911" t="s">
        <v>29</v>
      </c>
    </row>
    <row r="912" spans="1:11" x14ac:dyDescent="0.45">
      <c r="A912" t="s">
        <v>90</v>
      </c>
      <c r="B912" t="s">
        <v>3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2055</v>
      </c>
      <c r="J912">
        <v>8.6547000000000001</v>
      </c>
      <c r="K912" t="s">
        <v>29</v>
      </c>
    </row>
    <row r="913" spans="1:11" x14ac:dyDescent="0.45">
      <c r="A913" t="s">
        <v>90</v>
      </c>
      <c r="B913" t="s">
        <v>4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2055</v>
      </c>
      <c r="J913">
        <v>4.1312499999999996</v>
      </c>
      <c r="K913" t="s">
        <v>29</v>
      </c>
    </row>
    <row r="914" spans="1:11" x14ac:dyDescent="0.45">
      <c r="A914" t="s">
        <v>90</v>
      </c>
      <c r="B914" t="s">
        <v>0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2055</v>
      </c>
      <c r="J914">
        <v>20.9406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2055</v>
      </c>
      <c r="J915">
        <v>9.2483499999999985</v>
      </c>
      <c r="K915" t="s">
        <v>29</v>
      </c>
    </row>
    <row r="916" spans="1:11" x14ac:dyDescent="0.45">
      <c r="A916" t="s">
        <v>90</v>
      </c>
      <c r="B916" t="s">
        <v>5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2055</v>
      </c>
      <c r="J916">
        <v>10.578399999999998</v>
      </c>
      <c r="K916" t="s">
        <v>29</v>
      </c>
    </row>
    <row r="917" spans="1:11" x14ac:dyDescent="0.45">
      <c r="A917" t="s">
        <v>90</v>
      </c>
      <c r="B917" t="s">
        <v>2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2055</v>
      </c>
      <c r="J917">
        <v>6.8690999999999995</v>
      </c>
      <c r="K917" t="s">
        <v>29</v>
      </c>
    </row>
    <row r="918" spans="1:11" x14ac:dyDescent="0.45">
      <c r="A918" t="s">
        <v>90</v>
      </c>
      <c r="B918" t="s">
        <v>1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2055</v>
      </c>
      <c r="J918">
        <v>20.022300000000001</v>
      </c>
      <c r="K918" t="s">
        <v>29</v>
      </c>
    </row>
    <row r="919" spans="1:11" x14ac:dyDescent="0.45">
      <c r="A919" t="s">
        <v>90</v>
      </c>
      <c r="B919" t="s">
        <v>3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2060</v>
      </c>
      <c r="J919">
        <v>12.725249999999999</v>
      </c>
      <c r="K919" t="s">
        <v>29</v>
      </c>
    </row>
    <row r="920" spans="1:11" x14ac:dyDescent="0.45">
      <c r="A920" t="s">
        <v>90</v>
      </c>
      <c r="B920" t="s">
        <v>4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2060</v>
      </c>
      <c r="J920">
        <v>5.2963500000000003</v>
      </c>
      <c r="K920" t="s">
        <v>29</v>
      </c>
    </row>
    <row r="921" spans="1:11" x14ac:dyDescent="0.45">
      <c r="A921" t="s">
        <v>90</v>
      </c>
      <c r="B921" t="s">
        <v>0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2060</v>
      </c>
      <c r="J921">
        <v>28.955849999999998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5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2060</v>
      </c>
      <c r="J923">
        <v>21.462600000000002</v>
      </c>
      <c r="K923" t="s">
        <v>29</v>
      </c>
    </row>
    <row r="924" spans="1:11" x14ac:dyDescent="0.45">
      <c r="A924" t="s">
        <v>90</v>
      </c>
      <c r="B924" t="s">
        <v>2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2060</v>
      </c>
      <c r="J924">
        <v>13.05955</v>
      </c>
      <c r="K924" t="s">
        <v>29</v>
      </c>
    </row>
    <row r="925" spans="1:11" x14ac:dyDescent="0.45">
      <c r="A925" t="s">
        <v>90</v>
      </c>
      <c r="B925" t="s">
        <v>1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2060</v>
      </c>
      <c r="J925">
        <v>34.522100000000002</v>
      </c>
      <c r="K925" t="s">
        <v>29</v>
      </c>
    </row>
    <row r="926" spans="1:11" x14ac:dyDescent="0.45">
      <c r="A926" t="s">
        <v>90</v>
      </c>
      <c r="B926" t="s">
        <v>3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2065</v>
      </c>
      <c r="J926">
        <v>12.6111</v>
      </c>
      <c r="K926" t="s">
        <v>29</v>
      </c>
    </row>
    <row r="927" spans="1:11" x14ac:dyDescent="0.45">
      <c r="A927" t="s">
        <v>90</v>
      </c>
      <c r="B927" t="s">
        <v>4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2065</v>
      </c>
      <c r="J927">
        <v>6.2115499999999999</v>
      </c>
      <c r="K927" t="s">
        <v>29</v>
      </c>
    </row>
    <row r="928" spans="1:11" x14ac:dyDescent="0.45">
      <c r="A928" t="s">
        <v>90</v>
      </c>
      <c r="B928" t="s">
        <v>0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2065</v>
      </c>
      <c r="J928">
        <v>25.764299999999999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2065</v>
      </c>
      <c r="J929">
        <v>15.117049999999999</v>
      </c>
      <c r="K929" t="s">
        <v>29</v>
      </c>
    </row>
    <row r="930" spans="1:11" x14ac:dyDescent="0.45">
      <c r="A930" t="s">
        <v>90</v>
      </c>
      <c r="B930" t="s">
        <v>5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2065</v>
      </c>
      <c r="J930">
        <v>19.187899999999999</v>
      </c>
      <c r="K930" t="s">
        <v>29</v>
      </c>
    </row>
    <row r="931" spans="1:11" x14ac:dyDescent="0.45">
      <c r="A931" t="s">
        <v>90</v>
      </c>
      <c r="B931" t="s">
        <v>2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2065</v>
      </c>
      <c r="J931">
        <v>12.338899999999999</v>
      </c>
      <c r="K931" t="s">
        <v>29</v>
      </c>
    </row>
    <row r="932" spans="1:11" x14ac:dyDescent="0.45">
      <c r="A932" t="s">
        <v>90</v>
      </c>
      <c r="B932" t="s">
        <v>1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2065</v>
      </c>
      <c r="J932">
        <v>34.848349999999996</v>
      </c>
      <c r="K932" t="s">
        <v>29</v>
      </c>
    </row>
    <row r="933" spans="1:11" x14ac:dyDescent="0.45">
      <c r="A933" t="s">
        <v>90</v>
      </c>
      <c r="B933" t="s">
        <v>3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2070</v>
      </c>
      <c r="J933">
        <v>12.497</v>
      </c>
      <c r="K933" t="s">
        <v>29</v>
      </c>
    </row>
    <row r="934" spans="1:11" x14ac:dyDescent="0.45">
      <c r="A934" t="s">
        <v>90</v>
      </c>
      <c r="B934" t="s">
        <v>4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2070</v>
      </c>
      <c r="J934">
        <v>7.1266999999999996</v>
      </c>
      <c r="K934" t="s">
        <v>29</v>
      </c>
    </row>
    <row r="935" spans="1:11" x14ac:dyDescent="0.45">
      <c r="A935" t="s">
        <v>90</v>
      </c>
      <c r="B935" t="s">
        <v>0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2070</v>
      </c>
      <c r="J935">
        <v>22.572700000000001</v>
      </c>
      <c r="K935" t="s">
        <v>29</v>
      </c>
    </row>
    <row r="936" spans="1:11" x14ac:dyDescent="0.45">
      <c r="A936" t="s">
        <v>90</v>
      </c>
      <c r="B936" t="s">
        <v>6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2070</v>
      </c>
      <c r="J936">
        <v>15.547899999999998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2070</v>
      </c>
      <c r="J937">
        <v>16.913249999999998</v>
      </c>
      <c r="K937" t="s">
        <v>29</v>
      </c>
    </row>
    <row r="938" spans="1:11" x14ac:dyDescent="0.45">
      <c r="A938" t="s">
        <v>90</v>
      </c>
      <c r="B938" t="s">
        <v>2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2070</v>
      </c>
      <c r="J938">
        <v>11.61825</v>
      </c>
      <c r="K938" t="s">
        <v>29</v>
      </c>
    </row>
    <row r="939" spans="1:11" x14ac:dyDescent="0.45">
      <c r="A939" t="s">
        <v>90</v>
      </c>
      <c r="B939" t="s">
        <v>1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2070</v>
      </c>
      <c r="J939">
        <v>35.174599999999998</v>
      </c>
      <c r="K939" t="s">
        <v>29</v>
      </c>
    </row>
    <row r="940" spans="1:11" x14ac:dyDescent="0.45">
      <c r="A940" t="s">
        <v>90</v>
      </c>
      <c r="B940" t="s">
        <v>3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2075</v>
      </c>
      <c r="J940">
        <v>13.562349999999999</v>
      </c>
      <c r="K940" t="s">
        <v>29</v>
      </c>
    </row>
    <row r="941" spans="1:11" x14ac:dyDescent="0.45">
      <c r="A941" t="s">
        <v>90</v>
      </c>
      <c r="B941" t="s">
        <v>4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2075</v>
      </c>
      <c r="J941">
        <v>7.1797500000000003</v>
      </c>
      <c r="K941" t="s">
        <v>29</v>
      </c>
    </row>
    <row r="942" spans="1:11" x14ac:dyDescent="0.45">
      <c r="A942" t="s">
        <v>90</v>
      </c>
      <c r="B942" t="s">
        <v>0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23.83595</v>
      </c>
      <c r="K942" t="s">
        <v>29</v>
      </c>
    </row>
    <row r="943" spans="1:11" x14ac:dyDescent="0.45">
      <c r="A943" t="s">
        <v>90</v>
      </c>
      <c r="B943" t="s">
        <v>6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2075</v>
      </c>
      <c r="J943">
        <v>15.43695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2075</v>
      </c>
      <c r="J944">
        <v>16.574300000000001</v>
      </c>
      <c r="K944" t="s">
        <v>29</v>
      </c>
    </row>
    <row r="945" spans="1:11" x14ac:dyDescent="0.45">
      <c r="A945" t="s">
        <v>90</v>
      </c>
      <c r="B945" t="s">
        <v>2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2075</v>
      </c>
      <c r="J945">
        <v>11.212400000000001</v>
      </c>
      <c r="K945" t="s">
        <v>29</v>
      </c>
    </row>
    <row r="946" spans="1:11" x14ac:dyDescent="0.45">
      <c r="A946" t="s">
        <v>90</v>
      </c>
      <c r="B946" t="s">
        <v>1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2075</v>
      </c>
      <c r="J946">
        <v>34.450149999999994</v>
      </c>
      <c r="K946" t="s">
        <v>29</v>
      </c>
    </row>
    <row r="947" spans="1:11" x14ac:dyDescent="0.45">
      <c r="A947" t="s">
        <v>90</v>
      </c>
      <c r="B947" t="s">
        <v>3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2080</v>
      </c>
      <c r="J947">
        <v>14.627700000000001</v>
      </c>
      <c r="K947" t="s">
        <v>29</v>
      </c>
    </row>
    <row r="948" spans="1:11" x14ac:dyDescent="0.45">
      <c r="A948" t="s">
        <v>90</v>
      </c>
      <c r="B948" t="s">
        <v>4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2080</v>
      </c>
      <c r="J948">
        <v>7.2326999999999995</v>
      </c>
      <c r="K948" t="s">
        <v>29</v>
      </c>
    </row>
    <row r="949" spans="1:11" x14ac:dyDescent="0.45">
      <c r="A949" t="s">
        <v>90</v>
      </c>
      <c r="B949" t="s">
        <v>0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2080</v>
      </c>
      <c r="J949">
        <v>25.099249999999998</v>
      </c>
      <c r="K949" t="s">
        <v>29</v>
      </c>
    </row>
    <row r="950" spans="1:11" x14ac:dyDescent="0.45">
      <c r="A950" t="s">
        <v>90</v>
      </c>
      <c r="B950" t="s">
        <v>6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2080</v>
      </c>
      <c r="J950">
        <v>15.325950000000001</v>
      </c>
      <c r="K950" t="s">
        <v>29</v>
      </c>
    </row>
    <row r="951" spans="1:11" x14ac:dyDescent="0.45">
      <c r="A951" t="s">
        <v>90</v>
      </c>
      <c r="B951" t="s">
        <v>5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2080</v>
      </c>
      <c r="J951">
        <v>16.235250000000001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2080</v>
      </c>
      <c r="J952">
        <v>10.8065</v>
      </c>
      <c r="K952" t="s">
        <v>29</v>
      </c>
    </row>
    <row r="953" spans="1:11" x14ac:dyDescent="0.45">
      <c r="A953" t="s">
        <v>90</v>
      </c>
      <c r="B953" t="s">
        <v>1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2080</v>
      </c>
      <c r="J953">
        <v>33.725650000000002</v>
      </c>
      <c r="K953" t="s">
        <v>29</v>
      </c>
    </row>
    <row r="954" spans="1:11" x14ac:dyDescent="0.45">
      <c r="A954" t="s">
        <v>90</v>
      </c>
      <c r="B954" t="s">
        <v>3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2085</v>
      </c>
      <c r="J954">
        <v>15.284700000000001</v>
      </c>
      <c r="K954" t="s">
        <v>29</v>
      </c>
    </row>
    <row r="955" spans="1:11" x14ac:dyDescent="0.45">
      <c r="A955" t="s">
        <v>90</v>
      </c>
      <c r="B955" t="s">
        <v>4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2085</v>
      </c>
      <c r="J955">
        <v>7.1741000000000001</v>
      </c>
      <c r="K955" t="s">
        <v>29</v>
      </c>
    </row>
    <row r="956" spans="1:11" x14ac:dyDescent="0.45">
      <c r="A956" t="s">
        <v>90</v>
      </c>
      <c r="B956" t="s">
        <v>0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2085</v>
      </c>
      <c r="J956">
        <v>23.323250000000002</v>
      </c>
      <c r="K956" t="s">
        <v>29</v>
      </c>
    </row>
    <row r="957" spans="1:11" x14ac:dyDescent="0.45">
      <c r="A957" t="s">
        <v>90</v>
      </c>
      <c r="B957" t="s">
        <v>6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2085</v>
      </c>
      <c r="J957">
        <v>15.232099999999999</v>
      </c>
      <c r="K957" t="s">
        <v>29</v>
      </c>
    </row>
    <row r="958" spans="1:11" x14ac:dyDescent="0.45">
      <c r="A958" t="s">
        <v>90</v>
      </c>
      <c r="B958" t="s">
        <v>5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2085</v>
      </c>
      <c r="J958">
        <v>16.323450000000001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2085</v>
      </c>
      <c r="J959">
        <v>10.06185</v>
      </c>
      <c r="K959" t="s">
        <v>29</v>
      </c>
    </row>
    <row r="960" spans="1:11" x14ac:dyDescent="0.45">
      <c r="A960" t="s">
        <v>90</v>
      </c>
      <c r="B960" t="s">
        <v>1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2085</v>
      </c>
      <c r="J960">
        <v>35.534049999999993</v>
      </c>
      <c r="K960" t="s">
        <v>29</v>
      </c>
    </row>
    <row r="961" spans="1:11" x14ac:dyDescent="0.45">
      <c r="A961" t="s">
        <v>90</v>
      </c>
      <c r="B961" t="s">
        <v>3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2090</v>
      </c>
      <c r="J961">
        <v>15.941649999999999</v>
      </c>
      <c r="K961" t="s">
        <v>29</v>
      </c>
    </row>
    <row r="962" spans="1:11" x14ac:dyDescent="0.45">
      <c r="A962" t="s">
        <v>90</v>
      </c>
      <c r="B962" t="s">
        <v>4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7.1154500000000001</v>
      </c>
      <c r="K962" t="s">
        <v>29</v>
      </c>
    </row>
    <row r="963" spans="1:11" x14ac:dyDescent="0.45">
      <c r="A963" t="s">
        <v>90</v>
      </c>
      <c r="B963" t="s">
        <v>0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2090</v>
      </c>
      <c r="J963">
        <v>21.547249999999998</v>
      </c>
      <c r="K963" t="s">
        <v>29</v>
      </c>
    </row>
    <row r="964" spans="1:11" x14ac:dyDescent="0.45">
      <c r="A964" t="s">
        <v>90</v>
      </c>
      <c r="B964" t="s">
        <v>6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2090</v>
      </c>
      <c r="J964">
        <v>15.138300000000001</v>
      </c>
      <c r="K964" t="s">
        <v>29</v>
      </c>
    </row>
    <row r="965" spans="1:11" x14ac:dyDescent="0.45">
      <c r="A965" t="s">
        <v>90</v>
      </c>
      <c r="B965" t="s">
        <v>5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2090</v>
      </c>
      <c r="J965">
        <v>16.411549999999998</v>
      </c>
      <c r="K965" t="s">
        <v>29</v>
      </c>
    </row>
    <row r="966" spans="1:11" x14ac:dyDescent="0.45">
      <c r="A966" t="s">
        <v>90</v>
      </c>
      <c r="B966" t="s">
        <v>2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2090</v>
      </c>
      <c r="J966">
        <v>9.3171999999999997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2090</v>
      </c>
      <c r="J967">
        <v>37.342399999999998</v>
      </c>
      <c r="K967" t="s">
        <v>29</v>
      </c>
    </row>
    <row r="968" spans="1:11" x14ac:dyDescent="0.45">
      <c r="A968" t="s">
        <v>90</v>
      </c>
      <c r="B968" t="s">
        <v>3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2095</v>
      </c>
      <c r="J968">
        <v>15.99475</v>
      </c>
      <c r="K968" t="s">
        <v>29</v>
      </c>
    </row>
    <row r="969" spans="1:11" x14ac:dyDescent="0.45">
      <c r="A969" t="s">
        <v>90</v>
      </c>
      <c r="B969" t="s">
        <v>4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2095</v>
      </c>
      <c r="J969">
        <v>7.3076499999999998</v>
      </c>
      <c r="K969" t="s">
        <v>29</v>
      </c>
    </row>
    <row r="970" spans="1:11" x14ac:dyDescent="0.45">
      <c r="A970" t="s">
        <v>90</v>
      </c>
      <c r="B970" t="s">
        <v>0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2095</v>
      </c>
      <c r="J970">
        <v>22.268699999999999</v>
      </c>
      <c r="K970" t="s">
        <v>29</v>
      </c>
    </row>
    <row r="971" spans="1:11" x14ac:dyDescent="0.45">
      <c r="A971" t="s">
        <v>90</v>
      </c>
      <c r="B971" t="s">
        <v>6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2095</v>
      </c>
      <c r="J971">
        <v>15.0703</v>
      </c>
      <c r="K971" t="s">
        <v>29</v>
      </c>
    </row>
    <row r="972" spans="1:11" x14ac:dyDescent="0.45">
      <c r="A972" t="s">
        <v>90</v>
      </c>
      <c r="B972" t="s">
        <v>5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2095</v>
      </c>
      <c r="J972">
        <v>16.4863</v>
      </c>
      <c r="K972" t="s">
        <v>29</v>
      </c>
    </row>
    <row r="973" spans="1:11" x14ac:dyDescent="0.45">
      <c r="A973" t="s">
        <v>90</v>
      </c>
      <c r="B973" t="s">
        <v>2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2095</v>
      </c>
      <c r="J973">
        <v>10.18595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2095</v>
      </c>
      <c r="J974">
        <v>41.003249999999994</v>
      </c>
      <c r="K974" t="s">
        <v>29</v>
      </c>
    </row>
    <row r="975" spans="1:11" x14ac:dyDescent="0.45">
      <c r="A975" t="s">
        <v>90</v>
      </c>
      <c r="B975" t="s">
        <v>3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2100</v>
      </c>
      <c r="J975">
        <v>16.047899999999998</v>
      </c>
      <c r="K975" t="s">
        <v>29</v>
      </c>
    </row>
    <row r="976" spans="1:11" x14ac:dyDescent="0.45">
      <c r="A976" t="s">
        <v>90</v>
      </c>
      <c r="B976" t="s">
        <v>4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2100</v>
      </c>
      <c r="J976">
        <v>7.4998000000000005</v>
      </c>
      <c r="K976" t="s">
        <v>29</v>
      </c>
    </row>
    <row r="977" spans="1:11" x14ac:dyDescent="0.45">
      <c r="A977" t="s">
        <v>90</v>
      </c>
      <c r="B977" t="s">
        <v>0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2100</v>
      </c>
      <c r="J977">
        <v>22.99005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2100</v>
      </c>
      <c r="J978">
        <v>15.00235</v>
      </c>
      <c r="K978" t="s">
        <v>29</v>
      </c>
    </row>
    <row r="979" spans="1:11" x14ac:dyDescent="0.45">
      <c r="A979" t="s">
        <v>90</v>
      </c>
      <c r="B979" t="s">
        <v>5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2100</v>
      </c>
      <c r="J979">
        <v>16.561</v>
      </c>
      <c r="K979" t="s">
        <v>29</v>
      </c>
    </row>
    <row r="980" spans="1:11" x14ac:dyDescent="0.45">
      <c r="A980" t="s">
        <v>90</v>
      </c>
      <c r="B980" t="s">
        <v>2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2100</v>
      </c>
      <c r="J980">
        <v>11.05475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4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2020</v>
      </c>
      <c r="J983">
        <v>2.0344000000000002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2020</v>
      </c>
      <c r="J984">
        <v>2.0344000000000002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2020</v>
      </c>
      <c r="J985">
        <v>2.0344000000000002</v>
      </c>
      <c r="K985" t="s">
        <v>33</v>
      </c>
    </row>
    <row r="986" spans="1:11" x14ac:dyDescent="0.45">
      <c r="A986" t="s">
        <v>90</v>
      </c>
      <c r="B986" t="s">
        <v>5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2020</v>
      </c>
      <c r="J986">
        <v>2.0344000000000002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2020</v>
      </c>
      <c r="J987">
        <v>2.0344000000000002</v>
      </c>
      <c r="K987" t="s">
        <v>33</v>
      </c>
    </row>
    <row r="988" spans="1:11" x14ac:dyDescent="0.45">
      <c r="A988" t="s">
        <v>90</v>
      </c>
      <c r="B988" t="s">
        <v>1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2020</v>
      </c>
      <c r="J988">
        <v>2.0344000000000002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2025</v>
      </c>
      <c r="J989">
        <v>2.2931499999999998</v>
      </c>
      <c r="K989" t="s">
        <v>33</v>
      </c>
    </row>
    <row r="990" spans="1:11" x14ac:dyDescent="0.45">
      <c r="A990" t="s">
        <v>90</v>
      </c>
      <c r="B990" t="s">
        <v>4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2025</v>
      </c>
      <c r="J990">
        <v>2.2243500000000003</v>
      </c>
      <c r="K990" t="s">
        <v>33</v>
      </c>
    </row>
    <row r="991" spans="1:11" x14ac:dyDescent="0.45">
      <c r="A991" t="s">
        <v>90</v>
      </c>
      <c r="B991" t="s">
        <v>0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2025</v>
      </c>
      <c r="J991">
        <v>2.2243500000000003</v>
      </c>
      <c r="K991" t="s">
        <v>33</v>
      </c>
    </row>
    <row r="992" spans="1:11" x14ac:dyDescent="0.45">
      <c r="A992" t="s">
        <v>90</v>
      </c>
      <c r="B992" t="s">
        <v>6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2025</v>
      </c>
      <c r="J992">
        <v>2.2243500000000003</v>
      </c>
      <c r="K992" t="s">
        <v>33</v>
      </c>
    </row>
    <row r="993" spans="1:11" x14ac:dyDescent="0.45">
      <c r="A993" t="s">
        <v>90</v>
      </c>
      <c r="B993" t="s">
        <v>5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2025</v>
      </c>
      <c r="J993">
        <v>2.3917000000000002</v>
      </c>
      <c r="K993" t="s">
        <v>33</v>
      </c>
    </row>
    <row r="994" spans="1:11" x14ac:dyDescent="0.45">
      <c r="A994" t="s">
        <v>90</v>
      </c>
      <c r="B994" t="s">
        <v>2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2025</v>
      </c>
      <c r="J994">
        <v>2.1265499999999999</v>
      </c>
      <c r="K994" t="s">
        <v>33</v>
      </c>
    </row>
    <row r="995" spans="1:11" x14ac:dyDescent="0.45">
      <c r="A995" t="s">
        <v>90</v>
      </c>
      <c r="B995" t="s">
        <v>1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2025</v>
      </c>
      <c r="J995">
        <v>2.6320999999999999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2030</v>
      </c>
      <c r="J996">
        <v>1.6815500000000001</v>
      </c>
      <c r="K996" t="s">
        <v>33</v>
      </c>
    </row>
    <row r="997" spans="1:11" x14ac:dyDescent="0.45">
      <c r="A997" t="s">
        <v>90</v>
      </c>
      <c r="B997" t="s">
        <v>4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2030</v>
      </c>
      <c r="J997">
        <v>2.2603</v>
      </c>
      <c r="K997" t="s">
        <v>33</v>
      </c>
    </row>
    <row r="998" spans="1:11" x14ac:dyDescent="0.45">
      <c r="A998" t="s">
        <v>90</v>
      </c>
      <c r="B998" t="s">
        <v>0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2030</v>
      </c>
      <c r="J998">
        <v>2.2603</v>
      </c>
      <c r="K998" t="s">
        <v>33</v>
      </c>
    </row>
    <row r="999" spans="1:11" x14ac:dyDescent="0.45">
      <c r="A999" t="s">
        <v>90</v>
      </c>
      <c r="B999" t="s">
        <v>6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2030</v>
      </c>
      <c r="J999">
        <v>2.2603</v>
      </c>
      <c r="K999" t="s">
        <v>33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2030</v>
      </c>
      <c r="J1000">
        <v>1.6132</v>
      </c>
      <c r="K1000" t="s">
        <v>33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2.0793499999999998</v>
      </c>
      <c r="K1001" t="s">
        <v>33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2030</v>
      </c>
      <c r="J1002">
        <v>1.7697500000000002</v>
      </c>
      <c r="K1002" t="s">
        <v>33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2035</v>
      </c>
      <c r="J1003">
        <v>1.4066000000000001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2035</v>
      </c>
      <c r="J1004">
        <v>2.3101000000000003</v>
      </c>
      <c r="K1004" t="s">
        <v>33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2035</v>
      </c>
      <c r="J1005">
        <v>2.2969999999999997</v>
      </c>
      <c r="K1005" t="s">
        <v>33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2035</v>
      </c>
      <c r="J1006">
        <v>2.2480000000000002</v>
      </c>
      <c r="K1006" t="s">
        <v>33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2035</v>
      </c>
      <c r="J1007">
        <v>1.1793999999999998</v>
      </c>
      <c r="K1007" t="s">
        <v>33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2035</v>
      </c>
      <c r="J1008">
        <v>2.0721499999999997</v>
      </c>
      <c r="K1008" t="s">
        <v>33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2035</v>
      </c>
      <c r="J1009">
        <v>1.43615</v>
      </c>
      <c r="K1009" t="s">
        <v>33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2040</v>
      </c>
      <c r="J1010">
        <v>1.3738000000000001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2040</v>
      </c>
      <c r="J1011">
        <v>2.3685499999999999</v>
      </c>
      <c r="K1011" t="s">
        <v>33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2040</v>
      </c>
      <c r="J1012">
        <v>1.8371</v>
      </c>
      <c r="K1012" t="s">
        <v>33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2040</v>
      </c>
      <c r="J1013">
        <v>1.7654000000000001</v>
      </c>
      <c r="K1013" t="s">
        <v>33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2040</v>
      </c>
      <c r="J1014">
        <v>1.33395</v>
      </c>
      <c r="K1014" t="s">
        <v>33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2040</v>
      </c>
      <c r="J1015">
        <v>1.9228499999999999</v>
      </c>
      <c r="K1015" t="s">
        <v>33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2040</v>
      </c>
      <c r="J1016">
        <v>1.3690500000000001</v>
      </c>
      <c r="K1016" t="s">
        <v>33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2045</v>
      </c>
      <c r="J1017">
        <v>1.4182999999999999</v>
      </c>
      <c r="K1017" t="s">
        <v>33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2045</v>
      </c>
      <c r="J1018">
        <v>2.4756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2045</v>
      </c>
      <c r="J1019">
        <v>1.4248000000000001</v>
      </c>
      <c r="K1019" t="s">
        <v>33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2045</v>
      </c>
      <c r="J1020">
        <v>1.5163500000000001</v>
      </c>
      <c r="K1020" t="s">
        <v>33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1.2519499999999999</v>
      </c>
      <c r="K1021" t="s">
        <v>33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2045</v>
      </c>
      <c r="J1022">
        <v>1.8179000000000001</v>
      </c>
      <c r="K1022" t="s">
        <v>33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2045</v>
      </c>
      <c r="J1023">
        <v>1.4416</v>
      </c>
      <c r="K1023" t="s">
        <v>33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2050</v>
      </c>
      <c r="J1024">
        <v>1.52275</v>
      </c>
      <c r="K1024" t="s">
        <v>33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2050</v>
      </c>
      <c r="J1025">
        <v>2.7322500000000001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2050</v>
      </c>
      <c r="J1026">
        <v>1.53165</v>
      </c>
      <c r="K1026" t="s">
        <v>33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2050</v>
      </c>
      <c r="J1027">
        <v>1.7825</v>
      </c>
      <c r="K1027" t="s">
        <v>33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2050</v>
      </c>
      <c r="J1028">
        <v>1.59405</v>
      </c>
      <c r="K1028" t="s">
        <v>33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2050</v>
      </c>
      <c r="J1029">
        <v>1.8801999999999999</v>
      </c>
      <c r="K1029" t="s">
        <v>33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2050</v>
      </c>
      <c r="J1030">
        <v>1.7387999999999999</v>
      </c>
      <c r="K1030" t="s">
        <v>33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2055</v>
      </c>
      <c r="J1031">
        <v>1.3464499999999999</v>
      </c>
      <c r="K1031" t="s">
        <v>33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2055</v>
      </c>
      <c r="J1032">
        <v>2.6589499999999999</v>
      </c>
      <c r="K1032" t="s">
        <v>33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2055</v>
      </c>
      <c r="J1033">
        <v>1.57935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2055</v>
      </c>
      <c r="J1034">
        <v>1.5321500000000001</v>
      </c>
      <c r="K1034" t="s">
        <v>33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2055</v>
      </c>
      <c r="J1035">
        <v>1.51485</v>
      </c>
      <c r="K1035" t="s">
        <v>33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2055</v>
      </c>
      <c r="J1036">
        <v>1.8517000000000001</v>
      </c>
      <c r="K1036" t="s">
        <v>33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2055</v>
      </c>
      <c r="J1037">
        <v>1.66615</v>
      </c>
      <c r="K1037" t="s">
        <v>33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2060</v>
      </c>
      <c r="J1038">
        <v>1.9051</v>
      </c>
      <c r="K1038" t="s">
        <v>33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2060</v>
      </c>
      <c r="J1039">
        <v>3.4098000000000002</v>
      </c>
      <c r="K1039" t="s">
        <v>33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2060</v>
      </c>
      <c r="J1040">
        <v>2.1811500000000001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2060</v>
      </c>
      <c r="J1042">
        <v>1.5146000000000002</v>
      </c>
      <c r="K1042" t="s">
        <v>33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2060</v>
      </c>
      <c r="J1043">
        <v>2.3400499999999997</v>
      </c>
      <c r="K1043" t="s">
        <v>33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2060</v>
      </c>
      <c r="J1044">
        <v>1.8959000000000001</v>
      </c>
      <c r="K1044" t="s">
        <v>33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2065</v>
      </c>
      <c r="J1045">
        <v>1.8803999999999998</v>
      </c>
      <c r="K1045" t="s">
        <v>33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2065</v>
      </c>
      <c r="J1046">
        <v>3.5568999999999997</v>
      </c>
      <c r="K1046" t="s">
        <v>33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2065</v>
      </c>
      <c r="J1047">
        <v>2.1503000000000001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2065</v>
      </c>
      <c r="J1048">
        <v>2.2705000000000002</v>
      </c>
      <c r="K1048" t="s">
        <v>33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2065</v>
      </c>
      <c r="J1049">
        <v>1.63405</v>
      </c>
      <c r="K1049" t="s">
        <v>33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2065</v>
      </c>
      <c r="J1050">
        <v>2.2040999999999999</v>
      </c>
      <c r="K1050" t="s">
        <v>33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2065</v>
      </c>
      <c r="J1051">
        <v>1.9075500000000001</v>
      </c>
      <c r="K1051" t="s">
        <v>33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2070</v>
      </c>
      <c r="J1052">
        <v>1.8557000000000001</v>
      </c>
      <c r="K1052" t="s">
        <v>33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2070</v>
      </c>
      <c r="J1053">
        <v>3.7039</v>
      </c>
      <c r="K1053" t="s">
        <v>33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2070</v>
      </c>
      <c r="J1054">
        <v>2.1193999999999997</v>
      </c>
      <c r="K1054" t="s">
        <v>33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2070</v>
      </c>
      <c r="J1055">
        <v>2.2568000000000001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2070</v>
      </c>
      <c r="J1056">
        <v>1.7535500000000002</v>
      </c>
      <c r="K1056" t="s">
        <v>33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2070</v>
      </c>
      <c r="J1057">
        <v>2.0681500000000002</v>
      </c>
      <c r="K1057" t="s">
        <v>33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2070</v>
      </c>
      <c r="J1058">
        <v>1.9191499999999999</v>
      </c>
      <c r="K1058" t="s">
        <v>33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2075</v>
      </c>
      <c r="J1059">
        <v>1.85775</v>
      </c>
      <c r="K1059" t="s">
        <v>33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2075</v>
      </c>
      <c r="J1060">
        <v>3.8219000000000003</v>
      </c>
      <c r="K1060" t="s">
        <v>33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2.0685000000000002</v>
      </c>
      <c r="K1061" t="s">
        <v>33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2075</v>
      </c>
      <c r="J1062">
        <v>2.2270000000000003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2075</v>
      </c>
      <c r="J1063">
        <v>1.8342499999999999</v>
      </c>
      <c r="K1063" t="s">
        <v>33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2075</v>
      </c>
      <c r="J1064">
        <v>2.1757499999999999</v>
      </c>
      <c r="K1064" t="s">
        <v>33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2075</v>
      </c>
      <c r="J1065">
        <v>2.0170500000000002</v>
      </c>
      <c r="K1065" t="s">
        <v>33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2080</v>
      </c>
      <c r="J1066">
        <v>1.8597999999999999</v>
      </c>
      <c r="K1066" t="s">
        <v>33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2080</v>
      </c>
      <c r="J1067">
        <v>3.9399000000000002</v>
      </c>
      <c r="K1067" t="s">
        <v>33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2080</v>
      </c>
      <c r="J1068">
        <v>2.0176500000000002</v>
      </c>
      <c r="K1068" t="s">
        <v>33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2080</v>
      </c>
      <c r="J1069">
        <v>2.1972499999999999</v>
      </c>
      <c r="K1069" t="s">
        <v>33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2080</v>
      </c>
      <c r="J1070">
        <v>1.9149500000000002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2080</v>
      </c>
      <c r="J1071">
        <v>2.28335</v>
      </c>
      <c r="K1071" t="s">
        <v>33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2080</v>
      </c>
      <c r="J1072">
        <v>2.1149</v>
      </c>
      <c r="K1072" t="s">
        <v>33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2085</v>
      </c>
      <c r="J1073">
        <v>1.8835500000000001</v>
      </c>
      <c r="K1073" t="s">
        <v>33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2085</v>
      </c>
      <c r="J1074">
        <v>4.0999499999999998</v>
      </c>
      <c r="K1074" t="s">
        <v>33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2085</v>
      </c>
      <c r="J1075">
        <v>2.0796000000000001</v>
      </c>
      <c r="K1075" t="s">
        <v>33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2085</v>
      </c>
      <c r="J1076">
        <v>2.1886000000000001</v>
      </c>
      <c r="K1076" t="s">
        <v>33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2085</v>
      </c>
      <c r="J1077">
        <v>1.8938000000000001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2085</v>
      </c>
      <c r="J1078">
        <v>2.29</v>
      </c>
      <c r="K1078" t="s">
        <v>33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2085</v>
      </c>
      <c r="J1079">
        <v>2.0994000000000002</v>
      </c>
      <c r="K1079" t="s">
        <v>33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2090</v>
      </c>
      <c r="J1080">
        <v>1.9073500000000001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4.2600999999999996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2090</v>
      </c>
      <c r="J1082">
        <v>2.1415499999999996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2090</v>
      </c>
      <c r="J1083">
        <v>2.1798999999999999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2090</v>
      </c>
      <c r="J1084">
        <v>1.8727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2090</v>
      </c>
      <c r="J1085">
        <v>2.2967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2090</v>
      </c>
      <c r="J1086">
        <v>2.0839499999999997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2095</v>
      </c>
      <c r="J1087">
        <v>1.81115</v>
      </c>
      <c r="K1087" t="s">
        <v>33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2095</v>
      </c>
      <c r="J1088">
        <v>4.2486499999999996</v>
      </c>
      <c r="K1088" t="s">
        <v>33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2095</v>
      </c>
      <c r="J1089">
        <v>1.9457</v>
      </c>
      <c r="K1089" t="s">
        <v>33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2095</v>
      </c>
      <c r="J1090">
        <v>2.117</v>
      </c>
      <c r="K1090" t="s">
        <v>33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2095</v>
      </c>
      <c r="J1091">
        <v>1.7038500000000001</v>
      </c>
      <c r="K1091" t="s">
        <v>33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2095</v>
      </c>
      <c r="J1092">
        <v>2.3285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2095</v>
      </c>
      <c r="J1093">
        <v>1.94255</v>
      </c>
      <c r="K1093" t="s">
        <v>33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2100</v>
      </c>
      <c r="J1094">
        <v>1.7150500000000002</v>
      </c>
      <c r="K1094" t="s">
        <v>33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4.2371499999999997</v>
      </c>
      <c r="K1095" t="s">
        <v>33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2100</v>
      </c>
      <c r="J1096">
        <v>1.7498</v>
      </c>
      <c r="K1096" t="s">
        <v>33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2100</v>
      </c>
      <c r="J1097">
        <v>2.0540000000000003</v>
      </c>
      <c r="K1097" t="s">
        <v>33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2100</v>
      </c>
      <c r="J1098">
        <v>1.53505</v>
      </c>
      <c r="K1098" t="s">
        <v>33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2100</v>
      </c>
      <c r="J1099">
        <v>2.3602499999999997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2020</v>
      </c>
      <c r="J1102">
        <v>3.9710999999999999</v>
      </c>
      <c r="K1102" t="s">
        <v>35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2020</v>
      </c>
      <c r="J1103">
        <v>3.9710999999999999</v>
      </c>
      <c r="K1103" t="s">
        <v>35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2020</v>
      </c>
      <c r="J1104">
        <v>3.9710999999999999</v>
      </c>
      <c r="K1104" t="s">
        <v>35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2020</v>
      </c>
      <c r="J1105">
        <v>3.9710999999999999</v>
      </c>
      <c r="K1105" t="s">
        <v>35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2020</v>
      </c>
      <c r="J1106">
        <v>3.9710999999999999</v>
      </c>
      <c r="K1106" t="s">
        <v>35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2020</v>
      </c>
      <c r="J1107">
        <v>3.9710999999999999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2025</v>
      </c>
      <c r="J1108">
        <v>4.6235499999999998</v>
      </c>
      <c r="K1108" t="s">
        <v>35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2025</v>
      </c>
      <c r="J1109">
        <v>4.6684000000000001</v>
      </c>
      <c r="K1109" t="s">
        <v>35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2025</v>
      </c>
      <c r="J1110">
        <v>4.6684000000000001</v>
      </c>
      <c r="K1110" t="s">
        <v>35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2025</v>
      </c>
      <c r="J1111">
        <v>4.6684000000000001</v>
      </c>
      <c r="K1111" t="s">
        <v>35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2025</v>
      </c>
      <c r="J1112">
        <v>4.6830999999999996</v>
      </c>
      <c r="K1112" t="s">
        <v>35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2025</v>
      </c>
      <c r="J1113">
        <v>4.5302500000000006</v>
      </c>
      <c r="K1113" t="s">
        <v>35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2025</v>
      </c>
      <c r="J1114">
        <v>5.1760999999999999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2030</v>
      </c>
      <c r="J1115">
        <v>4.5418000000000003</v>
      </c>
      <c r="K1115" t="s">
        <v>35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2030</v>
      </c>
      <c r="J1116">
        <v>4.6098499999999998</v>
      </c>
      <c r="K1116" t="s">
        <v>35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2030</v>
      </c>
      <c r="J1117">
        <v>4.6098499999999998</v>
      </c>
      <c r="K1117" t="s">
        <v>35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2030</v>
      </c>
      <c r="J1118">
        <v>4.6098499999999998</v>
      </c>
      <c r="K1118" t="s">
        <v>35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2030</v>
      </c>
      <c r="J1119">
        <v>4.3525</v>
      </c>
      <c r="K1119" t="s">
        <v>35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4.2876500000000002</v>
      </c>
      <c r="K1120" t="s">
        <v>35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2030</v>
      </c>
      <c r="J1121">
        <v>5.5630500000000005</v>
      </c>
      <c r="K1121" t="s">
        <v>35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2035</v>
      </c>
      <c r="J1122">
        <v>5.2576499999999999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2035</v>
      </c>
      <c r="J1123">
        <v>4.9910999999999994</v>
      </c>
      <c r="K1123" t="s">
        <v>35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2035</v>
      </c>
      <c r="J1124">
        <v>5.7725000000000009</v>
      </c>
      <c r="K1124" t="s">
        <v>35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2035</v>
      </c>
      <c r="J1125">
        <v>5.0059500000000003</v>
      </c>
      <c r="K1125" t="s">
        <v>35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2035</v>
      </c>
      <c r="J1126">
        <v>5.21875</v>
      </c>
      <c r="K1126" t="s">
        <v>35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2035</v>
      </c>
      <c r="J1127">
        <v>4.73515</v>
      </c>
      <c r="K1127" t="s">
        <v>35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2035</v>
      </c>
      <c r="J1128">
        <v>5.8599999999999994</v>
      </c>
      <c r="K1128" t="s">
        <v>35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2040</v>
      </c>
      <c r="J1129">
        <v>5.1192500000000001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2040</v>
      </c>
      <c r="J1130">
        <v>5.2395999999999994</v>
      </c>
      <c r="K1130" t="s">
        <v>35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2040</v>
      </c>
      <c r="J1131">
        <v>5.3309499999999996</v>
      </c>
      <c r="K1131" t="s">
        <v>35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2040</v>
      </c>
      <c r="J1132">
        <v>5.21265</v>
      </c>
      <c r="K1132" t="s">
        <v>35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2040</v>
      </c>
      <c r="J1133">
        <v>4.6886000000000001</v>
      </c>
      <c r="K1133" t="s">
        <v>35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2040</v>
      </c>
      <c r="J1134">
        <v>5.0500000000000007</v>
      </c>
      <c r="K1134" t="s">
        <v>35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2040</v>
      </c>
      <c r="J1135">
        <v>5.8657500000000002</v>
      </c>
      <c r="K1135" t="s">
        <v>35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2045</v>
      </c>
      <c r="J1136">
        <v>4.8432000000000004</v>
      </c>
      <c r="K1136" t="s">
        <v>35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2045</v>
      </c>
      <c r="J1137">
        <v>5.4906499999999996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2045</v>
      </c>
      <c r="J1138">
        <v>4.7379999999999995</v>
      </c>
      <c r="K1138" t="s">
        <v>35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2045</v>
      </c>
      <c r="J1139">
        <v>5.5383499999999994</v>
      </c>
      <c r="K1139" t="s">
        <v>35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4.0944000000000003</v>
      </c>
      <c r="K1140" t="s">
        <v>35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2045</v>
      </c>
      <c r="J1141">
        <v>5.3989500000000001</v>
      </c>
      <c r="K1141" t="s">
        <v>35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2045</v>
      </c>
      <c r="J1142">
        <v>4.9245999999999999</v>
      </c>
      <c r="K1142" t="s">
        <v>35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2050</v>
      </c>
      <c r="J1143">
        <v>4.8777499999999998</v>
      </c>
      <c r="K1143" t="s">
        <v>35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2050</v>
      </c>
      <c r="J1144">
        <v>5.7312499999999993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2050</v>
      </c>
      <c r="J1145">
        <v>4.1950500000000002</v>
      </c>
      <c r="K1145" t="s">
        <v>35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2050</v>
      </c>
      <c r="J1146">
        <v>5.4856999999999996</v>
      </c>
      <c r="K1146" t="s">
        <v>35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2050</v>
      </c>
      <c r="J1147">
        <v>4.16275</v>
      </c>
      <c r="K1147" t="s">
        <v>35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2050</v>
      </c>
      <c r="J1148">
        <v>5.3637499999999996</v>
      </c>
      <c r="K1148" t="s">
        <v>35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2050</v>
      </c>
      <c r="J1149">
        <v>4.4139499999999998</v>
      </c>
      <c r="K1149" t="s">
        <v>35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2055</v>
      </c>
      <c r="J1150">
        <v>4.5329499999999996</v>
      </c>
      <c r="K1150" t="s">
        <v>35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2055</v>
      </c>
      <c r="J1151">
        <v>5.6654</v>
      </c>
      <c r="K1151" t="s">
        <v>35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2055</v>
      </c>
      <c r="J1152">
        <v>4.3904499999999995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2055</v>
      </c>
      <c r="J1153">
        <v>4.8427000000000007</v>
      </c>
      <c r="K1153" t="s">
        <v>35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2055</v>
      </c>
      <c r="J1154">
        <v>4.0207499999999996</v>
      </c>
      <c r="K1154" t="s">
        <v>35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2055</v>
      </c>
      <c r="J1155">
        <v>5.03695</v>
      </c>
      <c r="K1155" t="s">
        <v>35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2055</v>
      </c>
      <c r="J1156">
        <v>4.5674000000000001</v>
      </c>
      <c r="K1156" t="s">
        <v>35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2060</v>
      </c>
      <c r="J1157">
        <v>5.8452000000000002</v>
      </c>
      <c r="K1157" t="s">
        <v>35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2060</v>
      </c>
      <c r="J1158">
        <v>6.6663999999999994</v>
      </c>
      <c r="K1158" t="s">
        <v>35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2060</v>
      </c>
      <c r="J1159">
        <v>5.1861999999999995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2060</v>
      </c>
      <c r="J1161">
        <v>5.0639500000000002</v>
      </c>
      <c r="K1161" t="s">
        <v>35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2060</v>
      </c>
      <c r="J1162">
        <v>6.1361500000000007</v>
      </c>
      <c r="K1162" t="s">
        <v>35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2060</v>
      </c>
      <c r="J1163">
        <v>5.5579999999999998</v>
      </c>
      <c r="K1163" t="s">
        <v>35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2065</v>
      </c>
      <c r="J1164">
        <v>5.5266999999999999</v>
      </c>
      <c r="K1164" t="s">
        <v>35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2065</v>
      </c>
      <c r="J1165">
        <v>6.5385</v>
      </c>
      <c r="K1165" t="s">
        <v>35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2065</v>
      </c>
      <c r="J1166">
        <v>5.0748999999999995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2065</v>
      </c>
      <c r="J1167">
        <v>5.65855</v>
      </c>
      <c r="K1167" t="s">
        <v>35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2065</v>
      </c>
      <c r="J1168">
        <v>5.1820000000000004</v>
      </c>
      <c r="K1168" t="s">
        <v>35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2065</v>
      </c>
      <c r="J1169">
        <v>5.9593500000000006</v>
      </c>
      <c r="K1169" t="s">
        <v>35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2065</v>
      </c>
      <c r="J1170">
        <v>5.8658999999999999</v>
      </c>
      <c r="K1170" t="s">
        <v>35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2070</v>
      </c>
      <c r="J1171">
        <v>5.2081999999999997</v>
      </c>
      <c r="K1171" t="s">
        <v>35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2070</v>
      </c>
      <c r="J1172">
        <v>6.4105500000000006</v>
      </c>
      <c r="K1172" t="s">
        <v>35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2070</v>
      </c>
      <c r="J1173">
        <v>4.9635999999999996</v>
      </c>
      <c r="K1173" t="s">
        <v>35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2070</v>
      </c>
      <c r="J1174">
        <v>5.4417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2070</v>
      </c>
      <c r="J1175">
        <v>5.3000500000000006</v>
      </c>
      <c r="K1175" t="s">
        <v>35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2070</v>
      </c>
      <c r="J1176">
        <v>5.7826500000000003</v>
      </c>
      <c r="K1176" t="s">
        <v>35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2070</v>
      </c>
      <c r="J1177">
        <v>6.1738</v>
      </c>
      <c r="K1177" t="s">
        <v>35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2075</v>
      </c>
      <c r="J1178">
        <v>5.0817499999999995</v>
      </c>
      <c r="K1178" t="s">
        <v>35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2075</v>
      </c>
      <c r="J1179">
        <v>6.6208</v>
      </c>
      <c r="K1179" t="s">
        <v>35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5.0854999999999997</v>
      </c>
      <c r="K1180" t="s">
        <v>35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2075</v>
      </c>
      <c r="J1181">
        <v>5.4064499999999995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2075</v>
      </c>
      <c r="J1182">
        <v>5.1056999999999997</v>
      </c>
      <c r="K1182" t="s">
        <v>35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2075</v>
      </c>
      <c r="J1183">
        <v>5.7862499999999999</v>
      </c>
      <c r="K1183" t="s">
        <v>35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2075</v>
      </c>
      <c r="J1184">
        <v>6.0717999999999996</v>
      </c>
      <c r="K1184" t="s">
        <v>35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2080</v>
      </c>
      <c r="J1185">
        <v>4.9551999999999996</v>
      </c>
      <c r="K1185" t="s">
        <v>35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2080</v>
      </c>
      <c r="J1186">
        <v>6.8310500000000003</v>
      </c>
      <c r="K1186" t="s">
        <v>35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2080</v>
      </c>
      <c r="J1187">
        <v>5.2074499999999997</v>
      </c>
      <c r="K1187" t="s">
        <v>35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2080</v>
      </c>
      <c r="J1188">
        <v>5.3712499999999999</v>
      </c>
      <c r="K1188" t="s">
        <v>35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2080</v>
      </c>
      <c r="J1189">
        <v>4.9113500000000005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2080</v>
      </c>
      <c r="J1190">
        <v>5.7898499999999995</v>
      </c>
      <c r="K1190" t="s">
        <v>35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2080</v>
      </c>
      <c r="J1191">
        <v>5.9697999999999993</v>
      </c>
      <c r="K1191" t="s">
        <v>35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2085</v>
      </c>
      <c r="J1192">
        <v>5.0263999999999998</v>
      </c>
      <c r="K1192" t="s">
        <v>35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2085</v>
      </c>
      <c r="J1193">
        <v>7.0742500000000001</v>
      </c>
      <c r="K1193" t="s">
        <v>35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2085</v>
      </c>
      <c r="J1194">
        <v>5.1766000000000005</v>
      </c>
      <c r="K1194" t="s">
        <v>35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2085</v>
      </c>
      <c r="J1195">
        <v>5.36965</v>
      </c>
      <c r="K1195" t="s">
        <v>35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2085</v>
      </c>
      <c r="J1196">
        <v>4.8847000000000005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2085</v>
      </c>
      <c r="J1197">
        <v>5.8544</v>
      </c>
      <c r="K1197" t="s">
        <v>35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2085</v>
      </c>
      <c r="J1198">
        <v>5.8603500000000004</v>
      </c>
      <c r="K1198" t="s">
        <v>35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2090</v>
      </c>
      <c r="J1199">
        <v>5.0976499999999998</v>
      </c>
      <c r="K1199" t="s">
        <v>35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7.31745</v>
      </c>
      <c r="K1200" t="s">
        <v>35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2090</v>
      </c>
      <c r="J1201">
        <v>5.1458000000000004</v>
      </c>
      <c r="K1201" t="s">
        <v>35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2090</v>
      </c>
      <c r="J1202">
        <v>5.3680500000000002</v>
      </c>
      <c r="K1202" t="s">
        <v>35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2090</v>
      </c>
      <c r="J1203">
        <v>4.8580500000000004</v>
      </c>
      <c r="K1203" t="s">
        <v>35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2090</v>
      </c>
      <c r="J1204">
        <v>5.9189499999999997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2090</v>
      </c>
      <c r="J1205">
        <v>5.7508499999999998</v>
      </c>
      <c r="K1205" t="s">
        <v>35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2095</v>
      </c>
      <c r="J1206">
        <v>5.0595999999999997</v>
      </c>
      <c r="K1206" t="s">
        <v>35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2095</v>
      </c>
      <c r="J1207">
        <v>7.4690499999999993</v>
      </c>
      <c r="K1207" t="s">
        <v>35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2095</v>
      </c>
      <c r="J1208">
        <v>5.0733999999999995</v>
      </c>
      <c r="K1208" t="s">
        <v>35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2095</v>
      </c>
      <c r="J1209">
        <v>5.4055999999999997</v>
      </c>
      <c r="K1209" t="s">
        <v>35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2095</v>
      </c>
      <c r="J1210">
        <v>4.3528500000000001</v>
      </c>
      <c r="K1210" t="s">
        <v>35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2095</v>
      </c>
      <c r="J1211">
        <v>5.9424000000000001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2095</v>
      </c>
      <c r="J1212">
        <v>5.3330500000000001</v>
      </c>
      <c r="K1212" t="s">
        <v>35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2100</v>
      </c>
      <c r="J1213">
        <v>5.0215499999999995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2100</v>
      </c>
      <c r="J1214">
        <v>7.6207000000000003</v>
      </c>
      <c r="K1214" t="s">
        <v>35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2100</v>
      </c>
      <c r="J1215">
        <v>5.0011000000000001</v>
      </c>
      <c r="K1215" t="s">
        <v>35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2100</v>
      </c>
      <c r="J1216">
        <v>5.4432</v>
      </c>
      <c r="K1216" t="s">
        <v>35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2100</v>
      </c>
      <c r="J1217">
        <v>3.8476499999999998</v>
      </c>
      <c r="K1217" t="s">
        <v>35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2100</v>
      </c>
      <c r="J1218">
        <v>5.9658999999999995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74.293300000000002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2020</v>
      </c>
      <c r="J1221">
        <v>74.293300000000002</v>
      </c>
      <c r="K1221" t="s">
        <v>37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2020</v>
      </c>
      <c r="J1222">
        <v>74.293300000000002</v>
      </c>
      <c r="K1222" t="s">
        <v>37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2020</v>
      </c>
      <c r="J1223">
        <v>74.293300000000002</v>
      </c>
      <c r="K1223" t="s">
        <v>37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2020</v>
      </c>
      <c r="J1224">
        <v>74.293300000000002</v>
      </c>
      <c r="K1224" t="s">
        <v>37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2020</v>
      </c>
      <c r="J1225">
        <v>74.293300000000002</v>
      </c>
      <c r="K1225" t="s">
        <v>37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2020</v>
      </c>
      <c r="J1226">
        <v>74.293300000000002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2025</v>
      </c>
      <c r="J1227">
        <v>100.63615</v>
      </c>
      <c r="K1227" t="s">
        <v>37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2025</v>
      </c>
      <c r="J1228">
        <v>100.30600000000001</v>
      </c>
      <c r="K1228" t="s">
        <v>37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2025</v>
      </c>
      <c r="J1229">
        <v>100.30600000000001</v>
      </c>
      <c r="K1229" t="s">
        <v>37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2025</v>
      </c>
      <c r="J1230">
        <v>100.30600000000001</v>
      </c>
      <c r="K1230" t="s">
        <v>37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2025</v>
      </c>
      <c r="J1231">
        <v>34.24015</v>
      </c>
      <c r="K1231" t="s">
        <v>37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2025</v>
      </c>
      <c r="J1232">
        <v>92.331250000000011</v>
      </c>
      <c r="K1232" t="s">
        <v>37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2025</v>
      </c>
      <c r="J1233">
        <v>92.347399999999993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2030</v>
      </c>
      <c r="J1234">
        <v>81.908249999999995</v>
      </c>
      <c r="K1234" t="s">
        <v>37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2030</v>
      </c>
      <c r="J1235">
        <v>87.748149999999995</v>
      </c>
      <c r="K1235" t="s">
        <v>37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2030</v>
      </c>
      <c r="J1236">
        <v>87.748149999999995</v>
      </c>
      <c r="K1236" t="s">
        <v>37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2030</v>
      </c>
      <c r="J1237">
        <v>87.748149999999995</v>
      </c>
      <c r="K1237" t="s">
        <v>37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2030</v>
      </c>
      <c r="J1238">
        <v>35.952500000000001</v>
      </c>
      <c r="K1238" t="s">
        <v>37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89.640350000000012</v>
      </c>
      <c r="K1239" t="s">
        <v>37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2030</v>
      </c>
      <c r="J1240">
        <v>86.640299999999996</v>
      </c>
      <c r="K1240" t="s">
        <v>37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2035</v>
      </c>
      <c r="J1241">
        <v>82.091899999999995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2035</v>
      </c>
      <c r="J1242">
        <v>75.25415000000001</v>
      </c>
      <c r="K1242" t="s">
        <v>37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2035</v>
      </c>
      <c r="J1243">
        <v>53.174350000000004</v>
      </c>
      <c r="K1243" t="s">
        <v>37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2035</v>
      </c>
      <c r="J1244">
        <v>55.533199999999994</v>
      </c>
      <c r="K1244" t="s">
        <v>37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2035</v>
      </c>
      <c r="J1245">
        <v>2.30355</v>
      </c>
      <c r="K1245" t="s">
        <v>37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2035</v>
      </c>
      <c r="J1246">
        <v>92.385500000000008</v>
      </c>
      <c r="K1246" t="s">
        <v>37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2035</v>
      </c>
      <c r="J1247">
        <v>92.847549999999998</v>
      </c>
      <c r="K1247" t="s">
        <v>37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2040</v>
      </c>
      <c r="J1248">
        <v>90.412750000000003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2040</v>
      </c>
      <c r="J1249">
        <v>88.014600000000002</v>
      </c>
      <c r="K1249" t="s">
        <v>37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2040</v>
      </c>
      <c r="J1250">
        <v>98.822400000000002</v>
      </c>
      <c r="K1250" t="s">
        <v>37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2040</v>
      </c>
      <c r="J1251">
        <v>92.234800000000007</v>
      </c>
      <c r="K1251" t="s">
        <v>37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2040</v>
      </c>
      <c r="J1252">
        <v>1.4838499999999999</v>
      </c>
      <c r="K1252" t="s">
        <v>37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2040</v>
      </c>
      <c r="J1253">
        <v>105.3052</v>
      </c>
      <c r="K1253" t="s">
        <v>37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2040</v>
      </c>
      <c r="J1254">
        <v>92.438450000000003</v>
      </c>
      <c r="K1254" t="s">
        <v>37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2045</v>
      </c>
      <c r="J1255">
        <v>92.622399999999999</v>
      </c>
      <c r="K1255" t="s">
        <v>37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2045</v>
      </c>
      <c r="J1256">
        <v>99.351500000000001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2045</v>
      </c>
      <c r="J1257">
        <v>124.02510000000001</v>
      </c>
      <c r="K1257" t="s">
        <v>37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2045</v>
      </c>
      <c r="J1258">
        <v>108.12045000000001</v>
      </c>
      <c r="K1258" t="s">
        <v>37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3.6307999999999998</v>
      </c>
      <c r="K1259" t="s">
        <v>37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2045</v>
      </c>
      <c r="J1260">
        <v>110.38435</v>
      </c>
      <c r="K1260" t="s">
        <v>37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2045</v>
      </c>
      <c r="J1261">
        <v>98.306749999999994</v>
      </c>
      <c r="K1261" t="s">
        <v>37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2050</v>
      </c>
      <c r="J1262">
        <v>118.21475000000001</v>
      </c>
      <c r="K1262" t="s">
        <v>37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2050</v>
      </c>
      <c r="J1263">
        <v>113.07419999999999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2050</v>
      </c>
      <c r="J1264">
        <v>126.8229</v>
      </c>
      <c r="K1264" t="s">
        <v>37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2050</v>
      </c>
      <c r="J1265">
        <v>119.68615</v>
      </c>
      <c r="K1265" t="s">
        <v>37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2050</v>
      </c>
      <c r="J1266">
        <v>1.2467999999999999</v>
      </c>
      <c r="K1266" t="s">
        <v>37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2050</v>
      </c>
      <c r="J1267">
        <v>127.7315</v>
      </c>
      <c r="K1267" t="s">
        <v>37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2050</v>
      </c>
      <c r="J1268">
        <v>108.36574999999999</v>
      </c>
      <c r="K1268" t="s">
        <v>37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2055</v>
      </c>
      <c r="J1269">
        <v>134.30709999999999</v>
      </c>
      <c r="K1269" t="s">
        <v>37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2055</v>
      </c>
      <c r="J1270">
        <v>122.97499999999999</v>
      </c>
      <c r="K1270" t="s">
        <v>37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2055</v>
      </c>
      <c r="J1271">
        <v>165.49815000000001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2055</v>
      </c>
      <c r="J1272">
        <v>141.904</v>
      </c>
      <c r="K1272" t="s">
        <v>37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2055</v>
      </c>
      <c r="J1273">
        <v>78.421099999999996</v>
      </c>
      <c r="K1273" t="s">
        <v>37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2055</v>
      </c>
      <c r="J1274">
        <v>145.02255</v>
      </c>
      <c r="K1274" t="s">
        <v>37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2055</v>
      </c>
      <c r="J1275">
        <v>147.73585</v>
      </c>
      <c r="K1275" t="s">
        <v>37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2060</v>
      </c>
      <c r="J1276">
        <v>201.67599999999999</v>
      </c>
      <c r="K1276" t="s">
        <v>37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2060</v>
      </c>
      <c r="J1277">
        <v>190.70265000000001</v>
      </c>
      <c r="K1277" t="s">
        <v>37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2060</v>
      </c>
      <c r="J1278">
        <v>255.15105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197.09139999999999</v>
      </c>
      <c r="K1279" t="s">
        <v>37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2060</v>
      </c>
      <c r="J1280">
        <v>130.8836</v>
      </c>
      <c r="K1280" t="s">
        <v>37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2060</v>
      </c>
      <c r="J1281">
        <v>225.43959999999998</v>
      </c>
      <c r="K1281" t="s">
        <v>37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2060</v>
      </c>
      <c r="J1282">
        <v>225.85429999999999</v>
      </c>
      <c r="K1282" t="s">
        <v>37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2065</v>
      </c>
      <c r="J1283">
        <v>245.5926</v>
      </c>
      <c r="K1283" t="s">
        <v>37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2065</v>
      </c>
      <c r="J1284">
        <v>229.70760000000001</v>
      </c>
      <c r="K1284" t="s">
        <v>37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2065</v>
      </c>
      <c r="J1285">
        <v>328.15460000000002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2065</v>
      </c>
      <c r="J1286">
        <v>243.62145000000001</v>
      </c>
      <c r="K1286" t="s">
        <v>37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2065</v>
      </c>
      <c r="J1287">
        <v>163.33404999999999</v>
      </c>
      <c r="K1287" t="s">
        <v>37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2065</v>
      </c>
      <c r="J1288">
        <v>263.71559999999999</v>
      </c>
      <c r="K1288" t="s">
        <v>37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2065</v>
      </c>
      <c r="J1289">
        <v>280.27679999999998</v>
      </c>
      <c r="K1289" t="s">
        <v>37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2070</v>
      </c>
      <c r="J1290">
        <v>289.50925000000001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2070</v>
      </c>
      <c r="J1291">
        <v>268.71249999999998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2070</v>
      </c>
      <c r="J1292">
        <v>401.15819999999997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2070</v>
      </c>
      <c r="J1293">
        <v>290.15139999999997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2070</v>
      </c>
      <c r="J1294">
        <v>195.78455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2070</v>
      </c>
      <c r="J1295">
        <v>301.99164999999999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2070</v>
      </c>
      <c r="J1296">
        <v>334.69920000000002</v>
      </c>
      <c r="K1296" t="s">
        <v>37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2075</v>
      </c>
      <c r="J1297">
        <v>302.67869999999999</v>
      </c>
      <c r="K1297" t="s">
        <v>37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2075</v>
      </c>
      <c r="J1298">
        <v>265.19815</v>
      </c>
      <c r="K1298" t="s">
        <v>37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417.14115000000004</v>
      </c>
      <c r="K1299" t="s">
        <v>37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2075</v>
      </c>
      <c r="J1300">
        <v>290.75750000000005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2075</v>
      </c>
      <c r="J1301">
        <v>196.56639999999999</v>
      </c>
      <c r="K1301" t="s">
        <v>37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2075</v>
      </c>
      <c r="J1302">
        <v>308.05250000000001</v>
      </c>
      <c r="K1302" t="s">
        <v>37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2075</v>
      </c>
      <c r="J1303">
        <v>329.38329999999996</v>
      </c>
      <c r="K1303" t="s">
        <v>37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2080</v>
      </c>
      <c r="J1304">
        <v>315.84815000000003</v>
      </c>
      <c r="K1304" t="s">
        <v>37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2080</v>
      </c>
      <c r="J1305">
        <v>261.68380000000002</v>
      </c>
      <c r="K1305" t="s">
        <v>37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2080</v>
      </c>
      <c r="J1306">
        <v>433.12400000000002</v>
      </c>
      <c r="K1306" t="s">
        <v>37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2080</v>
      </c>
      <c r="J1307">
        <v>291.36365000000001</v>
      </c>
      <c r="K1307" t="s">
        <v>37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2080</v>
      </c>
      <c r="J1308">
        <v>197.34829999999999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2080</v>
      </c>
      <c r="J1309">
        <v>314.11329999999998</v>
      </c>
      <c r="K1309" t="s">
        <v>37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2080</v>
      </c>
      <c r="J1310">
        <v>324.06735000000003</v>
      </c>
      <c r="K1310" t="s">
        <v>37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2085</v>
      </c>
      <c r="J1311">
        <v>335.00319999999999</v>
      </c>
      <c r="K1311" t="s">
        <v>37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2085</v>
      </c>
      <c r="J1312">
        <v>265.56029999999998</v>
      </c>
      <c r="K1312" t="s">
        <v>37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2085</v>
      </c>
      <c r="J1313">
        <v>425.41969999999998</v>
      </c>
      <c r="K1313" t="s">
        <v>37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2085</v>
      </c>
      <c r="J1314">
        <v>295.18164999999999</v>
      </c>
      <c r="K1314" t="s">
        <v>37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2085</v>
      </c>
      <c r="J1315">
        <v>182.1729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2085</v>
      </c>
      <c r="J1316">
        <v>301.22140000000002</v>
      </c>
      <c r="K1316" t="s">
        <v>37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2085</v>
      </c>
      <c r="J1317">
        <v>320.14305000000002</v>
      </c>
      <c r="K1317" t="s">
        <v>37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2090</v>
      </c>
      <c r="J1318">
        <v>354.15820000000002</v>
      </c>
      <c r="K1318" t="s">
        <v>37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269.43680000000001</v>
      </c>
      <c r="K1319" t="s">
        <v>37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2090</v>
      </c>
      <c r="J1320">
        <v>417.71535</v>
      </c>
      <c r="K1320" t="s">
        <v>37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2090</v>
      </c>
      <c r="J1321">
        <v>298.99959999999999</v>
      </c>
      <c r="K1321" t="s">
        <v>37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2090</v>
      </c>
      <c r="J1322">
        <v>166.9975</v>
      </c>
      <c r="K1322" t="s">
        <v>37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2090</v>
      </c>
      <c r="J1323">
        <v>288.32939999999996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2090</v>
      </c>
      <c r="J1324">
        <v>316.21875</v>
      </c>
      <c r="K1324" t="s">
        <v>37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2095</v>
      </c>
      <c r="J1325">
        <v>369.08179999999999</v>
      </c>
      <c r="K1325" t="s">
        <v>37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2095</v>
      </c>
      <c r="J1326">
        <v>284.58394999999996</v>
      </c>
      <c r="K1326" t="s">
        <v>37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2095</v>
      </c>
      <c r="J1327">
        <v>447.65665000000001</v>
      </c>
      <c r="K1327" t="s">
        <v>37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2095</v>
      </c>
      <c r="J1328">
        <v>316.91060000000004</v>
      </c>
      <c r="K1328" t="s">
        <v>37</v>
      </c>
    </row>
    <row r="1329" spans="1:12" x14ac:dyDescent="0.45">
      <c r="A1329" t="s">
        <v>90</v>
      </c>
      <c r="B1329" t="s">
        <v>5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2095</v>
      </c>
      <c r="J1329">
        <v>195.20920000000001</v>
      </c>
      <c r="K1329" t="s">
        <v>37</v>
      </c>
    </row>
    <row r="1330" spans="1:12" x14ac:dyDescent="0.45">
      <c r="A1330" t="s">
        <v>90</v>
      </c>
      <c r="B1330" t="s">
        <v>2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2095</v>
      </c>
      <c r="J1330">
        <v>310.99599999999998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2095</v>
      </c>
      <c r="J1331">
        <v>370.82939999999996</v>
      </c>
      <c r="K1331" t="s">
        <v>37</v>
      </c>
    </row>
    <row r="1332" spans="1:12" x14ac:dyDescent="0.45">
      <c r="A1332" t="s">
        <v>90</v>
      </c>
      <c r="B1332" t="s">
        <v>3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2100</v>
      </c>
      <c r="J1332">
        <v>384.00545</v>
      </c>
      <c r="K1332" t="s">
        <v>37</v>
      </c>
    </row>
    <row r="1333" spans="1:12" x14ac:dyDescent="0.45">
      <c r="A1333" t="s">
        <v>90</v>
      </c>
      <c r="B1333" t="s">
        <v>4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2100</v>
      </c>
      <c r="J1333">
        <v>299.73109999999997</v>
      </c>
      <c r="K1333" t="s">
        <v>37</v>
      </c>
    </row>
    <row r="1334" spans="1:12" x14ac:dyDescent="0.45">
      <c r="A1334" t="s">
        <v>90</v>
      </c>
      <c r="B1334" t="s">
        <v>0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2100</v>
      </c>
      <c r="J1334">
        <v>477.59789999999998</v>
      </c>
      <c r="K1334" t="s">
        <v>37</v>
      </c>
    </row>
    <row r="1335" spans="1:12" x14ac:dyDescent="0.45">
      <c r="A1335" t="s">
        <v>90</v>
      </c>
      <c r="B1335" t="s">
        <v>6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2100</v>
      </c>
      <c r="J1335">
        <v>334.82159999999999</v>
      </c>
      <c r="K1335" t="s">
        <v>37</v>
      </c>
    </row>
    <row r="1336" spans="1:12" x14ac:dyDescent="0.45">
      <c r="A1336" t="s">
        <v>90</v>
      </c>
      <c r="B1336" t="s">
        <v>5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2100</v>
      </c>
      <c r="J1336">
        <v>223.42089999999999</v>
      </c>
      <c r="K1336" t="s">
        <v>37</v>
      </c>
    </row>
    <row r="1337" spans="1:12" x14ac:dyDescent="0.45">
      <c r="A1337" t="s">
        <v>90</v>
      </c>
      <c r="B1337" t="s">
        <v>2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2100</v>
      </c>
      <c r="J1337">
        <v>333.66264999999999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425.44004999999999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0.4819</v>
      </c>
      <c r="K1339" t="s">
        <v>52</v>
      </c>
      <c r="L1339">
        <v>94</v>
      </c>
    </row>
    <row r="1340" spans="1:12" x14ac:dyDescent="0.45">
      <c r="A1340" t="s">
        <v>90</v>
      </c>
      <c r="B1340" t="s">
        <v>4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2020</v>
      </c>
      <c r="J1340">
        <v>0.48299999999999998</v>
      </c>
      <c r="K1340" t="s">
        <v>52</v>
      </c>
      <c r="L1340">
        <v>94</v>
      </c>
    </row>
    <row r="1341" spans="1:12" x14ac:dyDescent="0.45">
      <c r="A1341" t="s">
        <v>90</v>
      </c>
      <c r="B1341" t="s">
        <v>0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2020</v>
      </c>
      <c r="J1341">
        <v>0.48159999999999997</v>
      </c>
      <c r="K1341" t="s">
        <v>52</v>
      </c>
      <c r="L1341">
        <v>94</v>
      </c>
    </row>
    <row r="1342" spans="1:12" x14ac:dyDescent="0.45">
      <c r="A1342" t="s">
        <v>90</v>
      </c>
      <c r="B1342" t="s">
        <v>6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2020</v>
      </c>
      <c r="J1342">
        <v>0.48270000000000002</v>
      </c>
      <c r="K1342" t="s">
        <v>52</v>
      </c>
      <c r="L1342">
        <v>94</v>
      </c>
    </row>
    <row r="1343" spans="1:12" x14ac:dyDescent="0.45">
      <c r="A1343" t="s">
        <v>90</v>
      </c>
      <c r="B1343" t="s">
        <v>5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2020</v>
      </c>
      <c r="J1343">
        <v>0.47799999999999998</v>
      </c>
      <c r="K1343" t="s">
        <v>52</v>
      </c>
      <c r="L1343">
        <v>94</v>
      </c>
    </row>
    <row r="1344" spans="1:12" x14ac:dyDescent="0.45">
      <c r="A1344" t="s">
        <v>90</v>
      </c>
      <c r="B1344" t="s">
        <v>2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2020</v>
      </c>
      <c r="J1344">
        <v>0.48280000000000001</v>
      </c>
      <c r="K1344" t="s">
        <v>52</v>
      </c>
      <c r="L1344">
        <v>94</v>
      </c>
    </row>
    <row r="1345" spans="1:12" x14ac:dyDescent="0.45">
      <c r="A1345" t="s">
        <v>90</v>
      </c>
      <c r="B1345" t="s">
        <v>1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2020</v>
      </c>
      <c r="J1345">
        <v>0.4788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2025</v>
      </c>
      <c r="J1346">
        <v>0.1983</v>
      </c>
      <c r="K1346" t="s">
        <v>52</v>
      </c>
      <c r="L1346">
        <v>94</v>
      </c>
    </row>
    <row r="1347" spans="1:12" x14ac:dyDescent="0.45">
      <c r="A1347" t="s">
        <v>90</v>
      </c>
      <c r="B1347" t="s">
        <v>4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2025</v>
      </c>
      <c r="J1347">
        <v>0.2175</v>
      </c>
      <c r="K1347" t="s">
        <v>52</v>
      </c>
      <c r="L1347">
        <v>94</v>
      </c>
    </row>
    <row r="1348" spans="1:12" x14ac:dyDescent="0.45">
      <c r="A1348" t="s">
        <v>90</v>
      </c>
      <c r="B1348" t="s">
        <v>0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2025</v>
      </c>
      <c r="J1348">
        <v>0.217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2025</v>
      </c>
      <c r="J1349">
        <v>0.21740000000000001</v>
      </c>
      <c r="K1349" t="s">
        <v>52</v>
      </c>
      <c r="L1349">
        <v>94</v>
      </c>
    </row>
    <row r="1350" spans="1:12" x14ac:dyDescent="0.45">
      <c r="A1350" t="s">
        <v>90</v>
      </c>
      <c r="B1350" t="s">
        <v>5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2025</v>
      </c>
      <c r="J1350">
        <v>0.2014</v>
      </c>
      <c r="K1350" t="s">
        <v>52</v>
      </c>
      <c r="L1350">
        <v>94</v>
      </c>
    </row>
    <row r="1351" spans="1:12" x14ac:dyDescent="0.45">
      <c r="A1351" t="s">
        <v>90</v>
      </c>
      <c r="B1351" t="s">
        <v>2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2025</v>
      </c>
      <c r="J1351">
        <v>0.1991</v>
      </c>
      <c r="K1351" t="s">
        <v>52</v>
      </c>
      <c r="L1351">
        <v>94</v>
      </c>
    </row>
    <row r="1352" spans="1:12" x14ac:dyDescent="0.45">
      <c r="A1352" t="s">
        <v>90</v>
      </c>
      <c r="B1352" t="s">
        <v>1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2025</v>
      </c>
      <c r="J1352">
        <v>0.1953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2030</v>
      </c>
      <c r="J1353">
        <v>8.9999999999999993E-3</v>
      </c>
      <c r="K1353" t="s">
        <v>52</v>
      </c>
      <c r="L1353">
        <v>94</v>
      </c>
    </row>
    <row r="1354" spans="1:12" x14ac:dyDescent="0.45">
      <c r="A1354" t="s">
        <v>90</v>
      </c>
      <c r="B1354" t="s">
        <v>4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2030</v>
      </c>
      <c r="J1354">
        <v>0.16550000000000001</v>
      </c>
      <c r="K1354" t="s">
        <v>52</v>
      </c>
      <c r="L1354">
        <v>94</v>
      </c>
    </row>
    <row r="1355" spans="1:12" x14ac:dyDescent="0.45">
      <c r="A1355" t="s">
        <v>90</v>
      </c>
      <c r="B1355" t="s">
        <v>0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2030</v>
      </c>
      <c r="J1355">
        <v>0.16520000000000001</v>
      </c>
      <c r="K1355" t="s">
        <v>52</v>
      </c>
      <c r="L1355">
        <v>94</v>
      </c>
    </row>
    <row r="1356" spans="1:12" x14ac:dyDescent="0.45">
      <c r="A1356" t="s">
        <v>90</v>
      </c>
      <c r="B1356" t="s">
        <v>6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2030</v>
      </c>
      <c r="J1356">
        <v>0.16550000000000001</v>
      </c>
      <c r="K1356" t="s">
        <v>52</v>
      </c>
      <c r="L1356">
        <v>94</v>
      </c>
    </row>
    <row r="1357" spans="1:12" x14ac:dyDescent="0.45">
      <c r="A1357" t="s">
        <v>90</v>
      </c>
      <c r="B1357" t="s">
        <v>5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2030</v>
      </c>
      <c r="J1357">
        <v>8.8000000000000005E-3</v>
      </c>
      <c r="K1357" t="s">
        <v>52</v>
      </c>
      <c r="L1357">
        <v>94</v>
      </c>
    </row>
    <row r="1358" spans="1:12" x14ac:dyDescent="0.45">
      <c r="A1358" t="s">
        <v>90</v>
      </c>
      <c r="B1358" t="s">
        <v>2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8.8000000000000005E-3</v>
      </c>
      <c r="K1358" t="s">
        <v>52</v>
      </c>
      <c r="L1358">
        <v>94</v>
      </c>
    </row>
    <row r="1359" spans="1:12" x14ac:dyDescent="0.45">
      <c r="A1359" t="s">
        <v>90</v>
      </c>
      <c r="B1359" t="s">
        <v>1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2030</v>
      </c>
      <c r="J1359">
        <v>8.6E-3</v>
      </c>
      <c r="K1359" t="s">
        <v>52</v>
      </c>
      <c r="L1359">
        <v>94</v>
      </c>
    </row>
    <row r="1360" spans="1:12" x14ac:dyDescent="0.45">
      <c r="A1360" t="s">
        <v>90</v>
      </c>
      <c r="B1360" t="s">
        <v>3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2035</v>
      </c>
      <c r="J1360">
        <v>2.9999999999999997E-4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2035</v>
      </c>
      <c r="J1361">
        <v>1.77E-2</v>
      </c>
      <c r="K1361" t="s">
        <v>52</v>
      </c>
      <c r="L1361">
        <v>94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2035</v>
      </c>
      <c r="J1362">
        <v>1.7399999999999999E-2</v>
      </c>
      <c r="K1362" t="s">
        <v>52</v>
      </c>
      <c r="L1362">
        <v>94</v>
      </c>
    </row>
    <row r="1363" spans="1:12" x14ac:dyDescent="0.45">
      <c r="A1363" t="s">
        <v>90</v>
      </c>
      <c r="B1363" t="s">
        <v>6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2035</v>
      </c>
      <c r="J1363">
        <v>1.7399999999999999E-2</v>
      </c>
      <c r="K1363" t="s">
        <v>52</v>
      </c>
      <c r="L1363">
        <v>94</v>
      </c>
    </row>
    <row r="1364" spans="1:12" x14ac:dyDescent="0.45">
      <c r="A1364" t="s">
        <v>90</v>
      </c>
      <c r="B1364" t="s">
        <v>5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2035</v>
      </c>
      <c r="J1364">
        <v>2.0000000000000001E-4</v>
      </c>
      <c r="K1364" t="s">
        <v>52</v>
      </c>
      <c r="L1364">
        <v>94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2035</v>
      </c>
      <c r="J1365">
        <v>2.0000000000000001E-4</v>
      </c>
      <c r="K1365" t="s">
        <v>52</v>
      </c>
      <c r="L1365">
        <v>94</v>
      </c>
    </row>
    <row r="1366" spans="1:12" x14ac:dyDescent="0.45">
      <c r="A1366" t="s">
        <v>90</v>
      </c>
      <c r="B1366" t="s">
        <v>1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2035</v>
      </c>
      <c r="J1366">
        <v>2.0000000000000001E-4</v>
      </c>
      <c r="K1366" t="s">
        <v>52</v>
      </c>
      <c r="L1366">
        <v>94</v>
      </c>
    </row>
    <row r="1367" spans="1:12" x14ac:dyDescent="0.45">
      <c r="A1367" t="s">
        <v>90</v>
      </c>
      <c r="B1367" t="s">
        <v>3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2040</v>
      </c>
      <c r="J1367">
        <v>2.0000000000000001E-4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2040</v>
      </c>
      <c r="J1368">
        <v>5.3E-3</v>
      </c>
      <c r="K1368" t="s">
        <v>52</v>
      </c>
      <c r="L1368">
        <v>94</v>
      </c>
    </row>
    <row r="1369" spans="1:12" x14ac:dyDescent="0.45">
      <c r="A1369" t="s">
        <v>90</v>
      </c>
      <c r="B1369" t="s">
        <v>0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2040</v>
      </c>
      <c r="J1369">
        <v>3.3E-3</v>
      </c>
      <c r="K1369" t="s">
        <v>52</v>
      </c>
      <c r="L1369">
        <v>94</v>
      </c>
    </row>
    <row r="1370" spans="1:12" x14ac:dyDescent="0.45">
      <c r="A1370" t="s">
        <v>90</v>
      </c>
      <c r="B1370" t="s">
        <v>6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2040</v>
      </c>
      <c r="J1370">
        <v>3.3999999999999998E-3</v>
      </c>
      <c r="K1370" t="s">
        <v>52</v>
      </c>
      <c r="L1370">
        <v>94</v>
      </c>
    </row>
    <row r="1371" spans="1:12" x14ac:dyDescent="0.45">
      <c r="A1371" t="s">
        <v>90</v>
      </c>
      <c r="B1371" t="s">
        <v>5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2040</v>
      </c>
      <c r="J1371">
        <v>2.0000000000000001E-4</v>
      </c>
      <c r="K1371" t="s">
        <v>52</v>
      </c>
      <c r="L1371">
        <v>94</v>
      </c>
    </row>
    <row r="1372" spans="1:12" x14ac:dyDescent="0.45">
      <c r="A1372" t="s">
        <v>90</v>
      </c>
      <c r="B1372" t="s">
        <v>2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2040</v>
      </c>
      <c r="J1372">
        <v>1E-4</v>
      </c>
      <c r="K1372" t="s">
        <v>52</v>
      </c>
      <c r="L1372">
        <v>94</v>
      </c>
    </row>
    <row r="1373" spans="1:12" x14ac:dyDescent="0.45">
      <c r="A1373" t="s">
        <v>90</v>
      </c>
      <c r="B1373" t="s">
        <v>1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2040</v>
      </c>
      <c r="J1373">
        <v>1E-4</v>
      </c>
      <c r="K1373" t="s">
        <v>52</v>
      </c>
      <c r="L1373">
        <v>94</v>
      </c>
    </row>
    <row r="1374" spans="1:12" x14ac:dyDescent="0.45">
      <c r="A1374" t="s">
        <v>90</v>
      </c>
      <c r="B1374" t="s">
        <v>3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2045</v>
      </c>
      <c r="J1374">
        <v>1E-4</v>
      </c>
      <c r="K1374" t="s">
        <v>52</v>
      </c>
      <c r="L1374">
        <v>94</v>
      </c>
    </row>
    <row r="1375" spans="1:12" x14ac:dyDescent="0.45">
      <c r="A1375" t="s">
        <v>90</v>
      </c>
      <c r="B1375" t="s">
        <v>4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2045</v>
      </c>
      <c r="J1375">
        <v>4.8999999999999998E-3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2045</v>
      </c>
      <c r="J1376">
        <v>2.2000000000000001E-3</v>
      </c>
      <c r="K1376" t="s">
        <v>52</v>
      </c>
      <c r="L1376">
        <v>94</v>
      </c>
    </row>
    <row r="1377" spans="1:12" x14ac:dyDescent="0.45">
      <c r="A1377" t="s">
        <v>90</v>
      </c>
      <c r="B1377" t="s">
        <v>6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2045</v>
      </c>
      <c r="J1377">
        <v>2.3999999999999998E-3</v>
      </c>
      <c r="K1377" t="s">
        <v>52</v>
      </c>
      <c r="L1377">
        <v>94</v>
      </c>
    </row>
    <row r="1378" spans="1:12" x14ac:dyDescent="0.45">
      <c r="A1378" t="s">
        <v>90</v>
      </c>
      <c r="B1378" t="s">
        <v>5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1E-4</v>
      </c>
      <c r="K1378" t="s">
        <v>52</v>
      </c>
      <c r="L1378">
        <v>94</v>
      </c>
    </row>
    <row r="1379" spans="1:12" x14ac:dyDescent="0.45">
      <c r="A1379" t="s">
        <v>90</v>
      </c>
      <c r="B1379" t="s">
        <v>2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2045</v>
      </c>
      <c r="J1379">
        <v>1E-4</v>
      </c>
      <c r="K1379" t="s">
        <v>52</v>
      </c>
      <c r="L1379">
        <v>94</v>
      </c>
    </row>
    <row r="1380" spans="1:12" x14ac:dyDescent="0.45">
      <c r="A1380" t="s">
        <v>90</v>
      </c>
      <c r="B1380" t="s">
        <v>1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2045</v>
      </c>
      <c r="J1380">
        <v>1E-4</v>
      </c>
      <c r="K1380" t="s">
        <v>52</v>
      </c>
      <c r="L1380">
        <v>94</v>
      </c>
    </row>
    <row r="1381" spans="1:12" x14ac:dyDescent="0.45">
      <c r="A1381" t="s">
        <v>90</v>
      </c>
      <c r="B1381" t="s">
        <v>3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2050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4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2050</v>
      </c>
      <c r="J1382">
        <v>4.4000000000000003E-3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2050</v>
      </c>
      <c r="J1383">
        <v>1.4E-3</v>
      </c>
      <c r="K1383" t="s">
        <v>52</v>
      </c>
      <c r="L1383">
        <v>94</v>
      </c>
    </row>
    <row r="1384" spans="1:12" x14ac:dyDescent="0.45">
      <c r="A1384" t="s">
        <v>90</v>
      </c>
      <c r="B1384" t="s">
        <v>6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2050</v>
      </c>
      <c r="J1384">
        <v>1.4E-3</v>
      </c>
      <c r="K1384" t="s">
        <v>52</v>
      </c>
      <c r="L1384">
        <v>94</v>
      </c>
    </row>
    <row r="1385" spans="1:12" x14ac:dyDescent="0.45">
      <c r="A1385" t="s">
        <v>90</v>
      </c>
      <c r="B1385" t="s">
        <v>5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2050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2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2050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1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2050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3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2055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4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2055</v>
      </c>
      <c r="J1389">
        <v>3.8500000000000001E-3</v>
      </c>
      <c r="K1389" t="s">
        <v>52</v>
      </c>
      <c r="L1389">
        <v>94</v>
      </c>
    </row>
    <row r="1390" spans="1:12" x14ac:dyDescent="0.45">
      <c r="A1390" t="s">
        <v>90</v>
      </c>
      <c r="B1390" t="s">
        <v>0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2055</v>
      </c>
      <c r="J1390">
        <v>1.0499999999999999E-3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2055</v>
      </c>
      <c r="J1391">
        <v>1.15E-3</v>
      </c>
      <c r="K1391" t="s">
        <v>52</v>
      </c>
      <c r="L1391">
        <v>94</v>
      </c>
    </row>
    <row r="1392" spans="1:12" x14ac:dyDescent="0.45">
      <c r="A1392" t="s">
        <v>90</v>
      </c>
      <c r="B1392" t="s">
        <v>5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2055</v>
      </c>
      <c r="J1392">
        <v>0</v>
      </c>
      <c r="K1392" t="s">
        <v>52</v>
      </c>
      <c r="L1392">
        <v>94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2055</v>
      </c>
      <c r="J1393">
        <v>0</v>
      </c>
      <c r="K1393" t="s">
        <v>52</v>
      </c>
      <c r="L1393">
        <v>94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2055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2060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2060</v>
      </c>
      <c r="J1396">
        <v>2.7499999999999998E-3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2060</v>
      </c>
      <c r="J1397">
        <v>8.9999999999999998E-4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9.5000000000000011E-4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2060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2060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2060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2065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4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2065</v>
      </c>
      <c r="J1403">
        <v>1.5999999999999999E-3</v>
      </c>
      <c r="K1403" t="s">
        <v>52</v>
      </c>
      <c r="L1403">
        <v>94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2065</v>
      </c>
      <c r="J1404">
        <v>5.4999999999999992E-4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2065</v>
      </c>
      <c r="J1405">
        <v>6.0000000000000006E-4</v>
      </c>
      <c r="K1405" t="s">
        <v>52</v>
      </c>
      <c r="L1405">
        <v>94</v>
      </c>
    </row>
    <row r="1406" spans="1:12" x14ac:dyDescent="0.45">
      <c r="A1406" t="s">
        <v>90</v>
      </c>
      <c r="B1406" t="s">
        <v>5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2065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2065</v>
      </c>
      <c r="J1407">
        <v>0</v>
      </c>
      <c r="K1407" t="s">
        <v>52</v>
      </c>
      <c r="L1407">
        <v>94</v>
      </c>
    </row>
    <row r="1408" spans="1:12" x14ac:dyDescent="0.45">
      <c r="A1408" t="s">
        <v>90</v>
      </c>
      <c r="B1408" t="s">
        <v>1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2065</v>
      </c>
      <c r="J1408">
        <v>0</v>
      </c>
      <c r="K1408" t="s">
        <v>52</v>
      </c>
      <c r="L1408">
        <v>94</v>
      </c>
    </row>
    <row r="1409" spans="1:12" x14ac:dyDescent="0.45">
      <c r="A1409" t="s">
        <v>90</v>
      </c>
      <c r="B1409" t="s">
        <v>3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2070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4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2070</v>
      </c>
      <c r="J1410">
        <v>5.4999999999999992E-4</v>
      </c>
      <c r="K1410" t="s">
        <v>52</v>
      </c>
      <c r="L1410">
        <v>94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2070</v>
      </c>
      <c r="J1411">
        <v>2.9999999999999997E-4</v>
      </c>
      <c r="K1411" t="s">
        <v>52</v>
      </c>
      <c r="L1411">
        <v>94</v>
      </c>
    </row>
    <row r="1412" spans="1:12" x14ac:dyDescent="0.45">
      <c r="A1412" t="s">
        <v>90</v>
      </c>
      <c r="B1412" t="s">
        <v>6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2070</v>
      </c>
      <c r="J1412">
        <v>2.9999999999999997E-4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2070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2070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2070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2075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2075</v>
      </c>
      <c r="J1417">
        <v>3.65E-3</v>
      </c>
      <c r="K1417" t="s">
        <v>52</v>
      </c>
      <c r="L1417">
        <v>94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2.0000000000000001E-4</v>
      </c>
      <c r="K1418" t="s">
        <v>52</v>
      </c>
      <c r="L1418">
        <v>94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2075</v>
      </c>
      <c r="J1419">
        <v>2.0000000000000001E-4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2075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2075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2075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2080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4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2080</v>
      </c>
      <c r="J1424">
        <v>6.4000000000000003E-3</v>
      </c>
      <c r="K1424" t="s">
        <v>52</v>
      </c>
      <c r="L1424">
        <v>94</v>
      </c>
    </row>
    <row r="1425" spans="1:12" x14ac:dyDescent="0.45">
      <c r="A1425" t="s">
        <v>90</v>
      </c>
      <c r="B1425" t="s">
        <v>0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2080</v>
      </c>
      <c r="J1425">
        <v>0</v>
      </c>
      <c r="K1425" t="s">
        <v>52</v>
      </c>
      <c r="L1425">
        <v>94</v>
      </c>
    </row>
    <row r="1426" spans="1:12" x14ac:dyDescent="0.45">
      <c r="A1426" t="s">
        <v>90</v>
      </c>
      <c r="B1426" t="s">
        <v>6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2080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5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2080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2080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1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2080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3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2085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4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2085</v>
      </c>
      <c r="J1431">
        <v>2.205E-2</v>
      </c>
      <c r="K1431" t="s">
        <v>52</v>
      </c>
      <c r="L1431">
        <v>94</v>
      </c>
    </row>
    <row r="1432" spans="1:12" x14ac:dyDescent="0.45">
      <c r="A1432" t="s">
        <v>90</v>
      </c>
      <c r="B1432" t="s">
        <v>0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2085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6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2085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5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2085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2085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1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2085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3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2090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4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3.6949999999999997E-2</v>
      </c>
      <c r="K1438" t="s">
        <v>52</v>
      </c>
      <c r="L1438">
        <v>94</v>
      </c>
    </row>
    <row r="1439" spans="1:12" x14ac:dyDescent="0.45">
      <c r="A1439" t="s">
        <v>90</v>
      </c>
      <c r="B1439" t="s">
        <v>0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2090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6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2090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5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2090</v>
      </c>
      <c r="J1441">
        <v>0</v>
      </c>
      <c r="K1441" t="s">
        <v>52</v>
      </c>
      <c r="L1441">
        <v>94</v>
      </c>
    </row>
    <row r="1442" spans="1:12" x14ac:dyDescent="0.45">
      <c r="A1442" t="s">
        <v>90</v>
      </c>
      <c r="B1442" t="s">
        <v>2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2090</v>
      </c>
      <c r="J1442">
        <v>0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2090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3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2095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4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2095</v>
      </c>
      <c r="J1445">
        <v>5.5800000000000002E-2</v>
      </c>
      <c r="K1445" t="s">
        <v>52</v>
      </c>
      <c r="L1445">
        <v>94</v>
      </c>
    </row>
    <row r="1446" spans="1:12" x14ac:dyDescent="0.45">
      <c r="A1446" t="s">
        <v>90</v>
      </c>
      <c r="B1446" t="s">
        <v>0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2095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2095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5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2095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2095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2095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3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2100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4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2100</v>
      </c>
      <c r="J1452">
        <v>7.3999999999999996E-2</v>
      </c>
      <c r="K1452" t="s">
        <v>52</v>
      </c>
      <c r="L1452">
        <v>94</v>
      </c>
    </row>
    <row r="1453" spans="1:12" x14ac:dyDescent="0.45">
      <c r="A1453" t="s">
        <v>90</v>
      </c>
      <c r="B1453" t="s">
        <v>0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2100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6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2100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5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2100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2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2100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0.26929999999999998</v>
      </c>
      <c r="K1458" t="s">
        <v>53</v>
      </c>
      <c r="L1458">
        <v>55</v>
      </c>
    </row>
    <row r="1459" spans="1:12" x14ac:dyDescent="0.45">
      <c r="A1459" t="s">
        <v>90</v>
      </c>
      <c r="B1459" t="s">
        <v>4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2020</v>
      </c>
      <c r="J1459">
        <v>0.27129999999999999</v>
      </c>
      <c r="K1459" t="s">
        <v>53</v>
      </c>
      <c r="L1459">
        <v>55</v>
      </c>
    </row>
    <row r="1460" spans="1:12" x14ac:dyDescent="0.45">
      <c r="A1460" t="s">
        <v>90</v>
      </c>
      <c r="B1460" t="s">
        <v>0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2020</v>
      </c>
      <c r="J1460">
        <v>0.26889999999999997</v>
      </c>
      <c r="K1460" t="s">
        <v>53</v>
      </c>
      <c r="L1460">
        <v>55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2020</v>
      </c>
      <c r="J1461">
        <v>0.2702</v>
      </c>
      <c r="K1461" t="s">
        <v>53</v>
      </c>
      <c r="L1461">
        <v>55</v>
      </c>
    </row>
    <row r="1462" spans="1:12" x14ac:dyDescent="0.45">
      <c r="A1462" t="s">
        <v>90</v>
      </c>
      <c r="B1462" t="s">
        <v>5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2020</v>
      </c>
      <c r="J1462">
        <v>0.26369999999999999</v>
      </c>
      <c r="K1462" t="s">
        <v>53</v>
      </c>
      <c r="L1462">
        <v>55</v>
      </c>
    </row>
    <row r="1463" spans="1:12" x14ac:dyDescent="0.45">
      <c r="A1463" t="s">
        <v>90</v>
      </c>
      <c r="B1463" t="s">
        <v>2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2020</v>
      </c>
      <c r="J1463">
        <v>0.27089999999999997</v>
      </c>
      <c r="K1463" t="s">
        <v>53</v>
      </c>
      <c r="L1463">
        <v>55</v>
      </c>
    </row>
    <row r="1464" spans="1:12" x14ac:dyDescent="0.45">
      <c r="A1464" t="s">
        <v>90</v>
      </c>
      <c r="B1464" t="s">
        <v>1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2020</v>
      </c>
      <c r="J1464">
        <v>0.26690000000000003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2025</v>
      </c>
      <c r="J1465">
        <v>0.26240000000000002</v>
      </c>
      <c r="K1465" t="s">
        <v>53</v>
      </c>
      <c r="L1465">
        <v>55</v>
      </c>
    </row>
    <row r="1466" spans="1:12" x14ac:dyDescent="0.45">
      <c r="A1466" t="s">
        <v>90</v>
      </c>
      <c r="B1466" t="s">
        <v>4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2025</v>
      </c>
      <c r="J1466">
        <v>0.28589999999999999</v>
      </c>
      <c r="K1466" t="s">
        <v>53</v>
      </c>
      <c r="L1466">
        <v>55</v>
      </c>
    </row>
    <row r="1467" spans="1:12" x14ac:dyDescent="0.45">
      <c r="A1467" t="s">
        <v>90</v>
      </c>
      <c r="B1467" t="s">
        <v>0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2025</v>
      </c>
      <c r="J1467">
        <v>0.28320000000000001</v>
      </c>
      <c r="K1467" t="s">
        <v>53</v>
      </c>
      <c r="L1467">
        <v>55</v>
      </c>
    </row>
    <row r="1468" spans="1:12" x14ac:dyDescent="0.45">
      <c r="A1468" t="s">
        <v>90</v>
      </c>
      <c r="B1468" t="s">
        <v>6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2025</v>
      </c>
      <c r="J1468">
        <v>0.28389999999999999</v>
      </c>
      <c r="K1468" t="s">
        <v>53</v>
      </c>
      <c r="L1468">
        <v>55</v>
      </c>
    </row>
    <row r="1469" spans="1:12" x14ac:dyDescent="0.45">
      <c r="A1469" t="s">
        <v>90</v>
      </c>
      <c r="B1469" t="s">
        <v>5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2025</v>
      </c>
      <c r="J1469">
        <v>0.24260000000000001</v>
      </c>
      <c r="K1469" t="s">
        <v>53</v>
      </c>
      <c r="L1469">
        <v>55</v>
      </c>
    </row>
    <row r="1470" spans="1:12" x14ac:dyDescent="0.45">
      <c r="A1470" t="s">
        <v>90</v>
      </c>
      <c r="B1470" t="s">
        <v>2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2025</v>
      </c>
      <c r="J1470">
        <v>0.25359999999999999</v>
      </c>
      <c r="K1470" t="s">
        <v>53</v>
      </c>
      <c r="L1470">
        <v>55</v>
      </c>
    </row>
    <row r="1471" spans="1:12" x14ac:dyDescent="0.45">
      <c r="A1471" t="s">
        <v>90</v>
      </c>
      <c r="B1471" t="s">
        <v>1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2025</v>
      </c>
      <c r="J1471">
        <v>0.2288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2030</v>
      </c>
      <c r="J1472">
        <v>0.1333</v>
      </c>
      <c r="K1472" t="s">
        <v>53</v>
      </c>
      <c r="L1472">
        <v>55</v>
      </c>
    </row>
    <row r="1473" spans="1:12" x14ac:dyDescent="0.45">
      <c r="A1473" t="s">
        <v>90</v>
      </c>
      <c r="B1473" t="s">
        <v>4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2030</v>
      </c>
      <c r="J1473">
        <v>0.26829999999999998</v>
      </c>
      <c r="K1473" t="s">
        <v>53</v>
      </c>
      <c r="L1473">
        <v>55</v>
      </c>
    </row>
    <row r="1474" spans="1:12" x14ac:dyDescent="0.45">
      <c r="A1474" t="s">
        <v>90</v>
      </c>
      <c r="B1474" t="s">
        <v>0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2030</v>
      </c>
      <c r="J1474">
        <v>0.26950000000000002</v>
      </c>
      <c r="K1474" t="s">
        <v>53</v>
      </c>
      <c r="L1474">
        <v>55</v>
      </c>
    </row>
    <row r="1475" spans="1:12" x14ac:dyDescent="0.45">
      <c r="A1475" t="s">
        <v>90</v>
      </c>
      <c r="B1475" t="s">
        <v>6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2030</v>
      </c>
      <c r="J1475">
        <v>0.27039999999999997</v>
      </c>
      <c r="K1475" t="s">
        <v>53</v>
      </c>
      <c r="L1475">
        <v>55</v>
      </c>
    </row>
    <row r="1476" spans="1:12" x14ac:dyDescent="0.45">
      <c r="A1476" t="s">
        <v>90</v>
      </c>
      <c r="B1476" t="s">
        <v>5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2030</v>
      </c>
      <c r="J1476">
        <v>9.0300000000000005E-2</v>
      </c>
      <c r="K1476" t="s">
        <v>53</v>
      </c>
      <c r="L1476">
        <v>55</v>
      </c>
    </row>
    <row r="1477" spans="1:12" x14ac:dyDescent="0.45">
      <c r="A1477" t="s">
        <v>90</v>
      </c>
      <c r="B1477" t="s">
        <v>2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8.7800000000000003E-2</v>
      </c>
      <c r="K1477" t="s">
        <v>53</v>
      </c>
      <c r="L1477">
        <v>55</v>
      </c>
    </row>
    <row r="1478" spans="1:12" x14ac:dyDescent="0.45">
      <c r="A1478" t="s">
        <v>90</v>
      </c>
      <c r="B1478" t="s">
        <v>1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2030</v>
      </c>
      <c r="J1478">
        <v>7.0499999999999993E-2</v>
      </c>
      <c r="K1478" t="s">
        <v>53</v>
      </c>
      <c r="L1478">
        <v>55</v>
      </c>
    </row>
    <row r="1479" spans="1:12" x14ac:dyDescent="0.45">
      <c r="A1479" t="s">
        <v>90</v>
      </c>
      <c r="B1479" t="s">
        <v>3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2035</v>
      </c>
      <c r="J1479">
        <v>2.8999999999999998E-3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2035</v>
      </c>
      <c r="J1480">
        <v>0.20960000000000001</v>
      </c>
      <c r="K1480" t="s">
        <v>53</v>
      </c>
      <c r="L1480">
        <v>55</v>
      </c>
    </row>
    <row r="1481" spans="1:12" x14ac:dyDescent="0.45">
      <c r="A1481" t="s">
        <v>90</v>
      </c>
      <c r="B1481" t="s">
        <v>0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2035</v>
      </c>
      <c r="J1481">
        <v>0.20169999999999999</v>
      </c>
      <c r="K1481" t="s">
        <v>53</v>
      </c>
      <c r="L1481">
        <v>55</v>
      </c>
    </row>
    <row r="1482" spans="1:12" x14ac:dyDescent="0.45">
      <c r="A1482" t="s">
        <v>90</v>
      </c>
      <c r="B1482" t="s">
        <v>6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2035</v>
      </c>
      <c r="J1482">
        <v>0.2258</v>
      </c>
      <c r="K1482" t="s">
        <v>53</v>
      </c>
      <c r="L1482">
        <v>55</v>
      </c>
    </row>
    <row r="1483" spans="1:12" x14ac:dyDescent="0.45">
      <c r="A1483" t="s">
        <v>90</v>
      </c>
      <c r="B1483" t="s">
        <v>5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2035</v>
      </c>
      <c r="J1483">
        <v>5.0000000000000001E-4</v>
      </c>
      <c r="K1483" t="s">
        <v>53</v>
      </c>
      <c r="L1483">
        <v>55</v>
      </c>
    </row>
    <row r="1484" spans="1:12" x14ac:dyDescent="0.45">
      <c r="A1484" t="s">
        <v>90</v>
      </c>
      <c r="B1484" t="s">
        <v>2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2035</v>
      </c>
      <c r="J1484">
        <v>2.9999999999999997E-4</v>
      </c>
      <c r="K1484" t="s">
        <v>53</v>
      </c>
      <c r="L1484">
        <v>55</v>
      </c>
    </row>
    <row r="1485" spans="1:12" x14ac:dyDescent="0.45">
      <c r="A1485" t="s">
        <v>90</v>
      </c>
      <c r="B1485" t="s">
        <v>1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2035</v>
      </c>
      <c r="J1485">
        <v>5.0000000000000001E-4</v>
      </c>
      <c r="K1485" t="s">
        <v>53</v>
      </c>
      <c r="L1485">
        <v>55</v>
      </c>
    </row>
    <row r="1486" spans="1:12" x14ac:dyDescent="0.45">
      <c r="A1486" t="s">
        <v>90</v>
      </c>
      <c r="B1486" t="s">
        <v>3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2040</v>
      </c>
      <c r="J1486">
        <v>2.0000000000000001E-4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2040</v>
      </c>
      <c r="J1487">
        <v>0.15310000000000001</v>
      </c>
      <c r="K1487" t="s">
        <v>53</v>
      </c>
      <c r="L1487">
        <v>55</v>
      </c>
    </row>
    <row r="1488" spans="1:12" x14ac:dyDescent="0.45">
      <c r="A1488" t="s">
        <v>90</v>
      </c>
      <c r="B1488" t="s">
        <v>0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2040</v>
      </c>
      <c r="J1488">
        <v>5.0900000000000001E-2</v>
      </c>
      <c r="K1488" t="s">
        <v>53</v>
      </c>
      <c r="L1488">
        <v>55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2040</v>
      </c>
      <c r="J1489">
        <v>6.8599999999999994E-2</v>
      </c>
      <c r="K1489" t="s">
        <v>53</v>
      </c>
      <c r="L1489">
        <v>55</v>
      </c>
    </row>
    <row r="1490" spans="1:12" x14ac:dyDescent="0.45">
      <c r="A1490" t="s">
        <v>90</v>
      </c>
      <c r="B1490" t="s">
        <v>5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2040</v>
      </c>
      <c r="J1490">
        <v>2.0000000000000001E-4</v>
      </c>
      <c r="K1490" t="s">
        <v>53</v>
      </c>
      <c r="L1490">
        <v>55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2040</v>
      </c>
      <c r="J1491">
        <v>1E-4</v>
      </c>
      <c r="K1491" t="s">
        <v>53</v>
      </c>
      <c r="L1491">
        <v>55</v>
      </c>
    </row>
    <row r="1492" spans="1:12" x14ac:dyDescent="0.45">
      <c r="A1492" t="s">
        <v>90</v>
      </c>
      <c r="B1492" t="s">
        <v>1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2040</v>
      </c>
      <c r="J1492">
        <v>1E-4</v>
      </c>
      <c r="K1492" t="s">
        <v>53</v>
      </c>
      <c r="L1492">
        <v>55</v>
      </c>
    </row>
    <row r="1493" spans="1:12" x14ac:dyDescent="0.45">
      <c r="A1493" t="s">
        <v>90</v>
      </c>
      <c r="B1493" t="s">
        <v>3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2045</v>
      </c>
      <c r="J1493">
        <v>1E-4</v>
      </c>
      <c r="K1493" t="s">
        <v>53</v>
      </c>
      <c r="L1493">
        <v>55</v>
      </c>
    </row>
    <row r="1494" spans="1:12" x14ac:dyDescent="0.45">
      <c r="A1494" t="s">
        <v>90</v>
      </c>
      <c r="B1494" t="s">
        <v>4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2045</v>
      </c>
      <c r="J1494">
        <v>0.10349999999999999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2045</v>
      </c>
      <c r="J1495">
        <v>2.0000000000000001E-4</v>
      </c>
      <c r="K1495" t="s">
        <v>53</v>
      </c>
      <c r="L1495">
        <v>55</v>
      </c>
    </row>
    <row r="1496" spans="1:12" x14ac:dyDescent="0.45">
      <c r="A1496" t="s">
        <v>90</v>
      </c>
      <c r="B1496" t="s">
        <v>6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2045</v>
      </c>
      <c r="J1496">
        <v>3.0999999999999999E-3</v>
      </c>
      <c r="K1496" t="s">
        <v>53</v>
      </c>
      <c r="L1496">
        <v>55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2.0000000000000001E-4</v>
      </c>
      <c r="K1497" t="s">
        <v>53</v>
      </c>
      <c r="L1497">
        <v>55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2045</v>
      </c>
      <c r="J1498">
        <v>1E-4</v>
      </c>
      <c r="K1498" t="s">
        <v>53</v>
      </c>
      <c r="L1498">
        <v>55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2045</v>
      </c>
      <c r="J1499">
        <v>1E-4</v>
      </c>
      <c r="K1499" t="s">
        <v>53</v>
      </c>
      <c r="L1499">
        <v>55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2050</v>
      </c>
      <c r="J1500">
        <v>1E-4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2050</v>
      </c>
      <c r="J1501">
        <v>4.2999999999999997E-2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2050</v>
      </c>
      <c r="J1502">
        <v>1E-4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2050</v>
      </c>
      <c r="J1503">
        <v>2E-3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2050</v>
      </c>
      <c r="J1504">
        <v>1E-4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2050</v>
      </c>
      <c r="J1505">
        <v>1E-4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2050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2055</v>
      </c>
      <c r="J1507">
        <v>0</v>
      </c>
      <c r="K1507" t="s">
        <v>53</v>
      </c>
      <c r="L1507">
        <v>55</v>
      </c>
    </row>
    <row r="1508" spans="1:12" x14ac:dyDescent="0.45">
      <c r="A1508" t="s">
        <v>90</v>
      </c>
      <c r="B1508" t="s">
        <v>4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2055</v>
      </c>
      <c r="J1508">
        <v>2.3650000000000001E-2</v>
      </c>
      <c r="K1508" t="s">
        <v>53</v>
      </c>
      <c r="L1508">
        <v>55</v>
      </c>
    </row>
    <row r="1509" spans="1:12" x14ac:dyDescent="0.45">
      <c r="A1509" t="s">
        <v>90</v>
      </c>
      <c r="B1509" t="s">
        <v>0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2055</v>
      </c>
      <c r="J1509">
        <v>1E-4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2055</v>
      </c>
      <c r="J1510">
        <v>2.8E-3</v>
      </c>
      <c r="K1510" t="s">
        <v>53</v>
      </c>
      <c r="L1510">
        <v>55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2055</v>
      </c>
      <c r="J1511">
        <v>0</v>
      </c>
      <c r="K1511" t="s">
        <v>53</v>
      </c>
      <c r="L1511">
        <v>55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2055</v>
      </c>
      <c r="J1512">
        <v>0</v>
      </c>
      <c r="K1512" t="s">
        <v>53</v>
      </c>
      <c r="L1512">
        <v>55</v>
      </c>
    </row>
    <row r="1513" spans="1:12" x14ac:dyDescent="0.45">
      <c r="A1513" t="s">
        <v>90</v>
      </c>
      <c r="B1513" t="s">
        <v>1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2055</v>
      </c>
      <c r="J1513">
        <v>0</v>
      </c>
      <c r="K1513" t="s">
        <v>53</v>
      </c>
      <c r="L1513">
        <v>55</v>
      </c>
    </row>
    <row r="1514" spans="1:12" x14ac:dyDescent="0.45">
      <c r="A1514" t="s">
        <v>90</v>
      </c>
      <c r="B1514" t="s">
        <v>3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2060</v>
      </c>
      <c r="J1514">
        <v>0</v>
      </c>
      <c r="K1514" t="s">
        <v>53</v>
      </c>
      <c r="L1514">
        <v>55</v>
      </c>
    </row>
    <row r="1515" spans="1:12" x14ac:dyDescent="0.45">
      <c r="A1515" t="s">
        <v>90</v>
      </c>
      <c r="B1515" t="s">
        <v>4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2060</v>
      </c>
      <c r="J1515">
        <v>1.1849999999999999E-2</v>
      </c>
      <c r="K1515" t="s">
        <v>53</v>
      </c>
      <c r="L1515">
        <v>55</v>
      </c>
    </row>
    <row r="1516" spans="1:12" x14ac:dyDescent="0.45">
      <c r="A1516" t="s">
        <v>90</v>
      </c>
      <c r="B1516" t="s">
        <v>0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2060</v>
      </c>
      <c r="J1516">
        <v>0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3.0000000000000001E-3</v>
      </c>
      <c r="K1517" t="s">
        <v>53</v>
      </c>
      <c r="L1517">
        <v>55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2060</v>
      </c>
      <c r="J1518">
        <v>0</v>
      </c>
      <c r="K1518" t="s">
        <v>53</v>
      </c>
      <c r="L1518">
        <v>55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2060</v>
      </c>
      <c r="J1519">
        <v>0</v>
      </c>
      <c r="K1519" t="s">
        <v>53</v>
      </c>
      <c r="L1519">
        <v>55</v>
      </c>
    </row>
    <row r="1520" spans="1:12" x14ac:dyDescent="0.45">
      <c r="A1520" t="s">
        <v>90</v>
      </c>
      <c r="B1520" t="s">
        <v>1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2060</v>
      </c>
      <c r="J1520">
        <v>0</v>
      </c>
      <c r="K1520" t="s">
        <v>53</v>
      </c>
      <c r="L1520">
        <v>55</v>
      </c>
    </row>
    <row r="1521" spans="1:12" x14ac:dyDescent="0.45">
      <c r="A1521" t="s">
        <v>90</v>
      </c>
      <c r="B1521" t="s">
        <v>3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2065</v>
      </c>
      <c r="J1521">
        <v>0</v>
      </c>
      <c r="K1521" t="s">
        <v>53</v>
      </c>
      <c r="L1521">
        <v>55</v>
      </c>
    </row>
    <row r="1522" spans="1:12" x14ac:dyDescent="0.45">
      <c r="A1522" t="s">
        <v>90</v>
      </c>
      <c r="B1522" t="s">
        <v>4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2065</v>
      </c>
      <c r="J1522">
        <v>1.205E-2</v>
      </c>
      <c r="K1522" t="s">
        <v>53</v>
      </c>
      <c r="L1522">
        <v>55</v>
      </c>
    </row>
    <row r="1523" spans="1:12" x14ac:dyDescent="0.45">
      <c r="A1523" t="s">
        <v>90</v>
      </c>
      <c r="B1523" t="s">
        <v>0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2065</v>
      </c>
      <c r="J1523">
        <v>0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2065</v>
      </c>
      <c r="J1524">
        <v>1.8E-3</v>
      </c>
      <c r="K1524" t="s">
        <v>53</v>
      </c>
      <c r="L1524">
        <v>55</v>
      </c>
    </row>
    <row r="1525" spans="1:12" x14ac:dyDescent="0.45">
      <c r="A1525" t="s">
        <v>90</v>
      </c>
      <c r="B1525" t="s">
        <v>5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2065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2065</v>
      </c>
      <c r="J1526">
        <v>0</v>
      </c>
      <c r="K1526" t="s">
        <v>53</v>
      </c>
      <c r="L1526">
        <v>55</v>
      </c>
    </row>
    <row r="1527" spans="1:12" x14ac:dyDescent="0.45">
      <c r="A1527" t="s">
        <v>90</v>
      </c>
      <c r="B1527" t="s">
        <v>1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2065</v>
      </c>
      <c r="J1527">
        <v>0</v>
      </c>
      <c r="K1527" t="s">
        <v>53</v>
      </c>
      <c r="L1527">
        <v>55</v>
      </c>
    </row>
    <row r="1528" spans="1:12" x14ac:dyDescent="0.45">
      <c r="A1528" t="s">
        <v>90</v>
      </c>
      <c r="B1528" t="s">
        <v>3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2070</v>
      </c>
      <c r="J1528">
        <v>0</v>
      </c>
      <c r="K1528" t="s">
        <v>53</v>
      </c>
      <c r="L1528">
        <v>55</v>
      </c>
    </row>
    <row r="1529" spans="1:12" x14ac:dyDescent="0.45">
      <c r="A1529" t="s">
        <v>90</v>
      </c>
      <c r="B1529" t="s">
        <v>4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2070</v>
      </c>
      <c r="J1529">
        <v>1.1650000000000001E-2</v>
      </c>
      <c r="K1529" t="s">
        <v>53</v>
      </c>
      <c r="L1529">
        <v>55</v>
      </c>
    </row>
    <row r="1530" spans="1:12" x14ac:dyDescent="0.45">
      <c r="A1530" t="s">
        <v>90</v>
      </c>
      <c r="B1530" t="s">
        <v>0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2070</v>
      </c>
      <c r="J1530">
        <v>0</v>
      </c>
      <c r="K1530" t="s">
        <v>53</v>
      </c>
      <c r="L1530">
        <v>55</v>
      </c>
    </row>
    <row r="1531" spans="1:12" x14ac:dyDescent="0.45">
      <c r="A1531" t="s">
        <v>90</v>
      </c>
      <c r="B1531" t="s">
        <v>6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2070</v>
      </c>
      <c r="J1531">
        <v>1.5499999999999999E-3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2070</v>
      </c>
      <c r="J1532">
        <v>0</v>
      </c>
      <c r="K1532" t="s">
        <v>53</v>
      </c>
      <c r="L1532">
        <v>55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2070</v>
      </c>
      <c r="J1533">
        <v>0</v>
      </c>
      <c r="K1533" t="s">
        <v>53</v>
      </c>
      <c r="L1533">
        <v>55</v>
      </c>
    </row>
    <row r="1534" spans="1:12" x14ac:dyDescent="0.45">
      <c r="A1534" t="s">
        <v>90</v>
      </c>
      <c r="B1534" t="s">
        <v>1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2070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3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2075</v>
      </c>
      <c r="J1535">
        <v>0</v>
      </c>
      <c r="K1535" t="s">
        <v>53</v>
      </c>
      <c r="L1535">
        <v>55</v>
      </c>
    </row>
    <row r="1536" spans="1:12" x14ac:dyDescent="0.45">
      <c r="A1536" t="s">
        <v>90</v>
      </c>
      <c r="B1536" t="s">
        <v>4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2075</v>
      </c>
      <c r="J1536">
        <v>1.345E-2</v>
      </c>
      <c r="K1536" t="s">
        <v>53</v>
      </c>
      <c r="L1536">
        <v>55</v>
      </c>
    </row>
    <row r="1537" spans="1:12" x14ac:dyDescent="0.45">
      <c r="A1537" t="s">
        <v>90</v>
      </c>
      <c r="B1537" t="s">
        <v>0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6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2075</v>
      </c>
      <c r="J1538">
        <v>1.15E-3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2075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2075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1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2075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3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2080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4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2080</v>
      </c>
      <c r="J1543">
        <v>1.5200000000000002E-2</v>
      </c>
      <c r="K1543" t="s">
        <v>53</v>
      </c>
      <c r="L1543">
        <v>55</v>
      </c>
    </row>
    <row r="1544" spans="1:12" x14ac:dyDescent="0.45">
      <c r="A1544" t="s">
        <v>90</v>
      </c>
      <c r="B1544" t="s">
        <v>0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2080</v>
      </c>
      <c r="J1544">
        <v>0</v>
      </c>
      <c r="K1544" t="s">
        <v>53</v>
      </c>
      <c r="L1544">
        <v>55</v>
      </c>
    </row>
    <row r="1545" spans="1:12" x14ac:dyDescent="0.45">
      <c r="A1545" t="s">
        <v>90</v>
      </c>
      <c r="B1545" t="s">
        <v>6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2080</v>
      </c>
      <c r="J1545">
        <v>7.5000000000000002E-4</v>
      </c>
      <c r="K1545" t="s">
        <v>53</v>
      </c>
      <c r="L1545">
        <v>55</v>
      </c>
    </row>
    <row r="1546" spans="1:12" x14ac:dyDescent="0.45">
      <c r="A1546" t="s">
        <v>90</v>
      </c>
      <c r="B1546" t="s">
        <v>5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2080</v>
      </c>
      <c r="J1546">
        <v>0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2080</v>
      </c>
      <c r="J1547">
        <v>0</v>
      </c>
      <c r="K1547" t="s">
        <v>53</v>
      </c>
      <c r="L1547">
        <v>55</v>
      </c>
    </row>
    <row r="1548" spans="1:12" x14ac:dyDescent="0.45">
      <c r="A1548" t="s">
        <v>90</v>
      </c>
      <c r="B1548" t="s">
        <v>1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2080</v>
      </c>
      <c r="J1548">
        <v>0</v>
      </c>
      <c r="K1548" t="s">
        <v>53</v>
      </c>
      <c r="L1548">
        <v>55</v>
      </c>
    </row>
    <row r="1549" spans="1:12" x14ac:dyDescent="0.45">
      <c r="A1549" t="s">
        <v>90</v>
      </c>
      <c r="B1549" t="s">
        <v>3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2085</v>
      </c>
      <c r="J1549">
        <v>0</v>
      </c>
      <c r="K1549" t="s">
        <v>53</v>
      </c>
      <c r="L1549">
        <v>55</v>
      </c>
    </row>
    <row r="1550" spans="1:12" x14ac:dyDescent="0.45">
      <c r="A1550" t="s">
        <v>90</v>
      </c>
      <c r="B1550" t="s">
        <v>4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2085</v>
      </c>
      <c r="J1550">
        <v>1.7049999999999999E-2</v>
      </c>
      <c r="K1550" t="s">
        <v>53</v>
      </c>
      <c r="L1550">
        <v>55</v>
      </c>
    </row>
    <row r="1551" spans="1:12" x14ac:dyDescent="0.45">
      <c r="A1551" t="s">
        <v>90</v>
      </c>
      <c r="B1551" t="s">
        <v>0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2085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6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2085</v>
      </c>
      <c r="J1552">
        <v>5.0000000000000001E-4</v>
      </c>
      <c r="K1552" t="s">
        <v>53</v>
      </c>
      <c r="L1552">
        <v>55</v>
      </c>
    </row>
    <row r="1553" spans="1:12" x14ac:dyDescent="0.45">
      <c r="A1553" t="s">
        <v>90</v>
      </c>
      <c r="B1553" t="s">
        <v>5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2085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2085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2085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3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2090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4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1.8849999999999999E-2</v>
      </c>
      <c r="K1557" t="s">
        <v>53</v>
      </c>
      <c r="L1557">
        <v>55</v>
      </c>
    </row>
    <row r="1558" spans="1:12" x14ac:dyDescent="0.45">
      <c r="A1558" t="s">
        <v>90</v>
      </c>
      <c r="B1558" t="s">
        <v>0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2090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6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2090</v>
      </c>
      <c r="J1559">
        <v>1.4999999999999999E-4</v>
      </c>
      <c r="K1559" t="s">
        <v>53</v>
      </c>
      <c r="L1559">
        <v>55</v>
      </c>
    </row>
    <row r="1560" spans="1:12" x14ac:dyDescent="0.45">
      <c r="A1560" t="s">
        <v>90</v>
      </c>
      <c r="B1560" t="s">
        <v>5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2090</v>
      </c>
      <c r="J1560">
        <v>0</v>
      </c>
      <c r="K1560" t="s">
        <v>53</v>
      </c>
      <c r="L1560">
        <v>55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2090</v>
      </c>
      <c r="J1561">
        <v>0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2090</v>
      </c>
      <c r="J1562">
        <v>0</v>
      </c>
      <c r="K1562" t="s">
        <v>53</v>
      </c>
      <c r="L1562">
        <v>55</v>
      </c>
    </row>
    <row r="1563" spans="1:12" x14ac:dyDescent="0.45">
      <c r="A1563" t="s">
        <v>90</v>
      </c>
      <c r="B1563" t="s">
        <v>3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2095</v>
      </c>
      <c r="J1563">
        <v>0</v>
      </c>
      <c r="K1563" t="s">
        <v>53</v>
      </c>
      <c r="L1563">
        <v>55</v>
      </c>
    </row>
    <row r="1564" spans="1:12" x14ac:dyDescent="0.45">
      <c r="A1564" t="s">
        <v>90</v>
      </c>
      <c r="B1564" t="s">
        <v>4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2095</v>
      </c>
      <c r="J1564">
        <v>2.155E-2</v>
      </c>
      <c r="K1564" t="s">
        <v>53</v>
      </c>
      <c r="L1564">
        <v>55</v>
      </c>
    </row>
    <row r="1565" spans="1:12" x14ac:dyDescent="0.45">
      <c r="A1565" t="s">
        <v>90</v>
      </c>
      <c r="B1565" t="s">
        <v>0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2095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6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2095</v>
      </c>
      <c r="J1566">
        <v>2.5000000000000001E-4</v>
      </c>
      <c r="K1566" t="s">
        <v>53</v>
      </c>
      <c r="L1566">
        <v>55</v>
      </c>
    </row>
    <row r="1567" spans="1:12" x14ac:dyDescent="0.45">
      <c r="A1567" t="s">
        <v>90</v>
      </c>
      <c r="B1567" t="s">
        <v>5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2095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2095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2095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3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2100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4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2100</v>
      </c>
      <c r="J1571">
        <v>2.4149999999999998E-2</v>
      </c>
      <c r="K1571" t="s">
        <v>53</v>
      </c>
      <c r="L1571">
        <v>55</v>
      </c>
    </row>
    <row r="1572" spans="1:12" x14ac:dyDescent="0.45">
      <c r="A1572" t="s">
        <v>90</v>
      </c>
      <c r="B1572" t="s">
        <v>0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2100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6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2100</v>
      </c>
      <c r="J1573">
        <v>4.0000000000000002E-4</v>
      </c>
      <c r="K1573" t="s">
        <v>53</v>
      </c>
      <c r="L1573">
        <v>55</v>
      </c>
    </row>
    <row r="1574" spans="1:12" x14ac:dyDescent="0.45">
      <c r="A1574" t="s">
        <v>90</v>
      </c>
      <c r="B1574" t="s">
        <v>5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2100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2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2100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1.47E-2</v>
      </c>
      <c r="K1577" t="s">
        <v>54</v>
      </c>
      <c r="L1577">
        <v>70</v>
      </c>
    </row>
    <row r="1578" spans="1:12" x14ac:dyDescent="0.45">
      <c r="A1578" t="s">
        <v>90</v>
      </c>
      <c r="B1578" t="s">
        <v>4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2020</v>
      </c>
      <c r="J1578">
        <v>1.4800000000000001E-2</v>
      </c>
      <c r="K1578" t="s">
        <v>54</v>
      </c>
      <c r="L1578">
        <v>70</v>
      </c>
    </row>
    <row r="1579" spans="1:12" x14ac:dyDescent="0.45">
      <c r="A1579" t="s">
        <v>90</v>
      </c>
      <c r="B1579" t="s">
        <v>0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2020</v>
      </c>
      <c r="J1579">
        <v>1.47E-2</v>
      </c>
      <c r="K1579" t="s">
        <v>54</v>
      </c>
      <c r="L1579">
        <v>70</v>
      </c>
    </row>
    <row r="1580" spans="1:12" x14ac:dyDescent="0.45">
      <c r="A1580" t="s">
        <v>90</v>
      </c>
      <c r="B1580" t="s">
        <v>6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2020</v>
      </c>
      <c r="J1580">
        <v>1.47E-2</v>
      </c>
      <c r="K1580" t="s">
        <v>54</v>
      </c>
      <c r="L1580">
        <v>70</v>
      </c>
    </row>
    <row r="1581" spans="1:12" x14ac:dyDescent="0.45">
      <c r="A1581" t="s">
        <v>90</v>
      </c>
      <c r="B1581" t="s">
        <v>5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2020</v>
      </c>
      <c r="J1581">
        <v>1.4500000000000001E-2</v>
      </c>
      <c r="K1581" t="s">
        <v>54</v>
      </c>
      <c r="L1581">
        <v>70</v>
      </c>
    </row>
    <row r="1582" spans="1:12" x14ac:dyDescent="0.45">
      <c r="A1582" t="s">
        <v>90</v>
      </c>
      <c r="B1582" t="s">
        <v>2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2020</v>
      </c>
      <c r="J1582">
        <v>1.4800000000000001E-2</v>
      </c>
      <c r="K1582" t="s">
        <v>54</v>
      </c>
      <c r="L1582">
        <v>70</v>
      </c>
    </row>
    <row r="1583" spans="1:12" x14ac:dyDescent="0.45">
      <c r="A1583" t="s">
        <v>90</v>
      </c>
      <c r="B1583" t="s">
        <v>1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2020</v>
      </c>
      <c r="J1583">
        <v>1.46E-2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2025</v>
      </c>
      <c r="J1584">
        <v>1.0500000000000001E-2</v>
      </c>
      <c r="K1584" t="s">
        <v>54</v>
      </c>
      <c r="L1584">
        <v>70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2025</v>
      </c>
      <c r="J1585">
        <v>1.0800000000000001E-2</v>
      </c>
      <c r="K1585" t="s">
        <v>54</v>
      </c>
      <c r="L1585">
        <v>70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2025</v>
      </c>
      <c r="J1586">
        <v>1.0699999999999999E-2</v>
      </c>
      <c r="K1586" t="s">
        <v>54</v>
      </c>
      <c r="L1586">
        <v>70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2025</v>
      </c>
      <c r="J1587">
        <v>1.0699999999999999E-2</v>
      </c>
      <c r="K1587" t="s">
        <v>54</v>
      </c>
      <c r="L1587">
        <v>70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2025</v>
      </c>
      <c r="J1588">
        <v>1.09E-2</v>
      </c>
      <c r="K1588" t="s">
        <v>54</v>
      </c>
      <c r="L1588">
        <v>70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2025</v>
      </c>
      <c r="J1589">
        <v>1.06E-2</v>
      </c>
      <c r="K1589" t="s">
        <v>54</v>
      </c>
      <c r="L1589">
        <v>70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2025</v>
      </c>
      <c r="J1590">
        <v>1.0200000000000001E-2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2030</v>
      </c>
      <c r="J1591">
        <v>4.3E-3</v>
      </c>
      <c r="K1591" t="s">
        <v>54</v>
      </c>
      <c r="L1591">
        <v>70</v>
      </c>
    </row>
    <row r="1592" spans="1:12" x14ac:dyDescent="0.45">
      <c r="A1592" t="s">
        <v>90</v>
      </c>
      <c r="B1592" t="s">
        <v>4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2030</v>
      </c>
      <c r="J1592">
        <v>4.4000000000000003E-3</v>
      </c>
      <c r="K1592" t="s">
        <v>54</v>
      </c>
      <c r="L1592">
        <v>70</v>
      </c>
    </row>
    <row r="1593" spans="1:12" x14ac:dyDescent="0.45">
      <c r="A1593" t="s">
        <v>90</v>
      </c>
      <c r="B1593" t="s">
        <v>0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2030</v>
      </c>
      <c r="J1593">
        <v>4.4000000000000003E-3</v>
      </c>
      <c r="K1593" t="s">
        <v>54</v>
      </c>
      <c r="L1593">
        <v>70</v>
      </c>
    </row>
    <row r="1594" spans="1:12" x14ac:dyDescent="0.45">
      <c r="A1594" t="s">
        <v>90</v>
      </c>
      <c r="B1594" t="s">
        <v>6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2030</v>
      </c>
      <c r="J1594">
        <v>4.4000000000000003E-3</v>
      </c>
      <c r="K1594" t="s">
        <v>54</v>
      </c>
      <c r="L1594">
        <v>70</v>
      </c>
    </row>
    <row r="1595" spans="1:12" x14ac:dyDescent="0.45">
      <c r="A1595" t="s">
        <v>90</v>
      </c>
      <c r="B1595" t="s">
        <v>5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2030</v>
      </c>
      <c r="J1595">
        <v>4.1999999999999997E-3</v>
      </c>
      <c r="K1595" t="s">
        <v>54</v>
      </c>
      <c r="L1595">
        <v>70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4.0000000000000001E-3</v>
      </c>
      <c r="K1596" t="s">
        <v>54</v>
      </c>
      <c r="L1596">
        <v>70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2030</v>
      </c>
      <c r="J1597">
        <v>3.8E-3</v>
      </c>
      <c r="K1597" t="s">
        <v>54</v>
      </c>
      <c r="L1597">
        <v>70</v>
      </c>
    </row>
    <row r="1598" spans="1:12" x14ac:dyDescent="0.45">
      <c r="A1598" t="s">
        <v>90</v>
      </c>
      <c r="B1598" t="s">
        <v>3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2035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2035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0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2035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2035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5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2035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2035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2035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3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2040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2040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2040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2040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2040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2040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2040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2045</v>
      </c>
      <c r="J1612">
        <v>0</v>
      </c>
      <c r="K1612" t="s">
        <v>54</v>
      </c>
      <c r="L1612">
        <v>70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2045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2045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2045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2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2045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1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2045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3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2050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4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2050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2050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6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2050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5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2050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2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2050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1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2050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3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2055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4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2055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0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2055</v>
      </c>
      <c r="J1628">
        <v>0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2055</v>
      </c>
      <c r="J1629">
        <v>0</v>
      </c>
      <c r="K1629" t="s">
        <v>54</v>
      </c>
      <c r="L1629">
        <v>70</v>
      </c>
    </row>
    <row r="1630" spans="1:12" x14ac:dyDescent="0.45">
      <c r="A1630" t="s">
        <v>90</v>
      </c>
      <c r="B1630" t="s">
        <v>5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2055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2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2055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1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2055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3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2060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4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2060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0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2060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5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2060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2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2060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2060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3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2065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4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2065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0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2065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2065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5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2065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2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2065</v>
      </c>
      <c r="J1645">
        <v>0</v>
      </c>
      <c r="K1645" t="s">
        <v>54</v>
      </c>
      <c r="L1645">
        <v>70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2065</v>
      </c>
      <c r="J1646">
        <v>0</v>
      </c>
      <c r="K1646" t="s">
        <v>54</v>
      </c>
      <c r="L1646">
        <v>70</v>
      </c>
    </row>
    <row r="1647" spans="1:12" x14ac:dyDescent="0.45">
      <c r="A1647" t="s">
        <v>90</v>
      </c>
      <c r="B1647" t="s">
        <v>3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2070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4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2070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0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2070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6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2070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2070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2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2070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2070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3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2075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4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0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6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2075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2075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2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2075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2075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3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2080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4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2080</v>
      </c>
      <c r="J1662">
        <v>0</v>
      </c>
      <c r="K1662" t="s">
        <v>54</v>
      </c>
      <c r="L1662">
        <v>70</v>
      </c>
    </row>
    <row r="1663" spans="1:12" x14ac:dyDescent="0.45">
      <c r="A1663" t="s">
        <v>90</v>
      </c>
      <c r="B1663" t="s">
        <v>0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2080</v>
      </c>
      <c r="J1663">
        <v>0</v>
      </c>
      <c r="K1663" t="s">
        <v>54</v>
      </c>
      <c r="L1663">
        <v>70</v>
      </c>
    </row>
    <row r="1664" spans="1:12" x14ac:dyDescent="0.45">
      <c r="A1664" t="s">
        <v>90</v>
      </c>
      <c r="B1664" t="s">
        <v>6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2080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5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2080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2080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2080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3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2085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4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2085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0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2085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6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2085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5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2085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2085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2085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3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2090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4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0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2090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6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2090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5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2090</v>
      </c>
      <c r="J1679">
        <v>0</v>
      </c>
      <c r="K1679" t="s">
        <v>54</v>
      </c>
      <c r="L1679">
        <v>70</v>
      </c>
    </row>
    <row r="1680" spans="1:12" x14ac:dyDescent="0.45">
      <c r="A1680" t="s">
        <v>90</v>
      </c>
      <c r="B1680" t="s">
        <v>2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2090</v>
      </c>
      <c r="J1680">
        <v>0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2090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3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2095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4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2095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0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2095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2095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5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2095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2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2095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2095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3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4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2100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0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2100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6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5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2100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2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2100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6.6E-3</v>
      </c>
      <c r="K1696" t="s">
        <v>85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2020</v>
      </c>
      <c r="J1697">
        <v>6.6E-3</v>
      </c>
      <c r="K1697" t="s">
        <v>85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2020</v>
      </c>
      <c r="J1698">
        <v>6.6E-3</v>
      </c>
      <c r="K1698" t="s">
        <v>85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2020</v>
      </c>
      <c r="J1699">
        <v>6.6E-3</v>
      </c>
      <c r="K1699" t="s">
        <v>85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2020</v>
      </c>
      <c r="J1700">
        <v>6.4000000000000003E-3</v>
      </c>
      <c r="K1700" t="s">
        <v>85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2020</v>
      </c>
      <c r="J1701">
        <v>6.6E-3</v>
      </c>
      <c r="K1701" t="s">
        <v>85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2020</v>
      </c>
      <c r="J1702">
        <v>6.6E-3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2025</v>
      </c>
      <c r="J1703">
        <v>2.7299999999999998E-2</v>
      </c>
      <c r="K1703" t="s">
        <v>85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2025</v>
      </c>
      <c r="J1704">
        <v>3.0600000000000002E-2</v>
      </c>
      <c r="K1704" t="s">
        <v>85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2025</v>
      </c>
      <c r="J1705">
        <v>3.0600000000000002E-2</v>
      </c>
      <c r="K1705" t="s">
        <v>85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2025</v>
      </c>
      <c r="J1706">
        <v>3.065E-2</v>
      </c>
      <c r="K1706" t="s">
        <v>85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2025</v>
      </c>
      <c r="J1707">
        <v>2.5149999999999999E-2</v>
      </c>
      <c r="K1707" t="s">
        <v>85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2025</v>
      </c>
      <c r="J1708">
        <v>2.7450000000000002E-2</v>
      </c>
      <c r="K1708" t="s">
        <v>85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2.7799999999999998E-2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4.6249999999999999E-2</v>
      </c>
      <c r="K1710" t="s">
        <v>85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2030</v>
      </c>
      <c r="J1711">
        <v>4.7399999999999998E-2</v>
      </c>
      <c r="K1711" t="s">
        <v>85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2030</v>
      </c>
      <c r="J1712">
        <v>4.7399999999999998E-2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2030</v>
      </c>
      <c r="J1713">
        <v>4.7699999999999999E-2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2030</v>
      </c>
      <c r="J1714">
        <v>3.755E-2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5.2150000000000002E-2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2030</v>
      </c>
      <c r="J1716">
        <v>5.5800000000000002E-2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2035</v>
      </c>
      <c r="J1717">
        <v>6.9500000000000006E-2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2035</v>
      </c>
      <c r="J1718">
        <v>5.7849999999999999E-2</v>
      </c>
      <c r="K1718" t="s">
        <v>85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2035</v>
      </c>
      <c r="J1719">
        <v>5.8499999999999996E-2</v>
      </c>
      <c r="K1719" t="s">
        <v>85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2035</v>
      </c>
      <c r="J1720">
        <v>5.5750000000000001E-2</v>
      </c>
      <c r="K1720" t="s">
        <v>85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2035</v>
      </c>
      <c r="J1721">
        <v>5.5599999999999997E-2</v>
      </c>
      <c r="K1721" t="s">
        <v>85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2035</v>
      </c>
      <c r="J1722">
        <v>8.854999999999999E-2</v>
      </c>
      <c r="K1722" t="s">
        <v>85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2035</v>
      </c>
      <c r="J1723">
        <v>9.6349999999999991E-2</v>
      </c>
      <c r="K1723" t="s">
        <v>85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2040</v>
      </c>
      <c r="J1724">
        <v>8.8200000000000001E-2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2040</v>
      </c>
      <c r="J1725">
        <v>6.7899999999999988E-2</v>
      </c>
      <c r="K1725" t="s">
        <v>85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2040</v>
      </c>
      <c r="J1726">
        <v>7.1900000000000006E-2</v>
      </c>
      <c r="K1726" t="s">
        <v>85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2040</v>
      </c>
      <c r="J1727">
        <v>6.2E-2</v>
      </c>
      <c r="K1727" t="s">
        <v>85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2040</v>
      </c>
      <c r="J1728">
        <v>6.8049999999999999E-2</v>
      </c>
      <c r="K1728" t="s">
        <v>85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2040</v>
      </c>
      <c r="J1729">
        <v>0.12065000000000001</v>
      </c>
      <c r="K1729" t="s">
        <v>85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2040</v>
      </c>
      <c r="J1730">
        <v>0.11805</v>
      </c>
      <c r="K1730" t="s">
        <v>85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2045</v>
      </c>
      <c r="J1731">
        <v>0.10385</v>
      </c>
      <c r="K1731" t="s">
        <v>85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2045</v>
      </c>
      <c r="J1732">
        <v>7.6550000000000007E-2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2045</v>
      </c>
      <c r="J1733">
        <v>0.11735</v>
      </c>
      <c r="K1733" t="s">
        <v>85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2045</v>
      </c>
      <c r="J1734">
        <v>9.5399999999999999E-2</v>
      </c>
      <c r="K1734" t="s">
        <v>85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7.9199999999999993E-2</v>
      </c>
      <c r="K1735" t="s">
        <v>85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2045</v>
      </c>
      <c r="J1736">
        <v>0.15304999999999999</v>
      </c>
      <c r="K1736" t="s">
        <v>85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2045</v>
      </c>
      <c r="J1737">
        <v>0.1371</v>
      </c>
      <c r="K1737" t="s">
        <v>85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2050</v>
      </c>
      <c r="J1738">
        <v>0.12670000000000001</v>
      </c>
      <c r="K1738" t="s">
        <v>85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2050</v>
      </c>
      <c r="J1739">
        <v>8.1750000000000003E-2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2050</v>
      </c>
      <c r="J1740">
        <v>0.1895</v>
      </c>
      <c r="K1740" t="s">
        <v>85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2050</v>
      </c>
      <c r="J1741">
        <v>0.14829999999999999</v>
      </c>
      <c r="K1741" t="s">
        <v>85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2050</v>
      </c>
      <c r="J1742">
        <v>8.2650000000000001E-2</v>
      </c>
      <c r="K1742" t="s">
        <v>85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2050</v>
      </c>
      <c r="J1743">
        <v>0.20800000000000002</v>
      </c>
      <c r="K1743" t="s">
        <v>85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2050</v>
      </c>
      <c r="J1744">
        <v>0.17235</v>
      </c>
      <c r="K1744" t="s">
        <v>85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2055</v>
      </c>
      <c r="J1745">
        <v>0.16844999999999999</v>
      </c>
      <c r="K1745" t="s">
        <v>85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2055</v>
      </c>
      <c r="J1746">
        <v>7.9000000000000001E-2</v>
      </c>
      <c r="K1746" t="s">
        <v>85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2055</v>
      </c>
      <c r="J1747">
        <v>0.26565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2055</v>
      </c>
      <c r="J1748">
        <v>0.18740000000000001</v>
      </c>
      <c r="K1748" t="s">
        <v>85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2055</v>
      </c>
      <c r="J1749">
        <v>9.4299999999999995E-2</v>
      </c>
      <c r="K1749" t="s">
        <v>85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2055</v>
      </c>
      <c r="J1750">
        <v>0.27734999999999999</v>
      </c>
      <c r="K1750" t="s">
        <v>85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2055</v>
      </c>
      <c r="J1751">
        <v>0.20369999999999999</v>
      </c>
      <c r="K1751" t="s">
        <v>85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2060</v>
      </c>
      <c r="J1752">
        <v>0.2356</v>
      </c>
      <c r="K1752" t="s">
        <v>85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2060</v>
      </c>
      <c r="J1753">
        <v>8.635000000000001E-2</v>
      </c>
      <c r="K1753" t="s">
        <v>85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2060</v>
      </c>
      <c r="J1754">
        <v>0.38455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0.24369999999999997</v>
      </c>
      <c r="K1755" t="s">
        <v>85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2060</v>
      </c>
      <c r="J1756">
        <v>9.4699999999999993E-2</v>
      </c>
      <c r="K1756" t="s">
        <v>85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2060</v>
      </c>
      <c r="J1757">
        <v>0.35220000000000001</v>
      </c>
      <c r="K1757" t="s">
        <v>85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2060</v>
      </c>
      <c r="J1758">
        <v>0.25314999999999999</v>
      </c>
      <c r="K1758" t="s">
        <v>85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2065</v>
      </c>
      <c r="J1759">
        <v>0.24199999999999999</v>
      </c>
      <c r="K1759" t="s">
        <v>85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2065</v>
      </c>
      <c r="J1760">
        <v>0.10089999999999999</v>
      </c>
      <c r="K1760" t="s">
        <v>85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2065</v>
      </c>
      <c r="J1761">
        <v>0.46115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2065</v>
      </c>
      <c r="J1762">
        <v>0.25390000000000001</v>
      </c>
      <c r="K1762" t="s">
        <v>85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2065</v>
      </c>
      <c r="J1763">
        <v>9.1600000000000001E-2</v>
      </c>
      <c r="K1763" t="s">
        <v>85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2065</v>
      </c>
      <c r="J1764">
        <v>0.35924999999999996</v>
      </c>
      <c r="K1764" t="s">
        <v>85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2065</v>
      </c>
      <c r="J1765">
        <v>0.25970000000000004</v>
      </c>
      <c r="K1765" t="s">
        <v>85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2070</v>
      </c>
      <c r="J1766">
        <v>0.24465000000000001</v>
      </c>
      <c r="K1766" t="s">
        <v>85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2070</v>
      </c>
      <c r="J1767">
        <v>0.11460000000000001</v>
      </c>
      <c r="K1767" t="s">
        <v>85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2070</v>
      </c>
      <c r="J1768">
        <v>0.55530000000000002</v>
      </c>
      <c r="K1768" t="s">
        <v>85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2070</v>
      </c>
      <c r="J1769">
        <v>0.26019999999999999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2070</v>
      </c>
      <c r="J1770">
        <v>8.8599999999999998E-2</v>
      </c>
      <c r="K1770" t="s">
        <v>85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2070</v>
      </c>
      <c r="J1771">
        <v>0.36435000000000001</v>
      </c>
      <c r="K1771" t="s">
        <v>85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2070</v>
      </c>
      <c r="J1772">
        <v>0.26669999999999999</v>
      </c>
      <c r="K1772" t="s">
        <v>85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2075</v>
      </c>
      <c r="J1773">
        <v>0.24740000000000001</v>
      </c>
      <c r="K1773" t="s">
        <v>85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2075</v>
      </c>
      <c r="J1774">
        <v>0.15690000000000001</v>
      </c>
      <c r="K1774" t="s">
        <v>85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0.58834999999999993</v>
      </c>
      <c r="K1775" t="s">
        <v>85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2075</v>
      </c>
      <c r="J1776">
        <v>0.26844999999999997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2075</v>
      </c>
      <c r="J1777">
        <v>8.8300000000000003E-2</v>
      </c>
      <c r="K1777" t="s">
        <v>85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2075</v>
      </c>
      <c r="J1778">
        <v>0.35630000000000001</v>
      </c>
      <c r="K1778" t="s">
        <v>85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2075</v>
      </c>
      <c r="J1779">
        <v>0.29010000000000002</v>
      </c>
      <c r="K1779" t="s">
        <v>85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2080</v>
      </c>
      <c r="J1780">
        <v>0.24309999999999998</v>
      </c>
      <c r="K1780" t="s">
        <v>85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2080</v>
      </c>
      <c r="J1781">
        <v>0.19450000000000001</v>
      </c>
      <c r="K1781" t="s">
        <v>85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2080</v>
      </c>
      <c r="J1782">
        <v>0.6278999999999999</v>
      </c>
      <c r="K1782" t="s">
        <v>85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2080</v>
      </c>
      <c r="J1783">
        <v>0.27210000000000001</v>
      </c>
      <c r="K1783" t="s">
        <v>85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2080</v>
      </c>
      <c r="J1784">
        <v>8.8249999999999995E-2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2080</v>
      </c>
      <c r="J1785">
        <v>0.33875</v>
      </c>
      <c r="K1785" t="s">
        <v>85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2080</v>
      </c>
      <c r="J1786">
        <v>0.28835</v>
      </c>
      <c r="K1786" t="s">
        <v>85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2085</v>
      </c>
      <c r="J1787">
        <v>0.23885000000000001</v>
      </c>
      <c r="K1787" t="s">
        <v>85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2085</v>
      </c>
      <c r="J1788">
        <v>0.24430000000000002</v>
      </c>
      <c r="K1788" t="s">
        <v>85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2085</v>
      </c>
      <c r="J1789">
        <v>0.62814999999999999</v>
      </c>
      <c r="K1789" t="s">
        <v>85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2085</v>
      </c>
      <c r="J1790">
        <v>0.28159999999999996</v>
      </c>
      <c r="K1790" t="s">
        <v>85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2085</v>
      </c>
      <c r="J1791">
        <v>9.3899999999999997E-2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2085</v>
      </c>
      <c r="J1792">
        <v>0.33699999999999997</v>
      </c>
      <c r="K1792" t="s">
        <v>85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2085</v>
      </c>
      <c r="J1793">
        <v>0.29069999999999996</v>
      </c>
      <c r="K1793" t="s">
        <v>85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2090</v>
      </c>
      <c r="J1794">
        <v>0.23194999999999999</v>
      </c>
      <c r="K1794" t="s">
        <v>85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0.28790000000000004</v>
      </c>
      <c r="K1795" t="s">
        <v>85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2090</v>
      </c>
      <c r="J1796">
        <v>0.62450000000000006</v>
      </c>
      <c r="K1796" t="s">
        <v>85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2090</v>
      </c>
      <c r="J1797">
        <v>0.2863</v>
      </c>
      <c r="K1797" t="s">
        <v>85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2090</v>
      </c>
      <c r="J1798">
        <v>9.9100000000000008E-2</v>
      </c>
      <c r="K1798" t="s">
        <v>85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2090</v>
      </c>
      <c r="J1799">
        <v>0.33160000000000001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2090</v>
      </c>
      <c r="J1800">
        <v>0.29205000000000003</v>
      </c>
      <c r="K1800" t="s">
        <v>85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2095</v>
      </c>
      <c r="J1801">
        <v>0.23130000000000001</v>
      </c>
      <c r="K1801" t="s">
        <v>85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2095</v>
      </c>
      <c r="J1802">
        <v>0.33440000000000003</v>
      </c>
      <c r="K1802" t="s">
        <v>85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2095</v>
      </c>
      <c r="J1803">
        <v>0.57645000000000002</v>
      </c>
      <c r="K1803" t="s">
        <v>85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2095</v>
      </c>
      <c r="J1804">
        <v>0.28875000000000001</v>
      </c>
      <c r="K1804" t="s">
        <v>85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2095</v>
      </c>
      <c r="J1805">
        <v>0.11374999999999999</v>
      </c>
      <c r="K1805" t="s">
        <v>85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2095</v>
      </c>
      <c r="J1806">
        <v>0.32135000000000002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2095</v>
      </c>
      <c r="J1807">
        <v>0.29254999999999998</v>
      </c>
      <c r="K1807" t="s">
        <v>85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2100</v>
      </c>
      <c r="J1808">
        <v>0.23080000000000001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2100</v>
      </c>
      <c r="J1809">
        <v>0.37414999999999998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2100</v>
      </c>
      <c r="J1810">
        <v>0.53015000000000001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2100</v>
      </c>
      <c r="J1811">
        <v>0.29174999999999995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2100</v>
      </c>
      <c r="J1812">
        <v>0.12745000000000001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2100</v>
      </c>
      <c r="J1813">
        <v>0.31079999999999997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0.29530000000000001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2.577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6.9922000000000004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22.6311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40.182899999999997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59.109299999999998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0.30790000000000001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0.34320000000000001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0.35320000000000001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0.36549999999999999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0.38440000000000002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0.38269999999999998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0.36659999999999998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0.65329999999999999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0.74480000000000002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0.84660000000000002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0.91990000000000005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1.0176000000000001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1.1821999999999999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1.3304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2.0299999999999999E-2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2.5700000000000001E-2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4.2200000000000001E-2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6.9400000000000003E-2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0.105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0.17219999999999999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0.26840000000000003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1.11E-2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60.113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65.950400000000002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43.305799999999998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25.784199999999998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7.5200000000000003E-2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8.1784999999999997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7.7824999999999989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11.984500000000001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18.381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24.887499999999999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26.317499999999999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22.154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2.1910000000000003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1.0289999999999999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0.26850000000000002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3.8207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7.7228000000000003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2.3683000000000001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2.5983999999999998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1.2038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0.26240000000000002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-4.0500000000000001E-2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1.5056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1.3682000000000001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2.9129999999999998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3.4967999999999999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4.2759999999999998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5.2468000000000004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5.9450000000000003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6.1581000000000001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6.4595000000000002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2.8328000000000002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4.1067999999999998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4.2904999999999998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4.7018000000000004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5.4592000000000001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5.4024999999999999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262.23770000000002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267.83640000000003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110.8004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49.263199999999998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-47.800199999999997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-116.91540000000001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-208.04419999999999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363.20800000000003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384.11529999999999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312.73599999999999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276.47300000000001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206.52430000000001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165.81280000000001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100.85120000000001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0.30859999999999999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0.3301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0.3296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0.34710000000000002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0.36049999999999999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0.3604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0.34960000000000002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0.63580000000000003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0.72629999999999995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0.7863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0.8488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0.92169999999999996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0.98799999999999999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1.0906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1.9900000000000001E-2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2.58E-2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3.04E-2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3.6900000000000002E-2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4.2700000000000002E-2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5.16E-2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7.85E-2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59.558400000000006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62.792000000000002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53.354399999999998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47.225599999999993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40.260200000000005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35.184200000000004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31.9694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8.0190000000000001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6.1985000000000001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8.464500000000001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11.1265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16.2745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20.294999999999998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23.925000000000001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2.1560000000000001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0.86099999999999999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0.26850000000000002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1.7135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3.6775000000000002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2.5796999999999999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4.6501999999999999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2.3683000000000001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2.3483000000000001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2.2496999999999998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2.4874000000000001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2.3651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2.3742000000000001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1.9457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2.9129999999999998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3.5131000000000001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3.7275999999999998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4.5518999999999998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4.8532000000000002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5.1563999999999997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5.8865999999999996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2.8328000000000002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4.1978999999999997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4.6555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4.9057000000000004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5.2948000000000004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5.9989999999999997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6.1571999999999996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271.06490000000002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262.26690000000002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172.3092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129.53210000000001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109.3742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68.235699999999994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31.691800000000001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371.82589999999999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387.85539999999997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382.19569999999999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366.71800000000002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375.86529999999999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371.2022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369.75170000000003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13.292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29.776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46.872900000000001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66.578400000000002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0.3115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0.33500000000000002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0.33639999999999998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0.35260000000000002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0.36940000000000001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0.40670000000000001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0.40150000000000002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0.63700000000000001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0.72940000000000005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0.79059999999999997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0.89770000000000005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0.97130000000000005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1.1789000000000001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1.3552999999999999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1.9699999999999999E-2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2.5600000000000001E-2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3.0200000000000001E-2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4.6399999999999997E-2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7.1499999999999994E-2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0.14199999999999999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0.21890000000000001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3.5999999999999999E-3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5.3E-3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5.1999999999999998E-3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2.1100000000000001E-2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59.680599999999998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63.027000000000001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53.589400000000005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27.833399999999997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8.5351999999999997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5.6869999999999994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7.5200000000000003E-2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7.9859999999999998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6.1269999999999998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8.3544999999999998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30.266500000000001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35.342999999999996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25.932499999999997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19.354499999999998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2.149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0.86099999999999999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0.26850000000000002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1.7135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3.6775000000000002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9.6150000000000002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2.3683000000000001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2.3483000000000001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2.2496999999999998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-0.61160000000000003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-1.0741000000000001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1.6774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2.3736999999999999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2.9129999999999998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3.5131000000000001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3.7275999999999998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5.9414999999999996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6.3577000000000004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6.3399000000000001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6.7363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2.8328000000000002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4.1978999999999997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4.6555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4.9973000000000001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5.0701999999999998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5.6111000000000004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5.1131000000000002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271.49560000000002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269.51080000000002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186.1103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67.796800000000005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19.664999999999999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-51.753100000000003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-164.49680000000001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372.22390000000001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388.5573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382.93849999999998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290.4359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272.25459999999998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229.1728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142.1942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2.9178000000000002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10.789899999999999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24.976500000000001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52.8538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0.30790000000000001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0.3276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0.32650000000000001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0.34370000000000001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0.36149999999999999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0.39119999999999999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0.39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0.6462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0.74119999999999997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0.80389999999999995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0.87160000000000004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0.96489999999999998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1.0663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1.1615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2.0400000000000001E-2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2.6200000000000001E-2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3.0700000000000002E-2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4.7800000000000002E-2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7.4999999999999997E-2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0.1416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0.23180000000000001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2.7000000000000001E-3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2.3999999999999998E-3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3.8E-3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60.094200000000001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63.308999999999997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53.702200000000005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49.989200000000004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25.474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3.7600000000000001E-2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5.6399999999999992E-2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8.0685000000000002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6.1875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8.4039999999999999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22.946000000000002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38.763999999999996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46.865499999999997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40.029000000000003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2.1629999999999998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0.86799999999999999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0.26850000000000002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1.7135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3.6775000000000002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7.2866999999999997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7.2085999999999997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12.010300000000001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2.3683000000000001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2.3483000000000001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2.2496999999999998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2.3079999999999998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0.995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1.4261999999999999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1.6794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2.9129999999999998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3.5131000000000001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3.7275999999999998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4.5408999999999997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5.56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6.0492999999999997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6.3625999999999996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2.8328000000000002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4.1978999999999997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4.6555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5.2846000000000002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5.2473000000000001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5.8779000000000003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6.2058999999999997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269.62380000000002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262.30759999999998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173.827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141.5093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89.834999999999994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-7.6582999999999997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-91.807900000000004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370.47629999999998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384.83240000000001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377.4212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373.8741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352.56670000000003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289.4778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238.5051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25.965800000000002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42.1511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37.1096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38.3401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33.216200000000001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0.30499999999999999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0.33160000000000001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0.27700000000000002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0.2949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0.29459999999999997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0.28339999999999999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0.2515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0.63649999999999995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0.71020000000000005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0.61270000000000002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0.56559999999999999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0.55069999999999997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0.5605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0.50980000000000003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2.29E-2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2.7199999999999998E-2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3.27E-2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6.4399999999999999E-2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0.1285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0.23130000000000001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0.34649999999999997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3.8800000000000001E-2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0.09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0.1363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0.14560000000000001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0.11840000000000001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59.830999999999996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64.813000000000002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17.333600000000001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12.1448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1.8236000000000001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0.45119999999999993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8.1234999999999999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7.6009999999999991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5.4340000000000002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1.2925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2.7555000000000001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3.2229999999999999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1.76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2.177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1.008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0.26850000000000002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7.4447000000000001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19.2699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2.3683000000000001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2.5983999999999998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-7.1683000000000003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-0.78190000000000004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1.9414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4.8968999999999996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5.8563999999999998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2.9129999999999998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3.4967999999999999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4.1238000000000001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4.1384999999999996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6.8028000000000004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6.9385000000000003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7.7877000000000001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2.8328000000000002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4.1067999999999998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1.3662000000000001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4.6071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2.9676999999999998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7.2615999999999996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2.4935999999999998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263.2303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267.84519999999998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-3.8252999999999999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-92.900499999999994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-163.4873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-234.57679999999999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-298.59269999999998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364.4778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384.67160000000001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198.95320000000001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129.9256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86.715000000000003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44.377499999999998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4.3814000000000002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2.0823999999999998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0.30449999999999999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0.3382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0.33229999999999998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0.33929999999999999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0.34699999999999998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0.3427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0.3296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0.64190000000000003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0.7278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0.7944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0.84919999999999995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0.92079999999999995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0.97289999999999999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1.0552999999999999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2.1600000000000001E-2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2.6499999999999999E-2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3.1300000000000001E-2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3.7100000000000001E-2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4.2299999999999997E-2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6.2300000000000001E-2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9.64E-2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59.502000000000002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65.245400000000004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53.504800000000003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44.0578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32.693199999999997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23.462399999999999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8.0135000000000005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7.5679999999999996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9.1850000000000005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12.782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18.04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23.6005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32.284999999999997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2.149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1.008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0.26850000000000002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2.4015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3.6486999999999998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6.4512999999999998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5.6748000000000003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2.3683000000000001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2.5983999999999998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1.8240000000000001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2.7765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1.7403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1.5592999999999999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2.9129999999999998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3.4967999999999999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3.8595000000000002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4.5469999999999997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5.0536000000000003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5.7999000000000001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6.0880999999999998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2.8328000000000002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4.1067999999999998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4.7458999999999998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4.8170999999999999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5.0681000000000003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5.8914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6.1878000000000002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268.10379999999998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274.65339999999998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179.81489999999999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130.60230000000001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98.059600000000003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51.605899999999998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-32.890300000000003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368.96499999999997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394.0324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378.84289999999999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357.46980000000002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354.84949999999998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343.29610000000002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292.12729999999999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41.734200000000001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50.4604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65.183999999999997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43.228400000000001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37.643099999999997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0.2989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0.32740000000000002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0.33239999999999997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0.40050000000000002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0.45350000000000001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0.50729999999999997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0.53190000000000004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0.65310000000000001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0.74380000000000002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0.78769999999999996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0.93079999999999996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1.1008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1.2177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1.3147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2.0500000000000001E-2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2.5700000000000001E-2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3.6600000000000001E-2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7.0800000000000002E-2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0.12770000000000001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0.2059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0.24859999999999999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5.2600000000000001E-2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0.13120000000000001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0.23769999999999999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0.2339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0.25729999999999997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59.69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65.348799999999997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12.238800000000001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5.9501999999999997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1.222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8.1675000000000004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7.8155000000000001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9.1134999999999984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1.3420000000000001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1.6005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0.13750000000000001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2.1910000000000003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1.0289999999999999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0.26850000000000002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38.0672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24.8935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35.280299999999997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41.032499999999999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39.885599999999997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2.3683000000000001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2.5983999999999998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5.1734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4.0110000000000001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7.0616000000000003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8.6442999999999994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9.9466999999999999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2.9129999999999998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3.4967999999999999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16.742899999999999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4.5358000000000001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8.7399000000000004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9.7347000000000001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11.2705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2.8328000000000002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4.1067999999999998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5.1775000000000002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6.9626000000000001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3.2671999999999999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3.7713000000000001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266.21710000000002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275.01650000000001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-1.9209000000000001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-87.330100000000002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-160.5685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-226.42250000000001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-285.6832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367.24099999999999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391.44139999999999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202.5975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141.68279999999999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96.3459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57.991799999999998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24.337299999999999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1.0156000000000001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5.6148999999999996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12.1493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19.9985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28.513200000000001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37.339300000000001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44.5443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43.977499999999999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40.620399999999997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36.508299999999998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32.433599999999998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25.975100000000001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19.228200000000001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15.436500000000001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11.498799999999999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10.213699999999999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8.9398999999999997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0.37019999999999997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0.41770000000000002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0.41120000000000001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0.4456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0.5081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0.54400000000000004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0.57509999999999994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0.59230000000000005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0.5302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0.53190000000000004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0.53249999999999997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0.53290000000000004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0.53080000000000005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0.52280000000000004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0.51270000000000004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0.49280000000000002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0.47199999999999998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0.62549999999999994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0.69010000000000005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0.72170000000000001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0.74450000000000005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0.78979999999999995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0.84279999999999999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0.84830000000000005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0.77749999999999997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0.76170000000000004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0.77359999999999995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0.78649999999999998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0.82699999999999996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0.86729999999999996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0.91710000000000003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0.96650000000000003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0.99529999999999996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1.0235000000000001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2.0899999999999998E-2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4.1200000000000001E-2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8.1000000000000003E-2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0.13350000000000001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0.2011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0.24410000000000001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0.2722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0.30249999999999999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0.3276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0.34649999999999997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0.36509999999999998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0.3805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0.39510000000000001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0.40820000000000001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0.41980000000000001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0.43269999999999997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0.44429999999999997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6.6E-3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2.6800000000000001E-2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4.5600000000000002E-2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6.6199999999999995E-2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8.2199999999999995E-2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9.6199999999999994E-2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0.1169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0.15579999999999999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0.2235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0.23280000000000001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0.23799999999999999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0.2412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0.23749999999999999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0.23400000000000001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0.22869999999999999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0.2291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0.2296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0.48180000000000001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0.19800000000000001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8.9999999999999993E-3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2.9999999999999997E-4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2.0000000000000001E-4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1E-4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0.26919999999999999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0.25890000000000002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0.12889999999999999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8.0000000000000004E-4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2.0000000000000001E-4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1E-4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1E-4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0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0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1.47E-2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1.0500000000000001E-2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4.3E-3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74.293300000000002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101.12430000000001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81.746399999999994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81.318799999999996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87.672200000000004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91.6126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113.0762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132.78059999999999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197.24469999999999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239.3021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281.3596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298.47359999999998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315.58769999999998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323.52569999999997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331.46370000000002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353.89359999999999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376.3236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264.38279999999997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70.623000000000005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-226.42310000000001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-388.18720000000002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-469.52949999999998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-511.88900000000001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-531.41909999999996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-526.25390000000004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-513.50300000000004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-512.00559999999996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-510.59289999999999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-510.88990000000001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-510.94040000000001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-511.81229999999999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-512.54269999999997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-499.49880000000002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-486.45299999999997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368.08609999999999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288.94709999999998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198.768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130.24529999999999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73.188699999999997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36.686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17.105899999999998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14.486800000000001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16.778400000000001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14.181699999999999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11.502000000000001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6.6886000000000001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2.1198999999999999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0.34589999999999999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-1.2796000000000001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-1.7208000000000001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-2.1625000000000001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1.0150999999999999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5.8920000000000003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6.9009999999999998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7.2706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7.1348000000000003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7.1367000000000003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6.8396999999999997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6.4074999999999998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5.5266999999999999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3.9895999999999998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2.4483000000000001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1.2988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0.16059999999999999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8.1600000000000006E-2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0.37319999999999998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0.41399999999999998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0.42880000000000001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0.43559999999999999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0.46410000000000001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0.49080000000000001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0.51639999999999997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0.52700000000000002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0.5232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0.52159999999999995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0.51659999999999995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0.50990000000000002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0.50070000000000003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0.49099999999999999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0.4763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0.4607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0.44500000000000001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0.62709999999999999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0.69210000000000005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0.73799999999999999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0.74639999999999995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0.76219999999999999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0.77339999999999998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0.75690000000000002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0.73140000000000005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0.73919999999999997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0.74209999999999998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0.74380000000000002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0.77600000000000002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0.80759999999999998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0.84460000000000002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0.87770000000000004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0.90739999999999998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0.93789999999999996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2.1000000000000001E-2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4.65E-2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8.0399999999999999E-2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0.1176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0.1573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0.1862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0.2155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0.2455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0.27189999999999998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0.29110000000000003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0.30890000000000001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0.32190000000000002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0.33339999999999997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0.34389999999999998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0.35110000000000002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0.3614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0.37159999999999999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6.6E-3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3.0499999999999999E-2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4.7399999999999998E-2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5.7799999999999997E-2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6.7699999999999996E-2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7.6100000000000001E-2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8.1100000000000005E-2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7.8100000000000003E-2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8.3799999999999999E-2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9.4799999999999995E-2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0.1052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0.13950000000000001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0.17050000000000001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0.21390000000000001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0.25230000000000002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0.29580000000000001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0.33250000000000002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0.48299999999999998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0.21729999999999999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0.16550000000000001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1.7600000000000001E-2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5.1999999999999998E-3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4.7999999999999996E-3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4.3E-3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3.8E-3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2.5999999999999999E-3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1.5E-3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5.0000000000000001E-4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2.9999999999999997E-4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0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9.2999999999999992E-3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1.7899999999999999E-2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2.92E-2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0.04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0.2712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0.28100000000000003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0.26829999999999998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0.20960000000000001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0.15310000000000001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9.7799999999999998E-2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3.6600000000000001E-2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2.2700000000000001E-2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1.0999999999999999E-2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1.0999999999999999E-2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1.0999999999999999E-2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1.2500000000000001E-2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1.4E-2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1.5599999999999999E-2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1.7100000000000001E-2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1.9400000000000001E-2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2.1700000000000001E-2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1.4800000000000001E-2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1.0699999999999999E-2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4.4000000000000003E-3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74.293300000000002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100.47490000000001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87.690299999999993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75.118200000000002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87.7517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98.945700000000002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112.3792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122.1236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189.3484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227.23910000000001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265.12970000000001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261.54309999999998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257.95650000000001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262.24959999999999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266.54270000000002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285.1225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303.70229999999998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264.85910000000001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80.107399999999998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-145.0111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-293.8768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-334.47699999999998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-359.28620000000001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-373.13659999999999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-375.26440000000002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-380.04289999999997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-383.11759999999998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-386.1139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-398.80369999999999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-411.42469999999997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-413.68779999999998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-415.90820000000002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-407.95069999999998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-400.53320000000002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368.54809999999998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298.52159999999998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285.92090000000002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230.5556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213.34059999999999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196.47300000000001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189.41849999999999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185.10489999999999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178.14490000000001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172.48419999999999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166.9075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158.42070000000001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150.0026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142.11779999999999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134.28139999999999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123.2111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111.6026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1.0186999999999999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5.8624999999999998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6.8512000000000004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8.0540000000000003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32.993499999999997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49.634500000000003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61.150500000000001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73.325500000000005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88.710599999999999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101.2437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116.82470000000001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116.401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117.1284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100.7478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84.401700000000005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68.742900000000006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52.963700000000003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0.36759999999999998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0.40760000000000002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0.42080000000000001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0.41920000000000002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0.52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0.55630000000000002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0.57579999999999998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0.59919999999999995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0.55169999999999997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0.54430000000000001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0.53869999999999996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0.54010000000000002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0.53920000000000001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0.52729999999999999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0.51319999999999999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0.49719999999999998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0.4798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0.62239999999999995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0.68520000000000003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0.72860000000000003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0.72070000000000001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0.75749999999999995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0.82050000000000001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0.84389999999999998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0.78790000000000004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0.77759999999999996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0.78049999999999997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0.78410000000000002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0.82950000000000002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0.875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0.91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0.94369999999999998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0.98089999999999999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1.0183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2.0899999999999998E-2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4.5699999999999998E-2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7.8200000000000006E-2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0.11459999999999999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0.15570000000000001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0.1963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0.22389999999999999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0.25269999999999998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0.28210000000000002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0.30030000000000001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0.32019999999999998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0.33600000000000002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0.35070000000000001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0.36199999999999999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0.372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0.38469999999999999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0.39629999999999999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6.6E-3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3.0499999999999999E-2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4.7399999999999998E-2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5.8599999999999999E-2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7.1900000000000006E-2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0.11509999999999999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0.184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0.25650000000000001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0.37180000000000002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0.4481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0.54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0.57340000000000002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0.61419999999999997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0.61470000000000002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0.61119999999999997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0.56669999999999998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0.52400000000000002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0.48159999999999997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0.2167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0.16500000000000001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1.72E-2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3.2000000000000002E-3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2.2000000000000001E-3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1.4E-3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8.9999999999999998E-4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8.0000000000000004E-4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5.0000000000000001E-4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2.9999999999999997E-4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2.0000000000000001E-4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0.26889999999999997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0.2782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0.26540000000000002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0.1991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4.9700000000000001E-2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2.0000000000000001E-4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1E-4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1E-4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1.47E-2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1.0699999999999999E-2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4.4000000000000003E-3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74.293300000000002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100.47490000000001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87.690299999999993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53.157299999999999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97.639600000000002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124.00060000000001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126.5611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163.05410000000001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256.89870000000002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319.91770000000002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382.93680000000001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405.6558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428.37470000000002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422.57619999999997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416.77760000000001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445.7199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474.66210000000001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264.73070000000001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86.934200000000004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-131.93440000000001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-318.21969999999999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-524.31859999999995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-622.56219999999996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-687.5539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-709.19889999999998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-701.97190000000001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-702.32380000000001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-705.75990000000002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-693.48910000000001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-682.77340000000004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-665.96169999999995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-649.18979999999999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-623.13969999999995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-596.96870000000001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368.42750000000001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298.87430000000001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286.04849999999999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223.35470000000001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77.773099999999999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23.914899999999999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-10.926600000000001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-37.913800000000002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-65.009699999999995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-85.315399999999997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-108.70310000000001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-109.5778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-112.0061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-96.394300000000001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-80.819400000000002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-64.855500000000006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-48.771599999999999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1.0181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5.8693999999999997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6.8639000000000001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7.7286000000000001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33.650700000000001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39.6158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45.665999999999997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42.2348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38.599499999999999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35.319499999999998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32.382399999999997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28.048500000000001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17.703099999999999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11.438700000000001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4.9097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3.2625999999999999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1.5722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0.36870000000000003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0.40889999999999999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0.4224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0.41560000000000002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0.47899999999999998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0.50280000000000002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0.54259999999999997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0.55879999999999996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0.51990000000000003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0.52580000000000005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0.52859999999999996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0.52829999999999999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0.52569999999999995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0.51390000000000002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0.49890000000000001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0.48380000000000001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0.46960000000000002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0.62390000000000001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0.68720000000000003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0.73129999999999995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0.73129999999999995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0.7581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0.78190000000000004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0.78480000000000005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0.74380000000000002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0.7409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0.75329999999999997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0.76539999999999997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0.80900000000000005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0.85250000000000004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0.88849999999999996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0.92490000000000006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0.96079999999999999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0.99819999999999998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2.0899999999999998E-2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4.58E-2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7.8399999999999997E-2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0.1153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0.16370000000000001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0.19800000000000001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0.2306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0.25219999999999998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0.27550000000000002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0.29570000000000002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0.31490000000000001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0.32990000000000003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0.34389999999999998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0.35420000000000001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0.36230000000000001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0.37530000000000002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0.39029999999999998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6.6E-3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3.0599999999999999E-2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4.7500000000000001E-2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5.8599999999999999E-2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8.9499999999999996E-2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0.14449999999999999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0.18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0.21840000000000001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0.26879999999999998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0.2676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0.26440000000000002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0.2636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0.25850000000000001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0.26279999999999998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0.26050000000000001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0.26300000000000001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0.26579999999999998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0.48199999999999998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0.21690000000000001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0.1651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1.72E-2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3.3E-3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2.3E-3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1.4E-3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1E-3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8.0000000000000004E-4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5.0000000000000001E-4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2.9999999999999997E-4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2.0000000000000001E-4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0.26960000000000001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0.27889999999999998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0.2661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0.2167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6.2199999999999998E-2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8.9999999999999998E-4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4.0000000000000002E-4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4.0000000000000002E-4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2.9999999999999997E-4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2.9999999999999997E-4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2.0000000000000001E-4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1.47E-2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1.0699999999999999E-2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4.4000000000000003E-3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74.293300000000002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100.47490000000001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87.690299999999993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46.402200000000001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112.1726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148.27789999999999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118.72880000000001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152.1165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201.47919999999999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254.72470000000001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307.9701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308.76330000000002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309.55650000000003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314.12310000000002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318.68959999999998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327.88350000000003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337.07749999999999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265.03519999999997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83.947699999999998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-138.08279999999999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-312.52100000000002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-473.29910000000001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-541.97429999999997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-567.20000000000005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-561.5444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-550.55899999999997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-544.37959999999998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-538.05100000000004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-544.33360000000005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-550.79679999999996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-556.87279999999998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-562.00379999999996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-558.3338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-554.46640000000002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368.7371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299.13249999999999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286.38810000000001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223.1292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89.883499999999998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27.197600000000001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5.3944000000000001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1.4830000000000001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2.2002999999999999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3.7351999999999999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5.4208999999999996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9.7579999999999991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13.914999999999999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18.4526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23.9572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22.617799999999999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21.474299999999999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1.0016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5.8329000000000004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12.5229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16.892700000000001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19.417100000000001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23.1191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26.897400000000001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29.845199999999998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32.6571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34.485700000000001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36.437600000000003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37.297800000000002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38.351900000000001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39.280099999999997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40.216700000000003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37.744599999999998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35.491500000000002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0.35749999999999998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0.37680000000000002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0.3306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0.32800000000000001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0.30840000000000001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0.30359999999999998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0.31940000000000002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0.3105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0.30049999999999999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0.2984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0.29480000000000001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0.29580000000000001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0.29620000000000002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0.30330000000000001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0.30969999999999998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0.30280000000000001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0.29509999999999997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0.61299999999999999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0.66420000000000001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0.68940000000000001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0.71960000000000002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0.73570000000000002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0.74929999999999997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0.74390000000000001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0.70430000000000004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0.7107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0.71260000000000001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0.71389999999999998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0.75580000000000003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0.79800000000000004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0.8488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0.8992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0.93369999999999997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0.96660000000000001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2.07E-2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3.5999999999999997E-2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6.5299999999999997E-2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0.1084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0.14230000000000001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0.16270000000000001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0.16320000000000001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0.20710000000000001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0.23319999999999999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0.24879999999999999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0.26340000000000002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0.27910000000000001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0.29370000000000002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0.3014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0.30840000000000001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0.3216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0.33510000000000001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6.4000000000000003E-3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2.52E-2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3.5999999999999997E-2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4.36E-2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4.6699999999999998E-2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4.7600000000000003E-2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4.6899999999999997E-2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4.4699999999999997E-2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4.19E-2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4.0099999999999997E-2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3.8399999999999997E-2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3.9100000000000003E-2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3.9899999999999998E-2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4.41E-2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4.7800000000000002E-2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6.7400000000000002E-2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8.5699999999999998E-2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0.47889999999999999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0.20150000000000001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8.8000000000000005E-3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2.9999999999999997E-4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2.0000000000000001E-4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1E-4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0.26519999999999999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0.24210000000000001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8.9399999999999993E-2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5.0000000000000001E-4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2.0000000000000001E-4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2.0000000000000001E-4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1.4500000000000001E-2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1.09E-2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4.1999999999999997E-3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74.293300000000002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0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0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0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0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0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0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0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0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0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0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0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0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0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0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0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0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261.85649999999998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51.9617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-312.6069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-511.26979999999998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-626.68359999999996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-702.29570000000001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-714.32180000000005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-678.01949999999999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-632.25329999999997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-603.06619999999998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-573.97829999999999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-584.45069999999998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-595.11649999999997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-588.13610000000006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-581.21550000000002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-589.77710000000002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-598.47979999999995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365.60309999999998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274.91430000000003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137.9537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81.368799999999993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55.810699999999997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31.962499999999999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13.356999999999999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4.8814000000000002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-0.13150000000000001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-3.8062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-7.5792000000000002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-9.1859999999999999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-10.986800000000001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-13.8927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-16.857299999999999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-16.338699999999999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-15.962199999999999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1.0182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5.9703999999999997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17.345099999999999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31.866700000000002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46.227699999999999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55.9161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58.767299999999999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58.398099999999999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55.643900000000002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50.4908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45.212699999999998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32.692300000000003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19.8262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11.7242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3.5724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2.3420999999999998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1.1033999999999999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0.372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0.41699999999999998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0.40660000000000002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0.46150000000000002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0.52159999999999995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0.55769999999999997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0.57189999999999996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0.55320000000000003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0.51480000000000004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0.52180000000000004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0.52539999999999998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0.52100000000000002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0.51400000000000001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0.49959999999999999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0.4884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0.47610000000000002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0.46260000000000001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0.62749999999999995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0.69059999999999999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0.71899999999999997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0.75800000000000001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0.81430000000000002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0.85470000000000002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0.80710000000000004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0.73740000000000006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0.73299999999999998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0.749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0.76519999999999999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0.80359999999999998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0.8417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0.87660000000000005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0.91290000000000004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0.95109999999999995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0.98939999999999995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2.1000000000000001E-2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4.7E-2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7.3099999999999998E-2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0.12529999999999999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0.1701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0.20080000000000001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0.22700000000000001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0.2492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0.27400000000000002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0.2949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0.31459999999999999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0.32769999999999999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0.33950000000000002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0.34820000000000001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0.36070000000000002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0.37440000000000001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0.38700000000000001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6.6E-3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2.75E-2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5.2999999999999999E-2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9.06E-2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0.1234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0.15579999999999999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0.2109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0.27910000000000001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0.35270000000000001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0.3584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0.36199999999999999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0.3518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0.3327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0.33110000000000001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0.32529999999999998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0.31530000000000002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0.30499999999999999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0.48270000000000002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0.1983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8.8000000000000005E-3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2.0000000000000001E-4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1E-4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1E-4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0.2707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0.24829999999999999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8.5300000000000001E-2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2.9999999999999997E-4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1E-4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1E-4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1E-4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1.4800000000000001E-2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1.0500000000000001E-2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4.0000000000000001E-3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74.293300000000002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92.211600000000004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89.699700000000007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92.975300000000004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106.40089999999999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110.4906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128.69399999999999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144.07239999999999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225.2594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263.41950000000003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301.5797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307.88499999999999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314.19029999999998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300.8691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287.5478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310.01170000000002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332.47559999999999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264.85329999999999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63.109699999999997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-271.6454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-430.53379999999999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-504.2176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-538.44230000000005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-552.94179999999994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-542.90779999999995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-542.25120000000004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-540.45280000000002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-538.17340000000002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-533.81010000000003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-528.9085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-517.60879999999997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-506.07350000000002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-486.4667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-466.87549999999999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368.55059999999997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283.26440000000002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158.21369999999999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92.270200000000003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42.418500000000002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13.7258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3.6587999999999998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6.1768999999999998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-1.7727999999999999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-5.8868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-9.5198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-1.6977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6.6624999999999996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14.476800000000001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22.5381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22.4513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22.349399999999999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1.0226999999999999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6.2961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15.6775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25.758600000000001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33.197600000000001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39.116199999999999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42.4679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42.295299999999997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39.539299999999997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35.639400000000002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32.339100000000002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34.878300000000003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33.198300000000003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33.790100000000002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34.323500000000003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34.781100000000002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35.533999999999999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0.36709999999999998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0.4088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0.40689999999999998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0.48759999999999998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0.52470000000000006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0.56330000000000002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0.59509999999999996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0.60860000000000003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0.56530000000000002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0.56340000000000001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0.55969999999999998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0.5585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0.55730000000000002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0.55269999999999997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0.54749999999999999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0.52900000000000003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0.50880000000000003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0.61990000000000001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0.67989999999999995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0.71499999999999997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0.77939999999999998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0.84460000000000002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0.88759999999999994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0.87339999999999995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0.80049999999999999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0.79190000000000005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0.79610000000000003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0.79959999999999998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0.85119999999999996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0.90349999999999997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0.95609999999999995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1.0072000000000001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1.0381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1.0690999999999999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2.07E-2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4.1200000000000001E-2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7.4700000000000003E-2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0.14460000000000001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0.2031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0.2397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0.26569999999999999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0.29509999999999997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0.32590000000000002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0.34449999999999997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0.36180000000000001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0.3805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0.39929999999999999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0.41560000000000002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0.42970000000000003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0.44450000000000001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0.45800000000000002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6.6E-3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2.7900000000000001E-2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5.3900000000000003E-2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8.4900000000000003E-2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0.1017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0.11609999999999999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0.1459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0.18440000000000001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0.2331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0.24390000000000001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0.25469999999999998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0.28739999999999999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0.28899999999999998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0.29239999999999999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0.29530000000000001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0.29609999999999997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0.29949999999999999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0.48130000000000001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0.19700000000000001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8.8000000000000005E-3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2.0000000000000001E-4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1E-4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1E-4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0.26819999999999999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0.2288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7.0499999999999993E-2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5.0000000000000001E-4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2.0000000000000001E-4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1.47E-2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1.04E-2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3.8999999999999998E-3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74.293300000000002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92.430899999999994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86.237499999999997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90.797499999999999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90.385800000000003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92.330699999999993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106.8626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139.13820000000001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208.4203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247.0718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285.72320000000002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288.0412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290.35910000000001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281.87419999999997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273.38929999999999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327.99369999999999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382.59809999999999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263.96449999999999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58.680199999999999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-288.14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-481.2894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-574.38430000000005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-649.51239999999996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-705.23530000000005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-726.47289999999998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-688.28459999999995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-638.40819999999997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-589.06140000000005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-593.53949999999998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-593.83199999999999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-582.16079999999999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-570.42550000000006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-580.29269999999997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-590.53150000000005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367.66809999999998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280.28930000000003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154.49459999999999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79.104299999999995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39.688400000000001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7.7281000000000004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-9.6362000000000005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-19.1799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-24.1509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-21.9801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-20.34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-27.625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-30.723099999999999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-32.2759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-33.765099999999997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-35.364400000000003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-37.335000000000001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1.0161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5.7934999999999999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13.6388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29.601600000000001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43.276899999999998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55.514699999999998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57.8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57.288600000000002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53.9343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50.1464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41.0349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31.442299999999999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21.626799999999999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16.536100000000001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10.9282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10.0494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9.1887000000000008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0.3705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0.41770000000000002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0.41210000000000002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0.44690000000000002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0.51580000000000004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0.54959999999999998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0.58760000000000001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0.60140000000000005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0.54239999999999999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0.54890000000000005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0.55269999999999997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0.54479999999999995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0.54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0.53320000000000001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0.52449999999999997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0.50580000000000003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0.48599999999999999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0.62580000000000002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0.69069999999999998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0.72309999999999997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0.74960000000000004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0.79730000000000001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0.86229999999999996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0.85770000000000002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0.78339999999999999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0.76839999999999997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0.78549999999999998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0.80300000000000005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0.84970000000000001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0.89470000000000005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0.94179999999999997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0.98829999999999996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1.0226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1.0566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2.0899999999999998E-2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4.1099999999999998E-2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8.1000000000000003E-2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0.1351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0.2034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0.24590000000000001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0.27750000000000002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0.308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0.33379999999999999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0.35570000000000002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0.37590000000000001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0.3921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0.40749999999999997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0.42080000000000001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0.43269999999999997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0.44640000000000002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0.4587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6.6E-3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2.7799999999999998E-2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4.7300000000000002E-2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7.2999999999999995E-2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9.4200000000000006E-2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0.1115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0.13650000000000001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0.18110000000000001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0.2477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0.25119999999999998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0.25130000000000002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0.25359999999999999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0.2487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0.2437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0.23519999999999999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0.23350000000000001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0.23200000000000001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0.48199999999999998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0.1983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8.9999999999999993E-3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2.9999999999999997E-4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2.0000000000000001E-4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1E-4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0.26939999999999997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0.26529999999999998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0.13519999999999999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3.8999999999999998E-3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2.0000000000000001E-4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1E-4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1E-4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0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1.47E-2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1.06E-2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4.3E-3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74.293300000000002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100.148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82.070099999999996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82.864999999999995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93.153300000000002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93.632199999999997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123.3533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135.83359999999999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206.10730000000001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251.88310000000001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297.65890000000002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306.88380000000001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316.10860000000002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346.48070000000001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376.85270000000003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384.27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391.68729999999999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264.45850000000002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72.788499999999999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-222.49680000000001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-389.19040000000001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-478.00529999999998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-517.32619999999997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-532.46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-533.85749999999996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-531.65620000000001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-531.19799999999998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-530.77459999999996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-520.00440000000003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-509.05029999999999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-510.87970000000001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-511.83710000000002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-498.73509999999999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-485.67189999999999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368.16030000000001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291.17899999999997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202.31200000000001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127.0224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59.775599999999997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21.368200000000002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7.7060000000000004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5.1238999999999999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5.0500000000000003E-2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-2.9863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-6.0578000000000003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-2.0500000000000001E-2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6.1955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2.7279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0.13650000000000001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-0.74209999999999998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-1.6614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1.0154000000000001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5.9211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6.9160000000000004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7.2944000000000004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7.0808999999999997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7.0788000000000002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6.8277000000000001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6.4077999999999999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5.5289999999999999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4.0106000000000002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2.4828000000000001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1.3335999999999999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0.18640000000000001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9.5699999999999993E-2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0.37359999999999999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0.41460000000000002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0.42970000000000003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0.43759999999999999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0.46679999999999999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0.49540000000000001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0.52210000000000001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0.53339999999999999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0.53180000000000005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0.5323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0.52959999999999996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0.52629999999999999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0.52200000000000002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0.51539999999999997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0.50660000000000005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0.4929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0.47789999999999999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0.62739999999999996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0.69240000000000002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0.73860000000000003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0.74850000000000005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0.76570000000000005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0.77990000000000004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0.76480000000000004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0.74039999999999995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0.75019999999999998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0.75670000000000004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0.76200000000000001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0.80130000000000001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0.8407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0.88729999999999998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0.93330000000000002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0.96809999999999996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1.0029999999999999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2.1100000000000001E-2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4.6600000000000003E-2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8.0500000000000002E-2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0.1182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0.15820000000000001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0.18820000000000001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0.21870000000000001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0.24990000000000001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0.27750000000000002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0.29870000000000002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0.31859999999999999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0.3337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0.34970000000000001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0.36359999999999998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0.37630000000000002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0.39029999999999998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0.40310000000000001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6.6E-3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3.0700000000000002E-2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4.7899999999999998E-2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5.8400000000000001E-2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6.8500000000000005E-2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7.7200000000000005E-2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8.2600000000000007E-2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7.9899999999999999E-2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8.8900000000000007E-2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0.107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0.124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0.17430000000000001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0.2185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0.2747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0.32350000000000001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0.373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0.4158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0.48299999999999998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0.2175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0.16569999999999999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1.77E-2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5.4000000000000003E-3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5.0000000000000001E-3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4.4999999999999997E-3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3.8999999999999998E-3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2.8999999999999998E-3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1.6999999999999999E-3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5.9999999999999995E-4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7.0000000000000001E-3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1.2800000000000001E-2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3.4799999999999998E-2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5.6000000000000001E-2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8.2400000000000001E-2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0.108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0.27129999999999999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0.28610000000000002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0.27329999999999999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0.21360000000000001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0.15570000000000001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0.1075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4.2999999999999997E-2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2.46E-2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1.2699999999999999E-2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1.3100000000000001E-2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1.23E-2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1.44E-2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1.6400000000000001E-2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1.8499999999999999E-2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2.06E-2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2.3699999999999999E-2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2.6599999999999999E-2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1.4800000000000001E-2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1.0800000000000001E-2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4.4000000000000003E-3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74.293300000000002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100.1371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87.805999999999997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75.390100000000004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88.277500000000003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99.757300000000001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113.7692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123.82640000000001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192.05690000000001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232.17609999999999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272.2953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268.85320000000002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265.41109999999998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268.87099999999998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272.33089999999999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284.04539999999997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295.75990000000002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264.99939999999998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82.119399999999999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-141.8989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-290.08949999999999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-330.35359999999997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-354.15660000000003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-367.69920000000002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-369.96010000000001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-372.8476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-376.82470000000001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-380.63159999999999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-390.9785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-401.74079999999998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-402.69049999999999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-404.72109999999998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-395.16809999999998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-386.13380000000001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368.685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298.88119999999998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286.26690000000002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231.33349999999999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214.9975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199.7664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193.5641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189.7894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185.52690000000001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179.2577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173.16470000000001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167.1035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160.6336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154.0061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146.30549999999999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136.77549999999999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126.7278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1.0187999999999999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5.8869999999999996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6.8619000000000003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8.3116000000000003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32.6357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49.640999999999998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63.848700000000001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78.7286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98.591399999999993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111.2458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127.80410000000001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126.5377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126.15900000000001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108.17619999999999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90.2042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72.438699999999997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54.520400000000002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0.36799999999999999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0.40820000000000001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0.4214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0.42070000000000002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0.52669999999999995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0.56279999999999997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0.58299999999999996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0.60719999999999996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0.57110000000000005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0.56610000000000005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0.55820000000000003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0.5575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0.55469999999999997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0.54279999999999995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0.52890000000000004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0.51170000000000004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0.49320000000000003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0.62260000000000004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0.68540000000000001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0.72899999999999998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0.72270000000000001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0.7601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0.82750000000000001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0.85429999999999995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0.80549999999999999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0.79710000000000003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0.79669999999999996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0.79879999999999995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0.85009999999999997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0.90110000000000001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0.93840000000000001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0.97430000000000005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1.0106999999999999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1.0471999999999999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2.0799999999999999E-2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4.5699999999999998E-2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7.8399999999999997E-2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0.1157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0.15790000000000001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0.19939999999999999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0.22839999999999999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0.25840000000000002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0.28939999999999999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0.3095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0.32840000000000003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0.34689999999999999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0.36430000000000001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0.37669999999999998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0.3876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0.4007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0.41260000000000002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6.6E-3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3.0700000000000002E-2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4.7899999999999998E-2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5.8400000000000001E-2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7.1900000000000006E-2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0.1196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0.19500000000000001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0.27479999999999999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0.39729999999999999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0.47420000000000001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0.5706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0.60329999999999995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0.64159999999999995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0.64159999999999995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0.63780000000000003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0.58620000000000005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0.5363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0.48159999999999997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0.217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0.16520000000000001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1.7399999999999999E-2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3.5000000000000001E-3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2.5000000000000001E-3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1.6000000000000001E-3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1.1999999999999999E-3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1E-3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5.9999999999999995E-4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2.9999999999999997E-4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2.0000000000000001E-4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0.26879999999999998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0.28320000000000001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0.27029999999999998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0.2034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5.2200000000000003E-2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2.0000000000000001E-4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1E-4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1E-4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1.47E-2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1.0699999999999999E-2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4.4000000000000003E-3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74.293300000000002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100.1371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87.805999999999997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53.191400000000002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100.0052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124.69499999999999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127.0847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167.94220000000001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253.4034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336.39150000000001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419.37959999999998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428.62650000000002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437.87329999999997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428.26319999999998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418.65309999999999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449.59339999999997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480.53370000000001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264.79539999999997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88.882599999999996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-128.92339999999999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-317.30450000000002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-525.1422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-625.26969999999994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-692.15139999999997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-716.22469999999998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-714.29020000000003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-713.13959999999997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-715.93949999999995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-703.61649999999997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-692.60299999999995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-674.15890000000002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-655.74570000000006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-626.35730000000001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-596.81859999999995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368.4923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299.17410000000001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286.2989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223.9068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77.924499999999995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22.146100000000001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-14.5899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-43.9238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-75.512600000000006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-93.962500000000006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-116.3582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-117.1212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-119.1927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-102.6474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-86.130499999999998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-68.059899999999999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-49.839799999999997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1.0169999999999999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5.9021999999999997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6.8916000000000004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7.5056000000000003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19.056100000000001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23.999600000000001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23.223299999999998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21.9846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19.952999999999999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16.781199999999998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13.0732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10.8446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5.1132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2.9554999999999998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0.63280000000000003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0.32179999999999997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0.3715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0.41220000000000001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0.42649999999999999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0.42799999999999999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0.46350000000000002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0.51659999999999995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0.53610000000000002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0.53939999999999999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0.52310000000000001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0.52739999999999998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0.52800000000000002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0.52939999999999998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0.52810000000000001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0.51619999999999999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0.505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0.49249999999999999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0.47839999999999999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0.62560000000000004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0.68959999999999999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0.73460000000000003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0.74050000000000005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0.75939999999999996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0.78539999999999999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0.7732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0.74050000000000005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0.73899999999999999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0.75280000000000002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0.76619999999999999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0.81559999999999999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0.86499999999999999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0.9032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0.94159999999999999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0.98370000000000002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1.0258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2.1000000000000001E-2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4.6300000000000001E-2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7.9699999999999993E-2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0.1162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0.16289999999999999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0.20300000000000001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0.23119999999999999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0.25740000000000002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0.28170000000000001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0.30080000000000001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0.31869999999999998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0.33439999999999998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0.34939999999999999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0.36270000000000002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0.37769999999999998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0.3952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0.41139999999999999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6.6E-3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3.0700000000000002E-2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4.7899999999999998E-2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5.4600000000000003E-2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5.7000000000000002E-2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7.51E-2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0.1166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0.15640000000000001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0.21859999999999999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0.2402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0.25600000000000001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0.27329999999999999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0.28570000000000001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0.3004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0.31209999999999999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0.3145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0.31769999999999998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0.48270000000000002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0.21740000000000001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0.16550000000000001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1.7399999999999999E-2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3.5999999999999999E-3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2.7000000000000001E-3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1.6999999999999999E-3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1.2999999999999999E-3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1.1000000000000001E-3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6.9999999999999999E-4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2.9999999999999997E-4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2.0000000000000001E-4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0.2707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0.28499999999999998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0.2722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0.23350000000000001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7.4300000000000005E-2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6.4999999999999997E-3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4.1999999999999997E-3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5.1999999999999998E-3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5.7000000000000002E-3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3.3E-3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2.8999999999999998E-3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2.2000000000000001E-3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1.5E-3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1E-3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2.9999999999999997E-4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5.0000000000000001E-4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8.0000000000000004E-4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1.4800000000000001E-2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1.0699999999999999E-2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4.4000000000000003E-3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74.293300000000002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100.1371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87.805999999999997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66.340800000000002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84.137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97.766599999999997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120.6435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131.69149999999999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192.70359999999999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232.51820000000001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272.33269999999999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272.75170000000003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273.17079999999999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276.24020000000002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279.30959999999999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305.93770000000001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332.56569999999999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265.05590000000001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85.506399999999999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-135.43559999999999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-352.35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-505.00729999999999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-599.44820000000004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-637.68820000000005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-611.54319999999996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-561.72199999999998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-545.07249999999999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-528.40210000000002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-532.6712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-537.12959999999998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-545.00829999999996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-552.35299999999995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-540.19069999999999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-527.91420000000005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368.75130000000001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299.0419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286.27140000000003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236.596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164.36689999999999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126.72410000000001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111.4796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101.0733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91.946700000000007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84.447800000000001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76.9696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71.668599999999998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66.180899999999994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58.375799999999998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51.1145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48.566499999999998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46.132800000000003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1.0069999999999999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5.9066000000000001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14.7911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24.1006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35.3947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48.242600000000003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60.624699999999997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66.966099999999997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71.7072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72.128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72.582800000000006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71.817300000000003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71.195400000000006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70.843100000000007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70.458399999999997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66.951899999999995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63.614899999999999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0.35630000000000001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0.371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0.3246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0.32890000000000003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0.31440000000000001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0.31090000000000001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0.32229999999999998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0.3145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0.30470000000000003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0.308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0.3075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0.31090000000000001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0.31380000000000002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0.31840000000000002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0.32300000000000001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0.31850000000000001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0.31259999999999999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0.61029999999999995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0.66400000000000003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0.68579999999999997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0.72130000000000005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0.73770000000000002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0.75770000000000004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0.75990000000000002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0.72050000000000003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0.72270000000000001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0.72670000000000001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0.72799999999999998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0.7722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0.81679999999999997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0.86350000000000005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0.91080000000000005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0.95220000000000005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0.99109999999999998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2.06E-2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3.5900000000000001E-2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6.4799999999999996E-2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0.11020000000000001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0.14230000000000001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0.16009999999999999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0.16289999999999999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0.20960000000000001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0.2321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0.24970000000000001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0.26400000000000001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0.28050000000000003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0.29620000000000002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0.30919999999999997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0.31929999999999997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0.33069999999999999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0.34399999999999997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6.4000000000000003E-3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2.5100000000000001E-2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4.3400000000000001E-2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6.7199999999999996E-2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8.9399999999999993E-2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0.1108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0.13300000000000001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0.1439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0.14749999999999999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0.1431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0.13880000000000001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0.13750000000000001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0.1366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0.14369999999999999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0.15040000000000001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0.16009999999999999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0.16919999999999999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0.47799999999999998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0.2014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8.8000000000000005E-3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2.0000000000000001E-4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1E-4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1E-4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0.26369999999999999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0.24560000000000001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9.1200000000000003E-2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4.0000000000000002E-4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1.44E-2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1.09E-2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4.1999999999999997E-3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74.293300000000002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64.795400000000001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74.310299999999998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84.388499999999993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100.7794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109.5048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140.97460000000001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156.84219999999999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261.7672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326.66809999999998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391.56909999999999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393.13279999999997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394.69659999999999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364.3458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333.995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390.41840000000002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446.84179999999998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260.858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56.192700000000002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-295.99329999999998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-456.80340000000001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-523.71860000000004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-553.91330000000005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-571.48900000000003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-584.8691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-606.9357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-609.93910000000005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-612.99689999999998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-641.89499999999998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-670.93430000000001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-661.38580000000002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-651.80129999999997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-647.74609999999996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-643.88239999999996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364.61090000000002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274.70999999999998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133.52619999999999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58.328200000000002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6.2214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-27.288599999999999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-48.9893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-58.908700000000003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-66.811199999999999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-68.189700000000002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-69.623800000000003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-68.823999999999998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-68.165999999999997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-67.638999999999996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-67.076800000000006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-64.712999999999994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-62.540500000000002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1.0185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5.9020999999999999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16.191099999999999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30.788599999999999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46.243699999999997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55.962499999999999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58.6965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58.226500000000001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55.267000000000003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50.338799999999999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45.367899999999999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32.562899999999999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19.261700000000001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10.945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2.6456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1.3287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0.3725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0.41649999999999998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0.40479999999999999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0.45910000000000001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0.52229999999999999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0.56310000000000004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0.58109999999999995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0.56520000000000004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0.52090000000000003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0.52939999999999998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0.53480000000000005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0.53149999999999997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0.52529999999999999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0.51800000000000002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0.50870000000000004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0.49590000000000001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0.48170000000000002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0.62780000000000002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0.69169999999999998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0.71779999999999999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0.75490000000000002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0.81440000000000001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0.85809999999999997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0.81459999999999999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0.74309999999999998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0.74250000000000005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0.76200000000000001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0.78180000000000005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0.82489999999999997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0.86739999999999995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0.91220000000000001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0.95579999999999998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0.99629999999999996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1.0369999999999999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2.1000000000000001E-2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4.7E-2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7.2900000000000006E-2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0.1249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0.1711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0.2026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0.22989999999999999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0.25419999999999998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0.27910000000000001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0.30149999999999999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0.32269999999999999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0.33639999999999998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0.34949999999999998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0.36430000000000001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0.37880000000000003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0.39340000000000003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0.40679999999999999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6.6E-3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2.7400000000000001E-2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5.1299999999999998E-2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8.6499999999999994E-2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0.1179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0.15029999999999999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0.2051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0.27560000000000001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0.35170000000000001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0.36009999999999998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0.36670000000000003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0.36080000000000001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0.3448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0.34289999999999998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0.33789999999999998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0.32740000000000002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0.31659999999999999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0.48280000000000001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0.1991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8.8000000000000005E-3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2.0000000000000001E-4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1E-4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1E-4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0.27100000000000002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0.255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8.8599999999999998E-2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2.9999999999999997E-4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1E-4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1E-4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1E-4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1.4800000000000001E-2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1.06E-2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4.0000000000000001E-3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74.293300000000002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93.606899999999996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89.581000000000003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91.795699999999997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104.20950000000001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110.27809999999999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126.76900000000001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145.9727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225.6198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264.01170000000002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302.40359999999998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308.22000000000003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314.03629999999998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301.57369999999997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289.11099999999999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311.9803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334.84969999999998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264.9624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65.003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-268.25689999999997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-424.17329999999998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-494.9941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-527.38229999999999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-538.50869999999998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-533.20330000000001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-532.17449999999997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-531.32029999999997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-530.12009999999998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-527.06610000000001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-523.24170000000004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-512.35090000000002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-501.47590000000002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-482.1506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-462.84339999999997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368.65719999999999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285.92559999999997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162.4494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99.119900000000001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51.947299999999998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25.0351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18.244499999999999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15.855700000000001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8.1257000000000001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3.0451000000000001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-1.6901999999999999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4.8334000000000001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12.1281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19.582999999999998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27.0334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26.675899999999999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26.302800000000001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1.0219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6.1184000000000003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16.603100000000001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29.5839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39.932600000000001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47.577399999999997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53.183799999999998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53.203000000000003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50.4602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45.885800000000003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42.014800000000001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39.237099999999998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33.497799999999998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33.398400000000002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33.149799999999999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34.509799999999998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36.112299999999998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0.3695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0.4108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0.41660000000000003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0.49930000000000002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0.53569999999999995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0.58169999999999999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0.60829999999999995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0.61990000000000001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0.57120000000000004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0.57020000000000004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0.56720000000000004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0.56179999999999997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0.55489999999999995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0.54769999999999996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0.53859999999999997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0.51600000000000001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0.49299999999999999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0.62180000000000002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0.67969999999999997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0.71919999999999995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0.78979999999999995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0.86170000000000002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0.90169999999999995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0.89219999999999999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0.80930000000000002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0.79090000000000005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0.79830000000000001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0.8054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0.85599999999999998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0.90669999999999995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0.95579999999999998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1.0039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1.0350999999999999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1.0654999999999999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2.06E-2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4.1399999999999999E-2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7.9899999999999999E-2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0.15770000000000001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0.22470000000000001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0.26650000000000001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0.29899999999999999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0.33100000000000002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0.36149999999999999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0.38159999999999999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0.39950000000000002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0.41760000000000003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0.43369999999999997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0.44650000000000001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0.45660000000000001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0.46789999999999998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0.47699999999999998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6.6E-3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2.7699999999999999E-2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5.7700000000000001E-2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9.7900000000000001E-2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0.1221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0.14330000000000001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0.17979999999999999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0.223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0.2732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0.27550000000000002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0.2787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0.2928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0.28770000000000001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0.28899999999999998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0.2888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0.28899999999999998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0.29110000000000003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0.47870000000000001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0.19520000000000001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8.6E-3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2.0000000000000001E-4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1E-4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1E-4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0.26679999999999998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0.2296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7.0699999999999999E-2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5.0000000000000001E-4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1E-4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1.46E-2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1.0200000000000001E-2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3.8E-3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74.293300000000002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92.360600000000005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87.043099999999995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94.897599999999997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94.933000000000007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105.87609999999999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113.1336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156.33349999999999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243.28829999999999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313.48180000000002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383.67520000000002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370.72539999999998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357.7756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358.4119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359.04820000000001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413.6651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468.28199999999998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263.2396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59.427799999999998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-281.56270000000001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-460.0093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-545.93179999999995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-621.41070000000002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-687.93629999999996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-721.75609999999995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-695.55589999999995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-650.0684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-605.32050000000004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-599.22550000000001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-590.21709999999996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-575.9126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-561.46600000000001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-570.75649999999996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-580.30129999999997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366.9357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278.70089999999999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150.14269999999999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69.269900000000007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23.9833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-9.8603000000000005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-29.240600000000001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-39.326700000000002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-45.000300000000003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-44.433500000000002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-44.605499999999999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-42.0747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-36.629199999999997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-36.839199999999998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-36.902500000000003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-38.241700000000002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-39.839199999999998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1.0164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5.86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13.013199999999999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29.2285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43.8003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55.729700000000001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59.282600000000002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0.37030000000000002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0.41830000000000001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0.41249999999999998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0.44750000000000001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0.51929999999999998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0.55430000000000001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0.5927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0.62570000000000003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0.69010000000000005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0.72230000000000005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0.74980000000000002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0.8024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0.86960000000000004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0.86560000000000004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2.0899999999999998E-2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4.1099999999999998E-2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8.1199999999999994E-2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0.13519999999999999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0.2041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0.247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0.27929999999999999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6.6E-3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2.7799999999999998E-2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4.6899999999999997E-2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7.2800000000000004E-2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9.5200000000000007E-2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0.1139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0.1396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0.4819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0.20599999999999999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1.54E-2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2.9999999999999997E-4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2.0000000000000001E-4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1E-4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0.26929999999999998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0.26240000000000002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0.1333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2.8999999999999998E-3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2.0000000000000001E-4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1E-4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1E-4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1.47E-2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1.0500000000000001E-2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4.3E-3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74.293300000000002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101.28019999999999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82.6768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83.006799999999998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93.628100000000003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94.218400000000003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123.5826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264.464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60.997500000000002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-223.59809999999999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-389.04020000000003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-479.1508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-518.00070000000005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-533.03899999999999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368.16609999999997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291.39710000000002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204.3296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126.292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57.4619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18.3066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4.6729000000000003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1.0214000000000001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5.9151999999999996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6.8672000000000004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7.2454000000000001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7.1210000000000004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7.1090999999999998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6.8319000000000001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0.3775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0.41789999999999999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0.42149999999999999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0.4294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0.45550000000000002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0.4824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0.51249999999999996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0.62819999999999998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0.69069999999999998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0.72660000000000002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0.73799999999999999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0.75549999999999995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0.77139999999999997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0.76070000000000004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2.1299999999999999E-2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5.2200000000000003E-2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8.8900000000000007E-2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0.1236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0.157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0.1799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0.20569999999999999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6.6E-3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3.0700000000000002E-2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4.7399999999999998E-2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5.79E-2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6.8099999999999994E-2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7.6999999999999999E-2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8.2400000000000001E-2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0.48330000000000001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0.21790000000000001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0.16500000000000001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1.77E-2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5.3E-3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4.8999999999999998E-3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4.4000000000000003E-3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0.27179999999999999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0.28589999999999999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0.26819999999999999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0.20880000000000001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0.1507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0.10349999999999999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4.4600000000000001E-2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1.4800000000000001E-2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1.0800000000000001E-2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4.4000000000000003E-3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74.293300000000002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100.6818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88.059899999999999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75.688599999999994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88.706699999999998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100.2718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114.35169999999999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264.80919999999998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65.410399999999996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-152.4659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-294.20049999999998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-330.77609999999999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-352.22219999999999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-364.60309999999998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368.4615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297.10160000000002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281.8399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228.1241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213.1815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199.90710000000001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195.33529999999999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1.0214000000000001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5.9123000000000001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6.859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7.9756999999999998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25.0625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47.648099999999999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63.790700000000001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0.37680000000000002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0.4178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0.42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0.41639999999999999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0.53249999999999997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0.57030000000000003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0.58789999999999998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0.62770000000000004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0.69159999999999999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0.72699999999999998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0.72430000000000005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0.75729999999999997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0.82740000000000002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0.85860000000000003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2.1399999999999999E-2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5.2299999999999999E-2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8.7599999999999997E-2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0.11020000000000001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0.1492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0.19020000000000001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0.21870000000000001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6.6E-3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3.0700000000000002E-2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4.7399999999999998E-2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5.8799999999999998E-2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7.3999999999999996E-2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0.124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0.20419999999999999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0.48509999999999998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0.21929999999999999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0.16600000000000001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1.7500000000000002E-2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3.3E-3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2.2000000000000001E-3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1.4E-3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0.27279999999999999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0.28770000000000001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0.26950000000000002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0.20169999999999999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5.0900000000000001E-2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2.0000000000000001E-4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1E-4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1.49E-2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1.09E-2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4.4000000000000003E-3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74.293300000000002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100.6818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88.059899999999999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54.3063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100.0681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124.0496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128.96969999999999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265.30349999999999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72.490399999999994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-138.84630000000001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-314.94880000000001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-515.36789999999996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-616.14589999999998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-681.54939999999999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368.95659999999998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297.68860000000001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282.47649999999999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224.57249999999999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82.287999999999997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22.103899999999999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-16.851900000000001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1.0185999999999999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5.8887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6.9668000000000001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7.2408999999999999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10.8987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11.6296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11.5242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0.3679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0.4088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0.42130000000000001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0.42130000000000001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0.47699999999999998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0.52300000000000002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0.53100000000000003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0.62280000000000002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0.68700000000000006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0.73080000000000001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0.73340000000000005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0.76129999999999998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0.78900000000000003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0.7702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2.1000000000000001E-2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4.5699999999999998E-2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7.7100000000000002E-2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0.1114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0.1593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0.1923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0.22020000000000001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6.6E-3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3.0700000000000002E-2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4.8000000000000001E-2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5.6899999999999999E-2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6.7000000000000004E-2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0.1157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0.188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0.48370000000000002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0.21859999999999999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0.1661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1.7500000000000002E-2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3.3999999999999998E-3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2.3999999999999998E-3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1.4E-3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0.2702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0.28389999999999999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0.27039999999999997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0.2258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6.8599999999999994E-2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3.0999999999999999E-3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2E-3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1.47E-2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1.0800000000000001E-2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4.4000000000000003E-3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74.293300000000002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100.6818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88.059899999999999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64.664199999999994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100.3326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118.4743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132.4136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265.41070000000002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70.063199999999995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-142.1371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-359.32029999999997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-533.96040000000005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-627.95669999999996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-646.43420000000003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369.1164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298.56689999999998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285.69799999999998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234.6309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141.49449999999999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95.095799999999997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80.032899999999998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1.0016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5.7610000000000001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12.456200000000001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16.930199999999999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19.442299999999999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23.076000000000001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26.398599999999998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0.35849999999999999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0.37209999999999999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0.32729999999999998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0.32519999999999999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0.30919999999999997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0.30480000000000002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0.31919999999999998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0.61329999999999996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0.66369999999999996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0.68689999999999996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0.71730000000000005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0.73409999999999997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0.748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0.74739999999999995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2.0500000000000001E-2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3.61E-2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6.9000000000000006E-2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0.1188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0.161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0.1857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0.1857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6.4000000000000003E-3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2.53E-2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3.6299999999999999E-2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4.3999999999999997E-2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4.6699999999999998E-2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4.6300000000000001E-2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4.4699999999999997E-2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0.47620000000000001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0.1996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8.6999999999999994E-3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2.0000000000000001E-4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2.0000000000000001E-4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1E-4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0.2636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0.24260000000000001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9.0300000000000005E-2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5.0000000000000001E-4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2.9999999999999997E-4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2.0000000000000001E-4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1E-4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1.4500000000000001E-2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1.09E-2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4.1000000000000003E-3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74.293300000000002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64.373500000000007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70.538799999999995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0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0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0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0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260.97579999999999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36.717199999999998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-315.41739999999999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-502.226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-612.67560000000003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-709.8623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-755.60789999999997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364.72719999999998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273.0521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137.19220000000001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79.284199999999998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52.884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26.581600000000002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8.8506999999999998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1.0187999999999999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6.0848000000000004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17.170400000000001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33.425899999999999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50.266199999999998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61.060099999999998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63.288899999999998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0.37259999999999999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0.4163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0.40529999999999999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0.46229999999999999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0.52669999999999995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0.56730000000000003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0.58520000000000005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0.62780000000000002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0.69159999999999999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0.71860000000000002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0.75770000000000004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0.81950000000000001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0.86419999999999997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0.81699999999999995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2.1000000000000001E-2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4.7100000000000003E-2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7.3400000000000007E-2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0.126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0.17130000000000001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0.20369999999999999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0.23180000000000001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6.6E-3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2.7799999999999998E-2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5.4399999999999997E-2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9.4E-2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0.1288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0.16250000000000001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0.21829999999999999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0.48280000000000001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0.1991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8.8000000000000005E-3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2.0000000000000001E-4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1E-4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1E-4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0.27089999999999997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0.25359999999999999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8.7800000000000003E-2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2.9999999999999997E-4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1E-4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1E-4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1E-4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1.4800000000000001E-2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1.06E-2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4.0000000000000001E-3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74.293300000000002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92.450900000000004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90.858500000000006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93.888999999999996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108.09910000000001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112.41679999999999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131.59530000000001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265.02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55.567399999999999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-272.27620000000002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-428.56580000000002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-501.47399999999999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-534.94600000000003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-543.0059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368.71420000000001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284.06110000000001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157.99189999999999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92.202200000000005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42.971899999999998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14.949299999999999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11.179500000000001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1.0224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5.9951999999999996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17.120799999999999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29.88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39.089799999999997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44.64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47.480200000000004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0.36969999999999997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0.41070000000000001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0.41710000000000003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0.50149999999999995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0.53920000000000001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0.58630000000000004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0.61329999999999996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0.622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0.67969999999999997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0.71950000000000003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0.79120000000000001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0.86550000000000005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0.90429999999999999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0.88470000000000004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2.06E-2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4.1500000000000002E-2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8.0199999999999994E-2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0.1583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0.22570000000000001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0.26750000000000002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0.29959999999999998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6.6E-3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2.8299999999999999E-2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5.7799999999999997E-2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9.4799999999999995E-2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0.114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0.13089999999999999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0.16489999999999999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0.4788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0.1953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8.6E-3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2.0000000000000001E-4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1E-4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1E-4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0.26690000000000003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0.22839999999999999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6.9599999999999995E-2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5.0000000000000001E-4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1E-4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1.46E-2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1.0200000000000001E-2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3.8E-3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74.293300000000002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92.334199999999996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87.757999999999996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95.043899999999994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94.491100000000003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104.28279999999999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109.8689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263.30070000000001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45.3093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-298.00240000000002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-496.26799999999997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-595.30640000000005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-663.34059999999999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-699.34190000000001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366.99599999999998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278.68110000000001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149.69149999999999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70.4315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28.191099999999999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-2.2961999999999998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-19.1875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2025-09-13T11:01:27Z</dcterms:modified>
</cp:coreProperties>
</file>